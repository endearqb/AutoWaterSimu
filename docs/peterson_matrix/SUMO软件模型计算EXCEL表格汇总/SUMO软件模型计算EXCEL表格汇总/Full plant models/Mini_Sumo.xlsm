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D:\SUMO\SUMO_SourceCode\MODEL\trunk\Sumo\Process code\Model base\Full plant models\"/>
    </mc:Choice>
  </mc:AlternateContent>
  <xr:revisionPtr revIDLastSave="0" documentId="13_ncr:1_{72F655AB-D877-4E4B-80FD-A3CF2E9BAF1E}" xr6:coauthVersionLast="47" xr6:coauthVersionMax="47" xr10:uidLastSave="{00000000-0000-0000-0000-000000000000}"/>
  <bookViews>
    <workbookView xWindow="345" yWindow="345" windowWidth="24645" windowHeight="13200" tabRatio="815" xr2:uid="{00000000-000D-0000-FFFF-FFFF00000000}"/>
  </bookViews>
  <sheets>
    <sheet name="Help" sheetId="25" r:id="rId1"/>
    <sheet name="Parameters" sheetId="9" r:id="rId2"/>
    <sheet name="PU parameters" sheetId="26" r:id="rId3"/>
    <sheet name="Model" sheetId="1" r:id="rId4"/>
    <sheet name="pH" sheetId="4" state="hidden" r:id="rId5"/>
    <sheet name="Tableau" sheetId="17" state="hidden" r:id="rId6"/>
    <sheet name="Components" sheetId="2" r:id="rId7"/>
    <sheet name="Algebraic model" sheetId="13" state="hidden" r:id="rId8"/>
    <sheet name="Expert knowledge" sheetId="14" state="hidden" r:id="rId9"/>
    <sheet name="Calculated variables" sheetId="5" r:id="rId10"/>
    <sheet name="systemcode_functions" sheetId="24" state="hidden" r:id="rId11"/>
    <sheet name="systemcode_constants" sheetId="21" state="hidden" r:id="rId12"/>
    <sheet name="other parameters" sheetId="22" state="hidden" r:id="rId13"/>
    <sheet name="Functions" sheetId="3" state="hidden" r:id="rId14"/>
    <sheet name="Code" sheetId="10" state="hidden" r:id="rId15"/>
    <sheet name="Alert" sheetId="15" state="veryHidden" r:id="rId16"/>
    <sheet name="Security" sheetId="16" state="veryHidden" r:id="rId17"/>
    <sheet name="Species" sheetId="23" state="hidden" r:id="rId18"/>
  </sheets>
  <functionGroups builtInGroupCount="19"/>
  <definedNames>
    <definedName name="µ_ALGAE">Parameters!$D$41</definedName>
    <definedName name="µ_ALGAE_T">'Calculated variables'!$E$181</definedName>
    <definedName name="µ_AMETO">Parameters!$D$25</definedName>
    <definedName name="µ_AMETO_T">'Calculated variables'!$E$177</definedName>
    <definedName name="µ_FERM_OHO">Parameters!$D$13</definedName>
    <definedName name="µ_FERM_OHO_T">'Calculated variables'!$E$173</definedName>
    <definedName name="µ_HMETO">Parameters!$D$33</definedName>
    <definedName name="µ_HMETO_T">'Calculated variables'!$E$179</definedName>
    <definedName name="µ_NITO">Parameters!$D$17</definedName>
    <definedName name="µ_NITO_T">'Calculated variables'!$E$175</definedName>
    <definedName name="µ_OHO">Parameters!$D$7</definedName>
    <definedName name="µ_OHO_T">'Calculated variables'!$E$172</definedName>
    <definedName name="A_AR">'Calculated variables'!$E$67</definedName>
    <definedName name="A_H2O">systemcode_constants!$D$47</definedName>
    <definedName name="A_MAc">systemcode_constants!$D$172</definedName>
    <definedName name="A_MAg">systemcode_constants!$D$130</definedName>
    <definedName name="A_MAl">systemcode_constants!$D$96</definedName>
    <definedName name="A_MAm">systemcode_constants!$D$178</definedName>
    <definedName name="A_MAr">systemcode_constants!$D$101</definedName>
    <definedName name="A_MAs">systemcode_constants!$D$116</definedName>
    <definedName name="A_MAt">systemcode_constants!$D$168</definedName>
    <definedName name="A_MAu">systemcode_constants!$D$162</definedName>
    <definedName name="A_MB">systemcode_constants!$D$88</definedName>
    <definedName name="A_MBa">systemcode_constants!$D$139</definedName>
    <definedName name="A_MBe">systemcode_constants!$D$87</definedName>
    <definedName name="A_MBh">systemcode_constants!$D$190</definedName>
    <definedName name="A_MBi">systemcode_constants!$D$166</definedName>
    <definedName name="A_MBk">systemcode_constants!$D$180</definedName>
    <definedName name="A_MBr">systemcode_constants!$D$118</definedName>
    <definedName name="A_MC">systemcode_constants!$D$89</definedName>
    <definedName name="A_MCa">systemcode_constants!$D$103</definedName>
    <definedName name="A_MCd">systemcode_constants!$D$131</definedName>
    <definedName name="A_MCe">systemcode_constants!$D$141</definedName>
    <definedName name="A_MCf">systemcode_constants!$D$181</definedName>
    <definedName name="A_MCl">systemcode_constants!$D$100</definedName>
    <definedName name="A_MCm">systemcode_constants!$D$179</definedName>
    <definedName name="A_MCn">systemcode_constants!$D$195</definedName>
    <definedName name="A_MCo">systemcode_constants!$D$110</definedName>
    <definedName name="A_MCr">systemcode_constants!$D$107</definedName>
    <definedName name="A_MCs">systemcode_constants!$D$138</definedName>
    <definedName name="A_MCu">systemcode_constants!$D$112</definedName>
    <definedName name="A_MDb">systemcode_constants!$D$188</definedName>
    <definedName name="A_MDs">systemcode_constants!$D$193</definedName>
    <definedName name="A_MDy">systemcode_constants!$D$149</definedName>
    <definedName name="A_MEr">systemcode_constants!$D$151</definedName>
    <definedName name="A_MEs">systemcode_constants!$D$182</definedName>
    <definedName name="A_MEu">systemcode_constants!$D$146</definedName>
    <definedName name="A_MF">systemcode_constants!$D$92</definedName>
    <definedName name="A_MFe">systemcode_constants!$D$109</definedName>
    <definedName name="A_MFl">systemcode_constants!$D$197</definedName>
    <definedName name="A_MFm">systemcode_constants!$D$183</definedName>
    <definedName name="A_MFr">systemcode_constants!$D$170</definedName>
    <definedName name="A_MGa">systemcode_constants!$D$114</definedName>
    <definedName name="A_MGd">systemcode_constants!$D$147</definedName>
    <definedName name="A_MGe">systemcode_constants!$D$115</definedName>
    <definedName name="A_MH">systemcode_constants!$D$84</definedName>
    <definedName name="A_MHe">systemcode_constants!$D$85</definedName>
    <definedName name="A_MHf">systemcode_constants!$D$155</definedName>
    <definedName name="A_MHg">systemcode_constants!$D$163</definedName>
    <definedName name="A_MHo">systemcode_constants!$D$150</definedName>
    <definedName name="A_MHs">systemcode_constants!$D$191</definedName>
    <definedName name="A_MI">systemcode_constants!$D$136</definedName>
    <definedName name="A_MIn">systemcode_constants!$D$132</definedName>
    <definedName name="A_MIr">systemcode_constants!$D$160</definedName>
    <definedName name="A_MK">systemcode_constants!$D$102</definedName>
    <definedName name="A_MKr">systemcode_constants!$D$119</definedName>
    <definedName name="A_MLa">systemcode_constants!$D$140</definedName>
    <definedName name="A_MLi">systemcode_constants!$D$86</definedName>
    <definedName name="A_MLr">systemcode_constants!$D$186</definedName>
    <definedName name="A_MLu">systemcode_constants!$D$154</definedName>
    <definedName name="A_MLv">systemcode_constants!$D$199</definedName>
    <definedName name="A_MMd">systemcode_constants!$D$184</definedName>
    <definedName name="A_MMg">systemcode_constants!$D$95</definedName>
    <definedName name="A_MMn">systemcode_constants!$D$108</definedName>
    <definedName name="A_MMo">systemcode_constants!$D$125</definedName>
    <definedName name="A_MMt">systemcode_constants!$D$192</definedName>
    <definedName name="A_MN">systemcode_constants!$D$90</definedName>
    <definedName name="A_MNa">systemcode_constants!$D$94</definedName>
    <definedName name="A_MNb">systemcode_constants!$D$124</definedName>
    <definedName name="A_MNd">systemcode_constants!$D$143</definedName>
    <definedName name="A_MNe">systemcode_constants!$D$93</definedName>
    <definedName name="A_MNi">systemcode_constants!$D$111</definedName>
    <definedName name="A_MNo">systemcode_constants!$D$185</definedName>
    <definedName name="A_MNp">systemcode_constants!$D$176</definedName>
    <definedName name="A_MO">systemcode_constants!$D$91</definedName>
    <definedName name="A_MOs">systemcode_constants!$D$159</definedName>
    <definedName name="A_MP">systemcode_constants!$D$98</definedName>
    <definedName name="A_MPa">systemcode_constants!$D$174</definedName>
    <definedName name="A_MPb">systemcode_constants!$D$165</definedName>
    <definedName name="A_MPd">systemcode_constants!$D$129</definedName>
    <definedName name="A_MPm">systemcode_constants!$D$144</definedName>
    <definedName name="A_MPo">systemcode_constants!$D$167</definedName>
    <definedName name="A_MPr">systemcode_constants!$D$142</definedName>
    <definedName name="A_MPt">systemcode_constants!$D$161</definedName>
    <definedName name="A_MPu">systemcode_constants!$D$177</definedName>
    <definedName name="A_MRa">systemcode_constants!$D$171</definedName>
    <definedName name="A_MRb">systemcode_constants!$D$120</definedName>
    <definedName name="A_MRe">systemcode_constants!$D$158</definedName>
    <definedName name="A_MRf">systemcode_constants!$D$187</definedName>
    <definedName name="A_MRg">systemcode_constants!$D$194</definedName>
    <definedName name="A_MRh">systemcode_constants!$D$128</definedName>
    <definedName name="A_MRn">systemcode_constants!$D$169</definedName>
    <definedName name="A_MRu">systemcode_constants!$D$127</definedName>
    <definedName name="A_MS">systemcode_constants!$D$99</definedName>
    <definedName name="A_MSb">systemcode_constants!$D$134</definedName>
    <definedName name="A_MSc">systemcode_constants!$D$104</definedName>
    <definedName name="A_MSe">systemcode_constants!$D$117</definedName>
    <definedName name="A_MSg">systemcode_constants!$D$189</definedName>
    <definedName name="A_MSi">systemcode_constants!$D$97</definedName>
    <definedName name="A_MSm">systemcode_constants!$D$145</definedName>
    <definedName name="A_MSn">systemcode_constants!$D$133</definedName>
    <definedName name="A_MSr">systemcode_constants!$D$121</definedName>
    <definedName name="A_MTa">systemcode_constants!$D$156</definedName>
    <definedName name="A_MTb">systemcode_constants!$D$148</definedName>
    <definedName name="A_MTc">systemcode_constants!$D$126</definedName>
    <definedName name="A_MTe">systemcode_constants!$D$135</definedName>
    <definedName name="A_MTh">systemcode_constants!$D$173</definedName>
    <definedName name="A_MTi">systemcode_constants!$D$105</definedName>
    <definedName name="A_MTl">systemcode_constants!$D$164</definedName>
    <definedName name="A_MTm">systemcode_constants!$D$152</definedName>
    <definedName name="A_MU">systemcode_constants!$D$175</definedName>
    <definedName name="A_MUuo">systemcode_constants!$D$201</definedName>
    <definedName name="A_MUup">systemcode_constants!$D$198</definedName>
    <definedName name="A_MUus">systemcode_constants!$D$200</definedName>
    <definedName name="A_MUut">systemcode_constants!$D$196</definedName>
    <definedName name="A_MV">systemcode_constants!$D$106</definedName>
    <definedName name="A_MW">systemcode_constants!$D$157</definedName>
    <definedName name="A_MXe">systemcode_constants!$D$137</definedName>
    <definedName name="A_MY">systemcode_constants!$D$122</definedName>
    <definedName name="A_MYb">systemcode_constants!$D$153</definedName>
    <definedName name="A_MZn">systemcode_constants!$D$113</definedName>
    <definedName name="A_MZr">systemcode_constants!$D$123</definedName>
    <definedName name="A_UR">'Calculated variables'!$E$65</definedName>
    <definedName name="b_ALGAE">Parameters!$D$42</definedName>
    <definedName name="b_ALGAE_T">'Calculated variables'!$E$182</definedName>
    <definedName name="b_AMETO">Parameters!$D$29</definedName>
    <definedName name="b_AMETO_T">'Calculated variables'!$E$178</definedName>
    <definedName name="B_H2O">systemcode_constants!$D$48</definedName>
    <definedName name="b_HMETO">Parameters!$D$37</definedName>
    <definedName name="b_HMETO_T">'Calculated variables'!$E$180</definedName>
    <definedName name="b_NITO">Parameters!$D$21</definedName>
    <definedName name="b_NITO_T">'Calculated variables'!$E$176</definedName>
    <definedName name="b_OHO">Parameters!$D$12</definedName>
    <definedName name="b_OHO_T">'Calculated variables'!$E$174</definedName>
    <definedName name="c_cm_m">systemcode_constants!$D$364</definedName>
    <definedName name="c_cm2_m2">systemcode_constants!$D$365</definedName>
    <definedName name="c_cm3_m3">systemcode_constants!$D$366</definedName>
    <definedName name="c_g_kg">systemcode_constants!$D$359</definedName>
    <definedName name="c_h_d">systemcode_constants!$D$353</definedName>
    <definedName name="C_H2O">systemcode_constants!$D$49</definedName>
    <definedName name="C_HNHx">'Calculated variables'!$E$167</definedName>
    <definedName name="C_HNO3">'Calculated variables'!$E$166</definedName>
    <definedName name="C_HPO4">'Calculated variables'!$E$168</definedName>
    <definedName name="c_kJ_MJ">systemcode_constants!$D$361</definedName>
    <definedName name="c_L_m3">systemcode_constants!$D$360</definedName>
    <definedName name="c_mg_g">systemcode_constants!$D$358</definedName>
    <definedName name="c_min_h">systemcode_constants!$D$352</definedName>
    <definedName name="c_ms_d">systemcode_constants!$D$354</definedName>
    <definedName name="c_ms_h">systemcode_constants!$D$355</definedName>
    <definedName name="c_ms_min">systemcode_constants!$D$356</definedName>
    <definedName name="c_ms_s">systemcode_constants!$D$357</definedName>
    <definedName name="c_oeffdamp_ALPHA">Parameters!$D$151</definedName>
    <definedName name="c_oefflead_TSS_α_mech">Parameters!$D$156</definedName>
    <definedName name="c_oefflin_TSS_α_mech">Parameters!$D$157</definedName>
    <definedName name="c_onstTSS_α_mech">Parameters!$D$158</definedName>
    <definedName name="c_orrh_diff_α">'Calculated variables'!$E$202</definedName>
    <definedName name="c_orrTSS_α">'Calculated variables'!$E$203</definedName>
    <definedName name="c_p_water">systemcode_constants!$D$72</definedName>
    <definedName name="c_Pa_bar">systemcode_constants!$D$363</definedName>
    <definedName name="c_Pa_Hgmm">systemcode_constants!$D$362</definedName>
    <definedName name="c_percent_fraction">systemcode_constants!$D$349</definedName>
    <definedName name="c_percent_Vconc">systemcode_constants!$D$348</definedName>
    <definedName name="c_ppm_Vconc">systemcode_constants!$D$347</definedName>
    <definedName name="c_s_d">systemcode_constants!$D$350</definedName>
    <definedName name="c_s_h">systemcode_constants!$D$351</definedName>
    <definedName name="conc_Hp_Ieq">systemcode_constants!$D$339</definedName>
    <definedName name="d_ampALPHA">'Calculated variables'!$E$201</definedName>
    <definedName name="D_CB">systemcode_constants!$D$444</definedName>
    <definedName name="D_CU">systemcode_constants!$D$445</definedName>
    <definedName name="D_eltaHbio">Parameters!$D$191</definedName>
    <definedName name="D_GCH4_25">systemcode_constants!$D$36</definedName>
    <definedName name="D_GCO2_25">systemcode_constants!$D$34</definedName>
    <definedName name="D_GH2_25">systemcode_constants!$D$35</definedName>
    <definedName name="D_GH2S_25">systemcode_constants!$D$39</definedName>
    <definedName name="D_GN2_25">systemcode_constants!$D$32</definedName>
    <definedName name="D_GN2O_25">systemcode_constants!$D$38</definedName>
    <definedName name="D_GNH3_25">systemcode_constants!$D$33</definedName>
    <definedName name="D_GNO_25">systemcode_constants!$D$37</definedName>
    <definedName name="D_GO2_25">systemcode_constants!$D$31</definedName>
    <definedName name="d_HCaCO3">systemcode_constants!$D$417</definedName>
    <definedName name="d_HCaH2PO4p">systemcode_constants!$D$421</definedName>
    <definedName name="d_HCaHCO3p">systemcode_constants!$D$418</definedName>
    <definedName name="d_HCaHPO4">systemcode_constants!$D$420</definedName>
    <definedName name="d_HCaOHp">systemcode_constants!$D$416</definedName>
    <definedName name="d_HCaPO4m">systemcode_constants!$D$419</definedName>
    <definedName name="d_Hdiss_CO2_1">systemcode_constants!$D$406</definedName>
    <definedName name="d_Hdiss_CO2_2">systemcode_constants!$D$407</definedName>
    <definedName name="d_Hdiss_H2O">systemcode_constants!$D$403</definedName>
    <definedName name="d_Hdiss_NO2">systemcode_constants!$D$405</definedName>
    <definedName name="d_Hdiss_PO4_1">systemcode_constants!$D$408</definedName>
    <definedName name="d_Hdiss_PO4_2">systemcode_constants!$D$409</definedName>
    <definedName name="d_Hdiss_PO4_3">systemcode_constants!$D$410</definedName>
    <definedName name="d_Hdiss_S_1">systemcode_constants!$D$412</definedName>
    <definedName name="d_Hdiss_S_2">systemcode_constants!$D$413</definedName>
    <definedName name="d_Hdiss_SO4_1">systemcode_constants!$D$414</definedName>
    <definedName name="d_Hdiss_SO4_2">systemcode_constants!$D$415</definedName>
    <definedName name="d_Hdiss_VFA">systemcode_constants!$D$411</definedName>
    <definedName name="d_Hion_amm">systemcode_constants!$D$404</definedName>
    <definedName name="d_HMgCO3">systemcode_constants!$D$423</definedName>
    <definedName name="d_HMgH2PO4p">systemcode_constants!$D$427</definedName>
    <definedName name="d_HMgHCO3p">systemcode_constants!$D$424</definedName>
    <definedName name="d_HMgHPO4">systemcode_constants!$D$425</definedName>
    <definedName name="d_HMgOHp">systemcode_constants!$D$422</definedName>
    <definedName name="d_HMgPO4m">systemcode_constants!$D$426</definedName>
    <definedName name="d_HNaHPO4m">systemcode_constants!$D$428</definedName>
    <definedName name="D_isplay_µALGAE_T">'Calculated variables'!$E$288</definedName>
    <definedName name="D_isplay_µAOB_T">'Calculated variables'!$E$270</definedName>
    <definedName name="D_isplay_BellinhpH_AOB">'Calculated variables'!$E$283</definedName>
    <definedName name="D_isplay_LightSwitch">'Calculated variables'!$E$291</definedName>
    <definedName name="D_isplay_LogsatpHCO2_AOB">'Calculated variables'!$E$273</definedName>
    <definedName name="D_isplay_MinhpHHNO2_AOB">'Calculated variables'!$E$281</definedName>
    <definedName name="D_isplay_MinhpHNH3_NITO">'Calculated variables'!$E$282</definedName>
    <definedName name="D_isplay_MinhSNHx_KiNHx_ALGAE">'Calculated variables'!$E$293</definedName>
    <definedName name="D_isplay_MsatSALK_KALK">'Calculated variables'!$E$284</definedName>
    <definedName name="D_isplay_MsatSAN_KAN">'Calculated variables'!$E$277</definedName>
    <definedName name="D_isplay_MsatSCa_KCa">'Calculated variables'!$E$278</definedName>
    <definedName name="D_isplay_MsatSCAT_KCAT">'Calculated variables'!$E$276</definedName>
    <definedName name="D_isplay_MsatSCO2_KCO2_ALGAE">'Calculated variables'!$E$290</definedName>
    <definedName name="D_isplay_MsatSMg_KMg">'Calculated variables'!$E$279</definedName>
    <definedName name="D_isplay_MsatSNHx_KNHx_ALGAE">'Calculated variables'!$E$294</definedName>
    <definedName name="D_isplay_MsatSNHx_KNHx_AOB">'Calculated variables'!$E$272</definedName>
    <definedName name="D_isplay_MsatSNOx_KNOx_ALGAE">'Calculated variables'!$E$292</definedName>
    <definedName name="D_isplay_MsatSO2_KO2_AOB">'Calculated variables'!$E$274</definedName>
    <definedName name="D_isplay_MsatSPO4_KPO4_BIO">'Calculated variables'!$E$275</definedName>
    <definedName name="D_isplay_MsatSSO4_KSO4_BIO">'Calculated variables'!$E$280</definedName>
    <definedName name="D_isplay_XALGAE">'Calculated variables'!$E$289</definedName>
    <definedName name="D_isplay_XAOB">'Calculated variables'!$E$271</definedName>
    <definedName name="D_NBS">systemcode_constants!$D$454</definedName>
    <definedName name="D_NH3">systemcode_constants!$D$449</definedName>
    <definedName name="D_NO3">systemcode_constants!$D$450</definedName>
    <definedName name="D_NUS">systemcode_constants!$D$453</definedName>
    <definedName name="D_PO4">systemcode_constants!$D$451</definedName>
    <definedName name="D_SA">systemcode_constants!$D$433</definedName>
    <definedName name="D_SALK">systemcode_constants!$D$476</definedName>
    <definedName name="D_SAN">systemcode_constants!$D$472</definedName>
    <definedName name="D_SB">systemcode_constants!$D$435</definedName>
    <definedName name="D_SB_mono">systemcode_constants!$D$436</definedName>
    <definedName name="D_SB_poly">systemcode_constants!$D$437</definedName>
    <definedName name="D_SBSA">systemcode_constants!$D$434</definedName>
    <definedName name="D_SBSC">systemcode_constants!$D$440</definedName>
    <definedName name="D_SCa">systemcode_constants!$D$469</definedName>
    <definedName name="D_SCAT">systemcode_constants!$D$471</definedName>
    <definedName name="D_SCH4">systemcode_constants!$D$465</definedName>
    <definedName name="D_SCO2">systemcode_constants!$D$467</definedName>
    <definedName name="D_SF">systemcode_constants!$D$439</definedName>
    <definedName name="D_SFe2">systemcode_constants!$D$475</definedName>
    <definedName name="D_SH2">systemcode_constants!$D$466</definedName>
    <definedName name="D_SH2S">systemcode_constants!$D$473</definedName>
    <definedName name="D_SI">systemcode_constants!$D$443</definedName>
    <definedName name="D_SK">systemcode_constants!$D$468</definedName>
    <definedName name="D_SMEOL">systemcode_constants!$D$441</definedName>
    <definedName name="D_SMg">systemcode_constants!$D$470</definedName>
    <definedName name="D_SMM_index">systemcode_constants!$D$477</definedName>
    <definedName name="D_SN_B">systemcode_constants!$D$459</definedName>
    <definedName name="D_SN2">systemcode_constants!$D$452</definedName>
    <definedName name="D_SND">systemcode_constants!$D$460</definedName>
    <definedName name="D_SNH">systemcode_constants!$D$448</definedName>
    <definedName name="D_SNH4">systemcode_constants!$D$447</definedName>
    <definedName name="D_SNHx">systemcode_constants!$D$446</definedName>
    <definedName name="D_SNO2">systemcode_constants!$D$457</definedName>
    <definedName name="D_SNO3">systemcode_constants!$D$458</definedName>
    <definedName name="D_SNOx">systemcode_constants!$D$456</definedName>
    <definedName name="D_SO2">systemcode_constants!$D$464</definedName>
    <definedName name="D_SP_B">systemcode_constants!$D$463</definedName>
    <definedName name="D_SPO">systemcode_constants!$D$462</definedName>
    <definedName name="D_SPO4">systemcode_constants!$D$461</definedName>
    <definedName name="D_SS">systemcode_constants!$D$438</definedName>
    <definedName name="D_SSO4">systemcode_constants!$D$474</definedName>
    <definedName name="D_SU">systemcode_constants!$D$442</definedName>
    <definedName name="D_SUS">systemcode_constants!$D$455</definedName>
    <definedName name="D_SVFA">systemcode_constants!$D$432</definedName>
    <definedName name="E_EQFe2">systemcode_constants!$D$324</definedName>
    <definedName name="E_EQH2S">systemcode_constants!$D$326</definedName>
    <definedName name="E_EQN2">systemcode_constants!$D$313</definedName>
    <definedName name="E_EQN2_N2O">systemcode_constants!$D$322</definedName>
    <definedName name="E_EQN2_NO2">systemcode_constants!$D$319</definedName>
    <definedName name="E_EQN2_NO3">systemcode_constants!$D$323</definedName>
    <definedName name="E_EQN2O">systemcode_constants!$D$314</definedName>
    <definedName name="E_EQN2O_NO">systemcode_constants!$D$321</definedName>
    <definedName name="E_EQNO">systemcode_constants!$D$315</definedName>
    <definedName name="E_EQNO_NO2">systemcode_constants!$D$320</definedName>
    <definedName name="E_EQNO2">systemcode_constants!$D$316</definedName>
    <definedName name="E_EQNO2_NO3">systemcode_constants!$D$318</definedName>
    <definedName name="E_EQNO3">systemcode_constants!$D$317</definedName>
    <definedName name="E_EQS">systemcode_constants!$D$325</definedName>
    <definedName name="e_rrorNHx_NOx">'Calculated variables'!$E$43</definedName>
    <definedName name="F__">systemcode_constants!$D$70</definedName>
    <definedName name="f_Ar_air">systemcode_constants!$D$58</definedName>
    <definedName name="f_bw_floc">'Calculated variables'!$E$45</definedName>
    <definedName name="f_CO2_air">systemcode_constants!$D$59</definedName>
    <definedName name="f_di_IS_an">systemcode_constants!$D$333</definedName>
    <definedName name="f_di_IS_cat">systemcode_constants!$D$332</definedName>
    <definedName name="f_E">Parameters!$D$115</definedName>
    <definedName name="f_H2">Parameters!$D$114</definedName>
    <definedName name="f_H2O_AlOH_TSS">Parameters!$D$127</definedName>
    <definedName name="f_H2O_AlOH_VSS">Parameters!$D$128</definedName>
    <definedName name="f_H2O_FeOH_TSS">Parameters!$D$124</definedName>
    <definedName name="f_H2O_FeOH_VSS">Parameters!$D$125</definedName>
    <definedName name="f_kL_GCH4">Parameters!$D$145</definedName>
    <definedName name="f_kL_GH2">Parameters!$D$146</definedName>
    <definedName name="f_kL_GN2">Parameters!$D$144</definedName>
    <definedName name="f_KS">'other parameters'!$D$8</definedName>
    <definedName name="f_KS_biofilm">Parameters!$D$82</definedName>
    <definedName name="f_mono_IS_an">systemcode_constants!$D$331</definedName>
    <definedName name="f_mono_IS_cat">systemcode_constants!$D$330</definedName>
    <definedName name="f_N2_air">systemcode_constants!$D$57</definedName>
    <definedName name="f_O2_air">systemcode_constants!$D$56</definedName>
    <definedName name="f_O2_max_ALPHA">Parameters!$D$150</definedName>
    <definedName name="f_P_Al">Parameters!$D$126</definedName>
    <definedName name="f_P_Fe">Parameters!$D$123</definedName>
    <definedName name="f_S_BOD5_BODult">Parameters!$D$136</definedName>
    <definedName name="f_tri_IS_an">systemcode_constants!$D$335</definedName>
    <definedName name="f_tri_IS_cat">systemcode_constants!$D$334</definedName>
    <definedName name="f_X_BOD5_BODult">Parameters!$D$137</definedName>
    <definedName name="G_CH4">Components!$E$36</definedName>
    <definedName name="G_CH4_atm">Components!$E$40</definedName>
    <definedName name="g_grav">systemcode_constants!$D$71</definedName>
    <definedName name="G_H2">Components!$E$37</definedName>
    <definedName name="G_H2_atm">Components!$E$41</definedName>
    <definedName name="G_N2">Components!$E$39</definedName>
    <definedName name="G_N2_atm">Components!$E$43</definedName>
    <definedName name="G_O2">Components!$E$38</definedName>
    <definedName name="G_O2_atm">Components!$E$42</definedName>
    <definedName name="H_Acm">systemcode_constants!$D$386</definedName>
    <definedName name="H_Ca2p">systemcode_constants!$D$393</definedName>
    <definedName name="H_CO32m">systemcode_constants!$D$380</definedName>
    <definedName name="h_diff">'other parameters'!$D$12</definedName>
    <definedName name="H_enryGCH4_25">systemcode_constants!$D$22</definedName>
    <definedName name="H_enryGCH4_dt">systemcode_constants!$D$23</definedName>
    <definedName name="H_enryGCO2_25">systemcode_constants!$D$12</definedName>
    <definedName name="H_enryGCO2_dt">systemcode_constants!$D$13</definedName>
    <definedName name="H_enryGH2_25">systemcode_constants!$D$20</definedName>
    <definedName name="H_enryGH2_dt">systemcode_constants!$D$21</definedName>
    <definedName name="H_enryGH2S_25">systemcode_constants!$D$26</definedName>
    <definedName name="H_enryGH2S_dt">systemcode_constants!$D$27</definedName>
    <definedName name="H_enryGN2_25">systemcode_constants!$D$18</definedName>
    <definedName name="H_enryGN2_dt">systemcode_constants!$D$19</definedName>
    <definedName name="H_enryGN2O_25">systemcode_constants!$D$16</definedName>
    <definedName name="H_enryGN2O_dt">systemcode_constants!$D$17</definedName>
    <definedName name="H_enryGNH3_25">systemcode_constants!$D$24</definedName>
    <definedName name="H_enryGNH3_dt">systemcode_constants!$D$25</definedName>
    <definedName name="H_enryGNO_25">systemcode_constants!$D$14</definedName>
    <definedName name="H_enryGNO_dt">systemcode_constants!$D$15</definedName>
    <definedName name="H_enryGO2_25">systemcode_constants!$D$10</definedName>
    <definedName name="H_enryGO2_dt">systemcode_constants!$D$11</definedName>
    <definedName name="H_H2CO3">systemcode_constants!$D$378</definedName>
    <definedName name="H_H2O">systemcode_constants!$D$399</definedName>
    <definedName name="H_H2PO4m">systemcode_constants!$D$382</definedName>
    <definedName name="H_H2S">systemcode_constants!$D$387</definedName>
    <definedName name="H_H2SO4">systemcode_constants!$D$390</definedName>
    <definedName name="H_H3Op">systemcode_constants!$D$371</definedName>
    <definedName name="H_H3PO4">systemcode_constants!$D$381</definedName>
    <definedName name="H_HAc">systemcode_constants!$D$385</definedName>
    <definedName name="H_HCO3m">systemcode_constants!$D$379</definedName>
    <definedName name="H_HNO2">systemcode_constants!$D$375</definedName>
    <definedName name="H_Hp">systemcode_constants!$D$370</definedName>
    <definedName name="H_HPO42m">systemcode_constants!$D$383</definedName>
    <definedName name="H_HSm">systemcode_constants!$D$388</definedName>
    <definedName name="H_HSO4m">systemcode_constants!$D$391</definedName>
    <definedName name="H_Mg2p">systemcode_constants!$D$394</definedName>
    <definedName name="H_Nap">systemcode_constants!$D$395</definedName>
    <definedName name="H_NH3">systemcode_constants!$D$373</definedName>
    <definedName name="H_NH4p">systemcode_constants!$D$374</definedName>
    <definedName name="H_NO2m">systemcode_constants!$D$376</definedName>
    <definedName name="H_NO3m">systemcode_constants!$D$377</definedName>
    <definedName name="H_null">systemcode_constants!$D$6</definedName>
    <definedName name="H_OHm">systemcode_constants!$D$372</definedName>
    <definedName name="H_PO43m">systemcode_constants!$D$384</definedName>
    <definedName name="H_S2m">systemcode_constants!$D$389</definedName>
    <definedName name="H_SO42m">systemcode_constants!$D$392</definedName>
    <definedName name="H_STP">systemcode_constants!$D$76</definedName>
    <definedName name="i_CV_BIO">Parameters!$D$129</definedName>
    <definedName name="i_CV_SB">Parameters!$D$132</definedName>
    <definedName name="i_CV_SU">Parameters!$D$133</definedName>
    <definedName name="i_CV_XB">Parameters!$D$130</definedName>
    <definedName name="i_CV_XE">Parameters!$D$134</definedName>
    <definedName name="i_CV_XU">Parameters!$D$131</definedName>
    <definedName name="i_iw_BIO">Parameters!$D$171</definedName>
    <definedName name="i_N_ALGAE">Parameters!$D$117</definedName>
    <definedName name="i_N_BIO">Parameters!$D$116</definedName>
    <definedName name="i_N_SU">Parameters!$D$119</definedName>
    <definedName name="i_N_XE">Parameters!$D$118</definedName>
    <definedName name="i_N_XU">Parameters!$D$120</definedName>
    <definedName name="i_P_ALGAE">Parameters!$D$122</definedName>
    <definedName name="i_P_BIO">Parameters!$D$121</definedName>
    <definedName name="i_vw_BIO">Parameters!$D$177</definedName>
    <definedName name="i_vw_EPS">Parameters!$D$179</definedName>
    <definedName name="i_vw_XB">Parameters!$D$175</definedName>
    <definedName name="i_vw_XE">Parameters!$D$178</definedName>
    <definedName name="i_vw_XU">Parameters!$D$176</definedName>
    <definedName name="i_wh_BIO">Parameters!$D$185</definedName>
    <definedName name="i_wh_EPS">Parameters!$D$187</definedName>
    <definedName name="i_wh_XB">Parameters!$D$183</definedName>
    <definedName name="i_wh_XE">Parameters!$D$186</definedName>
    <definedName name="i_wh_XU">Parameters!$D$184</definedName>
    <definedName name="J_photosynt_solar">'other parameters'!$D$82</definedName>
    <definedName name="J_photosynt_solar_opt">'other parameters'!$D$83</definedName>
    <definedName name="K_Ac_param">systemcode_constants!$D$294</definedName>
    <definedName name="K_ALK">'Calculated variables'!$E$116</definedName>
    <definedName name="K_ALK_AS">Parameters!$D$52</definedName>
    <definedName name="K_C1_param">systemcode_constants!$D$289</definedName>
    <definedName name="K_C2_param">systemcode_constants!$D$290</definedName>
    <definedName name="K_H2_HMETO">'Calculated variables'!$E$103</definedName>
    <definedName name="K_H2_HMETO_AS">Parameters!$D$34</definedName>
    <definedName name="K_H2S_param">systemcode_constants!$D$299</definedName>
    <definedName name="K_HYD">'Calculated variables'!$E$118</definedName>
    <definedName name="K_HYD_AS">Parameters!$D$60</definedName>
    <definedName name="K_iNHx_ALGAE">Parameters!$D$46</definedName>
    <definedName name="K_iNHx_ASSIM">'Calculated variables'!$E$120</definedName>
    <definedName name="K_iNHx_ASSIM_AS">Parameters!$D$69</definedName>
    <definedName name="K_iO2_AMETO">'Calculated variables'!$E$96</definedName>
    <definedName name="K_iO2_AMETO_AS">Parameters!$D$27</definedName>
    <definedName name="K_iO2_HMETO">'Calculated variables'!$E$105</definedName>
    <definedName name="K_iO2_HMETO_AS">Parameters!$D$35</definedName>
    <definedName name="k_L_GCH4_bub">'Calculated variables'!$E$192</definedName>
    <definedName name="k_L_GCH4_sur">'Calculated variables'!$E$195</definedName>
    <definedName name="k_L_GH2_bub">'Calculated variables'!$E$193</definedName>
    <definedName name="k_L_GH2_sur">'Calculated variables'!$E$196</definedName>
    <definedName name="k_L_GN2_bub">'Calculated variables'!$E$191</definedName>
    <definedName name="k_L_GN2_sur">'Calculated variables'!$E$194</definedName>
    <definedName name="k_L_GO2_bub">Parameters!$D$141</definedName>
    <definedName name="k_L_GO2_PondSurface">Parameters!$D$143</definedName>
    <definedName name="k_L_GO2_sur">Parameters!$D$142</definedName>
    <definedName name="k_LaGCH4_bub">'other parameters'!$D$16</definedName>
    <definedName name="k_LaGCH4_sur">'other parameters'!$D$33</definedName>
    <definedName name="k_LaGCO2_bub">'other parameters'!$D$15</definedName>
    <definedName name="k_LaGCO2_sur">'other parameters'!$D$32</definedName>
    <definedName name="k_LaGH2_bub">'other parameters'!$D$17</definedName>
    <definedName name="k_LaGH2_sur">'other parameters'!$D$34</definedName>
    <definedName name="k_LaGH2S_bub">'other parameters'!$D$13</definedName>
    <definedName name="k_LaGH2S_sur">'other parameters'!$D$30</definedName>
    <definedName name="k_LaGN2_bub">'other parameters'!$D$19</definedName>
    <definedName name="k_LaGN2_sur">'other parameters'!$D$36</definedName>
    <definedName name="k_LaGNH3_bub">'other parameters'!$D$18</definedName>
    <definedName name="k_LaGNH3_sur">'other parameters'!$D$35</definedName>
    <definedName name="k_LaGO2_bub">'other parameters'!$D$14</definedName>
    <definedName name="k_LaGO2_sur">'other parameters'!$D$31</definedName>
    <definedName name="K_NH3_param">systemcode_constants!$D$287</definedName>
    <definedName name="K_NHx_ALGAE">Parameters!$D$45</definedName>
    <definedName name="K_NHx_BIO">'Calculated variables'!$E$112</definedName>
    <definedName name="K_NHx_BIO_AS">Parameters!$D$50</definedName>
    <definedName name="K_NHx_NITO">'Calculated variables'!$E$85</definedName>
    <definedName name="K_NHx_NITO_AS">Parameters!$D$18</definedName>
    <definedName name="K_NO2_param">systemcode_constants!$D$288</definedName>
    <definedName name="K_NOx_ALGAE">Parameters!$D$43</definedName>
    <definedName name="K_NOx_AMETO">'Calculated variables'!$E$98</definedName>
    <definedName name="K_NOx_AMETO_AS">Parameters!$D$28</definedName>
    <definedName name="K_NOx_ASSIM">'Calculated variables'!$E$122</definedName>
    <definedName name="K_NOx_ASSIM_AS">Parameters!$D$70</definedName>
    <definedName name="K_NOx_HMETO">'Calculated variables'!$E$107</definedName>
    <definedName name="K_NOx_HMETO_AS">Parameters!$D$36</definedName>
    <definedName name="K_NOx_NITO">'Calculated variables'!$E$89</definedName>
    <definedName name="K_NOx_NITO_AS">Parameters!$D$20</definedName>
    <definedName name="K_NOx_OHO">'Calculated variables'!$E$80</definedName>
    <definedName name="K_NOx_OHO_AS">Parameters!$D$10</definedName>
    <definedName name="K_O2_ALGAE">Parameters!$D$44</definedName>
    <definedName name="K_O2_ALPHA">Parameters!$D$149</definedName>
    <definedName name="K_O2_NITO">'Calculated variables'!$E$87</definedName>
    <definedName name="K_O2_NITO_AS">Parameters!$D$19</definedName>
    <definedName name="K_O2_OHO">'Calculated variables'!$E$78</definedName>
    <definedName name="K_O2_OHO_AS">Parameters!$D$9</definedName>
    <definedName name="K_OC_PFOA_EQ">Parameters!$D$77</definedName>
    <definedName name="K_OC_PFOS_EQ">Parameters!$D$78</definedName>
    <definedName name="K_ORP_ana">Parameters!$D$167</definedName>
    <definedName name="K_ORP_SNOx">Parameters!$D$166</definedName>
    <definedName name="K_ORP_SO2">Parameters!$D$165</definedName>
    <definedName name="K_P1_param">systemcode_constants!$D$291</definedName>
    <definedName name="K_P2_param">systemcode_constants!$D$292</definedName>
    <definedName name="K_P3_param">systemcode_constants!$D$293</definedName>
    <definedName name="K_PO4_BIO">'Calculated variables'!$E$114</definedName>
    <definedName name="K_PO4_BIO_AS">Parameters!$D$51</definedName>
    <definedName name="K_S1_param">systemcode_constants!$D$295</definedName>
    <definedName name="K_S2_param">systemcode_constants!$D$296</definedName>
    <definedName name="K_SB">'Calculated variables'!$E$76</definedName>
    <definedName name="K_SB_AS">Parameters!$D$8</definedName>
    <definedName name="K_SO41_param">systemcode_constants!$D$297</definedName>
    <definedName name="K_SO42_param">systemcode_constants!$D$298</definedName>
    <definedName name="K_sp_ACP_param">systemcode_constants!$D$305</definedName>
    <definedName name="K_sp_CaCO3_param">systemcode_constants!$D$303</definedName>
    <definedName name="K_sp_FeS_param">systemcode_constants!$D$307</definedName>
    <definedName name="K_sp_HDP_param">systemcode_constants!$D$308</definedName>
    <definedName name="K_sp_MKP_param">systemcode_constants!$D$309</definedName>
    <definedName name="K_sp_STR_param">systemcode_constants!$D$304</definedName>
    <definedName name="K_sp_Vivi_param">systemcode_constants!$D$306</definedName>
    <definedName name="K_VFA_AMETO">'Calculated variables'!$E$94</definedName>
    <definedName name="K_VFA_AMETO_AS">Parameters!$D$26</definedName>
    <definedName name="K_W_param">systemcode_constants!$D$286</definedName>
    <definedName name="K_XB_HYD">Parameters!$D$63</definedName>
    <definedName name="K_XTSS_lightextinction">'other parameters'!$D$84</definedName>
    <definedName name="K_XU">Parameters!$D$67</definedName>
    <definedName name="L_ightSwitch">'Calculated variables'!$E$59</definedName>
    <definedName name="L_oginhXHET_HYD_lim">'Calculated variables'!$E$147</definedName>
    <definedName name="L_ograngeXHET_HYD_lim">Parameters!$D$62</definedName>
    <definedName name="L_ogsatXHET_HYD_lim">'Calculated variables'!$E$146</definedName>
    <definedName name="L_ogslopeXHET_HYD_lim">'Calculated variables'!$E$145</definedName>
    <definedName name="M_inhSNHx_KiNHx_ALGAE">'Calculated variables'!$E$161</definedName>
    <definedName name="M_inhSNHx_KiNHx_ASSIM">'Calculated variables'!$E$148</definedName>
    <definedName name="M_inhSNOx_KNOx_AMETO">'Calculated variables'!$E$154</definedName>
    <definedName name="M_inhSNOx_KNOx_HMETO">'Calculated variables'!$E$156</definedName>
    <definedName name="M_inhSNOx_KNOx_NITO">'Calculated variables'!$E$149</definedName>
    <definedName name="M_inhSNOx_KNOx_OHO">'Calculated variables'!$E$151</definedName>
    <definedName name="M_inhSO2_KiO2_AMETO">'Calculated variables'!$E$153</definedName>
    <definedName name="M_inhSO2_KiO2_HMETO">'Calculated variables'!$E$155</definedName>
    <definedName name="M_inhSO2_KO2_ALGAE">'Calculated variables'!$E$159</definedName>
    <definedName name="M_inhSO2_KO2_NITO">'Calculated variables'!$E$152</definedName>
    <definedName name="M_inhSO2_KO2_OHO">'Calculated variables'!$E$150</definedName>
    <definedName name="M_MACP">systemcode_constants!$D$242</definedName>
    <definedName name="M_Mair">systemcode_constants!$D$205</definedName>
    <definedName name="M_MAlOH3">systemcode_constants!$D$227</definedName>
    <definedName name="M_MAlPO4">systemcode_constants!$D$228</definedName>
    <definedName name="M_MCaCO3">systemcode_constants!$D$241</definedName>
    <definedName name="M_MCaH2PO4">systemcode_constants!$D$257</definedName>
    <definedName name="M_MCaHCO3">systemcode_constants!$D$254</definedName>
    <definedName name="M_MCaHPO4">systemcode_constants!$D$256</definedName>
    <definedName name="M_MCaOH">systemcode_constants!$D$253</definedName>
    <definedName name="M_MCaPO4">systemcode_constants!$D$255</definedName>
    <definedName name="M_MCH3COOH">systemcode_constants!$D$240</definedName>
    <definedName name="M_MCH3OH">systemcode_constants!$D$239</definedName>
    <definedName name="M_MCO2">systemcode_constants!$D$230</definedName>
    <definedName name="M_MCO3">systemcode_constants!$D$231</definedName>
    <definedName name="M_MEQ_GCH4">systemcode_constants!$D$280</definedName>
    <definedName name="M_MEQ_GCO2">systemcode_constants!$D$278</definedName>
    <definedName name="M_MEQ_GH2">systemcode_constants!$D$281</definedName>
    <definedName name="M_MEQ_GH2S">systemcode_constants!$D$282</definedName>
    <definedName name="M_MEQ_GN2">systemcode_constants!$D$274</definedName>
    <definedName name="M_MEQ_GN2O">systemcode_constants!$D$277</definedName>
    <definedName name="M_MEQ_GNH3">systemcode_constants!$D$275</definedName>
    <definedName name="M_MEQ_GNO">systemcode_constants!$D$276</definedName>
    <definedName name="M_MEQ_GO2">systemcode_constants!$D$279</definedName>
    <definedName name="M_MFe2O3">systemcode_constants!$D$225</definedName>
    <definedName name="M_MFeCl2">systemcode_constants!$D$248</definedName>
    <definedName name="M_MFeCl3">systemcode_constants!$D$247</definedName>
    <definedName name="M_MFeOH3">systemcode_constants!$D$226</definedName>
    <definedName name="M_MFeS">systemcode_constants!$D$246</definedName>
    <definedName name="M_MFeSO4">systemcode_constants!$D$249</definedName>
    <definedName name="M_MGCH4">systemcode_constants!$D$207</definedName>
    <definedName name="M_MGCO2">systemcode_constants!$D$208</definedName>
    <definedName name="M_MGH2">systemcode_constants!$D$206</definedName>
    <definedName name="M_MGH2S">systemcode_constants!$D$214</definedName>
    <definedName name="M_MGN2">systemcode_constants!$D$210</definedName>
    <definedName name="M_MGN2O">systemcode_constants!$D$213</definedName>
    <definedName name="M_MGNH3">systemcode_constants!$D$209</definedName>
    <definedName name="M_MGNO">systemcode_constants!$D$212</definedName>
    <definedName name="M_MGO2">systemcode_constants!$D$211</definedName>
    <definedName name="M_MH2CO3">systemcode_constants!$D$233</definedName>
    <definedName name="M_MH2O">systemcode_constants!$D$218</definedName>
    <definedName name="M_MH2S">systemcode_constants!$D$237</definedName>
    <definedName name="M_MH2SO4">systemcode_constants!$D$236</definedName>
    <definedName name="M_MHAP">systemcode_constants!$D$252</definedName>
    <definedName name="M_MHCl">systemcode_constants!$D$238</definedName>
    <definedName name="M_MHCO3">systemcode_constants!$D$232</definedName>
    <definedName name="M_MHDP">systemcode_constants!$D$251</definedName>
    <definedName name="M_MHSO4">systemcode_constants!$D$235</definedName>
    <definedName name="M_MMgCO3">systemcode_constants!$D$260</definedName>
    <definedName name="M_MMgH2PO4">systemcode_constants!$D$264</definedName>
    <definedName name="M_MMgHCO3">systemcode_constants!$D$261</definedName>
    <definedName name="M_MMgHPO4">systemcode_constants!$D$262</definedName>
    <definedName name="M_MMgOH">systemcode_constants!$D$258</definedName>
    <definedName name="M_MMgOH2">systemcode_constants!$D$259</definedName>
    <definedName name="M_MMgPO4">systemcode_constants!$D$263</definedName>
    <definedName name="M_MMKP">systemcode_constants!$D$244</definedName>
    <definedName name="M_MMMC">systemcode_constants!$D$270</definedName>
    <definedName name="M_MN2">systemcode_constants!$D$220</definedName>
    <definedName name="M_MNa2CO3">systemcode_constants!$D$268</definedName>
    <definedName name="M_MNaCl">systemcode_constants!$D$266</definedName>
    <definedName name="M_MNaHCO3">systemcode_constants!$D$269</definedName>
    <definedName name="M_MNaHPO4">systemcode_constants!$D$265</definedName>
    <definedName name="M_MNaOH">systemcode_constants!$D$267</definedName>
    <definedName name="M_MNH3">systemcode_constants!$D$221</definedName>
    <definedName name="M_MNH4">systemcode_constants!$D$222</definedName>
    <definedName name="M_MNO2">systemcode_constants!$D$223</definedName>
    <definedName name="M_MNO3">systemcode_constants!$D$224</definedName>
    <definedName name="M_MO2">systemcode_constants!$D$219</definedName>
    <definedName name="M_MPO4">systemcode_constants!$D$229</definedName>
    <definedName name="M_MSiO2">systemcode_constants!$D$250</definedName>
    <definedName name="M_MSO4">systemcode_constants!$D$234</definedName>
    <definedName name="M_MSTR">systemcode_constants!$D$243</definedName>
    <definedName name="M_MVivi">systemcode_constants!$D$245</definedName>
    <definedName name="M_RsatXB_XHET_KHYD">'Calculated variables'!$E$143</definedName>
    <definedName name="M_satSALK_KALK">'Calculated variables'!$E$132</definedName>
    <definedName name="M_satSB_KSB">'Calculated variables'!$E$127</definedName>
    <definedName name="M_satSB_KVFA_AMETO">'Calculated variables'!$E$136</definedName>
    <definedName name="M_satSH2_KH2_HMETO">'Calculated variables'!$E$139</definedName>
    <definedName name="M_satSNHx_KNHx_ALGAE">'Calculated variables'!$E$160</definedName>
    <definedName name="M_satSNHx_KNHx_BIO">'Calculated variables'!$E$129</definedName>
    <definedName name="M_satSNHx_KNHx_NITO">'Calculated variables'!$E$134</definedName>
    <definedName name="M_satSNOx_KNOx_ALGAE">'Calculated variables'!$E$157</definedName>
    <definedName name="M_satSNOx_KNOx_AMETO">'Calculated variables'!$E$138</definedName>
    <definedName name="M_satSNOx_KNOx_ASSIM">'Calculated variables'!$E$142</definedName>
    <definedName name="M_satSNOx_KNOx_HMETO">'Calculated variables'!$E$141</definedName>
    <definedName name="M_satSNOx_KNOx_NITO">'Calculated variables'!$E$135</definedName>
    <definedName name="M_satSNOx_KNOx_OHO">'Calculated variables'!$E$131</definedName>
    <definedName name="M_satSO2_KiO2_AMETO">'Calculated variables'!$E$137</definedName>
    <definedName name="M_satSO2_KiO2_HMETO">'Calculated variables'!$E$140</definedName>
    <definedName name="M_satSO2_KO2_ALGAE">'Calculated variables'!$E$158</definedName>
    <definedName name="M_satSO2_KO2_NITO">'Calculated variables'!$E$133</definedName>
    <definedName name="M_satSO2_KO2_OHO">'Calculated variables'!$E$128</definedName>
    <definedName name="M_satSPO4_KPO4_BIO">'Calculated variables'!$E$130</definedName>
    <definedName name="M_satXB_KXB_HYD">'Calculated variables'!$E$144</definedName>
    <definedName name="M_satXU_KXU">'Calculated variables'!$E$162</definedName>
    <definedName name="m_tox_ana">'Calculated variables'!$E$72</definedName>
    <definedName name="m_tox_ana_max">Parameters!$D$55</definedName>
    <definedName name="N_UR">'Calculated variables'!$E$64</definedName>
    <definedName name="O_RP">'Calculated variables'!$E$55</definedName>
    <definedName name="O_RPana">'Calculated variables'!$E$54</definedName>
    <definedName name="O_RPbase">Parameters!$D$162</definedName>
    <definedName name="O_RPmax_SNOx">Parameters!$D$164</definedName>
    <definedName name="O_RPmax_SO2">Parameters!$D$163</definedName>
    <definedName name="O_RPNOx">'Calculated variables'!$E$52</definedName>
    <definedName name="O_RPO2">'Calculated variables'!$E$51</definedName>
    <definedName name="O_UR">'Calculated variables'!$E$63</definedName>
    <definedName name="p_i">systemcode_constants!$D$80</definedName>
    <definedName name="p_N">systemcode_constants!$D$62</definedName>
    <definedName name="p_owdamp_ALPHA">Parameters!$D$152</definedName>
    <definedName name="p_St">systemcode_constants!$D$5</definedName>
    <definedName name="p_STP">systemcode_constants!$D$61</definedName>
    <definedName name="q_AlOH_DISSOL">Parameters!$D$74</definedName>
    <definedName name="q_AlOH_PREC">Parameters!$D$73</definedName>
    <definedName name="q_ALPHA">Parameters!$D$147</definedName>
    <definedName name="q_ALPHA_O2">'Calculated variables'!$E$200</definedName>
    <definedName name="q_AMMON">Parameters!$D$64</definedName>
    <definedName name="q_AMMON_T">'Calculated variables'!$E$184</definedName>
    <definedName name="q_ASSIM">Parameters!$D$68</definedName>
    <definedName name="q_ASSIM_T">'Calculated variables'!$E$187</definedName>
    <definedName name="q_FeOH_DISSOL">Parameters!$D$72</definedName>
    <definedName name="q_FeOH_PREC">Parameters!$D$71</definedName>
    <definedName name="q_HYD">Parameters!$D$59</definedName>
    <definedName name="q_HYD_T">'Calculated variables'!$E$183</definedName>
    <definedName name="q_PFOA_SORP">Parameters!$D$75</definedName>
    <definedName name="q_PFOS_SORP">Parameters!$D$76</definedName>
    <definedName name="q_XE">Parameters!$D$65</definedName>
    <definedName name="q_XE_T">'Calculated variables'!$E$185</definedName>
    <definedName name="q_XU">Parameters!$D$66</definedName>
    <definedName name="q_XU_T">'Calculated variables'!$E$186</definedName>
    <definedName name="R__">systemcode_constants!$D$66</definedName>
    <definedName name="r_1">Model!$AS$52</definedName>
    <definedName name="r_10">Model!$AS$61</definedName>
    <definedName name="r_11">Model!$AS$62</definedName>
    <definedName name="r_12">Model!$AS$63</definedName>
    <definedName name="r_13">Model!$AS$64</definedName>
    <definedName name="r_14">Model!$AS$65</definedName>
    <definedName name="r_15">Model!$AS$66</definedName>
    <definedName name="r_16">Model!$AS$67</definedName>
    <definedName name="r_17">Model!$AS$68</definedName>
    <definedName name="r_18">Model!$AS$69</definedName>
    <definedName name="r_19">Model!$AS$70</definedName>
    <definedName name="r_2">Model!$AS$53</definedName>
    <definedName name="r_20">Model!$AS$71</definedName>
    <definedName name="r_21">Model!$AS$72</definedName>
    <definedName name="r_22">Model!$AS$73</definedName>
    <definedName name="r_23">Model!$AS$74</definedName>
    <definedName name="r_24">Model!$AS$75</definedName>
    <definedName name="r_25">Model!$AS$76</definedName>
    <definedName name="r_26">Model!$AS$77</definedName>
    <definedName name="r_27">Model!$AS$78</definedName>
    <definedName name="r_28">Model!$AS$79</definedName>
    <definedName name="r_29">Model!$AS$80</definedName>
    <definedName name="r_3">Model!$AS$54</definedName>
    <definedName name="r_30">Model!$AS$81</definedName>
    <definedName name="r_31">Model!$AS$82</definedName>
    <definedName name="r_32">Model!$AS$83</definedName>
    <definedName name="r_33">Model!$AS$84</definedName>
    <definedName name="r_34">Model!$AS$85</definedName>
    <definedName name="r_4">Model!$AS$55</definedName>
    <definedName name="r_5">Model!$AS$56</definedName>
    <definedName name="r_6">Model!$AS$57</definedName>
    <definedName name="r_7">Model!$AS$58</definedName>
    <definedName name="r_8">Model!$AS$59</definedName>
    <definedName name="r_9">Model!$AS$60</definedName>
    <definedName name="R_air">systemcode_constants!$D$67</definedName>
    <definedName name="r_ate_DiffAer_ox_transf">'Calculated variables'!$E$265</definedName>
    <definedName name="r_ate_Hbio">'Calculated variables'!$E$217</definedName>
    <definedName name="r_ate_SNHx_ALGAE">'Calculated variables'!$E$246</definedName>
    <definedName name="r_ate_SNHx_Hydrolysis">'Calculated variables'!$E$247</definedName>
    <definedName name="r_ate_SNHx_NITOs">'Calculated variables'!$E$245</definedName>
    <definedName name="r_ate_SNHx_OHOs">'Calculated variables'!$E$244</definedName>
    <definedName name="r_ate_SNHx_stripping">'Calculated variables'!$E$229</definedName>
    <definedName name="r_ate_SNOx_ALGAE">'Calculated variables'!$E$253</definedName>
    <definedName name="r_ate_SNOx_NITOs">'Calculated variables'!$E$252</definedName>
    <definedName name="r_ate_SNOx_OHOs">'Calculated variables'!$E$251</definedName>
    <definedName name="r_ate_SO2_aerator">'Calculated variables'!$E$234</definedName>
    <definedName name="r_ate_SO2_ALGAE_resp">'Calculated variables'!$E$240</definedName>
    <definedName name="r_ate_SO2_C_oxidation">'Calculated variables'!$E$236</definedName>
    <definedName name="r_ate_SO2_Fe_oxidation">'Calculated variables'!$E$238</definedName>
    <definedName name="r_ate_SO2_nitrif">'Calculated variables'!$E$237</definedName>
    <definedName name="r_ate_SO2_photosynt">'Calculated variables'!$E$239</definedName>
    <definedName name="r_ate_SO2_sur">'Calculated variables'!$E$235</definedName>
    <definedName name="r_ate_SPO4_ALGAE">'Calculated variables'!$E$259</definedName>
    <definedName name="r_ate_SPO4_Hydrolysis">'Calculated variables'!$E$260</definedName>
    <definedName name="r_ate_SPO4_NITOs">'Calculated variables'!$E$258</definedName>
    <definedName name="r_ate_SPO4_OHOs">'Calculated variables'!$E$257</definedName>
    <definedName name="r_ate_SPO4_Precipitation">'Calculated variables'!$E$261</definedName>
    <definedName name="r_ate_SurfAer_ox_transf">'Calculated variables'!$E$266</definedName>
    <definedName name="r_ate_TCOD_autotrophs">'Calculated variables'!$E$225</definedName>
    <definedName name="r_ate_TCOD_oxydation_NO3">'Calculated variables'!$E$223</definedName>
    <definedName name="r_ate_TCOD_oxydation_O2">'Calculated variables'!$E$222</definedName>
    <definedName name="r_ate_TCOD_photosynt">'Calculated variables'!$E$224</definedName>
    <definedName name="r_ate_TCOD_stripping">'Calculated variables'!$E$221</definedName>
    <definedName name="r_ate_TN_denit">'Calculated variables'!$E$230</definedName>
    <definedName name="r_atioAAR_rbCODDR">'Calculated variables'!$E$53</definedName>
    <definedName name="r_atioVSS_TSS">'Calculated variables'!$E$44</definedName>
    <definedName name="r_bCODDR">'Calculated variables'!$E$66</definedName>
    <definedName name="S_ALK">Components!$E$25</definedName>
    <definedName name="S_ALK_input">'other parameters'!$D$53</definedName>
    <definedName name="S_ALPHA">Components!$E$35</definedName>
    <definedName name="S_ALPHA_sat">Parameters!$D$148</definedName>
    <definedName name="S_B">Components!$E$4</definedName>
    <definedName name="S_BOD_5">'Calculated variables'!$E$28</definedName>
    <definedName name="S_BOD_ult">'Calculated variables'!$E$25</definedName>
    <definedName name="S_CCOD">'Calculated variables'!$E$31</definedName>
    <definedName name="S_CH4">Components!$E$22</definedName>
    <definedName name="S_GCH4_bub_sat">'other parameters'!$D$23</definedName>
    <definedName name="S_GCH4_sur_sat">'other parameters'!$D$40</definedName>
    <definedName name="S_GCO2_bub_sat">'other parameters'!$D$22</definedName>
    <definedName name="S_GCO2_sur_sat">'other parameters'!$D$39</definedName>
    <definedName name="S_GH2_bub_sat">'other parameters'!$D$24</definedName>
    <definedName name="S_GH2_sur_sat">'other parameters'!$D$41</definedName>
    <definedName name="S_GH2S_bub_sat">'other parameters'!$D$20</definedName>
    <definedName name="S_GH2S_sur_sat">'other parameters'!$D$37</definedName>
    <definedName name="S_GN2_bub_sat">'other parameters'!$D$26</definedName>
    <definedName name="S_GN2_sur_sat">'other parameters'!$D$43</definedName>
    <definedName name="S_GNH3_bub_sat">'other parameters'!$D$25</definedName>
    <definedName name="S_GNH3_sur_sat">'other parameters'!$D$42</definedName>
    <definedName name="S_GO2_bub_sat">'other parameters'!$D$21</definedName>
    <definedName name="S_GO2_sur_sat">'other parameters'!$D$38</definedName>
    <definedName name="S_H">Components!$E$34</definedName>
    <definedName name="S_H2">Components!$E$23</definedName>
    <definedName name="S_KN">'Calculated variables'!$E$38</definedName>
    <definedName name="s_lh_diff_α">Parameters!$D$153</definedName>
    <definedName name="s_lTSS_α_coarse">Parameters!$D$155</definedName>
    <definedName name="s_lTSS_α_def">Parameters!$D$154</definedName>
    <definedName name="S_N_B">Components!$E$17</definedName>
    <definedName name="S_N2">Components!$E$16</definedName>
    <definedName name="S_NHx">Components!$E$14</definedName>
    <definedName name="S_NOx">Components!$E$15</definedName>
    <definedName name="S_O2">Components!$E$21</definedName>
    <definedName name="S_OTRaerator">'other parameters'!$D$47</definedName>
    <definedName name="S_OTRsur">'other parameters'!$D$48</definedName>
    <definedName name="S_OTRsur_min">'other parameters'!$D$49</definedName>
    <definedName name="S_P">'Calculated variables'!$E$42</definedName>
    <definedName name="S_PFOA">Components!$E$30</definedName>
    <definedName name="S_PFOS">Components!$E$32</definedName>
    <definedName name="S_PO4">Components!$E$19</definedName>
    <definedName name="S_rbCOD">'Calculated variables'!$E$7</definedName>
    <definedName name="S_U">Components!$E$6</definedName>
    <definedName name="S_U_N">'Calculated variables'!$E$39</definedName>
    <definedName name="S_umo__MSatMin">'other parameters'!$D$4</definedName>
    <definedName name="S_umo__pHEffects">'other parameters'!$D$57</definedName>
    <definedName name="T__">'Calculated variables'!$E$213</definedName>
    <definedName name="T_base">Parameters!$D$102</definedName>
    <definedName name="T_BOD_5">'Calculated variables'!$E$30</definedName>
    <definedName name="T_BOD_ult">'Calculated variables'!$E$27</definedName>
    <definedName name="T_COD">'Calculated variables'!$E$32</definedName>
    <definedName name="T_COD_Th">'Calculated variables'!$E$33</definedName>
    <definedName name="T_IN">'Calculated variables'!$E$35</definedName>
    <definedName name="T_K">'Calculated variables'!$E$212</definedName>
    <definedName name="T_KN">'Calculated variables'!$E$34</definedName>
    <definedName name="T_N">'Calculated variables'!$E$36</definedName>
    <definedName name="T_NTP_K">systemcode_constants!$D$74</definedName>
    <definedName name="T_null">systemcode_constants!$D$4</definedName>
    <definedName name="T_P">'Calculated variables'!$E$40</definedName>
    <definedName name="T_PFOA">'Calculated variables'!$E$46</definedName>
    <definedName name="T_PFOS">'Calculated variables'!$E$47</definedName>
    <definedName name="T_st_K">systemcode_constants!$D$73</definedName>
    <definedName name="T_STP_K">systemcode_constants!$D$75</definedName>
    <definedName name="v_1_GCH4">Model!$AK$52</definedName>
    <definedName name="v_1_GCH4_atm">Model!$AO$52</definedName>
    <definedName name="v_1_GH2">Model!$AL$52</definedName>
    <definedName name="v_1_GH2_atm">Model!$AP$52</definedName>
    <definedName name="v_1_GN2">Model!$AN$52</definedName>
    <definedName name="v_1_GN2_atm">Model!$AR$52</definedName>
    <definedName name="v_1_GO2">Model!$AM$52</definedName>
    <definedName name="v_1_GO2_atm">Model!$AQ$52</definedName>
    <definedName name="v_1_SALK">Model!$Z$52</definedName>
    <definedName name="v_1_SALPHA">Model!$AJ$52</definedName>
    <definedName name="v_1_SB">Model!$E$52</definedName>
    <definedName name="v_1_SCH4">Model!$W$52</definedName>
    <definedName name="v_1_SH">Model!$AI$52</definedName>
    <definedName name="v_1_SH2">Model!$X$52</definedName>
    <definedName name="v_1_SN_B">Model!$R$52</definedName>
    <definedName name="v_1_SN2">Model!$Q$52</definedName>
    <definedName name="v_1_SNHx">Model!$O$52</definedName>
    <definedName name="v_1_SNOx">Model!$P$52</definedName>
    <definedName name="v_1_SO2">Model!$V$52</definedName>
    <definedName name="v_1_SPFOA">Model!$AE$52</definedName>
    <definedName name="v_1_SPFOS">Model!$AG$52</definedName>
    <definedName name="v_1_SPO4">Model!$T$52</definedName>
    <definedName name="v_1_SU">Model!$G$52</definedName>
    <definedName name="v_1_XALGAE">Model!$N$52</definedName>
    <definedName name="v_1_XAlOH">Model!$AC$52</definedName>
    <definedName name="v_1_XAlP">Model!$AD$52</definedName>
    <definedName name="v_1_XAMETO">Model!$L$52</definedName>
    <definedName name="v_1_XB">Model!$F$52</definedName>
    <definedName name="v_1_XE">Model!$I$52</definedName>
    <definedName name="v_1_XFeOH">Model!$AA$52</definedName>
    <definedName name="v_1_XFeP">Model!$AB$52</definedName>
    <definedName name="v_1_XHMETO">Model!$M$52</definedName>
    <definedName name="v_1_XINORG">Model!$Y$52</definedName>
    <definedName name="v_1_XN_B">Model!$S$52</definedName>
    <definedName name="v_1_XNITO">Model!$K$52</definedName>
    <definedName name="v_1_XOHO">Model!$J$52</definedName>
    <definedName name="v_1_XP_B">Model!$U$52</definedName>
    <definedName name="v_1_XPFOA">Model!$AF$52</definedName>
    <definedName name="v_1_XPFOS">Model!$AH$52</definedName>
    <definedName name="v_1_XU">Model!$H$52</definedName>
    <definedName name="v_10_GCH4">Model!$AK$61</definedName>
    <definedName name="v_10_GCH4_atm">Model!$AO$61</definedName>
    <definedName name="v_10_GH2">Model!$AL$61</definedName>
    <definedName name="v_10_GH2_atm">Model!$AP$61</definedName>
    <definedName name="v_10_GN2">Model!$AN$61</definedName>
    <definedName name="v_10_GN2_atm">Model!$AR$61</definedName>
    <definedName name="v_10_GO2">Model!$AM$61</definedName>
    <definedName name="v_10_GO2_atm">Model!$AQ$61</definedName>
    <definedName name="v_10_SALK">Model!$Z$61</definedName>
    <definedName name="v_10_SALPHA">Model!$AJ$61</definedName>
    <definedName name="v_10_SB">Model!$E$61</definedName>
    <definedName name="v_10_SCH4">Model!$W$61</definedName>
    <definedName name="v_10_SH">Model!$AI$61</definedName>
    <definedName name="v_10_SH2">Model!$X$61</definedName>
    <definedName name="v_10_SN_B">Model!$R$61</definedName>
    <definedName name="v_10_SN2">Model!$Q$61</definedName>
    <definedName name="v_10_SNHx">Model!$O$61</definedName>
    <definedName name="v_10_SNOx">Model!$P$61</definedName>
    <definedName name="v_10_SO2">Model!$V$61</definedName>
    <definedName name="v_10_SPFOA">Model!$AE$61</definedName>
    <definedName name="v_10_SPFOS">Model!$AG$61</definedName>
    <definedName name="v_10_SPO4">Model!$T$61</definedName>
    <definedName name="v_10_SU">Model!$G$61</definedName>
    <definedName name="v_10_XALGAE">Model!$N$61</definedName>
    <definedName name="v_10_XAlOH">Model!$AC$61</definedName>
    <definedName name="v_10_XAlP">Model!$AD$61</definedName>
    <definedName name="v_10_XAMETO">Model!$L$61</definedName>
    <definedName name="v_10_XB">Model!$F$61</definedName>
    <definedName name="v_10_XE">Model!$I$61</definedName>
    <definedName name="v_10_XFeOH">Model!$AA$61</definedName>
    <definedName name="v_10_XFeP">Model!$AB$61</definedName>
    <definedName name="v_10_XHMETO">Model!$M$61</definedName>
    <definedName name="v_10_XINORG">Model!$Y$61</definedName>
    <definedName name="v_10_XN_B">Model!$S$61</definedName>
    <definedName name="v_10_XNITO">Model!$K$61</definedName>
    <definedName name="v_10_XOHO">Model!$J$61</definedName>
    <definedName name="v_10_XP_B">Model!$U$61</definedName>
    <definedName name="v_10_XPFOA">Model!$AF$61</definedName>
    <definedName name="v_10_XPFOS">Model!$AH$61</definedName>
    <definedName name="v_10_XU">Model!$H$61</definedName>
    <definedName name="v_11_GCH4">Model!$AK$62</definedName>
    <definedName name="v_11_GCH4_atm">Model!$AO$62</definedName>
    <definedName name="v_11_GH2">Model!$AL$62</definedName>
    <definedName name="v_11_GH2_atm">Model!$AP$62</definedName>
    <definedName name="v_11_GN2">Model!$AN$62</definedName>
    <definedName name="v_11_GN2_atm">Model!$AR$62</definedName>
    <definedName name="v_11_GO2">Model!$AM$62</definedName>
    <definedName name="v_11_GO2_atm">Model!$AQ$62</definedName>
    <definedName name="v_11_SALK">Model!$Z$62</definedName>
    <definedName name="v_11_SALPHA">Model!$AJ$62</definedName>
    <definedName name="v_11_SB">Model!$E$62</definedName>
    <definedName name="v_11_SCH4">Model!$W$62</definedName>
    <definedName name="v_11_SH">Model!$AI$62</definedName>
    <definedName name="v_11_SH2">Model!$X$62</definedName>
    <definedName name="v_11_SN_B">Model!$R$62</definedName>
    <definedName name="v_11_SN2">Model!$Q$62</definedName>
    <definedName name="v_11_SNHx">Model!$O$62</definedName>
    <definedName name="v_11_SNOx">Model!$P$62</definedName>
    <definedName name="v_11_SO2">Model!$V$62</definedName>
    <definedName name="v_11_SPFOA">Model!$AE$62</definedName>
    <definedName name="v_11_SPFOS">Model!$AG$62</definedName>
    <definedName name="v_11_SPO4">Model!$T$62</definedName>
    <definedName name="v_11_SU">Model!$G$62</definedName>
    <definedName name="v_11_XALGAE">Model!$N$62</definedName>
    <definedName name="v_11_XAlOH">Model!$AC$62</definedName>
    <definedName name="v_11_XAlP">Model!$AD$62</definedName>
    <definedName name="v_11_XAMETO">Model!$L$62</definedName>
    <definedName name="v_11_XB">Model!$F$62</definedName>
    <definedName name="v_11_XE">Model!$I$62</definedName>
    <definedName name="v_11_XFeOH">Model!$AA$62</definedName>
    <definedName name="v_11_XFeP">Model!$AB$62</definedName>
    <definedName name="v_11_XHMETO">Model!$M$62</definedName>
    <definedName name="v_11_XINORG">Model!$Y$62</definedName>
    <definedName name="v_11_XN_B">Model!$S$62</definedName>
    <definedName name="v_11_XNITO">Model!$K$62</definedName>
    <definedName name="v_11_XOHO">Model!$J$62</definedName>
    <definedName name="v_11_XP_B">Model!$U$62</definedName>
    <definedName name="v_11_XPFOA">Model!$AF$62</definedName>
    <definedName name="v_11_XPFOS">Model!$AH$62</definedName>
    <definedName name="v_11_XU">Model!$H$62</definedName>
    <definedName name="v_12_GCH4">Model!$AK$63</definedName>
    <definedName name="v_12_GCH4_atm">Model!$AO$63</definedName>
    <definedName name="v_12_GH2">Model!$AL$63</definedName>
    <definedName name="v_12_GH2_atm">Model!$AP$63</definedName>
    <definedName name="v_12_GN2">Model!$AN$63</definedName>
    <definedName name="v_12_GN2_atm">Model!$AR$63</definedName>
    <definedName name="v_12_GO2">Model!$AM$63</definedName>
    <definedName name="v_12_GO2_atm">Model!$AQ$63</definedName>
    <definedName name="v_12_SALK">Model!$Z$63</definedName>
    <definedName name="v_12_SALPHA">Model!$AJ$63</definedName>
    <definedName name="v_12_SB">Model!$E$63</definedName>
    <definedName name="v_12_SCH4">Model!$W$63</definedName>
    <definedName name="v_12_SH">Model!$AI$63</definedName>
    <definedName name="v_12_SH2">Model!$X$63</definedName>
    <definedName name="v_12_SN_B">Model!$R$63</definedName>
    <definedName name="v_12_SN2">Model!$Q$63</definedName>
    <definedName name="v_12_SNHx">Model!$O$63</definedName>
    <definedName name="v_12_SNOx">Model!$P$63</definedName>
    <definedName name="v_12_SO2">Model!$V$63</definedName>
    <definedName name="v_12_SPFOA">Model!$AE$63</definedName>
    <definedName name="v_12_SPFOS">Model!$AG$63</definedName>
    <definedName name="v_12_SPO4">Model!$T$63</definedName>
    <definedName name="v_12_SU">Model!$G$63</definedName>
    <definedName name="v_12_XALGAE">Model!$N$63</definedName>
    <definedName name="v_12_XAlOH">Model!$AC$63</definedName>
    <definedName name="v_12_XAlP">Model!$AD$63</definedName>
    <definedName name="v_12_XAMETO">Model!$L$63</definedName>
    <definedName name="v_12_XB">Model!$F$63</definedName>
    <definedName name="v_12_XE">Model!$I$63</definedName>
    <definedName name="v_12_XFeOH">Model!$AA$63</definedName>
    <definedName name="v_12_XFeP">Model!$AB$63</definedName>
    <definedName name="v_12_XHMETO">Model!$M$63</definedName>
    <definedName name="v_12_XINORG">Model!$Y$63</definedName>
    <definedName name="v_12_XN_B">Model!$S$63</definedName>
    <definedName name="v_12_XNITO">Model!$K$63</definedName>
    <definedName name="v_12_XOHO">Model!$J$63</definedName>
    <definedName name="v_12_XP_B">Model!$U$63</definedName>
    <definedName name="v_12_XPFOA">Model!$AF$63</definedName>
    <definedName name="v_12_XPFOS">Model!$AH$63</definedName>
    <definedName name="v_12_XU">Model!$H$63</definedName>
    <definedName name="v_13_GCH4">Model!$AK$64</definedName>
    <definedName name="v_13_GCH4_atm">Model!$AO$64</definedName>
    <definedName name="v_13_GH2">Model!$AL$64</definedName>
    <definedName name="v_13_GH2_atm">Model!$AP$64</definedName>
    <definedName name="v_13_GN2">Model!$AN$64</definedName>
    <definedName name="v_13_GN2_atm">Model!$AR$64</definedName>
    <definedName name="v_13_GO2">Model!$AM$64</definedName>
    <definedName name="v_13_GO2_atm">Model!$AQ$64</definedName>
    <definedName name="v_13_SALK">Model!$Z$64</definedName>
    <definedName name="v_13_SALPHA">Model!$AJ$64</definedName>
    <definedName name="v_13_SB">Model!$E$64</definedName>
    <definedName name="v_13_SCH4">Model!$W$64</definedName>
    <definedName name="v_13_SH">Model!$AI$64</definedName>
    <definedName name="v_13_SH2">Model!$X$64</definedName>
    <definedName name="v_13_SN_B">Model!$R$64</definedName>
    <definedName name="v_13_SN2">Model!$Q$64</definedName>
    <definedName name="v_13_SNHx">Model!$O$64</definedName>
    <definedName name="v_13_SNOx">Model!$P$64</definedName>
    <definedName name="v_13_SO2">Model!$V$64</definedName>
    <definedName name="v_13_SPFOA">Model!$AE$64</definedName>
    <definedName name="v_13_SPFOS">Model!$AG$64</definedName>
    <definedName name="v_13_SPO4">Model!$T$64</definedName>
    <definedName name="v_13_SU">Model!$G$64</definedName>
    <definedName name="v_13_XALGAE">Model!$N$64</definedName>
    <definedName name="v_13_XAlOH">Model!$AC$64</definedName>
    <definedName name="v_13_XAlP">Model!$AD$64</definedName>
    <definedName name="v_13_XAMETO">Model!$L$64</definedName>
    <definedName name="v_13_XB">Model!$F$64</definedName>
    <definedName name="v_13_XE">Model!$I$64</definedName>
    <definedName name="v_13_XFeOH">Model!$AA$64</definedName>
    <definedName name="v_13_XFeP">Model!$AB$64</definedName>
    <definedName name="v_13_XHMETO">Model!$M$64</definedName>
    <definedName name="v_13_XINORG">Model!$Y$64</definedName>
    <definedName name="v_13_XN_B">Model!$S$64</definedName>
    <definedName name="v_13_XNITO">Model!$K$64</definedName>
    <definedName name="v_13_XOHO">Model!$J$64</definedName>
    <definedName name="v_13_XP_B">Model!$U$64</definedName>
    <definedName name="v_13_XPFOA">Model!$AF$64</definedName>
    <definedName name="v_13_XPFOS">Model!$AH$64</definedName>
    <definedName name="v_13_XU">Model!$H$64</definedName>
    <definedName name="v_14_GCH4">Model!$AK$65</definedName>
    <definedName name="v_14_GCH4_atm">Model!$AO$65</definedName>
    <definedName name="v_14_GH2">Model!$AL$65</definedName>
    <definedName name="v_14_GH2_atm">Model!$AP$65</definedName>
    <definedName name="v_14_GN2">Model!$AN$65</definedName>
    <definedName name="v_14_GN2_atm">Model!$AR$65</definedName>
    <definedName name="v_14_GO2">Model!$AM$65</definedName>
    <definedName name="v_14_GO2_atm">Model!$AQ$65</definedName>
    <definedName name="v_14_SALK">Model!$Z$65</definedName>
    <definedName name="v_14_SALPHA">Model!$AJ$65</definedName>
    <definedName name="v_14_SB">Model!$E$65</definedName>
    <definedName name="v_14_SCH4">Model!$W$65</definedName>
    <definedName name="v_14_SH">Model!$AI$65</definedName>
    <definedName name="v_14_SH2">Model!$X$65</definedName>
    <definedName name="v_14_SN_B">Model!$R$65</definedName>
    <definedName name="v_14_SN2">Model!$Q$65</definedName>
    <definedName name="v_14_SNHx">Model!$O$65</definedName>
    <definedName name="v_14_SNOx">Model!$P$65</definedName>
    <definedName name="v_14_SO2">Model!$V$65</definedName>
    <definedName name="v_14_SPFOA">Model!$AE$65</definedName>
    <definedName name="v_14_SPFOS">Model!$AG$65</definedName>
    <definedName name="v_14_SPO4">Model!$T$65</definedName>
    <definedName name="v_14_SU">Model!$G$65</definedName>
    <definedName name="v_14_XALGAE">Model!$N$65</definedName>
    <definedName name="v_14_XAlOH">Model!$AC$65</definedName>
    <definedName name="v_14_XAlP">Model!$AD$65</definedName>
    <definedName name="v_14_XAMETO">Model!$L$65</definedName>
    <definedName name="v_14_XB">Model!$F$65</definedName>
    <definedName name="v_14_XE">Model!$I$65</definedName>
    <definedName name="v_14_XFeOH">Model!$AA$65</definedName>
    <definedName name="v_14_XFeP">Model!$AB$65</definedName>
    <definedName name="v_14_XHMETO">Model!$M$65</definedName>
    <definedName name="v_14_XINORG">Model!$Y$65</definedName>
    <definedName name="v_14_XN_B">Model!$S$65</definedName>
    <definedName name="v_14_XNITO">Model!$K$65</definedName>
    <definedName name="v_14_XOHO">Model!$J$65</definedName>
    <definedName name="v_14_XP_B">Model!$U$65</definedName>
    <definedName name="v_14_XPFOA">Model!$AF$65</definedName>
    <definedName name="v_14_XPFOS">Model!$AH$65</definedName>
    <definedName name="v_14_XU">Model!$H$65</definedName>
    <definedName name="v_15_GCH4">Model!$AK$66</definedName>
    <definedName name="v_15_GCH4_atm">Model!$AO$66</definedName>
    <definedName name="v_15_GH2">Model!$AL$66</definedName>
    <definedName name="v_15_GH2_atm">Model!$AP$66</definedName>
    <definedName name="v_15_GN2">Model!$AN$66</definedName>
    <definedName name="v_15_GN2_atm">Model!$AR$66</definedName>
    <definedName name="v_15_GO2">Model!$AM$66</definedName>
    <definedName name="v_15_GO2_atm">Model!$AQ$66</definedName>
    <definedName name="v_15_SALK">Model!$Z$66</definedName>
    <definedName name="v_15_SALPHA">Model!$AJ$66</definedName>
    <definedName name="v_15_SB">Model!$E$66</definedName>
    <definedName name="v_15_SCH4">Model!$W$66</definedName>
    <definedName name="v_15_SH">Model!$AI$66</definedName>
    <definedName name="v_15_SH2">Model!$X$66</definedName>
    <definedName name="v_15_SN_B">Model!$R$66</definedName>
    <definedName name="v_15_SN2">Model!$Q$66</definedName>
    <definedName name="v_15_SNHx">Model!$O$66</definedName>
    <definedName name="v_15_SNOx">Model!$P$66</definedName>
    <definedName name="v_15_SO2">Model!$V$66</definedName>
    <definedName name="v_15_SPFOA">Model!$AE$66</definedName>
    <definedName name="v_15_SPFOS">Model!$AG$66</definedName>
    <definedName name="v_15_SPO4">Model!$T$66</definedName>
    <definedName name="v_15_SU">Model!$G$66</definedName>
    <definedName name="v_15_XALGAE">Model!$N$66</definedName>
    <definedName name="v_15_XAlOH">Model!$AC$66</definedName>
    <definedName name="v_15_XAlP">Model!$AD$66</definedName>
    <definedName name="v_15_XAMETO">Model!$L$66</definedName>
    <definedName name="v_15_XB">Model!$F$66</definedName>
    <definedName name="v_15_XE">Model!$I$66</definedName>
    <definedName name="v_15_XFeOH">Model!$AA$66</definedName>
    <definedName name="v_15_XFeP">Model!$AB$66</definedName>
    <definedName name="v_15_XHMETO">Model!$M$66</definedName>
    <definedName name="v_15_XINORG">Model!$Y$66</definedName>
    <definedName name="v_15_XN_B">Model!$S$66</definedName>
    <definedName name="v_15_XNITO">Model!$K$66</definedName>
    <definedName name="v_15_XOHO">Model!$J$66</definedName>
    <definedName name="v_15_XP_B">Model!$U$66</definedName>
    <definedName name="v_15_XPFOA">Model!$AF$66</definedName>
    <definedName name="v_15_XPFOS">Model!$AH$66</definedName>
    <definedName name="v_15_XU">Model!$H$66</definedName>
    <definedName name="v_16_GCH4">Model!$AK$67</definedName>
    <definedName name="v_16_GCH4_atm">Model!$AO$67</definedName>
    <definedName name="v_16_GH2">Model!$AL$67</definedName>
    <definedName name="v_16_GH2_atm">Model!$AP$67</definedName>
    <definedName name="v_16_GN2">Model!$AN$67</definedName>
    <definedName name="v_16_GN2_atm">Model!$AR$67</definedName>
    <definedName name="v_16_GO2">Model!$AM$67</definedName>
    <definedName name="v_16_GO2_atm">Model!$AQ$67</definedName>
    <definedName name="v_16_SALK">Model!$Z$67</definedName>
    <definedName name="v_16_SALPHA">Model!$AJ$67</definedName>
    <definedName name="v_16_SB">Model!$E$67</definedName>
    <definedName name="v_16_SCH4">Model!$W$67</definedName>
    <definedName name="v_16_SH">Model!$AI$67</definedName>
    <definedName name="v_16_SH2">Model!$X$67</definedName>
    <definedName name="v_16_SN_B">Model!$R$67</definedName>
    <definedName name="v_16_SN2">Model!$Q$67</definedName>
    <definedName name="v_16_SNHx">Model!$O$67</definedName>
    <definedName name="v_16_SNOx">Model!$P$67</definedName>
    <definedName name="v_16_SO2">Model!$V$67</definedName>
    <definedName name="v_16_SPFOA">Model!$AE$67</definedName>
    <definedName name="v_16_SPFOS">Model!$AG$67</definedName>
    <definedName name="v_16_SPO4">Model!$T$67</definedName>
    <definedName name="v_16_SU">Model!$G$67</definedName>
    <definedName name="v_16_XALGAE">Model!$N$67</definedName>
    <definedName name="v_16_XAlOH">Model!$AC$67</definedName>
    <definedName name="v_16_XAlP">Model!$AD$67</definedName>
    <definedName name="v_16_XAMETO">Model!$L$67</definedName>
    <definedName name="v_16_XB">Model!$F$67</definedName>
    <definedName name="v_16_XE">Model!$I$67</definedName>
    <definedName name="v_16_XFeOH">Model!$AA$67</definedName>
    <definedName name="v_16_XFeP">Model!$AB$67</definedName>
    <definedName name="v_16_XHMETO">Model!$M$67</definedName>
    <definedName name="v_16_XINORG">Model!$Y$67</definedName>
    <definedName name="v_16_XN_B">Model!$S$67</definedName>
    <definedName name="v_16_XNITO">Model!$K$67</definedName>
    <definedName name="v_16_XOHO">Model!$J$67</definedName>
    <definedName name="v_16_XP_B">Model!$U$67</definedName>
    <definedName name="v_16_XPFOA">Model!$AF$67</definedName>
    <definedName name="v_16_XPFOS">Model!$AH$67</definedName>
    <definedName name="v_16_XU">Model!$H$67</definedName>
    <definedName name="v_17_GCH4">Model!$AK$68</definedName>
    <definedName name="v_17_GCH4_atm">Model!$AO$68</definedName>
    <definedName name="v_17_GH2">Model!$AL$68</definedName>
    <definedName name="v_17_GH2_atm">Model!$AP$68</definedName>
    <definedName name="v_17_GN2">Model!$AN$68</definedName>
    <definedName name="v_17_GN2_atm">Model!$AR$68</definedName>
    <definedName name="v_17_GO2">Model!$AM$68</definedName>
    <definedName name="v_17_GO2_atm">Model!$AQ$68</definedName>
    <definedName name="v_17_SALK">Model!$Z$68</definedName>
    <definedName name="v_17_SALPHA">Model!$AJ$68</definedName>
    <definedName name="v_17_SB">Model!$E$68</definedName>
    <definedName name="v_17_SCH4">Model!$W$68</definedName>
    <definedName name="v_17_SH">Model!$AI$68</definedName>
    <definedName name="v_17_SH2">Model!$X$68</definedName>
    <definedName name="v_17_SN_B">Model!$R$68</definedName>
    <definedName name="v_17_SN2">Model!$Q$68</definedName>
    <definedName name="v_17_SNHx">Model!$O$68</definedName>
    <definedName name="v_17_SNOx">Model!$P$68</definedName>
    <definedName name="v_17_SO2">Model!$V$68</definedName>
    <definedName name="v_17_SPFOA">Model!$AE$68</definedName>
    <definedName name="v_17_SPFOS">Model!$AG$68</definedName>
    <definedName name="v_17_SPO4">Model!$T$68</definedName>
    <definedName name="v_17_SU">Model!$G$68</definedName>
    <definedName name="v_17_XALGAE">Model!$N$68</definedName>
    <definedName name="v_17_XAlOH">Model!$AC$68</definedName>
    <definedName name="v_17_XAlP">Model!$AD$68</definedName>
    <definedName name="v_17_XAMETO">Model!$L$68</definedName>
    <definedName name="v_17_XB">Model!$F$68</definedName>
    <definedName name="v_17_XE">Model!$I$68</definedName>
    <definedName name="v_17_XFeOH">Model!$AA$68</definedName>
    <definedName name="v_17_XFeP">Model!$AB$68</definedName>
    <definedName name="v_17_XHMETO">Model!$M$68</definedName>
    <definedName name="v_17_XINORG">Model!$Y$68</definedName>
    <definedName name="v_17_XN_B">Model!$S$68</definedName>
    <definedName name="v_17_XNITO">Model!$K$68</definedName>
    <definedName name="v_17_XOHO">Model!$J$68</definedName>
    <definedName name="v_17_XP_B">Model!$U$68</definedName>
    <definedName name="v_17_XPFOA">Model!$AF$68</definedName>
    <definedName name="v_17_XPFOS">Model!$AH$68</definedName>
    <definedName name="v_17_XU">Model!$H$68</definedName>
    <definedName name="v_18_GCH4">Model!$AK$69</definedName>
    <definedName name="v_18_GCH4_atm">Model!$AO$69</definedName>
    <definedName name="v_18_GH2">Model!$AL$69</definedName>
    <definedName name="v_18_GH2_atm">Model!$AP$69</definedName>
    <definedName name="v_18_GN2">Model!$AN$69</definedName>
    <definedName name="v_18_GN2_atm">Model!$AR$69</definedName>
    <definedName name="v_18_GO2">Model!$AM$69</definedName>
    <definedName name="v_18_GO2_atm">Model!$AQ$69</definedName>
    <definedName name="v_18_SALK">Model!$Z$69</definedName>
    <definedName name="v_18_SALPHA">Model!$AJ$69</definedName>
    <definedName name="v_18_SB">Model!$E$69</definedName>
    <definedName name="v_18_SCH4">Model!$W$69</definedName>
    <definedName name="v_18_SH">Model!$AI$69</definedName>
    <definedName name="v_18_SH2">Model!$X$69</definedName>
    <definedName name="v_18_SN_B">Model!$R$69</definedName>
    <definedName name="v_18_SN2">Model!$Q$69</definedName>
    <definedName name="v_18_SNHx">Model!$O$69</definedName>
    <definedName name="v_18_SNOx">Model!$P$69</definedName>
    <definedName name="v_18_SO2">Model!$V$69</definedName>
    <definedName name="v_18_SPFOA">Model!$AE$69</definedName>
    <definedName name="v_18_SPFOS">Model!$AG$69</definedName>
    <definedName name="v_18_SPO4">Model!$T$69</definedName>
    <definedName name="v_18_SU">Model!$G$69</definedName>
    <definedName name="v_18_XALGAE">Model!$N$69</definedName>
    <definedName name="v_18_XAlOH">Model!$AC$69</definedName>
    <definedName name="v_18_XAlP">Model!$AD$69</definedName>
    <definedName name="v_18_XAMETO">Model!$L$69</definedName>
    <definedName name="v_18_XB">Model!$F$69</definedName>
    <definedName name="v_18_XE">Model!$I$69</definedName>
    <definedName name="v_18_XFeOH">Model!$AA$69</definedName>
    <definedName name="v_18_XFeP">Model!$AB$69</definedName>
    <definedName name="v_18_XHMETO">Model!$M$69</definedName>
    <definedName name="v_18_XINORG">Model!$Y$69</definedName>
    <definedName name="v_18_XN_B">Model!$S$69</definedName>
    <definedName name="v_18_XNITO">Model!$K$69</definedName>
    <definedName name="v_18_XOHO">Model!$J$69</definedName>
    <definedName name="v_18_XP_B">Model!$U$69</definedName>
    <definedName name="v_18_XPFOA">Model!$AF$69</definedName>
    <definedName name="v_18_XPFOS">Model!$AH$69</definedName>
    <definedName name="v_18_XU">Model!$H$69</definedName>
    <definedName name="v_19_GCH4">Model!$AK$70</definedName>
    <definedName name="v_19_GCH4_atm">Model!$AO$70</definedName>
    <definedName name="v_19_GH2">Model!$AL$70</definedName>
    <definedName name="v_19_GH2_atm">Model!$AP$70</definedName>
    <definedName name="v_19_GN2">Model!$AN$70</definedName>
    <definedName name="v_19_GN2_atm">Model!$AR$70</definedName>
    <definedName name="v_19_GO2">Model!$AM$70</definedName>
    <definedName name="v_19_GO2_atm">Model!$AQ$70</definedName>
    <definedName name="v_19_SALK">Model!$Z$70</definedName>
    <definedName name="v_19_SALPHA">Model!$AJ$70</definedName>
    <definedName name="v_19_SB">Model!$E$70</definedName>
    <definedName name="v_19_SCH4">Model!$W$70</definedName>
    <definedName name="v_19_SH">Model!$AI$70</definedName>
    <definedName name="v_19_SH2">Model!$X$70</definedName>
    <definedName name="v_19_SN_B">Model!$R$70</definedName>
    <definedName name="v_19_SN2">Model!$Q$70</definedName>
    <definedName name="v_19_SNHx">Model!$O$70</definedName>
    <definedName name="v_19_SNOx">Model!$P$70</definedName>
    <definedName name="v_19_SO2">Model!$V$70</definedName>
    <definedName name="v_19_SPFOA">Model!$AE$70</definedName>
    <definedName name="v_19_SPFOS">Model!$AG$70</definedName>
    <definedName name="v_19_SPO4">Model!$T$70</definedName>
    <definedName name="v_19_SU">Model!$G$70</definedName>
    <definedName name="v_19_XALGAE">Model!$N$70</definedName>
    <definedName name="v_19_XAlOH">Model!$AC$70</definedName>
    <definedName name="v_19_XAlP">Model!$AD$70</definedName>
    <definedName name="v_19_XAMETO">Model!$L$70</definedName>
    <definedName name="v_19_XB">Model!$F$70</definedName>
    <definedName name="v_19_XE">Model!$I$70</definedName>
    <definedName name="v_19_XFeOH">Model!$AA$70</definedName>
    <definedName name="v_19_XFeP">Model!$AB$70</definedName>
    <definedName name="v_19_XHMETO">Model!$M$70</definedName>
    <definedName name="v_19_XINORG">Model!$Y$70</definedName>
    <definedName name="v_19_XN_B">Model!$S$70</definedName>
    <definedName name="v_19_XNITO">Model!$K$70</definedName>
    <definedName name="v_19_XOHO">Model!$J$70</definedName>
    <definedName name="v_19_XP_B">Model!$U$70</definedName>
    <definedName name="v_19_XPFOA">Model!$AF$70</definedName>
    <definedName name="v_19_XPFOS">Model!$AH$70</definedName>
    <definedName name="v_19_XU">Model!$H$70</definedName>
    <definedName name="v_2_GCH4">Model!$AK$53</definedName>
    <definedName name="v_2_GCH4_atm">Model!$AO$53</definedName>
    <definedName name="v_2_GH2">Model!$AL$53</definedName>
    <definedName name="v_2_GH2_atm">Model!$AP$53</definedName>
    <definedName name="v_2_GN2">Model!$AN$53</definedName>
    <definedName name="v_2_GN2_atm">Model!$AR$53</definedName>
    <definedName name="v_2_GO2">Model!$AM$53</definedName>
    <definedName name="v_2_GO2_atm">Model!$AQ$53</definedName>
    <definedName name="v_2_SALK">Model!$Z$53</definedName>
    <definedName name="v_2_SALPHA">Model!$AJ$53</definedName>
    <definedName name="v_2_SB">Model!$E$53</definedName>
    <definedName name="v_2_SCH4">Model!$W$53</definedName>
    <definedName name="v_2_SH">Model!$AI$53</definedName>
    <definedName name="v_2_SH2">Model!$X$53</definedName>
    <definedName name="v_2_SN_B">Model!$R$53</definedName>
    <definedName name="v_2_SN2">Model!$Q$53</definedName>
    <definedName name="v_2_SNHx">Model!$O$53</definedName>
    <definedName name="v_2_SNOx">Model!$P$53</definedName>
    <definedName name="v_2_SO2">Model!$V$53</definedName>
    <definedName name="v_2_SPFOA">Model!$AE$53</definedName>
    <definedName name="v_2_SPFOS">Model!$AG$53</definedName>
    <definedName name="v_2_SPO4">Model!$T$53</definedName>
    <definedName name="v_2_SU">Model!$G$53</definedName>
    <definedName name="v_2_XALGAE">Model!$N$53</definedName>
    <definedName name="v_2_XAlOH">Model!$AC$53</definedName>
    <definedName name="v_2_XAlP">Model!$AD$53</definedName>
    <definedName name="v_2_XAMETO">Model!$L$53</definedName>
    <definedName name="v_2_XB">Model!$F$53</definedName>
    <definedName name="v_2_XE">Model!$I$53</definedName>
    <definedName name="v_2_XFeOH">Model!$AA$53</definedName>
    <definedName name="v_2_XFeP">Model!$AB$53</definedName>
    <definedName name="v_2_XHMETO">Model!$M$53</definedName>
    <definedName name="v_2_XINORG">Model!$Y$53</definedName>
    <definedName name="v_2_XN_B">Model!$S$53</definedName>
    <definedName name="v_2_XNITO">Model!$K$53</definedName>
    <definedName name="v_2_XOHO">Model!$J$53</definedName>
    <definedName name="v_2_XP_B">Model!$U$53</definedName>
    <definedName name="v_2_XPFOA">Model!$AF$53</definedName>
    <definedName name="v_2_XPFOS">Model!$AH$53</definedName>
    <definedName name="v_2_XU">Model!$H$53</definedName>
    <definedName name="v_20_GCH4">Model!$AK$71</definedName>
    <definedName name="v_20_GCH4_atm">Model!$AO$71</definedName>
    <definedName name="v_20_GH2">Model!$AL$71</definedName>
    <definedName name="v_20_GH2_atm">Model!$AP$71</definedName>
    <definedName name="v_20_GN2">Model!$AN$71</definedName>
    <definedName name="v_20_GN2_atm">Model!$AR$71</definedName>
    <definedName name="v_20_GO2">Model!$AM$71</definedName>
    <definedName name="v_20_GO2_atm">Model!$AQ$71</definedName>
    <definedName name="v_20_SALK">Model!$Z$71</definedName>
    <definedName name="v_20_SALPHA">Model!$AJ$71</definedName>
    <definedName name="v_20_SB">Model!$E$71</definedName>
    <definedName name="v_20_SCH4">Model!$W$71</definedName>
    <definedName name="v_20_SH">Model!$AI$71</definedName>
    <definedName name="v_20_SH2">Model!$X$71</definedName>
    <definedName name="v_20_SN_B">Model!$R$71</definedName>
    <definedName name="v_20_SN2">Model!$Q$71</definedName>
    <definedName name="v_20_SNHx">Model!$O$71</definedName>
    <definedName name="v_20_SNOx">Model!$P$71</definedName>
    <definedName name="v_20_SO2">Model!$V$71</definedName>
    <definedName name="v_20_SPFOA">Model!$AE$71</definedName>
    <definedName name="v_20_SPFOS">Model!$AG$71</definedName>
    <definedName name="v_20_SPO4">Model!$T$71</definedName>
    <definedName name="v_20_SU">Model!$G$71</definedName>
    <definedName name="v_20_XALGAE">Model!$N$71</definedName>
    <definedName name="v_20_XAlOH">Model!$AC$71</definedName>
    <definedName name="v_20_XAlP">Model!$AD$71</definedName>
    <definedName name="v_20_XAMETO">Model!$L$71</definedName>
    <definedName name="v_20_XB">Model!$F$71</definedName>
    <definedName name="v_20_XE">Model!$I$71</definedName>
    <definedName name="v_20_XFeOH">Model!$AA$71</definedName>
    <definedName name="v_20_XFeP">Model!$AB$71</definedName>
    <definedName name="v_20_XHMETO">Model!$M$71</definedName>
    <definedName name="v_20_XINORG">Model!$Y$71</definedName>
    <definedName name="v_20_XN_B">Model!$S$71</definedName>
    <definedName name="v_20_XNITO">Model!$K$71</definedName>
    <definedName name="v_20_XOHO">Model!$J$71</definedName>
    <definedName name="v_20_XP_B">Model!$U$71</definedName>
    <definedName name="v_20_XPFOA">Model!$AF$71</definedName>
    <definedName name="v_20_XPFOS">Model!$AH$71</definedName>
    <definedName name="v_20_XU">Model!$H$71</definedName>
    <definedName name="v_21_GCH4">Model!$AK$72</definedName>
    <definedName name="v_21_GCH4_atm">Model!$AO$72</definedName>
    <definedName name="v_21_GH2">Model!$AL$72</definedName>
    <definedName name="v_21_GH2_atm">Model!$AP$72</definedName>
    <definedName name="v_21_GN2">Model!$AN$72</definedName>
    <definedName name="v_21_GN2_atm">Model!$AR$72</definedName>
    <definedName name="v_21_GO2">Model!$AM$72</definedName>
    <definedName name="v_21_GO2_atm">Model!$AQ$72</definedName>
    <definedName name="v_21_SALK">Model!$Z$72</definedName>
    <definedName name="v_21_SALPHA">Model!$AJ$72</definedName>
    <definedName name="v_21_SB">Model!$E$72</definedName>
    <definedName name="v_21_SCH4">Model!$W$72</definedName>
    <definedName name="v_21_SH">Model!$AI$72</definedName>
    <definedName name="v_21_SH2">Model!$X$72</definedName>
    <definedName name="v_21_SN_B">Model!$R$72</definedName>
    <definedName name="v_21_SN2">Model!$Q$72</definedName>
    <definedName name="v_21_SNHx">Model!$O$72</definedName>
    <definedName name="v_21_SNOx">Model!$P$72</definedName>
    <definedName name="v_21_SO2">Model!$V$72</definedName>
    <definedName name="v_21_SPFOA">Model!$AE$72</definedName>
    <definedName name="v_21_SPFOS">Model!$AG$72</definedName>
    <definedName name="v_21_SPO4">Model!$T$72</definedName>
    <definedName name="v_21_SU">Model!$G$72</definedName>
    <definedName name="v_21_XALGAE">Model!$N$72</definedName>
    <definedName name="v_21_XAlOH">Model!$AC$72</definedName>
    <definedName name="v_21_XAlP">Model!$AD$72</definedName>
    <definedName name="v_21_XAMETO">Model!$L$72</definedName>
    <definedName name="v_21_XB">Model!$F$72</definedName>
    <definedName name="v_21_XE">Model!$I$72</definedName>
    <definedName name="v_21_XFeOH">Model!$AA$72</definedName>
    <definedName name="v_21_XFeP">Model!$AB$72</definedName>
    <definedName name="v_21_XHMETO">Model!$M$72</definedName>
    <definedName name="v_21_XINORG">Model!$Y$72</definedName>
    <definedName name="v_21_XN_B">Model!$S$72</definedName>
    <definedName name="v_21_XNITO">Model!$K$72</definedName>
    <definedName name="v_21_XOHO">Model!$J$72</definedName>
    <definedName name="v_21_XP_B">Model!$U$72</definedName>
    <definedName name="v_21_XPFOA">Model!$AF$72</definedName>
    <definedName name="v_21_XPFOS">Model!$AH$72</definedName>
    <definedName name="v_21_XU">Model!$H$72</definedName>
    <definedName name="v_22_GCH4">Model!$AK$73</definedName>
    <definedName name="v_22_GCH4_atm">Model!$AO$73</definedName>
    <definedName name="v_22_GH2">Model!$AL$73</definedName>
    <definedName name="v_22_GH2_atm">Model!$AP$73</definedName>
    <definedName name="v_22_GN2">Model!$AN$73</definedName>
    <definedName name="v_22_GN2_atm">Model!$AR$73</definedName>
    <definedName name="v_22_GO2">Model!$AM$73</definedName>
    <definedName name="v_22_GO2_atm">Model!$AQ$73</definedName>
    <definedName name="v_22_SALK">Model!$Z$73</definedName>
    <definedName name="v_22_SALPHA">Model!$AJ$73</definedName>
    <definedName name="v_22_SB">Model!$E$73</definedName>
    <definedName name="v_22_SCH4">Model!$W$73</definedName>
    <definedName name="v_22_SH">Model!$AI$73</definedName>
    <definedName name="v_22_SH2">Model!$X$73</definedName>
    <definedName name="v_22_SN_B">Model!$R$73</definedName>
    <definedName name="v_22_SN2">Model!$Q$73</definedName>
    <definedName name="v_22_SNHx">Model!$O$73</definedName>
    <definedName name="v_22_SNOx">Model!$P$73</definedName>
    <definedName name="v_22_SO2">Model!$V$73</definedName>
    <definedName name="v_22_SPFOA">Model!$AE$73</definedName>
    <definedName name="v_22_SPFOS">Model!$AG$73</definedName>
    <definedName name="v_22_SPO4">Model!$T$73</definedName>
    <definedName name="v_22_SU">Model!$G$73</definedName>
    <definedName name="v_22_XALGAE">Model!$N$73</definedName>
    <definedName name="v_22_XAlOH">Model!$AC$73</definedName>
    <definedName name="v_22_XAlP">Model!$AD$73</definedName>
    <definedName name="v_22_XAMETO">Model!$L$73</definedName>
    <definedName name="v_22_XB">Model!$F$73</definedName>
    <definedName name="v_22_XE">Model!$I$73</definedName>
    <definedName name="v_22_XFeOH">Model!$AA$73</definedName>
    <definedName name="v_22_XFeP">Model!$AB$73</definedName>
    <definedName name="v_22_XHMETO">Model!$M$73</definedName>
    <definedName name="v_22_XINORG">Model!$Y$73</definedName>
    <definedName name="v_22_XN_B">Model!$S$73</definedName>
    <definedName name="v_22_XNITO">Model!$K$73</definedName>
    <definedName name="v_22_XOHO">Model!$J$73</definedName>
    <definedName name="v_22_XP_B">Model!$U$73</definedName>
    <definedName name="v_22_XPFOA">Model!$AF$73</definedName>
    <definedName name="v_22_XPFOS">Model!$AH$73</definedName>
    <definedName name="v_22_XU">Model!$H$73</definedName>
    <definedName name="v_23_GCH4">Model!$AK$74</definedName>
    <definedName name="v_23_GCH4_atm">Model!$AO$74</definedName>
    <definedName name="v_23_GH2">Model!$AL$74</definedName>
    <definedName name="v_23_GH2_atm">Model!$AP$74</definedName>
    <definedName name="v_23_GN2">Model!$AN$74</definedName>
    <definedName name="v_23_GN2_atm">Model!$AR$74</definedName>
    <definedName name="v_23_GO2">Model!$AM$74</definedName>
    <definedName name="v_23_GO2_atm">Model!$AQ$74</definedName>
    <definedName name="v_23_SALK">Model!$Z$74</definedName>
    <definedName name="v_23_SALPHA">Model!$AJ$74</definedName>
    <definedName name="v_23_SB">Model!$E$74</definedName>
    <definedName name="v_23_SCH4">Model!$W$74</definedName>
    <definedName name="v_23_SH">Model!$AI$74</definedName>
    <definedName name="v_23_SH2">Model!$X$74</definedName>
    <definedName name="v_23_SN_B">Model!$R$74</definedName>
    <definedName name="v_23_SN2">Model!$Q$74</definedName>
    <definedName name="v_23_SNHx">Model!$O$74</definedName>
    <definedName name="v_23_SNOx">Model!$P$74</definedName>
    <definedName name="v_23_SO2">Model!$V$74</definedName>
    <definedName name="v_23_SPFOA">Model!$AE$74</definedName>
    <definedName name="v_23_SPFOS">Model!$AG$74</definedName>
    <definedName name="v_23_SPO4">Model!$T$74</definedName>
    <definedName name="v_23_SU">Model!$G$74</definedName>
    <definedName name="v_23_XALGAE">Model!$N$74</definedName>
    <definedName name="v_23_XAlOH">Model!$AC$74</definedName>
    <definedName name="v_23_XAlP">Model!$AD$74</definedName>
    <definedName name="v_23_XAMETO">Model!$L$74</definedName>
    <definedName name="v_23_XB">Model!$F$74</definedName>
    <definedName name="v_23_XE">Model!$I$74</definedName>
    <definedName name="v_23_XFeOH">Model!$AA$74</definedName>
    <definedName name="v_23_XFeP">Model!$AB$74</definedName>
    <definedName name="v_23_XHMETO">Model!$M$74</definedName>
    <definedName name="v_23_XINORG">Model!$Y$74</definedName>
    <definedName name="v_23_XN_B">Model!$S$74</definedName>
    <definedName name="v_23_XNITO">Model!$K$74</definedName>
    <definedName name="v_23_XOHO">Model!$J$74</definedName>
    <definedName name="v_23_XP_B">Model!$U$74</definedName>
    <definedName name="v_23_XPFOA">Model!$AF$74</definedName>
    <definedName name="v_23_XPFOS">Model!$AH$74</definedName>
    <definedName name="v_23_XU">Model!$H$74</definedName>
    <definedName name="v_24_GCH4">Model!$AK$75</definedName>
    <definedName name="v_24_GCH4_atm">Model!$AO$75</definedName>
    <definedName name="v_24_GH2">Model!$AL$75</definedName>
    <definedName name="v_24_GH2_atm">Model!$AP$75</definedName>
    <definedName name="v_24_GN2">Model!$AN$75</definedName>
    <definedName name="v_24_GN2_atm">Model!$AR$75</definedName>
    <definedName name="v_24_GO2">Model!$AM$75</definedName>
    <definedName name="v_24_GO2_atm">Model!$AQ$75</definedName>
    <definedName name="v_24_SALK">Model!$Z$75</definedName>
    <definedName name="v_24_SALPHA">Model!$AJ$75</definedName>
    <definedName name="v_24_SB">Model!$E$75</definedName>
    <definedName name="v_24_SCH4">Model!$W$75</definedName>
    <definedName name="v_24_SH">Model!$AI$75</definedName>
    <definedName name="v_24_SH2">Model!$X$75</definedName>
    <definedName name="v_24_SN_B">Model!$R$75</definedName>
    <definedName name="v_24_SN2">Model!$Q$75</definedName>
    <definedName name="v_24_SNHx">Model!$O$75</definedName>
    <definedName name="v_24_SNOx">Model!$P$75</definedName>
    <definedName name="v_24_SO2">Model!$V$75</definedName>
    <definedName name="v_24_SPFOA">Model!$AE$75</definedName>
    <definedName name="v_24_SPFOS">Model!$AG$75</definedName>
    <definedName name="v_24_SPO4">Model!$T$75</definedName>
    <definedName name="v_24_SU">Model!$G$75</definedName>
    <definedName name="v_24_XALGAE">Model!$N$75</definedName>
    <definedName name="v_24_XAlOH">Model!$AC$75</definedName>
    <definedName name="v_24_XAlP">Model!$AD$75</definedName>
    <definedName name="v_24_XAMETO">Model!$L$75</definedName>
    <definedName name="v_24_XB">Model!$F$75</definedName>
    <definedName name="v_24_XE">Model!$I$75</definedName>
    <definedName name="v_24_XFeOH">Model!$AA$75</definedName>
    <definedName name="v_24_XFeP">Model!$AB$75</definedName>
    <definedName name="v_24_XHMETO">Model!$M$75</definedName>
    <definedName name="v_24_XINORG">Model!$Y$75</definedName>
    <definedName name="v_24_XN_B">Model!$S$75</definedName>
    <definedName name="v_24_XNITO">Model!$K$75</definedName>
    <definedName name="v_24_XOHO">Model!$J$75</definedName>
    <definedName name="v_24_XP_B">Model!$U$75</definedName>
    <definedName name="v_24_XPFOA">Model!$AF$75</definedName>
    <definedName name="v_24_XPFOS">Model!$AH$75</definedName>
    <definedName name="v_24_XU">Model!$H$75</definedName>
    <definedName name="v_25_GCH4">Model!$AK$76</definedName>
    <definedName name="v_25_GCH4_atm">Model!$AO$76</definedName>
    <definedName name="v_25_GH2">Model!$AL$76</definedName>
    <definedName name="v_25_GH2_atm">Model!$AP$76</definedName>
    <definedName name="v_25_GN2">Model!$AN$76</definedName>
    <definedName name="v_25_GN2_atm">Model!$AR$76</definedName>
    <definedName name="v_25_GO2">Model!$AM$76</definedName>
    <definedName name="v_25_GO2_atm">Model!$AQ$76</definedName>
    <definedName name="v_25_SALK">Model!$Z$76</definedName>
    <definedName name="v_25_SALPHA">Model!$AJ$76</definedName>
    <definedName name="v_25_SB">Model!$E$76</definedName>
    <definedName name="v_25_SCH4">Model!$W$76</definedName>
    <definedName name="v_25_SH">Model!$AI$76</definedName>
    <definedName name="v_25_SH2">Model!$X$76</definedName>
    <definedName name="v_25_SN_B">Model!$R$76</definedName>
    <definedName name="v_25_SN2">Model!$Q$76</definedName>
    <definedName name="v_25_SNHx">Model!$O$76</definedName>
    <definedName name="v_25_SNOx">Model!$P$76</definedName>
    <definedName name="v_25_SO2">Model!$V$76</definedName>
    <definedName name="v_25_SPFOA">Model!$AE$76</definedName>
    <definedName name="v_25_SPFOS">Model!$AG$76</definedName>
    <definedName name="v_25_SPO4">Model!$T$76</definedName>
    <definedName name="v_25_SU">Model!$G$76</definedName>
    <definedName name="v_25_XALGAE">Model!$N$76</definedName>
    <definedName name="v_25_XAlOH">Model!$AC$76</definedName>
    <definedName name="v_25_XAlP">Model!$AD$76</definedName>
    <definedName name="v_25_XAMETO">Model!$L$76</definedName>
    <definedName name="v_25_XB">Model!$F$76</definedName>
    <definedName name="v_25_XE">Model!$I$76</definedName>
    <definedName name="v_25_XFeOH">Model!$AA$76</definedName>
    <definedName name="v_25_XFeP">Model!$AB$76</definedName>
    <definedName name="v_25_XHMETO">Model!$M$76</definedName>
    <definedName name="v_25_XINORG">Model!$Y$76</definedName>
    <definedName name="v_25_XN_B">Model!$S$76</definedName>
    <definedName name="v_25_XNITO">Model!$K$76</definedName>
    <definedName name="v_25_XOHO">Model!$J$76</definedName>
    <definedName name="v_25_XP_B">Model!$U$76</definedName>
    <definedName name="v_25_XPFOA">Model!$AF$76</definedName>
    <definedName name="v_25_XPFOS">Model!$AH$76</definedName>
    <definedName name="v_25_XU">Model!$H$76</definedName>
    <definedName name="v_26_GCH4">Model!$AK$77</definedName>
    <definedName name="v_26_GCH4_atm">Model!$AO$77</definedName>
    <definedName name="v_26_GH2">Model!$AL$77</definedName>
    <definedName name="v_26_GH2_atm">Model!$AP$77</definedName>
    <definedName name="v_26_GN2">Model!$AN$77</definedName>
    <definedName name="v_26_GN2_atm">Model!$AR$77</definedName>
    <definedName name="v_26_GO2">Model!$AM$77</definedName>
    <definedName name="v_26_GO2_atm">Model!$AQ$77</definedName>
    <definedName name="v_26_SALK">Model!$Z$77</definedName>
    <definedName name="v_26_SALPHA">Model!$AJ$77</definedName>
    <definedName name="v_26_SB">Model!$E$77</definedName>
    <definedName name="v_26_SCH4">Model!$W$77</definedName>
    <definedName name="v_26_SH">Model!$AI$77</definedName>
    <definedName name="v_26_SH2">Model!$X$77</definedName>
    <definedName name="v_26_SN_B">Model!$R$77</definedName>
    <definedName name="v_26_SN2">Model!$Q$77</definedName>
    <definedName name="v_26_SNHx">Model!$O$77</definedName>
    <definedName name="v_26_SNOx">Model!$P$77</definedName>
    <definedName name="v_26_SO2">Model!$V$77</definedName>
    <definedName name="v_26_SPFOA">Model!$AE$77</definedName>
    <definedName name="v_26_SPFOS">Model!$AG$77</definedName>
    <definedName name="v_26_SPO4">Model!$T$77</definedName>
    <definedName name="v_26_SU">Model!$G$77</definedName>
    <definedName name="v_26_XALGAE">Model!$N$77</definedName>
    <definedName name="v_26_XAlOH">Model!$AC$77</definedName>
    <definedName name="v_26_XAlP">Model!$AD$77</definedName>
    <definedName name="v_26_XAMETO">Model!$L$77</definedName>
    <definedName name="v_26_XB">Model!$F$77</definedName>
    <definedName name="v_26_XE">Model!$I$77</definedName>
    <definedName name="v_26_XFeOH">Model!$AA$77</definedName>
    <definedName name="v_26_XFeP">Model!$AB$77</definedName>
    <definedName name="v_26_XHMETO">Model!$M$77</definedName>
    <definedName name="v_26_XINORG">Model!$Y$77</definedName>
    <definedName name="v_26_XN_B">Model!$S$77</definedName>
    <definedName name="v_26_XNITO">Model!$K$77</definedName>
    <definedName name="v_26_XOHO">Model!$J$77</definedName>
    <definedName name="v_26_XP_B">Model!$U$77</definedName>
    <definedName name="v_26_XPFOA">Model!$AF$77</definedName>
    <definedName name="v_26_XPFOS">Model!$AH$77</definedName>
    <definedName name="v_26_XU">Model!$H$77</definedName>
    <definedName name="v_27_GCH4">Model!$AK$78</definedName>
    <definedName name="v_27_GCH4_atm">Model!$AO$78</definedName>
    <definedName name="v_27_GH2">Model!$AL$78</definedName>
    <definedName name="v_27_GH2_atm">Model!$AP$78</definedName>
    <definedName name="v_27_GN2">Model!$AN$78</definedName>
    <definedName name="v_27_GN2_atm">Model!$AR$78</definedName>
    <definedName name="v_27_GO2">Model!$AM$78</definedName>
    <definedName name="v_27_GO2_atm">Model!$AQ$78</definedName>
    <definedName name="v_27_SALK">Model!$Z$78</definedName>
    <definedName name="v_27_SALPHA">Model!$AJ$78</definedName>
    <definedName name="v_27_SB">Model!$E$78</definedName>
    <definedName name="v_27_SCH4">Model!$W$78</definedName>
    <definedName name="v_27_SH">Model!$AI$78</definedName>
    <definedName name="v_27_SH2">Model!$X$78</definedName>
    <definedName name="v_27_SN_B">Model!$R$78</definedName>
    <definedName name="v_27_SN2">Model!$Q$78</definedName>
    <definedName name="v_27_SNHx">Model!$O$78</definedName>
    <definedName name="v_27_SNOx">Model!$P$78</definedName>
    <definedName name="v_27_SO2">Model!$V$78</definedName>
    <definedName name="v_27_SPFOA">Model!$AE$78</definedName>
    <definedName name="v_27_SPFOS">Model!$AG$78</definedName>
    <definedName name="v_27_SPO4">Model!$T$78</definedName>
    <definedName name="v_27_SU">Model!$G$78</definedName>
    <definedName name="v_27_XALGAE">Model!$N$78</definedName>
    <definedName name="v_27_XAlOH">Model!$AC$78</definedName>
    <definedName name="v_27_XAlP">Model!$AD$78</definedName>
    <definedName name="v_27_XAMETO">Model!$L$78</definedName>
    <definedName name="v_27_XB">Model!$F$78</definedName>
    <definedName name="v_27_XE">Model!$I$78</definedName>
    <definedName name="v_27_XFeOH">Model!$AA$78</definedName>
    <definedName name="v_27_XFeP">Model!$AB$78</definedName>
    <definedName name="v_27_XHMETO">Model!$M$78</definedName>
    <definedName name="v_27_XINORG">Model!$Y$78</definedName>
    <definedName name="v_27_XN_B">Model!$S$78</definedName>
    <definedName name="v_27_XNITO">Model!$K$78</definedName>
    <definedName name="v_27_XOHO">Model!$J$78</definedName>
    <definedName name="v_27_XP_B">Model!$U$78</definedName>
    <definedName name="v_27_XPFOA">Model!$AF$78</definedName>
    <definedName name="v_27_XPFOS">Model!$AH$78</definedName>
    <definedName name="v_27_XU">Model!$H$78</definedName>
    <definedName name="v_28_GCH4">Model!$AK$79</definedName>
    <definedName name="v_28_GCH4_atm">Model!$AO$79</definedName>
    <definedName name="v_28_GH2">Model!$AL$79</definedName>
    <definedName name="v_28_GH2_atm">Model!$AP$79</definedName>
    <definedName name="v_28_GN2">Model!$AN$79</definedName>
    <definedName name="v_28_GN2_atm">Model!$AR$79</definedName>
    <definedName name="v_28_GO2">Model!$AM$79</definedName>
    <definedName name="v_28_GO2_atm">Model!$AQ$79</definedName>
    <definedName name="v_28_SALK">Model!$Z$79</definedName>
    <definedName name="v_28_SALPHA">Model!$AJ$79</definedName>
    <definedName name="v_28_SB">Model!$E$79</definedName>
    <definedName name="v_28_SCH4">Model!$W$79</definedName>
    <definedName name="v_28_SH">Model!$AI$79</definedName>
    <definedName name="v_28_SH2">Model!$X$79</definedName>
    <definedName name="v_28_SN_B">Model!$R$79</definedName>
    <definedName name="v_28_SN2">Model!$Q$79</definedName>
    <definedName name="v_28_SNHx">Model!$O$79</definedName>
    <definedName name="v_28_SNOx">Model!$P$79</definedName>
    <definedName name="v_28_SO2">Model!$V$79</definedName>
    <definedName name="v_28_SPFOA">Model!$AE$79</definedName>
    <definedName name="v_28_SPFOS">Model!$AG$79</definedName>
    <definedName name="v_28_SPO4">Model!$T$79</definedName>
    <definedName name="v_28_SU">Model!$G$79</definedName>
    <definedName name="v_28_XALGAE">Model!$N$79</definedName>
    <definedName name="v_28_XAlOH">Model!$AC$79</definedName>
    <definedName name="v_28_XAlP">Model!$AD$79</definedName>
    <definedName name="v_28_XAMETO">Model!$L$79</definedName>
    <definedName name="v_28_XB">Model!$F$79</definedName>
    <definedName name="v_28_XE">Model!$I$79</definedName>
    <definedName name="v_28_XFeOH">Model!$AA$79</definedName>
    <definedName name="v_28_XFeP">Model!$AB$79</definedName>
    <definedName name="v_28_XHMETO">Model!$M$79</definedName>
    <definedName name="v_28_XINORG">Model!$Y$79</definedName>
    <definedName name="v_28_XN_B">Model!$S$79</definedName>
    <definedName name="v_28_XNITO">Model!$K$79</definedName>
    <definedName name="v_28_XOHO">Model!$J$79</definedName>
    <definedName name="v_28_XP_B">Model!$U$79</definedName>
    <definedName name="v_28_XPFOA">Model!$AF$79</definedName>
    <definedName name="v_28_XPFOS">Model!$AH$79</definedName>
    <definedName name="v_28_XU">Model!$H$79</definedName>
    <definedName name="v_29_GCH4">Model!$AK$80</definedName>
    <definedName name="v_29_GCH4_atm">Model!$AO$80</definedName>
    <definedName name="v_29_GH2">Model!$AL$80</definedName>
    <definedName name="v_29_GH2_atm">Model!$AP$80</definedName>
    <definedName name="v_29_GN2">Model!$AN$80</definedName>
    <definedName name="v_29_GN2_atm">Model!$AR$80</definedName>
    <definedName name="v_29_GO2">Model!$AM$80</definedName>
    <definedName name="v_29_GO2_atm">Model!$AQ$80</definedName>
    <definedName name="v_29_SALK">Model!$Z$80</definedName>
    <definedName name="v_29_SALPHA">Model!$AJ$80</definedName>
    <definedName name="v_29_SB">Model!$E$80</definedName>
    <definedName name="v_29_SCH4">Model!$W$80</definedName>
    <definedName name="v_29_SH">Model!$AI$80</definedName>
    <definedName name="v_29_SH2">Model!$X$80</definedName>
    <definedName name="v_29_SN_B">Model!$R$80</definedName>
    <definedName name="v_29_SN2">Model!$Q$80</definedName>
    <definedName name="v_29_SNHx">Model!$O$80</definedName>
    <definedName name="v_29_SNOx">Model!$P$80</definedName>
    <definedName name="v_29_SO2">Model!$V$80</definedName>
    <definedName name="v_29_SPFOA">Model!$AE$80</definedName>
    <definedName name="v_29_SPFOS">Model!$AG$80</definedName>
    <definedName name="v_29_SPO4">Model!$T$80</definedName>
    <definedName name="v_29_SU">Model!$G$80</definedName>
    <definedName name="v_29_XALGAE">Model!$N$80</definedName>
    <definedName name="v_29_XAlOH">Model!$AC$80</definedName>
    <definedName name="v_29_XAlP">Model!$AD$80</definedName>
    <definedName name="v_29_XAMETO">Model!$L$80</definedName>
    <definedName name="v_29_XB">Model!$F$80</definedName>
    <definedName name="v_29_XE">Model!$I$80</definedName>
    <definedName name="v_29_XFeOH">Model!$AA$80</definedName>
    <definedName name="v_29_XFeP">Model!$AB$80</definedName>
    <definedName name="v_29_XHMETO">Model!$M$80</definedName>
    <definedName name="v_29_XINORG">Model!$Y$80</definedName>
    <definedName name="v_29_XN_B">Model!$S$80</definedName>
    <definedName name="v_29_XNITO">Model!$K$80</definedName>
    <definedName name="v_29_XOHO">Model!$J$80</definedName>
    <definedName name="v_29_XP_B">Model!$U$80</definedName>
    <definedName name="v_29_XPFOA">Model!$AF$80</definedName>
    <definedName name="v_29_XPFOS">Model!$AH$80</definedName>
    <definedName name="v_29_XU">Model!$H$80</definedName>
    <definedName name="v_3_GCH4">Model!$AK$54</definedName>
    <definedName name="v_3_GCH4_atm">Model!$AO$54</definedName>
    <definedName name="v_3_GH2">Model!$AL$54</definedName>
    <definedName name="v_3_GH2_atm">Model!$AP$54</definedName>
    <definedName name="v_3_GN2">Model!$AN$54</definedName>
    <definedName name="v_3_GN2_atm">Model!$AR$54</definedName>
    <definedName name="v_3_GO2">Model!$AM$54</definedName>
    <definedName name="v_3_GO2_atm">Model!$AQ$54</definedName>
    <definedName name="v_3_SALK">Model!$Z$54</definedName>
    <definedName name="v_3_SALPHA">Model!$AJ$54</definedName>
    <definedName name="v_3_SB">Model!$E$54</definedName>
    <definedName name="v_3_SCH4">Model!$W$54</definedName>
    <definedName name="v_3_SH">Model!$AI$54</definedName>
    <definedName name="v_3_SH2">Model!$X$54</definedName>
    <definedName name="v_3_SN_B">Model!$R$54</definedName>
    <definedName name="v_3_SN2">Model!$Q$54</definedName>
    <definedName name="v_3_SNHx">Model!$O$54</definedName>
    <definedName name="v_3_SNOx">Model!$P$54</definedName>
    <definedName name="v_3_SO2">Model!$V$54</definedName>
    <definedName name="v_3_SPFOA">Model!$AE$54</definedName>
    <definedName name="v_3_SPFOS">Model!$AG$54</definedName>
    <definedName name="v_3_SPO4">Model!$T$54</definedName>
    <definedName name="v_3_SU">Model!$G$54</definedName>
    <definedName name="v_3_XALGAE">Model!$N$54</definedName>
    <definedName name="v_3_XAlOH">Model!$AC$54</definedName>
    <definedName name="v_3_XAlP">Model!$AD$54</definedName>
    <definedName name="v_3_XAMETO">Model!$L$54</definedName>
    <definedName name="v_3_XB">Model!$F$54</definedName>
    <definedName name="v_3_XE">Model!$I$54</definedName>
    <definedName name="v_3_XFeOH">Model!$AA$54</definedName>
    <definedName name="v_3_XFeP">Model!$AB$54</definedName>
    <definedName name="v_3_XHMETO">Model!$M$54</definedName>
    <definedName name="v_3_XINORG">Model!$Y$54</definedName>
    <definedName name="v_3_XN_B">Model!$S$54</definedName>
    <definedName name="v_3_XNITO">Model!$K$54</definedName>
    <definedName name="v_3_XOHO">Model!$J$54</definedName>
    <definedName name="v_3_XP_B">Model!$U$54</definedName>
    <definedName name="v_3_XPFOA">Model!$AF$54</definedName>
    <definedName name="v_3_XPFOS">Model!$AH$54</definedName>
    <definedName name="v_3_XU">Model!$H$54</definedName>
    <definedName name="v_30_GCH4">Model!$AK$81</definedName>
    <definedName name="v_30_GCH4_atm">Model!$AO$81</definedName>
    <definedName name="v_30_GH2">Model!$AL$81</definedName>
    <definedName name="v_30_GH2_atm">Model!$AP$81</definedName>
    <definedName name="v_30_GN2">Model!$AN$81</definedName>
    <definedName name="v_30_GN2_atm">Model!$AR$81</definedName>
    <definedName name="v_30_GO2">Model!$AM$81</definedName>
    <definedName name="v_30_GO2_atm">Model!$AQ$81</definedName>
    <definedName name="v_30_SALK">Model!$Z$81</definedName>
    <definedName name="v_30_SALPHA">Model!$AJ$81</definedName>
    <definedName name="v_30_SB">Model!$E$81</definedName>
    <definedName name="v_30_SCH4">Model!$W$81</definedName>
    <definedName name="v_30_SH">Model!$AI$81</definedName>
    <definedName name="v_30_SH2">Model!$X$81</definedName>
    <definedName name="v_30_SN_B">Model!$R$81</definedName>
    <definedName name="v_30_SN2">Model!$Q$81</definedName>
    <definedName name="v_30_SNHx">Model!$O$81</definedName>
    <definedName name="v_30_SNOx">Model!$P$81</definedName>
    <definedName name="v_30_SO2">Model!$V$81</definedName>
    <definedName name="v_30_SPFOA">Model!$AE$81</definedName>
    <definedName name="v_30_SPFOS">Model!$AG$81</definedName>
    <definedName name="v_30_SPO4">Model!$T$81</definedName>
    <definedName name="v_30_SU">Model!$G$81</definedName>
    <definedName name="v_30_XALGAE">Model!$N$81</definedName>
    <definedName name="v_30_XAlOH">Model!$AC$81</definedName>
    <definedName name="v_30_XAlP">Model!$AD$81</definedName>
    <definedName name="v_30_XAMETO">Model!$L$81</definedName>
    <definedName name="v_30_XB">Model!$F$81</definedName>
    <definedName name="v_30_XE">Model!$I$81</definedName>
    <definedName name="v_30_XFeOH">Model!$AA$81</definedName>
    <definedName name="v_30_XFeP">Model!$AB$81</definedName>
    <definedName name="v_30_XHMETO">Model!$M$81</definedName>
    <definedName name="v_30_XINORG">Model!$Y$81</definedName>
    <definedName name="v_30_XN_B">Model!$S$81</definedName>
    <definedName name="v_30_XNITO">Model!$K$81</definedName>
    <definedName name="v_30_XOHO">Model!$J$81</definedName>
    <definedName name="v_30_XP_B">Model!$U$81</definedName>
    <definedName name="v_30_XPFOA">Model!$AF$81</definedName>
    <definedName name="v_30_XPFOS">Model!$AH$81</definedName>
    <definedName name="v_30_XU">Model!$H$81</definedName>
    <definedName name="v_31_GCH4">Model!$AK$82</definedName>
    <definedName name="v_31_GCH4_atm">Model!$AO$82</definedName>
    <definedName name="v_31_GH2">Model!$AL$82</definedName>
    <definedName name="v_31_GH2_atm">Model!$AP$82</definedName>
    <definedName name="v_31_GN2">Model!$AN$82</definedName>
    <definedName name="v_31_GN2_atm">Model!$AR$82</definedName>
    <definedName name="v_31_GO2">Model!$AM$82</definedName>
    <definedName name="v_31_GO2_atm">Model!$AQ$82</definedName>
    <definedName name="v_31_SALK">Model!$Z$82</definedName>
    <definedName name="v_31_SALPHA">Model!$AJ$82</definedName>
    <definedName name="v_31_SB">Model!$E$82</definedName>
    <definedName name="v_31_SCH4">Model!$W$82</definedName>
    <definedName name="v_31_SH">Model!$AI$82</definedName>
    <definedName name="v_31_SH2">Model!$X$82</definedName>
    <definedName name="v_31_SN_B">Model!$R$82</definedName>
    <definedName name="v_31_SN2">Model!$Q$82</definedName>
    <definedName name="v_31_SNHx">Model!$O$82</definedName>
    <definedName name="v_31_SNOx">Model!$P$82</definedName>
    <definedName name="v_31_SO2">Model!$V$82</definedName>
    <definedName name="v_31_SPFOA">Model!$AE$82</definedName>
    <definedName name="v_31_SPFOS">Model!$AG$82</definedName>
    <definedName name="v_31_SPO4">Model!$T$82</definedName>
    <definedName name="v_31_SU">Model!$G$82</definedName>
    <definedName name="v_31_XALGAE">Model!$N$82</definedName>
    <definedName name="v_31_XAlOH">Model!$AC$82</definedName>
    <definedName name="v_31_XAlP">Model!$AD$82</definedName>
    <definedName name="v_31_XAMETO">Model!$L$82</definedName>
    <definedName name="v_31_XB">Model!$F$82</definedName>
    <definedName name="v_31_XE">Model!$I$82</definedName>
    <definedName name="v_31_XFeOH">Model!$AA$82</definedName>
    <definedName name="v_31_XFeP">Model!$AB$82</definedName>
    <definedName name="v_31_XHMETO">Model!$M$82</definedName>
    <definedName name="v_31_XINORG">Model!$Y$82</definedName>
    <definedName name="v_31_XN_B">Model!$S$82</definedName>
    <definedName name="v_31_XNITO">Model!$K$82</definedName>
    <definedName name="v_31_XOHO">Model!$J$82</definedName>
    <definedName name="v_31_XP_B">Model!$U$82</definedName>
    <definedName name="v_31_XPFOA">Model!$AF$82</definedName>
    <definedName name="v_31_XPFOS">Model!$AH$82</definedName>
    <definedName name="v_31_XU">Model!$H$82</definedName>
    <definedName name="v_32_GCH4">Model!$AK$83</definedName>
    <definedName name="v_32_GCH4_atm">Model!$AO$83</definedName>
    <definedName name="v_32_GH2">Model!$AL$83</definedName>
    <definedName name="v_32_GH2_atm">Model!$AP$83</definedName>
    <definedName name="v_32_GN2">Model!$AN$83</definedName>
    <definedName name="v_32_GN2_atm">Model!$AR$83</definedName>
    <definedName name="v_32_GO2">Model!$AM$83</definedName>
    <definedName name="v_32_GO2_atm">Model!$AQ$83</definedName>
    <definedName name="v_32_SALK">Model!$Z$83</definedName>
    <definedName name="v_32_SALPHA">Model!$AJ$83</definedName>
    <definedName name="v_32_SB">Model!$E$83</definedName>
    <definedName name="v_32_SCH4">Model!$W$83</definedName>
    <definedName name="v_32_SH">Model!$AI$83</definedName>
    <definedName name="v_32_SH2">Model!$X$83</definedName>
    <definedName name="v_32_SN_B">Model!$R$83</definedName>
    <definedName name="v_32_SN2">Model!$Q$83</definedName>
    <definedName name="v_32_SNHx">Model!$O$83</definedName>
    <definedName name="v_32_SNOx">Model!$P$83</definedName>
    <definedName name="v_32_SO2">Model!$V$83</definedName>
    <definedName name="v_32_SPFOA">Model!$AE$83</definedName>
    <definedName name="v_32_SPFOS">Model!$AG$83</definedName>
    <definedName name="v_32_SPO4">Model!$T$83</definedName>
    <definedName name="v_32_SU">Model!$G$83</definedName>
    <definedName name="v_32_XALGAE">Model!$N$83</definedName>
    <definedName name="v_32_XAlOH">Model!$AC$83</definedName>
    <definedName name="v_32_XAlP">Model!$AD$83</definedName>
    <definedName name="v_32_XAMETO">Model!$L$83</definedName>
    <definedName name="v_32_XB">Model!$F$83</definedName>
    <definedName name="v_32_XE">Model!$I$83</definedName>
    <definedName name="v_32_XFeOH">Model!$AA$83</definedName>
    <definedName name="v_32_XFeP">Model!$AB$83</definedName>
    <definedName name="v_32_XHMETO">Model!$M$83</definedName>
    <definedName name="v_32_XINORG">Model!$Y$83</definedName>
    <definedName name="v_32_XN_B">Model!$S$83</definedName>
    <definedName name="v_32_XNITO">Model!$K$83</definedName>
    <definedName name="v_32_XOHO">Model!$J$83</definedName>
    <definedName name="v_32_XP_B">Model!$U$83</definedName>
    <definedName name="v_32_XPFOA">Model!$AF$83</definedName>
    <definedName name="v_32_XPFOS">Model!$AH$83</definedName>
    <definedName name="v_32_XU">Model!$H$83</definedName>
    <definedName name="v_33_GCH4">Model!$AK$84</definedName>
    <definedName name="v_33_GCH4_atm">Model!$AO$84</definedName>
    <definedName name="v_33_GH2">Model!$AL$84</definedName>
    <definedName name="v_33_GH2_atm">Model!$AP$84</definedName>
    <definedName name="v_33_GN2">Model!$AN$84</definedName>
    <definedName name="v_33_GN2_atm">Model!$AR$84</definedName>
    <definedName name="v_33_GO2">Model!$AM$84</definedName>
    <definedName name="v_33_GO2_atm">Model!$AQ$84</definedName>
    <definedName name="v_33_SALK">Model!$Z$84</definedName>
    <definedName name="v_33_SALPHA">Model!$AJ$84</definedName>
    <definedName name="v_33_SB">Model!$E$84</definedName>
    <definedName name="v_33_SCH4">Model!$W$84</definedName>
    <definedName name="v_33_SH">Model!$AI$84</definedName>
    <definedName name="v_33_SH2">Model!$X$84</definedName>
    <definedName name="v_33_SN_B">Model!$R$84</definedName>
    <definedName name="v_33_SN2">Model!$Q$84</definedName>
    <definedName name="v_33_SNHx">Model!$O$84</definedName>
    <definedName name="v_33_SNOx">Model!$P$84</definedName>
    <definedName name="v_33_SO2">Model!$V$84</definedName>
    <definedName name="v_33_SPFOA">Model!$AE$84</definedName>
    <definedName name="v_33_SPFOS">Model!$AG$84</definedName>
    <definedName name="v_33_SPO4">Model!$T$84</definedName>
    <definedName name="v_33_SU">Model!$G$84</definedName>
    <definedName name="v_33_XALGAE">Model!$N$84</definedName>
    <definedName name="v_33_XAlOH">Model!$AC$84</definedName>
    <definedName name="v_33_XAlP">Model!$AD$84</definedName>
    <definedName name="v_33_XAMETO">Model!$L$84</definedName>
    <definedName name="v_33_XB">Model!$F$84</definedName>
    <definedName name="v_33_XE">Model!$I$84</definedName>
    <definedName name="v_33_XFeOH">Model!$AA$84</definedName>
    <definedName name="v_33_XFeP">Model!$AB$84</definedName>
    <definedName name="v_33_XHMETO">Model!$M$84</definedName>
    <definedName name="v_33_XINORG">Model!$Y$84</definedName>
    <definedName name="v_33_XN_B">Model!$S$84</definedName>
    <definedName name="v_33_XNITO">Model!$K$84</definedName>
    <definedName name="v_33_XOHO">Model!$J$84</definedName>
    <definedName name="v_33_XP_B">Model!$U$84</definedName>
    <definedName name="v_33_XPFOA">Model!$AF$84</definedName>
    <definedName name="v_33_XPFOS">Model!$AH$84</definedName>
    <definedName name="v_33_XU">Model!$H$84</definedName>
    <definedName name="v_34_GCH4">Model!$AK$85</definedName>
    <definedName name="v_34_GCH4_atm">Model!$AO$85</definedName>
    <definedName name="v_34_GH2">Model!$AL$85</definedName>
    <definedName name="v_34_GH2_atm">Model!$AP$85</definedName>
    <definedName name="v_34_GN2">Model!$AN$85</definedName>
    <definedName name="v_34_GN2_atm">Model!$AR$85</definedName>
    <definedName name="v_34_GO2">Model!$AM$85</definedName>
    <definedName name="v_34_GO2_atm">Model!$AQ$85</definedName>
    <definedName name="v_34_SALK">Model!$Z$85</definedName>
    <definedName name="v_34_SALPHA">Model!$AJ$85</definedName>
    <definedName name="v_34_SB">Model!$E$85</definedName>
    <definedName name="v_34_SCH4">Model!$W$85</definedName>
    <definedName name="v_34_SH">Model!$AI$85</definedName>
    <definedName name="v_34_SH2">Model!$X$85</definedName>
    <definedName name="v_34_SN_B">Model!$R$85</definedName>
    <definedName name="v_34_SN2">Model!$Q$85</definedName>
    <definedName name="v_34_SNHx">Model!$O$85</definedName>
    <definedName name="v_34_SNOx">Model!$P$85</definedName>
    <definedName name="v_34_SO2">Model!$V$85</definedName>
    <definedName name="v_34_SPFOA">Model!$AE$85</definedName>
    <definedName name="v_34_SPFOS">Model!$AG$85</definedName>
    <definedName name="v_34_SPO4">Model!$T$85</definedName>
    <definedName name="v_34_SU">Model!$G$85</definedName>
    <definedName name="v_34_XALGAE">Model!$N$85</definedName>
    <definedName name="v_34_XAlOH">Model!$AC$85</definedName>
    <definedName name="v_34_XAlP">Model!$AD$85</definedName>
    <definedName name="v_34_XAMETO">Model!$L$85</definedName>
    <definedName name="v_34_XB">Model!$F$85</definedName>
    <definedName name="v_34_XE">Model!$I$85</definedName>
    <definedName name="v_34_XFeOH">Model!$AA$85</definedName>
    <definedName name="v_34_XFeP">Model!$AB$85</definedName>
    <definedName name="v_34_XHMETO">Model!$M$85</definedName>
    <definedName name="v_34_XINORG">Model!$Y$85</definedName>
    <definedName name="v_34_XN_B">Model!$S$85</definedName>
    <definedName name="v_34_XNITO">Model!$K$85</definedName>
    <definedName name="v_34_XOHO">Model!$J$85</definedName>
    <definedName name="v_34_XP_B">Model!$U$85</definedName>
    <definedName name="v_34_XPFOA">Model!$AF$85</definedName>
    <definedName name="v_34_XPFOS">Model!$AH$85</definedName>
    <definedName name="v_34_XU">Model!$H$85</definedName>
    <definedName name="v_4_GCH4">Model!$AK$55</definedName>
    <definedName name="v_4_GCH4_atm">Model!$AO$55</definedName>
    <definedName name="v_4_GH2">Model!$AL$55</definedName>
    <definedName name="v_4_GH2_atm">Model!$AP$55</definedName>
    <definedName name="v_4_GN2">Model!$AN$55</definedName>
    <definedName name="v_4_GN2_atm">Model!$AR$55</definedName>
    <definedName name="v_4_GO2">Model!$AM$55</definedName>
    <definedName name="v_4_GO2_atm">Model!$AQ$55</definedName>
    <definedName name="v_4_SALK">Model!$Z$55</definedName>
    <definedName name="v_4_SALPHA">Model!$AJ$55</definedName>
    <definedName name="v_4_SB">Model!$E$55</definedName>
    <definedName name="v_4_SCH4">Model!$W$55</definedName>
    <definedName name="v_4_SH">Model!$AI$55</definedName>
    <definedName name="v_4_SH2">Model!$X$55</definedName>
    <definedName name="v_4_SN_B">Model!$R$55</definedName>
    <definedName name="v_4_SN2">Model!$Q$55</definedName>
    <definedName name="v_4_SNHx">Model!$O$55</definedName>
    <definedName name="v_4_SNOx">Model!$P$55</definedName>
    <definedName name="v_4_SO2">Model!$V$55</definedName>
    <definedName name="v_4_SPFOA">Model!$AE$55</definedName>
    <definedName name="v_4_SPFOS">Model!$AG$55</definedName>
    <definedName name="v_4_SPO4">Model!$T$55</definedName>
    <definedName name="v_4_SU">Model!$G$55</definedName>
    <definedName name="v_4_XALGAE">Model!$N$55</definedName>
    <definedName name="v_4_XAlOH">Model!$AC$55</definedName>
    <definedName name="v_4_XAlP">Model!$AD$55</definedName>
    <definedName name="v_4_XAMETO">Model!$L$55</definedName>
    <definedName name="v_4_XB">Model!$F$55</definedName>
    <definedName name="v_4_XE">Model!$I$55</definedName>
    <definedName name="v_4_XFeOH">Model!$AA$55</definedName>
    <definedName name="v_4_XFeP">Model!$AB$55</definedName>
    <definedName name="v_4_XHMETO">Model!$M$55</definedName>
    <definedName name="v_4_XINORG">Model!$Y$55</definedName>
    <definedName name="v_4_XN_B">Model!$S$55</definedName>
    <definedName name="v_4_XNITO">Model!$K$55</definedName>
    <definedName name="v_4_XOHO">Model!$J$55</definedName>
    <definedName name="v_4_XP_B">Model!$U$55</definedName>
    <definedName name="v_4_XPFOA">Model!$AF$55</definedName>
    <definedName name="v_4_XPFOS">Model!$AH$55</definedName>
    <definedName name="v_4_XU">Model!$H$55</definedName>
    <definedName name="v_5_GCH4">Model!$AK$56</definedName>
    <definedName name="v_5_GCH4_atm">Model!$AO$56</definedName>
    <definedName name="v_5_GH2">Model!$AL$56</definedName>
    <definedName name="v_5_GH2_atm">Model!$AP$56</definedName>
    <definedName name="v_5_GN2">Model!$AN$56</definedName>
    <definedName name="v_5_GN2_atm">Model!$AR$56</definedName>
    <definedName name="v_5_GO2">Model!$AM$56</definedName>
    <definedName name="v_5_GO2_atm">Model!$AQ$56</definedName>
    <definedName name="v_5_SALK">Model!$Z$56</definedName>
    <definedName name="v_5_SALPHA">Model!$AJ$56</definedName>
    <definedName name="v_5_SB">Model!$E$56</definedName>
    <definedName name="v_5_SCH4">Model!$W$56</definedName>
    <definedName name="v_5_SH">Model!$AI$56</definedName>
    <definedName name="v_5_SH2">Model!$X$56</definedName>
    <definedName name="v_5_SN_B">Model!$R$56</definedName>
    <definedName name="v_5_SN2">Model!$Q$56</definedName>
    <definedName name="v_5_SNHx">Model!$O$56</definedName>
    <definedName name="v_5_SNOx">Model!$P$56</definedName>
    <definedName name="v_5_SO2">Model!$V$56</definedName>
    <definedName name="v_5_SPFOA">Model!$AE$56</definedName>
    <definedName name="v_5_SPFOS">Model!$AG$56</definedName>
    <definedName name="v_5_SPO4">Model!$T$56</definedName>
    <definedName name="v_5_SU">Model!$G$56</definedName>
    <definedName name="v_5_XALGAE">Model!$N$56</definedName>
    <definedName name="v_5_XAlOH">Model!$AC$56</definedName>
    <definedName name="v_5_XAlP">Model!$AD$56</definedName>
    <definedName name="v_5_XAMETO">Model!$L$56</definedName>
    <definedName name="v_5_XB">Model!$F$56</definedName>
    <definedName name="v_5_XE">Model!$I$56</definedName>
    <definedName name="v_5_XFeOH">Model!$AA$56</definedName>
    <definedName name="v_5_XFeP">Model!$AB$56</definedName>
    <definedName name="v_5_XHMETO">Model!$M$56</definedName>
    <definedName name="v_5_XINORG">Model!$Y$56</definedName>
    <definedName name="v_5_XN_B">Model!$S$56</definedName>
    <definedName name="v_5_XNITO">Model!$K$56</definedName>
    <definedName name="v_5_XOHO">Model!$J$56</definedName>
    <definedName name="v_5_XP_B">Model!$U$56</definedName>
    <definedName name="v_5_XPFOA">Model!$AF$56</definedName>
    <definedName name="v_5_XPFOS">Model!$AH$56</definedName>
    <definedName name="v_5_XU">Model!$H$56</definedName>
    <definedName name="v_6_GCH4">Model!$AK$57</definedName>
    <definedName name="v_6_GCH4_atm">Model!$AO$57</definedName>
    <definedName name="v_6_GH2">Model!$AL$57</definedName>
    <definedName name="v_6_GH2_atm">Model!$AP$57</definedName>
    <definedName name="v_6_GN2">Model!$AN$57</definedName>
    <definedName name="v_6_GN2_atm">Model!$AR$57</definedName>
    <definedName name="v_6_GO2">Model!$AM$57</definedName>
    <definedName name="v_6_GO2_atm">Model!$AQ$57</definedName>
    <definedName name="v_6_SALK">Model!$Z$57</definedName>
    <definedName name="v_6_SALPHA">Model!$AJ$57</definedName>
    <definedName name="v_6_SB">Model!$E$57</definedName>
    <definedName name="v_6_SCH4">Model!$W$57</definedName>
    <definedName name="v_6_SH">Model!$AI$57</definedName>
    <definedName name="v_6_SH2">Model!$X$57</definedName>
    <definedName name="v_6_SN_B">Model!$R$57</definedName>
    <definedName name="v_6_SN2">Model!$Q$57</definedName>
    <definedName name="v_6_SNHx">Model!$O$57</definedName>
    <definedName name="v_6_SNOx">Model!$P$57</definedName>
    <definedName name="v_6_SO2">Model!$V$57</definedName>
    <definedName name="v_6_SPFOA">Model!$AE$57</definedName>
    <definedName name="v_6_SPFOS">Model!$AG$57</definedName>
    <definedName name="v_6_SPO4">Model!$T$57</definedName>
    <definedName name="v_6_SU">Model!$G$57</definedName>
    <definedName name="v_6_XALGAE">Model!$N$57</definedName>
    <definedName name="v_6_XAlOH">Model!$AC$57</definedName>
    <definedName name="v_6_XAlP">Model!$AD$57</definedName>
    <definedName name="v_6_XAMETO">Model!$L$57</definedName>
    <definedName name="v_6_XB">Model!$F$57</definedName>
    <definedName name="v_6_XE">Model!$I$57</definedName>
    <definedName name="v_6_XFeOH">Model!$AA$57</definedName>
    <definedName name="v_6_XFeP">Model!$AB$57</definedName>
    <definedName name="v_6_XHMETO">Model!$M$57</definedName>
    <definedName name="v_6_XINORG">Model!$Y$57</definedName>
    <definedName name="v_6_XN_B">Model!$S$57</definedName>
    <definedName name="v_6_XNITO">Model!$K$57</definedName>
    <definedName name="v_6_XOHO">Model!$J$57</definedName>
    <definedName name="v_6_XP_B">Model!$U$57</definedName>
    <definedName name="v_6_XPFOA">Model!$AF$57</definedName>
    <definedName name="v_6_XPFOS">Model!$AH$57</definedName>
    <definedName name="v_6_XU">Model!$H$57</definedName>
    <definedName name="v_7_GCH4">Model!$AK$58</definedName>
    <definedName name="v_7_GCH4_atm">Model!$AO$58</definedName>
    <definedName name="v_7_GH2">Model!$AL$58</definedName>
    <definedName name="v_7_GH2_atm">Model!$AP$58</definedName>
    <definedName name="v_7_GN2">Model!$AN$58</definedName>
    <definedName name="v_7_GN2_atm">Model!$AR$58</definedName>
    <definedName name="v_7_GO2">Model!$AM$58</definedName>
    <definedName name="v_7_GO2_atm">Model!$AQ$58</definedName>
    <definedName name="v_7_SALK">Model!$Z$58</definedName>
    <definedName name="v_7_SALPHA">Model!$AJ$58</definedName>
    <definedName name="v_7_SB">Model!$E$58</definedName>
    <definedName name="v_7_SCH4">Model!$W$58</definedName>
    <definedName name="v_7_SH">Model!$AI$58</definedName>
    <definedName name="v_7_SH2">Model!$X$58</definedName>
    <definedName name="v_7_SN_B">Model!$R$58</definedName>
    <definedName name="v_7_SN2">Model!$Q$58</definedName>
    <definedName name="v_7_SNHx">Model!$O$58</definedName>
    <definedName name="v_7_SNOx">Model!$P$58</definedName>
    <definedName name="v_7_SO2">Model!$V$58</definedName>
    <definedName name="v_7_SPFOA">Model!$AE$58</definedName>
    <definedName name="v_7_SPFOS">Model!$AG$58</definedName>
    <definedName name="v_7_SPO4">Model!$T$58</definedName>
    <definedName name="v_7_SU">Model!$G$58</definedName>
    <definedName name="v_7_XALGAE">Model!$N$58</definedName>
    <definedName name="v_7_XAlOH">Model!$AC$58</definedName>
    <definedName name="v_7_XAlP">Model!$AD$58</definedName>
    <definedName name="v_7_XAMETO">Model!$L$58</definedName>
    <definedName name="v_7_XB">Model!$F$58</definedName>
    <definedName name="v_7_XE">Model!$I$58</definedName>
    <definedName name="v_7_XFeOH">Model!$AA$58</definedName>
    <definedName name="v_7_XFeP">Model!$AB$58</definedName>
    <definedName name="v_7_XHMETO">Model!$M$58</definedName>
    <definedName name="v_7_XINORG">Model!$Y$58</definedName>
    <definedName name="v_7_XN_B">Model!$S$58</definedName>
    <definedName name="v_7_XNITO">Model!$K$58</definedName>
    <definedName name="v_7_XOHO">Model!$J$58</definedName>
    <definedName name="v_7_XP_B">Model!$U$58</definedName>
    <definedName name="v_7_XPFOA">Model!$AF$58</definedName>
    <definedName name="v_7_XPFOS">Model!$AH$58</definedName>
    <definedName name="v_7_XU">Model!$H$58</definedName>
    <definedName name="v_8_GCH4">Model!$AK$59</definedName>
    <definedName name="v_8_GCH4_atm">Model!$AO$59</definedName>
    <definedName name="v_8_GH2">Model!$AL$59</definedName>
    <definedName name="v_8_GH2_atm">Model!$AP$59</definedName>
    <definedName name="v_8_GN2">Model!$AN$59</definedName>
    <definedName name="v_8_GN2_atm">Model!$AR$59</definedName>
    <definedName name="v_8_GO2">Model!$AM$59</definedName>
    <definedName name="v_8_GO2_atm">Model!$AQ$59</definedName>
    <definedName name="v_8_SALK">Model!$Z$59</definedName>
    <definedName name="v_8_SALPHA">Model!$AJ$59</definedName>
    <definedName name="v_8_SB">Model!$E$59</definedName>
    <definedName name="v_8_SCH4">Model!$W$59</definedName>
    <definedName name="v_8_SH">Model!$AI$59</definedName>
    <definedName name="v_8_SH2">Model!$X$59</definedName>
    <definedName name="v_8_SN_B">Model!$R$59</definedName>
    <definedName name="v_8_SN2">Model!$Q$59</definedName>
    <definedName name="v_8_SNHx">Model!$O$59</definedName>
    <definedName name="v_8_SNOx">Model!$P$59</definedName>
    <definedName name="v_8_SO2">Model!$V$59</definedName>
    <definedName name="v_8_SPFOA">Model!$AE$59</definedName>
    <definedName name="v_8_SPFOS">Model!$AG$59</definedName>
    <definedName name="v_8_SPO4">Model!$T$59</definedName>
    <definedName name="v_8_SU">Model!$G$59</definedName>
    <definedName name="v_8_XALGAE">Model!$N$59</definedName>
    <definedName name="v_8_XAlOH">Model!$AC$59</definedName>
    <definedName name="v_8_XAlP">Model!$AD$59</definedName>
    <definedName name="v_8_XAMETO">Model!$L$59</definedName>
    <definedName name="v_8_XB">Model!$F$59</definedName>
    <definedName name="v_8_XE">Model!$I$59</definedName>
    <definedName name="v_8_XFeOH">Model!$AA$59</definedName>
    <definedName name="v_8_XFeP">Model!$AB$59</definedName>
    <definedName name="v_8_XHMETO">Model!$M$59</definedName>
    <definedName name="v_8_XINORG">Model!$Y$59</definedName>
    <definedName name="v_8_XN_B">Model!$S$59</definedName>
    <definedName name="v_8_XNITO">Model!$K$59</definedName>
    <definedName name="v_8_XOHO">Model!$J$59</definedName>
    <definedName name="v_8_XP_B">Model!$U$59</definedName>
    <definedName name="v_8_XPFOA">Model!$AF$59</definedName>
    <definedName name="v_8_XPFOS">Model!$AH$59</definedName>
    <definedName name="v_8_XU">Model!$H$59</definedName>
    <definedName name="v_9_GCH4">Model!$AK$60</definedName>
    <definedName name="v_9_GCH4_atm">Model!$AO$60</definedName>
    <definedName name="v_9_GH2">Model!$AL$60</definedName>
    <definedName name="v_9_GH2_atm">Model!$AP$60</definedName>
    <definedName name="v_9_GN2">Model!$AN$60</definedName>
    <definedName name="v_9_GN2_atm">Model!$AR$60</definedName>
    <definedName name="v_9_GO2">Model!$AM$60</definedName>
    <definedName name="v_9_GO2_atm">Model!$AQ$60</definedName>
    <definedName name="v_9_SALK">Model!$Z$60</definedName>
    <definedName name="v_9_SALPHA">Model!$AJ$60</definedName>
    <definedName name="v_9_SB">Model!$E$60</definedName>
    <definedName name="v_9_SCH4">Model!$W$60</definedName>
    <definedName name="v_9_SH">Model!$AI$60</definedName>
    <definedName name="v_9_SH2">Model!$X$60</definedName>
    <definedName name="v_9_SN_B">Model!$R$60</definedName>
    <definedName name="v_9_SN2">Model!$Q$60</definedName>
    <definedName name="v_9_SNHx">Model!$O$60</definedName>
    <definedName name="v_9_SNOx">Model!$P$60</definedName>
    <definedName name="v_9_SO2">Model!$V$60</definedName>
    <definedName name="v_9_SPFOA">Model!$AE$60</definedName>
    <definedName name="v_9_SPFOS">Model!$AG$60</definedName>
    <definedName name="v_9_SPO4">Model!$T$60</definedName>
    <definedName name="v_9_SU">Model!$G$60</definedName>
    <definedName name="v_9_XALGAE">Model!$N$60</definedName>
    <definedName name="v_9_XAlOH">Model!$AC$60</definedName>
    <definedName name="v_9_XAlP">Model!$AD$60</definedName>
    <definedName name="v_9_XAMETO">Model!$L$60</definedName>
    <definedName name="v_9_XB">Model!$F$60</definedName>
    <definedName name="v_9_XE">Model!$I$60</definedName>
    <definedName name="v_9_XFeOH">Model!$AA$60</definedName>
    <definedName name="v_9_XFeP">Model!$AB$60</definedName>
    <definedName name="v_9_XHMETO">Model!$M$60</definedName>
    <definedName name="v_9_XINORG">Model!$Y$60</definedName>
    <definedName name="v_9_XN_B">Model!$S$60</definedName>
    <definedName name="v_9_XNITO">Model!$K$60</definedName>
    <definedName name="v_9_XOHO">Model!$J$60</definedName>
    <definedName name="v_9_XP_B">Model!$U$60</definedName>
    <definedName name="v_9_XPFOA">Model!$AF$60</definedName>
    <definedName name="v_9_XPFOS">Model!$AH$60</definedName>
    <definedName name="v_9_XU">Model!$H$60</definedName>
    <definedName name="V_mol_N">systemcode_constants!$D$68</definedName>
    <definedName name="X_Al_ISS">'Calculated variables'!$E$14</definedName>
    <definedName name="X_Al_TSS">'Calculated variables'!$E$18</definedName>
    <definedName name="X_ALGAE">Components!$E$13</definedName>
    <definedName name="X_AlOH">Components!$E$28</definedName>
    <definedName name="X_AlP">Components!$E$29</definedName>
    <definedName name="X_AMETO">Components!$E$11</definedName>
    <definedName name="X_B">Components!$E$5</definedName>
    <definedName name="X_BIO">'Calculated variables'!$E$4</definedName>
    <definedName name="X_BOD_5">'Calculated variables'!$E$29</definedName>
    <definedName name="X_BOD_ult">'Calculated variables'!$E$26</definedName>
    <definedName name="X_COD">'Calculated variables'!$E$6</definedName>
    <definedName name="X_CsbCOD">'Calculated variables'!$E$8</definedName>
    <definedName name="X_DM">'Calculated variables'!$E$24</definedName>
    <definedName name="X_E">Components!$E$8</definedName>
    <definedName name="X_Fe_ISS">'Calculated variables'!$E$13</definedName>
    <definedName name="X_Fe_TSS">'Calculated variables'!$E$17</definedName>
    <definedName name="X_FeOH">Components!$E$26</definedName>
    <definedName name="X_FeP">Components!$E$27</definedName>
    <definedName name="X_HET">'Calculated variables'!$E$5</definedName>
    <definedName name="X_HET_HYD_lim">Parameters!$D$61</definedName>
    <definedName name="X_HMETO">Components!$E$12</definedName>
    <definedName name="X_INORG">Components!$E$24</definedName>
    <definedName name="X_ISS">'Calculated variables'!$E$22</definedName>
    <definedName name="X_KN">'Calculated variables'!$E$37</definedName>
    <definedName name="X_Me_H2O_TSS">'Calculated variables'!$E$20</definedName>
    <definedName name="X_Me_H2O_VSS">'Calculated variables'!$E$16</definedName>
    <definedName name="X_Me_ISS">'Calculated variables'!$E$15</definedName>
    <definedName name="X_Me_P">'Calculated variables'!$E$21</definedName>
    <definedName name="X_Me_TSS">'Calculated variables'!$E$19</definedName>
    <definedName name="X_N_B">Components!$E$18</definedName>
    <definedName name="X_NITO">Components!$E$10</definedName>
    <definedName name="X_OHO">Components!$E$9</definedName>
    <definedName name="X_P">'Calculated variables'!$E$41</definedName>
    <definedName name="X_P_B">Components!$E$20</definedName>
    <definedName name="X_PFOA">Components!$E$31</definedName>
    <definedName name="X_PFOS">Components!$E$33</definedName>
    <definedName name="X_TSS">'Calculated variables'!$E$23</definedName>
    <definedName name="X_U">Components!$E$7</definedName>
    <definedName name="X_VS">'Calculated variables'!$E$11</definedName>
    <definedName name="X_VS_ult">'Calculated variables'!$E$12</definedName>
    <definedName name="X_VSS">'Calculated variables'!$E$10</definedName>
    <definedName name="X_VSS_BIO">'Calculated variables'!$E$9</definedName>
    <definedName name="Y_AMETO">Parameters!$D$109</definedName>
    <definedName name="Y_BOD_ult">Parameters!$D$135</definedName>
    <definedName name="Y_HMETO">Parameters!$D$110</definedName>
    <definedName name="Y_NITO">Parameters!$D$108</definedName>
    <definedName name="Y_OHO_SB_anox">Parameters!$D$107</definedName>
    <definedName name="Y_OHO_SB_ox">Parameters!$D$106</definedName>
    <definedName name="α_pred">'Calculated variables'!$E$207</definedName>
    <definedName name="Δ_atm">systemcode_constants!$D$43</definedName>
    <definedName name="η_b_ana">Parameters!$D$54</definedName>
    <definedName name="η_b_anox">Parameters!$D$53</definedName>
    <definedName name="η_H2O">systemcode_constants!$D$52</definedName>
    <definedName name="η_OHO_anox">Parameters!$D$11</definedName>
    <definedName name="θ_µ_ALGAE">Parameters!$D$95</definedName>
    <definedName name="θ_µ_AMETO">Parameters!$D$91</definedName>
    <definedName name="θ_µ_HMETO">Parameters!$D$93</definedName>
    <definedName name="θ_µ_NITO">Parameters!$D$89</definedName>
    <definedName name="θ_µ_OHO">Parameters!$D$86</definedName>
    <definedName name="θ_b_ALGAE">Parameters!$D$96</definedName>
    <definedName name="θ_b_AMETO">Parameters!$D$92</definedName>
    <definedName name="θ_b_HMETO">Parameters!$D$94</definedName>
    <definedName name="θ_b_NITO">Parameters!$D$90</definedName>
    <definedName name="θ_b_OHO">Parameters!$D$88</definedName>
    <definedName name="θ_FERM_OHO">Parameters!$D$87</definedName>
    <definedName name="θ_q_AMMON">Parameters!$D$98</definedName>
    <definedName name="θ_q_ASSIM">Parameters!$D$101</definedName>
    <definedName name="θ_q_HYD">Parameters!$D$97</definedName>
    <definedName name="θ_q_XE">Parameters!$D$99</definedName>
    <definedName name="θ_q_XU">Parameters!$D$100</definedName>
    <definedName name="κ__">systemcode_constants!$D$69</definedName>
    <definedName name="λ_H">systemcode_constants!$D$343</definedName>
    <definedName name="ρ_air">systemcode_constants!$D$60</definedName>
    <definedName name="ρ_H2O">systemcode_constants!$D$51</definedName>
    <definedName name="σ_H2O">systemcode_constants!$D$50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94" i="5" l="1"/>
  <c r="E293" i="5"/>
  <c r="E292" i="5"/>
  <c r="E291" i="5"/>
  <c r="E290" i="5"/>
  <c r="E289" i="5"/>
  <c r="E288" i="5"/>
  <c r="E284" i="5"/>
  <c r="E283" i="5"/>
  <c r="E282" i="5"/>
  <c r="E281" i="5"/>
  <c r="E280" i="5"/>
  <c r="E279" i="5"/>
  <c r="E278" i="5"/>
  <c r="E277" i="5"/>
  <c r="E276" i="5"/>
  <c r="E275" i="5"/>
  <c r="E274" i="5"/>
  <c r="E273" i="5"/>
  <c r="E272" i="5"/>
  <c r="E271" i="5"/>
  <c r="E270" i="5"/>
  <c r="E266" i="5"/>
  <c r="E265" i="5"/>
  <c r="E261" i="5"/>
  <c r="E260" i="5"/>
  <c r="E259" i="5"/>
  <c r="E258" i="5"/>
  <c r="E257" i="5"/>
  <c r="E253" i="5"/>
  <c r="E252" i="5"/>
  <c r="E251" i="5"/>
  <c r="E247" i="5"/>
  <c r="E246" i="5"/>
  <c r="E245" i="5"/>
  <c r="E244" i="5"/>
  <c r="E240" i="5"/>
  <c r="E239" i="5"/>
  <c r="E238" i="5"/>
  <c r="E237" i="5"/>
  <c r="E236" i="5"/>
  <c r="E235" i="5"/>
  <c r="E234" i="5"/>
  <c r="E230" i="5"/>
  <c r="E229" i="5"/>
  <c r="E225" i="5"/>
  <c r="E224" i="5"/>
  <c r="E223" i="5"/>
  <c r="E222" i="5"/>
  <c r="E221" i="5"/>
  <c r="E217" i="5"/>
  <c r="E213" i="5"/>
  <c r="E212" i="5" s="1"/>
  <c r="E207" i="5"/>
  <c r="E203" i="5"/>
  <c r="E202" i="5"/>
  <c r="E201" i="5"/>
  <c r="E200" i="5"/>
  <c r="E196" i="5"/>
  <c r="E195" i="5"/>
  <c r="E194" i="5"/>
  <c r="E193" i="5"/>
  <c r="E192" i="5"/>
  <c r="E191" i="5"/>
  <c r="E187" i="5"/>
  <c r="E186" i="5"/>
  <c r="AS69" i="1" s="1"/>
  <c r="E185" i="5"/>
  <c r="AS68" i="1" s="1"/>
  <c r="E184" i="5"/>
  <c r="AS67" i="1" s="1"/>
  <c r="E179" i="5"/>
  <c r="E178" i="5"/>
  <c r="AS58" i="1" s="1"/>
  <c r="E177" i="5"/>
  <c r="E176" i="5"/>
  <c r="E175" i="5"/>
  <c r="E168" i="5"/>
  <c r="E167" i="5"/>
  <c r="E166" i="5"/>
  <c r="E162" i="5"/>
  <c r="E161" i="5"/>
  <c r="E160" i="5"/>
  <c r="E159" i="5"/>
  <c r="E158" i="5"/>
  <c r="E157" i="5"/>
  <c r="E156" i="5"/>
  <c r="E155" i="5"/>
  <c r="E154" i="5"/>
  <c r="E153" i="5"/>
  <c r="E152" i="5"/>
  <c r="E151" i="5"/>
  <c r="E150" i="5"/>
  <c r="E149" i="5"/>
  <c r="E148" i="5"/>
  <c r="E147" i="5"/>
  <c r="E146" i="5"/>
  <c r="E145" i="5"/>
  <c r="E144" i="5"/>
  <c r="E143" i="5"/>
  <c r="E142" i="5"/>
  <c r="E141" i="5"/>
  <c r="E140" i="5"/>
  <c r="E139" i="5"/>
  <c r="E138" i="5"/>
  <c r="E137" i="5"/>
  <c r="E136" i="5"/>
  <c r="E135" i="5"/>
  <c r="E134" i="5"/>
  <c r="E133" i="5"/>
  <c r="E132" i="5"/>
  <c r="E131" i="5"/>
  <c r="E130" i="5"/>
  <c r="E129" i="5"/>
  <c r="E128" i="5"/>
  <c r="E127" i="5"/>
  <c r="E122" i="5"/>
  <c r="E120" i="5"/>
  <c r="E118" i="5"/>
  <c r="E116" i="5"/>
  <c r="E114" i="5"/>
  <c r="E112" i="5"/>
  <c r="E107" i="5"/>
  <c r="E105" i="5"/>
  <c r="E103" i="5"/>
  <c r="E98" i="5"/>
  <c r="E96" i="5"/>
  <c r="E94" i="5"/>
  <c r="E89" i="5"/>
  <c r="E87" i="5"/>
  <c r="E85" i="5"/>
  <c r="E80" i="5"/>
  <c r="E78" i="5"/>
  <c r="E76" i="5"/>
  <c r="E72" i="5"/>
  <c r="E59" i="5"/>
  <c r="E52" i="5"/>
  <c r="E51" i="5"/>
  <c r="E47" i="5"/>
  <c r="E46" i="5"/>
  <c r="E45" i="5"/>
  <c r="E44" i="5"/>
  <c r="E43" i="5"/>
  <c r="E42" i="5"/>
  <c r="E41" i="5" s="1"/>
  <c r="E40" i="5"/>
  <c r="E39" i="5"/>
  <c r="E38" i="5"/>
  <c r="E37" i="5" s="1"/>
  <c r="E36" i="5"/>
  <c r="E35" i="5"/>
  <c r="E34" i="5"/>
  <c r="E33" i="5"/>
  <c r="E32" i="5"/>
  <c r="E31" i="5"/>
  <c r="E30" i="5"/>
  <c r="E29" i="5"/>
  <c r="E28" i="5"/>
  <c r="E27" i="5"/>
  <c r="E26" i="5"/>
  <c r="E25" i="5"/>
  <c r="E24" i="5"/>
  <c r="E23" i="5"/>
  <c r="E22" i="5"/>
  <c r="E21" i="5"/>
  <c r="E20" i="5"/>
  <c r="E19" i="5"/>
  <c r="E18" i="5"/>
  <c r="E17" i="5"/>
  <c r="E16" i="5"/>
  <c r="E15" i="5"/>
  <c r="E14" i="5"/>
  <c r="E13" i="5"/>
  <c r="E12" i="5"/>
  <c r="E10" i="5"/>
  <c r="E11" i="5" s="1"/>
  <c r="E9" i="5"/>
  <c r="E8" i="5"/>
  <c r="E7" i="5"/>
  <c r="E6" i="5"/>
  <c r="E5" i="5"/>
  <c r="E4" i="5"/>
  <c r="AY85" i="1"/>
  <c r="AX85" i="1"/>
  <c r="AW85" i="1"/>
  <c r="AV85" i="1"/>
  <c r="AU85" i="1"/>
  <c r="AY84" i="1"/>
  <c r="AX84" i="1"/>
  <c r="AW84" i="1"/>
  <c r="AV84" i="1"/>
  <c r="AU84" i="1"/>
  <c r="AY83" i="1"/>
  <c r="AX83" i="1"/>
  <c r="AW83" i="1"/>
  <c r="AV83" i="1"/>
  <c r="AU83" i="1"/>
  <c r="AY82" i="1"/>
  <c r="AX82" i="1"/>
  <c r="AW82" i="1"/>
  <c r="AV82" i="1"/>
  <c r="AU82" i="1"/>
  <c r="AY81" i="1"/>
  <c r="AX81" i="1"/>
  <c r="AW81" i="1"/>
  <c r="AV81" i="1"/>
  <c r="AU81" i="1"/>
  <c r="AY80" i="1"/>
  <c r="AX80" i="1"/>
  <c r="AW80" i="1"/>
  <c r="AV80" i="1"/>
  <c r="AU80" i="1"/>
  <c r="AY79" i="1"/>
  <c r="AX79" i="1"/>
  <c r="AW79" i="1"/>
  <c r="AV79" i="1"/>
  <c r="AU79" i="1"/>
  <c r="AY78" i="1"/>
  <c r="AX78" i="1"/>
  <c r="AW78" i="1"/>
  <c r="AV78" i="1"/>
  <c r="AU78" i="1"/>
  <c r="AY77" i="1"/>
  <c r="AX77" i="1"/>
  <c r="AW77" i="1"/>
  <c r="AV77" i="1"/>
  <c r="AU77" i="1"/>
  <c r="AY76" i="1"/>
  <c r="AX76" i="1"/>
  <c r="AW76" i="1"/>
  <c r="AV76" i="1"/>
  <c r="AU76" i="1"/>
  <c r="AY75" i="1"/>
  <c r="AX75" i="1"/>
  <c r="AW75" i="1"/>
  <c r="AV75" i="1"/>
  <c r="AU75" i="1"/>
  <c r="AY73" i="1"/>
  <c r="AX73" i="1"/>
  <c r="AW73" i="1"/>
  <c r="AV73" i="1"/>
  <c r="AU73" i="1"/>
  <c r="AV72" i="1"/>
  <c r="AU72" i="1"/>
  <c r="AY71" i="1"/>
  <c r="AX71" i="1"/>
  <c r="AW71" i="1"/>
  <c r="AY69" i="1"/>
  <c r="AX69" i="1"/>
  <c r="AW69" i="1"/>
  <c r="AV69" i="1"/>
  <c r="AU69" i="1"/>
  <c r="AY68" i="1"/>
  <c r="AX68" i="1"/>
  <c r="AW68" i="1"/>
  <c r="AV68" i="1"/>
  <c r="AU68" i="1"/>
  <c r="AY67" i="1"/>
  <c r="AX67" i="1"/>
  <c r="AY65" i="1"/>
  <c r="AX65" i="1"/>
  <c r="AW65" i="1"/>
  <c r="AV65" i="1"/>
  <c r="AU65" i="1"/>
  <c r="AY60" i="1"/>
  <c r="AU58" i="1"/>
  <c r="AX56" i="1"/>
  <c r="AW56" i="1"/>
  <c r="T94" i="1"/>
  <c r="AZ57" i="1" s="1"/>
  <c r="P94" i="1"/>
  <c r="O94" i="1"/>
  <c r="AZ65" i="1" s="1"/>
  <c r="AD91" i="1"/>
  <c r="AB91" i="1"/>
  <c r="N91" i="1"/>
  <c r="M91" i="1"/>
  <c r="L91" i="1"/>
  <c r="K91" i="1"/>
  <c r="J91" i="1"/>
  <c r="I91" i="1"/>
  <c r="AR90" i="1"/>
  <c r="N90" i="1"/>
  <c r="M90" i="1"/>
  <c r="L90" i="1"/>
  <c r="K90" i="1"/>
  <c r="J90" i="1"/>
  <c r="I90" i="1"/>
  <c r="H90" i="1"/>
  <c r="G90" i="1"/>
  <c r="AR89" i="1"/>
  <c r="AQ89" i="1"/>
  <c r="AP89" i="1"/>
  <c r="AO89" i="1"/>
  <c r="AN89" i="1"/>
  <c r="Q89" i="1"/>
  <c r="P89" i="1"/>
  <c r="AS85" i="1"/>
  <c r="AS84" i="1"/>
  <c r="AS83" i="1"/>
  <c r="AS82" i="1"/>
  <c r="AS81" i="1"/>
  <c r="AS80" i="1"/>
  <c r="AS79" i="1"/>
  <c r="AS78" i="1"/>
  <c r="AS73" i="1"/>
  <c r="AS72" i="1"/>
  <c r="AS71" i="1"/>
  <c r="AR85" i="1"/>
  <c r="AR84" i="1"/>
  <c r="AR83" i="1"/>
  <c r="AR82" i="1"/>
  <c r="AR81" i="1"/>
  <c r="AR80" i="1"/>
  <c r="AR79" i="1"/>
  <c r="AR78" i="1"/>
  <c r="AR77" i="1"/>
  <c r="AR76" i="1"/>
  <c r="AR75" i="1"/>
  <c r="AR74" i="1"/>
  <c r="AR73" i="1"/>
  <c r="AR72" i="1"/>
  <c r="AR71" i="1"/>
  <c r="AR70" i="1"/>
  <c r="AR69" i="1"/>
  <c r="AR68" i="1"/>
  <c r="AR67" i="1"/>
  <c r="AR66" i="1"/>
  <c r="AR65" i="1"/>
  <c r="AR64" i="1"/>
  <c r="AR63" i="1"/>
  <c r="AR62" i="1"/>
  <c r="AR61" i="1"/>
  <c r="AR60" i="1"/>
  <c r="AR59" i="1"/>
  <c r="AR58" i="1"/>
  <c r="AR57" i="1"/>
  <c r="AR56" i="1"/>
  <c r="AR55" i="1"/>
  <c r="AR54" i="1"/>
  <c r="AR53" i="1"/>
  <c r="AR52" i="1"/>
  <c r="AQ85" i="1"/>
  <c r="AQ84" i="1"/>
  <c r="AQ83" i="1"/>
  <c r="AQ82" i="1"/>
  <c r="AQ81" i="1"/>
  <c r="AQ80" i="1"/>
  <c r="AQ79" i="1"/>
  <c r="AQ78" i="1"/>
  <c r="AQ77" i="1"/>
  <c r="AQ76" i="1"/>
  <c r="AQ75" i="1"/>
  <c r="AQ74" i="1"/>
  <c r="AQ73" i="1"/>
  <c r="AQ72" i="1"/>
  <c r="AQ71" i="1"/>
  <c r="AQ70" i="1"/>
  <c r="AQ69" i="1"/>
  <c r="AQ68" i="1"/>
  <c r="AQ67" i="1"/>
  <c r="AQ66" i="1"/>
  <c r="AQ65" i="1"/>
  <c r="AQ64" i="1"/>
  <c r="AQ63" i="1"/>
  <c r="AQ62" i="1"/>
  <c r="AQ61" i="1"/>
  <c r="AQ60" i="1"/>
  <c r="AQ59" i="1"/>
  <c r="AQ58" i="1"/>
  <c r="AQ57" i="1"/>
  <c r="AQ56" i="1"/>
  <c r="AQ55" i="1"/>
  <c r="AQ54" i="1"/>
  <c r="AQ53" i="1"/>
  <c r="AQ52" i="1"/>
  <c r="AP85" i="1"/>
  <c r="AP84" i="1"/>
  <c r="AP83" i="1"/>
  <c r="AP82" i="1"/>
  <c r="AP81" i="1"/>
  <c r="AP80" i="1"/>
  <c r="AP79" i="1"/>
  <c r="AP78" i="1"/>
  <c r="AP77" i="1"/>
  <c r="AP76" i="1"/>
  <c r="AP75" i="1"/>
  <c r="AP74" i="1"/>
  <c r="AP73" i="1"/>
  <c r="AP72" i="1"/>
  <c r="AP71" i="1"/>
  <c r="AP70" i="1"/>
  <c r="AP69" i="1"/>
  <c r="AP68" i="1"/>
  <c r="AP67" i="1"/>
  <c r="AP66" i="1"/>
  <c r="AP65" i="1"/>
  <c r="AP64" i="1"/>
  <c r="AP63" i="1"/>
  <c r="AP62" i="1"/>
  <c r="AP61" i="1"/>
  <c r="AP60" i="1"/>
  <c r="AP59" i="1"/>
  <c r="AP58" i="1"/>
  <c r="AP57" i="1"/>
  <c r="AP56" i="1"/>
  <c r="AP55" i="1"/>
  <c r="AP54" i="1"/>
  <c r="AP53" i="1"/>
  <c r="AP52" i="1"/>
  <c r="AO85" i="1"/>
  <c r="AO84" i="1"/>
  <c r="AO83" i="1"/>
  <c r="AO82" i="1"/>
  <c r="AO81" i="1"/>
  <c r="AO80" i="1"/>
  <c r="AO79" i="1"/>
  <c r="AO78" i="1"/>
  <c r="AO77" i="1"/>
  <c r="AO76" i="1"/>
  <c r="AO75" i="1"/>
  <c r="AO74" i="1"/>
  <c r="AO73" i="1"/>
  <c r="AO72" i="1"/>
  <c r="AO71" i="1"/>
  <c r="AO70" i="1"/>
  <c r="AO69" i="1"/>
  <c r="AO68" i="1"/>
  <c r="AO67" i="1"/>
  <c r="AO66" i="1"/>
  <c r="AO65" i="1"/>
  <c r="AO64" i="1"/>
  <c r="AO63" i="1"/>
  <c r="AO62" i="1"/>
  <c r="AO61" i="1"/>
  <c r="AO60" i="1"/>
  <c r="AO59" i="1"/>
  <c r="AO58" i="1"/>
  <c r="AO57" i="1"/>
  <c r="AO56" i="1"/>
  <c r="AO55" i="1"/>
  <c r="AO54" i="1"/>
  <c r="AO53" i="1"/>
  <c r="AO52" i="1"/>
  <c r="AN85" i="1"/>
  <c r="AN84" i="1"/>
  <c r="AN83" i="1"/>
  <c r="AN82" i="1"/>
  <c r="AN81" i="1"/>
  <c r="AN80" i="1"/>
  <c r="AN79" i="1"/>
  <c r="AN78" i="1"/>
  <c r="AN77" i="1"/>
  <c r="AN76" i="1"/>
  <c r="AN75" i="1"/>
  <c r="AN74" i="1"/>
  <c r="AN73" i="1"/>
  <c r="AN72" i="1"/>
  <c r="AN71" i="1"/>
  <c r="AN70" i="1"/>
  <c r="AN69" i="1"/>
  <c r="AN68" i="1"/>
  <c r="AN67" i="1"/>
  <c r="AN66" i="1"/>
  <c r="AN65" i="1"/>
  <c r="AN64" i="1"/>
  <c r="AN63" i="1"/>
  <c r="AN62" i="1"/>
  <c r="AN61" i="1"/>
  <c r="AN60" i="1"/>
  <c r="AN59" i="1"/>
  <c r="AN58" i="1"/>
  <c r="AN57" i="1"/>
  <c r="AN56" i="1"/>
  <c r="AN55" i="1"/>
  <c r="AN54" i="1"/>
  <c r="AN53" i="1"/>
  <c r="AN52" i="1"/>
  <c r="AM85" i="1"/>
  <c r="AM84" i="1"/>
  <c r="AM83" i="1"/>
  <c r="AM82" i="1"/>
  <c r="AM81" i="1"/>
  <c r="AM80" i="1"/>
  <c r="AM79" i="1"/>
  <c r="AM78" i="1"/>
  <c r="AM77" i="1"/>
  <c r="AM76" i="1"/>
  <c r="AM75" i="1"/>
  <c r="AM74" i="1"/>
  <c r="AM73" i="1"/>
  <c r="AM72" i="1"/>
  <c r="AM71" i="1"/>
  <c r="AM70" i="1"/>
  <c r="AM69" i="1"/>
  <c r="AM68" i="1"/>
  <c r="AM67" i="1"/>
  <c r="AM66" i="1"/>
  <c r="AM65" i="1"/>
  <c r="AM64" i="1"/>
  <c r="AM63" i="1"/>
  <c r="AM62" i="1"/>
  <c r="AM61" i="1"/>
  <c r="AM60" i="1"/>
  <c r="AM59" i="1"/>
  <c r="AM58" i="1"/>
  <c r="AM57" i="1"/>
  <c r="AM56" i="1"/>
  <c r="AM55" i="1"/>
  <c r="AM54" i="1"/>
  <c r="AM53" i="1"/>
  <c r="AM52" i="1"/>
  <c r="AL85" i="1"/>
  <c r="AL84" i="1"/>
  <c r="AL83" i="1"/>
  <c r="AL82" i="1"/>
  <c r="AL81" i="1"/>
  <c r="AL80" i="1"/>
  <c r="AL79" i="1"/>
  <c r="AL78" i="1"/>
  <c r="AL77" i="1"/>
  <c r="AL76" i="1"/>
  <c r="AL75" i="1"/>
  <c r="AL74" i="1"/>
  <c r="AL73" i="1"/>
  <c r="AL72" i="1"/>
  <c r="AL71" i="1"/>
  <c r="AL70" i="1"/>
  <c r="AL69" i="1"/>
  <c r="AL68" i="1"/>
  <c r="AL67" i="1"/>
  <c r="AL66" i="1"/>
  <c r="AL65" i="1"/>
  <c r="AL64" i="1"/>
  <c r="AL63" i="1"/>
  <c r="AL62" i="1"/>
  <c r="AL61" i="1"/>
  <c r="AL60" i="1"/>
  <c r="AL59" i="1"/>
  <c r="AL58" i="1"/>
  <c r="AL57" i="1"/>
  <c r="AL56" i="1"/>
  <c r="AL55" i="1"/>
  <c r="AL54" i="1"/>
  <c r="AL53" i="1"/>
  <c r="AL52" i="1"/>
  <c r="AK85" i="1"/>
  <c r="AK84" i="1"/>
  <c r="AK83" i="1"/>
  <c r="AK82" i="1"/>
  <c r="AK81" i="1"/>
  <c r="AK80" i="1"/>
  <c r="AK79" i="1"/>
  <c r="AK78" i="1"/>
  <c r="AK77" i="1"/>
  <c r="AK76" i="1"/>
  <c r="AK75" i="1"/>
  <c r="AK74" i="1"/>
  <c r="AK73" i="1"/>
  <c r="AK72" i="1"/>
  <c r="AK71" i="1"/>
  <c r="AK70" i="1"/>
  <c r="AK69" i="1"/>
  <c r="AK68" i="1"/>
  <c r="AK67" i="1"/>
  <c r="AK66" i="1"/>
  <c r="AK65" i="1"/>
  <c r="AK64" i="1"/>
  <c r="AK63" i="1"/>
  <c r="AK62" i="1"/>
  <c r="AK61" i="1"/>
  <c r="AK60" i="1"/>
  <c r="AK59" i="1"/>
  <c r="AK58" i="1"/>
  <c r="AK57" i="1"/>
  <c r="AK56" i="1"/>
  <c r="AK55" i="1"/>
  <c r="AK54" i="1"/>
  <c r="AK53" i="1"/>
  <c r="AK52" i="1"/>
  <c r="AJ85" i="1"/>
  <c r="AJ84" i="1"/>
  <c r="AJ83" i="1"/>
  <c r="AJ82" i="1"/>
  <c r="AJ81" i="1"/>
  <c r="AJ80" i="1"/>
  <c r="AJ79" i="1"/>
  <c r="AJ78" i="1"/>
  <c r="AJ77" i="1"/>
  <c r="AJ76" i="1"/>
  <c r="AJ75" i="1"/>
  <c r="AJ74" i="1"/>
  <c r="AJ73" i="1"/>
  <c r="AJ72" i="1"/>
  <c r="AJ71" i="1"/>
  <c r="AJ70" i="1"/>
  <c r="AJ69" i="1"/>
  <c r="AJ68" i="1"/>
  <c r="AJ67" i="1"/>
  <c r="AJ66" i="1"/>
  <c r="AJ65" i="1"/>
  <c r="AJ64" i="1"/>
  <c r="AJ63" i="1"/>
  <c r="AJ62" i="1"/>
  <c r="AJ61" i="1"/>
  <c r="AJ60" i="1"/>
  <c r="AJ59" i="1"/>
  <c r="AJ58" i="1"/>
  <c r="AJ57" i="1"/>
  <c r="AJ56" i="1"/>
  <c r="AJ55" i="1"/>
  <c r="AJ54" i="1"/>
  <c r="AJ53" i="1"/>
  <c r="AJ52" i="1"/>
  <c r="AI85" i="1"/>
  <c r="AI84" i="1"/>
  <c r="AI83" i="1"/>
  <c r="AI82" i="1"/>
  <c r="AI81" i="1"/>
  <c r="AI80" i="1"/>
  <c r="AI79" i="1"/>
  <c r="AI78" i="1"/>
  <c r="AI77" i="1"/>
  <c r="AI76" i="1"/>
  <c r="AI75" i="1"/>
  <c r="AI74" i="1"/>
  <c r="AI73" i="1"/>
  <c r="AI72" i="1"/>
  <c r="AI71" i="1"/>
  <c r="AI70" i="1"/>
  <c r="AI69" i="1"/>
  <c r="AI68" i="1"/>
  <c r="AI67" i="1"/>
  <c r="AI66" i="1"/>
  <c r="AI65" i="1"/>
  <c r="AI64" i="1"/>
  <c r="AI63" i="1"/>
  <c r="AI62" i="1"/>
  <c r="AI61" i="1"/>
  <c r="AI60" i="1"/>
  <c r="AI59" i="1"/>
  <c r="AI58" i="1"/>
  <c r="AI57" i="1"/>
  <c r="AI56" i="1"/>
  <c r="AI55" i="1"/>
  <c r="AI54" i="1"/>
  <c r="AI53" i="1"/>
  <c r="AI52"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G85" i="1"/>
  <c r="AG84" i="1"/>
  <c r="AG83" i="1"/>
  <c r="AG82" i="1"/>
  <c r="AG81" i="1"/>
  <c r="AG80" i="1"/>
  <c r="AG79" i="1"/>
  <c r="AG78" i="1"/>
  <c r="AG77" i="1"/>
  <c r="AG76" i="1"/>
  <c r="AG75" i="1"/>
  <c r="AG74" i="1"/>
  <c r="AG73" i="1"/>
  <c r="AG72" i="1"/>
  <c r="AG71" i="1"/>
  <c r="AG70" i="1"/>
  <c r="AG69" i="1"/>
  <c r="AG68" i="1"/>
  <c r="AG67" i="1"/>
  <c r="AG66" i="1"/>
  <c r="AG65" i="1"/>
  <c r="AG64" i="1"/>
  <c r="AG63" i="1"/>
  <c r="AG62" i="1"/>
  <c r="AG61" i="1"/>
  <c r="AG60" i="1"/>
  <c r="AG59" i="1"/>
  <c r="AG58" i="1"/>
  <c r="AG57" i="1"/>
  <c r="AG56" i="1"/>
  <c r="AG55" i="1"/>
  <c r="AG54" i="1"/>
  <c r="AG53" i="1"/>
  <c r="AG52" i="1"/>
  <c r="AF85" i="1"/>
  <c r="AF84" i="1"/>
  <c r="AF83" i="1"/>
  <c r="AF82" i="1"/>
  <c r="AF81" i="1"/>
  <c r="AF80" i="1"/>
  <c r="AF79" i="1"/>
  <c r="AF78" i="1"/>
  <c r="AF77" i="1"/>
  <c r="AF76" i="1"/>
  <c r="AF75" i="1"/>
  <c r="AF74" i="1"/>
  <c r="AF73" i="1"/>
  <c r="AF72" i="1"/>
  <c r="AF71" i="1"/>
  <c r="AF70" i="1"/>
  <c r="AF69" i="1"/>
  <c r="AF68" i="1"/>
  <c r="AF67" i="1"/>
  <c r="AF66" i="1"/>
  <c r="AF65" i="1"/>
  <c r="AF64" i="1"/>
  <c r="AF63" i="1"/>
  <c r="AF62" i="1"/>
  <c r="AF61" i="1"/>
  <c r="AF60" i="1"/>
  <c r="AF59" i="1"/>
  <c r="AF58" i="1"/>
  <c r="AF57" i="1"/>
  <c r="AF56" i="1"/>
  <c r="AF55" i="1"/>
  <c r="AF54" i="1"/>
  <c r="AF53" i="1"/>
  <c r="AF52"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C85" i="1"/>
  <c r="AC84" i="1"/>
  <c r="AC83" i="1"/>
  <c r="AC82" i="1"/>
  <c r="AC81" i="1"/>
  <c r="AC80" i="1"/>
  <c r="AC79" i="1"/>
  <c r="AC78" i="1"/>
  <c r="AC77" i="1"/>
  <c r="AC76" i="1"/>
  <c r="AC75" i="1"/>
  <c r="AC74" i="1"/>
  <c r="AC73" i="1"/>
  <c r="AC72" i="1"/>
  <c r="AC71" i="1"/>
  <c r="AC70" i="1"/>
  <c r="AC69" i="1"/>
  <c r="AC68" i="1"/>
  <c r="AC67" i="1"/>
  <c r="AC66" i="1"/>
  <c r="AC65" i="1"/>
  <c r="AC64" i="1"/>
  <c r="AC63" i="1"/>
  <c r="AC62" i="1"/>
  <c r="AC61" i="1"/>
  <c r="AC60" i="1"/>
  <c r="AC59" i="1"/>
  <c r="AC58" i="1"/>
  <c r="AC57" i="1"/>
  <c r="AC56" i="1"/>
  <c r="AC55" i="1"/>
  <c r="AC54" i="1"/>
  <c r="AC53" i="1"/>
  <c r="AC52"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AA53" i="1"/>
  <c r="AA52" i="1"/>
  <c r="Z85" i="1"/>
  <c r="Z84" i="1"/>
  <c r="Z83" i="1"/>
  <c r="Z82" i="1"/>
  <c r="Z81" i="1"/>
  <c r="Z80" i="1"/>
  <c r="Z79" i="1"/>
  <c r="Z78" i="1"/>
  <c r="Z77" i="1"/>
  <c r="Z76" i="1"/>
  <c r="Z75" i="1"/>
  <c r="Z74" i="1"/>
  <c r="AW74" i="1" s="1"/>
  <c r="Z73" i="1"/>
  <c r="Z72" i="1"/>
  <c r="AY72" i="1" s="1"/>
  <c r="Z71" i="1"/>
  <c r="AV71" i="1" s="1"/>
  <c r="Z70" i="1"/>
  <c r="Z69" i="1"/>
  <c r="Z68" i="1"/>
  <c r="Z67" i="1"/>
  <c r="AW67" i="1" s="1"/>
  <c r="Z66" i="1"/>
  <c r="AW66" i="1" s="1"/>
  <c r="Z65" i="1"/>
  <c r="Z64" i="1"/>
  <c r="AW64" i="1" s="1"/>
  <c r="Z63" i="1"/>
  <c r="AV63" i="1" s="1"/>
  <c r="Z62" i="1"/>
  <c r="AY62" i="1" s="1"/>
  <c r="Z61" i="1"/>
  <c r="AX61" i="1" s="1"/>
  <c r="Z60" i="1"/>
  <c r="AX60" i="1" s="1"/>
  <c r="Z59" i="1"/>
  <c r="AV59" i="1" s="1"/>
  <c r="Z58" i="1"/>
  <c r="AY58" i="1" s="1"/>
  <c r="Z57" i="1"/>
  <c r="AY57" i="1" s="1"/>
  <c r="Z56" i="1"/>
  <c r="AV56" i="1" s="1"/>
  <c r="Z55" i="1"/>
  <c r="AV55" i="1" s="1"/>
  <c r="Z54" i="1"/>
  <c r="AY54" i="1" s="1"/>
  <c r="Z53" i="1"/>
  <c r="AX53" i="1" s="1"/>
  <c r="Z52" i="1"/>
  <c r="AU52" i="1" s="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W85" i="1"/>
  <c r="W84" i="1"/>
  <c r="W83" i="1"/>
  <c r="W82" i="1"/>
  <c r="W81" i="1"/>
  <c r="W80" i="1"/>
  <c r="W79" i="1"/>
  <c r="W78" i="1"/>
  <c r="W77" i="1"/>
  <c r="W76" i="1"/>
  <c r="W75" i="1"/>
  <c r="W74" i="1"/>
  <c r="W73" i="1"/>
  <c r="W72" i="1"/>
  <c r="W71" i="1"/>
  <c r="W70" i="1"/>
  <c r="W69" i="1"/>
  <c r="W68" i="1"/>
  <c r="W67" i="1"/>
  <c r="W66" i="1"/>
  <c r="W65" i="1"/>
  <c r="W64" i="1"/>
  <c r="W63" i="1"/>
  <c r="W62" i="1"/>
  <c r="W61" i="1"/>
  <c r="W60" i="1"/>
  <c r="W59" i="1"/>
  <c r="W58" i="1"/>
  <c r="W57" i="1"/>
  <c r="W56" i="1"/>
  <c r="W55" i="1"/>
  <c r="W54" i="1"/>
  <c r="W53" i="1"/>
  <c r="W52"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172" i="5" l="1"/>
  <c r="E180" i="5"/>
  <c r="AS60" i="1" s="1"/>
  <c r="E173" i="5"/>
  <c r="E181" i="5"/>
  <c r="E174" i="5"/>
  <c r="E182" i="5"/>
  <c r="E183" i="5"/>
  <c r="AS66" i="1" s="1"/>
  <c r="AX66" i="1"/>
  <c r="AX74" i="1"/>
  <c r="AW59" i="1"/>
  <c r="AY66" i="1"/>
  <c r="AY74" i="1"/>
  <c r="AZ74" i="1"/>
  <c r="AV52" i="1"/>
  <c r="AY61" i="1"/>
  <c r="AU63" i="1"/>
  <c r="AU66" i="1"/>
  <c r="AW72" i="1"/>
  <c r="AU74" i="1"/>
  <c r="AX64" i="1"/>
  <c r="AV66" i="1"/>
  <c r="AU71" i="1"/>
  <c r="AX72" i="1"/>
  <c r="AV74" i="1"/>
  <c r="AX59" i="1"/>
  <c r="AW52" i="1"/>
  <c r="AY64" i="1"/>
  <c r="AU70" i="1"/>
  <c r="AU54" i="1"/>
  <c r="AX52" i="1"/>
  <c r="AW54" i="1"/>
  <c r="AY56" i="1"/>
  <c r="AV58" i="1"/>
  <c r="AY59" i="1"/>
  <c r="AZ61" i="1"/>
  <c r="AW63" i="1"/>
  <c r="AV54" i="1"/>
  <c r="AY52" i="1"/>
  <c r="AX54" i="1"/>
  <c r="AU57" i="1"/>
  <c r="AW58" i="1"/>
  <c r="AZ59" i="1"/>
  <c r="AU62" i="1"/>
  <c r="AX63" i="1"/>
  <c r="AZ82" i="1"/>
  <c r="AZ52" i="1"/>
  <c r="AV57" i="1"/>
  <c r="AX58" i="1"/>
  <c r="AU60" i="1"/>
  <c r="AV62" i="1"/>
  <c r="AY63" i="1"/>
  <c r="AZ69" i="1"/>
  <c r="AZ83" i="1"/>
  <c r="AV53" i="1"/>
  <c r="AZ54" i="1"/>
  <c r="AW57" i="1"/>
  <c r="AV60" i="1"/>
  <c r="AW62" i="1"/>
  <c r="AU64" i="1"/>
  <c r="AU67" i="1"/>
  <c r="AV70" i="1"/>
  <c r="AY53" i="1"/>
  <c r="AU56" i="1"/>
  <c r="AX57" i="1"/>
  <c r="AU59" i="1"/>
  <c r="AW60" i="1"/>
  <c r="AX62" i="1"/>
  <c r="AV64" i="1"/>
  <c r="AV67" i="1"/>
  <c r="AZ78" i="1"/>
  <c r="AZ53" i="1"/>
  <c r="AW55" i="1"/>
  <c r="AX55" i="1"/>
  <c r="AZ56" i="1"/>
  <c r="AZ60" i="1"/>
  <c r="AZ64" i="1"/>
  <c r="AZ68" i="1"/>
  <c r="AZ73" i="1"/>
  <c r="AZ77" i="1"/>
  <c r="AZ81" i="1"/>
  <c r="AZ85" i="1"/>
  <c r="AU53" i="1"/>
  <c r="AY55" i="1"/>
  <c r="AU61" i="1"/>
  <c r="AZ55" i="1"/>
  <c r="AV61" i="1"/>
  <c r="AZ63" i="1"/>
  <c r="AZ67" i="1"/>
  <c r="AZ72" i="1"/>
  <c r="AZ76" i="1"/>
  <c r="AZ80" i="1"/>
  <c r="AZ84" i="1"/>
  <c r="AU55" i="1"/>
  <c r="AW53" i="1"/>
  <c r="AW61" i="1"/>
  <c r="AZ58" i="1"/>
  <c r="AZ62" i="1"/>
  <c r="AZ66" i="1"/>
  <c r="AZ71" i="1"/>
  <c r="AZ75" i="1"/>
  <c r="AZ79" i="1"/>
  <c r="AS70" i="1"/>
  <c r="AS74" i="1"/>
  <c r="AS59" i="1"/>
  <c r="AS57" i="1"/>
  <c r="AS56" i="1"/>
  <c r="AS55" i="1"/>
  <c r="AS53" i="1"/>
  <c r="E64" i="5" s="1"/>
  <c r="AS54" i="1"/>
  <c r="AS52" i="1"/>
  <c r="AW70" i="1"/>
  <c r="AX70" i="1"/>
  <c r="AY70" i="1"/>
  <c r="AZ70" i="1"/>
  <c r="AS75" i="1"/>
  <c r="AS76" i="1"/>
  <c r="AS77" i="1"/>
  <c r="D143" i="9"/>
  <c r="AS63" i="1" l="1"/>
  <c r="AS64" i="1"/>
  <c r="AS65" i="1"/>
  <c r="E66" i="5"/>
  <c r="E65" i="5"/>
  <c r="E67" i="5"/>
  <c r="E63" i="5"/>
  <c r="N124" i="9"/>
  <c r="M124" i="9"/>
  <c r="N123" i="9"/>
  <c r="M123" i="9"/>
  <c r="M125" i="9"/>
  <c r="M127" i="9" s="1"/>
  <c r="N126" i="9"/>
  <c r="E106" i="5"/>
  <c r="E97" i="5"/>
  <c r="L415" i="21"/>
  <c r="L414" i="21"/>
  <c r="L413" i="21"/>
  <c r="L412" i="21"/>
  <c r="L411" i="21"/>
  <c r="L410" i="21"/>
  <c r="L409" i="21"/>
  <c r="L408" i="21"/>
  <c r="L407" i="21"/>
  <c r="L406" i="21"/>
  <c r="L405" i="21"/>
  <c r="L404" i="21"/>
  <c r="L403" i="21"/>
  <c r="D326" i="21"/>
  <c r="D325" i="21"/>
  <c r="D324" i="21"/>
  <c r="D323" i="21"/>
  <c r="D322" i="21"/>
  <c r="D321" i="21"/>
  <c r="D320" i="21"/>
  <c r="D319" i="21"/>
  <c r="D318" i="21"/>
  <c r="D317" i="21"/>
  <c r="D316" i="21"/>
  <c r="D315" i="21"/>
  <c r="D314" i="21"/>
  <c r="D313" i="21"/>
  <c r="D309" i="21"/>
  <c r="D307" i="21"/>
  <c r="D303" i="21"/>
  <c r="D299" i="21"/>
  <c r="D298" i="21"/>
  <c r="D297" i="21"/>
  <c r="D296" i="21"/>
  <c r="D295" i="21"/>
  <c r="D294" i="21"/>
  <c r="D293" i="21"/>
  <c r="D292" i="21"/>
  <c r="D291" i="21"/>
  <c r="D290" i="21"/>
  <c r="D289" i="21"/>
  <c r="D288" i="21"/>
  <c r="D287" i="21"/>
  <c r="D286" i="21"/>
  <c r="D282" i="21"/>
  <c r="D281" i="21"/>
  <c r="D279" i="21"/>
  <c r="D277" i="21"/>
  <c r="D276" i="21"/>
  <c r="D275" i="21"/>
  <c r="D274" i="21"/>
  <c r="D270" i="21"/>
  <c r="D269" i="21"/>
  <c r="D268" i="21"/>
  <c r="D267" i="21"/>
  <c r="D266" i="21"/>
  <c r="D265" i="21"/>
  <c r="D264" i="21"/>
  <c r="D263" i="21"/>
  <c r="D262" i="21"/>
  <c r="D261" i="21"/>
  <c r="D260" i="21"/>
  <c r="D259" i="21"/>
  <c r="D258" i="21"/>
  <c r="D257" i="21"/>
  <c r="D256" i="21"/>
  <c r="D255" i="21"/>
  <c r="D254" i="21"/>
  <c r="D253" i="21"/>
  <c r="D252" i="21"/>
  <c r="D251" i="21"/>
  <c r="D250" i="21"/>
  <c r="D248" i="21"/>
  <c r="D247" i="21"/>
  <c r="D246" i="21"/>
  <c r="D244" i="21"/>
  <c r="D241" i="21"/>
  <c r="D240" i="21"/>
  <c r="D239" i="21"/>
  <c r="D238" i="21"/>
  <c r="D237" i="21"/>
  <c r="D214" i="21" s="1"/>
  <c r="D236" i="21"/>
  <c r="D235" i="21"/>
  <c r="D234" i="21"/>
  <c r="D249" i="21" s="1"/>
  <c r="D233" i="21"/>
  <c r="D232" i="21"/>
  <c r="D231" i="21"/>
  <c r="D230" i="21"/>
  <c r="D229" i="21"/>
  <c r="D228" i="21"/>
  <c r="D227" i="21"/>
  <c r="D226" i="21"/>
  <c r="D225" i="21"/>
  <c r="D224" i="21"/>
  <c r="D223" i="21"/>
  <c r="D222" i="21"/>
  <c r="D221" i="21"/>
  <c r="D220" i="21"/>
  <c r="D219" i="21"/>
  <c r="D218" i="21"/>
  <c r="D213" i="21"/>
  <c r="D212" i="21"/>
  <c r="D211" i="21"/>
  <c r="D210" i="21"/>
  <c r="D209" i="21"/>
  <c r="D208" i="21"/>
  <c r="D207" i="21"/>
  <c r="D206" i="21"/>
  <c r="D52" i="21"/>
  <c r="D33" i="21"/>
  <c r="M120" i="9"/>
  <c r="D123" i="9" s="1"/>
  <c r="E123" i="5"/>
  <c r="E121" i="5"/>
  <c r="E119" i="5"/>
  <c r="E117" i="5"/>
  <c r="E115" i="5"/>
  <c r="E113" i="5"/>
  <c r="E108" i="5"/>
  <c r="E104" i="5"/>
  <c r="E99" i="5"/>
  <c r="E95" i="5"/>
  <c r="E90" i="5"/>
  <c r="E88" i="5"/>
  <c r="E86" i="5"/>
  <c r="E81" i="5"/>
  <c r="E79" i="5"/>
  <c r="E77" i="5"/>
  <c r="E71" i="5"/>
  <c r="N125" i="9"/>
  <c r="N120" i="9"/>
  <c r="D126" i="9" s="1"/>
  <c r="D68" i="21"/>
  <c r="E53" i="5" l="1"/>
  <c r="E54" i="5" s="1"/>
  <c r="E55" i="5" s="1"/>
  <c r="AS61" i="1"/>
  <c r="AS62" i="1"/>
  <c r="D242" i="21"/>
  <c r="D243" i="21"/>
  <c r="D245" i="21"/>
  <c r="N127" i="9"/>
  <c r="E206" i="5" l="1"/>
  <c r="E204" i="5"/>
  <c r="E205" i="5"/>
  <c r="E20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tc={99C203CF-3915-4DDE-80E4-116C41C8A572}</author>
  </authors>
  <commentList>
    <comment ref="D45" authorId="0" shapeId="0" xr:uid="{00000000-0006-0000-0900-000001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
      </text>
    </comment>
  </commentList>
</comments>
</file>

<file path=xl/sharedStrings.xml><?xml version="1.0" encoding="utf-8"?>
<sst xmlns="http://schemas.openxmlformats.org/spreadsheetml/2006/main" count="5569" uniqueCount="2944">
  <si>
    <t>Symbol</t>
  </si>
  <si>
    <t>Name</t>
  </si>
  <si>
    <t>Unit</t>
  </si>
  <si>
    <t>Handling</t>
  </si>
  <si>
    <t>Expression</t>
  </si>
  <si>
    <t>Elemental composition</t>
  </si>
  <si>
    <t>Chemical formula</t>
  </si>
  <si>
    <t>Charge</t>
  </si>
  <si>
    <t>Reaction</t>
  </si>
  <si>
    <t>The elemental composition matrix should have as many columns as the kinetic matrix (minus Rate and Reaction)</t>
  </si>
  <si>
    <t>Influent</t>
  </si>
  <si>
    <t>Initial concentration</t>
  </si>
  <si>
    <t>Phase</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</si>
  <si>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</si>
  <si>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</si>
  <si>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</si>
  <si>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</si>
  <si>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</si>
  <si>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</si>
  <si>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</si>
  <si>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</si>
  <si>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</si>
  <si>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</si>
  <si>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</si>
  <si>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</si>
  <si>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</si>
  <si>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</si>
  <si>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</si>
  <si>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</si>
  <si>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</si>
  <si>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</si>
  <si>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</si>
  <si>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</si>
  <si>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</si>
  <si>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</si>
  <si>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</si>
  <si>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</si>
  <si>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</si>
  <si>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</si>
  <si>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</si>
  <si>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</si>
  <si>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</si>
  <si>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</si>
  <si>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</si>
  <si>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</si>
  <si>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</si>
  <si>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</si>
  <si>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</si>
  <si>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</si>
  <si>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</si>
  <si>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</si>
  <si>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</si>
  <si>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</si>
  <si>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</si>
  <si>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</si>
  <si>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</si>
  <si>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</si>
  <si>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</si>
  <si>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</si>
  <si>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</si>
  <si>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</si>
  <si>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</si>
  <si>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</si>
  <si>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</si>
  <si>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</si>
  <si>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</si>
  <si>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</si>
  <si>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</si>
  <si>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</si>
  <si>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</si>
  <si>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</si>
  <si>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</si>
  <si>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</si>
  <si>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</si>
  <si>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</si>
  <si>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</si>
  <si>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</si>
  <si>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</si>
  <si>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</si>
  <si>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</si>
  <si>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</si>
  <si>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</si>
  <si>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</si>
  <si>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</si>
  <si>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</si>
  <si>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</si>
  <si>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</si>
  <si>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</si>
  <si>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</si>
  <si>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</si>
  <si>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</si>
  <si>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</si>
  <si>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</si>
  <si>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</si>
  <si>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</si>
  <si>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</si>
  <si>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</si>
  <si>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</si>
  <si>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</si>
  <si>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</si>
  <si>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</si>
  <si>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</si>
  <si>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</si>
  <si>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</si>
  <si>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</si>
  <si>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</si>
  <si>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</si>
  <si>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</si>
  <si>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</si>
  <si>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</si>
  <si>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</si>
  <si>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</si>
  <si>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</si>
  <si>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</si>
  <si>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</si>
  <si>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</si>
  <si>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</si>
  <si>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</si>
  <si>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</si>
  <si>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</si>
  <si>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</si>
  <si>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</si>
  <si>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</si>
  <si>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</si>
  <si>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</si>
  <si>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</si>
  <si>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</si>
  <si>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</si>
  <si>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</si>
  <si>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</si>
  <si>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</si>
  <si>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</si>
  <si>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</si>
  <si>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</si>
  <si>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</si>
  <si>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</si>
  <si>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</si>
  <si>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</si>
  <si>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</si>
  <si>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</si>
  <si>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</si>
  <si>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</si>
  <si>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</si>
  <si>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</si>
  <si>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</si>
  <si>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</si>
  <si>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</si>
  <si>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</si>
  <si>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</si>
  <si>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</si>
  <si>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</si>
  <si>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</si>
  <si>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</si>
  <si>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</si>
  <si>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</si>
  <si>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</si>
  <si>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</si>
  <si>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</si>
  <si>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</si>
  <si>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</si>
  <si>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</si>
  <si>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</si>
  <si>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</si>
  <si>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</si>
  <si>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</si>
  <si>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</si>
  <si>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</si>
  <si>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</si>
  <si>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</si>
  <si>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</si>
  <si>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</si>
  <si>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</si>
  <si>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</si>
  <si>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</si>
  <si>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</si>
  <si>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</si>
  <si>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</si>
  <si>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</si>
  <si>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</si>
  <si>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</si>
  <si>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</si>
  <si>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</si>
  <si>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</si>
  <si>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</si>
  <si>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</si>
  <si>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</si>
  <si>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</si>
  <si>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</si>
  <si>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</si>
  <si>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</si>
  <si>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</si>
  <si>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</si>
  <si>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</si>
  <si>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</si>
  <si>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</si>
  <si>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</si>
  <si>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</si>
  <si>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</si>
  <si>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</si>
  <si>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</si>
  <si>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</si>
  <si>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</si>
  <si>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</si>
  <si>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</si>
  <si>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</si>
  <si>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</si>
  <si>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</si>
  <si>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</si>
  <si>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</si>
  <si>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</si>
  <si>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</si>
  <si>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Slowly biodegradable substrate</t>
  </si>
  <si>
    <t>Soluble unbiodegradable organics</t>
  </si>
  <si>
    <t>Particulate unbiodegradable organics</t>
  </si>
  <si>
    <t>Endogenous decay products</t>
  </si>
  <si>
    <t>r1</t>
  </si>
  <si>
    <t>r2</t>
  </si>
  <si>
    <t>r3</t>
  </si>
  <si>
    <t>r4</t>
  </si>
  <si>
    <t>r5</t>
  </si>
  <si>
    <t>r6</t>
  </si>
  <si>
    <t>r7</t>
  </si>
  <si>
    <t>r8</t>
  </si>
  <si>
    <t>r9</t>
  </si>
  <si>
    <t>r10</t>
  </si>
  <si>
    <t>r11</t>
  </si>
  <si>
    <t>r12</t>
  </si>
  <si>
    <t>r13</t>
  </si>
  <si>
    <t>r14</t>
  </si>
  <si>
    <t>SN,B ammonification</t>
  </si>
  <si>
    <t>N</t>
  </si>
  <si>
    <t>P</t>
  </si>
  <si>
    <t>L</t>
  </si>
  <si>
    <t>S</t>
  </si>
  <si>
    <t>X</t>
  </si>
  <si>
    <t>Integrated</t>
  </si>
  <si>
    <t>Atomic mass of oxygen</t>
  </si>
  <si>
    <t>Atomic mass of nitrogen</t>
  </si>
  <si>
    <t>base is ammonia</t>
  </si>
  <si>
    <t>Fe</t>
  </si>
  <si>
    <t>Al</t>
  </si>
  <si>
    <t>Atomic mass of iron</t>
  </si>
  <si>
    <t>Atomic mass of aluminium</t>
  </si>
  <si>
    <t>Atomic mass of phosphorus</t>
  </si>
  <si>
    <t>MRsat(s;x;k)</t>
  </si>
  <si>
    <t>Monod ratio saturation</t>
  </si>
  <si>
    <t>MRinh(s;x;k)</t>
  </si>
  <si>
    <t>Monod ratio inhibition</t>
  </si>
  <si>
    <t xml:space="preserve"> </t>
  </si>
  <si>
    <t>Maximum specific growth rate of OHOs</t>
  </si>
  <si>
    <t>Temperature dependency</t>
  </si>
  <si>
    <t>N content of biomasses</t>
  </si>
  <si>
    <t>P content of biomasses</t>
  </si>
  <si>
    <t>g H2O /g MeOH</t>
  </si>
  <si>
    <r>
      <t>d</t>
    </r>
    <r>
      <rPr>
        <vertAlign val="superscript"/>
        <sz val="11"/>
        <color indexed="8"/>
        <rFont val="Calibri"/>
        <family val="2"/>
      </rPr>
      <t>-1</t>
    </r>
  </si>
  <si>
    <t>Temperature calculations</t>
  </si>
  <si>
    <t>Arrhenius base temperature</t>
  </si>
  <si>
    <t>COD of all biomasses</t>
  </si>
  <si>
    <t>-</t>
  </si>
  <si>
    <t>Temperature sensitvity</t>
  </si>
  <si>
    <t>T</t>
  </si>
  <si>
    <r>
      <t>S</t>
    </r>
    <r>
      <rPr>
        <b/>
        <vertAlign val="subscript"/>
        <sz val="11"/>
        <color indexed="8"/>
        <rFont val="Calibri"/>
        <family val="2"/>
        <scheme val="minor"/>
      </rPr>
      <t>B</t>
    </r>
  </si>
  <si>
    <r>
      <t>X</t>
    </r>
    <r>
      <rPr>
        <b/>
        <vertAlign val="subscript"/>
        <sz val="11"/>
        <color indexed="8"/>
        <rFont val="Calibri"/>
        <family val="2"/>
        <scheme val="minor"/>
      </rPr>
      <t>B</t>
    </r>
  </si>
  <si>
    <r>
      <t>S</t>
    </r>
    <r>
      <rPr>
        <b/>
        <vertAlign val="subscript"/>
        <sz val="11"/>
        <color indexed="8"/>
        <rFont val="Calibri"/>
        <family val="2"/>
        <scheme val="minor"/>
      </rPr>
      <t>U</t>
    </r>
  </si>
  <si>
    <r>
      <t>X</t>
    </r>
    <r>
      <rPr>
        <b/>
        <vertAlign val="subscript"/>
        <sz val="11"/>
        <color indexed="8"/>
        <rFont val="Calibri"/>
        <family val="2"/>
        <scheme val="minor"/>
      </rPr>
      <t>U</t>
    </r>
  </si>
  <si>
    <r>
      <t>X</t>
    </r>
    <r>
      <rPr>
        <b/>
        <vertAlign val="subscript"/>
        <sz val="11"/>
        <color indexed="8"/>
        <rFont val="Calibri"/>
        <family val="2"/>
        <scheme val="minor"/>
      </rPr>
      <t>E</t>
    </r>
  </si>
  <si>
    <r>
      <t>X</t>
    </r>
    <r>
      <rPr>
        <b/>
        <vertAlign val="subscript"/>
        <sz val="11"/>
        <color indexed="8"/>
        <rFont val="Calibri"/>
        <family val="2"/>
        <scheme val="minor"/>
      </rPr>
      <t>OHO</t>
    </r>
  </si>
  <si>
    <r>
      <t>S</t>
    </r>
    <r>
      <rPr>
        <b/>
        <vertAlign val="subscript"/>
        <sz val="11"/>
        <color indexed="8"/>
        <rFont val="Calibri"/>
        <family val="2"/>
        <scheme val="minor"/>
      </rPr>
      <t>NHx</t>
    </r>
  </si>
  <si>
    <r>
      <t>S</t>
    </r>
    <r>
      <rPr>
        <b/>
        <vertAlign val="subscript"/>
        <sz val="11"/>
        <color indexed="8"/>
        <rFont val="Calibri"/>
        <family val="2"/>
        <scheme val="minor"/>
      </rPr>
      <t>N2</t>
    </r>
  </si>
  <si>
    <r>
      <t>S</t>
    </r>
    <r>
      <rPr>
        <b/>
        <vertAlign val="subscript"/>
        <sz val="11"/>
        <color indexed="8"/>
        <rFont val="Calibri"/>
        <family val="2"/>
        <scheme val="minor"/>
      </rPr>
      <t>N,B</t>
    </r>
  </si>
  <si>
    <r>
      <t>X</t>
    </r>
    <r>
      <rPr>
        <b/>
        <vertAlign val="subscript"/>
        <sz val="11"/>
        <color indexed="8"/>
        <rFont val="Calibri"/>
        <family val="2"/>
        <scheme val="minor"/>
      </rPr>
      <t>N,B</t>
    </r>
  </si>
  <si>
    <r>
      <t>S</t>
    </r>
    <r>
      <rPr>
        <b/>
        <vertAlign val="subscript"/>
        <sz val="11"/>
        <color theme="1"/>
        <rFont val="Calibri"/>
        <family val="2"/>
        <scheme val="minor"/>
      </rPr>
      <t>PO4</t>
    </r>
  </si>
  <si>
    <r>
      <t>X</t>
    </r>
    <r>
      <rPr>
        <b/>
        <vertAlign val="subscript"/>
        <sz val="11"/>
        <color indexed="8"/>
        <rFont val="Calibri"/>
        <family val="2"/>
        <scheme val="minor"/>
      </rPr>
      <t>P,B</t>
    </r>
  </si>
  <si>
    <r>
      <t>S</t>
    </r>
    <r>
      <rPr>
        <b/>
        <vertAlign val="subscript"/>
        <sz val="11"/>
        <color indexed="8"/>
        <rFont val="Calibri"/>
        <family val="2"/>
        <scheme val="minor"/>
      </rPr>
      <t>O2</t>
    </r>
  </si>
  <si>
    <r>
      <t>X</t>
    </r>
    <r>
      <rPr>
        <b/>
        <vertAlign val="subscript"/>
        <sz val="11"/>
        <color indexed="8"/>
        <rFont val="Calibri"/>
        <family val="2"/>
        <scheme val="minor"/>
      </rPr>
      <t>NITO</t>
    </r>
  </si>
  <si>
    <t>NITO growth</t>
  </si>
  <si>
    <r>
      <t>µ</t>
    </r>
    <r>
      <rPr>
        <vertAlign val="subscript"/>
        <sz val="11"/>
        <color indexed="8"/>
        <rFont val="Calibri"/>
        <family val="2"/>
      </rPr>
      <t>OHO,T</t>
    </r>
  </si>
  <si>
    <r>
      <t>µ</t>
    </r>
    <r>
      <rPr>
        <vertAlign val="subscript"/>
        <sz val="11"/>
        <color indexed="8"/>
        <rFont val="Calibri"/>
        <family val="2"/>
      </rPr>
      <t>FERM,OHO,T</t>
    </r>
  </si>
  <si>
    <r>
      <t>q</t>
    </r>
    <r>
      <rPr>
        <vertAlign val="subscript"/>
        <sz val="11"/>
        <color indexed="8"/>
        <rFont val="Calibri"/>
        <family val="2"/>
      </rPr>
      <t>HYD,T</t>
    </r>
  </si>
  <si>
    <r>
      <t>q</t>
    </r>
    <r>
      <rPr>
        <vertAlign val="subscript"/>
        <sz val="11"/>
        <color indexed="8"/>
        <rFont val="Calibri"/>
        <family val="2"/>
      </rPr>
      <t>AMMON,T</t>
    </r>
  </si>
  <si>
    <r>
      <t>q</t>
    </r>
    <r>
      <rPr>
        <vertAlign val="subscript"/>
        <sz val="11"/>
        <color indexed="8"/>
        <rFont val="Calibri"/>
        <family val="2"/>
      </rPr>
      <t>ASSIM,T</t>
    </r>
  </si>
  <si>
    <t>Maximum specific growth rate of NITOs</t>
  </si>
  <si>
    <r>
      <t>f</t>
    </r>
    <r>
      <rPr>
        <vertAlign val="subscript"/>
        <sz val="11"/>
        <color indexed="8"/>
        <rFont val="Calibri"/>
        <family val="2"/>
      </rPr>
      <t>E</t>
    </r>
  </si>
  <si>
    <t>COD removal including 1-step denitrification</t>
  </si>
  <si>
    <t>1-step nitrification</t>
  </si>
  <si>
    <r>
      <t>OHO growth on S</t>
    </r>
    <r>
      <rPr>
        <vertAlign val="subscript"/>
        <sz val="11"/>
        <color rgb="FF000000"/>
        <rFont val="Calibri"/>
        <family val="2"/>
        <scheme val="minor"/>
      </rPr>
      <t>B</t>
    </r>
    <r>
      <rPr>
        <sz val="11"/>
        <color rgb="FF000000"/>
        <rFont val="Calibri"/>
        <family val="2"/>
        <charset val="238"/>
        <scheme val="minor"/>
      </rPr>
      <t>, O</t>
    </r>
    <r>
      <rPr>
        <vertAlign val="subscript"/>
        <sz val="11"/>
        <color rgb="FF000000"/>
        <rFont val="Calibri"/>
        <family val="2"/>
        <scheme val="minor"/>
      </rPr>
      <t>2</t>
    </r>
  </si>
  <si>
    <r>
      <t>1-f</t>
    </r>
    <r>
      <rPr>
        <vertAlign val="subscript"/>
        <sz val="11"/>
        <color indexed="8"/>
        <rFont val="Calibri"/>
        <family val="2"/>
      </rPr>
      <t>E</t>
    </r>
  </si>
  <si>
    <r>
      <t>-EEQ</t>
    </r>
    <r>
      <rPr>
        <vertAlign val="subscript"/>
        <sz val="11"/>
        <color indexed="8"/>
        <rFont val="Calibri"/>
        <family val="2"/>
        <scheme val="minor"/>
      </rPr>
      <t>NO3</t>
    </r>
  </si>
  <si>
    <r>
      <t>-EEQ</t>
    </r>
    <r>
      <rPr>
        <vertAlign val="subscript"/>
        <sz val="11"/>
        <color indexed="8"/>
        <rFont val="Calibri"/>
        <family val="2"/>
        <scheme val="minor"/>
      </rPr>
      <t>N2</t>
    </r>
  </si>
  <si>
    <r>
      <t>-(EEQ</t>
    </r>
    <r>
      <rPr>
        <vertAlign val="subscript"/>
        <sz val="11"/>
        <color indexed="8"/>
        <rFont val="Calibri"/>
        <family val="2"/>
      </rPr>
      <t>NO3</t>
    </r>
    <r>
      <rPr>
        <sz val="11"/>
        <color indexed="8"/>
        <rFont val="Calibri"/>
        <family val="2"/>
      </rPr>
      <t>-Y</t>
    </r>
    <r>
      <rPr>
        <vertAlign val="subscript"/>
        <sz val="11"/>
        <color indexed="8"/>
        <rFont val="Calibri"/>
        <family val="2"/>
      </rPr>
      <t>NITO</t>
    </r>
    <r>
      <rPr>
        <sz val="11"/>
        <color indexed="8"/>
        <rFont val="Calibri"/>
        <family val="2"/>
      </rPr>
      <t>)/Y</t>
    </r>
    <r>
      <rPr>
        <vertAlign val="subscript"/>
        <sz val="11"/>
        <color indexed="8"/>
        <rFont val="Calibri"/>
        <family val="2"/>
      </rPr>
      <t>NITO</t>
    </r>
  </si>
  <si>
    <t>OHO decay</t>
  </si>
  <si>
    <r>
      <t>b</t>
    </r>
    <r>
      <rPr>
        <vertAlign val="subscript"/>
        <sz val="11"/>
        <color indexed="8"/>
        <rFont val="Calibri"/>
        <family val="2"/>
      </rPr>
      <t>OHO,T</t>
    </r>
  </si>
  <si>
    <r>
      <t>µ</t>
    </r>
    <r>
      <rPr>
        <vertAlign val="subscript"/>
        <sz val="11"/>
        <color indexed="8"/>
        <rFont val="Calibri"/>
        <family val="2"/>
      </rPr>
      <t>NITO,T</t>
    </r>
  </si>
  <si>
    <r>
      <t>b</t>
    </r>
    <r>
      <rPr>
        <vertAlign val="subscript"/>
        <sz val="11"/>
        <color indexed="8"/>
        <rFont val="Calibri"/>
        <family val="2"/>
      </rPr>
      <t>NITO,T</t>
    </r>
  </si>
  <si>
    <t>NITO decay</t>
  </si>
  <si>
    <t>XB hydrolysis</t>
  </si>
  <si>
    <r>
      <t>1/Y</t>
    </r>
    <r>
      <rPr>
        <vertAlign val="subscript"/>
        <sz val="11"/>
        <color indexed="8"/>
        <rFont val="Calibri"/>
        <family val="2"/>
      </rPr>
      <t>NITO</t>
    </r>
  </si>
  <si>
    <r>
      <t>X</t>
    </r>
    <r>
      <rPr>
        <b/>
        <vertAlign val="subscript"/>
        <sz val="11"/>
        <color theme="1"/>
        <rFont val="Calibri"/>
        <family val="2"/>
        <scheme val="minor"/>
      </rPr>
      <t>AMETO</t>
    </r>
  </si>
  <si>
    <r>
      <t>X</t>
    </r>
    <r>
      <rPr>
        <b/>
        <vertAlign val="subscript"/>
        <sz val="11"/>
        <color theme="1"/>
        <rFont val="Calibri"/>
        <family val="2"/>
        <scheme val="minor"/>
      </rPr>
      <t>HMETO</t>
    </r>
  </si>
  <si>
    <r>
      <t>S</t>
    </r>
    <r>
      <rPr>
        <b/>
        <vertAlign val="subscript"/>
        <sz val="11"/>
        <color theme="1"/>
        <rFont val="Calibri"/>
        <family val="2"/>
        <scheme val="minor"/>
      </rPr>
      <t>H2</t>
    </r>
  </si>
  <si>
    <r>
      <t>S</t>
    </r>
    <r>
      <rPr>
        <b/>
        <vertAlign val="subscript"/>
        <sz val="11"/>
        <color theme="1"/>
        <rFont val="Calibri"/>
        <family val="2"/>
        <scheme val="minor"/>
      </rPr>
      <t>CH4</t>
    </r>
  </si>
  <si>
    <t>HMETO decay</t>
  </si>
  <si>
    <t>AMETO decay</t>
  </si>
  <si>
    <r>
      <t>-i</t>
    </r>
    <r>
      <rPr>
        <vertAlign val="subscript"/>
        <sz val="11"/>
        <color indexed="8"/>
        <rFont val="Calibri"/>
        <family val="2"/>
      </rPr>
      <t>N,BIO</t>
    </r>
  </si>
  <si>
    <r>
      <t>-1/Y</t>
    </r>
    <r>
      <rPr>
        <vertAlign val="subscript"/>
        <sz val="11"/>
        <color indexed="8"/>
        <rFont val="Calibri"/>
        <family val="2"/>
      </rPr>
      <t>NITO</t>
    </r>
    <r>
      <rPr>
        <sz val="11"/>
        <color indexed="8"/>
        <rFont val="Calibri"/>
        <family val="2"/>
      </rPr>
      <t>-i</t>
    </r>
    <r>
      <rPr>
        <vertAlign val="subscript"/>
        <sz val="11"/>
        <color indexed="8"/>
        <rFont val="Calibri"/>
        <family val="2"/>
      </rPr>
      <t>N,BIO</t>
    </r>
  </si>
  <si>
    <r>
      <t>(1-f</t>
    </r>
    <r>
      <rPr>
        <vertAlign val="subscript"/>
        <sz val="11"/>
        <color indexed="8"/>
        <rFont val="Calibri"/>
        <family val="2"/>
      </rPr>
      <t>E</t>
    </r>
    <r>
      <rPr>
        <sz val="11"/>
        <color indexed="8"/>
        <rFont val="Calibri"/>
        <family val="2"/>
      </rPr>
      <t>)*i</t>
    </r>
    <r>
      <rPr>
        <vertAlign val="subscript"/>
        <sz val="11"/>
        <color indexed="8"/>
        <rFont val="Calibri"/>
        <family val="2"/>
      </rPr>
      <t>N,BIO</t>
    </r>
  </si>
  <si>
    <r>
      <t>-i</t>
    </r>
    <r>
      <rPr>
        <vertAlign val="subscript"/>
        <sz val="11"/>
        <color indexed="8"/>
        <rFont val="Calibri"/>
        <family val="2"/>
      </rPr>
      <t>P,BIO</t>
    </r>
  </si>
  <si>
    <r>
      <t>(1-f</t>
    </r>
    <r>
      <rPr>
        <vertAlign val="subscript"/>
        <sz val="11"/>
        <color indexed="8"/>
        <rFont val="Calibri"/>
        <family val="2"/>
      </rPr>
      <t>E</t>
    </r>
    <r>
      <rPr>
        <sz val="11"/>
        <color indexed="8"/>
        <rFont val="Calibri"/>
        <family val="2"/>
      </rPr>
      <t>)*i</t>
    </r>
    <r>
      <rPr>
        <vertAlign val="subscript"/>
        <sz val="11"/>
        <color indexed="8"/>
        <rFont val="Calibri"/>
        <family val="2"/>
      </rPr>
      <t>P,BIO</t>
    </r>
  </si>
  <si>
    <r>
      <t>-1/Y</t>
    </r>
    <r>
      <rPr>
        <vertAlign val="subscript"/>
        <sz val="11"/>
        <color indexed="8"/>
        <rFont val="Calibri"/>
        <family val="2"/>
      </rPr>
      <t>HMETO</t>
    </r>
  </si>
  <si>
    <t>Decimals</t>
  </si>
  <si>
    <t>Type(Kinetic)</t>
  </si>
  <si>
    <t>Conversion kinetics</t>
  </si>
  <si>
    <t>Common switches</t>
  </si>
  <si>
    <r>
      <t>µ</t>
    </r>
    <r>
      <rPr>
        <vertAlign val="subscript"/>
        <sz val="11"/>
        <color indexed="8"/>
        <rFont val="Calibri"/>
        <family val="2"/>
      </rPr>
      <t>HMETO,T</t>
    </r>
  </si>
  <si>
    <r>
      <t>b</t>
    </r>
    <r>
      <rPr>
        <vertAlign val="subscript"/>
        <sz val="11"/>
        <color indexed="8"/>
        <rFont val="Calibri"/>
        <family val="2"/>
      </rPr>
      <t>HMETO,T</t>
    </r>
  </si>
  <si>
    <r>
      <t>µ</t>
    </r>
    <r>
      <rPr>
        <vertAlign val="subscript"/>
        <sz val="11"/>
        <color indexed="8"/>
        <rFont val="Calibri"/>
        <family val="2"/>
      </rPr>
      <t>AMETO,T</t>
    </r>
  </si>
  <si>
    <r>
      <t>b</t>
    </r>
    <r>
      <rPr>
        <vertAlign val="subscript"/>
        <sz val="11"/>
        <color indexed="8"/>
        <rFont val="Calibri"/>
        <family val="2"/>
      </rPr>
      <t>AMETO,T</t>
    </r>
  </si>
  <si>
    <t>AMETO growth</t>
  </si>
  <si>
    <t>HMETO growth</t>
  </si>
  <si>
    <r>
      <t>-1/Y</t>
    </r>
    <r>
      <rPr>
        <vertAlign val="subscript"/>
        <sz val="11"/>
        <color indexed="8"/>
        <rFont val="Calibri"/>
        <family val="2"/>
      </rPr>
      <t>AMETO</t>
    </r>
  </si>
  <si>
    <r>
      <t>(1-Y</t>
    </r>
    <r>
      <rPr>
        <vertAlign val="subscript"/>
        <sz val="11"/>
        <color indexed="8"/>
        <rFont val="Calibri"/>
        <family val="2"/>
      </rPr>
      <t>AMETO</t>
    </r>
    <r>
      <rPr>
        <sz val="11"/>
        <color indexed="8"/>
        <rFont val="Calibri"/>
        <family val="2"/>
      </rPr>
      <t>)/Y</t>
    </r>
    <r>
      <rPr>
        <vertAlign val="subscript"/>
        <sz val="11"/>
        <color indexed="8"/>
        <rFont val="Calibri"/>
        <family val="2"/>
      </rPr>
      <t>AMETO</t>
    </r>
  </si>
  <si>
    <t>Maximum specific growth rate of AMETO</t>
  </si>
  <si>
    <t>Balances per processes</t>
  </si>
  <si>
    <t>CO2+4H2 -&gt; CH4+2H2O</t>
  </si>
  <si>
    <r>
      <t>(1-Y</t>
    </r>
    <r>
      <rPr>
        <vertAlign val="subscript"/>
        <sz val="11"/>
        <color indexed="8"/>
        <rFont val="Calibri"/>
        <family val="2"/>
      </rPr>
      <t>HMETO</t>
    </r>
    <r>
      <rPr>
        <sz val="11"/>
        <color indexed="8"/>
        <rFont val="Calibri"/>
        <family val="2"/>
      </rPr>
      <t>)/Y</t>
    </r>
    <r>
      <rPr>
        <vertAlign val="subscript"/>
        <sz val="11"/>
        <color indexed="8"/>
        <rFont val="Calibri"/>
        <family val="2"/>
      </rPr>
      <t>HMETO</t>
    </r>
  </si>
  <si>
    <t>Type(Stoichiometric)</t>
  </si>
  <si>
    <t>Chemical composition</t>
  </si>
  <si>
    <t>Calculated variables</t>
  </si>
  <si>
    <r>
      <t>g COD.m</t>
    </r>
    <r>
      <rPr>
        <vertAlign val="superscript"/>
        <sz val="11"/>
        <rFont val="Calibri"/>
        <family val="2"/>
      </rPr>
      <t>-3</t>
    </r>
  </si>
  <si>
    <t>Particulate ultimate biochemical oxygen demand</t>
  </si>
  <si>
    <t>Total ultimate biochemical oxygen demand</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</si>
  <si>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</si>
  <si>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</si>
  <si>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</si>
  <si>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T</t>
    </r>
    <r>
      <rPr>
        <vertAlign val="subscript"/>
        <sz val="11"/>
        <rFont val="Calibri"/>
        <family val="2"/>
      </rPr>
      <t>COD</t>
    </r>
  </si>
  <si>
    <t>Total chemical oxygen demand</t>
  </si>
  <si>
    <t>Total Kjeldahl nitrogen (TKN)</t>
  </si>
  <si>
    <r>
      <t>g N.m</t>
    </r>
    <r>
      <rPr>
        <vertAlign val="superscript"/>
        <sz val="11"/>
        <rFont val="Calibri"/>
        <family val="2"/>
      </rPr>
      <t>-3</t>
    </r>
  </si>
  <si>
    <r>
      <t>T</t>
    </r>
    <r>
      <rPr>
        <vertAlign val="subscript"/>
        <sz val="11"/>
        <rFont val="Calibri"/>
        <family val="2"/>
      </rPr>
      <t>N</t>
    </r>
  </si>
  <si>
    <t>Total nitrogen</t>
  </si>
  <si>
    <t>Yield on ultimate BOD</t>
  </si>
  <si>
    <t>Particulate biochemical oxygen demand (5 days)</t>
  </si>
  <si>
    <t>Total biochemical oxygen demand (5 days)</t>
  </si>
  <si>
    <r>
      <t>S</t>
    </r>
    <r>
      <rPr>
        <b/>
        <vertAlign val="subscript"/>
        <sz val="11"/>
        <color theme="1"/>
        <rFont val="Calibri"/>
        <family val="2"/>
        <scheme val="minor"/>
      </rPr>
      <t>ALK</t>
    </r>
  </si>
  <si>
    <t>Chemical P removal (based on ASM2d approach)</t>
  </si>
  <si>
    <t>Atomic mass of hydrogen</t>
  </si>
  <si>
    <r>
      <t>f</t>
    </r>
    <r>
      <rPr>
        <vertAlign val="subscript"/>
        <sz val="11"/>
        <color indexed="8"/>
        <rFont val="Calibri"/>
        <family val="2"/>
      </rPr>
      <t>H2</t>
    </r>
  </si>
  <si>
    <r>
      <t>1-f</t>
    </r>
    <r>
      <rPr>
        <vertAlign val="subscript"/>
        <sz val="11"/>
        <color indexed="8"/>
        <rFont val="Calibri"/>
        <family val="2"/>
      </rPr>
      <t>H2</t>
    </r>
  </si>
  <si>
    <t>r15</t>
  </si>
  <si>
    <t>r16</t>
  </si>
  <si>
    <t>r17</t>
  </si>
  <si>
    <t>Maximum specific growth rate of HMETO</t>
  </si>
  <si>
    <r>
      <t>X</t>
    </r>
    <r>
      <rPr>
        <b/>
        <vertAlign val="subscript"/>
        <sz val="11"/>
        <color indexed="8"/>
        <rFont val="Calibri"/>
        <family val="2"/>
        <scheme val="minor"/>
      </rPr>
      <t>INORG</t>
    </r>
  </si>
  <si>
    <t>g P / g Me</t>
  </si>
  <si>
    <r>
      <t>Charge of NH</t>
    </r>
    <r>
      <rPr>
        <vertAlign val="subscript"/>
        <sz val="11"/>
        <color rgb="FF000000"/>
        <rFont val="Calibri"/>
        <family val="2"/>
        <scheme val="minor"/>
      </rPr>
      <t>x</t>
    </r>
  </si>
  <si>
    <r>
      <t>CH</t>
    </r>
    <r>
      <rPr>
        <vertAlign val="subscript"/>
        <sz val="11"/>
        <color indexed="8"/>
        <rFont val="Calibri"/>
        <family val="2"/>
      </rPr>
      <t>PO4</t>
    </r>
  </si>
  <si>
    <r>
      <t>CH</t>
    </r>
    <r>
      <rPr>
        <vertAlign val="subscript"/>
        <sz val="11"/>
        <color indexed="8"/>
        <rFont val="Calibri"/>
        <family val="2"/>
      </rPr>
      <t>NHx</t>
    </r>
  </si>
  <si>
    <t>Two-population anaerobic digestion</t>
  </si>
  <si>
    <t>Mini_Sumo</t>
  </si>
  <si>
    <r>
      <t>CH</t>
    </r>
    <r>
      <rPr>
        <vertAlign val="subscript"/>
        <sz val="11"/>
        <color indexed="8"/>
        <rFont val="Calibri"/>
        <family val="2"/>
      </rPr>
      <t>NO3</t>
    </r>
  </si>
  <si>
    <t>OUR</t>
  </si>
  <si>
    <t>Reactive</t>
  </si>
  <si>
    <t>NUR</t>
  </si>
  <si>
    <t>Nitrate uptake rate (N3UR)</t>
  </si>
  <si>
    <r>
      <t>g N.m</t>
    </r>
    <r>
      <rPr>
        <vertAlign val="superscript"/>
        <sz val="11"/>
        <rFont val="Calibri"/>
        <family val="2"/>
      </rPr>
      <t>-3</t>
    </r>
    <r>
      <rPr>
        <sz val="11"/>
        <rFont val="Calibri"/>
        <family val="2"/>
      </rPr>
      <t>.d</t>
    </r>
    <r>
      <rPr>
        <vertAlign val="superscript"/>
        <sz val="11"/>
        <rFont val="Calibri"/>
        <family val="2"/>
      </rPr>
      <t>-1</t>
    </r>
  </si>
  <si>
    <t>AUR</t>
  </si>
  <si>
    <t>Ammonia uptake rate (AUR)</t>
  </si>
  <si>
    <r>
      <t>AM</t>
    </r>
    <r>
      <rPr>
        <vertAlign val="subscript"/>
        <sz val="11"/>
        <rFont val="Calibri"/>
        <family val="2"/>
        <scheme val="minor"/>
      </rPr>
      <t>P</t>
    </r>
  </si>
  <si>
    <r>
      <t>g.mol</t>
    </r>
    <r>
      <rPr>
        <vertAlign val="superscript"/>
        <sz val="11"/>
        <rFont val="Calibri"/>
        <family val="2"/>
        <scheme val="minor"/>
      </rPr>
      <t>-1</t>
    </r>
  </si>
  <si>
    <r>
      <t>AM</t>
    </r>
    <r>
      <rPr>
        <vertAlign val="subscript"/>
        <sz val="11"/>
        <rFont val="Calibri"/>
        <family val="2"/>
        <scheme val="minor"/>
      </rPr>
      <t>N</t>
    </r>
  </si>
  <si>
    <r>
      <t>AM</t>
    </r>
    <r>
      <rPr>
        <vertAlign val="subscript"/>
        <sz val="11"/>
        <rFont val="Calibri"/>
        <family val="2"/>
        <scheme val="minor"/>
      </rPr>
      <t>O</t>
    </r>
  </si>
  <si>
    <r>
      <t>AM</t>
    </r>
    <r>
      <rPr>
        <vertAlign val="subscript"/>
        <sz val="11"/>
        <rFont val="Calibri"/>
        <family val="2"/>
        <scheme val="minor"/>
      </rPr>
      <t>C</t>
    </r>
  </si>
  <si>
    <t>Atomic mass of carbon</t>
  </si>
  <si>
    <r>
      <t>AM</t>
    </r>
    <r>
      <rPr>
        <vertAlign val="subscript"/>
        <sz val="11"/>
        <rFont val="Calibri"/>
        <family val="2"/>
        <scheme val="minor"/>
      </rPr>
      <t>Ca</t>
    </r>
  </si>
  <si>
    <t>Atomic mass of calcium</t>
  </si>
  <si>
    <r>
      <rPr>
        <sz val="11"/>
        <rFont val="Calibri"/>
        <family val="2"/>
        <scheme val="minor"/>
      </rPr>
      <t>AM</t>
    </r>
    <r>
      <rPr>
        <vertAlign val="subscript"/>
        <sz val="11"/>
        <rFont val="Calibri"/>
        <family val="2"/>
        <scheme val="minor"/>
      </rPr>
      <t>Fe</t>
    </r>
  </si>
  <si>
    <r>
      <t>AM</t>
    </r>
    <r>
      <rPr>
        <vertAlign val="subscript"/>
        <sz val="11"/>
        <rFont val="Calibri"/>
        <family val="2"/>
        <scheme val="minor"/>
      </rPr>
      <t>Al</t>
    </r>
  </si>
  <si>
    <r>
      <t>AM</t>
    </r>
    <r>
      <rPr>
        <vertAlign val="subscript"/>
        <sz val="11"/>
        <rFont val="Calibri"/>
        <family val="2"/>
        <scheme val="minor"/>
      </rPr>
      <t>H</t>
    </r>
  </si>
  <si>
    <t>SUMO functions</t>
  </si>
  <si>
    <t>(s/x)/(s/x+k)</t>
  </si>
  <si>
    <t>Sign(x)</t>
  </si>
  <si>
    <t>Sign</t>
  </si>
  <si>
    <t>this can be used in Excel from FuncEngine 1.5.2</t>
  </si>
  <si>
    <t>Temperature dependent Henry coefficient for NO</t>
  </si>
  <si>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</si>
  <si>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</si>
  <si>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</si>
  <si>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</si>
  <si>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</si>
  <si>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</si>
  <si>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</si>
  <si>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</si>
  <si>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</si>
  <si>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</si>
  <si>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</si>
  <si>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</si>
  <si>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</si>
  <si>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</si>
  <si>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</si>
  <si>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</si>
  <si>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Henry coefficient for CH</t>
    </r>
    <r>
      <rPr>
        <vertAlign val="subscript"/>
        <sz val="11"/>
        <rFont val="Calibri"/>
        <family val="2"/>
        <scheme val="minor"/>
      </rPr>
      <t xml:space="preserve">4 </t>
    </r>
    <r>
      <rPr>
        <sz val="11"/>
        <rFont val="Calibri"/>
        <family val="2"/>
        <scheme val="minor"/>
      </rPr>
      <t>@25°C</t>
    </r>
  </si>
  <si>
    <r>
      <t>Temperature dependency factor for CH</t>
    </r>
    <r>
      <rPr>
        <vertAlign val="subscript"/>
        <sz val="11"/>
        <rFont val="Calibri"/>
        <family val="2"/>
        <scheme val="minor"/>
      </rPr>
      <t>4</t>
    </r>
    <r>
      <rPr>
        <sz val="11"/>
        <rFont val="Calibri"/>
        <family val="2"/>
        <scheme val="minor"/>
      </rPr>
      <t xml:space="preserve"> Henry coefficient</t>
    </r>
  </si>
  <si>
    <t>Diffusion coefficient of oxygen in water</t>
  </si>
  <si>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</si>
  <si>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t>Diffusion coefficient of nitrogen in water</t>
  </si>
  <si>
    <t>Diffusion coefficient of carbon dioxide in water</t>
  </si>
  <si>
    <t>Diffusion coefficient of hydrogen in water @ 25°C</t>
  </si>
  <si>
    <r>
      <t>m</t>
    </r>
    <r>
      <rPr>
        <vertAlign val="superscript"/>
        <sz val="11"/>
        <rFont val="Calibri"/>
        <family val="2"/>
      </rPr>
      <t>2</t>
    </r>
    <r>
      <rPr>
        <sz val="11"/>
        <rFont val="Calibri"/>
        <family val="2"/>
      </rPr>
      <t>.d</t>
    </r>
    <r>
      <rPr>
        <vertAlign val="superscript"/>
        <sz val="11"/>
        <rFont val="Calibri"/>
        <family val="2"/>
      </rPr>
      <t>-1</t>
    </r>
  </si>
  <si>
    <t>Diffusion coefficient of methane in water @ 25°C</t>
  </si>
  <si>
    <t>Diffusion coefficient of NO in water @ 25°C</t>
  </si>
  <si>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</si>
  <si>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</si>
  <si>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</si>
  <si>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</si>
  <si>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</si>
  <si>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</si>
  <si>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</si>
  <si>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</si>
  <si>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</si>
  <si>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</si>
  <si>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</si>
  <si>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</si>
  <si>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</si>
  <si>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</si>
  <si>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</si>
  <si>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</si>
  <si>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</si>
  <si>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</si>
  <si>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</si>
  <si>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</si>
  <si>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</si>
  <si>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</si>
  <si>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</si>
  <si>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</si>
  <si>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</si>
  <si>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</si>
  <si>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</si>
  <si>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</si>
  <si>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</si>
  <si>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</si>
  <si>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</si>
  <si>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</si>
  <si>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</si>
  <si>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</si>
  <si>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</si>
  <si>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</si>
  <si>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</si>
  <si>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</si>
  <si>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</si>
  <si>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</si>
  <si>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</si>
  <si>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</si>
  <si>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</si>
  <si>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</si>
  <si>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Na</t>
    </r>
  </si>
  <si>
    <t>Atomic mass of sodium</t>
  </si>
  <si>
    <r>
      <t>AM</t>
    </r>
    <r>
      <rPr>
        <vertAlign val="subscript"/>
        <sz val="11"/>
        <rFont val="Calibri"/>
        <family val="2"/>
        <scheme val="minor"/>
      </rPr>
      <t>Mg</t>
    </r>
  </si>
  <si>
    <t>Atomic mass of magnesium</t>
  </si>
  <si>
    <r>
      <t>AM</t>
    </r>
    <r>
      <rPr>
        <vertAlign val="subscript"/>
        <sz val="11"/>
        <rFont val="Calibri"/>
        <family val="2"/>
        <scheme val="minor"/>
      </rPr>
      <t>Si</t>
    </r>
  </si>
  <si>
    <t>Atomic mass of silicon</t>
  </si>
  <si>
    <r>
      <t>AM</t>
    </r>
    <r>
      <rPr>
        <vertAlign val="subscript"/>
        <sz val="11"/>
        <rFont val="Calibri"/>
        <family val="2"/>
        <scheme val="minor"/>
      </rPr>
      <t>S</t>
    </r>
  </si>
  <si>
    <t>Atomic mass of sulphur</t>
  </si>
  <si>
    <r>
      <t>AM</t>
    </r>
    <r>
      <rPr>
        <vertAlign val="subscript"/>
        <sz val="11"/>
        <rFont val="Calibri"/>
        <family val="2"/>
        <scheme val="minor"/>
      </rPr>
      <t>Cl</t>
    </r>
  </si>
  <si>
    <t>Atomic mass of chlorine</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</si>
  <si>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</si>
  <si>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</si>
  <si>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</si>
  <si>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</si>
  <si>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</si>
  <si>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</si>
  <si>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</si>
  <si>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</si>
  <si>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</si>
  <si>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</si>
  <si>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</si>
  <si>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</si>
  <si>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</si>
  <si>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</si>
  <si>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</si>
  <si>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</si>
  <si>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</si>
  <si>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</si>
  <si>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</si>
  <si>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</si>
  <si>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</si>
  <si>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</si>
  <si>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</si>
  <si>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</si>
  <si>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</si>
  <si>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</si>
  <si>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</si>
  <si>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</si>
  <si>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</si>
  <si>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</si>
  <si>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</si>
  <si>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</si>
  <si>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</si>
  <si>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</si>
  <si>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</si>
  <si>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</si>
  <si>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</si>
  <si>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</si>
  <si>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</si>
  <si>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</si>
  <si>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</si>
  <si>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</si>
  <si>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</si>
  <si>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</si>
  <si>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</si>
  <si>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</si>
  <si>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</si>
  <si>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</si>
  <si>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</si>
  <si>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</si>
  <si>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</si>
  <si>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</si>
  <si>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</si>
  <si>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</si>
  <si>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</si>
  <si>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</si>
  <si>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</si>
  <si>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</si>
  <si>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</si>
  <si>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</si>
  <si>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</si>
  <si>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</si>
  <si>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</si>
  <si>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</si>
  <si>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</si>
  <si>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</si>
  <si>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</si>
  <si>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</si>
  <si>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</si>
  <si>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</si>
  <si>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</si>
  <si>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</si>
  <si>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</si>
  <si>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</si>
  <si>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</si>
  <si>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</si>
  <si>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</si>
  <si>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</si>
  <si>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</si>
  <si>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</si>
  <si>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</si>
  <si>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</si>
  <si>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</si>
  <si>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</si>
  <si>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</si>
  <si>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</si>
  <si>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</si>
  <si>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</si>
  <si>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</si>
  <si>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</si>
  <si>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</si>
  <si>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</si>
  <si>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</si>
  <si>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</si>
  <si>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</si>
  <si>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</si>
  <si>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</si>
  <si>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</si>
  <si>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</si>
  <si>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</si>
  <si>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</si>
  <si>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</si>
  <si>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</si>
  <si>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</si>
  <si>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</si>
  <si>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</si>
  <si>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</si>
  <si>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</si>
  <si>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</si>
  <si>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</si>
  <si>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</si>
  <si>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</si>
  <si>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</si>
  <si>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</si>
  <si>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</si>
  <si>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</si>
  <si>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</si>
  <si>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</si>
  <si>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</si>
  <si>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</si>
  <si>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</si>
  <si>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</si>
  <si>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</si>
  <si>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</si>
  <si>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</si>
  <si>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</si>
  <si>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</si>
  <si>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</si>
  <si>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</si>
  <si>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</si>
  <si>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</si>
  <si>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</si>
  <si>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</si>
  <si>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</si>
  <si>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</si>
  <si>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</si>
  <si>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</si>
  <si>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</si>
  <si>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</si>
  <si>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</si>
  <si>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</si>
  <si>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</si>
  <si>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</si>
  <si>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</si>
  <si>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</si>
  <si>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</si>
  <si>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</si>
  <si>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</si>
  <si>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</si>
  <si>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</si>
  <si>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</si>
  <si>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</si>
  <si>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</si>
  <si>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</si>
  <si>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</si>
  <si>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</si>
  <si>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</si>
  <si>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</si>
  <si>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</si>
  <si>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</si>
  <si>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</si>
  <si>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</si>
  <si>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</si>
  <si>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</si>
  <si>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</si>
  <si>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</si>
  <si>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</si>
  <si>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</si>
  <si>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</si>
  <si>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</si>
  <si>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</si>
  <si>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</si>
  <si>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</si>
  <si>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</si>
  <si>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</si>
  <si>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</si>
  <si>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</si>
  <si>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</si>
  <si>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</si>
  <si>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</si>
  <si>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</si>
  <si>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</si>
  <si>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</si>
  <si>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</si>
  <si>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</si>
  <si>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</si>
  <si>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</si>
  <si>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</si>
  <si>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</si>
  <si>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</si>
  <si>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</si>
  <si>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</si>
  <si>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</si>
  <si>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</si>
  <si>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</si>
  <si>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</si>
  <si>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</si>
  <si>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</si>
  <si>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</si>
  <si>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GH2</t>
    </r>
  </si>
  <si>
    <t>Molecular mass of hydrogen</t>
  </si>
  <si>
    <r>
      <t>MM</t>
    </r>
    <r>
      <rPr>
        <vertAlign val="subscript"/>
        <sz val="11"/>
        <rFont val="Calibri"/>
        <family val="2"/>
        <scheme val="minor"/>
      </rPr>
      <t>GCH4</t>
    </r>
  </si>
  <si>
    <t>Molecular mass of methane</t>
  </si>
  <si>
    <r>
      <t>MM</t>
    </r>
    <r>
      <rPr>
        <vertAlign val="subscript"/>
        <sz val="11"/>
        <rFont val="Calibri"/>
        <family val="2"/>
        <scheme val="minor"/>
      </rPr>
      <t>GCO2</t>
    </r>
  </si>
  <si>
    <t>Molecular mass of carbon dioxide</t>
  </si>
  <si>
    <r>
      <t>MM</t>
    </r>
    <r>
      <rPr>
        <vertAlign val="subscript"/>
        <sz val="11"/>
        <rFont val="Calibri"/>
        <family val="2"/>
        <scheme val="minor"/>
      </rPr>
      <t>GN2</t>
    </r>
  </si>
  <si>
    <t>Molecular mass of nitrogen</t>
  </si>
  <si>
    <r>
      <t>MM</t>
    </r>
    <r>
      <rPr>
        <vertAlign val="subscript"/>
        <sz val="11"/>
        <rFont val="Calibri"/>
        <family val="2"/>
        <scheme val="minor"/>
      </rPr>
      <t>GO2</t>
    </r>
  </si>
  <si>
    <t>Molecular mass of oxygen</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</si>
  <si>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</si>
  <si>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</si>
  <si>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</si>
  <si>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</si>
  <si>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</si>
  <si>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</si>
  <si>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</si>
  <si>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</si>
  <si>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O2</t>
    </r>
  </si>
  <si>
    <r>
      <t>MM</t>
    </r>
    <r>
      <rPr>
        <vertAlign val="subscript"/>
        <sz val="11"/>
        <rFont val="Calibri"/>
        <family val="2"/>
        <scheme val="minor"/>
      </rPr>
      <t>N2</t>
    </r>
  </si>
  <si>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</si>
  <si>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</si>
  <si>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</si>
  <si>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</si>
  <si>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</si>
  <si>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</si>
  <si>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</si>
  <si>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</si>
  <si>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</si>
  <si>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</si>
  <si>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</si>
  <si>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Electron equivalences</t>
  </si>
  <si>
    <r>
      <t>EEQ</t>
    </r>
    <r>
      <rPr>
        <vertAlign val="subscript"/>
        <sz val="11"/>
        <rFont val="Calibri"/>
        <family val="2"/>
      </rPr>
      <t>N2</t>
    </r>
  </si>
  <si>
    <r>
      <t>Electron equivalence of N</t>
    </r>
    <r>
      <rPr>
        <vertAlign val="subscript"/>
        <sz val="11"/>
        <rFont val="Calibri"/>
        <family val="2"/>
      </rPr>
      <t>2</t>
    </r>
  </si>
  <si>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</si>
  <si>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</si>
  <si>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</si>
  <si>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</si>
  <si>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</si>
  <si>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</si>
  <si>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</si>
  <si>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</si>
  <si>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</si>
  <si>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</si>
  <si>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</si>
  <si>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</si>
  <si>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</si>
  <si>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r>
      <t>S</t>
    </r>
    <r>
      <rPr>
        <b/>
        <vertAlign val="subscript"/>
        <sz val="11"/>
        <rFont val="Calibri"/>
        <family val="2"/>
        <scheme val="minor"/>
      </rPr>
      <t>B</t>
    </r>
  </si>
  <si>
    <r>
      <t>X</t>
    </r>
    <r>
      <rPr>
        <b/>
        <vertAlign val="subscript"/>
        <sz val="11"/>
        <rFont val="Calibri"/>
        <family val="2"/>
        <scheme val="minor"/>
      </rPr>
      <t>B</t>
    </r>
  </si>
  <si>
    <r>
      <t>S</t>
    </r>
    <r>
      <rPr>
        <b/>
        <vertAlign val="subscript"/>
        <sz val="11"/>
        <rFont val="Calibri"/>
        <family val="2"/>
        <scheme val="minor"/>
      </rPr>
      <t>U</t>
    </r>
  </si>
  <si>
    <r>
      <t>X</t>
    </r>
    <r>
      <rPr>
        <b/>
        <vertAlign val="subscript"/>
        <sz val="11"/>
        <rFont val="Calibri"/>
        <family val="2"/>
        <scheme val="minor"/>
      </rPr>
      <t>U</t>
    </r>
  </si>
  <si>
    <r>
      <t>X</t>
    </r>
    <r>
      <rPr>
        <b/>
        <vertAlign val="subscript"/>
        <sz val="11"/>
        <rFont val="Calibri"/>
        <family val="2"/>
        <scheme val="minor"/>
      </rPr>
      <t>E</t>
    </r>
  </si>
  <si>
    <r>
      <t>X</t>
    </r>
    <r>
      <rPr>
        <b/>
        <vertAlign val="subscript"/>
        <sz val="11"/>
        <rFont val="Calibri"/>
        <family val="2"/>
        <scheme val="minor"/>
      </rPr>
      <t>OHO</t>
    </r>
  </si>
  <si>
    <r>
      <t>X</t>
    </r>
    <r>
      <rPr>
        <b/>
        <vertAlign val="subscript"/>
        <sz val="11"/>
        <rFont val="Calibri"/>
        <family val="2"/>
        <scheme val="minor"/>
      </rPr>
      <t>NITO</t>
    </r>
  </si>
  <si>
    <r>
      <t>X</t>
    </r>
    <r>
      <rPr>
        <b/>
        <vertAlign val="subscript"/>
        <sz val="11"/>
        <rFont val="Calibri"/>
        <family val="2"/>
        <scheme val="minor"/>
      </rPr>
      <t>AMETO</t>
    </r>
  </si>
  <si>
    <r>
      <t>X</t>
    </r>
    <r>
      <rPr>
        <b/>
        <vertAlign val="subscript"/>
        <sz val="11"/>
        <rFont val="Calibri"/>
        <family val="2"/>
        <scheme val="minor"/>
      </rPr>
      <t>HMETO</t>
    </r>
  </si>
  <si>
    <r>
      <t>S</t>
    </r>
    <r>
      <rPr>
        <b/>
        <vertAlign val="subscript"/>
        <sz val="11"/>
        <rFont val="Calibri"/>
        <family val="2"/>
        <scheme val="minor"/>
      </rPr>
      <t>NHx</t>
    </r>
  </si>
  <si>
    <r>
      <t>S</t>
    </r>
    <r>
      <rPr>
        <b/>
        <vertAlign val="subscript"/>
        <sz val="11"/>
        <rFont val="Calibri"/>
        <family val="2"/>
        <scheme val="minor"/>
      </rPr>
      <t>N2</t>
    </r>
  </si>
  <si>
    <r>
      <t>S</t>
    </r>
    <r>
      <rPr>
        <b/>
        <vertAlign val="subscript"/>
        <sz val="11"/>
        <rFont val="Calibri"/>
        <family val="2"/>
        <scheme val="minor"/>
      </rPr>
      <t>N,B</t>
    </r>
  </si>
  <si>
    <r>
      <t>X</t>
    </r>
    <r>
      <rPr>
        <b/>
        <vertAlign val="subscript"/>
        <sz val="11"/>
        <rFont val="Calibri"/>
        <family val="2"/>
        <scheme val="minor"/>
      </rPr>
      <t>N,B</t>
    </r>
  </si>
  <si>
    <r>
      <t>S</t>
    </r>
    <r>
      <rPr>
        <b/>
        <vertAlign val="subscript"/>
        <sz val="11"/>
        <rFont val="Calibri"/>
        <family val="2"/>
        <scheme val="minor"/>
      </rPr>
      <t>PO4</t>
    </r>
  </si>
  <si>
    <r>
      <t>g P.m</t>
    </r>
    <r>
      <rPr>
        <vertAlign val="superscript"/>
        <sz val="11"/>
        <rFont val="Calibri"/>
        <family val="2"/>
      </rPr>
      <t>-3</t>
    </r>
  </si>
  <si>
    <r>
      <t>X</t>
    </r>
    <r>
      <rPr>
        <b/>
        <vertAlign val="subscript"/>
        <sz val="11"/>
        <rFont val="Calibri"/>
        <family val="2"/>
        <scheme val="minor"/>
      </rPr>
      <t>P,B</t>
    </r>
  </si>
  <si>
    <r>
      <t>S</t>
    </r>
    <r>
      <rPr>
        <b/>
        <vertAlign val="subscript"/>
        <sz val="11"/>
        <rFont val="Calibri"/>
        <family val="2"/>
        <scheme val="minor"/>
      </rPr>
      <t>O2</t>
    </r>
  </si>
  <si>
    <r>
      <t>g O</t>
    </r>
    <r>
      <rPr>
        <vertAlign val="subscript"/>
        <sz val="11"/>
        <rFont val="Calibri"/>
        <family val="2"/>
      </rPr>
      <t>2</t>
    </r>
    <r>
      <rPr>
        <sz val="11"/>
        <rFont val="Calibri"/>
        <family val="2"/>
      </rPr>
      <t>.m</t>
    </r>
    <r>
      <rPr>
        <vertAlign val="superscript"/>
        <sz val="11"/>
        <rFont val="Calibri"/>
        <family val="2"/>
      </rPr>
      <t>-3</t>
    </r>
  </si>
  <si>
    <r>
      <t>S</t>
    </r>
    <r>
      <rPr>
        <b/>
        <vertAlign val="subscript"/>
        <sz val="11"/>
        <rFont val="Calibri"/>
        <family val="2"/>
        <scheme val="minor"/>
      </rPr>
      <t>CH4</t>
    </r>
  </si>
  <si>
    <r>
      <t>S</t>
    </r>
    <r>
      <rPr>
        <b/>
        <vertAlign val="subscript"/>
        <sz val="11"/>
        <rFont val="Calibri"/>
        <family val="2"/>
        <scheme val="minor"/>
      </rPr>
      <t>H2</t>
    </r>
  </si>
  <si>
    <r>
      <t>X</t>
    </r>
    <r>
      <rPr>
        <b/>
        <vertAlign val="subscript"/>
        <sz val="11"/>
        <rFont val="Calibri"/>
        <family val="2"/>
        <scheme val="minor"/>
      </rPr>
      <t>INORG</t>
    </r>
  </si>
  <si>
    <r>
      <t>g TSS.m</t>
    </r>
    <r>
      <rPr>
        <vertAlign val="superscript"/>
        <sz val="11"/>
        <rFont val="Calibri"/>
        <family val="2"/>
      </rPr>
      <t>-3</t>
    </r>
  </si>
  <si>
    <r>
      <t>S</t>
    </r>
    <r>
      <rPr>
        <b/>
        <vertAlign val="subscript"/>
        <sz val="11"/>
        <rFont val="Calibri"/>
        <family val="2"/>
        <scheme val="minor"/>
      </rPr>
      <t>ALK</t>
    </r>
  </si>
  <si>
    <t>G</t>
  </si>
  <si>
    <t>r18</t>
  </si>
  <si>
    <t>r19</t>
  </si>
  <si>
    <t>r20</t>
  </si>
  <si>
    <r>
      <t>G</t>
    </r>
    <r>
      <rPr>
        <b/>
        <vertAlign val="subscript"/>
        <sz val="12"/>
        <rFont val="Calibri"/>
        <family val="2"/>
        <scheme val="minor"/>
      </rPr>
      <t>O2</t>
    </r>
  </si>
  <si>
    <r>
      <t>G</t>
    </r>
    <r>
      <rPr>
        <b/>
        <vertAlign val="subscript"/>
        <sz val="12"/>
        <rFont val="Calibri"/>
        <family val="2"/>
        <scheme val="minor"/>
      </rPr>
      <t>CH4</t>
    </r>
  </si>
  <si>
    <r>
      <t>G</t>
    </r>
    <r>
      <rPr>
        <b/>
        <vertAlign val="subscript"/>
        <sz val="12"/>
        <rFont val="Calibri"/>
        <family val="2"/>
        <scheme val="minor"/>
      </rPr>
      <t>H2</t>
    </r>
  </si>
  <si>
    <t>Calculated gas transfer coefficients</t>
  </si>
  <si>
    <r>
      <t>d</t>
    </r>
    <r>
      <rPr>
        <vertAlign val="superscript"/>
        <sz val="11"/>
        <rFont val="Calibri"/>
        <family val="2"/>
        <scheme val="minor"/>
      </rPr>
      <t>-1</t>
    </r>
  </si>
  <si>
    <r>
      <t>G</t>
    </r>
    <r>
      <rPr>
        <b/>
        <vertAlign val="subscript"/>
        <sz val="12"/>
        <rFont val="Calibri"/>
        <family val="2"/>
        <scheme val="minor"/>
      </rPr>
      <t>N2</t>
    </r>
  </si>
  <si>
    <t>r21</t>
  </si>
  <si>
    <t>Max(lolim;Min(hilim;var))</t>
  </si>
  <si>
    <t>If(x&gt;0;1;If(x&lt;0;-1;0))</t>
  </si>
  <si>
    <r>
      <t>g.m</t>
    </r>
    <r>
      <rPr>
        <vertAlign val="superscript"/>
        <sz val="11"/>
        <rFont val="Calibri"/>
        <family val="2"/>
        <scheme val="minor"/>
      </rPr>
      <t>-3</t>
    </r>
  </si>
  <si>
    <r>
      <t>p</t>
    </r>
    <r>
      <rPr>
        <vertAlign val="subscript"/>
        <sz val="11"/>
        <rFont val="Calibri"/>
        <family val="2"/>
      </rPr>
      <t>St</t>
    </r>
  </si>
  <si>
    <t>Pa</t>
  </si>
  <si>
    <t>Other parameters</t>
  </si>
  <si>
    <t>pH effects on/not on from systemcode</t>
  </si>
  <si>
    <t>Boolean</t>
  </si>
  <si>
    <t>Equilibrium species</t>
  </si>
  <si>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</si>
  <si>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r>
      <t>(-i</t>
    </r>
    <r>
      <rPr>
        <vertAlign val="subscript"/>
        <sz val="11"/>
        <color indexed="8"/>
        <rFont val="Calibri"/>
        <family val="2"/>
      </rPr>
      <t>N,BIO</t>
    </r>
    <r>
      <rPr>
        <sz val="11"/>
        <color indexed="8"/>
        <rFont val="Calibri"/>
        <family val="2"/>
      </rPr>
      <t>*CH</t>
    </r>
    <r>
      <rPr>
        <vertAlign val="subscript"/>
        <sz val="11"/>
        <color indexed="8"/>
        <rFont val="Calibri"/>
        <family val="2"/>
      </rPr>
      <t>NHx</t>
    </r>
    <r>
      <rPr>
        <sz val="11"/>
        <color indexed="8"/>
        <rFont val="Calibri"/>
        <family val="2"/>
      </rPr>
      <t>-i</t>
    </r>
    <r>
      <rPr>
        <vertAlign val="subscript"/>
        <sz val="11"/>
        <color indexed="8"/>
        <rFont val="Calibri"/>
        <family val="2"/>
      </rPr>
      <t>P,BIO</t>
    </r>
    <r>
      <rPr>
        <sz val="11"/>
        <color indexed="8"/>
        <rFont val="Calibri"/>
        <family val="2"/>
      </rPr>
      <t>*CH</t>
    </r>
    <r>
      <rPr>
        <vertAlign val="subscript"/>
        <sz val="11"/>
        <color indexed="8"/>
        <rFont val="Calibri"/>
        <family val="2"/>
      </rPr>
      <t>PO4</t>
    </r>
    <r>
      <rPr>
        <sz val="11"/>
        <color indexed="8"/>
        <rFont val="Calibri"/>
        <family val="2"/>
      </rPr>
      <t>)</t>
    </r>
  </si>
  <si>
    <r>
      <t>((-1/Y</t>
    </r>
    <r>
      <rPr>
        <vertAlign val="subscript"/>
        <sz val="11"/>
        <color indexed="8"/>
        <rFont val="Calibri"/>
        <family val="2"/>
      </rPr>
      <t>NITO</t>
    </r>
    <r>
      <rPr>
        <sz val="11"/>
        <color indexed="8"/>
        <rFont val="Calibri"/>
        <family val="2"/>
      </rPr>
      <t>-i</t>
    </r>
    <r>
      <rPr>
        <vertAlign val="subscript"/>
        <sz val="11"/>
        <color indexed="8"/>
        <rFont val="Calibri"/>
        <family val="2"/>
      </rPr>
      <t>N,BIO</t>
    </r>
    <r>
      <rPr>
        <sz val="11"/>
        <color indexed="8"/>
        <rFont val="Calibri"/>
        <family val="2"/>
      </rPr>
      <t>)*CH</t>
    </r>
    <r>
      <rPr>
        <vertAlign val="subscript"/>
        <sz val="11"/>
        <color indexed="8"/>
        <rFont val="Calibri"/>
        <family val="2"/>
      </rPr>
      <t>NHx</t>
    </r>
    <r>
      <rPr>
        <sz val="11"/>
        <color indexed="8"/>
        <rFont val="Calibri"/>
        <family val="2"/>
      </rPr>
      <t>+1/Y</t>
    </r>
    <r>
      <rPr>
        <vertAlign val="subscript"/>
        <sz val="11"/>
        <color indexed="8"/>
        <rFont val="Calibri"/>
        <family val="2"/>
      </rPr>
      <t>NITO</t>
    </r>
    <r>
      <rPr>
        <sz val="11"/>
        <color indexed="8"/>
        <rFont val="Calibri"/>
        <family val="2"/>
      </rPr>
      <t>*CH</t>
    </r>
    <r>
      <rPr>
        <vertAlign val="subscript"/>
        <sz val="11"/>
        <color indexed="8"/>
        <rFont val="Calibri"/>
        <family val="2"/>
      </rPr>
      <t>NO3</t>
    </r>
    <r>
      <rPr>
        <sz val="11"/>
        <color indexed="8"/>
        <rFont val="Calibri"/>
        <family val="2"/>
      </rPr>
      <t>-i</t>
    </r>
    <r>
      <rPr>
        <vertAlign val="subscript"/>
        <sz val="11"/>
        <color indexed="8"/>
        <rFont val="Calibri"/>
        <family val="2"/>
      </rPr>
      <t>P,BIO</t>
    </r>
    <r>
      <rPr>
        <sz val="11"/>
        <color indexed="8"/>
        <rFont val="Calibri"/>
        <family val="2"/>
      </rPr>
      <t>*CH</t>
    </r>
    <r>
      <rPr>
        <vertAlign val="subscript"/>
        <sz val="11"/>
        <color indexed="8"/>
        <rFont val="Calibri"/>
        <family val="2"/>
      </rPr>
      <t>PO4</t>
    </r>
    <r>
      <rPr>
        <sz val="11"/>
        <color indexed="8"/>
        <rFont val="Calibri"/>
        <family val="2"/>
      </rPr>
      <t>)</t>
    </r>
  </si>
  <si>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</si>
  <si>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</si>
  <si>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</si>
  <si>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</si>
  <si>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</si>
  <si>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</si>
  <si>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</si>
  <si>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General stoichiometry</t>
  </si>
  <si>
    <t>Set</t>
  </si>
  <si>
    <r>
      <t>S</t>
    </r>
    <r>
      <rPr>
        <b/>
        <vertAlign val="subscript"/>
        <sz val="11"/>
        <color indexed="8"/>
        <rFont val="Calibri"/>
        <family val="2"/>
        <scheme val="minor"/>
      </rPr>
      <t>NOx</t>
    </r>
  </si>
  <si>
    <r>
      <t>S</t>
    </r>
    <r>
      <rPr>
        <b/>
        <vertAlign val="subscript"/>
        <sz val="11"/>
        <rFont val="Calibri"/>
        <family val="2"/>
        <scheme val="minor"/>
      </rPr>
      <t>NOx</t>
    </r>
  </si>
  <si>
    <r>
      <t>X</t>
    </r>
    <r>
      <rPr>
        <vertAlign val="subscript"/>
        <sz val="11"/>
        <rFont val="Calibri"/>
        <family val="2"/>
      </rPr>
      <t>BIO</t>
    </r>
  </si>
  <si>
    <r>
      <t>X</t>
    </r>
    <r>
      <rPr>
        <vertAlign val="subscript"/>
        <sz val="11"/>
        <rFont val="Calibri"/>
        <family val="2"/>
      </rPr>
      <t>COD</t>
    </r>
  </si>
  <si>
    <r>
      <t>X</t>
    </r>
    <r>
      <rPr>
        <vertAlign val="subscript"/>
        <sz val="11"/>
        <rFont val="Calibri"/>
        <family val="2"/>
      </rPr>
      <t>BIO</t>
    </r>
    <r>
      <rPr>
        <sz val="11"/>
        <rFont val="Calibri"/>
        <family val="2"/>
      </rPr>
      <t>+X</t>
    </r>
    <r>
      <rPr>
        <vertAlign val="subscript"/>
        <sz val="11"/>
        <rFont val="Calibri"/>
        <family val="2"/>
      </rPr>
      <t>B</t>
    </r>
    <r>
      <rPr>
        <sz val="11"/>
        <rFont val="Calibri"/>
        <family val="2"/>
      </rPr>
      <t>+X</t>
    </r>
    <r>
      <rPr>
        <vertAlign val="subscript"/>
        <sz val="11"/>
        <rFont val="Calibri"/>
        <family val="2"/>
      </rPr>
      <t>U</t>
    </r>
    <r>
      <rPr>
        <sz val="11"/>
        <rFont val="Calibri"/>
        <family val="2"/>
      </rPr>
      <t>+X</t>
    </r>
    <r>
      <rPr>
        <vertAlign val="subscript"/>
        <sz val="11"/>
        <rFont val="Calibri"/>
        <family val="2"/>
      </rPr>
      <t>E</t>
    </r>
  </si>
  <si>
    <r>
      <t>X</t>
    </r>
    <r>
      <rPr>
        <vertAlign val="subscript"/>
        <sz val="11"/>
        <rFont val="Calibri"/>
        <family val="2"/>
      </rPr>
      <t>VSS,BIO</t>
    </r>
  </si>
  <si>
    <r>
      <t>X</t>
    </r>
    <r>
      <rPr>
        <vertAlign val="subscript"/>
        <sz val="11"/>
        <rFont val="Calibri"/>
        <family val="2"/>
      </rPr>
      <t>BIO</t>
    </r>
    <r>
      <rPr>
        <sz val="11"/>
        <rFont val="Calibri"/>
        <family val="2"/>
      </rPr>
      <t>/i</t>
    </r>
    <r>
      <rPr>
        <vertAlign val="subscript"/>
        <sz val="11"/>
        <rFont val="Calibri"/>
        <family val="2"/>
      </rPr>
      <t>CV,BIO</t>
    </r>
  </si>
  <si>
    <r>
      <t>g VSS.m</t>
    </r>
    <r>
      <rPr>
        <vertAlign val="superscript"/>
        <sz val="11"/>
        <rFont val="Calibri"/>
        <family val="2"/>
      </rPr>
      <t>-3</t>
    </r>
  </si>
  <si>
    <r>
      <t>X</t>
    </r>
    <r>
      <rPr>
        <vertAlign val="subscript"/>
        <sz val="11"/>
        <rFont val="Calibri"/>
        <family val="2"/>
      </rPr>
      <t>VSS</t>
    </r>
  </si>
  <si>
    <t>Components</t>
  </si>
  <si>
    <t>Default</t>
  </si>
  <si>
    <t>Particle size</t>
  </si>
  <si>
    <r>
      <t>µ</t>
    </r>
    <r>
      <rPr>
        <vertAlign val="subscript"/>
        <sz val="11"/>
        <color indexed="8"/>
        <rFont val="Calibri"/>
        <family val="2"/>
        <scheme val="minor"/>
      </rPr>
      <t>OHO</t>
    </r>
  </si>
  <si>
    <r>
      <t>d</t>
    </r>
    <r>
      <rPr>
        <vertAlign val="superscript"/>
        <sz val="11"/>
        <color indexed="8"/>
        <rFont val="Calibri"/>
        <family val="2"/>
        <scheme val="minor"/>
      </rPr>
      <t>-1</t>
    </r>
  </si>
  <si>
    <r>
      <t>g COD.m</t>
    </r>
    <r>
      <rPr>
        <vertAlign val="superscript"/>
        <sz val="11"/>
        <color indexed="8"/>
        <rFont val="Calibri"/>
        <family val="2"/>
        <scheme val="minor"/>
      </rPr>
      <t>-3</t>
    </r>
  </si>
  <si>
    <r>
      <t>g O</t>
    </r>
    <r>
      <rPr>
        <vertAlign val="subscript"/>
        <sz val="11"/>
        <color indexed="8"/>
        <rFont val="Calibri"/>
        <family val="2"/>
        <scheme val="minor"/>
      </rPr>
      <t>2</t>
    </r>
    <r>
      <rPr>
        <sz val="11"/>
        <color indexed="8"/>
        <rFont val="Calibri"/>
        <family val="2"/>
        <scheme val="minor"/>
      </rPr>
      <t>.m</t>
    </r>
    <r>
      <rPr>
        <vertAlign val="superscript"/>
        <sz val="11"/>
        <color indexed="8"/>
        <rFont val="Calibri"/>
        <family val="2"/>
        <scheme val="minor"/>
      </rPr>
      <t>-3</t>
    </r>
  </si>
  <si>
    <r>
      <t>g N.m</t>
    </r>
    <r>
      <rPr>
        <vertAlign val="superscript"/>
        <sz val="11"/>
        <color indexed="8"/>
        <rFont val="Calibri"/>
        <family val="2"/>
        <scheme val="minor"/>
      </rPr>
      <t>-3</t>
    </r>
  </si>
  <si>
    <r>
      <t>b</t>
    </r>
    <r>
      <rPr>
        <vertAlign val="subscript"/>
        <sz val="11"/>
        <color indexed="8"/>
        <rFont val="Calibri"/>
        <family val="2"/>
        <scheme val="minor"/>
      </rPr>
      <t>OHO</t>
    </r>
  </si>
  <si>
    <r>
      <t>µ</t>
    </r>
    <r>
      <rPr>
        <vertAlign val="subscript"/>
        <sz val="11"/>
        <color indexed="8"/>
        <rFont val="Calibri"/>
        <family val="2"/>
        <scheme val="minor"/>
      </rPr>
      <t>FERM,OHO</t>
    </r>
  </si>
  <si>
    <r>
      <t>µ</t>
    </r>
    <r>
      <rPr>
        <vertAlign val="subscript"/>
        <sz val="11"/>
        <color indexed="8"/>
        <rFont val="Calibri"/>
        <family val="2"/>
        <scheme val="minor"/>
      </rPr>
      <t>NITO</t>
    </r>
  </si>
  <si>
    <r>
      <t>b</t>
    </r>
    <r>
      <rPr>
        <vertAlign val="subscript"/>
        <sz val="11"/>
        <color indexed="8"/>
        <rFont val="Calibri"/>
        <family val="2"/>
        <scheme val="minor"/>
      </rPr>
      <t>NITO</t>
    </r>
  </si>
  <si>
    <r>
      <t>µ</t>
    </r>
    <r>
      <rPr>
        <vertAlign val="subscript"/>
        <sz val="11"/>
        <color indexed="8"/>
        <rFont val="Calibri"/>
        <family val="2"/>
        <scheme val="minor"/>
      </rPr>
      <t>AMETO</t>
    </r>
  </si>
  <si>
    <r>
      <t>b</t>
    </r>
    <r>
      <rPr>
        <vertAlign val="subscript"/>
        <sz val="11"/>
        <color indexed="8"/>
        <rFont val="Calibri"/>
        <family val="2"/>
        <scheme val="minor"/>
      </rPr>
      <t>AMETO</t>
    </r>
    <r>
      <rPr>
        <sz val="11"/>
        <color indexed="8"/>
        <rFont val="Calibri"/>
        <family val="2"/>
      </rPr>
      <t/>
    </r>
  </si>
  <si>
    <r>
      <t>µ</t>
    </r>
    <r>
      <rPr>
        <vertAlign val="subscript"/>
        <sz val="11"/>
        <color indexed="8"/>
        <rFont val="Calibri"/>
        <family val="2"/>
        <scheme val="minor"/>
      </rPr>
      <t>HMETO</t>
    </r>
  </si>
  <si>
    <r>
      <t>b</t>
    </r>
    <r>
      <rPr>
        <vertAlign val="subscript"/>
        <sz val="11"/>
        <color indexed="8"/>
        <rFont val="Calibri"/>
        <family val="2"/>
        <scheme val="minor"/>
      </rPr>
      <t>HMETO</t>
    </r>
    <r>
      <rPr>
        <sz val="11"/>
        <color indexed="8"/>
        <rFont val="Calibri"/>
        <family val="2"/>
      </rPr>
      <t/>
    </r>
  </si>
  <si>
    <r>
      <t>K</t>
    </r>
    <r>
      <rPr>
        <vertAlign val="subscript"/>
        <sz val="11"/>
        <rFont val="Calibri"/>
        <family val="2"/>
        <scheme val="minor"/>
      </rPr>
      <t>NHx,BIO</t>
    </r>
  </si>
  <si>
    <r>
      <t>g N.m</t>
    </r>
    <r>
      <rPr>
        <vertAlign val="superscript"/>
        <sz val="11"/>
        <rFont val="Calibri"/>
        <family val="2"/>
        <scheme val="minor"/>
      </rPr>
      <t>-3</t>
    </r>
  </si>
  <si>
    <r>
      <t>K</t>
    </r>
    <r>
      <rPr>
        <vertAlign val="subscript"/>
        <sz val="11"/>
        <rFont val="Calibri"/>
        <family val="2"/>
        <scheme val="minor"/>
      </rPr>
      <t>PO4,BIO</t>
    </r>
  </si>
  <si>
    <r>
      <t>g P.m</t>
    </r>
    <r>
      <rPr>
        <vertAlign val="superscript"/>
        <sz val="11"/>
        <rFont val="Calibri"/>
        <family val="2"/>
        <scheme val="minor"/>
      </rPr>
      <t>-3</t>
    </r>
  </si>
  <si>
    <r>
      <t>K</t>
    </r>
    <r>
      <rPr>
        <vertAlign val="subscript"/>
        <sz val="11"/>
        <rFont val="Calibri"/>
        <family val="2"/>
        <scheme val="minor"/>
      </rPr>
      <t>ALK</t>
    </r>
  </si>
  <si>
    <r>
      <t>q</t>
    </r>
    <r>
      <rPr>
        <vertAlign val="subscript"/>
        <sz val="11"/>
        <rFont val="Calibri"/>
        <family val="2"/>
        <scheme val="minor"/>
      </rPr>
      <t>HYD</t>
    </r>
  </si>
  <si>
    <r>
      <t>K</t>
    </r>
    <r>
      <rPr>
        <vertAlign val="subscript"/>
        <sz val="11"/>
        <rFont val="Calibri"/>
        <family val="2"/>
        <scheme val="minor"/>
      </rPr>
      <t>HYD</t>
    </r>
  </si>
  <si>
    <r>
      <t>q</t>
    </r>
    <r>
      <rPr>
        <vertAlign val="subscript"/>
        <sz val="11"/>
        <rFont val="Calibri"/>
        <family val="2"/>
        <scheme val="minor"/>
      </rPr>
      <t>AMMON</t>
    </r>
  </si>
  <si>
    <r>
      <t>q</t>
    </r>
    <r>
      <rPr>
        <vertAlign val="subscript"/>
        <sz val="11"/>
        <rFont val="Calibri"/>
        <family val="2"/>
        <scheme val="minor"/>
      </rPr>
      <t>ASSIM</t>
    </r>
  </si>
  <si>
    <r>
      <t>g COD.m</t>
    </r>
    <r>
      <rPr>
        <vertAlign val="superscript"/>
        <sz val="11"/>
        <rFont val="Calibri"/>
        <family val="2"/>
        <scheme val="minor"/>
      </rPr>
      <t>-3</t>
    </r>
  </si>
  <si>
    <r>
      <t>C</t>
    </r>
    <r>
      <rPr>
        <vertAlign val="superscript"/>
        <sz val="11"/>
        <rFont val="Calibri"/>
        <family val="2"/>
        <scheme val="minor"/>
      </rPr>
      <t>o</t>
    </r>
  </si>
  <si>
    <r>
      <t>T</t>
    </r>
    <r>
      <rPr>
        <vertAlign val="subscript"/>
        <sz val="11"/>
        <rFont val="Calibri"/>
        <family val="2"/>
        <scheme val="minor"/>
      </rPr>
      <t>base</t>
    </r>
  </si>
  <si>
    <r>
      <rPr>
        <sz val="11"/>
        <rFont val="Calibri"/>
        <family val="2"/>
        <scheme val="minor"/>
      </rPr>
      <t>θ</t>
    </r>
    <r>
      <rPr>
        <vertAlign val="subscript"/>
        <sz val="11"/>
        <rFont val="Calibri"/>
        <family val="2"/>
        <scheme val="minor"/>
      </rPr>
      <t>µ,OHO</t>
    </r>
  </si>
  <si>
    <r>
      <t>θ</t>
    </r>
    <r>
      <rPr>
        <vertAlign val="subscript"/>
        <sz val="11"/>
        <rFont val="Calibri"/>
        <family val="2"/>
        <scheme val="minor"/>
      </rPr>
      <t>FERM,OHO</t>
    </r>
  </si>
  <si>
    <r>
      <t>θ</t>
    </r>
    <r>
      <rPr>
        <vertAlign val="subscript"/>
        <sz val="11"/>
        <rFont val="Calibri"/>
        <family val="2"/>
        <scheme val="minor"/>
      </rPr>
      <t>b,OHO</t>
    </r>
  </si>
  <si>
    <r>
      <t>θ</t>
    </r>
    <r>
      <rPr>
        <vertAlign val="subscript"/>
        <sz val="11"/>
        <rFont val="Calibri"/>
        <family val="2"/>
        <scheme val="minor"/>
      </rPr>
      <t>µ,NITO</t>
    </r>
  </si>
  <si>
    <r>
      <t>θ</t>
    </r>
    <r>
      <rPr>
        <vertAlign val="subscript"/>
        <sz val="11"/>
        <rFont val="Calibri"/>
        <family val="2"/>
        <scheme val="minor"/>
      </rPr>
      <t>b,NITO</t>
    </r>
  </si>
  <si>
    <r>
      <t>θ</t>
    </r>
    <r>
      <rPr>
        <vertAlign val="subscript"/>
        <sz val="11"/>
        <rFont val="Calibri"/>
        <family val="2"/>
        <scheme val="minor"/>
      </rPr>
      <t>µ,AMETO</t>
    </r>
  </si>
  <si>
    <r>
      <t>θ</t>
    </r>
    <r>
      <rPr>
        <vertAlign val="subscript"/>
        <sz val="11"/>
        <rFont val="Calibri"/>
        <family val="2"/>
        <scheme val="minor"/>
      </rPr>
      <t>b,AMETO</t>
    </r>
  </si>
  <si>
    <r>
      <t>θ</t>
    </r>
    <r>
      <rPr>
        <vertAlign val="subscript"/>
        <sz val="11"/>
        <rFont val="Calibri"/>
        <family val="2"/>
        <scheme val="minor"/>
      </rPr>
      <t>µ,HMETO</t>
    </r>
  </si>
  <si>
    <r>
      <t>θ</t>
    </r>
    <r>
      <rPr>
        <vertAlign val="subscript"/>
        <sz val="11"/>
        <rFont val="Calibri"/>
        <family val="2"/>
        <scheme val="minor"/>
      </rPr>
      <t>b,HMETO</t>
    </r>
  </si>
  <si>
    <r>
      <t>θ</t>
    </r>
    <r>
      <rPr>
        <vertAlign val="subscript"/>
        <sz val="11"/>
        <rFont val="Calibri"/>
        <family val="2"/>
        <scheme val="minor"/>
      </rPr>
      <t>q,HYD</t>
    </r>
  </si>
  <si>
    <r>
      <t>θ</t>
    </r>
    <r>
      <rPr>
        <vertAlign val="subscript"/>
        <sz val="11"/>
        <rFont val="Calibri"/>
        <family val="2"/>
        <scheme val="minor"/>
      </rPr>
      <t>q,AMMON</t>
    </r>
  </si>
  <si>
    <r>
      <t>θ</t>
    </r>
    <r>
      <rPr>
        <vertAlign val="subscript"/>
        <sz val="11"/>
        <rFont val="Calibri"/>
        <family val="2"/>
        <scheme val="minor"/>
      </rPr>
      <t>q,ASSIM</t>
    </r>
  </si>
  <si>
    <r>
      <t>Y</t>
    </r>
    <r>
      <rPr>
        <vertAlign val="subscript"/>
        <sz val="11"/>
        <rFont val="Calibri"/>
        <family val="2"/>
        <scheme val="minor"/>
      </rPr>
      <t>NITO</t>
    </r>
  </si>
  <si>
    <r>
      <t>Y</t>
    </r>
    <r>
      <rPr>
        <vertAlign val="subscript"/>
        <sz val="11"/>
        <rFont val="Calibri"/>
        <family val="2"/>
        <scheme val="minor"/>
      </rPr>
      <t>HMETO</t>
    </r>
  </si>
  <si>
    <r>
      <t>Y</t>
    </r>
    <r>
      <rPr>
        <vertAlign val="subscript"/>
        <sz val="11"/>
        <rFont val="Calibri"/>
        <family val="2"/>
        <scheme val="minor"/>
      </rPr>
      <t>AMETO</t>
    </r>
  </si>
  <si>
    <r>
      <t>f</t>
    </r>
    <r>
      <rPr>
        <vertAlign val="subscript"/>
        <sz val="11"/>
        <rFont val="Calibri"/>
        <family val="2"/>
        <scheme val="minor"/>
      </rPr>
      <t>H2</t>
    </r>
  </si>
  <si>
    <r>
      <t>f</t>
    </r>
    <r>
      <rPr>
        <vertAlign val="subscript"/>
        <sz val="11"/>
        <rFont val="Calibri"/>
        <family val="2"/>
        <scheme val="minor"/>
      </rPr>
      <t>E</t>
    </r>
  </si>
  <si>
    <r>
      <t>i</t>
    </r>
    <r>
      <rPr>
        <vertAlign val="subscript"/>
        <sz val="11"/>
        <rFont val="Calibri"/>
        <family val="2"/>
        <scheme val="minor"/>
      </rPr>
      <t>N,BIO</t>
    </r>
  </si>
  <si>
    <r>
      <t>g N.g COD</t>
    </r>
    <r>
      <rPr>
        <vertAlign val="superscript"/>
        <sz val="11"/>
        <rFont val="Calibri"/>
        <family val="2"/>
        <scheme val="minor"/>
      </rPr>
      <t>-1</t>
    </r>
  </si>
  <si>
    <r>
      <t>i</t>
    </r>
    <r>
      <rPr>
        <vertAlign val="subscript"/>
        <sz val="11"/>
        <rFont val="Calibri"/>
        <family val="2"/>
        <scheme val="minor"/>
      </rPr>
      <t>P,BIO</t>
    </r>
  </si>
  <si>
    <r>
      <t>g P.g COD</t>
    </r>
    <r>
      <rPr>
        <vertAlign val="superscript"/>
        <sz val="11"/>
        <rFont val="Calibri"/>
        <family val="2"/>
        <scheme val="minor"/>
      </rPr>
      <t>-1</t>
    </r>
  </si>
  <si>
    <r>
      <t>i</t>
    </r>
    <r>
      <rPr>
        <vertAlign val="subscript"/>
        <sz val="11"/>
        <rFont val="Calibri"/>
        <family val="2"/>
        <scheme val="minor"/>
      </rPr>
      <t>CV,BIO</t>
    </r>
  </si>
  <si>
    <r>
      <t>g COD.g VSS</t>
    </r>
    <r>
      <rPr>
        <vertAlign val="superscript"/>
        <sz val="11"/>
        <rFont val="Calibri"/>
        <family val="2"/>
        <scheme val="minor"/>
      </rPr>
      <t>-1</t>
    </r>
  </si>
  <si>
    <r>
      <t>T</t>
    </r>
    <r>
      <rPr>
        <vertAlign val="subscript"/>
        <sz val="11"/>
        <rFont val="Calibri"/>
        <family val="2"/>
      </rPr>
      <t>KN</t>
    </r>
  </si>
  <si>
    <t>Saturation/inhibition terms</t>
  </si>
  <si>
    <r>
      <t>Msat</t>
    </r>
    <r>
      <rPr>
        <vertAlign val="subscript"/>
        <sz val="11"/>
        <rFont val="Calibri"/>
        <family val="2"/>
        <scheme val="minor"/>
      </rPr>
      <t>SB,KSB</t>
    </r>
  </si>
  <si>
    <r>
      <t>Msat(S</t>
    </r>
    <r>
      <rPr>
        <vertAlign val="subscript"/>
        <sz val="11"/>
        <rFont val="Calibri"/>
        <family val="2"/>
        <scheme val="minor"/>
      </rPr>
      <t>B</t>
    </r>
    <r>
      <rPr>
        <sz val="11"/>
        <rFont val="Calibri"/>
        <family val="2"/>
        <scheme val="minor"/>
      </rPr>
      <t>;K</t>
    </r>
    <r>
      <rPr>
        <vertAlign val="subscript"/>
        <sz val="11"/>
        <rFont val="Calibri"/>
        <family val="2"/>
        <scheme val="minor"/>
      </rPr>
      <t>SB</t>
    </r>
    <r>
      <rPr>
        <sz val="11"/>
        <rFont val="Calibri"/>
        <family val="2"/>
        <scheme val="minor"/>
      </rPr>
      <t>)</t>
    </r>
  </si>
  <si>
    <r>
      <t>Msat</t>
    </r>
    <r>
      <rPr>
        <vertAlign val="subscript"/>
        <sz val="11"/>
        <rFont val="Calibri"/>
        <family val="2"/>
        <scheme val="minor"/>
      </rPr>
      <t>SO2,KO2,OHO</t>
    </r>
  </si>
  <si>
    <r>
      <t>Msat(S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</si>
  <si>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r>
      <t>Msat</t>
    </r>
    <r>
      <rPr>
        <vertAlign val="subscript"/>
        <sz val="11"/>
        <rFont val="Calibri"/>
        <family val="2"/>
        <scheme val="minor"/>
      </rPr>
      <t>SNHx,KNHx,BIO</t>
    </r>
  </si>
  <si>
    <r>
      <t>Msat(S</t>
    </r>
    <r>
      <rPr>
        <vertAlign val="subscript"/>
        <sz val="11"/>
        <rFont val="Calibri"/>
        <family val="2"/>
      </rPr>
      <t>NHx</t>
    </r>
    <r>
      <rPr>
        <sz val="11"/>
        <rFont val="Calibri"/>
        <family val="2"/>
      </rPr>
      <t>;K</t>
    </r>
    <r>
      <rPr>
        <vertAlign val="subscript"/>
        <sz val="11"/>
        <rFont val="Calibri"/>
        <family val="2"/>
      </rPr>
      <t>NHx,BIO</t>
    </r>
    <r>
      <rPr>
        <sz val="11"/>
        <rFont val="Calibri"/>
        <family val="2"/>
      </rPr>
      <t>)</t>
    </r>
  </si>
  <si>
    <r>
      <t>Msat</t>
    </r>
    <r>
      <rPr>
        <vertAlign val="subscript"/>
        <sz val="11"/>
        <rFont val="Calibri"/>
        <family val="2"/>
        <scheme val="minor"/>
      </rPr>
      <t>SPO4,KPO4,BIO</t>
    </r>
  </si>
  <si>
    <r>
      <t>Msat(S</t>
    </r>
    <r>
      <rPr>
        <vertAlign val="subscript"/>
        <sz val="11"/>
        <rFont val="Calibri"/>
        <family val="2"/>
      </rPr>
      <t>PO4</t>
    </r>
    <r>
      <rPr>
        <sz val="11"/>
        <rFont val="Calibri"/>
        <family val="2"/>
      </rPr>
      <t>;K</t>
    </r>
    <r>
      <rPr>
        <vertAlign val="subscript"/>
        <sz val="11"/>
        <rFont val="Calibri"/>
        <family val="2"/>
      </rPr>
      <t>PO4,BIO</t>
    </r>
    <r>
      <rPr>
        <sz val="11"/>
        <rFont val="Calibri"/>
        <family val="2"/>
      </rPr>
      <t>)</t>
    </r>
  </si>
  <si>
    <r>
      <t>Msat</t>
    </r>
    <r>
      <rPr>
        <vertAlign val="subscript"/>
        <sz val="11"/>
        <rFont val="Calibri"/>
        <family val="2"/>
        <scheme val="minor"/>
      </rPr>
      <t>SALK,KALK</t>
    </r>
  </si>
  <si>
    <r>
      <t>Msat(S</t>
    </r>
    <r>
      <rPr>
        <vertAlign val="subscript"/>
        <sz val="11"/>
        <rFont val="Calibri"/>
        <family val="2"/>
      </rPr>
      <t>ALK</t>
    </r>
    <r>
      <rPr>
        <sz val="11"/>
        <rFont val="Calibri"/>
        <family val="2"/>
      </rPr>
      <t>;K</t>
    </r>
    <r>
      <rPr>
        <vertAlign val="subscript"/>
        <sz val="11"/>
        <rFont val="Calibri"/>
        <family val="2"/>
      </rPr>
      <t>ALK</t>
    </r>
    <r>
      <rPr>
        <sz val="11"/>
        <rFont val="Calibri"/>
        <family val="2"/>
      </rPr>
      <t>)</t>
    </r>
  </si>
  <si>
    <r>
      <t>Msat</t>
    </r>
    <r>
      <rPr>
        <vertAlign val="subscript"/>
        <sz val="11"/>
        <rFont val="Calibri"/>
        <family val="2"/>
        <scheme val="minor"/>
      </rPr>
      <t>SO2,KO2,NITO</t>
    </r>
  </si>
  <si>
    <r>
      <t>Msat(S</t>
    </r>
    <r>
      <rPr>
        <vertAlign val="subscript"/>
        <sz val="11"/>
        <rFont val="Calibri"/>
        <family val="2"/>
      </rPr>
      <t>O2</t>
    </r>
    <r>
      <rPr>
        <sz val="11"/>
        <rFont val="Calibri"/>
        <family val="2"/>
      </rPr>
      <t>;K</t>
    </r>
    <r>
      <rPr>
        <vertAlign val="subscript"/>
        <sz val="11"/>
        <rFont val="Calibri"/>
        <family val="2"/>
      </rPr>
      <t>O2,NITO</t>
    </r>
    <r>
      <rPr>
        <sz val="11"/>
        <rFont val="Calibri"/>
        <family val="2"/>
      </rPr>
      <t>)</t>
    </r>
  </si>
  <si>
    <r>
      <t>Minh</t>
    </r>
    <r>
      <rPr>
        <vertAlign val="subscript"/>
        <sz val="11"/>
        <rFont val="Calibri"/>
        <family val="2"/>
        <scheme val="minor"/>
      </rPr>
      <t>SO2,KO2,OHO</t>
    </r>
  </si>
  <si>
    <r>
      <t>Minh(S</t>
    </r>
    <r>
      <rPr>
        <vertAlign val="subscript"/>
        <sz val="11"/>
        <rFont val="Calibri"/>
        <family val="2"/>
      </rPr>
      <t>O2</t>
    </r>
    <r>
      <rPr>
        <sz val="11"/>
        <rFont val="Calibri"/>
        <family val="2"/>
      </rPr>
      <t>;K</t>
    </r>
    <r>
      <rPr>
        <vertAlign val="subscript"/>
        <sz val="11"/>
        <rFont val="Calibri"/>
        <family val="2"/>
      </rPr>
      <t>O2,OHO</t>
    </r>
    <r>
      <rPr>
        <sz val="11"/>
        <rFont val="Calibri"/>
        <family val="2"/>
      </rPr>
      <t>)</t>
    </r>
  </si>
  <si>
    <r>
      <t>Minh</t>
    </r>
    <r>
      <rPr>
        <vertAlign val="subscript"/>
        <sz val="11"/>
        <rFont val="Calibri"/>
        <family val="2"/>
        <scheme val="minor"/>
      </rPr>
      <t>SO2,KO2,NITO</t>
    </r>
  </si>
  <si>
    <r>
      <t>Minh(S</t>
    </r>
    <r>
      <rPr>
        <vertAlign val="subscript"/>
        <sz val="11"/>
        <rFont val="Calibri"/>
        <family val="2"/>
      </rPr>
      <t>O2</t>
    </r>
    <r>
      <rPr>
        <sz val="11"/>
        <rFont val="Calibri"/>
        <family val="2"/>
      </rPr>
      <t>;K</t>
    </r>
    <r>
      <rPr>
        <vertAlign val="subscript"/>
        <sz val="11"/>
        <rFont val="Calibri"/>
        <family val="2"/>
      </rPr>
      <t>O2,NITO</t>
    </r>
    <r>
      <rPr>
        <sz val="11"/>
        <rFont val="Calibri"/>
        <family val="2"/>
      </rPr>
      <t>)</t>
    </r>
  </si>
  <si>
    <r>
      <t>µ</t>
    </r>
    <r>
      <rPr>
        <vertAlign val="subscript"/>
        <sz val="11"/>
        <color indexed="8"/>
        <rFont val="Calibri"/>
        <family val="2"/>
      </rPr>
      <t>OHO,T</t>
    </r>
    <r>
      <rPr>
        <sz val="11"/>
        <color indexed="8"/>
        <rFont val="Calibri"/>
        <family val="2"/>
      </rPr>
      <t>*Msat</t>
    </r>
    <r>
      <rPr>
        <vertAlign val="subscript"/>
        <sz val="11"/>
        <color indexed="8"/>
        <rFont val="Calibri"/>
        <family val="2"/>
      </rPr>
      <t>SB,KSB</t>
    </r>
    <r>
      <rPr>
        <sz val="11"/>
        <color indexed="8"/>
        <rFont val="Calibri"/>
        <family val="2"/>
      </rPr>
      <t>*X</t>
    </r>
    <r>
      <rPr>
        <vertAlign val="subscript"/>
        <sz val="11"/>
        <color indexed="8"/>
        <rFont val="Calibri"/>
        <family val="2"/>
      </rPr>
      <t>OHO</t>
    </r>
    <r>
      <rPr>
        <sz val="11"/>
        <color indexed="8"/>
        <rFont val="Calibri"/>
        <family val="2"/>
      </rPr>
      <t>*Msat</t>
    </r>
    <r>
      <rPr>
        <vertAlign val="subscript"/>
        <sz val="11"/>
        <color indexed="8"/>
        <rFont val="Calibri"/>
        <family val="2"/>
      </rPr>
      <t>SO2,KO2,OHO</t>
    </r>
    <r>
      <rPr>
        <sz val="11"/>
        <color indexed="8"/>
        <rFont val="Calibri"/>
        <family val="2"/>
      </rPr>
      <t>*Msat</t>
    </r>
    <r>
      <rPr>
        <vertAlign val="subscript"/>
        <sz val="11"/>
        <color indexed="8"/>
        <rFont val="Calibri"/>
        <family val="2"/>
      </rPr>
      <t>SNHx,KNHx,BIO</t>
    </r>
    <r>
      <rPr>
        <sz val="11"/>
        <color indexed="8"/>
        <rFont val="Calibri"/>
        <family val="2"/>
      </rPr>
      <t>*Msat</t>
    </r>
    <r>
      <rPr>
        <vertAlign val="subscript"/>
        <sz val="11"/>
        <color indexed="8"/>
        <rFont val="Calibri"/>
        <family val="2"/>
      </rPr>
      <t>SPO4,KPO4,BIO</t>
    </r>
    <r>
      <rPr>
        <sz val="11"/>
        <color indexed="8"/>
        <rFont val="Calibri"/>
        <family val="2"/>
      </rPr>
      <t>*Msat</t>
    </r>
    <r>
      <rPr>
        <vertAlign val="subscript"/>
        <sz val="11"/>
        <color indexed="8"/>
        <rFont val="Calibri"/>
        <family val="2"/>
      </rPr>
      <t>SALK,KALK</t>
    </r>
  </si>
  <si>
    <r>
      <t>Msat</t>
    </r>
    <r>
      <rPr>
        <vertAlign val="subscript"/>
        <sz val="11"/>
        <rFont val="Calibri"/>
        <family val="2"/>
        <scheme val="minor"/>
      </rPr>
      <t>SNHx,KNHx,NITO</t>
    </r>
  </si>
  <si>
    <r>
      <t>Msat(S</t>
    </r>
    <r>
      <rPr>
        <vertAlign val="subscript"/>
        <sz val="11"/>
        <rFont val="Calibri"/>
        <family val="2"/>
        <scheme val="minor"/>
      </rPr>
      <t>NHx;</t>
    </r>
    <r>
      <rPr>
        <sz val="11"/>
        <rFont val="Calibri"/>
        <family val="2"/>
        <scheme val="minor"/>
      </rPr>
      <t>K</t>
    </r>
    <r>
      <rPr>
        <vertAlign val="subscript"/>
        <sz val="11"/>
        <rFont val="Calibri"/>
        <family val="2"/>
        <scheme val="minor"/>
      </rPr>
      <t>NHx,NITO</t>
    </r>
    <r>
      <rPr>
        <sz val="11"/>
        <rFont val="Calibri"/>
        <family val="2"/>
        <scheme val="minor"/>
      </rPr>
      <t>)</t>
    </r>
  </si>
  <si>
    <r>
      <t>µ</t>
    </r>
    <r>
      <rPr>
        <vertAlign val="subscript"/>
        <sz val="11"/>
        <rFont val="Calibri"/>
        <family val="2"/>
      </rPr>
      <t>NITO,T</t>
    </r>
    <r>
      <rPr>
        <sz val="11"/>
        <rFont val="Calibri"/>
        <family val="2"/>
      </rPr>
      <t>*Msat</t>
    </r>
    <r>
      <rPr>
        <vertAlign val="subscript"/>
        <sz val="11"/>
        <rFont val="Calibri"/>
        <family val="2"/>
      </rPr>
      <t>SNHx,KNHx,NITO</t>
    </r>
    <r>
      <rPr>
        <sz val="11"/>
        <rFont val="Calibri"/>
        <family val="2"/>
      </rPr>
      <t>*X</t>
    </r>
    <r>
      <rPr>
        <vertAlign val="subscript"/>
        <sz val="11"/>
        <rFont val="Calibri"/>
        <family val="2"/>
      </rPr>
      <t>NITO</t>
    </r>
    <r>
      <rPr>
        <sz val="11"/>
        <rFont val="Calibri"/>
        <family val="2"/>
      </rPr>
      <t>*Msat</t>
    </r>
    <r>
      <rPr>
        <vertAlign val="subscript"/>
        <sz val="11"/>
        <rFont val="Calibri"/>
        <family val="2"/>
      </rPr>
      <t>SO2,KO2,NITO</t>
    </r>
    <r>
      <rPr>
        <sz val="11"/>
        <rFont val="Calibri"/>
        <family val="2"/>
      </rPr>
      <t>*Msat</t>
    </r>
    <r>
      <rPr>
        <vertAlign val="subscript"/>
        <sz val="11"/>
        <rFont val="Calibri"/>
        <family val="2"/>
      </rPr>
      <t>SPO4,KPO4,BIO</t>
    </r>
    <r>
      <rPr>
        <sz val="11"/>
        <rFont val="Calibri"/>
        <family val="2"/>
      </rPr>
      <t>*Msat</t>
    </r>
    <r>
      <rPr>
        <vertAlign val="subscript"/>
        <sz val="11"/>
        <rFont val="Calibri"/>
        <family val="2"/>
      </rPr>
      <t>SALK,KALK</t>
    </r>
  </si>
  <si>
    <r>
      <t>Msat</t>
    </r>
    <r>
      <rPr>
        <vertAlign val="subscript"/>
        <sz val="11"/>
        <rFont val="Calibri"/>
        <family val="2"/>
        <scheme val="minor"/>
      </rPr>
      <t>SB,KVFA,AMETO</t>
    </r>
  </si>
  <si>
    <r>
      <t>Msat(S</t>
    </r>
    <r>
      <rPr>
        <vertAlign val="subscript"/>
        <sz val="11"/>
        <rFont val="Calibri"/>
        <family val="2"/>
      </rPr>
      <t>B</t>
    </r>
    <r>
      <rPr>
        <sz val="11"/>
        <rFont val="Calibri"/>
        <family val="2"/>
      </rPr>
      <t>;K</t>
    </r>
    <r>
      <rPr>
        <vertAlign val="subscript"/>
        <sz val="11"/>
        <rFont val="Calibri"/>
        <family val="2"/>
      </rPr>
      <t>VFA,AMETO</t>
    </r>
    <r>
      <rPr>
        <sz val="11"/>
        <rFont val="Calibri"/>
        <family val="2"/>
      </rPr>
      <t>)</t>
    </r>
  </si>
  <si>
    <r>
      <t>Msat</t>
    </r>
    <r>
      <rPr>
        <vertAlign val="subscript"/>
        <sz val="11"/>
        <rFont val="Calibri"/>
        <family val="2"/>
        <scheme val="minor"/>
      </rPr>
      <t>SH2,KH2,HMETO</t>
    </r>
  </si>
  <si>
    <r>
      <t>Msat(S</t>
    </r>
    <r>
      <rPr>
        <vertAlign val="subscript"/>
        <sz val="11"/>
        <rFont val="Calibri"/>
        <family val="2"/>
      </rPr>
      <t>H2</t>
    </r>
    <r>
      <rPr>
        <sz val="11"/>
        <rFont val="Calibri"/>
        <family val="2"/>
      </rPr>
      <t>;K</t>
    </r>
    <r>
      <rPr>
        <vertAlign val="subscript"/>
        <sz val="11"/>
        <rFont val="Calibri"/>
        <family val="2"/>
      </rPr>
      <t>H2,HMETO</t>
    </r>
    <r>
      <rPr>
        <sz val="11"/>
        <rFont val="Calibri"/>
        <family val="2"/>
      </rPr>
      <t>)</t>
    </r>
  </si>
  <si>
    <r>
      <t>µ</t>
    </r>
    <r>
      <rPr>
        <vertAlign val="subscript"/>
        <sz val="11"/>
        <color indexed="8"/>
        <rFont val="Calibri"/>
        <family val="2"/>
      </rPr>
      <t>OHO</t>
    </r>
    <r>
      <rPr>
        <sz val="11"/>
        <color indexed="8"/>
        <rFont val="Calibri"/>
        <family val="2"/>
      </rPr>
      <t>*Arrh(θ</t>
    </r>
    <r>
      <rPr>
        <vertAlign val="subscript"/>
        <sz val="11"/>
        <color indexed="8"/>
        <rFont val="Calibri"/>
        <family val="2"/>
      </rPr>
      <t>µ,OHO</t>
    </r>
    <r>
      <rPr>
        <sz val="11"/>
        <color indexed="8"/>
        <rFont val="Calibri"/>
        <family val="2"/>
      </rPr>
      <t>; T; T</t>
    </r>
    <r>
      <rPr>
        <vertAlign val="subscript"/>
        <sz val="11"/>
        <color indexed="8"/>
        <rFont val="Calibri"/>
        <family val="2"/>
      </rPr>
      <t>base</t>
    </r>
    <r>
      <rPr>
        <sz val="11"/>
        <color indexed="8"/>
        <rFont val="Calibri"/>
        <family val="2"/>
      </rPr>
      <t>)</t>
    </r>
  </si>
  <si>
    <r>
      <t>µ</t>
    </r>
    <r>
      <rPr>
        <vertAlign val="subscript"/>
        <sz val="11"/>
        <color indexed="8"/>
        <rFont val="Calibri"/>
        <family val="2"/>
      </rPr>
      <t>FERM,OHO</t>
    </r>
    <r>
      <rPr>
        <sz val="11"/>
        <color indexed="8"/>
        <rFont val="Calibri"/>
        <family val="2"/>
      </rPr>
      <t>*Arrh(θ</t>
    </r>
    <r>
      <rPr>
        <vertAlign val="subscript"/>
        <sz val="11"/>
        <color indexed="8"/>
        <rFont val="Calibri"/>
        <family val="2"/>
      </rPr>
      <t>FERM,OHO</t>
    </r>
    <r>
      <rPr>
        <sz val="11"/>
        <color indexed="8"/>
        <rFont val="Calibri"/>
        <family val="2"/>
      </rPr>
      <t>; T; T</t>
    </r>
    <r>
      <rPr>
        <vertAlign val="subscript"/>
        <sz val="11"/>
        <color indexed="8"/>
        <rFont val="Calibri"/>
        <family val="2"/>
      </rPr>
      <t>base</t>
    </r>
    <r>
      <rPr>
        <sz val="11"/>
        <color indexed="8"/>
        <rFont val="Calibri"/>
        <family val="2"/>
      </rPr>
      <t>)</t>
    </r>
  </si>
  <si>
    <r>
      <t>b</t>
    </r>
    <r>
      <rPr>
        <vertAlign val="subscript"/>
        <sz val="11"/>
        <color indexed="8"/>
        <rFont val="Calibri"/>
        <family val="2"/>
      </rPr>
      <t>OHO</t>
    </r>
    <r>
      <rPr>
        <sz val="11"/>
        <color indexed="8"/>
        <rFont val="Calibri"/>
        <family val="2"/>
      </rPr>
      <t>*Arrh(θ</t>
    </r>
    <r>
      <rPr>
        <vertAlign val="subscript"/>
        <sz val="11"/>
        <color indexed="8"/>
        <rFont val="Calibri"/>
        <family val="2"/>
      </rPr>
      <t>b,OHO</t>
    </r>
    <r>
      <rPr>
        <sz val="11"/>
        <color indexed="8"/>
        <rFont val="Calibri"/>
        <family val="2"/>
      </rPr>
      <t>;T;T</t>
    </r>
    <r>
      <rPr>
        <vertAlign val="subscript"/>
        <sz val="11"/>
        <color indexed="8"/>
        <rFont val="Calibri"/>
        <family val="2"/>
      </rPr>
      <t>base</t>
    </r>
    <r>
      <rPr>
        <sz val="11"/>
        <color indexed="8"/>
        <rFont val="Calibri"/>
        <family val="2"/>
      </rPr>
      <t>)</t>
    </r>
  </si>
  <si>
    <r>
      <t>µ</t>
    </r>
    <r>
      <rPr>
        <vertAlign val="subscript"/>
        <sz val="11"/>
        <color indexed="8"/>
        <rFont val="Calibri"/>
        <family val="2"/>
      </rPr>
      <t>NITO</t>
    </r>
    <r>
      <rPr>
        <sz val="11"/>
        <color indexed="8"/>
        <rFont val="Calibri"/>
        <family val="2"/>
      </rPr>
      <t>*Arrh(θ</t>
    </r>
    <r>
      <rPr>
        <vertAlign val="subscript"/>
        <sz val="11"/>
        <color indexed="8"/>
        <rFont val="Calibri"/>
        <family val="2"/>
      </rPr>
      <t>µ,NITO</t>
    </r>
    <r>
      <rPr>
        <sz val="11"/>
        <color indexed="8"/>
        <rFont val="Calibri"/>
        <family val="2"/>
      </rPr>
      <t>; T; T</t>
    </r>
    <r>
      <rPr>
        <vertAlign val="subscript"/>
        <sz val="11"/>
        <color indexed="8"/>
        <rFont val="Calibri"/>
        <family val="2"/>
      </rPr>
      <t>base</t>
    </r>
    <r>
      <rPr>
        <sz val="11"/>
        <color indexed="8"/>
        <rFont val="Calibri"/>
        <family val="2"/>
      </rPr>
      <t>)</t>
    </r>
  </si>
  <si>
    <r>
      <t>b</t>
    </r>
    <r>
      <rPr>
        <vertAlign val="subscript"/>
        <sz val="11"/>
        <color indexed="8"/>
        <rFont val="Calibri"/>
        <family val="2"/>
      </rPr>
      <t>NITO</t>
    </r>
    <r>
      <rPr>
        <sz val="11"/>
        <color indexed="8"/>
        <rFont val="Calibri"/>
        <family val="2"/>
      </rPr>
      <t>*Arrh(θ</t>
    </r>
    <r>
      <rPr>
        <vertAlign val="subscript"/>
        <sz val="11"/>
        <color indexed="8"/>
        <rFont val="Calibri"/>
        <family val="2"/>
      </rPr>
      <t>b,NITO</t>
    </r>
    <r>
      <rPr>
        <sz val="11"/>
        <color indexed="8"/>
        <rFont val="Calibri"/>
        <family val="2"/>
      </rPr>
      <t>; T; T</t>
    </r>
    <r>
      <rPr>
        <vertAlign val="subscript"/>
        <sz val="11"/>
        <color indexed="8"/>
        <rFont val="Calibri"/>
        <family val="2"/>
      </rPr>
      <t>base</t>
    </r>
    <r>
      <rPr>
        <sz val="11"/>
        <color indexed="8"/>
        <rFont val="Calibri"/>
        <family val="2"/>
      </rPr>
      <t>)</t>
    </r>
  </si>
  <si>
    <r>
      <t>µ</t>
    </r>
    <r>
      <rPr>
        <vertAlign val="subscript"/>
        <sz val="11"/>
        <color indexed="8"/>
        <rFont val="Calibri"/>
        <family val="2"/>
      </rPr>
      <t>AMETO</t>
    </r>
    <r>
      <rPr>
        <sz val="11"/>
        <color indexed="8"/>
        <rFont val="Calibri"/>
        <family val="2"/>
      </rPr>
      <t>*Arrh(θ</t>
    </r>
    <r>
      <rPr>
        <vertAlign val="subscript"/>
        <sz val="11"/>
        <color indexed="8"/>
        <rFont val="Calibri"/>
        <family val="2"/>
      </rPr>
      <t>µ,AMETO</t>
    </r>
    <r>
      <rPr>
        <sz val="11"/>
        <color indexed="8"/>
        <rFont val="Calibri"/>
        <family val="2"/>
      </rPr>
      <t>; T; T</t>
    </r>
    <r>
      <rPr>
        <vertAlign val="subscript"/>
        <sz val="11"/>
        <color indexed="8"/>
        <rFont val="Calibri"/>
        <family val="2"/>
      </rPr>
      <t>base</t>
    </r>
    <r>
      <rPr>
        <sz val="11"/>
        <color indexed="8"/>
        <rFont val="Calibri"/>
        <family val="2"/>
      </rPr>
      <t>)</t>
    </r>
  </si>
  <si>
    <r>
      <t>b</t>
    </r>
    <r>
      <rPr>
        <vertAlign val="subscript"/>
        <sz val="11"/>
        <color indexed="8"/>
        <rFont val="Calibri"/>
        <family val="2"/>
      </rPr>
      <t>AMETO</t>
    </r>
    <r>
      <rPr>
        <sz val="11"/>
        <color indexed="8"/>
        <rFont val="Calibri"/>
        <family val="2"/>
      </rPr>
      <t>*Arrh(θ</t>
    </r>
    <r>
      <rPr>
        <vertAlign val="subscript"/>
        <sz val="11"/>
        <color indexed="8"/>
        <rFont val="Calibri"/>
        <family val="2"/>
      </rPr>
      <t>b,AMETO</t>
    </r>
    <r>
      <rPr>
        <sz val="11"/>
        <color indexed="8"/>
        <rFont val="Calibri"/>
        <family val="2"/>
      </rPr>
      <t>; T; T</t>
    </r>
    <r>
      <rPr>
        <vertAlign val="subscript"/>
        <sz val="11"/>
        <color indexed="8"/>
        <rFont val="Calibri"/>
        <family val="2"/>
      </rPr>
      <t>base</t>
    </r>
    <r>
      <rPr>
        <sz val="11"/>
        <color indexed="8"/>
        <rFont val="Calibri"/>
        <family val="2"/>
      </rPr>
      <t>)</t>
    </r>
  </si>
  <si>
    <r>
      <t>µ</t>
    </r>
    <r>
      <rPr>
        <vertAlign val="subscript"/>
        <sz val="11"/>
        <color indexed="8"/>
        <rFont val="Calibri"/>
        <family val="2"/>
      </rPr>
      <t>HMETO</t>
    </r>
    <r>
      <rPr>
        <sz val="11"/>
        <color indexed="8"/>
        <rFont val="Calibri"/>
        <family val="2"/>
      </rPr>
      <t>*Arrh(θ</t>
    </r>
    <r>
      <rPr>
        <vertAlign val="subscript"/>
        <sz val="11"/>
        <color indexed="8"/>
        <rFont val="Calibri"/>
        <family val="2"/>
      </rPr>
      <t>µ,HMETO</t>
    </r>
    <r>
      <rPr>
        <sz val="11"/>
        <color indexed="8"/>
        <rFont val="Calibri"/>
        <family val="2"/>
      </rPr>
      <t>; T; T</t>
    </r>
    <r>
      <rPr>
        <vertAlign val="subscript"/>
        <sz val="11"/>
        <color indexed="8"/>
        <rFont val="Calibri"/>
        <family val="2"/>
      </rPr>
      <t>base</t>
    </r>
    <r>
      <rPr>
        <sz val="11"/>
        <color indexed="8"/>
        <rFont val="Calibri"/>
        <family val="2"/>
      </rPr>
      <t>)</t>
    </r>
  </si>
  <si>
    <r>
      <t>b</t>
    </r>
    <r>
      <rPr>
        <vertAlign val="subscript"/>
        <sz val="11"/>
        <color indexed="8"/>
        <rFont val="Calibri"/>
        <family val="2"/>
      </rPr>
      <t>HMETO</t>
    </r>
    <r>
      <rPr>
        <sz val="11"/>
        <color indexed="8"/>
        <rFont val="Calibri"/>
        <family val="2"/>
      </rPr>
      <t>*Arrh(θ</t>
    </r>
    <r>
      <rPr>
        <vertAlign val="subscript"/>
        <sz val="11"/>
        <color indexed="8"/>
        <rFont val="Calibri"/>
        <family val="2"/>
      </rPr>
      <t>b,HMETO</t>
    </r>
    <r>
      <rPr>
        <sz val="11"/>
        <color indexed="8"/>
        <rFont val="Calibri"/>
        <family val="2"/>
      </rPr>
      <t>; T; T</t>
    </r>
    <r>
      <rPr>
        <vertAlign val="subscript"/>
        <sz val="11"/>
        <color indexed="8"/>
        <rFont val="Calibri"/>
        <family val="2"/>
      </rPr>
      <t>base</t>
    </r>
    <r>
      <rPr>
        <sz val="11"/>
        <color indexed="8"/>
        <rFont val="Calibri"/>
        <family val="2"/>
      </rPr>
      <t>)</t>
    </r>
  </si>
  <si>
    <r>
      <t>q</t>
    </r>
    <r>
      <rPr>
        <vertAlign val="subscript"/>
        <sz val="11"/>
        <color indexed="8"/>
        <rFont val="Calibri"/>
        <family val="2"/>
      </rPr>
      <t>HYD</t>
    </r>
    <r>
      <rPr>
        <sz val="11"/>
        <color indexed="8"/>
        <rFont val="Calibri"/>
        <family val="2"/>
      </rPr>
      <t>*Arrh(θ</t>
    </r>
    <r>
      <rPr>
        <vertAlign val="subscript"/>
        <sz val="11"/>
        <color indexed="8"/>
        <rFont val="Calibri"/>
        <family val="2"/>
      </rPr>
      <t>q,HYD</t>
    </r>
    <r>
      <rPr>
        <sz val="11"/>
        <color indexed="8"/>
        <rFont val="Calibri"/>
        <family val="2"/>
      </rPr>
      <t>; T; T</t>
    </r>
    <r>
      <rPr>
        <vertAlign val="subscript"/>
        <sz val="11"/>
        <color indexed="8"/>
        <rFont val="Calibri"/>
        <family val="2"/>
      </rPr>
      <t>base</t>
    </r>
    <r>
      <rPr>
        <sz val="11"/>
        <color indexed="8"/>
        <rFont val="Calibri"/>
        <family val="2"/>
      </rPr>
      <t>)</t>
    </r>
  </si>
  <si>
    <r>
      <t>q</t>
    </r>
    <r>
      <rPr>
        <vertAlign val="subscript"/>
        <sz val="11"/>
        <color indexed="8"/>
        <rFont val="Calibri"/>
        <family val="2"/>
      </rPr>
      <t>AMMON</t>
    </r>
    <r>
      <rPr>
        <sz val="11"/>
        <color indexed="8"/>
        <rFont val="Calibri"/>
        <family val="2"/>
      </rPr>
      <t>*Arrh(θ</t>
    </r>
    <r>
      <rPr>
        <vertAlign val="subscript"/>
        <sz val="11"/>
        <color indexed="8"/>
        <rFont val="Calibri"/>
        <family val="2"/>
      </rPr>
      <t>q,AMMON</t>
    </r>
    <r>
      <rPr>
        <sz val="11"/>
        <color indexed="8"/>
        <rFont val="Calibri"/>
        <family val="2"/>
      </rPr>
      <t>; T; T</t>
    </r>
    <r>
      <rPr>
        <vertAlign val="subscript"/>
        <sz val="11"/>
        <color indexed="8"/>
        <rFont val="Calibri"/>
        <family val="2"/>
      </rPr>
      <t>base</t>
    </r>
    <r>
      <rPr>
        <sz val="11"/>
        <color indexed="8"/>
        <rFont val="Calibri"/>
        <family val="2"/>
      </rPr>
      <t>)</t>
    </r>
  </si>
  <si>
    <r>
      <t>q</t>
    </r>
    <r>
      <rPr>
        <vertAlign val="subscript"/>
        <sz val="11"/>
        <color indexed="8"/>
        <rFont val="Calibri"/>
        <family val="2"/>
      </rPr>
      <t>ASSIM</t>
    </r>
    <r>
      <rPr>
        <sz val="11"/>
        <color indexed="8"/>
        <rFont val="Calibri"/>
        <family val="2"/>
      </rPr>
      <t>*Arrh(θ</t>
    </r>
    <r>
      <rPr>
        <vertAlign val="subscript"/>
        <sz val="11"/>
        <color indexed="8"/>
        <rFont val="Calibri"/>
        <family val="2"/>
      </rPr>
      <t>q,ASSIM</t>
    </r>
    <r>
      <rPr>
        <sz val="11"/>
        <color indexed="8"/>
        <rFont val="Calibri"/>
        <family val="2"/>
      </rPr>
      <t>; T; T</t>
    </r>
    <r>
      <rPr>
        <vertAlign val="subscript"/>
        <sz val="11"/>
        <color indexed="8"/>
        <rFont val="Calibri"/>
        <family val="2"/>
      </rPr>
      <t>base</t>
    </r>
    <r>
      <rPr>
        <sz val="11"/>
        <color indexed="8"/>
        <rFont val="Calibri"/>
        <family val="2"/>
      </rPr>
      <t>)</t>
    </r>
  </si>
  <si>
    <r>
      <t>S</t>
    </r>
    <r>
      <rPr>
        <vertAlign val="subscript"/>
        <sz val="11"/>
        <rFont val="Calibri"/>
        <family val="2"/>
        <scheme val="minor"/>
      </rPr>
      <t>U</t>
    </r>
    <r>
      <rPr>
        <sz val="11"/>
        <rFont val="Calibri"/>
        <family val="2"/>
        <scheme val="minor"/>
      </rPr>
      <t xml:space="preserve"> +S</t>
    </r>
    <r>
      <rPr>
        <vertAlign val="subscript"/>
        <sz val="11"/>
        <rFont val="Calibri"/>
        <family val="2"/>
        <scheme val="minor"/>
      </rPr>
      <t xml:space="preserve">B </t>
    </r>
  </si>
  <si>
    <t>Advanced</t>
  </si>
  <si>
    <t>Sumo__pHEffects</t>
  </si>
  <si>
    <r>
      <t>g.m</t>
    </r>
    <r>
      <rPr>
        <vertAlign val="superscript"/>
        <sz val="11"/>
        <rFont val="Calibri"/>
        <family val="2"/>
      </rPr>
      <t>-3</t>
    </r>
  </si>
  <si>
    <r>
      <t>S</t>
    </r>
    <r>
      <rPr>
        <vertAlign val="subscript"/>
        <sz val="11"/>
        <rFont val="Calibri"/>
        <family val="2"/>
        <charset val="238"/>
      </rPr>
      <t>ALK,input</t>
    </r>
  </si>
  <si>
    <t>input alkalinity - in feed PU</t>
  </si>
  <si>
    <r>
      <t>Henry</t>
    </r>
    <r>
      <rPr>
        <vertAlign val="subscript"/>
        <sz val="11"/>
        <rFont val="Calibri"/>
        <family val="2"/>
        <scheme val="minor"/>
      </rPr>
      <t>GO2,25</t>
    </r>
  </si>
  <si>
    <t>http://webbook.nist.gov/cgi/cbook.cgi?ID=C7782447&amp;Mask=10</t>
  </si>
  <si>
    <r>
      <t>Henry</t>
    </r>
    <r>
      <rPr>
        <vertAlign val="subscript"/>
        <sz val="11"/>
        <rFont val="Calibri"/>
        <family val="2"/>
        <scheme val="minor"/>
      </rPr>
      <t>GO2,dt</t>
    </r>
  </si>
  <si>
    <r>
      <t>Henry</t>
    </r>
    <r>
      <rPr>
        <vertAlign val="subscript"/>
        <sz val="11"/>
        <rFont val="Calibri"/>
        <family val="2"/>
        <scheme val="minor"/>
      </rPr>
      <t>GCO2,25</t>
    </r>
  </si>
  <si>
    <t>http://webbook.nist.gov/cgi/cbook.cgi?ID=C124389&amp;Mask=10</t>
  </si>
  <si>
    <r>
      <t>Henry</t>
    </r>
    <r>
      <rPr>
        <vertAlign val="subscript"/>
        <sz val="11"/>
        <rFont val="Calibri"/>
        <family val="2"/>
        <scheme val="minor"/>
      </rPr>
      <t>GCO2,dt</t>
    </r>
  </si>
  <si>
    <r>
      <t>Henry</t>
    </r>
    <r>
      <rPr>
        <vertAlign val="subscript"/>
        <sz val="11"/>
        <rFont val="Calibri"/>
        <family val="2"/>
        <scheme val="minor"/>
      </rPr>
      <t>GNO,25</t>
    </r>
  </si>
  <si>
    <t>http://webbook.nist.gov/cgi/cbook.cgi?ID=C10102439&amp;Mask=10</t>
  </si>
  <si>
    <r>
      <t>Henry</t>
    </r>
    <r>
      <rPr>
        <vertAlign val="subscript"/>
        <sz val="11"/>
        <rFont val="Calibri"/>
        <family val="2"/>
        <scheme val="minor"/>
      </rPr>
      <t>GNO,dt</t>
    </r>
  </si>
  <si>
    <r>
      <t>Henry</t>
    </r>
    <r>
      <rPr>
        <vertAlign val="subscript"/>
        <sz val="11"/>
        <rFont val="Calibri"/>
        <family val="2"/>
        <scheme val="minor"/>
      </rPr>
      <t>GN2O,25</t>
    </r>
  </si>
  <si>
    <t>http://webbook.nist.gov/cgi/cbook.cgi?ID=C10024972&amp;Mask=10</t>
  </si>
  <si>
    <r>
      <t>Henry</t>
    </r>
    <r>
      <rPr>
        <vertAlign val="subscript"/>
        <sz val="11"/>
        <rFont val="Calibri"/>
        <family val="2"/>
        <scheme val="minor"/>
      </rPr>
      <t>GN2O,dt</t>
    </r>
  </si>
  <si>
    <r>
      <t>Henry</t>
    </r>
    <r>
      <rPr>
        <vertAlign val="subscript"/>
        <sz val="11"/>
        <rFont val="Calibri"/>
        <family val="2"/>
        <scheme val="minor"/>
      </rPr>
      <t>GN2,25</t>
    </r>
  </si>
  <si>
    <t>http://webbook.nist.gov/cgi/cbook.cgi?ID=C7727379&amp;Mask=10</t>
  </si>
  <si>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</si>
  <si>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</si>
  <si>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</si>
  <si>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</si>
  <si>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</si>
  <si>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c</t>
    </r>
    <r>
      <rPr>
        <vertAlign val="subscript"/>
        <sz val="11"/>
        <rFont val="Calibri"/>
        <family val="2"/>
        <scheme val="minor"/>
      </rPr>
      <t>p,water</t>
    </r>
  </si>
  <si>
    <t>Heat capacity of water at standard temperature (25°C)</t>
  </si>
  <si>
    <r>
      <t>T</t>
    </r>
    <r>
      <rPr>
        <vertAlign val="subscript"/>
        <sz val="11"/>
        <rFont val="Calibri"/>
        <family val="2"/>
        <scheme val="minor"/>
      </rPr>
      <t>null</t>
    </r>
  </si>
  <si>
    <t>0°C in Kelvin</t>
  </si>
  <si>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</si>
  <si>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</si>
  <si>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</si>
  <si>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</si>
  <si>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</si>
  <si>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</si>
  <si>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</si>
  <si>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</si>
  <si>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</si>
  <si>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</si>
  <si>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</si>
  <si>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</si>
  <si>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</si>
  <si>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</si>
  <si>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</si>
  <si>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</si>
  <si>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</si>
  <si>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</si>
  <si>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</si>
  <si>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</si>
  <si>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</si>
  <si>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</si>
  <si>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</si>
  <si>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</si>
  <si>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</si>
  <si>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</si>
  <si>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</si>
  <si>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</si>
  <si>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</si>
  <si>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</si>
  <si>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</si>
  <si>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</si>
  <si>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</si>
  <si>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</si>
  <si>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</si>
  <si>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</si>
  <si>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</si>
  <si>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</si>
  <si>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</si>
  <si>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</si>
  <si>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</si>
  <si>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</si>
  <si>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</si>
  <si>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r>
      <t>mol.L</t>
    </r>
    <r>
      <rPr>
        <vertAlign val="superscript"/>
        <sz val="11"/>
        <rFont val="Calibri"/>
        <family val="2"/>
        <scheme val="minor"/>
      </rPr>
      <t>-1</t>
    </r>
  </si>
  <si>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</si>
  <si>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</si>
  <si>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</si>
  <si>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</si>
  <si>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</si>
  <si>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</si>
  <si>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g,kg</t>
    </r>
  </si>
  <si>
    <t>Conversion coefficient between grams and kilograms</t>
  </si>
  <si>
    <r>
      <t>c</t>
    </r>
    <r>
      <rPr>
        <vertAlign val="subscript"/>
        <sz val="11"/>
        <rFont val="Calibri"/>
        <family val="2"/>
        <scheme val="minor"/>
      </rPr>
      <t>L,m3</t>
    </r>
  </si>
  <si>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</si>
  <si>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</si>
  <si>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</si>
  <si>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</si>
  <si>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</si>
  <si>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</si>
  <si>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</si>
  <si>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</si>
  <si>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</si>
  <si>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</si>
  <si>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</si>
  <si>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</si>
  <si>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</si>
  <si>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</si>
  <si>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</si>
  <si>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</si>
  <si>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</si>
  <si>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Standard enthalpy of phosphric acid</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</si>
  <si>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</si>
  <si>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</si>
  <si>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</si>
  <si>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</si>
  <si>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</si>
  <si>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</si>
  <si>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</si>
  <si>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</si>
  <si>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</si>
  <si>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</si>
  <si>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</si>
  <si>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</si>
  <si>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</si>
  <si>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</si>
  <si>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</si>
  <si>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</si>
  <si>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</si>
  <si>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</si>
  <si>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</si>
  <si>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</si>
  <si>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</si>
  <si>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t>1 / (1 + Exp((halfval - var) * slope))</t>
  </si>
  <si>
    <t>1 / (1 + Exp((var - halfval) * slope))</t>
  </si>
  <si>
    <t>Haldane equation</t>
  </si>
  <si>
    <t>Noncompinh(var; halfinh)</t>
  </si>
  <si>
    <t>Non-competetive inhibition</t>
  </si>
  <si>
    <t>1 / (1 + (var / halfinh))</t>
  </si>
  <si>
    <t>Diffusion coefficient of ammonia in water</t>
  </si>
  <si>
    <r>
      <t>MM</t>
    </r>
    <r>
      <rPr>
        <vertAlign val="subscript"/>
        <sz val="11"/>
        <rFont val="Calibri"/>
        <family val="2"/>
        <scheme val="minor"/>
      </rPr>
      <t>GNH3</t>
    </r>
  </si>
  <si>
    <r>
      <t>MM</t>
    </r>
    <r>
      <rPr>
        <vertAlign val="subscript"/>
        <sz val="11"/>
        <rFont val="Calibri"/>
        <family val="2"/>
        <scheme val="minor"/>
      </rPr>
      <t>H2O</t>
    </r>
  </si>
  <si>
    <t>Molecular mass of water</t>
  </si>
  <si>
    <r>
      <t>MM</t>
    </r>
    <r>
      <rPr>
        <vertAlign val="subscript"/>
        <sz val="11"/>
        <rFont val="Calibri"/>
        <family val="2"/>
        <scheme val="minor"/>
      </rPr>
      <t>SO4</t>
    </r>
  </si>
  <si>
    <t>Molecular mass of sulfate</t>
  </si>
  <si>
    <r>
      <t>MM</t>
    </r>
    <r>
      <rPr>
        <vertAlign val="subscript"/>
        <sz val="11"/>
        <rFont val="Calibri"/>
        <family val="2"/>
        <scheme val="minor"/>
      </rPr>
      <t>HSO4</t>
    </r>
  </si>
  <si>
    <t>Molecular mass of hydrogen sulfate</t>
  </si>
  <si>
    <r>
      <t>MM</t>
    </r>
    <r>
      <rPr>
        <vertAlign val="subscript"/>
        <sz val="11"/>
        <rFont val="Calibri"/>
        <family val="2"/>
        <scheme val="minor"/>
      </rPr>
      <t>H2SO4</t>
    </r>
  </si>
  <si>
    <r>
      <t>MM</t>
    </r>
    <r>
      <rPr>
        <vertAlign val="subscript"/>
        <sz val="11"/>
        <rFont val="Calibri"/>
        <family val="2"/>
        <scheme val="minor"/>
      </rPr>
      <t>H2S</t>
    </r>
  </si>
  <si>
    <t>Molecular mass of hydrogen chloride</t>
  </si>
  <si>
    <r>
      <t>MM</t>
    </r>
    <r>
      <rPr>
        <vertAlign val="subscript"/>
        <sz val="11"/>
        <rFont val="Calibri"/>
        <family val="2"/>
        <scheme val="minor"/>
      </rPr>
      <t>ACP</t>
    </r>
  </si>
  <si>
    <t>Molecular mass of amorphous calcium phosphate</t>
  </si>
  <si>
    <r>
      <t>MM</t>
    </r>
    <r>
      <rPr>
        <vertAlign val="subscript"/>
        <sz val="11"/>
        <rFont val="Calibri"/>
        <family val="2"/>
        <scheme val="minor"/>
      </rPr>
      <t>Vivi</t>
    </r>
  </si>
  <si>
    <t>Molecular mass of vivianite</t>
  </si>
  <si>
    <r>
      <t>MM</t>
    </r>
    <r>
      <rPr>
        <vertAlign val="subscript"/>
        <sz val="11"/>
        <rFont val="Calibri"/>
        <family val="2"/>
        <scheme val="minor"/>
      </rPr>
      <t>FeS</t>
    </r>
  </si>
  <si>
    <t>Molecular mass of iron sulfide</t>
  </si>
  <si>
    <t>N content in GN2</t>
  </si>
  <si>
    <t>N content in GNH3</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</si>
  <si>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</si>
  <si>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</si>
  <si>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</si>
  <si>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</si>
  <si>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</si>
  <si>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</si>
  <si>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</si>
  <si>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</si>
  <si>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</si>
  <si>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</si>
  <si>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</si>
  <si>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</si>
  <si>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</si>
  <si>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</si>
  <si>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</si>
  <si>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</si>
  <si>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</si>
  <si>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</si>
  <si>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</si>
  <si>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</si>
  <si>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</si>
  <si>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</si>
  <si>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</si>
  <si>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</si>
  <si>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</si>
  <si>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</si>
  <si>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</si>
  <si>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</si>
  <si>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</si>
  <si>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</si>
  <si>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</si>
  <si>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</si>
  <si>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</si>
  <si>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</si>
  <si>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g O2.m</t>
    </r>
    <r>
      <rPr>
        <vertAlign val="superscript"/>
        <sz val="11"/>
        <rFont val="Calibri"/>
        <family val="2"/>
      </rPr>
      <t>-3</t>
    </r>
    <r>
      <rPr>
        <sz val="11"/>
        <rFont val="Calibri"/>
        <family val="2"/>
      </rPr>
      <t>.d</t>
    </r>
    <r>
      <rPr>
        <vertAlign val="superscript"/>
        <sz val="11"/>
        <rFont val="Calibri"/>
        <family val="2"/>
      </rPr>
      <t>-1</t>
    </r>
  </si>
  <si>
    <r>
      <t>-(v1_S</t>
    </r>
    <r>
      <rPr>
        <vertAlign val="subscript"/>
        <sz val="11"/>
        <rFont val="Calibri"/>
        <family val="2"/>
        <scheme val="minor"/>
      </rPr>
      <t>O2</t>
    </r>
    <r>
      <rPr>
        <sz val="11"/>
        <rFont val="Calibri"/>
        <family val="2"/>
        <scheme val="minor"/>
      </rPr>
      <t>*r1+v4_S</t>
    </r>
    <r>
      <rPr>
        <vertAlign val="subscript"/>
        <sz val="11"/>
        <rFont val="Calibri"/>
        <family val="2"/>
        <scheme val="minor"/>
      </rPr>
      <t>O2</t>
    </r>
    <r>
      <rPr>
        <sz val="11"/>
        <rFont val="Calibri"/>
        <family val="2"/>
        <scheme val="minor"/>
      </rPr>
      <t>*r4)</t>
    </r>
  </si>
  <si>
    <t>Temperature [K]</t>
  </si>
  <si>
    <t>Temperature [°C]</t>
  </si>
  <si>
    <t>Enthalpy</t>
  </si>
  <si>
    <t>Water with 0°C is considered to have zero enthalpy. Initial values are calculated for 20°C</t>
  </si>
  <si>
    <r>
      <t>X</t>
    </r>
    <r>
      <rPr>
        <vertAlign val="subscript"/>
        <sz val="11"/>
        <rFont val="Calibri"/>
        <family val="2"/>
      </rPr>
      <t>VS</t>
    </r>
  </si>
  <si>
    <r>
      <t>i</t>
    </r>
    <r>
      <rPr>
        <vertAlign val="subscript"/>
        <sz val="11"/>
        <rFont val="Calibri"/>
        <family val="2"/>
        <scheme val="minor"/>
      </rPr>
      <t>CV,SB</t>
    </r>
  </si>
  <si>
    <r>
      <t>i</t>
    </r>
    <r>
      <rPr>
        <vertAlign val="subscript"/>
        <sz val="11"/>
        <rFont val="Calibri"/>
        <family val="2"/>
        <scheme val="minor"/>
      </rPr>
      <t>CV,SU</t>
    </r>
  </si>
  <si>
    <r>
      <t>X</t>
    </r>
    <r>
      <rPr>
        <vertAlign val="subscript"/>
        <sz val="11"/>
        <rFont val="Calibri"/>
        <family val="2"/>
      </rPr>
      <t>VSS</t>
    </r>
    <r>
      <rPr>
        <sz val="11"/>
        <rFont val="Calibri"/>
        <family val="2"/>
      </rPr>
      <t>+S</t>
    </r>
    <r>
      <rPr>
        <vertAlign val="subscript"/>
        <sz val="11"/>
        <rFont val="Calibri"/>
        <family val="2"/>
      </rPr>
      <t>U</t>
    </r>
    <r>
      <rPr>
        <sz val="11"/>
        <rFont val="Calibri"/>
        <family val="2"/>
      </rPr>
      <t>/i</t>
    </r>
    <r>
      <rPr>
        <vertAlign val="subscript"/>
        <sz val="11"/>
        <rFont val="Calibri"/>
        <family val="2"/>
      </rPr>
      <t>CV,SU</t>
    </r>
    <r>
      <rPr>
        <sz val="11"/>
        <rFont val="Calibri"/>
        <family val="2"/>
      </rPr>
      <t>+S</t>
    </r>
    <r>
      <rPr>
        <vertAlign val="subscript"/>
        <sz val="11"/>
        <rFont val="Calibri"/>
        <family val="2"/>
      </rPr>
      <t>B</t>
    </r>
    <r>
      <rPr>
        <sz val="11"/>
        <rFont val="Calibri"/>
        <family val="2"/>
      </rPr>
      <t>/i</t>
    </r>
    <r>
      <rPr>
        <vertAlign val="subscript"/>
        <sz val="11"/>
        <rFont val="Calibri"/>
        <family val="2"/>
      </rPr>
      <t>CV,SB</t>
    </r>
  </si>
  <si>
    <t>Codelocation(Integrated)</t>
  </si>
  <si>
    <t>Type(Energy)</t>
  </si>
  <si>
    <t>°C</t>
  </si>
  <si>
    <t>Digester</t>
  </si>
  <si>
    <r>
      <t>H</t>
    </r>
    <r>
      <rPr>
        <vertAlign val="subscript"/>
        <sz val="11"/>
        <rFont val="Calibri"/>
        <family val="2"/>
        <scheme val="minor"/>
      </rPr>
      <t>null</t>
    </r>
  </si>
  <si>
    <t>Enthalpy of water at 0°C</t>
  </si>
  <si>
    <t>Biofilm</t>
  </si>
  <si>
    <r>
      <t>f(G</t>
    </r>
    <r>
      <rPr>
        <vertAlign val="subscript"/>
        <sz val="11"/>
        <rFont val="Calibri"/>
        <family val="2"/>
      </rPr>
      <t>O2</t>
    </r>
    <r>
      <rPr>
        <sz val="11"/>
        <rFont val="Calibri"/>
        <family val="2"/>
      </rPr>
      <t>)</t>
    </r>
  </si>
  <si>
    <r>
      <t>f(G</t>
    </r>
    <r>
      <rPr>
        <vertAlign val="subscript"/>
        <sz val="11"/>
        <rFont val="Calibri"/>
        <family val="2"/>
      </rPr>
      <t>CO2</t>
    </r>
    <r>
      <rPr>
        <sz val="11"/>
        <rFont val="Calibri"/>
        <family val="2"/>
      </rPr>
      <t>)</t>
    </r>
  </si>
  <si>
    <r>
      <t>f(G</t>
    </r>
    <r>
      <rPr>
        <vertAlign val="subscript"/>
        <sz val="11"/>
        <rFont val="Calibri"/>
        <family val="2"/>
      </rPr>
      <t>CH4</t>
    </r>
    <r>
      <rPr>
        <sz val="11"/>
        <rFont val="Calibri"/>
        <family val="2"/>
      </rPr>
      <t>)</t>
    </r>
  </si>
  <si>
    <r>
      <t>f(G</t>
    </r>
    <r>
      <rPr>
        <vertAlign val="subscript"/>
        <sz val="11"/>
        <rFont val="Calibri"/>
        <family val="2"/>
      </rPr>
      <t>H2</t>
    </r>
    <r>
      <rPr>
        <sz val="11"/>
        <rFont val="Calibri"/>
        <family val="2"/>
      </rPr>
      <t>)</t>
    </r>
  </si>
  <si>
    <r>
      <t>f(G</t>
    </r>
    <r>
      <rPr>
        <vertAlign val="subscript"/>
        <sz val="11"/>
        <rFont val="Calibri"/>
        <family val="2"/>
      </rPr>
      <t>N2</t>
    </r>
    <r>
      <rPr>
        <sz val="11"/>
        <rFont val="Calibri"/>
        <family val="2"/>
      </rPr>
      <t>)</t>
    </r>
  </si>
  <si>
    <t>Other system parameters</t>
  </si>
  <si>
    <t>NoName</t>
  </si>
  <si>
    <t>Testing Attributes</t>
  </si>
  <si>
    <t>Input</t>
  </si>
  <si>
    <t>TestAttribute</t>
  </si>
  <si>
    <t>pH</t>
  </si>
  <si>
    <r>
      <t>EEQ</t>
    </r>
    <r>
      <rPr>
        <vertAlign val="subscript"/>
        <sz val="11"/>
        <rFont val="Calibri"/>
        <family val="2"/>
        <scheme val="minor"/>
      </rPr>
      <t>H2S</t>
    </r>
  </si>
  <si>
    <t>Parameters for half saturation coefficients in biofilms</t>
  </si>
  <si>
    <r>
      <rPr>
        <sz val="11"/>
        <rFont val="Calibri"/>
        <family val="2"/>
        <scheme val="minor"/>
      </rPr>
      <t>f</t>
    </r>
    <r>
      <rPr>
        <vertAlign val="subscript"/>
        <sz val="11"/>
        <rFont val="Calibri"/>
        <family val="2"/>
        <scheme val="minor"/>
      </rPr>
      <t>KS,biofilm</t>
    </r>
  </si>
  <si>
    <t>SmallNumber</t>
  </si>
  <si>
    <r>
      <t>K</t>
    </r>
    <r>
      <rPr>
        <vertAlign val="subscript"/>
        <sz val="11"/>
        <rFont val="Calibri"/>
        <family val="2"/>
        <scheme val="minor"/>
      </rPr>
      <t>SB</t>
    </r>
  </si>
  <si>
    <r>
      <t>K</t>
    </r>
    <r>
      <rPr>
        <vertAlign val="subscript"/>
        <sz val="11"/>
        <rFont val="Calibri"/>
        <family val="2"/>
        <scheme val="minor"/>
      </rPr>
      <t>O2,OHO</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</si>
  <si>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</si>
  <si>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r>
      <t>K</t>
    </r>
    <r>
      <rPr>
        <vertAlign val="subscript"/>
        <sz val="11"/>
        <rFont val="Calibri"/>
        <family val="2"/>
      </rPr>
      <t>NHx,NITO</t>
    </r>
  </si>
  <si>
    <r>
      <t>K</t>
    </r>
    <r>
      <rPr>
        <vertAlign val="subscript"/>
        <sz val="11"/>
        <rFont val="Calibri"/>
        <family val="2"/>
      </rPr>
      <t>O2,NITO</t>
    </r>
  </si>
  <si>
    <r>
      <t>K</t>
    </r>
    <r>
      <rPr>
        <vertAlign val="subscript"/>
        <sz val="11"/>
        <rFont val="Calibri"/>
        <family val="2"/>
      </rPr>
      <t>VFA,AMETO</t>
    </r>
  </si>
  <si>
    <r>
      <t>K</t>
    </r>
    <r>
      <rPr>
        <vertAlign val="subscript"/>
        <sz val="11"/>
        <rFont val="Calibri"/>
        <family val="2"/>
      </rPr>
      <t>H2,HMETO</t>
    </r>
  </si>
  <si>
    <t>NonDetect</t>
  </si>
  <si>
    <t>Rate</t>
  </si>
  <si>
    <t>Hsat(var; halfval; halfinh)</t>
  </si>
  <si>
    <t>var / (halfval + var + (var^2/halfinh))</t>
  </si>
  <si>
    <t>Non-Biofilm</t>
  </si>
  <si>
    <t>Parameters for gas transfer</t>
  </si>
  <si>
    <t>Zero</t>
  </si>
  <si>
    <t>BigNumber</t>
  </si>
  <si>
    <t>Arrhenius coefficient for OHO growth</t>
  </si>
  <si>
    <t>Arrhenius coefficient for fermentation (OHO)</t>
  </si>
  <si>
    <t>Arrhenius coefficient for OHO decay</t>
  </si>
  <si>
    <t>Arrhenius coefficient for NITO growth</t>
  </si>
  <si>
    <t>Arrhenius coefficient for NITO decay</t>
  </si>
  <si>
    <t>Arrhenius coefficient for AMETO growth</t>
  </si>
  <si>
    <t>Arrhenius coefficient for AMETO decay</t>
  </si>
  <si>
    <t>Arrhenius coefficient for HMETO growth</t>
  </si>
  <si>
    <t>Arrhenius coefficient for HMETO decay</t>
  </si>
  <si>
    <t>Arrhenius coefficient for hydrolysis</t>
  </si>
  <si>
    <t>Arrhenius coefficient for ammonification</t>
  </si>
  <si>
    <t>Arrhenius coefficient assimilative kinetics</t>
  </si>
  <si>
    <t>%v/v</t>
  </si>
  <si>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</si>
  <si>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</si>
  <si>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</si>
  <si>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</si>
  <si>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</si>
  <si>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</si>
  <si>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</si>
  <si>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t>
    </r>
    <r>
      <rPr>
        <vertAlign val="subscript"/>
        <sz val="11"/>
        <rFont val="Calibri"/>
        <family val="2"/>
        <scheme val="minor"/>
      </rPr>
      <t>GH2S,25</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</si>
  <si>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</si>
  <si>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</si>
  <si>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</si>
  <si>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</si>
  <si>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r>
      <t>Diffusion coefficient of N</t>
    </r>
    <r>
      <rPr>
        <vertAlign val="subscript"/>
        <sz val="11"/>
        <rFont val="Calibri"/>
        <family val="2"/>
      </rPr>
      <t>2</t>
    </r>
    <r>
      <rPr>
        <sz val="11"/>
        <rFont val="Calibri"/>
        <family val="2"/>
      </rPr>
      <t>O in water @ 25°C</t>
    </r>
  </si>
  <si>
    <t>Diffusion coefficient of hydrogen sulfide in water @ 25°C</t>
  </si>
  <si>
    <r>
      <t>η</t>
    </r>
    <r>
      <rPr>
        <vertAlign val="subscript"/>
        <sz val="11"/>
        <rFont val="Calibri"/>
        <family val="2"/>
        <scheme val="minor"/>
      </rPr>
      <t>H2O</t>
    </r>
  </si>
  <si>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</si>
  <si>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</si>
  <si>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</si>
  <si>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</si>
  <si>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t>κ</t>
  </si>
  <si>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</si>
  <si>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r>
      <t>MM</t>
    </r>
    <r>
      <rPr>
        <vertAlign val="subscript"/>
        <sz val="11"/>
        <rFont val="Calibri"/>
        <family val="2"/>
        <scheme val="minor"/>
      </rPr>
      <t>GH2S</t>
    </r>
  </si>
  <si>
    <t>Molecular mass of hydrogen sulphide</t>
  </si>
  <si>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</si>
  <si>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</si>
  <si>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</si>
  <si>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</si>
  <si>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</si>
  <si>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</si>
  <si>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charset val="238"/>
        <scheme val="minor"/>
      </rPr>
      <t>MKP</t>
    </r>
  </si>
  <si>
    <t>Molecular mass of struvite-K</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</si>
  <si>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</si>
  <si>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</si>
  <si>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</si>
  <si>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</si>
  <si>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</si>
  <si>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</si>
  <si>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</si>
  <si>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t>Molecular mass of CaHCO3+</t>
  </si>
  <si>
    <r>
      <t>MM</t>
    </r>
    <r>
      <rPr>
        <vertAlign val="subscript"/>
        <sz val="11"/>
        <rFont val="Calibri"/>
        <family val="2"/>
        <scheme val="minor"/>
      </rPr>
      <t>CaPO4</t>
    </r>
  </si>
  <si>
    <t>Molecular mass of CaPO4-</t>
  </si>
  <si>
    <r>
      <t>MM</t>
    </r>
    <r>
      <rPr>
        <vertAlign val="subscript"/>
        <sz val="11"/>
        <rFont val="Calibri"/>
        <family val="2"/>
        <scheme val="minor"/>
      </rPr>
      <t>CaHPO4</t>
    </r>
  </si>
  <si>
    <t>Molecular mass of CaHPO4</t>
  </si>
  <si>
    <r>
      <t>MM</t>
    </r>
    <r>
      <rPr>
        <vertAlign val="subscript"/>
        <sz val="11"/>
        <rFont val="Calibri"/>
        <family val="2"/>
        <scheme val="minor"/>
      </rPr>
      <t>CaH2PO4</t>
    </r>
  </si>
  <si>
    <t>Molecular mass of CaH2PO4+</t>
  </si>
  <si>
    <r>
      <t>MM</t>
    </r>
    <r>
      <rPr>
        <vertAlign val="subscript"/>
        <sz val="11"/>
        <rFont val="Calibri"/>
        <family val="2"/>
        <scheme val="minor"/>
      </rPr>
      <t>MgOH</t>
    </r>
  </si>
  <si>
    <t>Molecular mass of MgOH+</t>
  </si>
  <si>
    <r>
      <t>MM</t>
    </r>
    <r>
      <rPr>
        <vertAlign val="subscript"/>
        <sz val="11"/>
        <rFont val="Calibri"/>
        <family val="2"/>
        <scheme val="minor"/>
      </rPr>
      <t>MgCO3</t>
    </r>
  </si>
  <si>
    <t>Molecular mass of MgCO3</t>
  </si>
  <si>
    <r>
      <t>MM</t>
    </r>
    <r>
      <rPr>
        <vertAlign val="subscript"/>
        <sz val="11"/>
        <rFont val="Calibri"/>
        <family val="2"/>
        <scheme val="minor"/>
      </rPr>
      <t>MgHCO3</t>
    </r>
  </si>
  <si>
    <t>Molecular mass of MgHCO3+</t>
  </si>
  <si>
    <r>
      <t>MM</t>
    </r>
    <r>
      <rPr>
        <vertAlign val="subscript"/>
        <sz val="11"/>
        <rFont val="Calibri"/>
        <family val="2"/>
        <scheme val="minor"/>
      </rPr>
      <t>MgHPO4</t>
    </r>
  </si>
  <si>
    <t>Molecular mass of MgHPO4</t>
  </si>
  <si>
    <r>
      <t>MM</t>
    </r>
    <r>
      <rPr>
        <vertAlign val="subscript"/>
        <sz val="11"/>
        <rFont val="Calibri"/>
        <family val="2"/>
        <scheme val="minor"/>
      </rPr>
      <t>MgPO4</t>
    </r>
  </si>
  <si>
    <t>Molecular mass of MgPO4-</t>
  </si>
  <si>
    <r>
      <t>MM</t>
    </r>
    <r>
      <rPr>
        <vertAlign val="subscript"/>
        <sz val="11"/>
        <rFont val="Calibri"/>
        <family val="2"/>
        <scheme val="minor"/>
      </rPr>
      <t>MgH2PO4</t>
    </r>
  </si>
  <si>
    <t>Molecular mass of MgH2PO4+</t>
  </si>
  <si>
    <r>
      <t>MM</t>
    </r>
    <r>
      <rPr>
        <vertAlign val="subscript"/>
        <sz val="11"/>
        <rFont val="Calibri"/>
        <family val="2"/>
        <scheme val="minor"/>
      </rPr>
      <t>NaHPO4</t>
    </r>
  </si>
  <si>
    <t>Molecular mass of NaHPO4-</t>
  </si>
  <si>
    <r>
      <t>MM</t>
    </r>
    <r>
      <rPr>
        <vertAlign val="subscript"/>
        <sz val="11"/>
        <rFont val="Calibri"/>
        <family val="2"/>
        <scheme val="minor"/>
      </rPr>
      <t>EQ,GN2</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</si>
  <si>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</si>
  <si>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</si>
  <si>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</si>
  <si>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</si>
  <si>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</si>
  <si>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</si>
  <si>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r>
      <t>MM</t>
    </r>
    <r>
      <rPr>
        <vertAlign val="subscript"/>
        <sz val="11"/>
        <rFont val="Calibri"/>
        <family val="2"/>
        <scheme val="minor"/>
      </rPr>
      <t>EQ,GH2S</t>
    </r>
  </si>
  <si>
    <t>Molecular mass of GH2S</t>
  </si>
  <si>
    <r>
      <t>K</t>
    </r>
    <r>
      <rPr>
        <vertAlign val="subscript"/>
        <sz val="11"/>
        <rFont val="Calibri"/>
        <family val="2"/>
        <scheme val="minor"/>
      </rPr>
      <t>S1,param</t>
    </r>
  </si>
  <si>
    <r>
      <t>K</t>
    </r>
    <r>
      <rPr>
        <vertAlign val="subscript"/>
        <sz val="11"/>
        <rFont val="Calibri"/>
        <family val="2"/>
        <scheme val="minor"/>
      </rPr>
      <t>S2,param</t>
    </r>
  </si>
  <si>
    <r>
      <t>K</t>
    </r>
    <r>
      <rPr>
        <vertAlign val="subscript"/>
        <sz val="11"/>
        <rFont val="Calibri"/>
        <family val="2"/>
        <scheme val="minor"/>
      </rPr>
      <t>SO41,param</t>
    </r>
  </si>
  <si>
    <t>Hvitved-Jacobsen 2013</t>
  </si>
  <si>
    <r>
      <t>K</t>
    </r>
    <r>
      <rPr>
        <vertAlign val="subscript"/>
        <sz val="11"/>
        <rFont val="Calibri"/>
        <family val="2"/>
        <scheme val="minor"/>
      </rPr>
      <t>SO42,param</t>
    </r>
  </si>
  <si>
    <t>Precipitation constants</t>
  </si>
  <si>
    <r>
      <t>K</t>
    </r>
    <r>
      <rPr>
        <vertAlign val="subscript"/>
        <sz val="11"/>
        <rFont val="Calibri"/>
        <family val="2"/>
        <scheme val="minor"/>
      </rPr>
      <t>sp,CaCO3,param</t>
    </r>
  </si>
  <si>
    <r>
      <t>K</t>
    </r>
    <r>
      <rPr>
        <vertAlign val="subscript"/>
        <sz val="11"/>
        <rFont val="Calibri"/>
        <family val="2"/>
        <scheme val="minor"/>
      </rPr>
      <t>sp,STR,param</t>
    </r>
  </si>
  <si>
    <r>
      <t>K</t>
    </r>
    <r>
      <rPr>
        <vertAlign val="subscript"/>
        <sz val="11"/>
        <rFont val="Calibri"/>
        <family val="2"/>
        <scheme val="minor"/>
      </rPr>
      <t>sp,ACP,param</t>
    </r>
  </si>
  <si>
    <t>Musvoto et al. (2000) =10^(-25.46)</t>
  </si>
  <si>
    <r>
      <t>K</t>
    </r>
    <r>
      <rPr>
        <vertAlign val="subscript"/>
        <sz val="11"/>
        <rFont val="Calibri"/>
        <family val="2"/>
        <scheme val="minor"/>
      </rPr>
      <t>sp,Vivi,param</t>
    </r>
  </si>
  <si>
    <t>Nriagu (1972); Al-Borno and Tomson (1994): 35.755 at 25°C DeltaH°: 5.05 kJ.mol-1 (small temperature dependency)</t>
  </si>
  <si>
    <r>
      <t>K</t>
    </r>
    <r>
      <rPr>
        <vertAlign val="subscript"/>
        <sz val="11"/>
        <rFont val="Calibri"/>
        <family val="2"/>
        <scheme val="minor"/>
      </rPr>
      <t>sp,FeS,param</t>
    </r>
  </si>
  <si>
    <r>
      <t>K</t>
    </r>
    <r>
      <rPr>
        <vertAlign val="subscript"/>
        <sz val="11"/>
        <rFont val="Calibri"/>
        <family val="2"/>
        <scheme val="minor"/>
      </rPr>
      <t>sp,HDP,param</t>
    </r>
  </si>
  <si>
    <r>
      <t>K</t>
    </r>
    <r>
      <rPr>
        <vertAlign val="subscript"/>
        <sz val="11"/>
        <rFont val="Calibri"/>
        <family val="2"/>
        <scheme val="minor"/>
      </rPr>
      <t>sp,MKP,param</t>
    </r>
  </si>
  <si>
    <r>
      <t>EEQ</t>
    </r>
    <r>
      <rPr>
        <vertAlign val="subscript"/>
        <sz val="11"/>
        <rFont val="Calibri"/>
        <family val="2"/>
        <scheme val="minor"/>
      </rPr>
      <t>Fe2</t>
    </r>
  </si>
  <si>
    <r>
      <t>Electron equivalence of Fe</t>
    </r>
    <r>
      <rPr>
        <vertAlign val="superscript"/>
        <sz val="11"/>
        <rFont val="Calibri"/>
        <family val="2"/>
        <scheme val="minor"/>
      </rPr>
      <t>2+</t>
    </r>
  </si>
  <si>
    <r>
      <t>EEQ</t>
    </r>
    <r>
      <rPr>
        <vertAlign val="subscript"/>
        <sz val="11"/>
        <rFont val="Calibri"/>
        <family val="2"/>
        <scheme val="minor"/>
      </rPr>
      <t>S</t>
    </r>
  </si>
  <si>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</si>
  <si>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t>base is sulphate</t>
  </si>
  <si>
    <t>pH = 4.1929</t>
  </si>
  <si>
    <r>
      <t>c</t>
    </r>
    <r>
      <rPr>
        <vertAlign val="subscript"/>
        <sz val="11"/>
        <rFont val="Calibri"/>
        <family val="2"/>
        <scheme val="minor"/>
      </rPr>
      <t>percent,Vconc</t>
    </r>
  </si>
  <si>
    <t>Conversion coefficient between percents and volumetric concentration</t>
  </si>
  <si>
    <r>
      <t>c</t>
    </r>
    <r>
      <rPr>
        <vertAlign val="subscript"/>
        <sz val="11"/>
        <rFont val="Calibri"/>
        <family val="2"/>
        <scheme val="minor"/>
      </rPr>
      <t>percent,fraction</t>
    </r>
  </si>
  <si>
    <t>Conversion coefficient between percents and fractions</t>
  </si>
  <si>
    <t>%</t>
  </si>
  <si>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</si>
  <si>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</si>
  <si>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</si>
  <si>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</si>
  <si>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</si>
  <si>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</si>
  <si>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</si>
  <si>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</si>
  <si>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</si>
  <si>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Pa.Hgmm</t>
    </r>
    <r>
      <rPr>
        <vertAlign val="superscript"/>
        <sz val="11"/>
        <rFont val="Calibri"/>
        <family val="2"/>
        <scheme val="minor"/>
      </rPr>
      <t>-1</t>
    </r>
  </si>
  <si>
    <r>
      <t>Pa.bar</t>
    </r>
    <r>
      <rPr>
        <vertAlign val="superscript"/>
        <sz val="11"/>
        <rFont val="Calibri"/>
        <family val="2"/>
        <scheme val="minor"/>
      </rPr>
      <t>-1</t>
    </r>
  </si>
  <si>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</si>
  <si>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r>
      <t>H</t>
    </r>
    <r>
      <rPr>
        <vertAlign val="subscript"/>
        <sz val="11"/>
        <rFont val="Calibri"/>
        <family val="2"/>
        <scheme val="minor"/>
      </rPr>
      <t>H2S</t>
    </r>
  </si>
  <si>
    <t>Standard enthalpy of hydrogen sulfide (aq)</t>
  </si>
  <si>
    <r>
      <t>H</t>
    </r>
    <r>
      <rPr>
        <vertAlign val="subscript"/>
        <sz val="11"/>
        <rFont val="Calibri"/>
        <family val="2"/>
        <scheme val="minor"/>
      </rPr>
      <t>HSm</t>
    </r>
  </si>
  <si>
    <t>Standard enthalpy of bisulfide ion</t>
  </si>
  <si>
    <t xml:space="preserve">Minteq V4 H+ + HS- = H2S  (log_k 7.02/ delta_h -22 kJ)and  HS- = S-2 + H+ ( log_k -17.3/delta_h 49.4 kJ)
</t>
  </si>
  <si>
    <r>
      <t>H</t>
    </r>
    <r>
      <rPr>
        <vertAlign val="subscript"/>
        <sz val="11"/>
        <rFont val="Calibri"/>
        <family val="2"/>
        <scheme val="minor"/>
      </rPr>
      <t>S2m</t>
    </r>
  </si>
  <si>
    <t>Standard enthalpy of sulfide ion</t>
  </si>
  <si>
    <r>
      <t>H</t>
    </r>
    <r>
      <rPr>
        <vertAlign val="subscript"/>
        <sz val="11"/>
        <rFont val="Calibri"/>
        <family val="2"/>
        <scheme val="minor"/>
      </rPr>
      <t>H2SO4</t>
    </r>
  </si>
  <si>
    <t>Standard enthalpy of sulfuric acid</t>
  </si>
  <si>
    <r>
      <t>H</t>
    </r>
    <r>
      <rPr>
        <vertAlign val="subscript"/>
        <sz val="11"/>
        <rFont val="Calibri"/>
        <family val="2"/>
        <scheme val="minor"/>
      </rPr>
      <t>HSO4m</t>
    </r>
  </si>
  <si>
    <t>Standard enthalpy of hydrosulfate ion</t>
  </si>
  <si>
    <t>Minteq V4 H+ + SO42- = HSO4- (log_k 1.99/ delta_h 22 kJ) and http://bluedevilchem.com/honorshome/hch10/hch10docs/files/heatsformation.pdf</t>
  </si>
  <si>
    <r>
      <t>H</t>
    </r>
    <r>
      <rPr>
        <vertAlign val="subscript"/>
        <sz val="11"/>
        <rFont val="Calibri"/>
        <family val="2"/>
        <scheme val="minor"/>
      </rPr>
      <t>SO42m</t>
    </r>
  </si>
  <si>
    <t>Standard enthalpy of sulfate ion</t>
  </si>
  <si>
    <r>
      <t>H</t>
    </r>
    <r>
      <rPr>
        <vertAlign val="subscript"/>
        <sz val="11"/>
        <rFont val="Calibri"/>
        <family val="2"/>
        <scheme val="minor"/>
      </rPr>
      <t>Ca2p</t>
    </r>
  </si>
  <si>
    <t>Standard enthalpy of calcium ion</t>
  </si>
  <si>
    <r>
      <t>H</t>
    </r>
    <r>
      <rPr>
        <vertAlign val="subscript"/>
        <sz val="11"/>
        <rFont val="Calibri"/>
        <family val="2"/>
        <scheme val="minor"/>
      </rPr>
      <t>Mg2p</t>
    </r>
  </si>
  <si>
    <r>
      <t>H</t>
    </r>
    <r>
      <rPr>
        <vertAlign val="subscript"/>
        <sz val="11"/>
        <rFont val="Calibri"/>
        <family val="2"/>
        <scheme val="minor"/>
      </rPr>
      <t>Nap</t>
    </r>
  </si>
  <si>
    <t>Standard enthalpy of sodium ion</t>
  </si>
  <si>
    <t>Activated sludge</t>
  </si>
  <si>
    <t>unitless</t>
  </si>
  <si>
    <t>Stoichiometric yields</t>
  </si>
  <si>
    <r>
      <t>g TSS.m</t>
    </r>
    <r>
      <rPr>
        <vertAlign val="superscript"/>
        <sz val="11"/>
        <rFont val="Calibri"/>
        <family val="2"/>
        <scheme val="minor"/>
      </rPr>
      <t>-3</t>
    </r>
  </si>
  <si>
    <r>
      <t>X</t>
    </r>
    <r>
      <rPr>
        <vertAlign val="subscript"/>
        <sz val="11"/>
        <rFont val="Calibri"/>
        <family val="2"/>
        <scheme val="minor"/>
      </rPr>
      <t>ISS</t>
    </r>
  </si>
  <si>
    <r>
      <t>X</t>
    </r>
    <r>
      <rPr>
        <vertAlign val="subscript"/>
        <sz val="11"/>
        <rFont val="Calibri"/>
        <family val="2"/>
        <scheme val="minor"/>
      </rPr>
      <t>TSS</t>
    </r>
  </si>
  <si>
    <r>
      <t>X</t>
    </r>
    <r>
      <rPr>
        <vertAlign val="subscript"/>
        <sz val="11"/>
        <rFont val="Calibri"/>
        <family val="2"/>
        <scheme val="minor"/>
      </rPr>
      <t>DM</t>
    </r>
  </si>
  <si>
    <t>Dry matter</t>
  </si>
  <si>
    <r>
      <t>X</t>
    </r>
    <r>
      <rPr>
        <vertAlign val="subscript"/>
        <sz val="11"/>
        <rFont val="Calibri"/>
        <family val="2"/>
        <scheme val="minor"/>
      </rPr>
      <t>Me,TSS</t>
    </r>
  </si>
  <si>
    <r>
      <t>X</t>
    </r>
    <r>
      <rPr>
        <vertAlign val="subscript"/>
        <sz val="11"/>
        <rFont val="Calibri"/>
        <family val="2"/>
        <scheme val="minor"/>
      </rPr>
      <t>TSS</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+S</t>
    </r>
    <r>
      <rPr>
        <vertAlign val="subscript"/>
        <sz val="11"/>
        <rFont val="Calibri"/>
        <family val="2"/>
        <scheme val="minor"/>
      </rPr>
      <t>NHx</t>
    </r>
    <r>
      <rPr>
        <sz val="11"/>
        <rFont val="Calibri"/>
        <family val="2"/>
        <scheme val="minor"/>
      </rPr>
      <t>*MM</t>
    </r>
    <r>
      <rPr>
        <vertAlign val="subscript"/>
        <sz val="11"/>
        <rFont val="Calibri"/>
        <family val="2"/>
        <scheme val="minor"/>
      </rPr>
      <t>NH4</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NOx</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PO4</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
    </r>
  </si>
  <si>
    <r>
      <t>g.m</t>
    </r>
    <r>
      <rPr>
        <vertAlign val="superscript"/>
        <sz val="11"/>
        <rFont val="Calibri"/>
        <family val="2"/>
      </rPr>
      <t>-3</t>
    </r>
    <r>
      <rPr>
        <sz val="11"/>
        <rFont val="Calibri"/>
        <family val="2"/>
      </rPr>
      <t>.d</t>
    </r>
    <r>
      <rPr>
        <vertAlign val="superscript"/>
        <sz val="11"/>
        <rFont val="Calibri"/>
        <family val="2"/>
      </rPr>
      <t>-1</t>
    </r>
  </si>
  <si>
    <t>Soluble biodegradable organic N (from SB)</t>
  </si>
  <si>
    <r>
      <t>Y</t>
    </r>
    <r>
      <rPr>
        <vertAlign val="subscript"/>
        <sz val="11"/>
        <rFont val="Calibri"/>
        <family val="2"/>
        <scheme val="minor"/>
      </rPr>
      <t>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</si>
  <si>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</si>
  <si>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</si>
  <si>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</si>
  <si>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Y</t>
    </r>
    <r>
      <rPr>
        <vertAlign val="subscript"/>
        <sz val="11"/>
        <rFont val="Calibri"/>
        <family val="2"/>
        <scheme val="minor"/>
      </rPr>
      <t>BOD,ult</t>
    </r>
    <r>
      <rPr>
        <sz val="11"/>
        <rFont val="Calibri"/>
        <family val="2"/>
        <scheme val="minor"/>
      </rPr>
      <t>*S</t>
    </r>
    <r>
      <rPr>
        <vertAlign val="subscript"/>
        <sz val="11"/>
        <rFont val="Calibri"/>
        <family val="2"/>
        <scheme val="minor"/>
      </rPr>
      <t>B</t>
    </r>
  </si>
  <si>
    <r>
      <t>Y</t>
    </r>
    <r>
      <rPr>
        <vertAlign val="subscript"/>
        <sz val="11"/>
        <rFont val="Calibri"/>
        <family val="2"/>
      </rPr>
      <t>BOD,ult</t>
    </r>
    <r>
      <rPr>
        <sz val="11"/>
        <rFont val="Calibri"/>
        <family val="2"/>
      </rPr>
      <t>*(X</t>
    </r>
    <r>
      <rPr>
        <vertAlign val="subscript"/>
        <sz val="11"/>
        <rFont val="Calibri"/>
        <family val="2"/>
      </rPr>
      <t>BIO</t>
    </r>
    <r>
      <rPr>
        <sz val="11"/>
        <rFont val="Calibri"/>
        <family val="2"/>
      </rPr>
      <t>+X</t>
    </r>
    <r>
      <rPr>
        <vertAlign val="subscript"/>
        <sz val="11"/>
        <rFont val="Calibri"/>
        <family val="2"/>
      </rPr>
      <t>B</t>
    </r>
    <r>
      <rPr>
        <sz val="11"/>
        <rFont val="Calibri"/>
        <family val="2"/>
      </rPr>
      <t>)</t>
    </r>
  </si>
  <si>
    <r>
      <t>S</t>
    </r>
    <r>
      <rPr>
        <vertAlign val="subscript"/>
        <sz val="11"/>
        <rFont val="Calibri"/>
        <family val="2"/>
      </rPr>
      <t>BOD,ult</t>
    </r>
    <r>
      <rPr>
        <sz val="11"/>
        <rFont val="Calibri"/>
        <family val="2"/>
      </rPr>
      <t xml:space="preserve"> +X</t>
    </r>
    <r>
      <rPr>
        <vertAlign val="subscript"/>
        <sz val="11"/>
        <rFont val="Calibri"/>
        <family val="2"/>
      </rPr>
      <t>BOD,ult</t>
    </r>
  </si>
  <si>
    <r>
      <t>X</t>
    </r>
    <r>
      <rPr>
        <vertAlign val="subscript"/>
        <sz val="11"/>
        <rFont val="Calibri"/>
        <family val="2"/>
        <scheme val="minor"/>
      </rPr>
      <t>VS,ult</t>
    </r>
  </si>
  <si>
    <t>Metal</t>
  </si>
  <si>
    <r>
      <t>m</t>
    </r>
    <r>
      <rPr>
        <vertAlign val="subscript"/>
        <sz val="11"/>
        <rFont val="Calibri"/>
        <family val="2"/>
        <scheme val="minor"/>
      </rPr>
      <t>tox,ana</t>
    </r>
  </si>
  <si>
    <r>
      <t>m</t>
    </r>
    <r>
      <rPr>
        <vertAlign val="subscript"/>
        <sz val="11"/>
        <rFont val="Calibri"/>
        <family val="2"/>
        <scheme val="minor"/>
      </rPr>
      <t>tox,ana,max</t>
    </r>
  </si>
  <si>
    <t>Non-Digester</t>
  </si>
  <si>
    <r>
      <t>i</t>
    </r>
    <r>
      <rPr>
        <vertAlign val="subscript"/>
        <sz val="11"/>
        <rFont val="Calibri"/>
        <family val="2"/>
        <scheme val="minor"/>
      </rPr>
      <t>N,XE</t>
    </r>
  </si>
  <si>
    <t>N content of endogenous products</t>
  </si>
  <si>
    <r>
      <t>i</t>
    </r>
    <r>
      <rPr>
        <vertAlign val="subscript"/>
        <sz val="11"/>
        <color indexed="8"/>
        <rFont val="Calibri"/>
        <family val="2"/>
      </rPr>
      <t>N,XE</t>
    </r>
  </si>
  <si>
    <r>
      <t>i</t>
    </r>
    <r>
      <rPr>
        <vertAlign val="subscript"/>
        <sz val="11"/>
        <color indexed="8"/>
        <rFont val="Calibri"/>
        <family val="2"/>
      </rPr>
      <t>N,BIO</t>
    </r>
  </si>
  <si>
    <r>
      <t>i</t>
    </r>
    <r>
      <rPr>
        <vertAlign val="subscript"/>
        <sz val="11"/>
        <color indexed="8"/>
        <rFont val="Calibri"/>
        <family val="2"/>
      </rPr>
      <t>P,BIO</t>
    </r>
  </si>
  <si>
    <r>
      <t>-f</t>
    </r>
    <r>
      <rPr>
        <vertAlign val="subscript"/>
        <sz val="11"/>
        <rFont val="Calibri"/>
        <family val="2"/>
      </rPr>
      <t>E</t>
    </r>
    <r>
      <rPr>
        <sz val="11"/>
        <rFont val="Calibri"/>
        <family val="2"/>
      </rPr>
      <t>*(i</t>
    </r>
    <r>
      <rPr>
        <vertAlign val="subscript"/>
        <sz val="11"/>
        <rFont val="Calibri"/>
        <family val="2"/>
      </rPr>
      <t>N,XE</t>
    </r>
    <r>
      <rPr>
        <sz val="11"/>
        <rFont val="Calibri"/>
        <family val="2"/>
      </rPr>
      <t>-i</t>
    </r>
    <r>
      <rPr>
        <vertAlign val="subscript"/>
        <sz val="11"/>
        <rFont val="Calibri"/>
        <family val="2"/>
      </rPr>
      <t>N,BIO</t>
    </r>
    <r>
      <rPr>
        <sz val="11"/>
        <rFont val="Calibri"/>
        <family val="2"/>
      </rPr>
      <t>)</t>
    </r>
  </si>
  <si>
    <r>
      <t>-f</t>
    </r>
    <r>
      <rPr>
        <vertAlign val="subscript"/>
        <sz val="11"/>
        <rFont val="Calibri"/>
        <family val="2"/>
      </rPr>
      <t>E</t>
    </r>
    <r>
      <rPr>
        <sz val="11"/>
        <rFont val="Calibri"/>
        <family val="2"/>
      </rPr>
      <t>*(i</t>
    </r>
    <r>
      <rPr>
        <vertAlign val="subscript"/>
        <sz val="11"/>
        <rFont val="Calibri"/>
        <family val="2"/>
      </rPr>
      <t>N,XE</t>
    </r>
    <r>
      <rPr>
        <sz val="11"/>
        <rFont val="Calibri"/>
        <family val="2"/>
      </rPr>
      <t>-i</t>
    </r>
    <r>
      <rPr>
        <vertAlign val="subscript"/>
        <sz val="11"/>
        <rFont val="Calibri"/>
        <family val="2"/>
      </rPr>
      <t>N,BIO</t>
    </r>
    <r>
      <rPr>
        <sz val="11"/>
        <rFont val="Calibri"/>
        <family val="2"/>
      </rPr>
      <t>)*CH</t>
    </r>
    <r>
      <rPr>
        <vertAlign val="subscript"/>
        <sz val="11"/>
        <rFont val="Calibri"/>
        <family val="2"/>
      </rPr>
      <t>NHx</t>
    </r>
  </si>
  <si>
    <r>
      <t>K</t>
    </r>
    <r>
      <rPr>
        <vertAlign val="subscript"/>
        <sz val="11"/>
        <color indexed="8"/>
        <rFont val="Calibri"/>
        <family val="2"/>
        <scheme val="minor"/>
      </rPr>
      <t>SB,AS</t>
    </r>
  </si>
  <si>
    <r>
      <t>K</t>
    </r>
    <r>
      <rPr>
        <vertAlign val="subscript"/>
        <sz val="11"/>
        <color indexed="8"/>
        <rFont val="Calibri"/>
        <family val="2"/>
        <scheme val="minor"/>
      </rPr>
      <t>O2,OHO,AS</t>
    </r>
  </si>
  <si>
    <r>
      <t>K</t>
    </r>
    <r>
      <rPr>
        <vertAlign val="subscript"/>
        <sz val="11"/>
        <color indexed="8"/>
        <rFont val="Calibri"/>
        <family val="2"/>
        <scheme val="minor"/>
      </rPr>
      <t>NHx,NITO,AS</t>
    </r>
  </si>
  <si>
    <r>
      <t>K</t>
    </r>
    <r>
      <rPr>
        <vertAlign val="subscript"/>
        <sz val="11"/>
        <color indexed="8"/>
        <rFont val="Calibri"/>
        <family val="2"/>
        <scheme val="minor"/>
      </rPr>
      <t>O2,NITO,AS</t>
    </r>
  </si>
  <si>
    <r>
      <t>K</t>
    </r>
    <r>
      <rPr>
        <vertAlign val="subscript"/>
        <sz val="11"/>
        <color indexed="8"/>
        <rFont val="Calibri"/>
        <family val="2"/>
        <scheme val="minor"/>
      </rPr>
      <t>VFA,AMETO,AS</t>
    </r>
  </si>
  <si>
    <r>
      <t>K</t>
    </r>
    <r>
      <rPr>
        <vertAlign val="subscript"/>
        <sz val="11"/>
        <color indexed="8"/>
        <rFont val="Calibri"/>
        <family val="2"/>
        <scheme val="minor"/>
      </rPr>
      <t>H2,HMETO,AS</t>
    </r>
  </si>
  <si>
    <r>
      <t>K</t>
    </r>
    <r>
      <rPr>
        <vertAlign val="subscript"/>
        <sz val="11"/>
        <rFont val="Calibri"/>
        <family val="2"/>
        <scheme val="minor"/>
      </rPr>
      <t>NHx,BIO,AS</t>
    </r>
  </si>
  <si>
    <r>
      <t>K</t>
    </r>
    <r>
      <rPr>
        <vertAlign val="subscript"/>
        <sz val="11"/>
        <rFont val="Calibri"/>
        <family val="2"/>
        <scheme val="minor"/>
      </rPr>
      <t>PO4,BIO,AS</t>
    </r>
  </si>
  <si>
    <r>
      <t>K</t>
    </r>
    <r>
      <rPr>
        <vertAlign val="subscript"/>
        <sz val="11"/>
        <rFont val="Calibri"/>
        <family val="2"/>
        <scheme val="minor"/>
      </rPr>
      <t>ALK,AS</t>
    </r>
  </si>
  <si>
    <r>
      <t>K</t>
    </r>
    <r>
      <rPr>
        <vertAlign val="subscript"/>
        <sz val="11"/>
        <rFont val="Calibri"/>
        <family val="2"/>
        <scheme val="minor"/>
      </rPr>
      <t>SB,AS</t>
    </r>
  </si>
  <si>
    <r>
      <t>K</t>
    </r>
    <r>
      <rPr>
        <vertAlign val="subscript"/>
        <sz val="11"/>
        <rFont val="Calibri"/>
        <family val="2"/>
        <scheme val="minor"/>
      </rPr>
      <t>O2,OHO,AS</t>
    </r>
  </si>
  <si>
    <r>
      <t>K</t>
    </r>
    <r>
      <rPr>
        <vertAlign val="subscript"/>
        <sz val="11"/>
        <rFont val="Calibri"/>
        <family val="2"/>
      </rPr>
      <t>NHx,NITO,AS</t>
    </r>
  </si>
  <si>
    <r>
      <t>K</t>
    </r>
    <r>
      <rPr>
        <vertAlign val="subscript"/>
        <sz val="11"/>
        <rFont val="Calibri"/>
        <family val="2"/>
      </rPr>
      <t>O2,NITO,AS</t>
    </r>
  </si>
  <si>
    <r>
      <t>K</t>
    </r>
    <r>
      <rPr>
        <vertAlign val="subscript"/>
        <sz val="11"/>
        <rFont val="Calibri"/>
        <family val="2"/>
      </rPr>
      <t>VFA,AMETO,AS</t>
    </r>
  </si>
  <si>
    <r>
      <t>K</t>
    </r>
    <r>
      <rPr>
        <vertAlign val="subscript"/>
        <sz val="11"/>
        <rFont val="Calibri"/>
        <family val="2"/>
      </rPr>
      <t>H2,HMETO,AS</t>
    </r>
  </si>
  <si>
    <r>
      <t>K</t>
    </r>
    <r>
      <rPr>
        <vertAlign val="subscript"/>
        <sz val="11"/>
        <rFont val="Calibri"/>
        <family val="2"/>
        <scheme val="minor"/>
      </rPr>
      <t>HYD,AS</t>
    </r>
  </si>
  <si>
    <r>
      <t>η</t>
    </r>
    <r>
      <rPr>
        <vertAlign val="subscript"/>
        <sz val="11"/>
        <color indexed="8"/>
        <rFont val="Calibri"/>
        <family val="2"/>
        <scheme val="minor"/>
      </rPr>
      <t>OHO,anox</t>
    </r>
  </si>
  <si>
    <r>
      <t>η</t>
    </r>
    <r>
      <rPr>
        <vertAlign val="subscript"/>
        <sz val="11"/>
        <rFont val="Calibri"/>
        <family val="2"/>
        <scheme val="minor"/>
      </rPr>
      <t>b,anox</t>
    </r>
  </si>
  <si>
    <r>
      <t>η</t>
    </r>
    <r>
      <rPr>
        <vertAlign val="subscript"/>
        <sz val="11"/>
        <rFont val="Calibri"/>
        <family val="2"/>
        <scheme val="minor"/>
      </rPr>
      <t>b,ana</t>
    </r>
  </si>
  <si>
    <t>XB anaerobic hydrolysis (fermentation)</t>
  </si>
  <si>
    <r>
      <t>-X</t>
    </r>
    <r>
      <rPr>
        <vertAlign val="subscript"/>
        <sz val="11"/>
        <color indexed="8"/>
        <rFont val="Calibri"/>
        <family val="2"/>
      </rPr>
      <t>N,B</t>
    </r>
    <r>
      <rPr>
        <sz val="11"/>
        <color indexed="8"/>
        <rFont val="Calibri"/>
        <family val="2"/>
      </rPr>
      <t>/X</t>
    </r>
    <r>
      <rPr>
        <vertAlign val="subscript"/>
        <sz val="11"/>
        <color indexed="8"/>
        <rFont val="Calibri"/>
        <family val="2"/>
      </rPr>
      <t>B</t>
    </r>
  </si>
  <si>
    <r>
      <t>X</t>
    </r>
    <r>
      <rPr>
        <vertAlign val="subscript"/>
        <sz val="11"/>
        <color indexed="8"/>
        <rFont val="Calibri"/>
        <family val="2"/>
      </rPr>
      <t>N,B</t>
    </r>
    <r>
      <rPr>
        <sz val="11"/>
        <color indexed="8"/>
        <rFont val="Calibri"/>
        <family val="2"/>
      </rPr>
      <t>/X</t>
    </r>
    <r>
      <rPr>
        <vertAlign val="subscript"/>
        <sz val="11"/>
        <color indexed="8"/>
        <rFont val="Calibri"/>
        <family val="2"/>
      </rPr>
      <t>B</t>
    </r>
  </si>
  <si>
    <r>
      <t>X</t>
    </r>
    <r>
      <rPr>
        <vertAlign val="subscript"/>
        <sz val="11"/>
        <color indexed="8"/>
        <rFont val="Calibri"/>
        <family val="2"/>
      </rPr>
      <t>P,B</t>
    </r>
    <r>
      <rPr>
        <sz val="11"/>
        <color indexed="8"/>
        <rFont val="Calibri"/>
        <family val="2"/>
      </rPr>
      <t>/X</t>
    </r>
    <r>
      <rPr>
        <vertAlign val="subscript"/>
        <sz val="11"/>
        <color indexed="8"/>
        <rFont val="Calibri"/>
        <family val="2"/>
      </rPr>
      <t>B</t>
    </r>
  </si>
  <si>
    <r>
      <t>-X</t>
    </r>
    <r>
      <rPr>
        <vertAlign val="subscript"/>
        <sz val="11"/>
        <color indexed="8"/>
        <rFont val="Calibri"/>
        <family val="2"/>
      </rPr>
      <t>P,B</t>
    </r>
    <r>
      <rPr>
        <sz val="11"/>
        <color indexed="8"/>
        <rFont val="Calibri"/>
        <family val="2"/>
      </rPr>
      <t>/X</t>
    </r>
    <r>
      <rPr>
        <vertAlign val="subscript"/>
        <sz val="11"/>
        <color indexed="8"/>
        <rFont val="Calibri"/>
        <family val="2"/>
      </rPr>
      <t>B</t>
    </r>
  </si>
  <si>
    <r>
      <t>g COD.g VS</t>
    </r>
    <r>
      <rPr>
        <vertAlign val="superscript"/>
        <sz val="11"/>
        <rFont val="Calibri"/>
        <family val="2"/>
        <scheme val="minor"/>
      </rPr>
      <t>-1</t>
    </r>
  </si>
  <si>
    <r>
      <rPr>
        <sz val="11"/>
        <color indexed="8"/>
        <rFont val="Calibri"/>
        <family val="2"/>
      </rPr>
      <t>X</t>
    </r>
    <r>
      <rPr>
        <vertAlign val="subscript"/>
        <sz val="11"/>
        <color indexed="8"/>
        <rFont val="Calibri"/>
        <family val="2"/>
      </rPr>
      <t>P,B</t>
    </r>
    <r>
      <rPr>
        <sz val="11"/>
        <color indexed="8"/>
        <rFont val="Calibri"/>
        <family val="2"/>
      </rPr>
      <t>/X</t>
    </r>
    <r>
      <rPr>
        <vertAlign val="subscript"/>
        <sz val="11"/>
        <color indexed="8"/>
        <rFont val="Calibri"/>
        <family val="2"/>
      </rPr>
      <t>B</t>
    </r>
    <r>
      <rPr>
        <sz val="11"/>
        <color indexed="8"/>
        <rFont val="Calibri"/>
        <family val="2"/>
      </rPr>
      <t>*CH</t>
    </r>
    <r>
      <rPr>
        <vertAlign val="subscript"/>
        <sz val="11"/>
        <color indexed="8"/>
        <rFont val="Calibri"/>
        <family val="2"/>
      </rPr>
      <t>PO4</t>
    </r>
  </si>
  <si>
    <r>
      <t>f(X</t>
    </r>
    <r>
      <rPr>
        <vertAlign val="subscript"/>
        <sz val="11"/>
        <rFont val="Calibri"/>
        <family val="2"/>
      </rPr>
      <t>N,B</t>
    </r>
    <r>
      <rPr>
        <sz val="11"/>
        <rFont val="Calibri"/>
        <family val="2"/>
      </rPr>
      <t>);f(X</t>
    </r>
    <r>
      <rPr>
        <vertAlign val="subscript"/>
        <sz val="11"/>
        <rFont val="Calibri"/>
        <family val="2"/>
      </rPr>
      <t>P,B</t>
    </r>
    <r>
      <rPr>
        <sz val="11"/>
        <rFont val="Calibri"/>
        <family val="2"/>
      </rPr>
      <t>)</t>
    </r>
  </si>
  <si>
    <r>
      <t>f(X</t>
    </r>
    <r>
      <rPr>
        <vertAlign val="subscript"/>
        <sz val="11"/>
        <rFont val="Calibri"/>
        <family val="2"/>
      </rPr>
      <t>B</t>
    </r>
    <r>
      <rPr>
        <sz val="11"/>
        <rFont val="Calibri"/>
        <family val="2"/>
      </rPr>
      <t>)</t>
    </r>
  </si>
  <si>
    <t>Readily biodegradable substrate</t>
  </si>
  <si>
    <t>Volatile suspended solids (VSS)</t>
  </si>
  <si>
    <t>Volatile solids (VS)</t>
  </si>
  <si>
    <r>
      <t>g P.m</t>
    </r>
    <r>
      <rPr>
        <vertAlign val="superscript"/>
        <sz val="11"/>
        <rFont val="Calibri"/>
        <family val="2"/>
        <scheme val="minor"/>
      </rPr>
      <t>-3</t>
    </r>
    <r>
      <rPr>
        <sz val="11"/>
        <color theme="1"/>
        <rFont val="Calibri"/>
        <family val="2"/>
        <scheme val="minor"/>
      </rPr>
      <t/>
    </r>
  </si>
  <si>
    <r>
      <t>eq ALK.L</t>
    </r>
    <r>
      <rPr>
        <vertAlign val="superscript"/>
        <sz val="11"/>
        <color theme="1"/>
        <rFont val="Calibri"/>
        <family val="2"/>
        <scheme val="minor"/>
      </rPr>
      <t>-1</t>
    </r>
  </si>
  <si>
    <r>
      <t>CH</t>
    </r>
    <r>
      <rPr>
        <vertAlign val="subscript"/>
        <sz val="11"/>
        <rFont val="Calibri"/>
        <family val="2"/>
        <scheme val="minor"/>
      </rPr>
      <t>NO3</t>
    </r>
  </si>
  <si>
    <r>
      <t>Charge of NO</t>
    </r>
    <r>
      <rPr>
        <vertAlign val="subscript"/>
        <sz val="11"/>
        <color rgb="FF000000"/>
        <rFont val="Calibri"/>
        <family val="2"/>
        <scheme val="minor"/>
      </rPr>
      <t>3</t>
    </r>
  </si>
  <si>
    <r>
      <t>-1/AM</t>
    </r>
    <r>
      <rPr>
        <vertAlign val="subscript"/>
        <sz val="11"/>
        <rFont val="Calibri"/>
        <family val="2"/>
        <scheme val="minor"/>
      </rPr>
      <t>N</t>
    </r>
    <r>
      <rPr>
        <sz val="11"/>
        <rFont val="Calibri"/>
        <family val="2"/>
        <scheme val="minor"/>
      </rPr>
      <t>/1000</t>
    </r>
  </si>
  <si>
    <r>
      <t>e</t>
    </r>
    <r>
      <rPr>
        <vertAlign val="superscript"/>
        <sz val="11"/>
        <rFont val="Calibri"/>
        <family val="2"/>
        <scheme val="minor"/>
      </rPr>
      <t>-</t>
    </r>
    <r>
      <rPr>
        <sz val="11"/>
        <rFont val="Calibri"/>
        <family val="2"/>
        <scheme val="minor"/>
      </rPr>
      <t>.gN</t>
    </r>
    <r>
      <rPr>
        <vertAlign val="superscript"/>
        <sz val="11"/>
        <rFont val="Calibri"/>
        <family val="2"/>
        <scheme val="minor"/>
      </rPr>
      <t>-1</t>
    </r>
  </si>
  <si>
    <r>
      <t>CH</t>
    </r>
    <r>
      <rPr>
        <vertAlign val="subscript"/>
        <sz val="11"/>
        <rFont val="Calibri"/>
        <family val="2"/>
        <scheme val="minor"/>
      </rPr>
      <t>NHx</t>
    </r>
  </si>
  <si>
    <r>
      <t>1/AM</t>
    </r>
    <r>
      <rPr>
        <vertAlign val="subscript"/>
        <sz val="11"/>
        <rFont val="Calibri"/>
        <family val="2"/>
        <scheme val="minor"/>
      </rPr>
      <t>N</t>
    </r>
    <r>
      <rPr>
        <sz val="11"/>
        <rFont val="Calibri"/>
        <family val="2"/>
        <scheme val="minor"/>
      </rPr>
      <t>/1000</t>
    </r>
  </si>
  <si>
    <r>
      <t>CH</t>
    </r>
    <r>
      <rPr>
        <vertAlign val="subscript"/>
        <sz val="11"/>
        <rFont val="Calibri"/>
        <family val="2"/>
        <scheme val="minor"/>
      </rPr>
      <t>PO4</t>
    </r>
  </si>
  <si>
    <r>
      <t>Charge of PO</t>
    </r>
    <r>
      <rPr>
        <vertAlign val="subscript"/>
        <sz val="11"/>
        <color rgb="FF000000"/>
        <rFont val="Calibri"/>
        <family val="2"/>
        <scheme val="minor"/>
      </rPr>
      <t>4</t>
    </r>
  </si>
  <si>
    <r>
      <t>-1.5/AM</t>
    </r>
    <r>
      <rPr>
        <vertAlign val="subscript"/>
        <sz val="11"/>
        <rFont val="Calibri"/>
        <family val="2"/>
        <scheme val="minor"/>
      </rPr>
      <t>P</t>
    </r>
    <r>
      <rPr>
        <sz val="11"/>
        <rFont val="Calibri"/>
        <family val="2"/>
        <scheme val="minor"/>
      </rPr>
      <t>/1000</t>
    </r>
  </si>
  <si>
    <t>Uptake rates</t>
  </si>
  <si>
    <t>Anaerobic toxicity factor</t>
  </si>
  <si>
    <t>Temperature dependency correction</t>
  </si>
  <si>
    <t>Sidestream</t>
  </si>
  <si>
    <r>
      <t>Y</t>
    </r>
    <r>
      <rPr>
        <vertAlign val="subscript"/>
        <sz val="11"/>
        <rFont val="Calibri"/>
        <family val="2"/>
        <scheme val="minor"/>
      </rPr>
      <t>OHO,SB,ox</t>
    </r>
  </si>
  <si>
    <r>
      <t>Y</t>
    </r>
    <r>
      <rPr>
        <vertAlign val="subscript"/>
        <sz val="11"/>
        <rFont val="Calibri"/>
        <family val="2"/>
        <scheme val="minor"/>
      </rPr>
      <t>OHO,SB,anox</t>
    </r>
  </si>
  <si>
    <r>
      <t>-1/Y</t>
    </r>
    <r>
      <rPr>
        <vertAlign val="subscript"/>
        <sz val="11"/>
        <color indexed="8"/>
        <rFont val="Calibri"/>
        <family val="2"/>
      </rPr>
      <t>OHO,SB,ox</t>
    </r>
  </si>
  <si>
    <r>
      <t>-1/Y</t>
    </r>
    <r>
      <rPr>
        <vertAlign val="subscript"/>
        <sz val="11"/>
        <color indexed="8"/>
        <rFont val="Calibri"/>
        <family val="2"/>
      </rPr>
      <t>OHO,SB,anox</t>
    </r>
  </si>
  <si>
    <r>
      <t>-(1-Y</t>
    </r>
    <r>
      <rPr>
        <vertAlign val="subscript"/>
        <sz val="11"/>
        <color indexed="8"/>
        <rFont val="Calibri"/>
        <family val="2"/>
      </rPr>
      <t>OHO,SB,anox</t>
    </r>
    <r>
      <rPr>
        <sz val="11"/>
        <color indexed="8"/>
        <rFont val="Calibri"/>
        <family val="2"/>
      </rPr>
      <t>)/(EEQ</t>
    </r>
    <r>
      <rPr>
        <vertAlign val="subscript"/>
        <sz val="11"/>
        <color indexed="8"/>
        <rFont val="Calibri"/>
        <family val="2"/>
      </rPr>
      <t>N2,NO3</t>
    </r>
    <r>
      <rPr>
        <sz val="11"/>
        <color indexed="8"/>
        <rFont val="Calibri"/>
        <family val="2"/>
      </rPr>
      <t>*Y</t>
    </r>
    <r>
      <rPr>
        <vertAlign val="subscript"/>
        <sz val="11"/>
        <color indexed="8"/>
        <rFont val="Calibri"/>
        <family val="2"/>
      </rPr>
      <t>OHO,SB,anox</t>
    </r>
    <r>
      <rPr>
        <sz val="11"/>
        <color indexed="8"/>
        <rFont val="Calibri"/>
        <family val="2"/>
      </rPr>
      <t>)</t>
    </r>
  </si>
  <si>
    <r>
      <t>(1-Y</t>
    </r>
    <r>
      <rPr>
        <vertAlign val="subscript"/>
        <sz val="11"/>
        <color indexed="8"/>
        <rFont val="Calibri"/>
        <family val="2"/>
      </rPr>
      <t>OHO,SB,anox</t>
    </r>
    <r>
      <rPr>
        <sz val="11"/>
        <color indexed="8"/>
        <rFont val="Calibri"/>
        <family val="2"/>
      </rPr>
      <t>)/(EEQ</t>
    </r>
    <r>
      <rPr>
        <vertAlign val="subscript"/>
        <sz val="11"/>
        <color indexed="8"/>
        <rFont val="Calibri"/>
        <family val="2"/>
      </rPr>
      <t>N2,NO3</t>
    </r>
    <r>
      <rPr>
        <sz val="11"/>
        <color indexed="8"/>
        <rFont val="Calibri"/>
        <family val="2"/>
      </rPr>
      <t>*Y</t>
    </r>
    <r>
      <rPr>
        <vertAlign val="subscript"/>
        <sz val="11"/>
        <color indexed="8"/>
        <rFont val="Calibri"/>
        <family val="2"/>
      </rPr>
      <t>OHO,SB,anox</t>
    </r>
    <r>
      <rPr>
        <sz val="11"/>
        <color indexed="8"/>
        <rFont val="Calibri"/>
        <family val="2"/>
      </rPr>
      <t>)</t>
    </r>
  </si>
  <si>
    <r>
      <t>-(1-Y</t>
    </r>
    <r>
      <rPr>
        <vertAlign val="subscript"/>
        <sz val="11"/>
        <color indexed="8"/>
        <rFont val="Calibri"/>
        <family val="2"/>
      </rPr>
      <t>OHO,SB,ox</t>
    </r>
    <r>
      <rPr>
        <sz val="11"/>
        <color indexed="8"/>
        <rFont val="Calibri"/>
        <family val="2"/>
      </rPr>
      <t>)/Y</t>
    </r>
    <r>
      <rPr>
        <vertAlign val="subscript"/>
        <sz val="11"/>
        <color indexed="8"/>
        <rFont val="Calibri"/>
        <family val="2"/>
      </rPr>
      <t>OHO,SB,ox</t>
    </r>
  </si>
  <si>
    <r>
      <t>(-(1-Y</t>
    </r>
    <r>
      <rPr>
        <vertAlign val="subscript"/>
        <sz val="11"/>
        <color indexed="8"/>
        <rFont val="Calibri"/>
        <family val="2"/>
      </rPr>
      <t>OHO,SB,anox</t>
    </r>
    <r>
      <rPr>
        <sz val="11"/>
        <color indexed="8"/>
        <rFont val="Calibri"/>
        <family val="2"/>
      </rPr>
      <t>)/(EEQ</t>
    </r>
    <r>
      <rPr>
        <vertAlign val="subscript"/>
        <sz val="11"/>
        <color indexed="8"/>
        <rFont val="Calibri"/>
        <family val="2"/>
      </rPr>
      <t>N2,NO3</t>
    </r>
    <r>
      <rPr>
        <sz val="11"/>
        <color indexed="8"/>
        <rFont val="Calibri"/>
        <family val="2"/>
      </rPr>
      <t>*Y</t>
    </r>
    <r>
      <rPr>
        <vertAlign val="subscript"/>
        <sz val="11"/>
        <color indexed="8"/>
        <rFont val="Calibri"/>
        <family val="2"/>
      </rPr>
      <t>OHO,SB,anox</t>
    </r>
    <r>
      <rPr>
        <sz val="11"/>
        <color indexed="8"/>
        <rFont val="Calibri"/>
        <family val="2"/>
      </rPr>
      <t>)*CH</t>
    </r>
    <r>
      <rPr>
        <vertAlign val="subscript"/>
        <sz val="11"/>
        <color indexed="8"/>
        <rFont val="Calibri"/>
        <family val="2"/>
      </rPr>
      <t>NO3</t>
    </r>
    <r>
      <rPr>
        <sz val="11"/>
        <color indexed="8"/>
        <rFont val="Calibri"/>
        <family val="2"/>
      </rPr>
      <t>-i</t>
    </r>
    <r>
      <rPr>
        <vertAlign val="subscript"/>
        <sz val="11"/>
        <color indexed="8"/>
        <rFont val="Calibri"/>
        <family val="2"/>
      </rPr>
      <t>N,BIO</t>
    </r>
    <r>
      <rPr>
        <sz val="11"/>
        <color indexed="8"/>
        <rFont val="Calibri"/>
        <family val="2"/>
      </rPr>
      <t>*CH</t>
    </r>
    <r>
      <rPr>
        <vertAlign val="subscript"/>
        <sz val="11"/>
        <color indexed="8"/>
        <rFont val="Calibri"/>
        <family val="2"/>
      </rPr>
      <t>NHx</t>
    </r>
    <r>
      <rPr>
        <sz val="11"/>
        <color indexed="8"/>
        <rFont val="Calibri"/>
        <family val="2"/>
      </rPr>
      <t>-i</t>
    </r>
    <r>
      <rPr>
        <vertAlign val="subscript"/>
        <sz val="11"/>
        <color indexed="8"/>
        <rFont val="Calibri"/>
        <family val="2"/>
      </rPr>
      <t>P,BIO</t>
    </r>
    <r>
      <rPr>
        <sz val="11"/>
        <color indexed="8"/>
        <rFont val="Calibri"/>
        <family val="2"/>
      </rPr>
      <t>*CH</t>
    </r>
    <r>
      <rPr>
        <vertAlign val="subscript"/>
        <sz val="11"/>
        <color indexed="8"/>
        <rFont val="Calibri"/>
        <family val="2"/>
      </rPr>
      <t>PO4</t>
    </r>
    <r>
      <rPr>
        <sz val="11"/>
        <color indexed="8"/>
        <rFont val="Calibri"/>
        <family val="2"/>
      </rPr>
      <t>)</t>
    </r>
  </si>
  <si>
    <t>Key(1200)</t>
  </si>
  <si>
    <t>Key(1100)</t>
  </si>
  <si>
    <t>Acidoclastic methanogen kinetics (AMETO)</t>
  </si>
  <si>
    <t>Hydrogenotrophic methanogen kinetics (HMETO)</t>
  </si>
  <si>
    <t>Aerobic nitrifying organism kinetics (NITO)</t>
  </si>
  <si>
    <r>
      <t>g COD.g COD</t>
    </r>
    <r>
      <rPr>
        <vertAlign val="superscript"/>
        <sz val="11"/>
        <color indexed="8"/>
        <rFont val="Calibri"/>
        <family val="2"/>
        <scheme val="minor"/>
      </rPr>
      <t>-1</t>
    </r>
  </si>
  <si>
    <t>Ordinary heterotrophic organism kinetics (OHO)</t>
  </si>
  <si>
    <t>Key(980)</t>
  </si>
  <si>
    <t>Key(970)</t>
  </si>
  <si>
    <t>Key(960)</t>
  </si>
  <si>
    <t>Key(1000)</t>
  </si>
  <si>
    <t>Key(990)</t>
  </si>
  <si>
    <t>Key(995)</t>
  </si>
  <si>
    <t>Key(930)</t>
  </si>
  <si>
    <t>Oxidation-reduction potential constants</t>
  </si>
  <si>
    <r>
      <t>ORP</t>
    </r>
    <r>
      <rPr>
        <vertAlign val="subscript"/>
        <sz val="11"/>
        <rFont val="Calibri"/>
        <family val="2"/>
        <scheme val="minor"/>
      </rPr>
      <t>base</t>
    </r>
  </si>
  <si>
    <t>Base ORP value</t>
  </si>
  <si>
    <t>-BigNumber</t>
  </si>
  <si>
    <t>mV</t>
  </si>
  <si>
    <r>
      <t>ORP</t>
    </r>
    <r>
      <rPr>
        <vertAlign val="subscript"/>
        <sz val="11"/>
        <rFont val="Calibri"/>
        <family val="2"/>
        <scheme val="minor"/>
      </rPr>
      <t>max,SO2</t>
    </r>
  </si>
  <si>
    <t>ORP max for dissolved oxygen</t>
  </si>
  <si>
    <r>
      <t>ORP</t>
    </r>
    <r>
      <rPr>
        <vertAlign val="subscript"/>
        <sz val="11"/>
        <rFont val="Calibri"/>
        <family val="2"/>
        <scheme val="minor"/>
      </rPr>
      <t>max,SNOx</t>
    </r>
  </si>
  <si>
    <t>ORP max for dissolved nitrate</t>
  </si>
  <si>
    <r>
      <t>K</t>
    </r>
    <r>
      <rPr>
        <vertAlign val="subscript"/>
        <sz val="11"/>
        <rFont val="Calibri"/>
        <family val="2"/>
        <scheme val="minor"/>
      </rPr>
      <t>ORP,SO2</t>
    </r>
  </si>
  <si>
    <t>Half-saturation of dissolved oxygen for ORP</t>
  </si>
  <si>
    <r>
      <t>g O2.m</t>
    </r>
    <r>
      <rPr>
        <vertAlign val="superscript"/>
        <sz val="11"/>
        <rFont val="Calibri"/>
        <family val="2"/>
        <scheme val="minor"/>
      </rPr>
      <t>-3</t>
    </r>
  </si>
  <si>
    <r>
      <t>K</t>
    </r>
    <r>
      <rPr>
        <vertAlign val="subscript"/>
        <sz val="11"/>
        <rFont val="Calibri"/>
        <family val="2"/>
        <scheme val="minor"/>
      </rPr>
      <t>ORP,SNOx</t>
    </r>
  </si>
  <si>
    <r>
      <t>Half-saturation of NO</t>
    </r>
    <r>
      <rPr>
        <vertAlign val="subscript"/>
        <sz val="11"/>
        <color rgb="FF000000"/>
        <rFont val="Calibri"/>
        <family val="2"/>
        <scheme val="minor"/>
      </rPr>
      <t>x</t>
    </r>
    <r>
      <rPr>
        <sz val="11"/>
        <color rgb="FF000000"/>
        <rFont val="Calibri"/>
        <family val="2"/>
        <charset val="238"/>
        <scheme val="minor"/>
      </rPr>
      <t xml:space="preserve"> for ORP</t>
    </r>
  </si>
  <si>
    <r>
      <t>T</t>
    </r>
    <r>
      <rPr>
        <vertAlign val="subscript"/>
        <sz val="11"/>
        <rFont val="Calibri"/>
        <family val="2"/>
        <scheme val="minor"/>
      </rPr>
      <t>COD,Th</t>
    </r>
  </si>
  <si>
    <t>Theoretical total chemical oxygen demand</t>
  </si>
  <si>
    <t>Oxidation-reduction potential</t>
  </si>
  <si>
    <r>
      <t>ORP</t>
    </r>
    <r>
      <rPr>
        <vertAlign val="subscript"/>
        <sz val="11"/>
        <rFont val="Calibri"/>
        <family val="2"/>
        <scheme val="minor"/>
      </rPr>
      <t>O2</t>
    </r>
  </si>
  <si>
    <t>Oxidation-reduction potential due to dissolved oxygen</t>
  </si>
  <si>
    <r>
      <t>ORP</t>
    </r>
    <r>
      <rPr>
        <vertAlign val="subscript"/>
        <sz val="11"/>
        <rFont val="Calibri"/>
        <family val="2"/>
        <scheme val="minor"/>
      </rPr>
      <t>base</t>
    </r>
    <r>
      <rPr>
        <sz val="11"/>
        <rFont val="Calibri"/>
        <family val="2"/>
        <scheme val="minor"/>
      </rPr>
      <t>+(ORP</t>
    </r>
    <r>
      <rPr>
        <vertAlign val="subscript"/>
        <sz val="11"/>
        <rFont val="Calibri"/>
        <family val="2"/>
        <scheme val="minor"/>
      </rPr>
      <t>max,SO2</t>
    </r>
    <r>
      <rPr>
        <sz val="11"/>
        <rFont val="Calibri"/>
        <family val="2"/>
        <scheme val="minor"/>
      </rPr>
      <t>-ORP</t>
    </r>
    <r>
      <rPr>
        <vertAlign val="subscript"/>
        <sz val="11"/>
        <rFont val="Calibri"/>
        <family val="2"/>
        <scheme val="minor"/>
      </rPr>
      <t>base)</t>
    </r>
    <r>
      <rPr>
        <sz val="11"/>
        <rFont val="Calibri"/>
        <family val="2"/>
        <scheme val="minor"/>
      </rPr>
      <t>*S</t>
    </r>
    <r>
      <rPr>
        <vertAlign val="subscript"/>
        <sz val="11"/>
        <rFont val="Calibri"/>
        <family val="2"/>
        <scheme val="minor"/>
      </rPr>
      <t>O2</t>
    </r>
    <r>
      <rPr>
        <sz val="11"/>
        <rFont val="Calibri"/>
        <family val="2"/>
        <scheme val="minor"/>
      </rPr>
      <t>/(K</t>
    </r>
    <r>
      <rPr>
        <vertAlign val="subscript"/>
        <sz val="11"/>
        <rFont val="Calibri"/>
        <family val="2"/>
        <scheme val="minor"/>
      </rPr>
      <t>ORP,SO2</t>
    </r>
    <r>
      <rPr>
        <sz val="11"/>
        <rFont val="Calibri"/>
        <family val="2"/>
        <scheme val="minor"/>
      </rPr>
      <t>+S</t>
    </r>
    <r>
      <rPr>
        <vertAlign val="subscript"/>
        <sz val="11"/>
        <rFont val="Calibri"/>
        <family val="2"/>
        <scheme val="minor"/>
      </rPr>
      <t>O2</t>
    </r>
    <r>
      <rPr>
        <sz val="11"/>
        <rFont val="Calibri"/>
        <family val="2"/>
        <scheme val="minor"/>
      </rPr>
      <t>)</t>
    </r>
  </si>
  <si>
    <r>
      <t>ORP</t>
    </r>
    <r>
      <rPr>
        <vertAlign val="subscript"/>
        <sz val="11"/>
        <rFont val="Calibri"/>
        <family val="2"/>
      </rPr>
      <t>NOx</t>
    </r>
  </si>
  <si>
    <t>Oxidation-reduction potential due to dissolved nitrate</t>
  </si>
  <si>
    <r>
      <t>ORP</t>
    </r>
    <r>
      <rPr>
        <vertAlign val="subscript"/>
        <sz val="11"/>
        <rFont val="Calibri"/>
        <family val="2"/>
        <scheme val="minor"/>
      </rPr>
      <t>base</t>
    </r>
    <r>
      <rPr>
        <sz val="11"/>
        <rFont val="Calibri"/>
        <family val="2"/>
        <scheme val="minor"/>
      </rPr>
      <t>+(ORP</t>
    </r>
    <r>
      <rPr>
        <vertAlign val="subscript"/>
        <sz val="11"/>
        <rFont val="Calibri"/>
        <family val="2"/>
        <scheme val="minor"/>
      </rPr>
      <t>max,SNOx</t>
    </r>
    <r>
      <rPr>
        <sz val="11"/>
        <rFont val="Calibri"/>
        <family val="2"/>
        <scheme val="minor"/>
      </rPr>
      <t>-ORP</t>
    </r>
    <r>
      <rPr>
        <vertAlign val="subscript"/>
        <sz val="11"/>
        <rFont val="Calibri"/>
        <family val="2"/>
        <scheme val="minor"/>
      </rPr>
      <t>base)</t>
    </r>
    <r>
      <rPr>
        <sz val="11"/>
        <rFont val="Calibri"/>
        <family val="2"/>
        <scheme val="minor"/>
      </rPr>
      <t>*S</t>
    </r>
    <r>
      <rPr>
        <vertAlign val="subscript"/>
        <sz val="11"/>
        <rFont val="Calibri"/>
        <family val="2"/>
        <scheme val="minor"/>
      </rPr>
      <t>NOx</t>
    </r>
    <r>
      <rPr>
        <sz val="11"/>
        <rFont val="Calibri"/>
        <family val="2"/>
        <scheme val="minor"/>
      </rPr>
      <t>/(K</t>
    </r>
    <r>
      <rPr>
        <vertAlign val="subscript"/>
        <sz val="11"/>
        <rFont val="Calibri"/>
        <family val="2"/>
        <scheme val="minor"/>
      </rPr>
      <t>ORP,SNOx</t>
    </r>
    <r>
      <rPr>
        <sz val="11"/>
        <rFont val="Calibri"/>
        <family val="2"/>
        <scheme val="minor"/>
      </rPr>
      <t>+S</t>
    </r>
    <r>
      <rPr>
        <vertAlign val="subscript"/>
        <sz val="11"/>
        <rFont val="Calibri"/>
        <family val="2"/>
        <scheme val="minor"/>
      </rPr>
      <t>NOx</t>
    </r>
    <r>
      <rPr>
        <sz val="11"/>
        <rFont val="Calibri"/>
        <family val="2"/>
        <scheme val="minor"/>
      </rPr>
      <t>)</t>
    </r>
  </si>
  <si>
    <t>ORP</t>
  </si>
  <si>
    <t>Inorganics in influent and biomass</t>
  </si>
  <si>
    <t>Half-saturation of readily biodegradable substrate for OHOs (AS)</t>
  </si>
  <si>
    <r>
      <t>Half-saturation of O</t>
    </r>
    <r>
      <rPr>
        <vertAlign val="subscript"/>
        <sz val="11"/>
        <color rgb="FF000000"/>
        <rFont val="Calibri"/>
        <family val="2"/>
        <scheme val="minor"/>
      </rPr>
      <t>2</t>
    </r>
    <r>
      <rPr>
        <sz val="11"/>
        <color rgb="FF000000"/>
        <rFont val="Calibri"/>
        <family val="2"/>
        <charset val="238"/>
        <scheme val="minor"/>
      </rPr>
      <t xml:space="preserve"> for OHOs (AS)</t>
    </r>
  </si>
  <si>
    <r>
      <t>Half-saturation of NO</t>
    </r>
    <r>
      <rPr>
        <vertAlign val="subscript"/>
        <sz val="11"/>
        <color rgb="FF000000"/>
        <rFont val="Calibri"/>
        <family val="2"/>
        <scheme val="minor"/>
      </rPr>
      <t>x</t>
    </r>
    <r>
      <rPr>
        <sz val="11"/>
        <color rgb="FF000000"/>
        <rFont val="Calibri"/>
        <family val="2"/>
        <charset val="238"/>
        <scheme val="minor"/>
      </rPr>
      <t xml:space="preserve"> for OHOs (AS)</t>
    </r>
  </si>
  <si>
    <t>Reduction factor for anoxic growth of OHOs</t>
  </si>
  <si>
    <t>Decay rate of OHOs</t>
  </si>
  <si>
    <t>Fermentation growth rate of OHOs</t>
  </si>
  <si>
    <r>
      <t>Half-saturation of NH</t>
    </r>
    <r>
      <rPr>
        <vertAlign val="subscript"/>
        <sz val="11"/>
        <color rgb="FF000000"/>
        <rFont val="Calibri"/>
        <family val="2"/>
        <scheme val="minor"/>
      </rPr>
      <t>x</t>
    </r>
    <r>
      <rPr>
        <sz val="11"/>
        <color rgb="FF000000"/>
        <rFont val="Calibri"/>
        <family val="2"/>
        <charset val="238"/>
        <scheme val="minor"/>
      </rPr>
      <t xml:space="preserve"> for NITOs (AS)</t>
    </r>
  </si>
  <si>
    <r>
      <t>Half-saturation of O</t>
    </r>
    <r>
      <rPr>
        <vertAlign val="subscript"/>
        <sz val="11"/>
        <color rgb="FF000000"/>
        <rFont val="Calibri"/>
        <family val="2"/>
        <scheme val="minor"/>
      </rPr>
      <t>2</t>
    </r>
    <r>
      <rPr>
        <sz val="11"/>
        <color rgb="FF000000"/>
        <rFont val="Calibri"/>
        <family val="2"/>
        <charset val="238"/>
        <scheme val="minor"/>
      </rPr>
      <t xml:space="preserve"> for NITOs (AS)</t>
    </r>
  </si>
  <si>
    <r>
      <t>Half-saturation of NO</t>
    </r>
    <r>
      <rPr>
        <vertAlign val="subscript"/>
        <sz val="11"/>
        <color rgb="FF000000"/>
        <rFont val="Calibri"/>
        <family val="2"/>
        <scheme val="minor"/>
      </rPr>
      <t>x</t>
    </r>
    <r>
      <rPr>
        <sz val="11"/>
        <color rgb="FF000000"/>
        <rFont val="Calibri"/>
        <family val="2"/>
        <charset val="238"/>
        <scheme val="minor"/>
      </rPr>
      <t xml:space="preserve"> for NITOs (AS)</t>
    </r>
  </si>
  <si>
    <t>Decay rate of NITOs</t>
  </si>
  <si>
    <t>Half-saturation of VFA for AMETOs (AS)</t>
  </si>
  <si>
    <r>
      <t>Half-saturation of NO</t>
    </r>
    <r>
      <rPr>
        <vertAlign val="subscript"/>
        <sz val="11"/>
        <color rgb="FF000000"/>
        <rFont val="Calibri"/>
        <family val="2"/>
        <scheme val="minor"/>
      </rPr>
      <t>x</t>
    </r>
    <r>
      <rPr>
        <sz val="11"/>
        <color rgb="FF000000"/>
        <rFont val="Calibri"/>
        <family val="2"/>
        <charset val="238"/>
        <scheme val="minor"/>
      </rPr>
      <t xml:space="preserve"> for AMETOs (AS)</t>
    </r>
  </si>
  <si>
    <t>Decay rate of AMETOs</t>
  </si>
  <si>
    <r>
      <t>Half-saturation of H</t>
    </r>
    <r>
      <rPr>
        <vertAlign val="subscript"/>
        <sz val="11"/>
        <color rgb="FF000000"/>
        <rFont val="Calibri"/>
        <family val="2"/>
        <scheme val="minor"/>
      </rPr>
      <t>2</t>
    </r>
    <r>
      <rPr>
        <sz val="11"/>
        <color rgb="FF000000"/>
        <rFont val="Calibri"/>
        <family val="2"/>
        <charset val="238"/>
        <scheme val="minor"/>
      </rPr>
      <t xml:space="preserve"> for HMETOs (AS)</t>
    </r>
  </si>
  <si>
    <r>
      <t>Half-saturation of NO</t>
    </r>
    <r>
      <rPr>
        <vertAlign val="subscript"/>
        <sz val="11"/>
        <color rgb="FF000000"/>
        <rFont val="Calibri"/>
        <family val="2"/>
        <scheme val="minor"/>
      </rPr>
      <t>x</t>
    </r>
    <r>
      <rPr>
        <sz val="11"/>
        <color rgb="FF000000"/>
        <rFont val="Calibri"/>
        <family val="2"/>
        <charset val="238"/>
        <scheme val="minor"/>
      </rPr>
      <t xml:space="preserve"> for HMETOs (AS)</t>
    </r>
  </si>
  <si>
    <t>Decay rate of HMETOs</t>
  </si>
  <si>
    <r>
      <t>Half-saturation of NH</t>
    </r>
    <r>
      <rPr>
        <vertAlign val="subscript"/>
        <sz val="11"/>
        <color rgb="FF000000"/>
        <rFont val="Calibri"/>
        <family val="2"/>
        <scheme val="minor"/>
      </rPr>
      <t>x</t>
    </r>
    <r>
      <rPr>
        <sz val="11"/>
        <color rgb="FF000000"/>
        <rFont val="Calibri"/>
        <family val="2"/>
        <charset val="238"/>
        <scheme val="minor"/>
      </rPr>
      <t xml:space="preserve"> as nutrient for biomasses (AS)</t>
    </r>
  </si>
  <si>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 (AS)</t>
    </r>
  </si>
  <si>
    <t>Half-saturation of alkalinity (AS)</t>
  </si>
  <si>
    <t>Reduction factor for anoxic decay</t>
  </si>
  <si>
    <t>Reduction factor for anaerobic decay</t>
  </si>
  <si>
    <t>Toxicity factor of aerobes under anaerobic conditions (maximum)</t>
  </si>
  <si>
    <t>Rate of hydrolysis</t>
  </si>
  <si>
    <t>Half-saturation of particulates in hydrolysis (AS)</t>
  </si>
  <si>
    <t>Rate of ammonification</t>
  </si>
  <si>
    <t>Rate of assimilative nutrient production</t>
  </si>
  <si>
    <t>Yield of OHOs on readily biodegradable substrate under aerobic conditions</t>
  </si>
  <si>
    <t>Yield of OHOs on readily biodegradable substrate under anoxic conditions</t>
  </si>
  <si>
    <r>
      <t>Yield of NITOs on NH</t>
    </r>
    <r>
      <rPr>
        <vertAlign val="subscript"/>
        <sz val="11"/>
        <color rgb="FF000000"/>
        <rFont val="Calibri"/>
        <family val="2"/>
        <scheme val="minor"/>
      </rPr>
      <t>x</t>
    </r>
  </si>
  <si>
    <t>Yield of AMETOs on VFA</t>
  </si>
  <si>
    <r>
      <t>Yield of HMETOs on H</t>
    </r>
    <r>
      <rPr>
        <vertAlign val="subscript"/>
        <sz val="11"/>
        <color rgb="FF000000"/>
        <rFont val="Calibri"/>
        <family val="2"/>
        <scheme val="minor"/>
      </rPr>
      <t>2</t>
    </r>
  </si>
  <si>
    <r>
      <t>Fraction of H</t>
    </r>
    <r>
      <rPr>
        <vertAlign val="subscript"/>
        <sz val="11"/>
        <color rgb="FF000000"/>
        <rFont val="Calibri"/>
        <family val="2"/>
        <scheme val="minor"/>
      </rPr>
      <t>2</t>
    </r>
    <r>
      <rPr>
        <sz val="11"/>
        <color rgb="FF000000"/>
        <rFont val="Calibri"/>
        <family val="2"/>
        <charset val="238"/>
        <scheme val="minor"/>
      </rPr>
      <t xml:space="preserve"> produced in anaerobic hydrolysis</t>
    </r>
  </si>
  <si>
    <t>Fraction of endogenous products produced in biomass decay</t>
  </si>
  <si>
    <t>COD of biomass in volatile solids</t>
  </si>
  <si>
    <t>COD of biodegradable substrate in volatile solids</t>
  </si>
  <si>
    <t>COD of readily biodegradable substrate in volatile solids</t>
  </si>
  <si>
    <t>COD of soluble unbiodegradable organics in volatile solids</t>
  </si>
  <si>
    <t>COD of endogenous products in volatile solids</t>
  </si>
  <si>
    <r>
      <t>Correction factor for mass transfer of N</t>
    </r>
    <r>
      <rPr>
        <vertAlign val="subscript"/>
        <sz val="11"/>
        <color rgb="FF000000"/>
        <rFont val="Calibri"/>
        <family val="2"/>
        <scheme val="minor"/>
      </rPr>
      <t>2</t>
    </r>
  </si>
  <si>
    <r>
      <t>Correction factor for mass transfer of CH</t>
    </r>
    <r>
      <rPr>
        <vertAlign val="subscript"/>
        <sz val="11"/>
        <color rgb="FF000000"/>
        <rFont val="Calibri"/>
        <family val="2"/>
        <scheme val="minor"/>
      </rPr>
      <t>4</t>
    </r>
  </si>
  <si>
    <r>
      <t>Correction factor for mass transfer of H</t>
    </r>
    <r>
      <rPr>
        <vertAlign val="subscript"/>
        <sz val="11"/>
        <color rgb="FF000000"/>
        <rFont val="Calibri"/>
        <family val="2"/>
        <scheme val="minor"/>
      </rPr>
      <t>2</t>
    </r>
  </si>
  <si>
    <t>COD of particulates</t>
  </si>
  <si>
    <t>Volatile suspended solids of biomasses</t>
  </si>
  <si>
    <t>Volatile ultimately degradable solids</t>
  </si>
  <si>
    <t>Metal precipitates in TSS unit</t>
  </si>
  <si>
    <t>Total inorganic suspended solids (ISS)</t>
  </si>
  <si>
    <t>Total suspended solids (TSS)</t>
  </si>
  <si>
    <t>Filtered ultimate biochemical oxygen demand</t>
  </si>
  <si>
    <t>Filtered biochemical oxygen demand (5 days)</t>
  </si>
  <si>
    <r>
      <t>T</t>
    </r>
    <r>
      <rPr>
        <vertAlign val="subscript"/>
        <sz val="11"/>
        <rFont val="Calibri"/>
        <family val="2"/>
        <scheme val="minor"/>
      </rPr>
      <t>COD</t>
    </r>
    <r>
      <rPr>
        <sz val="11"/>
        <rFont val="Calibri"/>
        <family val="2"/>
        <scheme val="minor"/>
      </rPr>
      <t xml:space="preserve"> + S</t>
    </r>
    <r>
      <rPr>
        <vertAlign val="subscript"/>
        <sz val="11"/>
        <rFont val="Calibri"/>
        <family val="2"/>
        <scheme val="minor"/>
      </rPr>
      <t xml:space="preserve">H2 </t>
    </r>
    <r>
      <rPr>
        <sz val="11"/>
        <rFont val="Calibri"/>
        <family val="2"/>
        <scheme val="minor"/>
      </rPr>
      <t>+ S</t>
    </r>
    <r>
      <rPr>
        <vertAlign val="subscript"/>
        <sz val="11"/>
        <rFont val="Calibri"/>
        <family val="2"/>
        <scheme val="minor"/>
      </rPr>
      <t>CH4</t>
    </r>
    <r>
      <rPr>
        <sz val="11"/>
        <rFont val="Calibri"/>
        <family val="2"/>
        <scheme val="minor"/>
      </rPr>
      <t xml:space="preserve"> - EEQ</t>
    </r>
    <r>
      <rPr>
        <vertAlign val="subscript"/>
        <sz val="11"/>
        <rFont val="Calibri"/>
        <family val="2"/>
        <scheme val="minor"/>
      </rPr>
      <t>NO3</t>
    </r>
    <r>
      <rPr>
        <sz val="11"/>
        <rFont val="Calibri"/>
        <family val="2"/>
        <scheme val="minor"/>
      </rPr>
      <t>*S</t>
    </r>
    <r>
      <rPr>
        <vertAlign val="subscript"/>
        <sz val="11"/>
        <rFont val="Calibri"/>
        <family val="2"/>
        <scheme val="minor"/>
      </rPr>
      <t>NOx</t>
    </r>
    <r>
      <rPr>
        <sz val="11"/>
        <rFont val="Calibri"/>
        <family val="2"/>
        <scheme val="minor"/>
      </rPr>
      <t xml:space="preserve"> - EEQ</t>
    </r>
    <r>
      <rPr>
        <vertAlign val="subscript"/>
        <sz val="11"/>
        <rFont val="Calibri"/>
        <family val="2"/>
        <scheme val="minor"/>
      </rPr>
      <t>N2</t>
    </r>
    <r>
      <rPr>
        <sz val="11"/>
        <rFont val="Calibri"/>
        <family val="2"/>
        <scheme val="minor"/>
      </rPr>
      <t>*S</t>
    </r>
    <r>
      <rPr>
        <vertAlign val="subscript"/>
        <sz val="11"/>
        <rFont val="Calibri"/>
        <family val="2"/>
        <scheme val="minor"/>
      </rPr>
      <t xml:space="preserve">N2 </t>
    </r>
    <r>
      <rPr>
        <sz val="11"/>
        <rFont val="Calibri"/>
        <family val="2"/>
        <scheme val="minor"/>
      </rPr>
      <t>- S</t>
    </r>
    <r>
      <rPr>
        <vertAlign val="subscript"/>
        <sz val="11"/>
        <rFont val="Calibri"/>
        <family val="2"/>
        <scheme val="minor"/>
      </rPr>
      <t>O2</t>
    </r>
  </si>
  <si>
    <t>Toxicity factor of aerobes under anaerobic conditions (in digester)</t>
  </si>
  <si>
    <t>Toxicity factor of aerobes under anaerobic conditions (not in digester)</t>
  </si>
  <si>
    <t>Half-saturations for ordinary heterotrophic organisms (OHO)</t>
  </si>
  <si>
    <t>Half-saturation of readily biodegradable substrate for OHOs</t>
  </si>
  <si>
    <r>
      <t>Half-saturation of O</t>
    </r>
    <r>
      <rPr>
        <vertAlign val="subscript"/>
        <sz val="11"/>
        <color rgb="FF000000"/>
        <rFont val="Calibri"/>
        <family val="2"/>
        <scheme val="minor"/>
      </rPr>
      <t>2</t>
    </r>
    <r>
      <rPr>
        <sz val="11"/>
        <color rgb="FF000000"/>
        <rFont val="Calibri"/>
        <family val="2"/>
        <charset val="238"/>
        <scheme val="minor"/>
      </rPr>
      <t xml:space="preserve"> for OHOs</t>
    </r>
  </si>
  <si>
    <r>
      <t>Half-saturation of NO</t>
    </r>
    <r>
      <rPr>
        <vertAlign val="subscript"/>
        <sz val="11"/>
        <color rgb="FF000000"/>
        <rFont val="Calibri"/>
        <family val="2"/>
        <scheme val="minor"/>
      </rPr>
      <t>x</t>
    </r>
    <r>
      <rPr>
        <sz val="11"/>
        <color rgb="FF000000"/>
        <rFont val="Calibri"/>
        <family val="2"/>
        <charset val="238"/>
        <scheme val="minor"/>
      </rPr>
      <t xml:space="preserve"> for OHOs</t>
    </r>
  </si>
  <si>
    <t>Half-saturations for aerobic nitrifying organisms (NITO)</t>
  </si>
  <si>
    <r>
      <t>Half-saturation of NH</t>
    </r>
    <r>
      <rPr>
        <vertAlign val="subscript"/>
        <sz val="11"/>
        <color rgb="FF000000"/>
        <rFont val="Calibri"/>
        <family val="2"/>
        <scheme val="minor"/>
      </rPr>
      <t>x</t>
    </r>
    <r>
      <rPr>
        <sz val="11"/>
        <color rgb="FF000000"/>
        <rFont val="Calibri"/>
        <family val="2"/>
        <charset val="238"/>
        <scheme val="minor"/>
      </rPr>
      <t xml:space="preserve"> for NITOs</t>
    </r>
  </si>
  <si>
    <r>
      <t>Half-saturation of O</t>
    </r>
    <r>
      <rPr>
        <vertAlign val="subscript"/>
        <sz val="11"/>
        <color rgb="FF000000"/>
        <rFont val="Calibri"/>
        <family val="2"/>
        <scheme val="minor"/>
      </rPr>
      <t>2</t>
    </r>
    <r>
      <rPr>
        <sz val="11"/>
        <color rgb="FF000000"/>
        <rFont val="Calibri"/>
        <family val="2"/>
        <charset val="238"/>
        <scheme val="minor"/>
      </rPr>
      <t xml:space="preserve"> for NITOs</t>
    </r>
  </si>
  <si>
    <r>
      <t>Half-saturation of NO</t>
    </r>
    <r>
      <rPr>
        <vertAlign val="subscript"/>
        <sz val="11"/>
        <color rgb="FF000000"/>
        <rFont val="Calibri"/>
        <family val="2"/>
        <scheme val="minor"/>
      </rPr>
      <t>x</t>
    </r>
    <r>
      <rPr>
        <sz val="11"/>
        <color rgb="FF000000"/>
        <rFont val="Calibri"/>
        <family val="2"/>
        <charset val="238"/>
        <scheme val="minor"/>
      </rPr>
      <t xml:space="preserve"> for NITOs</t>
    </r>
  </si>
  <si>
    <t>Half-saturations for acidoclastic methanogens (AMETO)</t>
  </si>
  <si>
    <t>Half-saturations for hydrogenotrophic methanogens (HMETO)</t>
  </si>
  <si>
    <t>Half-saturations for conversions</t>
  </si>
  <si>
    <t>Half-saturation of VFA for AMETOs</t>
  </si>
  <si>
    <r>
      <t>Half-saturation of H</t>
    </r>
    <r>
      <rPr>
        <vertAlign val="subscript"/>
        <sz val="11"/>
        <color rgb="FF000000"/>
        <rFont val="Calibri"/>
        <family val="2"/>
        <scheme val="minor"/>
      </rPr>
      <t>2</t>
    </r>
    <r>
      <rPr>
        <sz val="11"/>
        <color rgb="FF000000"/>
        <rFont val="Calibri"/>
        <family val="2"/>
        <charset val="238"/>
        <scheme val="minor"/>
      </rPr>
      <t xml:space="preserve"> for HMETOs</t>
    </r>
  </si>
  <si>
    <r>
      <t>Half-saturation of NO</t>
    </r>
    <r>
      <rPr>
        <vertAlign val="subscript"/>
        <sz val="11"/>
        <color rgb="FF000000"/>
        <rFont val="Calibri"/>
        <family val="2"/>
        <scheme val="minor"/>
      </rPr>
      <t>x</t>
    </r>
    <r>
      <rPr>
        <sz val="11"/>
        <color rgb="FF000000"/>
        <rFont val="Calibri"/>
        <family val="2"/>
        <charset val="238"/>
        <scheme val="minor"/>
      </rPr>
      <t xml:space="preserve"> for HMETOs</t>
    </r>
  </si>
  <si>
    <t>Half-saturation of NHx as nutrient for biomasses</t>
  </si>
  <si>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t>
    </r>
  </si>
  <si>
    <t>Half-saturation of alkalinity</t>
  </si>
  <si>
    <t>Half-saturation of particulates in hydrolysis</t>
  </si>
  <si>
    <t>Saturation term for readily biodegradable substrate (OHO)</t>
  </si>
  <si>
    <r>
      <t>Saturation term for O</t>
    </r>
    <r>
      <rPr>
        <vertAlign val="subscript"/>
        <sz val="11"/>
        <color rgb="FF000000"/>
        <rFont val="Calibri"/>
        <family val="2"/>
        <scheme val="minor"/>
      </rPr>
      <t>2</t>
    </r>
    <r>
      <rPr>
        <sz val="11"/>
        <color rgb="FF000000"/>
        <rFont val="Calibri"/>
        <family val="2"/>
        <charset val="238"/>
        <scheme val="minor"/>
      </rPr>
      <t xml:space="preserve"> (OHO)</t>
    </r>
  </si>
  <si>
    <r>
      <t>Saturation term for NH</t>
    </r>
    <r>
      <rPr>
        <vertAlign val="subscript"/>
        <sz val="11"/>
        <color rgb="FF000000"/>
        <rFont val="Calibri"/>
        <family val="2"/>
        <scheme val="minor"/>
      </rPr>
      <t>x</t>
    </r>
    <r>
      <rPr>
        <sz val="11"/>
        <color rgb="FF000000"/>
        <rFont val="Calibri"/>
        <family val="2"/>
        <charset val="238"/>
        <scheme val="minor"/>
      </rPr>
      <t xml:space="preserve"> (biomass)</t>
    </r>
  </si>
  <si>
    <r>
      <t>Saturation term for PO</t>
    </r>
    <r>
      <rPr>
        <vertAlign val="subscript"/>
        <sz val="11"/>
        <color rgb="FF000000"/>
        <rFont val="Calibri"/>
        <family val="2"/>
        <scheme val="minor"/>
      </rPr>
      <t>4</t>
    </r>
    <r>
      <rPr>
        <sz val="11"/>
        <color rgb="FF000000"/>
        <rFont val="Calibri"/>
        <family val="2"/>
        <charset val="238"/>
        <scheme val="minor"/>
      </rPr>
      <t xml:space="preserve"> (biomass)</t>
    </r>
  </si>
  <si>
    <r>
      <t>Saturation term for NO</t>
    </r>
    <r>
      <rPr>
        <vertAlign val="subscript"/>
        <sz val="11"/>
        <color rgb="FF000000"/>
        <rFont val="Calibri"/>
        <family val="2"/>
        <scheme val="minor"/>
      </rPr>
      <t>x</t>
    </r>
    <r>
      <rPr>
        <sz val="11"/>
        <color rgb="FF000000"/>
        <rFont val="Calibri"/>
        <family val="2"/>
        <charset val="238"/>
        <scheme val="minor"/>
      </rPr>
      <t xml:space="preserve"> (OHO)</t>
    </r>
  </si>
  <si>
    <t>Saturation term for alkalinity</t>
  </si>
  <si>
    <r>
      <t>Saturation term for O</t>
    </r>
    <r>
      <rPr>
        <vertAlign val="subscript"/>
        <sz val="11"/>
        <color rgb="FF000000"/>
        <rFont val="Calibri"/>
        <family val="2"/>
        <scheme val="minor"/>
      </rPr>
      <t>2</t>
    </r>
    <r>
      <rPr>
        <sz val="11"/>
        <color rgb="FF000000"/>
        <rFont val="Calibri"/>
        <family val="2"/>
        <charset val="238"/>
        <scheme val="minor"/>
      </rPr>
      <t xml:space="preserve"> (NITO)</t>
    </r>
  </si>
  <si>
    <r>
      <t>Saturation term for NH</t>
    </r>
    <r>
      <rPr>
        <vertAlign val="subscript"/>
        <sz val="11"/>
        <color rgb="FF000000"/>
        <rFont val="Calibri"/>
        <family val="2"/>
        <scheme val="minor"/>
      </rPr>
      <t>x</t>
    </r>
    <r>
      <rPr>
        <sz val="11"/>
        <color rgb="FF000000"/>
        <rFont val="Calibri"/>
        <family val="2"/>
        <charset val="238"/>
        <scheme val="minor"/>
      </rPr>
      <t xml:space="preserve"> (NITO)</t>
    </r>
  </si>
  <si>
    <r>
      <t>Saturation term for NO</t>
    </r>
    <r>
      <rPr>
        <vertAlign val="subscript"/>
        <sz val="11"/>
        <color rgb="FF000000"/>
        <rFont val="Calibri"/>
        <family val="2"/>
        <scheme val="minor"/>
      </rPr>
      <t>x</t>
    </r>
    <r>
      <rPr>
        <sz val="11"/>
        <color rgb="FF000000"/>
        <rFont val="Calibri"/>
        <family val="2"/>
        <charset val="238"/>
        <scheme val="minor"/>
      </rPr>
      <t xml:space="preserve"> (NITO)</t>
    </r>
  </si>
  <si>
    <t>Saturation term for readily biodegradable substrate as VFA (AMETO)</t>
  </si>
  <si>
    <r>
      <t>Saturation term for O</t>
    </r>
    <r>
      <rPr>
        <vertAlign val="subscript"/>
        <sz val="11"/>
        <color rgb="FF000000"/>
        <rFont val="Calibri"/>
        <family val="2"/>
        <scheme val="minor"/>
      </rPr>
      <t>2</t>
    </r>
    <r>
      <rPr>
        <sz val="11"/>
        <color rgb="FF000000"/>
        <rFont val="Calibri"/>
        <family val="2"/>
        <charset val="238"/>
        <scheme val="minor"/>
      </rPr>
      <t xml:space="preserve"> (AMETO)</t>
    </r>
  </si>
  <si>
    <r>
      <t>Saturation term for NO</t>
    </r>
    <r>
      <rPr>
        <vertAlign val="subscript"/>
        <sz val="11"/>
        <color rgb="FF000000"/>
        <rFont val="Calibri"/>
        <family val="2"/>
        <scheme val="minor"/>
      </rPr>
      <t>x</t>
    </r>
    <r>
      <rPr>
        <sz val="11"/>
        <color rgb="FF000000"/>
        <rFont val="Calibri"/>
        <family val="2"/>
        <charset val="238"/>
        <scheme val="minor"/>
      </rPr>
      <t xml:space="preserve"> (AMETO)</t>
    </r>
  </si>
  <si>
    <r>
      <t>Saturation term for H</t>
    </r>
    <r>
      <rPr>
        <vertAlign val="subscript"/>
        <sz val="11"/>
        <color rgb="FF000000"/>
        <rFont val="Calibri"/>
        <family val="2"/>
        <scheme val="minor"/>
      </rPr>
      <t>2</t>
    </r>
    <r>
      <rPr>
        <sz val="11"/>
        <color rgb="FF000000"/>
        <rFont val="Calibri"/>
        <family val="2"/>
        <charset val="238"/>
        <scheme val="minor"/>
      </rPr>
      <t xml:space="preserve"> (HMETO)</t>
    </r>
  </si>
  <si>
    <r>
      <t>Saturation term for O</t>
    </r>
    <r>
      <rPr>
        <vertAlign val="subscript"/>
        <sz val="11"/>
        <color rgb="FF000000"/>
        <rFont val="Calibri"/>
        <family val="2"/>
        <scheme val="minor"/>
      </rPr>
      <t>2</t>
    </r>
    <r>
      <rPr>
        <sz val="11"/>
        <color rgb="FF000000"/>
        <rFont val="Calibri"/>
        <family val="2"/>
        <charset val="238"/>
        <scheme val="minor"/>
      </rPr>
      <t xml:space="preserve"> (HMETO)</t>
    </r>
  </si>
  <si>
    <r>
      <t>Saturation term for NO</t>
    </r>
    <r>
      <rPr>
        <vertAlign val="subscript"/>
        <sz val="11"/>
        <color rgb="FF000000"/>
        <rFont val="Calibri"/>
        <family val="2"/>
        <scheme val="minor"/>
      </rPr>
      <t>x</t>
    </r>
    <r>
      <rPr>
        <sz val="11"/>
        <color rgb="FF000000"/>
        <rFont val="Calibri"/>
        <family val="2"/>
        <charset val="238"/>
        <scheme val="minor"/>
      </rPr>
      <t xml:space="preserve"> (HMETO)</t>
    </r>
  </si>
  <si>
    <t>Saturation term for slowly biodegradable substrate (hydrolysis)</t>
  </si>
  <si>
    <r>
      <t>Inhibition term for NO</t>
    </r>
    <r>
      <rPr>
        <vertAlign val="subscript"/>
        <sz val="11"/>
        <color rgb="FF000000"/>
        <rFont val="Calibri"/>
        <family val="2"/>
        <scheme val="minor"/>
      </rPr>
      <t>x</t>
    </r>
    <r>
      <rPr>
        <sz val="11"/>
        <color rgb="FF000000"/>
        <rFont val="Calibri"/>
        <family val="2"/>
        <charset val="238"/>
        <scheme val="minor"/>
      </rPr>
      <t xml:space="preserve"> (NITO)</t>
    </r>
  </si>
  <si>
    <r>
      <t>Inhibition term for 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</si>
  <si>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x</t>
    </r>
    <r>
      <rPr>
        <sz val="11"/>
        <color rgb="FF000000"/>
        <rFont val="Calibri"/>
        <family val="2"/>
        <charset val="238"/>
        <scheme val="minor"/>
      </rPr>
      <t xml:space="preserve"> (OHO)</t>
    </r>
  </si>
  <si>
    <r>
      <t>Inhibition term for O</t>
    </r>
    <r>
      <rPr>
        <vertAlign val="subscript"/>
        <sz val="11"/>
        <color rgb="FF000000"/>
        <rFont val="Calibri"/>
        <family val="2"/>
        <scheme val="minor"/>
      </rPr>
      <t>2</t>
    </r>
    <r>
      <rPr>
        <sz val="11"/>
        <color rgb="FF000000"/>
        <rFont val="Calibri"/>
        <family val="2"/>
        <charset val="238"/>
        <scheme val="minor"/>
      </rPr>
      <t xml:space="preserve"> (NITO)</t>
    </r>
  </si>
  <si>
    <r>
      <t>Inhibition term for O</t>
    </r>
    <r>
      <rPr>
        <vertAlign val="subscript"/>
        <sz val="11"/>
        <color rgb="FF000000"/>
        <rFont val="Calibri"/>
        <family val="2"/>
        <scheme val="minor"/>
      </rPr>
      <t>2</t>
    </r>
    <r>
      <rPr>
        <sz val="11"/>
        <color rgb="FF000000"/>
        <rFont val="Calibri"/>
        <family val="2"/>
        <charset val="238"/>
        <scheme val="minor"/>
      </rPr>
      <t xml:space="preserve"> (AMETO)</t>
    </r>
  </si>
  <si>
    <r>
      <t>Inhibition term for NO</t>
    </r>
    <r>
      <rPr>
        <vertAlign val="subscript"/>
        <sz val="11"/>
        <color rgb="FF000000"/>
        <rFont val="Calibri"/>
        <family val="2"/>
        <scheme val="minor"/>
      </rPr>
      <t>x</t>
    </r>
    <r>
      <rPr>
        <sz val="11"/>
        <color rgb="FF000000"/>
        <rFont val="Calibri"/>
        <family val="2"/>
        <charset val="238"/>
        <scheme val="minor"/>
      </rPr>
      <t xml:space="preserve"> (AMETO)</t>
    </r>
  </si>
  <si>
    <r>
      <t>Inhibition term for O</t>
    </r>
    <r>
      <rPr>
        <vertAlign val="subscript"/>
        <sz val="11"/>
        <color rgb="FF000000"/>
        <rFont val="Calibri"/>
        <family val="2"/>
        <scheme val="minor"/>
      </rPr>
      <t>2</t>
    </r>
    <r>
      <rPr>
        <sz val="11"/>
        <color rgb="FF000000"/>
        <rFont val="Calibri"/>
        <family val="2"/>
        <charset val="238"/>
        <scheme val="minor"/>
      </rPr>
      <t xml:space="preserve"> (HMETO)</t>
    </r>
  </si>
  <si>
    <r>
      <t>Inhibition term for NO</t>
    </r>
    <r>
      <rPr>
        <vertAlign val="subscript"/>
        <sz val="11"/>
        <color rgb="FF000000"/>
        <rFont val="Calibri"/>
        <family val="2"/>
        <scheme val="minor"/>
      </rPr>
      <t>x</t>
    </r>
    <r>
      <rPr>
        <sz val="11"/>
        <color rgb="FF000000"/>
        <rFont val="Calibri"/>
        <family val="2"/>
        <charset val="238"/>
        <scheme val="minor"/>
      </rPr>
      <t xml:space="preserve"> (HMETO)</t>
    </r>
  </si>
  <si>
    <t>Maximum specific growth rate of OHOs (temperature corrected)</t>
  </si>
  <si>
    <t>Fermentation growth rate of OHOs (temperature corrected)</t>
  </si>
  <si>
    <t>Decay rate of OHOs (temperature corrected)</t>
  </si>
  <si>
    <t>Maximum specific growth rate of NITOs (temperature corrected)</t>
  </si>
  <si>
    <t>Decay rate of NITOs (temperature corrected)</t>
  </si>
  <si>
    <t>Maximum specific growth rate of AMETOs (temperature corrected)</t>
  </si>
  <si>
    <t>Decay rate of AMETOs (temperature corrected)</t>
  </si>
  <si>
    <t>Maximum specific growth rate of HMETOs (temperature corrected)</t>
  </si>
  <si>
    <t>Decay rate of HMETOs (temperature corrected)</t>
  </si>
  <si>
    <t>Rate of hydrolysis (temperature corrected)</t>
  </si>
  <si>
    <t>Rate of ammonification (temperature corrected)</t>
  </si>
  <si>
    <t>Rate of assimilative nutrient reduction (temperature corrected)</t>
  </si>
  <si>
    <r>
      <t>K</t>
    </r>
    <r>
      <rPr>
        <vertAlign val="subscript"/>
        <sz val="11"/>
        <color indexed="8"/>
        <rFont val="Calibri"/>
        <family val="2"/>
        <scheme val="minor"/>
      </rPr>
      <t>NOx,OHO,AS</t>
    </r>
  </si>
  <si>
    <r>
      <t>K</t>
    </r>
    <r>
      <rPr>
        <vertAlign val="subscript"/>
        <sz val="11"/>
        <color indexed="8"/>
        <rFont val="Calibri"/>
        <family val="2"/>
        <scheme val="minor"/>
      </rPr>
      <t>NOx,NITO,AS</t>
    </r>
  </si>
  <si>
    <r>
      <t>K</t>
    </r>
    <r>
      <rPr>
        <vertAlign val="subscript"/>
        <sz val="11"/>
        <color indexed="8"/>
        <rFont val="Calibri"/>
        <family val="2"/>
        <scheme val="minor"/>
      </rPr>
      <t>NOx,AMETO,AS</t>
    </r>
  </si>
  <si>
    <r>
      <t>K</t>
    </r>
    <r>
      <rPr>
        <vertAlign val="subscript"/>
        <sz val="11"/>
        <color indexed="8"/>
        <rFont val="Calibri"/>
        <family val="2"/>
        <scheme val="minor"/>
      </rPr>
      <t>NOx,HMETO,AS</t>
    </r>
  </si>
  <si>
    <r>
      <t>Ki</t>
    </r>
    <r>
      <rPr>
        <vertAlign val="subscript"/>
        <sz val="11"/>
        <rFont val="Calibri"/>
        <family val="2"/>
        <scheme val="minor"/>
      </rPr>
      <t>NHx,ASSIM,AS</t>
    </r>
  </si>
  <si>
    <r>
      <t>K</t>
    </r>
    <r>
      <rPr>
        <vertAlign val="subscript"/>
        <sz val="11"/>
        <rFont val="Calibri"/>
        <family val="2"/>
        <scheme val="minor"/>
      </rPr>
      <t>NOx,ASSIM,AS</t>
    </r>
  </si>
  <si>
    <r>
      <t>K</t>
    </r>
    <r>
      <rPr>
        <vertAlign val="subscript"/>
        <sz val="11"/>
        <rFont val="Calibri"/>
        <family val="2"/>
        <scheme val="minor"/>
      </rPr>
      <t>NOx,OHO</t>
    </r>
  </si>
  <si>
    <r>
      <t>K</t>
    </r>
    <r>
      <rPr>
        <vertAlign val="subscript"/>
        <sz val="11"/>
        <rFont val="Calibri"/>
        <family val="2"/>
        <scheme val="minor"/>
      </rPr>
      <t>NOx,OHO,AS</t>
    </r>
  </si>
  <si>
    <r>
      <t>K</t>
    </r>
    <r>
      <rPr>
        <vertAlign val="subscript"/>
        <sz val="11"/>
        <rFont val="Calibri"/>
        <family val="2"/>
      </rPr>
      <t>NOx,NITO</t>
    </r>
  </si>
  <si>
    <r>
      <t>K</t>
    </r>
    <r>
      <rPr>
        <vertAlign val="subscript"/>
        <sz val="11"/>
        <rFont val="Calibri"/>
        <family val="2"/>
      </rPr>
      <t>NOx,NITO,AS</t>
    </r>
  </si>
  <si>
    <r>
      <t>K</t>
    </r>
    <r>
      <rPr>
        <vertAlign val="subscript"/>
        <sz val="11"/>
        <rFont val="Calibri"/>
        <family val="2"/>
      </rPr>
      <t>NOx,AMETO</t>
    </r>
  </si>
  <si>
    <r>
      <t>K</t>
    </r>
    <r>
      <rPr>
        <vertAlign val="subscript"/>
        <sz val="11"/>
        <rFont val="Calibri"/>
        <family val="2"/>
      </rPr>
      <t>NOx,AMETO,AS</t>
    </r>
  </si>
  <si>
    <r>
      <t>K</t>
    </r>
    <r>
      <rPr>
        <vertAlign val="subscript"/>
        <sz val="11"/>
        <rFont val="Calibri"/>
        <family val="2"/>
      </rPr>
      <t>NOx,HMETO</t>
    </r>
  </si>
  <si>
    <r>
      <t>K</t>
    </r>
    <r>
      <rPr>
        <vertAlign val="subscript"/>
        <sz val="11"/>
        <rFont val="Calibri"/>
        <family val="2"/>
      </rPr>
      <t>NOx,HMETO,AS</t>
    </r>
  </si>
  <si>
    <r>
      <t>K</t>
    </r>
    <r>
      <rPr>
        <vertAlign val="subscript"/>
        <sz val="11"/>
        <rFont val="Calibri"/>
        <family val="2"/>
        <scheme val="minor"/>
      </rPr>
      <t>NOx,ASSIM</t>
    </r>
  </si>
  <si>
    <r>
      <t>Ki</t>
    </r>
    <r>
      <rPr>
        <vertAlign val="subscript"/>
        <sz val="11"/>
        <rFont val="Calibri"/>
        <family val="2"/>
        <scheme val="minor"/>
      </rPr>
      <t>NHx,ASSIM</t>
    </r>
  </si>
  <si>
    <r>
      <t>Msat</t>
    </r>
    <r>
      <rPr>
        <vertAlign val="subscript"/>
        <sz val="11"/>
        <rFont val="Calibri"/>
        <family val="2"/>
        <scheme val="minor"/>
      </rPr>
      <t>SNOx,KNOx,OHO</t>
    </r>
  </si>
  <si>
    <r>
      <t>Msat(S</t>
    </r>
    <r>
      <rPr>
        <vertAlign val="subscript"/>
        <sz val="11"/>
        <rFont val="Calibri"/>
        <family val="2"/>
      </rPr>
      <t>NOx</t>
    </r>
    <r>
      <rPr>
        <sz val="11"/>
        <rFont val="Calibri"/>
        <family val="2"/>
      </rPr>
      <t>;K</t>
    </r>
    <r>
      <rPr>
        <vertAlign val="subscript"/>
        <sz val="11"/>
        <rFont val="Calibri"/>
        <family val="2"/>
      </rPr>
      <t>NOx,OHO</t>
    </r>
    <r>
      <rPr>
        <sz val="11"/>
        <rFont val="Calibri"/>
        <family val="2"/>
      </rPr>
      <t>)</t>
    </r>
  </si>
  <si>
    <r>
      <t>Msat</t>
    </r>
    <r>
      <rPr>
        <vertAlign val="subscript"/>
        <sz val="11"/>
        <rFont val="Calibri"/>
        <family val="2"/>
        <scheme val="minor"/>
      </rPr>
      <t>SNOx,KNOx,NITO</t>
    </r>
  </si>
  <si>
    <r>
      <t>Msat(S</t>
    </r>
    <r>
      <rPr>
        <vertAlign val="subscript"/>
        <sz val="11"/>
        <rFont val="Calibri"/>
        <family val="2"/>
      </rPr>
      <t>NOx</t>
    </r>
    <r>
      <rPr>
        <sz val="11"/>
        <rFont val="Calibri"/>
        <family val="2"/>
      </rPr>
      <t>;K</t>
    </r>
    <r>
      <rPr>
        <vertAlign val="subscript"/>
        <sz val="11"/>
        <rFont val="Calibri"/>
        <family val="2"/>
      </rPr>
      <t>NOx,NITO</t>
    </r>
    <r>
      <rPr>
        <sz val="11"/>
        <rFont val="Calibri"/>
        <family val="2"/>
      </rPr>
      <t>)</t>
    </r>
  </si>
  <si>
    <r>
      <t>Msat</t>
    </r>
    <r>
      <rPr>
        <vertAlign val="subscript"/>
        <sz val="11"/>
        <rFont val="Calibri"/>
        <family val="2"/>
        <scheme val="minor"/>
      </rPr>
      <t>SNOx,KNOx,AMETO</t>
    </r>
  </si>
  <si>
    <r>
      <t>Msat(S</t>
    </r>
    <r>
      <rPr>
        <vertAlign val="subscript"/>
        <sz val="11"/>
        <rFont val="Calibri"/>
        <family val="2"/>
      </rPr>
      <t>NOx</t>
    </r>
    <r>
      <rPr>
        <sz val="11"/>
        <rFont val="Calibri"/>
        <family val="2"/>
      </rPr>
      <t>;K</t>
    </r>
    <r>
      <rPr>
        <vertAlign val="subscript"/>
        <sz val="11"/>
        <rFont val="Calibri"/>
        <family val="2"/>
      </rPr>
      <t>NOx,AMETO</t>
    </r>
    <r>
      <rPr>
        <sz val="11"/>
        <rFont val="Calibri"/>
        <family val="2"/>
      </rPr>
      <t>)</t>
    </r>
  </si>
  <si>
    <r>
      <t>Msat</t>
    </r>
    <r>
      <rPr>
        <vertAlign val="subscript"/>
        <sz val="11"/>
        <rFont val="Calibri"/>
        <family val="2"/>
        <scheme val="minor"/>
      </rPr>
      <t>SNOx,KNOx,HMETO</t>
    </r>
  </si>
  <si>
    <r>
      <t>Msat(S</t>
    </r>
    <r>
      <rPr>
        <vertAlign val="subscript"/>
        <sz val="11"/>
        <rFont val="Calibri"/>
        <family val="2"/>
      </rPr>
      <t>NOx</t>
    </r>
    <r>
      <rPr>
        <sz val="11"/>
        <rFont val="Calibri"/>
        <family val="2"/>
      </rPr>
      <t>;K</t>
    </r>
    <r>
      <rPr>
        <vertAlign val="subscript"/>
        <sz val="11"/>
        <rFont val="Calibri"/>
        <family val="2"/>
      </rPr>
      <t>NOx,HMETO</t>
    </r>
    <r>
      <rPr>
        <sz val="11"/>
        <rFont val="Calibri"/>
        <family val="2"/>
      </rPr>
      <t>)</t>
    </r>
  </si>
  <si>
    <r>
      <t>Msat</t>
    </r>
    <r>
      <rPr>
        <vertAlign val="subscript"/>
        <sz val="11"/>
        <rFont val="Calibri"/>
        <family val="2"/>
        <scheme val="minor"/>
      </rPr>
      <t>SNOx,KNOx,ASSIM</t>
    </r>
  </si>
  <si>
    <r>
      <t>Msat(S</t>
    </r>
    <r>
      <rPr>
        <vertAlign val="subscript"/>
        <sz val="11"/>
        <rFont val="Calibri"/>
        <family val="2"/>
      </rPr>
      <t>NOx</t>
    </r>
    <r>
      <rPr>
        <sz val="11"/>
        <rFont val="Calibri"/>
        <family val="2"/>
      </rPr>
      <t>;K</t>
    </r>
    <r>
      <rPr>
        <vertAlign val="subscript"/>
        <sz val="11"/>
        <rFont val="Calibri"/>
        <family val="2"/>
      </rPr>
      <t>NOx,ASSIM</t>
    </r>
    <r>
      <rPr>
        <sz val="11"/>
        <rFont val="Calibri"/>
        <family val="2"/>
      </rPr>
      <t>)</t>
    </r>
  </si>
  <si>
    <r>
      <t>Minh</t>
    </r>
    <r>
      <rPr>
        <vertAlign val="subscript"/>
        <sz val="11"/>
        <rFont val="Calibri"/>
        <family val="2"/>
        <scheme val="minor"/>
      </rPr>
      <t>SNOx,KNOx,NITO</t>
    </r>
  </si>
  <si>
    <r>
      <t>Minh(S</t>
    </r>
    <r>
      <rPr>
        <vertAlign val="subscript"/>
        <sz val="11"/>
        <rFont val="Calibri"/>
        <family val="2"/>
      </rPr>
      <t>NOx</t>
    </r>
    <r>
      <rPr>
        <sz val="11"/>
        <rFont val="Calibri"/>
        <family val="2"/>
      </rPr>
      <t>;K</t>
    </r>
    <r>
      <rPr>
        <vertAlign val="subscript"/>
        <sz val="11"/>
        <rFont val="Calibri"/>
        <family val="2"/>
      </rPr>
      <t>NOx,NITO</t>
    </r>
    <r>
      <rPr>
        <sz val="11"/>
        <rFont val="Calibri"/>
        <family val="2"/>
      </rPr>
      <t>)</t>
    </r>
  </si>
  <si>
    <r>
      <t>Minh</t>
    </r>
    <r>
      <rPr>
        <vertAlign val="subscript"/>
        <sz val="11"/>
        <rFont val="Calibri"/>
        <family val="2"/>
        <scheme val="minor"/>
      </rPr>
      <t>SNOx,KNOx,OHO</t>
    </r>
  </si>
  <si>
    <r>
      <t>Minh(S</t>
    </r>
    <r>
      <rPr>
        <vertAlign val="subscript"/>
        <sz val="11"/>
        <rFont val="Calibri"/>
        <family val="2"/>
      </rPr>
      <t>NOx</t>
    </r>
    <r>
      <rPr>
        <sz val="11"/>
        <rFont val="Calibri"/>
        <family val="2"/>
      </rPr>
      <t>;K</t>
    </r>
    <r>
      <rPr>
        <vertAlign val="subscript"/>
        <sz val="11"/>
        <rFont val="Calibri"/>
        <family val="2"/>
      </rPr>
      <t>NOx,OHO</t>
    </r>
    <r>
      <rPr>
        <sz val="11"/>
        <rFont val="Calibri"/>
        <family val="2"/>
      </rPr>
      <t>)</t>
    </r>
  </si>
  <si>
    <r>
      <t>Minh(S</t>
    </r>
    <r>
      <rPr>
        <vertAlign val="subscript"/>
        <sz val="11"/>
        <rFont val="Calibri"/>
        <family val="2"/>
      </rPr>
      <t>NOx</t>
    </r>
    <r>
      <rPr>
        <sz val="11"/>
        <rFont val="Calibri"/>
        <family val="2"/>
      </rPr>
      <t>;K</t>
    </r>
    <r>
      <rPr>
        <vertAlign val="subscript"/>
        <sz val="11"/>
        <rFont val="Calibri"/>
        <family val="2"/>
      </rPr>
      <t>NOx,AMETO</t>
    </r>
    <r>
      <rPr>
        <sz val="11"/>
        <rFont val="Calibri"/>
        <family val="2"/>
      </rPr>
      <t>)</t>
    </r>
  </si>
  <si>
    <r>
      <t>Minh</t>
    </r>
    <r>
      <rPr>
        <vertAlign val="subscript"/>
        <sz val="11"/>
        <rFont val="Calibri"/>
        <family val="2"/>
        <scheme val="minor"/>
      </rPr>
      <t>SNOx,KNOx,AMETO</t>
    </r>
  </si>
  <si>
    <r>
      <t>Minh</t>
    </r>
    <r>
      <rPr>
        <vertAlign val="subscript"/>
        <sz val="11"/>
        <rFont val="Calibri"/>
        <family val="2"/>
        <scheme val="minor"/>
      </rPr>
      <t>SNOx,KNOx,HMETO</t>
    </r>
  </si>
  <si>
    <r>
      <t>Minh(S</t>
    </r>
    <r>
      <rPr>
        <vertAlign val="subscript"/>
        <sz val="11"/>
        <rFont val="Calibri"/>
        <family val="2"/>
      </rPr>
      <t>NOx</t>
    </r>
    <r>
      <rPr>
        <sz val="11"/>
        <rFont val="Calibri"/>
        <family val="2"/>
      </rPr>
      <t>;K</t>
    </r>
    <r>
      <rPr>
        <vertAlign val="subscript"/>
        <sz val="11"/>
        <rFont val="Calibri"/>
        <family val="2"/>
      </rPr>
      <t>NOx,HMETO</t>
    </r>
    <r>
      <rPr>
        <sz val="11"/>
        <rFont val="Calibri"/>
        <family val="2"/>
      </rPr>
      <t>)</t>
    </r>
  </si>
  <si>
    <r>
      <t>Minh(S</t>
    </r>
    <r>
      <rPr>
        <vertAlign val="subscript"/>
        <sz val="11"/>
        <rFont val="Calibri"/>
        <family val="2"/>
      </rPr>
      <t>NHx</t>
    </r>
    <r>
      <rPr>
        <sz val="11"/>
        <rFont val="Calibri"/>
        <family val="2"/>
      </rPr>
      <t>;Ki</t>
    </r>
    <r>
      <rPr>
        <vertAlign val="subscript"/>
        <sz val="11"/>
        <rFont val="Calibri"/>
        <family val="2"/>
      </rPr>
      <t>NHx,ASSIM</t>
    </r>
    <r>
      <rPr>
        <sz val="11"/>
        <rFont val="Calibri"/>
        <family val="2"/>
      </rPr>
      <t>)</t>
    </r>
  </si>
  <si>
    <r>
      <t>µ</t>
    </r>
    <r>
      <rPr>
        <vertAlign val="subscript"/>
        <sz val="11"/>
        <color indexed="8"/>
        <rFont val="Calibri"/>
        <family val="2"/>
      </rPr>
      <t>OHO,T</t>
    </r>
    <r>
      <rPr>
        <sz val="11"/>
        <color indexed="8"/>
        <rFont val="Calibri"/>
        <family val="2"/>
      </rPr>
      <t>*η</t>
    </r>
    <r>
      <rPr>
        <vertAlign val="subscript"/>
        <sz val="11"/>
        <color indexed="8"/>
        <rFont val="Calibri"/>
        <family val="2"/>
      </rPr>
      <t>OHO,anox</t>
    </r>
    <r>
      <rPr>
        <sz val="11"/>
        <color indexed="8"/>
        <rFont val="Calibri"/>
        <family val="2"/>
      </rPr>
      <t>*Msat</t>
    </r>
    <r>
      <rPr>
        <vertAlign val="subscript"/>
        <sz val="11"/>
        <color indexed="8"/>
        <rFont val="Calibri"/>
        <family val="2"/>
      </rPr>
      <t>SB,KSB</t>
    </r>
    <r>
      <rPr>
        <sz val="11"/>
        <color indexed="8"/>
        <rFont val="Calibri"/>
        <family val="2"/>
      </rPr>
      <t>*X</t>
    </r>
    <r>
      <rPr>
        <vertAlign val="subscript"/>
        <sz val="11"/>
        <color indexed="8"/>
        <rFont val="Calibri"/>
        <family val="2"/>
      </rPr>
      <t>OHO</t>
    </r>
    <r>
      <rPr>
        <sz val="11"/>
        <color indexed="8"/>
        <rFont val="Calibri"/>
        <family val="2"/>
      </rPr>
      <t>*Msat</t>
    </r>
    <r>
      <rPr>
        <vertAlign val="subscript"/>
        <sz val="11"/>
        <color indexed="8"/>
        <rFont val="Calibri"/>
        <family val="2"/>
      </rPr>
      <t>SNOx,KNOx,OHO</t>
    </r>
    <r>
      <rPr>
        <sz val="11"/>
        <color indexed="8"/>
        <rFont val="Calibri"/>
        <family val="2"/>
      </rPr>
      <t>*Minh</t>
    </r>
    <r>
      <rPr>
        <vertAlign val="subscript"/>
        <sz val="11"/>
        <color indexed="8"/>
        <rFont val="Calibri"/>
        <family val="2"/>
      </rPr>
      <t>SO2,KO2,OHO</t>
    </r>
    <r>
      <rPr>
        <sz val="11"/>
        <color indexed="8"/>
        <rFont val="Calibri"/>
        <family val="2"/>
      </rPr>
      <t>*Msat</t>
    </r>
    <r>
      <rPr>
        <vertAlign val="subscript"/>
        <sz val="11"/>
        <color indexed="8"/>
        <rFont val="Calibri"/>
        <family val="2"/>
      </rPr>
      <t>SNHx,KNHx,BIO</t>
    </r>
    <r>
      <rPr>
        <sz val="11"/>
        <color indexed="8"/>
        <rFont val="Calibri"/>
        <family val="2"/>
      </rPr>
      <t>*Msat</t>
    </r>
    <r>
      <rPr>
        <vertAlign val="subscript"/>
        <sz val="11"/>
        <color indexed="8"/>
        <rFont val="Calibri"/>
        <family val="2"/>
      </rPr>
      <t>SPO4,KPO4,BIO</t>
    </r>
  </si>
  <si>
    <r>
      <t>b</t>
    </r>
    <r>
      <rPr>
        <vertAlign val="subscript"/>
        <sz val="11"/>
        <color indexed="8"/>
        <rFont val="Calibri"/>
        <family val="2"/>
      </rPr>
      <t>OHO,T</t>
    </r>
    <r>
      <rPr>
        <sz val="11"/>
        <color indexed="8"/>
        <rFont val="Calibri"/>
        <family val="2"/>
      </rPr>
      <t>*X</t>
    </r>
    <r>
      <rPr>
        <vertAlign val="subscript"/>
        <sz val="11"/>
        <color indexed="8"/>
        <rFont val="Calibri"/>
        <family val="2"/>
      </rPr>
      <t>OHO</t>
    </r>
    <r>
      <rPr>
        <sz val="11"/>
        <color indexed="8"/>
        <rFont val="Calibri"/>
        <family val="2"/>
      </rPr>
      <t>*(Msat</t>
    </r>
    <r>
      <rPr>
        <vertAlign val="subscript"/>
        <sz val="11"/>
        <color indexed="8"/>
        <rFont val="Calibri"/>
        <family val="2"/>
      </rPr>
      <t>SO2,KO2,OHO</t>
    </r>
    <r>
      <rPr>
        <sz val="11"/>
        <color indexed="8"/>
        <rFont val="Calibri"/>
        <family val="2"/>
      </rPr>
      <t>+η</t>
    </r>
    <r>
      <rPr>
        <vertAlign val="subscript"/>
        <sz val="11"/>
        <color indexed="8"/>
        <rFont val="Calibri"/>
        <family val="2"/>
      </rPr>
      <t>b,anox</t>
    </r>
    <r>
      <rPr>
        <sz val="11"/>
        <color indexed="8"/>
        <rFont val="Calibri"/>
        <family val="2"/>
      </rPr>
      <t>*Msat</t>
    </r>
    <r>
      <rPr>
        <vertAlign val="subscript"/>
        <sz val="11"/>
        <color indexed="8"/>
        <rFont val="Calibri"/>
        <family val="2"/>
      </rPr>
      <t>SNOx,KNOx,OHO</t>
    </r>
    <r>
      <rPr>
        <sz val="11"/>
        <color indexed="8"/>
        <rFont val="Calibri"/>
        <family val="2"/>
      </rPr>
      <t>*Minh</t>
    </r>
    <r>
      <rPr>
        <vertAlign val="subscript"/>
        <sz val="11"/>
        <color indexed="8"/>
        <rFont val="Calibri"/>
        <family val="2"/>
      </rPr>
      <t>SO2,KO2,OHO</t>
    </r>
    <r>
      <rPr>
        <sz val="11"/>
        <color indexed="8"/>
        <rFont val="Calibri"/>
        <family val="2"/>
      </rPr>
      <t>+η</t>
    </r>
    <r>
      <rPr>
        <vertAlign val="subscript"/>
        <sz val="11"/>
        <color indexed="8"/>
        <rFont val="Calibri"/>
        <family val="2"/>
      </rPr>
      <t>b,ana</t>
    </r>
    <r>
      <rPr>
        <sz val="11"/>
        <color indexed="8"/>
        <rFont val="Calibri"/>
        <family val="2"/>
      </rPr>
      <t>*Minh</t>
    </r>
    <r>
      <rPr>
        <vertAlign val="subscript"/>
        <sz val="11"/>
        <color indexed="8"/>
        <rFont val="Calibri"/>
        <family val="2"/>
      </rPr>
      <t>SNOx,KNOx,OHO</t>
    </r>
    <r>
      <rPr>
        <sz val="11"/>
        <color indexed="8"/>
        <rFont val="Calibri"/>
        <family val="2"/>
      </rPr>
      <t>*Minh</t>
    </r>
    <r>
      <rPr>
        <vertAlign val="subscript"/>
        <sz val="11"/>
        <color indexed="8"/>
        <rFont val="Calibri"/>
        <family val="2"/>
      </rPr>
      <t>SO2,KO2,OHO</t>
    </r>
    <r>
      <rPr>
        <sz val="11"/>
        <color indexed="8"/>
        <rFont val="Calibri"/>
        <family val="2"/>
      </rPr>
      <t>)</t>
    </r>
  </si>
  <si>
    <r>
      <t>b</t>
    </r>
    <r>
      <rPr>
        <vertAlign val="subscript"/>
        <sz val="11"/>
        <color indexed="8"/>
        <rFont val="Calibri"/>
        <family val="2"/>
      </rPr>
      <t>NITO,T</t>
    </r>
    <r>
      <rPr>
        <sz val="11"/>
        <color indexed="8"/>
        <rFont val="Calibri"/>
        <family val="2"/>
      </rPr>
      <t>*X</t>
    </r>
    <r>
      <rPr>
        <vertAlign val="subscript"/>
        <sz val="11"/>
        <color indexed="8"/>
        <rFont val="Calibri"/>
        <family val="2"/>
      </rPr>
      <t>NITO</t>
    </r>
    <r>
      <rPr>
        <sz val="11"/>
        <color indexed="8"/>
        <rFont val="Calibri"/>
        <family val="2"/>
      </rPr>
      <t>*(Msat</t>
    </r>
    <r>
      <rPr>
        <vertAlign val="subscript"/>
        <sz val="11"/>
        <color indexed="8"/>
        <rFont val="Calibri"/>
        <family val="2"/>
      </rPr>
      <t>SO2,KO2,NITO</t>
    </r>
    <r>
      <rPr>
        <sz val="11"/>
        <color indexed="8"/>
        <rFont val="Calibri"/>
        <family val="2"/>
      </rPr>
      <t>+η</t>
    </r>
    <r>
      <rPr>
        <vertAlign val="subscript"/>
        <sz val="11"/>
        <color indexed="8"/>
        <rFont val="Calibri"/>
        <family val="2"/>
      </rPr>
      <t>b,anox</t>
    </r>
    <r>
      <rPr>
        <sz val="11"/>
        <color indexed="8"/>
        <rFont val="Calibri"/>
        <family val="2"/>
      </rPr>
      <t>*Msat</t>
    </r>
    <r>
      <rPr>
        <vertAlign val="subscript"/>
        <sz val="11"/>
        <color indexed="8"/>
        <rFont val="Calibri"/>
        <family val="2"/>
      </rPr>
      <t>SNOx,KNOx,NITO</t>
    </r>
    <r>
      <rPr>
        <sz val="11"/>
        <color indexed="8"/>
        <rFont val="Calibri"/>
        <family val="2"/>
      </rPr>
      <t>*Minh</t>
    </r>
    <r>
      <rPr>
        <vertAlign val="subscript"/>
        <sz val="11"/>
        <color indexed="8"/>
        <rFont val="Calibri"/>
        <family val="2"/>
      </rPr>
      <t>SO2,KO2,NITO</t>
    </r>
    <r>
      <rPr>
        <sz val="11"/>
        <color indexed="8"/>
        <rFont val="Calibri"/>
        <family val="2"/>
      </rPr>
      <t>+η</t>
    </r>
    <r>
      <rPr>
        <vertAlign val="subscript"/>
        <sz val="11"/>
        <color indexed="8"/>
        <rFont val="Calibri"/>
        <family val="2"/>
      </rPr>
      <t>b,ana</t>
    </r>
    <r>
      <rPr>
        <sz val="11"/>
        <color indexed="8"/>
        <rFont val="Calibri"/>
        <family val="2"/>
      </rPr>
      <t>*Minh</t>
    </r>
    <r>
      <rPr>
        <vertAlign val="subscript"/>
        <sz val="11"/>
        <color indexed="8"/>
        <rFont val="Calibri"/>
        <family val="2"/>
      </rPr>
      <t>SNOx,KNOx,NITO</t>
    </r>
    <r>
      <rPr>
        <sz val="11"/>
        <color indexed="8"/>
        <rFont val="Calibri"/>
        <family val="2"/>
      </rPr>
      <t>*Minh</t>
    </r>
    <r>
      <rPr>
        <vertAlign val="subscript"/>
        <sz val="11"/>
        <color indexed="8"/>
        <rFont val="Calibri"/>
        <family val="2"/>
      </rPr>
      <t>SO2,KO2,NITO</t>
    </r>
    <r>
      <rPr>
        <sz val="11"/>
        <color indexed="8"/>
        <rFont val="Calibri"/>
        <family val="2"/>
      </rPr>
      <t>+m</t>
    </r>
    <r>
      <rPr>
        <vertAlign val="subscript"/>
        <sz val="11"/>
        <color indexed="8"/>
        <rFont val="Calibri"/>
        <family val="2"/>
      </rPr>
      <t>tox,ana</t>
    </r>
    <r>
      <rPr>
        <sz val="11"/>
        <color indexed="8"/>
        <rFont val="Calibri"/>
        <family val="2"/>
      </rPr>
      <t>)</t>
    </r>
  </si>
  <si>
    <r>
      <t>i</t>
    </r>
    <r>
      <rPr>
        <vertAlign val="subscript"/>
        <sz val="11"/>
        <rFont val="Calibri"/>
        <family val="2"/>
        <scheme val="minor"/>
      </rPr>
      <t>CV,XU</t>
    </r>
  </si>
  <si>
    <t>COD of particulate unbiodegradable organics in volatile solids</t>
  </si>
  <si>
    <r>
      <t>X</t>
    </r>
    <r>
      <rPr>
        <vertAlign val="subscript"/>
        <sz val="11"/>
        <rFont val="Calibri"/>
        <family val="2"/>
      </rPr>
      <t>U</t>
    </r>
    <r>
      <rPr>
        <sz val="11"/>
        <rFont val="Calibri"/>
        <family val="2"/>
      </rPr>
      <t>/i</t>
    </r>
    <r>
      <rPr>
        <vertAlign val="subscript"/>
        <sz val="11"/>
        <rFont val="Calibri"/>
        <family val="2"/>
      </rPr>
      <t>CV,XU</t>
    </r>
    <r>
      <rPr>
        <sz val="11"/>
        <rFont val="Calibri"/>
        <family val="2"/>
      </rPr>
      <t>+S</t>
    </r>
    <r>
      <rPr>
        <vertAlign val="subscript"/>
        <sz val="11"/>
        <rFont val="Calibri"/>
        <family val="2"/>
      </rPr>
      <t>U</t>
    </r>
    <r>
      <rPr>
        <sz val="11"/>
        <rFont val="Calibri"/>
        <family val="2"/>
      </rPr>
      <t>/i</t>
    </r>
    <r>
      <rPr>
        <vertAlign val="subscript"/>
        <sz val="11"/>
        <rFont val="Calibri"/>
        <family val="2"/>
      </rPr>
      <t>CV,SU</t>
    </r>
  </si>
  <si>
    <r>
      <t>Minh</t>
    </r>
    <r>
      <rPr>
        <vertAlign val="subscript"/>
        <sz val="11"/>
        <rFont val="Calibri"/>
        <family val="2"/>
        <scheme val="minor"/>
      </rPr>
      <t>SNHx,KiNHx,ASSIM</t>
    </r>
  </si>
  <si>
    <r>
      <t>Inhibition term for NH</t>
    </r>
    <r>
      <rPr>
        <vertAlign val="subscript"/>
        <sz val="11"/>
        <color rgb="FF000000"/>
        <rFont val="Calibri"/>
        <family val="2"/>
        <scheme val="minor"/>
      </rPr>
      <t>x</t>
    </r>
    <r>
      <rPr>
        <sz val="11"/>
        <color rgb="FF000000"/>
        <rFont val="Calibri"/>
        <family val="2"/>
        <charset val="238"/>
        <scheme val="minor"/>
      </rPr>
      <t xml:space="preserve"> (assimilative reduction)</t>
    </r>
  </si>
  <si>
    <r>
      <t>Saturation term for NO</t>
    </r>
    <r>
      <rPr>
        <vertAlign val="subscript"/>
        <sz val="11"/>
        <color rgb="FF000000"/>
        <rFont val="Calibri"/>
        <family val="2"/>
        <scheme val="minor"/>
      </rPr>
      <t>x</t>
    </r>
    <r>
      <rPr>
        <sz val="11"/>
        <color rgb="FF000000"/>
        <rFont val="Calibri"/>
        <family val="2"/>
        <charset val="238"/>
        <scheme val="minor"/>
      </rPr>
      <t xml:space="preserve"> (assimilative reduction)</t>
    </r>
  </si>
  <si>
    <r>
      <t>i</t>
    </r>
    <r>
      <rPr>
        <vertAlign val="subscript"/>
        <sz val="11"/>
        <rFont val="Calibri"/>
        <family val="2"/>
        <scheme val="minor"/>
      </rPr>
      <t>CV,XB</t>
    </r>
  </si>
  <si>
    <r>
      <t>i</t>
    </r>
    <r>
      <rPr>
        <vertAlign val="subscript"/>
        <sz val="11"/>
        <rFont val="Calibri"/>
        <family val="2"/>
        <scheme val="minor"/>
      </rPr>
      <t>CV,XE</t>
    </r>
  </si>
  <si>
    <r>
      <t>NO</t>
    </r>
    <r>
      <rPr>
        <vertAlign val="subscript"/>
        <sz val="11"/>
        <color rgb="FF000000"/>
        <rFont val="Calibri"/>
        <family val="2"/>
        <scheme val="minor"/>
      </rPr>
      <t>x</t>
    </r>
    <r>
      <rPr>
        <sz val="11"/>
        <color rgb="FF000000"/>
        <rFont val="Calibri"/>
        <family val="2"/>
        <charset val="238"/>
        <scheme val="minor"/>
      </rPr>
      <t xml:space="preserve"> assimilative reduction</t>
    </r>
  </si>
  <si>
    <r>
      <t>Half-inhibition of NH</t>
    </r>
    <r>
      <rPr>
        <vertAlign val="subscript"/>
        <sz val="11"/>
        <color rgb="FF000000"/>
        <rFont val="Calibri"/>
        <family val="2"/>
        <scheme val="minor"/>
      </rPr>
      <t>x</t>
    </r>
    <r>
      <rPr>
        <sz val="11"/>
        <color rgb="FF000000"/>
        <rFont val="Calibri"/>
        <family val="2"/>
        <charset val="238"/>
        <scheme val="minor"/>
      </rPr>
      <t xml:space="preserve"> in NO</t>
    </r>
    <r>
      <rPr>
        <vertAlign val="subscript"/>
        <sz val="11"/>
        <color rgb="FF000000"/>
        <rFont val="Calibri"/>
        <family val="2"/>
        <scheme val="minor"/>
      </rPr>
      <t>x</t>
    </r>
    <r>
      <rPr>
        <sz val="11"/>
        <color rgb="FF000000"/>
        <rFont val="Calibri"/>
        <family val="2"/>
        <charset val="238"/>
        <scheme val="minor"/>
      </rPr>
      <t xml:space="preserve"> assimilative reduction</t>
    </r>
  </si>
  <si>
    <r>
      <t>Half-saturation of NO</t>
    </r>
    <r>
      <rPr>
        <vertAlign val="subscript"/>
        <sz val="11"/>
        <color rgb="FF000000"/>
        <rFont val="Calibri"/>
        <family val="2"/>
        <scheme val="minor"/>
      </rPr>
      <t>x</t>
    </r>
    <r>
      <rPr>
        <sz val="11"/>
        <color rgb="FF000000"/>
        <rFont val="Calibri"/>
        <family val="2"/>
        <charset val="238"/>
        <scheme val="minor"/>
      </rPr>
      <t xml:space="preserve"> in NO</t>
    </r>
    <r>
      <rPr>
        <vertAlign val="subscript"/>
        <sz val="11"/>
        <color rgb="FF000000"/>
        <rFont val="Calibri"/>
        <family val="2"/>
        <scheme val="minor"/>
      </rPr>
      <t>x</t>
    </r>
    <r>
      <rPr>
        <sz val="11"/>
        <color rgb="FF000000"/>
        <rFont val="Calibri"/>
        <family val="2"/>
        <charset val="238"/>
        <scheme val="minor"/>
      </rPr>
      <t xml:space="preserve"> assimilative reduction (AS)</t>
    </r>
  </si>
  <si>
    <t>Ordinary heterotrophic organisms (OHO)</t>
  </si>
  <si>
    <t>Aerobic nitrifying organisms (NITO)</t>
  </si>
  <si>
    <t>Acidoclastic methanogens (AMETO)</t>
  </si>
  <si>
    <t>Hydrogenotrophic methanogens (HMETO)</t>
  </si>
  <si>
    <t>Total ammonia (NHx)</t>
  </si>
  <si>
    <r>
      <t>Dissolved nitrogen (N</t>
    </r>
    <r>
      <rPr>
        <vertAlign val="subscript"/>
        <sz val="11"/>
        <color rgb="FF000000"/>
        <rFont val="Calibri"/>
        <family val="2"/>
        <scheme val="minor"/>
      </rPr>
      <t>2</t>
    </r>
    <r>
      <rPr>
        <sz val="11"/>
        <color rgb="FF000000"/>
        <rFont val="Calibri"/>
        <family val="2"/>
        <charset val="238"/>
        <scheme val="minor"/>
      </rPr>
      <t>)</t>
    </r>
  </si>
  <si>
    <r>
      <t>Particulate biodegradable organic N (from X</t>
    </r>
    <r>
      <rPr>
        <vertAlign val="subscript"/>
        <sz val="11"/>
        <color rgb="FF000000"/>
        <rFont val="Calibri"/>
        <family val="2"/>
        <scheme val="minor"/>
      </rPr>
      <t>B</t>
    </r>
    <r>
      <rPr>
        <sz val="11"/>
        <color rgb="FF000000"/>
        <rFont val="Calibri"/>
        <family val="2"/>
        <charset val="238"/>
        <scheme val="minor"/>
      </rPr>
      <t>)</t>
    </r>
  </si>
  <si>
    <r>
      <t>Orthophosphate (PO</t>
    </r>
    <r>
      <rPr>
        <vertAlign val="subscript"/>
        <sz val="11"/>
        <color rgb="FF000000"/>
        <rFont val="Calibri"/>
        <family val="2"/>
        <scheme val="minor"/>
      </rPr>
      <t>4</t>
    </r>
    <r>
      <rPr>
        <sz val="11"/>
        <color rgb="FF000000"/>
        <rFont val="Calibri"/>
        <family val="2"/>
        <charset val="238"/>
        <scheme val="minor"/>
      </rPr>
      <t>)</t>
    </r>
  </si>
  <si>
    <r>
      <t>Particulate biodegradable organic P (from X</t>
    </r>
    <r>
      <rPr>
        <vertAlign val="subscript"/>
        <sz val="11"/>
        <color rgb="FF000000"/>
        <rFont val="Calibri"/>
        <family val="2"/>
        <scheme val="minor"/>
      </rPr>
      <t>B</t>
    </r>
    <r>
      <rPr>
        <sz val="11"/>
        <color rgb="FF000000"/>
        <rFont val="Calibri"/>
        <family val="2"/>
        <charset val="238"/>
        <scheme val="minor"/>
      </rPr>
      <t>)</t>
    </r>
  </si>
  <si>
    <r>
      <t>Dissolved oxygen (O</t>
    </r>
    <r>
      <rPr>
        <vertAlign val="subscript"/>
        <sz val="11"/>
        <color rgb="FF000000"/>
        <rFont val="Calibri"/>
        <family val="2"/>
        <scheme val="minor"/>
      </rPr>
      <t>2</t>
    </r>
    <r>
      <rPr>
        <sz val="11"/>
        <color rgb="FF000000"/>
        <rFont val="Calibri"/>
        <family val="2"/>
        <charset val="238"/>
        <scheme val="minor"/>
      </rPr>
      <t>)</t>
    </r>
  </si>
  <si>
    <r>
      <t>Dissolved methane (CH</t>
    </r>
    <r>
      <rPr>
        <vertAlign val="subscript"/>
        <sz val="11"/>
        <color rgb="FF000000"/>
        <rFont val="Calibri"/>
        <family val="2"/>
        <scheme val="minor"/>
      </rPr>
      <t>4</t>
    </r>
    <r>
      <rPr>
        <sz val="11"/>
        <color rgb="FF000000"/>
        <rFont val="Calibri"/>
        <family val="2"/>
        <charset val="238"/>
        <scheme val="minor"/>
      </rPr>
      <t>)</t>
    </r>
  </si>
  <si>
    <r>
      <t>Dissolved hydrogen (H</t>
    </r>
    <r>
      <rPr>
        <vertAlign val="subscript"/>
        <sz val="11"/>
        <color rgb="FF000000"/>
        <rFont val="Calibri"/>
        <family val="2"/>
        <scheme val="minor"/>
      </rPr>
      <t>2</t>
    </r>
    <r>
      <rPr>
        <sz val="11"/>
        <color rgb="FF000000"/>
        <rFont val="Calibri"/>
        <family val="2"/>
        <charset val="238"/>
        <scheme val="minor"/>
      </rPr>
      <t>)</t>
    </r>
  </si>
  <si>
    <t>Alkalinity (ALK)</t>
  </si>
  <si>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x</t>
    </r>
  </si>
  <si>
    <t>Diffusion factor for half-saturation coefficients</t>
  </si>
  <si>
    <r>
      <t>Nitrate and nitrite (NO</t>
    </r>
    <r>
      <rPr>
        <vertAlign val="subscript"/>
        <sz val="11"/>
        <color rgb="FF000000"/>
        <rFont val="Calibri"/>
        <family val="2"/>
        <scheme val="minor"/>
      </rPr>
      <t>x</t>
    </r>
    <r>
      <rPr>
        <sz val="11"/>
        <color rgb="FF000000"/>
        <rFont val="Calibri"/>
        <family val="2"/>
        <charset val="238"/>
        <scheme val="minor"/>
      </rPr>
      <t>)</t>
    </r>
  </si>
  <si>
    <r>
      <t>Half-saturation of NO</t>
    </r>
    <r>
      <rPr>
        <vertAlign val="subscript"/>
        <sz val="11"/>
        <color rgb="FF000000"/>
        <rFont val="Calibri"/>
        <family val="2"/>
        <scheme val="minor"/>
      </rPr>
      <t>x</t>
    </r>
    <r>
      <rPr>
        <sz val="11"/>
        <color rgb="FF000000"/>
        <rFont val="Calibri"/>
        <family val="2"/>
        <charset val="238"/>
        <scheme val="minor"/>
      </rPr>
      <t xml:space="preserve"> in NO</t>
    </r>
    <r>
      <rPr>
        <vertAlign val="subscript"/>
        <sz val="11"/>
        <color rgb="FF000000"/>
        <rFont val="Calibri"/>
        <family val="2"/>
        <scheme val="minor"/>
      </rPr>
      <t>x</t>
    </r>
    <r>
      <rPr>
        <sz val="11"/>
        <color rgb="FF000000"/>
        <rFont val="Calibri"/>
        <family val="2"/>
        <charset val="238"/>
        <scheme val="minor"/>
      </rPr>
      <t xml:space="preserve"> assimilative reduction</t>
    </r>
  </si>
  <si>
    <r>
      <t>Half-saturation of NO</t>
    </r>
    <r>
      <rPr>
        <vertAlign val="subscript"/>
        <sz val="11"/>
        <color rgb="FF000000"/>
        <rFont val="Calibri"/>
        <family val="2"/>
        <scheme val="minor"/>
      </rPr>
      <t>x</t>
    </r>
    <r>
      <rPr>
        <sz val="11"/>
        <color rgb="FF000000"/>
        <rFont val="Calibri"/>
        <family val="2"/>
        <charset val="238"/>
        <scheme val="minor"/>
      </rPr>
      <t xml:space="preserve"> for AMETOs</t>
    </r>
  </si>
  <si>
    <r>
      <t>eq ALK.L</t>
    </r>
    <r>
      <rPr>
        <vertAlign val="superscript"/>
        <sz val="11"/>
        <rFont val="Calibri"/>
        <family val="2"/>
        <scheme val="minor"/>
      </rPr>
      <t>-1</t>
    </r>
  </si>
  <si>
    <r>
      <t>g S</t>
    </r>
    <r>
      <rPr>
        <vertAlign val="subscript"/>
        <sz val="11"/>
        <rFont val="Calibri"/>
        <family val="2"/>
        <scheme val="minor"/>
      </rPr>
      <t>H2</t>
    </r>
    <r>
      <rPr>
        <sz val="11"/>
        <rFont val="Calibri"/>
        <family val="2"/>
        <scheme val="minor"/>
      </rPr>
      <t>.g X</t>
    </r>
    <r>
      <rPr>
        <vertAlign val="subscript"/>
        <sz val="11"/>
        <rFont val="Calibri"/>
        <family val="2"/>
        <scheme val="minor"/>
      </rPr>
      <t>B</t>
    </r>
    <r>
      <rPr>
        <vertAlign val="superscript"/>
        <sz val="11"/>
        <rFont val="Calibri"/>
        <family val="2"/>
        <scheme val="minor"/>
      </rPr>
      <t>-1</t>
    </r>
  </si>
  <si>
    <r>
      <t>g X</t>
    </r>
    <r>
      <rPr>
        <vertAlign val="subscript"/>
        <sz val="11"/>
        <rFont val="Calibri"/>
        <family val="2"/>
        <scheme val="minor"/>
      </rPr>
      <t>E</t>
    </r>
    <r>
      <rPr>
        <sz val="11"/>
        <rFont val="Calibri"/>
        <family val="2"/>
        <scheme val="minor"/>
      </rPr>
      <t>.g X</t>
    </r>
    <r>
      <rPr>
        <vertAlign val="subscript"/>
        <sz val="11"/>
        <rFont val="Calibri"/>
        <family val="2"/>
        <scheme val="minor"/>
      </rPr>
      <t>BIO</t>
    </r>
    <r>
      <rPr>
        <vertAlign val="superscript"/>
        <sz val="11"/>
        <rFont val="Calibri"/>
        <family val="2"/>
        <scheme val="minor"/>
      </rPr>
      <t>-1</t>
    </r>
  </si>
  <si>
    <r>
      <t>g O2.g COD</t>
    </r>
    <r>
      <rPr>
        <vertAlign val="superscript"/>
        <sz val="11"/>
        <color theme="1"/>
        <rFont val="Calibri"/>
        <family val="2"/>
        <scheme val="minor"/>
      </rPr>
      <t>-1</t>
    </r>
  </si>
  <si>
    <r>
      <t>f</t>
    </r>
    <r>
      <rPr>
        <vertAlign val="subscript"/>
        <sz val="11"/>
        <rFont val="Calibri"/>
        <family val="2"/>
        <scheme val="minor"/>
      </rPr>
      <t>S,BOD5,BODult</t>
    </r>
  </si>
  <si>
    <t>Fraction of BOD5 to ultimate BOD in soluble biodegradable substrates</t>
  </si>
  <si>
    <r>
      <t>f</t>
    </r>
    <r>
      <rPr>
        <vertAlign val="subscript"/>
        <sz val="11"/>
        <rFont val="Calibri"/>
        <family val="2"/>
        <scheme val="minor"/>
      </rPr>
      <t>X,BOD5,BODult</t>
    </r>
  </si>
  <si>
    <t>Fraction of BOD5 to ultimate BOD in particulate biodegradable substrates</t>
  </si>
  <si>
    <r>
      <t>S</t>
    </r>
    <r>
      <rPr>
        <vertAlign val="subscript"/>
        <sz val="11"/>
        <rFont val="Calibri"/>
        <family val="2"/>
        <scheme val="minor"/>
      </rPr>
      <t>BOD,ult</t>
    </r>
    <r>
      <rPr>
        <sz val="11"/>
        <rFont val="Calibri"/>
        <family val="2"/>
        <scheme val="minor"/>
      </rPr>
      <t>*f</t>
    </r>
    <r>
      <rPr>
        <vertAlign val="subscript"/>
        <sz val="11"/>
        <rFont val="Calibri"/>
        <family val="2"/>
        <scheme val="minor"/>
      </rPr>
      <t>S,BOD5,BODult</t>
    </r>
  </si>
  <si>
    <r>
      <t>X</t>
    </r>
    <r>
      <rPr>
        <vertAlign val="subscript"/>
        <sz val="11"/>
        <rFont val="Calibri"/>
        <family val="2"/>
        <scheme val="minor"/>
      </rPr>
      <t>BOD,ult</t>
    </r>
    <r>
      <rPr>
        <sz val="11"/>
        <rFont val="Calibri"/>
        <family val="2"/>
        <scheme val="minor"/>
      </rPr>
      <t>*f</t>
    </r>
    <r>
      <rPr>
        <vertAlign val="subscript"/>
        <sz val="11"/>
        <rFont val="Calibri"/>
        <family val="2"/>
        <scheme val="minor"/>
      </rPr>
      <t>X,BOD5,BODult</t>
    </r>
  </si>
  <si>
    <r>
      <t>S</t>
    </r>
    <r>
      <rPr>
        <vertAlign val="subscript"/>
        <sz val="11"/>
        <rFont val="Calibri"/>
        <family val="2"/>
        <scheme val="minor"/>
      </rPr>
      <t xml:space="preserve">BOD,5 </t>
    </r>
    <r>
      <rPr>
        <sz val="11"/>
        <rFont val="Calibri"/>
        <family val="2"/>
        <scheme val="minor"/>
      </rPr>
      <t>+ X</t>
    </r>
    <r>
      <rPr>
        <vertAlign val="subscript"/>
        <sz val="11"/>
        <rFont val="Calibri"/>
        <family val="2"/>
        <scheme val="minor"/>
      </rPr>
      <t>BOD,5</t>
    </r>
  </si>
  <si>
    <t>FeP precipitation</t>
  </si>
  <si>
    <t>FeP redissolution</t>
  </si>
  <si>
    <t>AlP precipitation</t>
  </si>
  <si>
    <t>AlP redissolution</t>
  </si>
  <si>
    <r>
      <t>X</t>
    </r>
    <r>
      <rPr>
        <b/>
        <vertAlign val="subscript"/>
        <sz val="12"/>
        <rFont val="Calibri"/>
        <family val="2"/>
        <scheme val="minor"/>
      </rPr>
      <t>FeOH</t>
    </r>
  </si>
  <si>
    <r>
      <t>X</t>
    </r>
    <r>
      <rPr>
        <b/>
        <vertAlign val="subscript"/>
        <sz val="12"/>
        <rFont val="Calibri"/>
        <family val="2"/>
        <scheme val="minor"/>
      </rPr>
      <t>FeP</t>
    </r>
  </si>
  <si>
    <r>
      <t>X</t>
    </r>
    <r>
      <rPr>
        <b/>
        <vertAlign val="subscript"/>
        <sz val="12"/>
        <rFont val="Calibri"/>
        <family val="2"/>
        <scheme val="minor"/>
      </rPr>
      <t>AlOH</t>
    </r>
  </si>
  <si>
    <r>
      <t>X</t>
    </r>
    <r>
      <rPr>
        <b/>
        <vertAlign val="subscript"/>
        <sz val="12"/>
        <rFont val="Calibri"/>
        <family val="2"/>
        <scheme val="minor"/>
      </rPr>
      <t>AlP</t>
    </r>
  </si>
  <si>
    <t>Ferric hydroxide compounds (FeOH)</t>
  </si>
  <si>
    <t>Ferric phosphate compounds (FeP)</t>
  </si>
  <si>
    <t>Aluminium hydroxide compounds (AlOH)</t>
  </si>
  <si>
    <t>Aluminium phosphate compounds (AlP)</t>
  </si>
  <si>
    <r>
      <t>g Fe.m</t>
    </r>
    <r>
      <rPr>
        <vertAlign val="superscript"/>
        <sz val="11"/>
        <rFont val="Calibri"/>
        <family val="2"/>
      </rPr>
      <t>-3</t>
    </r>
  </si>
  <si>
    <r>
      <t>g Al.m</t>
    </r>
    <r>
      <rPr>
        <vertAlign val="superscript"/>
        <sz val="11"/>
        <rFont val="Calibri"/>
        <family val="2"/>
      </rPr>
      <t>-3</t>
    </r>
  </si>
  <si>
    <r>
      <t>q</t>
    </r>
    <r>
      <rPr>
        <vertAlign val="subscript"/>
        <sz val="11"/>
        <rFont val="Calibri"/>
        <family val="2"/>
        <scheme val="minor"/>
      </rPr>
      <t>FeOH,PREC</t>
    </r>
  </si>
  <si>
    <r>
      <t>q</t>
    </r>
    <r>
      <rPr>
        <vertAlign val="subscript"/>
        <sz val="11"/>
        <rFont val="Calibri"/>
        <family val="2"/>
        <scheme val="minor"/>
      </rPr>
      <t>FeOH,DISSOL</t>
    </r>
  </si>
  <si>
    <r>
      <t>q</t>
    </r>
    <r>
      <rPr>
        <vertAlign val="subscript"/>
        <sz val="11"/>
        <rFont val="Calibri"/>
        <family val="2"/>
        <scheme val="minor"/>
      </rPr>
      <t>AlOH,PREC</t>
    </r>
  </si>
  <si>
    <r>
      <t>q</t>
    </r>
    <r>
      <rPr>
        <vertAlign val="subscript"/>
        <sz val="11"/>
        <rFont val="Calibri"/>
        <family val="2"/>
        <scheme val="minor"/>
      </rPr>
      <t>AlOH,DISSOL</t>
    </r>
  </si>
  <si>
    <t>Rate of FeOH precipitation</t>
  </si>
  <si>
    <t>Rate of FeOH dissolution</t>
  </si>
  <si>
    <t>Rate of AlOH precipitation</t>
  </si>
  <si>
    <t>Rate of AlOH dissolution</t>
  </si>
  <si>
    <r>
      <t>f</t>
    </r>
    <r>
      <rPr>
        <vertAlign val="subscript"/>
        <sz val="11"/>
        <rFont val="Calibri"/>
        <family val="2"/>
        <scheme val="minor"/>
      </rPr>
      <t>P,Fe</t>
    </r>
  </si>
  <si>
    <r>
      <t>f</t>
    </r>
    <r>
      <rPr>
        <vertAlign val="subscript"/>
        <sz val="11"/>
        <rFont val="Calibri"/>
        <family val="2"/>
        <scheme val="minor"/>
      </rPr>
      <t>H2O,FeOH,TSS</t>
    </r>
  </si>
  <si>
    <r>
      <t>f</t>
    </r>
    <r>
      <rPr>
        <vertAlign val="subscript"/>
        <sz val="11"/>
        <rFont val="Calibri"/>
        <family val="2"/>
        <scheme val="minor"/>
      </rPr>
      <t>H2O,FeOH,VSS</t>
    </r>
  </si>
  <si>
    <r>
      <t>f</t>
    </r>
    <r>
      <rPr>
        <vertAlign val="subscript"/>
        <sz val="11"/>
        <rFont val="Calibri"/>
        <family val="2"/>
        <scheme val="minor"/>
      </rPr>
      <t>P,Al</t>
    </r>
  </si>
  <si>
    <r>
      <t>f</t>
    </r>
    <r>
      <rPr>
        <vertAlign val="subscript"/>
        <sz val="11"/>
        <rFont val="Calibri"/>
        <family val="2"/>
        <scheme val="minor"/>
      </rPr>
      <t>H2O,AlOH,TSS</t>
    </r>
  </si>
  <si>
    <r>
      <t>f</t>
    </r>
    <r>
      <rPr>
        <vertAlign val="subscript"/>
        <sz val="11"/>
        <rFont val="Calibri"/>
        <family val="2"/>
        <scheme val="minor"/>
      </rPr>
      <t>H2O,AlOH,VSS</t>
    </r>
  </si>
  <si>
    <t>Fraction of P per Fe in FeP</t>
  </si>
  <si>
    <t>Fraction of P per Al in AlP</t>
  </si>
  <si>
    <r>
      <t>g P.g FeP</t>
    </r>
    <r>
      <rPr>
        <vertAlign val="superscript"/>
        <sz val="11"/>
        <rFont val="Calibri"/>
        <family val="2"/>
        <scheme val="minor"/>
      </rPr>
      <t>-1</t>
    </r>
  </si>
  <si>
    <r>
      <t>g H2O.g FeOH</t>
    </r>
    <r>
      <rPr>
        <vertAlign val="superscript"/>
        <sz val="11"/>
        <rFont val="Calibri"/>
        <family val="2"/>
        <scheme val="minor"/>
      </rPr>
      <t>-1</t>
    </r>
  </si>
  <si>
    <r>
      <t>g P.g AlP</t>
    </r>
    <r>
      <rPr>
        <vertAlign val="superscript"/>
        <sz val="11"/>
        <rFont val="Calibri"/>
        <family val="2"/>
        <scheme val="minor"/>
      </rPr>
      <t>-1</t>
    </r>
  </si>
  <si>
    <r>
      <t>g H2O.g AlOH</t>
    </r>
    <r>
      <rPr>
        <vertAlign val="superscript"/>
        <sz val="11"/>
        <rFont val="Calibri"/>
        <family val="2"/>
        <scheme val="minor"/>
      </rPr>
      <t>-1</t>
    </r>
  </si>
  <si>
    <r>
      <t>-f</t>
    </r>
    <r>
      <rPr>
        <vertAlign val="subscript"/>
        <sz val="11"/>
        <color indexed="8"/>
        <rFont val="Calibri"/>
        <family val="2"/>
      </rPr>
      <t>P,Fe</t>
    </r>
    <r>
      <rPr>
        <sz val="11"/>
        <color indexed="8"/>
        <rFont val="Calibri"/>
        <family val="2"/>
      </rPr>
      <t>*CH</t>
    </r>
    <r>
      <rPr>
        <vertAlign val="subscript"/>
        <sz val="11"/>
        <color indexed="8"/>
        <rFont val="Calibri"/>
        <family val="2"/>
      </rPr>
      <t>PO4</t>
    </r>
  </si>
  <si>
    <r>
      <t>f</t>
    </r>
    <r>
      <rPr>
        <vertAlign val="subscript"/>
        <sz val="11"/>
        <color indexed="8"/>
        <rFont val="Calibri"/>
        <family val="2"/>
      </rPr>
      <t>P,Fe</t>
    </r>
    <r>
      <rPr>
        <sz val="11"/>
        <color indexed="8"/>
        <rFont val="Calibri"/>
        <family val="2"/>
      </rPr>
      <t>*CH</t>
    </r>
    <r>
      <rPr>
        <vertAlign val="subscript"/>
        <sz val="11"/>
        <color indexed="8"/>
        <rFont val="Calibri"/>
        <family val="2"/>
      </rPr>
      <t>PO4</t>
    </r>
  </si>
  <si>
    <r>
      <t>-f</t>
    </r>
    <r>
      <rPr>
        <vertAlign val="subscript"/>
        <sz val="11"/>
        <color indexed="8"/>
        <rFont val="Calibri"/>
        <family val="2"/>
      </rPr>
      <t>P,Al</t>
    </r>
    <r>
      <rPr>
        <sz val="11"/>
        <color indexed="8"/>
        <rFont val="Calibri"/>
        <family val="2"/>
      </rPr>
      <t>*CH</t>
    </r>
    <r>
      <rPr>
        <vertAlign val="subscript"/>
        <sz val="11"/>
        <color indexed="8"/>
        <rFont val="Calibri"/>
        <family val="2"/>
      </rPr>
      <t>PO4</t>
    </r>
  </si>
  <si>
    <r>
      <t>f</t>
    </r>
    <r>
      <rPr>
        <vertAlign val="subscript"/>
        <sz val="11"/>
        <color indexed="8"/>
        <rFont val="Calibri"/>
        <family val="2"/>
      </rPr>
      <t>P,Al</t>
    </r>
    <r>
      <rPr>
        <sz val="11"/>
        <color indexed="8"/>
        <rFont val="Calibri"/>
        <family val="2"/>
      </rPr>
      <t>*CH</t>
    </r>
    <r>
      <rPr>
        <vertAlign val="subscript"/>
        <sz val="11"/>
        <color indexed="8"/>
        <rFont val="Calibri"/>
        <family val="2"/>
      </rPr>
      <t>PO4</t>
    </r>
  </si>
  <si>
    <r>
      <t>-f</t>
    </r>
    <r>
      <rPr>
        <vertAlign val="subscript"/>
        <sz val="11"/>
        <color indexed="8"/>
        <rFont val="Calibri"/>
        <family val="2"/>
      </rPr>
      <t>P,Fe</t>
    </r>
  </si>
  <si>
    <r>
      <t>f</t>
    </r>
    <r>
      <rPr>
        <vertAlign val="subscript"/>
        <sz val="11"/>
        <color indexed="8"/>
        <rFont val="Calibri"/>
        <family val="2"/>
      </rPr>
      <t>P,Fe</t>
    </r>
  </si>
  <si>
    <r>
      <t>-f</t>
    </r>
    <r>
      <rPr>
        <vertAlign val="subscript"/>
        <sz val="11"/>
        <color indexed="8"/>
        <rFont val="Calibri"/>
        <family val="2"/>
      </rPr>
      <t>P,Al</t>
    </r>
  </si>
  <si>
    <r>
      <t>f</t>
    </r>
    <r>
      <rPr>
        <vertAlign val="subscript"/>
        <sz val="11"/>
        <color indexed="8"/>
        <rFont val="Calibri"/>
        <family val="2"/>
      </rPr>
      <t>P,Al</t>
    </r>
  </si>
  <si>
    <r>
      <t>X</t>
    </r>
    <r>
      <rPr>
        <vertAlign val="subscript"/>
        <sz val="11"/>
        <rFont val="Calibri"/>
        <family val="2"/>
        <scheme val="minor"/>
      </rPr>
      <t>Fe,TSS</t>
    </r>
  </si>
  <si>
    <r>
      <t>X</t>
    </r>
    <r>
      <rPr>
        <vertAlign val="subscript"/>
        <sz val="11"/>
        <rFont val="Calibri"/>
        <family val="2"/>
        <scheme val="minor"/>
      </rPr>
      <t>Al,TSS</t>
    </r>
  </si>
  <si>
    <t>Iron precipitates in TSS unit</t>
  </si>
  <si>
    <t>Aluminium precipitates in TSS unit</t>
  </si>
  <si>
    <r>
      <t>X</t>
    </r>
    <r>
      <rPr>
        <vertAlign val="subscript"/>
        <sz val="11"/>
        <rFont val="Calibri"/>
        <family val="2"/>
        <scheme val="minor"/>
      </rPr>
      <t>Fe,TSS</t>
    </r>
    <r>
      <rPr>
        <sz val="11"/>
        <rFont val="Calibri"/>
        <family val="2"/>
        <scheme val="minor"/>
      </rPr>
      <t>+X</t>
    </r>
    <r>
      <rPr>
        <vertAlign val="subscript"/>
        <sz val="11"/>
        <rFont val="Calibri"/>
        <family val="2"/>
        <scheme val="minor"/>
      </rPr>
      <t>Al,TSS</t>
    </r>
  </si>
  <si>
    <t>Oxygen uptake rate (OUR)</t>
  </si>
  <si>
    <r>
      <t>S</t>
    </r>
    <r>
      <rPr>
        <vertAlign val="subscript"/>
        <sz val="11"/>
        <rFont val="Calibri"/>
        <family val="2"/>
      </rPr>
      <t>rbCOD</t>
    </r>
  </si>
  <si>
    <r>
      <t>XC</t>
    </r>
    <r>
      <rPr>
        <vertAlign val="subscript"/>
        <sz val="11"/>
        <rFont val="Calibri"/>
        <family val="2"/>
      </rPr>
      <t>sbCOD</t>
    </r>
  </si>
  <si>
    <t>COD of readily biodegradable substrates</t>
  </si>
  <si>
    <t>COD of slowly biodegradable substrates</t>
  </si>
  <si>
    <r>
      <t>S</t>
    </r>
    <r>
      <rPr>
        <vertAlign val="subscript"/>
        <sz val="11"/>
        <rFont val="Calibri"/>
        <family val="2"/>
      </rPr>
      <t>B</t>
    </r>
  </si>
  <si>
    <r>
      <t>X</t>
    </r>
    <r>
      <rPr>
        <vertAlign val="subscript"/>
        <sz val="11"/>
        <rFont val="Calibri"/>
        <family val="2"/>
      </rPr>
      <t>B</t>
    </r>
  </si>
  <si>
    <t>Me(OH)3 -&gt; Me2O3 + 3H2O</t>
  </si>
  <si>
    <t>theoretical complete reaction</t>
  </si>
  <si>
    <t>measured loss between 105°C and 500°C</t>
  </si>
  <si>
    <t>Stricker et al. (2004) for Fe, calculation for Al</t>
  </si>
  <si>
    <r>
      <t>Fraction of H</t>
    </r>
    <r>
      <rPr>
        <vertAlign val="subscript"/>
        <sz val="11"/>
        <color rgb="FF000000"/>
        <rFont val="Calibri"/>
        <family val="2"/>
        <scheme val="minor"/>
      </rPr>
      <t>2</t>
    </r>
    <r>
      <rPr>
        <sz val="11"/>
        <color rgb="FF000000"/>
        <rFont val="Calibri"/>
        <family val="2"/>
        <charset val="238"/>
        <scheme val="minor"/>
      </rPr>
      <t>O loss in TSS test for FeOH</t>
    </r>
  </si>
  <si>
    <r>
      <t>Fraction of H</t>
    </r>
    <r>
      <rPr>
        <vertAlign val="subscript"/>
        <sz val="11"/>
        <color rgb="FF000000"/>
        <rFont val="Calibri"/>
        <family val="2"/>
        <scheme val="minor"/>
      </rPr>
      <t>2</t>
    </r>
    <r>
      <rPr>
        <sz val="11"/>
        <color rgb="FF000000"/>
        <rFont val="Calibri"/>
        <family val="2"/>
        <charset val="238"/>
        <scheme val="minor"/>
      </rPr>
      <t>O loss in VSS test for FeOH</t>
    </r>
  </si>
  <si>
    <r>
      <t>Fraction of H</t>
    </r>
    <r>
      <rPr>
        <vertAlign val="subscript"/>
        <sz val="11"/>
        <color rgb="FF000000"/>
        <rFont val="Calibri"/>
        <family val="2"/>
        <scheme val="minor"/>
      </rPr>
      <t>2</t>
    </r>
    <r>
      <rPr>
        <sz val="11"/>
        <color rgb="FF000000"/>
        <rFont val="Calibri"/>
        <family val="2"/>
        <charset val="238"/>
        <scheme val="minor"/>
      </rPr>
      <t>O loss in TSS test for AlOH</t>
    </r>
  </si>
  <si>
    <r>
      <t>Fraction of H</t>
    </r>
    <r>
      <rPr>
        <vertAlign val="subscript"/>
        <sz val="11"/>
        <color rgb="FF000000"/>
        <rFont val="Calibri"/>
        <family val="2"/>
        <scheme val="minor"/>
      </rPr>
      <t>2</t>
    </r>
    <r>
      <rPr>
        <sz val="11"/>
        <color rgb="FF000000"/>
        <rFont val="Calibri"/>
        <family val="2"/>
        <charset val="238"/>
        <scheme val="minor"/>
      </rPr>
      <t>O loss in VSS test for AlOH</t>
    </r>
  </si>
  <si>
    <r>
      <t>(1-f</t>
    </r>
    <r>
      <rPr>
        <vertAlign val="subscript"/>
        <sz val="11"/>
        <rFont val="Calibri"/>
        <family val="2"/>
      </rPr>
      <t>H2O,AlOH,TSS</t>
    </r>
    <r>
      <rPr>
        <sz val="11"/>
        <rFont val="Calibri"/>
        <family val="2"/>
      </rPr>
      <t>)*(X</t>
    </r>
    <r>
      <rPr>
        <vertAlign val="subscript"/>
        <sz val="11"/>
        <rFont val="Calibri"/>
        <family val="2"/>
      </rPr>
      <t>AlOH</t>
    </r>
    <r>
      <rPr>
        <sz val="11"/>
        <rFont val="Calibri"/>
        <family val="2"/>
      </rPr>
      <t>+X</t>
    </r>
    <r>
      <rPr>
        <vertAlign val="subscript"/>
        <sz val="11"/>
        <rFont val="Calibri"/>
        <family val="2"/>
      </rPr>
      <t>AlP</t>
    </r>
    <r>
      <rPr>
        <sz val="11"/>
        <rFont val="Calibri"/>
        <family val="2"/>
      </rPr>
      <t>)*MM</t>
    </r>
    <r>
      <rPr>
        <vertAlign val="subscript"/>
        <sz val="11"/>
        <rFont val="Calibri"/>
        <family val="2"/>
      </rPr>
      <t>AlOH3</t>
    </r>
    <r>
      <rPr>
        <sz val="11"/>
        <rFont val="Calibri"/>
        <family val="2"/>
      </rPr>
      <t>/AM</t>
    </r>
    <r>
      <rPr>
        <vertAlign val="subscript"/>
        <sz val="11"/>
        <rFont val="Calibri"/>
        <family val="2"/>
      </rPr>
      <t>Al</t>
    </r>
    <r>
      <rPr>
        <sz val="11"/>
        <rFont val="Calibri"/>
        <family val="2"/>
      </rPr>
      <t>+X</t>
    </r>
    <r>
      <rPr>
        <vertAlign val="subscript"/>
        <sz val="11"/>
        <rFont val="Calibri"/>
        <family val="2"/>
      </rPr>
      <t>AlP</t>
    </r>
    <r>
      <rPr>
        <sz val="11"/>
        <rFont val="Calibri"/>
        <family val="2"/>
      </rPr>
      <t>*f</t>
    </r>
    <r>
      <rPr>
        <vertAlign val="subscript"/>
        <sz val="11"/>
        <rFont val="Calibri"/>
        <family val="2"/>
      </rPr>
      <t>P,Al</t>
    </r>
    <r>
      <rPr>
        <sz val="11"/>
        <rFont val="Calibri"/>
        <family val="2"/>
      </rPr>
      <t>*MM</t>
    </r>
    <r>
      <rPr>
        <vertAlign val="subscript"/>
        <sz val="11"/>
        <rFont val="Calibri"/>
        <family val="2"/>
      </rPr>
      <t>PO4</t>
    </r>
    <r>
      <rPr>
        <sz val="11"/>
        <rFont val="Calibri"/>
        <family val="2"/>
      </rPr>
      <t>/AM</t>
    </r>
    <r>
      <rPr>
        <vertAlign val="subscript"/>
        <sz val="11"/>
        <rFont val="Calibri"/>
        <family val="2"/>
      </rPr>
      <t>Al</t>
    </r>
  </si>
  <si>
    <r>
      <t>(1-f</t>
    </r>
    <r>
      <rPr>
        <vertAlign val="subscript"/>
        <sz val="11"/>
        <rFont val="Calibri"/>
        <family val="2"/>
      </rPr>
      <t>H2O,FeOH,TSS</t>
    </r>
    <r>
      <rPr>
        <sz val="11"/>
        <rFont val="Calibri"/>
        <family val="2"/>
      </rPr>
      <t>)*(X</t>
    </r>
    <r>
      <rPr>
        <vertAlign val="subscript"/>
        <sz val="11"/>
        <rFont val="Calibri"/>
        <family val="2"/>
      </rPr>
      <t>FeOH</t>
    </r>
    <r>
      <rPr>
        <sz val="11"/>
        <rFont val="Calibri"/>
        <family val="2"/>
      </rPr>
      <t>+X</t>
    </r>
    <r>
      <rPr>
        <vertAlign val="subscript"/>
        <sz val="11"/>
        <rFont val="Calibri"/>
        <family val="2"/>
      </rPr>
      <t>FeP</t>
    </r>
    <r>
      <rPr>
        <sz val="11"/>
        <rFont val="Calibri"/>
        <family val="2"/>
      </rPr>
      <t>)*MM</t>
    </r>
    <r>
      <rPr>
        <vertAlign val="subscript"/>
        <sz val="11"/>
        <rFont val="Calibri"/>
        <family val="2"/>
      </rPr>
      <t>FeOH3</t>
    </r>
    <r>
      <rPr>
        <sz val="11"/>
        <rFont val="Calibri"/>
        <family val="2"/>
      </rPr>
      <t>/AM</t>
    </r>
    <r>
      <rPr>
        <vertAlign val="subscript"/>
        <sz val="11"/>
        <rFont val="Calibri"/>
        <family val="2"/>
      </rPr>
      <t>Fe</t>
    </r>
    <r>
      <rPr>
        <sz val="11"/>
        <rFont val="Calibri"/>
        <family val="2"/>
      </rPr>
      <t>+X</t>
    </r>
    <r>
      <rPr>
        <vertAlign val="subscript"/>
        <sz val="11"/>
        <rFont val="Calibri"/>
        <family val="2"/>
      </rPr>
      <t>FeP</t>
    </r>
    <r>
      <rPr>
        <sz val="11"/>
        <rFont val="Calibri"/>
        <family val="2"/>
      </rPr>
      <t>*f</t>
    </r>
    <r>
      <rPr>
        <vertAlign val="subscript"/>
        <sz val="11"/>
        <rFont val="Calibri"/>
        <family val="2"/>
      </rPr>
      <t>P,Fe</t>
    </r>
    <r>
      <rPr>
        <sz val="11"/>
        <rFont val="Calibri"/>
        <family val="2"/>
      </rPr>
      <t>*MM</t>
    </r>
    <r>
      <rPr>
        <vertAlign val="subscript"/>
        <sz val="11"/>
        <rFont val="Calibri"/>
        <family val="2"/>
      </rPr>
      <t>PO4</t>
    </r>
    <r>
      <rPr>
        <sz val="11"/>
        <rFont val="Calibri"/>
        <family val="2"/>
      </rPr>
      <t>/AM</t>
    </r>
    <r>
      <rPr>
        <vertAlign val="subscript"/>
        <sz val="11"/>
        <rFont val="Calibri"/>
        <family val="2"/>
      </rPr>
      <t>Fe</t>
    </r>
  </si>
  <si>
    <r>
      <t>p</t>
    </r>
    <r>
      <rPr>
        <vertAlign val="subscript"/>
        <sz val="11"/>
        <rFont val="Calibri"/>
        <family val="2"/>
      </rPr>
      <t>N</t>
    </r>
  </si>
  <si>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</si>
  <si>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</si>
  <si>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</si>
  <si>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r>
      <t>J.m</t>
    </r>
    <r>
      <rPr>
        <vertAlign val="superscript"/>
        <sz val="11"/>
        <rFont val="Calibri"/>
        <family val="2"/>
        <scheme val="minor"/>
      </rPr>
      <t>-3</t>
    </r>
  </si>
  <si>
    <r>
      <t>MM</t>
    </r>
    <r>
      <rPr>
        <vertAlign val="subscript"/>
        <sz val="11"/>
        <rFont val="Calibri"/>
        <family val="2"/>
        <scheme val="minor"/>
      </rPr>
      <t>air</t>
    </r>
  </si>
  <si>
    <t>Molar mass of air</t>
  </si>
  <si>
    <r>
      <t>Molecular mass of Fe(OH)</t>
    </r>
    <r>
      <rPr>
        <vertAlign val="subscript"/>
        <sz val="11"/>
        <rFont val="Calibri"/>
        <family val="2"/>
        <scheme val="minor"/>
      </rPr>
      <t>3</t>
    </r>
  </si>
  <si>
    <r>
      <t>Molecular mass of Al(OH)</t>
    </r>
    <r>
      <rPr>
        <vertAlign val="subscript"/>
        <sz val="11"/>
        <rFont val="Calibri"/>
        <family val="2"/>
        <scheme val="minor"/>
      </rPr>
      <t>3</t>
    </r>
  </si>
  <si>
    <r>
      <t>Molecular mass of AlPO</t>
    </r>
    <r>
      <rPr>
        <vertAlign val="subscript"/>
        <sz val="11"/>
        <rFont val="Calibri"/>
        <family val="2"/>
        <scheme val="minor"/>
      </rPr>
      <t>4</t>
    </r>
  </si>
  <si>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</si>
  <si>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</si>
  <si>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</si>
  <si>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</si>
  <si>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</si>
  <si>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</si>
  <si>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MgOH2</t>
    </r>
  </si>
  <si>
    <t>Molecular mass of Mg(OH)2</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</si>
  <si>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</si>
  <si>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</si>
  <si>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</si>
  <si>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</si>
  <si>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</si>
  <si>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</si>
  <si>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</si>
  <si>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</si>
  <si>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r>
      <t>MM</t>
    </r>
    <r>
      <rPr>
        <vertAlign val="subscript"/>
        <sz val="11"/>
        <rFont val="Calibri"/>
        <family val="2"/>
        <scheme val="minor"/>
      </rPr>
      <t>MMC</t>
    </r>
  </si>
  <si>
    <t>Molecular mass of methyl mercaptan</t>
  </si>
  <si>
    <r>
      <t>g N.mol</t>
    </r>
    <r>
      <rPr>
        <vertAlign val="superscript"/>
        <sz val="11"/>
        <rFont val="Calibri"/>
        <family val="2"/>
        <scheme val="minor"/>
      </rPr>
      <t>-1</t>
    </r>
  </si>
  <si>
    <r>
      <t>g COD.mol</t>
    </r>
    <r>
      <rPr>
        <vertAlign val="superscript"/>
        <sz val="11"/>
        <rFont val="Calibri"/>
        <family val="2"/>
        <scheme val="minor"/>
      </rPr>
      <t>-1</t>
    </r>
  </si>
  <si>
    <r>
      <t>g S.mol</t>
    </r>
    <r>
      <rPr>
        <vertAlign val="superscript"/>
        <sz val="11"/>
        <rFont val="Calibri"/>
        <family val="2"/>
        <scheme val="minor"/>
      </rPr>
      <t>-1</t>
    </r>
  </si>
  <si>
    <t>Dissociation constant of water</t>
  </si>
  <si>
    <t>10^-13.997 NIST  (Minteq V4) 25°C</t>
  </si>
  <si>
    <t>Dissociation constant of ammonia</t>
  </si>
  <si>
    <t>10^-9.244 NIST  (Minteq V4) 25°C</t>
  </si>
  <si>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</si>
  <si>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</si>
  <si>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</si>
  <si>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</si>
  <si>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</si>
  <si>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</si>
  <si>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</si>
  <si>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</si>
  <si>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</si>
  <si>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</si>
  <si>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</si>
  <si>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</si>
  <si>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t>Dissociation constant of acetate</t>
  </si>
  <si>
    <t>10^-4.757 NIST  (Minteq V4) 25°C</t>
  </si>
  <si>
    <t>Dissociation constant of hydrogen sulfide</t>
  </si>
  <si>
    <t>NIST  (Minteq V4) 25°C</t>
  </si>
  <si>
    <t>Dissociation constant of bisulfide ion</t>
  </si>
  <si>
    <t>Dissociation constant of sulfuric acid</t>
  </si>
  <si>
    <t>Dissociation constant of bisulfate</t>
  </si>
  <si>
    <t>NIST (Minteq V4) 25°C</t>
  </si>
  <si>
    <t>Solubility constant of ACP</t>
  </si>
  <si>
    <t>Solubility constant of vivianite</t>
  </si>
  <si>
    <t>Solubility constant of FeS</t>
  </si>
  <si>
    <t>Solubility constant of HDP</t>
  </si>
  <si>
    <t>Solubility constant of MKP</t>
  </si>
  <si>
    <r>
      <t>g COD.g N</t>
    </r>
    <r>
      <rPr>
        <vertAlign val="superscript"/>
        <sz val="11"/>
        <rFont val="Calibri"/>
        <family val="2"/>
      </rPr>
      <t>-1</t>
    </r>
  </si>
  <si>
    <r>
      <t>g COD.g Fe</t>
    </r>
    <r>
      <rPr>
        <vertAlign val="superscript"/>
        <sz val="11"/>
        <rFont val="Calibri"/>
        <family val="2"/>
      </rPr>
      <t>-1</t>
    </r>
  </si>
  <si>
    <r>
      <t>g COD.g S</t>
    </r>
    <r>
      <rPr>
        <vertAlign val="superscript"/>
        <sz val="11"/>
        <rFont val="Calibri"/>
        <family val="2"/>
      </rPr>
      <t>-1</t>
    </r>
  </si>
  <si>
    <r>
      <t>g COD.g S</t>
    </r>
    <r>
      <rPr>
        <vertAlign val="superscript"/>
        <sz val="11"/>
        <rFont val="Calibri"/>
        <family val="2"/>
        <scheme val="minor"/>
      </rPr>
      <t>-1</t>
    </r>
  </si>
  <si>
    <r>
      <t>λ</t>
    </r>
    <r>
      <rPr>
        <vertAlign val="subscript"/>
        <sz val="11"/>
        <rFont val="Calibri"/>
        <family val="2"/>
      </rPr>
      <t>H</t>
    </r>
  </si>
  <si>
    <t>Thermal conductivity coefficient</t>
  </si>
  <si>
    <t>BigReal</t>
  </si>
  <si>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</si>
  <si>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</si>
  <si>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</si>
  <si>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</si>
  <si>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</si>
  <si>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</si>
  <si>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</si>
  <si>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</si>
  <si>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</si>
  <si>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</si>
  <si>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t>Conversion coefficient between pascal and Hgmm</t>
  </si>
  <si>
    <t>Conversion coefficient between pascal and bar</t>
  </si>
  <si>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</si>
  <si>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</si>
  <si>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</si>
  <si>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</si>
  <si>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r>
      <t>J.mol</t>
    </r>
    <r>
      <rPr>
        <vertAlign val="superscript"/>
        <sz val="11"/>
        <rFont val="Calibri"/>
        <family val="2"/>
        <scheme val="minor"/>
      </rPr>
      <t>-1</t>
    </r>
  </si>
  <si>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</si>
  <si>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</si>
  <si>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</si>
  <si>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</si>
  <si>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</si>
  <si>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</si>
  <si>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</si>
  <si>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</si>
  <si>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</si>
  <si>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</si>
  <si>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</si>
  <si>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</si>
  <si>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</si>
  <si>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</si>
  <si>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</si>
  <si>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</si>
  <si>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</si>
  <si>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</si>
  <si>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</si>
  <si>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</si>
  <si>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</si>
  <si>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</si>
  <si>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</si>
  <si>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</si>
  <si>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</si>
  <si>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</si>
  <si>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</si>
  <si>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</si>
  <si>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</si>
  <si>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</si>
  <si>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</si>
  <si>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</si>
  <si>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</si>
  <si>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</si>
  <si>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</si>
  <si>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</si>
  <si>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</si>
  <si>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</si>
  <si>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</si>
  <si>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</si>
  <si>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</si>
  <si>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</si>
  <si>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</si>
  <si>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</si>
  <si>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</si>
  <si>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</si>
  <si>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</si>
  <si>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</si>
  <si>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</si>
  <si>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</si>
  <si>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</si>
  <si>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</si>
  <si>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</si>
  <si>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</si>
  <si>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</si>
  <si>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</si>
  <si>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</si>
  <si>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</si>
  <si>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</si>
  <si>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</si>
  <si>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</si>
  <si>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</si>
  <si>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</si>
  <si>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</si>
  <si>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</si>
  <si>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</si>
  <si>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</si>
  <si>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Diffusion coefficient of volatile fatty acids</t>
  </si>
  <si>
    <t>to be set accurately</t>
  </si>
  <si>
    <t>Diffusion coefficient of soluble degradable organics</t>
  </si>
  <si>
    <t>Diffusion coefficient of soluble degradable organics (monomers)</t>
  </si>
  <si>
    <t>Diffusion coefficient of soluble degradable organics (polymers)</t>
  </si>
  <si>
    <t>Diffusion coefficient of fermentable organic matter</t>
  </si>
  <si>
    <t>Diffusion coefficient of methanol</t>
  </si>
  <si>
    <t>Diffusion coefficient of soluble undegradable organics</t>
  </si>
  <si>
    <t>Diffusion coefficient of total ammonia</t>
  </si>
  <si>
    <t>Diffusivities from Perry, Handbook of Chemical Engineers, Table 2-372, for 25°C, as acetate</t>
  </si>
  <si>
    <t>Diffusion coefficient of ammonia</t>
  </si>
  <si>
    <t>Diffusitives from Perry, Handbook of Chemical Engineers, Table 2-372, for 25°C, as acetate</t>
  </si>
  <si>
    <t>Diffusion coefficient of nitrate and nitrite</t>
  </si>
  <si>
    <t>Diffusion coefficient of orthophosphate</t>
  </si>
  <si>
    <t>Diffusion coefficient of dissolved nitrogen gas</t>
  </si>
  <si>
    <t>Diffusitives from Perry, Handbook of Chemical Engineers, Table 2-372, for 25°C</t>
  </si>
  <si>
    <t>Diffusion coefficient of soluble inert organic nitrogen</t>
  </si>
  <si>
    <t>Assumed the same as SS</t>
  </si>
  <si>
    <t>Diffusion coefficient of soluble biodegradable organic nitrogen</t>
  </si>
  <si>
    <t>Diffusion coefficient of nitrite</t>
  </si>
  <si>
    <t>Diffusion coefficient of nitrate</t>
  </si>
  <si>
    <t>Diffusion coefficient of soluble biodegradable organic N</t>
  </si>
  <si>
    <t>Diffusion coefficient of soluble biodegradable organic P</t>
  </si>
  <si>
    <t>Diffusion coefficient of dissolved oxygen</t>
  </si>
  <si>
    <t>Diffusivities from Perry, Handbook of Chemical Engineers, Table 2-372, for 25°C</t>
  </si>
  <si>
    <t>Diffusion coefficient of dissolved methane</t>
  </si>
  <si>
    <t>Diffusion coefficient of dissolved hydrogen</t>
  </si>
  <si>
    <t>Diffusion coefficient of dissolved carbon dioxide</t>
  </si>
  <si>
    <t>Diffusion coefficient of dissolved potassium</t>
  </si>
  <si>
    <t>Diffusion coefficient of dissolved calcium</t>
  </si>
  <si>
    <t>Diffusion coefficient of dissolved magnesium</t>
  </si>
  <si>
    <t>Diffusion coefficient of dissolved strong cations</t>
  </si>
  <si>
    <t>Diffusion coefficient of dissolved strong anions</t>
  </si>
  <si>
    <t>Diffusion coefficient of hydrogen sulfide</t>
  </si>
  <si>
    <t>Diffusion coefficient of sulphate</t>
  </si>
  <si>
    <t>Diffusion coefficient of dissolved ferrous ion</t>
  </si>
  <si>
    <t>Diffusion coefficient of alkalinity</t>
  </si>
  <si>
    <t>Diffusion coefficient of Methyl Mercaptan production index</t>
  </si>
  <si>
    <t>Diffusion coefficient of colloidal biodegradable substrate</t>
  </si>
  <si>
    <t>Diffusion coefficient of colloidal unbiodegradable organics</t>
  </si>
  <si>
    <t>MinStateVar</t>
  </si>
  <si>
    <t>MaxStateVar</t>
  </si>
  <si>
    <t>Separators</t>
  </si>
  <si>
    <t>Balancing</t>
  </si>
  <si>
    <r>
      <t>G</t>
    </r>
    <r>
      <rPr>
        <b/>
        <vertAlign val="subscript"/>
        <sz val="11"/>
        <rFont val="Calibri"/>
        <family val="2"/>
        <charset val="238"/>
      </rPr>
      <t>CH4,atm</t>
    </r>
  </si>
  <si>
    <r>
      <t>Methane gas (CH</t>
    </r>
    <r>
      <rPr>
        <vertAlign val="subscript"/>
        <sz val="11"/>
        <color rgb="FF000000"/>
        <rFont val="Calibri"/>
        <family val="2"/>
        <scheme val="minor"/>
      </rPr>
      <t>4</t>
    </r>
    <r>
      <rPr>
        <sz val="11"/>
        <color rgb="FF000000"/>
        <rFont val="Calibri"/>
        <family val="2"/>
        <charset val="238"/>
        <scheme val="minor"/>
      </rPr>
      <t>)</t>
    </r>
  </si>
  <si>
    <r>
      <t>G</t>
    </r>
    <r>
      <rPr>
        <b/>
        <vertAlign val="subscript"/>
        <sz val="11"/>
        <rFont val="Calibri"/>
        <family val="2"/>
        <charset val="238"/>
      </rPr>
      <t>H2,atm</t>
    </r>
  </si>
  <si>
    <r>
      <t>Hydrogen gas (H</t>
    </r>
    <r>
      <rPr>
        <vertAlign val="subscript"/>
        <sz val="11"/>
        <color rgb="FF000000"/>
        <rFont val="Calibri"/>
        <family val="2"/>
        <scheme val="minor"/>
      </rPr>
      <t>2</t>
    </r>
    <r>
      <rPr>
        <sz val="11"/>
        <color rgb="FF000000"/>
        <rFont val="Calibri"/>
        <family val="2"/>
        <charset val="238"/>
        <scheme val="minor"/>
      </rPr>
      <t>)</t>
    </r>
  </si>
  <si>
    <r>
      <t>G</t>
    </r>
    <r>
      <rPr>
        <b/>
        <vertAlign val="subscript"/>
        <sz val="11"/>
        <rFont val="Calibri"/>
        <family val="2"/>
        <charset val="238"/>
      </rPr>
      <t>O2,atm</t>
    </r>
  </si>
  <si>
    <r>
      <t>Oxygen gas (O</t>
    </r>
    <r>
      <rPr>
        <vertAlign val="subscript"/>
        <sz val="11"/>
        <color rgb="FF000000"/>
        <rFont val="Calibri"/>
        <family val="2"/>
        <scheme val="minor"/>
      </rPr>
      <t>2</t>
    </r>
    <r>
      <rPr>
        <sz val="11"/>
        <color rgb="FF000000"/>
        <rFont val="Calibri"/>
        <family val="2"/>
        <charset val="238"/>
        <scheme val="minor"/>
      </rPr>
      <t>)</t>
    </r>
  </si>
  <si>
    <r>
      <t>G</t>
    </r>
    <r>
      <rPr>
        <b/>
        <vertAlign val="subscript"/>
        <sz val="11"/>
        <rFont val="Calibri"/>
        <family val="2"/>
        <charset val="238"/>
      </rPr>
      <t>N2,atm</t>
    </r>
  </si>
  <si>
    <r>
      <t>Nitrogen gas (N</t>
    </r>
    <r>
      <rPr>
        <vertAlign val="subscript"/>
        <sz val="11"/>
        <color rgb="FF000000"/>
        <rFont val="Calibri"/>
        <family val="2"/>
        <scheme val="minor"/>
      </rPr>
      <t>2</t>
    </r>
    <r>
      <rPr>
        <sz val="11"/>
        <color rgb="FF000000"/>
        <rFont val="Calibri"/>
        <family val="2"/>
        <charset val="238"/>
        <scheme val="minor"/>
      </rPr>
      <t>)</t>
    </r>
  </si>
  <si>
    <r>
      <t>G</t>
    </r>
    <r>
      <rPr>
        <b/>
        <vertAlign val="subscript"/>
        <sz val="12"/>
        <rFont val="Calibri"/>
        <family val="2"/>
        <scheme val="minor"/>
      </rPr>
      <t>O2,atm</t>
    </r>
  </si>
  <si>
    <r>
      <t>G</t>
    </r>
    <r>
      <rPr>
        <b/>
        <vertAlign val="subscript"/>
        <sz val="12"/>
        <rFont val="Calibri"/>
        <family val="2"/>
        <scheme val="minor"/>
      </rPr>
      <t>CH4,atm</t>
    </r>
  </si>
  <si>
    <r>
      <t>G</t>
    </r>
    <r>
      <rPr>
        <b/>
        <vertAlign val="subscript"/>
        <sz val="12"/>
        <rFont val="Calibri"/>
        <family val="2"/>
        <scheme val="minor"/>
      </rPr>
      <t>H2,atm</t>
    </r>
  </si>
  <si>
    <r>
      <t>G</t>
    </r>
    <r>
      <rPr>
        <b/>
        <vertAlign val="subscript"/>
        <sz val="12"/>
        <rFont val="Calibri"/>
        <family val="2"/>
        <scheme val="minor"/>
      </rPr>
      <t>N2,atm</t>
    </r>
  </si>
  <si>
    <t>r22</t>
  </si>
  <si>
    <t>r23</t>
  </si>
  <si>
    <t>r24</t>
  </si>
  <si>
    <t>r25</t>
  </si>
  <si>
    <t>Methane gas transfer - surface</t>
  </si>
  <si>
    <t>Hydrogen gas transfer - surface</t>
  </si>
  <si>
    <t>Oxygen gas transfer - surface</t>
  </si>
  <si>
    <t>Nitrogen gas transfer - surface</t>
  </si>
  <si>
    <t>Methane gas transfer - bubbles</t>
  </si>
  <si>
    <t>Hydrogen gas transfer - bubbles</t>
  </si>
  <si>
    <t>Oxygen gas transfer - bubbles</t>
  </si>
  <si>
    <t>Nitrogen gas transfer - bubbles</t>
  </si>
  <si>
    <r>
      <t>-Δ</t>
    </r>
    <r>
      <rPr>
        <vertAlign val="subscript"/>
        <sz val="11"/>
        <rFont val="Calibri"/>
        <family val="2"/>
      </rPr>
      <t>atm</t>
    </r>
  </si>
  <si>
    <r>
      <t>-Δ</t>
    </r>
    <r>
      <rPr>
        <vertAlign val="subscript"/>
        <sz val="11"/>
        <color indexed="8"/>
        <rFont val="Calibri"/>
        <family val="2"/>
      </rPr>
      <t>atm</t>
    </r>
  </si>
  <si>
    <r>
      <t>k</t>
    </r>
    <r>
      <rPr>
        <vertAlign val="subscript"/>
        <sz val="11"/>
        <rFont val="Calibri"/>
        <family val="2"/>
      </rPr>
      <t>L</t>
    </r>
    <r>
      <rPr>
        <sz val="11"/>
        <rFont val="Calibri"/>
        <family val="2"/>
      </rPr>
      <t>a</t>
    </r>
    <r>
      <rPr>
        <vertAlign val="subscript"/>
        <sz val="11"/>
        <rFont val="Calibri"/>
        <family val="2"/>
      </rPr>
      <t>GCH4,sur</t>
    </r>
    <r>
      <rPr>
        <sz val="11"/>
        <rFont val="Calibri"/>
        <family val="2"/>
      </rPr>
      <t>*(S</t>
    </r>
    <r>
      <rPr>
        <vertAlign val="subscript"/>
        <sz val="11"/>
        <rFont val="Calibri"/>
        <family val="2"/>
      </rPr>
      <t>GCH4,sur,sat</t>
    </r>
    <r>
      <rPr>
        <sz val="11"/>
        <rFont val="Calibri"/>
        <family val="2"/>
      </rPr>
      <t xml:space="preserve"> - S</t>
    </r>
    <r>
      <rPr>
        <vertAlign val="subscript"/>
        <sz val="11"/>
        <rFont val="Calibri"/>
        <family val="2"/>
      </rPr>
      <t>CH4</t>
    </r>
    <r>
      <rPr>
        <sz val="11"/>
        <rFont val="Calibri"/>
        <family val="2"/>
      </rPr>
      <t>)</t>
    </r>
  </si>
  <si>
    <r>
      <t>k</t>
    </r>
    <r>
      <rPr>
        <vertAlign val="subscript"/>
        <sz val="11"/>
        <rFont val="Calibri"/>
        <family val="2"/>
      </rPr>
      <t>L</t>
    </r>
    <r>
      <rPr>
        <sz val="11"/>
        <rFont val="Calibri"/>
        <family val="2"/>
      </rPr>
      <t>a</t>
    </r>
    <r>
      <rPr>
        <vertAlign val="subscript"/>
        <sz val="11"/>
        <rFont val="Calibri"/>
        <family val="2"/>
      </rPr>
      <t>GH2,sur</t>
    </r>
    <r>
      <rPr>
        <sz val="11"/>
        <rFont val="Calibri"/>
        <family val="2"/>
      </rPr>
      <t>*(S</t>
    </r>
    <r>
      <rPr>
        <vertAlign val="subscript"/>
        <sz val="11"/>
        <rFont val="Calibri"/>
        <family val="2"/>
      </rPr>
      <t>GH2,sur,sat</t>
    </r>
    <r>
      <rPr>
        <sz val="11"/>
        <rFont val="Calibri"/>
        <family val="2"/>
      </rPr>
      <t xml:space="preserve"> - S</t>
    </r>
    <r>
      <rPr>
        <vertAlign val="subscript"/>
        <sz val="11"/>
        <rFont val="Calibri"/>
        <family val="2"/>
      </rPr>
      <t>H2</t>
    </r>
    <r>
      <rPr>
        <sz val="11"/>
        <rFont val="Calibri"/>
        <family val="2"/>
      </rPr>
      <t>)</t>
    </r>
  </si>
  <si>
    <r>
      <t>k</t>
    </r>
    <r>
      <rPr>
        <vertAlign val="subscript"/>
        <sz val="11"/>
        <rFont val="Calibri"/>
        <family val="2"/>
      </rPr>
      <t>L</t>
    </r>
    <r>
      <rPr>
        <sz val="11"/>
        <rFont val="Calibri"/>
        <family val="2"/>
      </rPr>
      <t>a</t>
    </r>
    <r>
      <rPr>
        <vertAlign val="subscript"/>
        <sz val="11"/>
        <rFont val="Calibri"/>
        <family val="2"/>
      </rPr>
      <t>GO2,sur</t>
    </r>
    <r>
      <rPr>
        <sz val="11"/>
        <rFont val="Calibri"/>
        <family val="2"/>
      </rPr>
      <t>*(S</t>
    </r>
    <r>
      <rPr>
        <vertAlign val="subscript"/>
        <sz val="11"/>
        <rFont val="Calibri"/>
        <family val="2"/>
      </rPr>
      <t>GO2,sur,sat</t>
    </r>
    <r>
      <rPr>
        <sz val="11"/>
        <rFont val="Calibri"/>
        <family val="2"/>
      </rPr>
      <t xml:space="preserve"> - S</t>
    </r>
    <r>
      <rPr>
        <vertAlign val="subscript"/>
        <sz val="11"/>
        <rFont val="Calibri"/>
        <family val="2"/>
      </rPr>
      <t>O2</t>
    </r>
    <r>
      <rPr>
        <sz val="11"/>
        <rFont val="Calibri"/>
        <family val="2"/>
      </rPr>
      <t>)</t>
    </r>
  </si>
  <si>
    <r>
      <t>k</t>
    </r>
    <r>
      <rPr>
        <vertAlign val="subscript"/>
        <sz val="11"/>
        <rFont val="Calibri"/>
        <family val="2"/>
      </rPr>
      <t>L</t>
    </r>
    <r>
      <rPr>
        <sz val="11"/>
        <rFont val="Calibri"/>
        <family val="2"/>
      </rPr>
      <t>a</t>
    </r>
    <r>
      <rPr>
        <vertAlign val="subscript"/>
        <sz val="11"/>
        <rFont val="Calibri"/>
        <family val="2"/>
      </rPr>
      <t>GN2,sur</t>
    </r>
    <r>
      <rPr>
        <sz val="11"/>
        <rFont val="Calibri"/>
        <family val="2"/>
      </rPr>
      <t>*(S</t>
    </r>
    <r>
      <rPr>
        <vertAlign val="subscript"/>
        <sz val="11"/>
        <rFont val="Calibri"/>
        <family val="2"/>
      </rPr>
      <t>GN2,sur,sat</t>
    </r>
    <r>
      <rPr>
        <sz val="11"/>
        <rFont val="Calibri"/>
        <family val="2"/>
      </rPr>
      <t xml:space="preserve"> - S</t>
    </r>
    <r>
      <rPr>
        <vertAlign val="subscript"/>
        <sz val="11"/>
        <rFont val="Calibri"/>
        <family val="2"/>
      </rPr>
      <t>N2</t>
    </r>
    <r>
      <rPr>
        <sz val="11"/>
        <rFont val="Calibri"/>
        <family val="2"/>
      </rPr>
      <t>)</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</si>
  <si>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CH4,bub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CH4,bub,sat </t>
    </r>
    <r>
      <rPr>
        <sz val="11"/>
        <rFont val="Calibri"/>
        <family val="2"/>
        <scheme val="minor"/>
      </rPr>
      <t>- S</t>
    </r>
    <r>
      <rPr>
        <vertAlign val="subscript"/>
        <sz val="11"/>
        <rFont val="Calibri"/>
        <family val="2"/>
        <scheme val="minor"/>
      </rPr>
      <t>CH4</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</si>
  <si>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GH2</t>
    </r>
    <r>
      <rPr>
        <vertAlign val="subscript"/>
        <sz val="11"/>
        <rFont val="Calibri"/>
        <family val="2"/>
        <scheme val="minor"/>
      </rPr>
      <t>,bub</t>
    </r>
    <r>
      <rPr>
        <sz val="11"/>
        <rFont val="Calibri"/>
        <family val="2"/>
        <scheme val="minor"/>
      </rPr>
      <t>*(S</t>
    </r>
    <r>
      <rPr>
        <vertAlign val="subscript"/>
        <sz val="11"/>
        <rFont val="Calibri"/>
        <family val="2"/>
        <charset val="238"/>
        <scheme val="minor"/>
      </rPr>
      <t>GH2</t>
    </r>
    <r>
      <rPr>
        <vertAlign val="subscript"/>
        <sz val="11"/>
        <rFont val="Calibri"/>
        <family val="2"/>
        <scheme val="minor"/>
      </rPr>
      <t xml:space="preserve">,bub,sat </t>
    </r>
    <r>
      <rPr>
        <sz val="11"/>
        <rFont val="Calibri"/>
        <family val="2"/>
        <scheme val="minor"/>
      </rPr>
      <t>- S</t>
    </r>
    <r>
      <rPr>
        <vertAlign val="subscript"/>
        <sz val="11"/>
        <rFont val="Calibri"/>
        <family val="2"/>
        <scheme val="minor"/>
      </rPr>
      <t>H2</t>
    </r>
    <r>
      <rPr>
        <sz val="11"/>
        <rFont val="Calibri"/>
        <family val="2"/>
        <scheme val="minor"/>
      </rPr>
      <t>)</t>
    </r>
  </si>
  <si>
    <r>
      <t>k</t>
    </r>
    <r>
      <rPr>
        <vertAlign val="subscript"/>
        <sz val="11"/>
        <rFont val="Calibri"/>
        <family val="2"/>
      </rPr>
      <t>L</t>
    </r>
    <r>
      <rPr>
        <sz val="11"/>
        <rFont val="Calibri"/>
        <family val="2"/>
      </rPr>
      <t>a</t>
    </r>
    <r>
      <rPr>
        <vertAlign val="subscript"/>
        <sz val="11"/>
        <rFont val="Calibri"/>
        <family val="2"/>
      </rPr>
      <t>GO2,bub</t>
    </r>
    <r>
      <rPr>
        <sz val="11"/>
        <rFont val="Calibri"/>
        <family val="2"/>
      </rPr>
      <t>*(S</t>
    </r>
    <r>
      <rPr>
        <vertAlign val="subscript"/>
        <sz val="11"/>
        <rFont val="Calibri"/>
        <family val="2"/>
        <charset val="238"/>
      </rPr>
      <t>G</t>
    </r>
    <r>
      <rPr>
        <vertAlign val="subscript"/>
        <sz val="11"/>
        <rFont val="Calibri"/>
        <family val="2"/>
      </rPr>
      <t xml:space="preserve">O2,bub,sat </t>
    </r>
    <r>
      <rPr>
        <sz val="11"/>
        <rFont val="Calibri"/>
        <family val="2"/>
      </rPr>
      <t>- S</t>
    </r>
    <r>
      <rPr>
        <vertAlign val="subscript"/>
        <sz val="11"/>
        <rFont val="Calibri"/>
        <family val="2"/>
      </rPr>
      <t>O2</t>
    </r>
    <r>
      <rPr>
        <sz val="11"/>
        <rFont val="Calibri"/>
        <family val="2"/>
      </rPr>
      <t>)</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</si>
  <si>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N2,bub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N2,bub,sat </t>
    </r>
    <r>
      <rPr>
        <sz val="11"/>
        <rFont val="Calibri"/>
        <family val="2"/>
        <scheme val="minor"/>
      </rPr>
      <t>- S</t>
    </r>
    <r>
      <rPr>
        <vertAlign val="subscript"/>
        <sz val="11"/>
        <rFont val="Calibri"/>
        <family val="2"/>
        <scheme val="minor"/>
      </rPr>
      <t>N2</t>
    </r>
    <r>
      <rPr>
        <sz val="11"/>
        <rFont val="Calibri"/>
        <family val="2"/>
        <scheme val="minor"/>
      </rPr>
      <t>)</t>
    </r>
  </si>
  <si>
    <t>1</t>
  </si>
  <si>
    <r>
      <t>-EEQ</t>
    </r>
    <r>
      <rPr>
        <vertAlign val="subscript"/>
        <sz val="11"/>
        <rFont val="Calibri"/>
        <family val="2"/>
      </rPr>
      <t>N2</t>
    </r>
  </si>
  <si>
    <r>
      <t>-1/</t>
    </r>
    <r>
      <rPr>
        <sz val="11"/>
        <rFont val="Calibri"/>
        <family val="2"/>
      </rPr>
      <t>Δ</t>
    </r>
    <r>
      <rPr>
        <vertAlign val="subscript"/>
        <sz val="12.65"/>
        <rFont val="Calibri"/>
        <family val="2"/>
      </rPr>
      <t>atm</t>
    </r>
  </si>
  <si>
    <r>
      <t>1/</t>
    </r>
    <r>
      <rPr>
        <sz val="11"/>
        <rFont val="Calibri"/>
        <family val="2"/>
      </rPr>
      <t>Δ</t>
    </r>
    <r>
      <rPr>
        <vertAlign val="subscript"/>
        <sz val="12.65"/>
        <rFont val="Calibri"/>
        <family val="2"/>
      </rPr>
      <t>atm</t>
    </r>
  </si>
  <si>
    <r>
      <t>-EEQ</t>
    </r>
    <r>
      <rPr>
        <vertAlign val="subscript"/>
        <sz val="11"/>
        <rFont val="Calibri"/>
        <family val="2"/>
        <scheme val="minor"/>
      </rPr>
      <t>N2</t>
    </r>
    <r>
      <rPr>
        <sz val="11"/>
        <rFont val="Calibri"/>
        <family val="2"/>
        <scheme val="minor"/>
      </rPr>
      <t>/Δ</t>
    </r>
    <r>
      <rPr>
        <vertAlign val="subscript"/>
        <sz val="11"/>
        <rFont val="Calibri"/>
        <family val="2"/>
        <scheme val="minor"/>
      </rPr>
      <t>atm</t>
    </r>
  </si>
  <si>
    <r>
      <t>m.d</t>
    </r>
    <r>
      <rPr>
        <vertAlign val="superscript"/>
        <sz val="11"/>
        <rFont val="Calibri"/>
        <family val="2"/>
        <scheme val="minor"/>
      </rPr>
      <t>-1</t>
    </r>
  </si>
  <si>
    <r>
      <t>f</t>
    </r>
    <r>
      <rPr>
        <vertAlign val="subscript"/>
        <sz val="11"/>
        <rFont val="Calibri"/>
        <family val="2"/>
        <scheme val="minor"/>
      </rPr>
      <t>kL,GN2</t>
    </r>
  </si>
  <si>
    <r>
      <t>f</t>
    </r>
    <r>
      <rPr>
        <vertAlign val="subscript"/>
        <sz val="11"/>
        <rFont val="Calibri"/>
        <family val="2"/>
        <scheme val="minor"/>
      </rPr>
      <t>kL,GCH4</t>
    </r>
  </si>
  <si>
    <r>
      <t>f</t>
    </r>
    <r>
      <rPr>
        <vertAlign val="subscript"/>
        <sz val="11"/>
        <rFont val="Calibri"/>
        <family val="2"/>
        <scheme val="minor"/>
      </rPr>
      <t>kL,GH2</t>
    </r>
  </si>
  <si>
    <r>
      <t>T</t>
    </r>
    <r>
      <rPr>
        <vertAlign val="subscript"/>
        <sz val="11"/>
        <rFont val="Calibri"/>
        <family val="2"/>
        <scheme val="minor"/>
      </rPr>
      <t>K</t>
    </r>
  </si>
  <si>
    <r>
      <t>T+T</t>
    </r>
    <r>
      <rPr>
        <vertAlign val="subscript"/>
        <sz val="11"/>
        <rFont val="Calibri"/>
        <family val="2"/>
        <scheme val="minor"/>
      </rPr>
      <t>STP,K</t>
    </r>
  </si>
  <si>
    <t>Deprecated, do not use it in new code. Will be removed after Sumo18.</t>
  </si>
  <si>
    <t>Standard barometric pressure</t>
  </si>
  <si>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</si>
  <si>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</si>
  <si>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</si>
  <si>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</si>
  <si>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</si>
  <si>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</si>
  <si>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</si>
  <si>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</si>
  <si>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t>
    </r>
    <r>
      <rPr>
        <vertAlign val="subscript"/>
        <sz val="11"/>
        <rFont val="Calibri"/>
        <family val="2"/>
        <scheme val="minor"/>
      </rPr>
      <t>GH2S,25</t>
    </r>
  </si>
  <si>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</si>
  <si>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</si>
  <si>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</si>
  <si>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</si>
  <si>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t>Dynamic viscosity of water</t>
  </si>
  <si>
    <r>
      <rPr>
        <sz val="11"/>
        <rFont val="Calibri"/>
        <family val="2"/>
      </rPr>
      <t>ρ</t>
    </r>
    <r>
      <rPr>
        <vertAlign val="subscript"/>
        <sz val="11"/>
        <rFont val="Calibri"/>
        <family val="2"/>
        <scheme val="minor"/>
      </rPr>
      <t>air</t>
    </r>
  </si>
  <si>
    <t>Density of air</t>
  </si>
  <si>
    <r>
      <t>p</t>
    </r>
    <r>
      <rPr>
        <vertAlign val="subscript"/>
        <sz val="11"/>
        <rFont val="Calibri"/>
        <family val="2"/>
      </rPr>
      <t>STP</t>
    </r>
  </si>
  <si>
    <t>Normal barometric pressure</t>
  </si>
  <si>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</si>
  <si>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</si>
  <si>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</si>
  <si>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</si>
  <si>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</si>
  <si>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</si>
  <si>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</si>
  <si>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</si>
  <si>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</si>
  <si>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</si>
  <si>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</si>
  <si>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</si>
  <si>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</si>
  <si>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</si>
  <si>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MM</t>
    </r>
    <r>
      <rPr>
        <vertAlign val="subscript"/>
        <sz val="11"/>
        <rFont val="Calibri"/>
        <family val="2"/>
        <scheme val="minor"/>
      </rPr>
      <t>FeOH3</t>
    </r>
  </si>
  <si>
    <r>
      <t>MM</t>
    </r>
    <r>
      <rPr>
        <vertAlign val="subscript"/>
        <sz val="11"/>
        <rFont val="Calibri"/>
        <family val="2"/>
        <scheme val="minor"/>
      </rPr>
      <t>AlOH3</t>
    </r>
  </si>
  <si>
    <r>
      <t>MM</t>
    </r>
    <r>
      <rPr>
        <vertAlign val="subscript"/>
        <sz val="11"/>
        <rFont val="Calibri"/>
        <family val="2"/>
        <scheme val="minor"/>
      </rPr>
      <t>AlPO4</t>
    </r>
  </si>
  <si>
    <r>
      <t>K</t>
    </r>
    <r>
      <rPr>
        <vertAlign val="subscript"/>
        <sz val="11"/>
        <rFont val="Calibri"/>
        <family val="2"/>
        <charset val="238"/>
        <scheme val="minor"/>
      </rPr>
      <t>NH3,param</t>
    </r>
  </si>
  <si>
    <r>
      <t>K</t>
    </r>
    <r>
      <rPr>
        <vertAlign val="subscript"/>
        <sz val="11"/>
        <rFont val="Calibri"/>
        <family val="2"/>
        <charset val="238"/>
        <scheme val="minor"/>
      </rPr>
      <t>NO2,param</t>
    </r>
  </si>
  <si>
    <r>
      <t>K</t>
    </r>
    <r>
      <rPr>
        <vertAlign val="subscript"/>
        <sz val="11"/>
        <rFont val="Calibri"/>
        <family val="2"/>
        <charset val="238"/>
        <scheme val="minor"/>
      </rPr>
      <t>Ac,param</t>
    </r>
  </si>
  <si>
    <r>
      <t>K</t>
    </r>
    <r>
      <rPr>
        <vertAlign val="subscript"/>
        <sz val="11"/>
        <rFont val="Calibri"/>
        <family val="2"/>
        <charset val="238"/>
        <scheme val="minor"/>
      </rPr>
      <t>H2S,param</t>
    </r>
  </si>
  <si>
    <r>
      <t>D</t>
    </r>
    <r>
      <rPr>
        <vertAlign val="subscript"/>
        <sz val="11"/>
        <rFont val="Calibri"/>
        <family val="2"/>
        <charset val="238"/>
        <scheme val="minor"/>
      </rPr>
      <t>SVFA</t>
    </r>
  </si>
  <si>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</si>
  <si>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</si>
  <si>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</si>
  <si>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</si>
  <si>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r>
      <t>D</t>
    </r>
    <r>
      <rPr>
        <vertAlign val="subscript"/>
        <sz val="11"/>
        <rFont val="Calibri"/>
        <family val="2"/>
        <charset val="238"/>
        <scheme val="minor"/>
      </rPr>
      <t>SB,mono</t>
    </r>
  </si>
  <si>
    <r>
      <t>D</t>
    </r>
    <r>
      <rPr>
        <vertAlign val="subscript"/>
        <sz val="11"/>
        <rFont val="Calibri"/>
        <family val="2"/>
        <charset val="238"/>
        <scheme val="minor"/>
      </rPr>
      <t>SB,poly</t>
    </r>
  </si>
  <si>
    <r>
      <t>D</t>
    </r>
    <r>
      <rPr>
        <vertAlign val="subscript"/>
        <sz val="11"/>
        <rFont val="Calibri"/>
        <family val="2"/>
        <charset val="238"/>
        <scheme val="minor"/>
      </rPr>
      <t>SS</t>
    </r>
  </si>
  <si>
    <r>
      <t>D</t>
    </r>
    <r>
      <rPr>
        <vertAlign val="subscript"/>
        <sz val="11"/>
        <rFont val="Calibri"/>
        <family val="2"/>
        <charset val="238"/>
        <scheme val="minor"/>
      </rPr>
      <t>SF</t>
    </r>
  </si>
  <si>
    <r>
      <t>D</t>
    </r>
    <r>
      <rPr>
        <vertAlign val="subscript"/>
        <sz val="11"/>
        <rFont val="Calibri"/>
        <family val="2"/>
        <charset val="238"/>
        <scheme val="minor"/>
      </rPr>
      <t>SBSC</t>
    </r>
  </si>
  <si>
    <r>
      <t>D</t>
    </r>
    <r>
      <rPr>
        <vertAlign val="subscript"/>
        <sz val="11"/>
        <rFont val="Calibri"/>
        <family val="2"/>
        <charset val="238"/>
        <scheme val="minor"/>
      </rPr>
      <t>SMEOL</t>
    </r>
  </si>
  <si>
    <r>
      <t>D</t>
    </r>
    <r>
      <rPr>
        <vertAlign val="subscript"/>
        <sz val="11"/>
        <rFont val="Calibri"/>
        <family val="2"/>
        <charset val="238"/>
        <scheme val="minor"/>
      </rPr>
      <t>SU</t>
    </r>
  </si>
  <si>
    <r>
      <t>D</t>
    </r>
    <r>
      <rPr>
        <vertAlign val="subscript"/>
        <sz val="11"/>
        <rFont val="Calibri"/>
        <family val="2"/>
        <charset val="238"/>
        <scheme val="minor"/>
      </rPr>
      <t>SI</t>
    </r>
  </si>
  <si>
    <r>
      <t>D</t>
    </r>
    <r>
      <rPr>
        <vertAlign val="subscript"/>
        <sz val="11"/>
        <rFont val="Calibri"/>
        <family val="2"/>
        <charset val="238"/>
        <scheme val="minor"/>
      </rPr>
      <t>SNHx</t>
    </r>
  </si>
  <si>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</si>
  <si>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</si>
  <si>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</si>
  <si>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r>
      <t>D</t>
    </r>
    <r>
      <rPr>
        <vertAlign val="subscript"/>
        <sz val="11"/>
        <rFont val="Calibri"/>
        <family val="2"/>
        <charset val="238"/>
        <scheme val="minor"/>
      </rPr>
      <t>NO3</t>
    </r>
  </si>
  <si>
    <r>
      <t>D</t>
    </r>
    <r>
      <rPr>
        <vertAlign val="subscript"/>
        <sz val="11"/>
        <rFont val="Calibri"/>
        <family val="2"/>
        <charset val="238"/>
        <scheme val="minor"/>
      </rPr>
      <t>PO4</t>
    </r>
  </si>
  <si>
    <r>
      <t>D</t>
    </r>
    <r>
      <rPr>
        <vertAlign val="subscript"/>
        <sz val="11"/>
        <rFont val="Calibri"/>
        <family val="2"/>
        <charset val="238"/>
        <scheme val="minor"/>
      </rPr>
      <t>SN2</t>
    </r>
  </si>
  <si>
    <r>
      <t>D</t>
    </r>
    <r>
      <rPr>
        <vertAlign val="subscript"/>
        <sz val="11"/>
        <rFont val="Calibri"/>
        <family val="2"/>
        <charset val="238"/>
        <scheme val="minor"/>
      </rPr>
      <t>NUS</t>
    </r>
  </si>
  <si>
    <r>
      <t>D</t>
    </r>
    <r>
      <rPr>
        <vertAlign val="subscript"/>
        <sz val="11"/>
        <rFont val="Calibri"/>
        <family val="2"/>
        <charset val="238"/>
        <scheme val="minor"/>
      </rPr>
      <t>NBS</t>
    </r>
  </si>
  <si>
    <r>
      <t>D</t>
    </r>
    <r>
      <rPr>
        <vertAlign val="subscript"/>
        <sz val="11"/>
        <rFont val="Calibri"/>
        <family val="2"/>
        <charset val="238"/>
        <scheme val="minor"/>
      </rPr>
      <t>SUS</t>
    </r>
  </si>
  <si>
    <r>
      <t>D</t>
    </r>
    <r>
      <rPr>
        <vertAlign val="subscript"/>
        <sz val="11"/>
        <rFont val="Calibri"/>
        <family val="2"/>
        <charset val="238"/>
        <scheme val="minor"/>
      </rPr>
      <t>SNOx</t>
    </r>
  </si>
  <si>
    <r>
      <t>D</t>
    </r>
    <r>
      <rPr>
        <vertAlign val="subscript"/>
        <sz val="11"/>
        <rFont val="Calibri"/>
        <family val="2"/>
        <charset val="238"/>
        <scheme val="minor"/>
      </rPr>
      <t>SNO2</t>
    </r>
  </si>
  <si>
    <r>
      <t>D</t>
    </r>
    <r>
      <rPr>
        <vertAlign val="subscript"/>
        <sz val="11"/>
        <rFont val="Calibri"/>
        <family val="2"/>
        <charset val="238"/>
        <scheme val="minor"/>
      </rPr>
      <t>SNO3</t>
    </r>
  </si>
  <si>
    <r>
      <t>D</t>
    </r>
    <r>
      <rPr>
        <vertAlign val="subscript"/>
        <sz val="11"/>
        <rFont val="Calibri"/>
        <family val="2"/>
        <charset val="238"/>
        <scheme val="minor"/>
      </rPr>
      <t>SN,B</t>
    </r>
  </si>
  <si>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</si>
  <si>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</si>
  <si>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</si>
  <si>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</si>
  <si>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r>
      <t>D</t>
    </r>
    <r>
      <rPr>
        <vertAlign val="subscript"/>
        <sz val="11"/>
        <rFont val="Calibri"/>
        <family val="2"/>
        <charset val="238"/>
        <scheme val="minor"/>
      </rPr>
      <t>SO2</t>
    </r>
  </si>
  <si>
    <r>
      <t>D</t>
    </r>
    <r>
      <rPr>
        <vertAlign val="subscript"/>
        <sz val="11"/>
        <rFont val="Calibri"/>
        <family val="2"/>
        <charset val="238"/>
        <scheme val="minor"/>
      </rPr>
      <t>SCH4</t>
    </r>
  </si>
  <si>
    <r>
      <t>D</t>
    </r>
    <r>
      <rPr>
        <vertAlign val="subscript"/>
        <sz val="11"/>
        <rFont val="Calibri"/>
        <family val="2"/>
        <charset val="238"/>
        <scheme val="minor"/>
      </rPr>
      <t>SH2</t>
    </r>
  </si>
  <si>
    <r>
      <t>D</t>
    </r>
    <r>
      <rPr>
        <vertAlign val="subscript"/>
        <sz val="11"/>
        <rFont val="Calibri"/>
        <family val="2"/>
        <charset val="238"/>
        <scheme val="minor"/>
      </rPr>
      <t>SCO2</t>
    </r>
  </si>
  <si>
    <r>
      <t>D</t>
    </r>
    <r>
      <rPr>
        <vertAlign val="subscript"/>
        <sz val="11"/>
        <rFont val="Calibri"/>
        <family val="2"/>
        <charset val="238"/>
        <scheme val="minor"/>
      </rPr>
      <t>SK</t>
    </r>
  </si>
  <si>
    <r>
      <t>D</t>
    </r>
    <r>
      <rPr>
        <vertAlign val="subscript"/>
        <sz val="11"/>
        <rFont val="Calibri"/>
        <family val="2"/>
        <charset val="238"/>
        <scheme val="minor"/>
      </rPr>
      <t>SCa</t>
    </r>
  </si>
  <si>
    <r>
      <t>D</t>
    </r>
    <r>
      <rPr>
        <vertAlign val="subscript"/>
        <sz val="11"/>
        <rFont val="Calibri"/>
        <family val="2"/>
        <charset val="238"/>
        <scheme val="minor"/>
      </rPr>
      <t>SMg</t>
    </r>
  </si>
  <si>
    <r>
      <t>D</t>
    </r>
    <r>
      <rPr>
        <vertAlign val="subscript"/>
        <sz val="11"/>
        <rFont val="Calibri"/>
        <family val="2"/>
        <charset val="238"/>
        <scheme val="minor"/>
      </rPr>
      <t>SCAT</t>
    </r>
  </si>
  <si>
    <r>
      <t>D</t>
    </r>
    <r>
      <rPr>
        <vertAlign val="subscript"/>
        <sz val="11"/>
        <rFont val="Calibri"/>
        <family val="2"/>
        <charset val="238"/>
        <scheme val="minor"/>
      </rPr>
      <t>SAN</t>
    </r>
  </si>
  <si>
    <r>
      <t>D</t>
    </r>
    <r>
      <rPr>
        <vertAlign val="subscript"/>
        <sz val="11"/>
        <rFont val="Calibri"/>
        <family val="2"/>
        <charset val="238"/>
        <scheme val="minor"/>
      </rPr>
      <t>SH2S</t>
    </r>
  </si>
  <si>
    <r>
      <t>D</t>
    </r>
    <r>
      <rPr>
        <vertAlign val="subscript"/>
        <sz val="11"/>
        <rFont val="Calibri"/>
        <family val="2"/>
        <charset val="238"/>
        <scheme val="minor"/>
      </rPr>
      <t>SSO4</t>
    </r>
  </si>
  <si>
    <r>
      <t>D</t>
    </r>
    <r>
      <rPr>
        <vertAlign val="subscript"/>
        <sz val="11"/>
        <rFont val="Calibri"/>
        <family val="2"/>
        <charset val="238"/>
        <scheme val="minor"/>
      </rPr>
      <t>SFe2</t>
    </r>
  </si>
  <si>
    <r>
      <t>D</t>
    </r>
    <r>
      <rPr>
        <vertAlign val="subscript"/>
        <sz val="11"/>
        <rFont val="Calibri"/>
        <family val="2"/>
        <charset val="238"/>
        <scheme val="minor"/>
      </rPr>
      <t>SALK</t>
    </r>
  </si>
  <si>
    <r>
      <t>D</t>
    </r>
    <r>
      <rPr>
        <vertAlign val="subscript"/>
        <sz val="11"/>
        <rFont val="Calibri"/>
        <family val="2"/>
        <charset val="238"/>
        <scheme val="minor"/>
      </rPr>
      <t>SMM,index</t>
    </r>
  </si>
  <si>
    <r>
      <t>D</t>
    </r>
    <r>
      <rPr>
        <vertAlign val="subscript"/>
        <sz val="11"/>
        <rFont val="Calibri"/>
        <family val="2"/>
        <charset val="238"/>
        <scheme val="minor"/>
      </rPr>
      <t>CB</t>
    </r>
  </si>
  <si>
    <r>
      <t>D</t>
    </r>
    <r>
      <rPr>
        <vertAlign val="subscript"/>
        <sz val="11"/>
        <rFont val="Calibri"/>
        <family val="2"/>
        <charset val="238"/>
        <scheme val="minor"/>
      </rPr>
      <t>CU</t>
    </r>
  </si>
  <si>
    <t>Other parameters - gas transfer via bubbles</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</si>
  <si>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,bub</t>
    </r>
  </si>
  <si>
    <t>H2S mass transfer coefficient for gas bubbles from PU code</t>
  </si>
  <si>
    <r>
      <t>d</t>
    </r>
    <r>
      <rPr>
        <vertAlign val="superscript"/>
        <sz val="11"/>
        <rFont val="Calibri"/>
        <family val="2"/>
        <charset val="238"/>
      </rPr>
      <t>-1</t>
    </r>
  </si>
  <si>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O2,bub</t>
    </r>
  </si>
  <si>
    <t>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</si>
  <si>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O2,bub</t>
    </r>
  </si>
  <si>
    <t>CO2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</si>
  <si>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,bub</t>
    </r>
  </si>
  <si>
    <t>CH4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</si>
  <si>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,bub</t>
    </r>
  </si>
  <si>
    <t>H2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</si>
  <si>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,bub</t>
    </r>
  </si>
  <si>
    <t>NH3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</si>
  <si>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,bub</t>
    </r>
  </si>
  <si>
    <t>N2 mass transfer coefficient for gas bubbles from PU code</t>
  </si>
  <si>
    <r>
      <t>S</t>
    </r>
    <r>
      <rPr>
        <vertAlign val="subscript"/>
        <sz val="11"/>
        <rFont val="Calibri"/>
        <family val="2"/>
        <charset val="238"/>
      </rPr>
      <t>G</t>
    </r>
    <r>
      <rPr>
        <vertAlign val="subscript"/>
        <sz val="11"/>
        <rFont val="Calibri"/>
        <family val="2"/>
      </rPr>
      <t>H2S,bub,sat</t>
    </r>
  </si>
  <si>
    <t>H2S saturation concentration at gas bubble interface</t>
  </si>
  <si>
    <r>
      <t>f(G</t>
    </r>
    <r>
      <rPr>
        <vertAlign val="subscript"/>
        <sz val="11"/>
        <rFont val="Calibri"/>
        <family val="2"/>
      </rPr>
      <t>H2S</t>
    </r>
    <r>
      <rPr>
        <sz val="11"/>
        <rFont val="Calibri"/>
        <family val="2"/>
      </rPr>
      <t>)</t>
    </r>
  </si>
  <si>
    <r>
      <t>S</t>
    </r>
    <r>
      <rPr>
        <vertAlign val="subscript"/>
        <sz val="11"/>
        <rFont val="Calibri"/>
        <family val="2"/>
        <charset val="238"/>
      </rPr>
      <t>G</t>
    </r>
    <r>
      <rPr>
        <vertAlign val="subscript"/>
        <sz val="11"/>
        <rFont val="Calibri"/>
        <family val="2"/>
      </rPr>
      <t>O2,bub,sat</t>
    </r>
  </si>
  <si>
    <t>O2 saturation concentration at gas bubble interface</t>
  </si>
  <si>
    <r>
      <t>S</t>
    </r>
    <r>
      <rPr>
        <vertAlign val="subscript"/>
        <sz val="11"/>
        <rFont val="Calibri"/>
        <family val="2"/>
        <charset val="238"/>
      </rPr>
      <t>G</t>
    </r>
    <r>
      <rPr>
        <vertAlign val="subscript"/>
        <sz val="11"/>
        <rFont val="Calibri"/>
        <family val="2"/>
      </rPr>
      <t>CO2,bub,sat</t>
    </r>
  </si>
  <si>
    <t>CO2 saturation concentration at gas bubble interface</t>
  </si>
  <si>
    <r>
      <t>S</t>
    </r>
    <r>
      <rPr>
        <vertAlign val="subscript"/>
        <sz val="11"/>
        <rFont val="Calibri"/>
        <family val="2"/>
        <charset val="238"/>
      </rPr>
      <t>G</t>
    </r>
    <r>
      <rPr>
        <vertAlign val="subscript"/>
        <sz val="11"/>
        <rFont val="Calibri"/>
        <family val="2"/>
      </rPr>
      <t>CH4,bub,sat</t>
    </r>
  </si>
  <si>
    <t>CH4 saturation concentration at gas bubble interface</t>
  </si>
  <si>
    <r>
      <t>S</t>
    </r>
    <r>
      <rPr>
        <vertAlign val="subscript"/>
        <sz val="11"/>
        <rFont val="Calibri"/>
        <family val="2"/>
        <charset val="238"/>
      </rPr>
      <t>G</t>
    </r>
    <r>
      <rPr>
        <vertAlign val="subscript"/>
        <sz val="11"/>
        <rFont val="Calibri"/>
        <family val="2"/>
      </rPr>
      <t>H2,bub,sat</t>
    </r>
  </si>
  <si>
    <t>H2 saturation concentration at gas bubble interface</t>
  </si>
  <si>
    <r>
      <t>S</t>
    </r>
    <r>
      <rPr>
        <vertAlign val="subscript"/>
        <sz val="11"/>
        <rFont val="Calibri"/>
        <family val="2"/>
        <charset val="238"/>
      </rPr>
      <t>G</t>
    </r>
    <r>
      <rPr>
        <vertAlign val="subscript"/>
        <sz val="11"/>
        <rFont val="Calibri"/>
        <family val="2"/>
      </rPr>
      <t>NH3,bub,sat</t>
    </r>
  </si>
  <si>
    <t>NH3 saturation concentration at gas bubble interface</t>
  </si>
  <si>
    <r>
      <t>f(G</t>
    </r>
    <r>
      <rPr>
        <vertAlign val="subscript"/>
        <sz val="11"/>
        <rFont val="Calibri"/>
        <family val="2"/>
      </rPr>
      <t>NH3</t>
    </r>
    <r>
      <rPr>
        <sz val="11"/>
        <rFont val="Calibri"/>
        <family val="2"/>
      </rPr>
      <t>)</t>
    </r>
  </si>
  <si>
    <r>
      <t>S</t>
    </r>
    <r>
      <rPr>
        <vertAlign val="subscript"/>
        <sz val="11"/>
        <rFont val="Calibri"/>
        <family val="2"/>
        <charset val="238"/>
      </rPr>
      <t>G</t>
    </r>
    <r>
      <rPr>
        <vertAlign val="subscript"/>
        <sz val="11"/>
        <rFont val="Calibri"/>
        <family val="2"/>
      </rPr>
      <t>N2,bub,sat</t>
    </r>
  </si>
  <si>
    <t>N2 saturation concentration at gas bubble interface</t>
  </si>
  <si>
    <t>Other parameters - gas transfer via reactor surface</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</si>
  <si>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,sur</t>
    </r>
  </si>
  <si>
    <t>H2S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</si>
  <si>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O2,sur</t>
    </r>
  </si>
  <si>
    <t>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</si>
  <si>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O2,sur</t>
    </r>
  </si>
  <si>
    <t>CO2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</si>
  <si>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,sur</t>
    </r>
  </si>
  <si>
    <t>CH4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</si>
  <si>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,sur</t>
    </r>
  </si>
  <si>
    <t>H2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</si>
  <si>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,sur</t>
    </r>
  </si>
  <si>
    <t>NH3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</si>
  <si>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,sur</t>
    </r>
  </si>
  <si>
    <t>N2 mass transfer coefficient at liquid surface from PU code</t>
  </si>
  <si>
    <r>
      <t>S</t>
    </r>
    <r>
      <rPr>
        <vertAlign val="subscript"/>
        <sz val="11"/>
        <rFont val="Calibri"/>
        <family val="2"/>
        <charset val="238"/>
      </rPr>
      <t>G</t>
    </r>
    <r>
      <rPr>
        <vertAlign val="subscript"/>
        <sz val="11"/>
        <rFont val="Calibri"/>
        <family val="2"/>
      </rPr>
      <t>H2S,sur,sat</t>
    </r>
  </si>
  <si>
    <t>H2S saturation concentration at atmospheric interface</t>
  </si>
  <si>
    <r>
      <t>f(G</t>
    </r>
    <r>
      <rPr>
        <vertAlign val="subscript"/>
        <sz val="11"/>
        <rFont val="Calibri"/>
        <family val="2"/>
      </rPr>
      <t>H2S,atm</t>
    </r>
    <r>
      <rPr>
        <sz val="11"/>
        <rFont val="Calibri"/>
        <family val="2"/>
      </rPr>
      <t>)</t>
    </r>
  </si>
  <si>
    <r>
      <t>S</t>
    </r>
    <r>
      <rPr>
        <vertAlign val="subscript"/>
        <sz val="11"/>
        <rFont val="Calibri"/>
        <family val="2"/>
        <charset val="238"/>
      </rPr>
      <t>G</t>
    </r>
    <r>
      <rPr>
        <vertAlign val="subscript"/>
        <sz val="11"/>
        <rFont val="Calibri"/>
        <family val="2"/>
      </rPr>
      <t>O2,sur,sat</t>
    </r>
  </si>
  <si>
    <t>O2 saturation concentration at atmospheric interface</t>
  </si>
  <si>
    <r>
      <t>f(G</t>
    </r>
    <r>
      <rPr>
        <vertAlign val="subscript"/>
        <sz val="11"/>
        <rFont val="Calibri"/>
        <family val="2"/>
      </rPr>
      <t>O2,atm</t>
    </r>
    <r>
      <rPr>
        <sz val="11"/>
        <rFont val="Calibri"/>
        <family val="2"/>
      </rPr>
      <t>)</t>
    </r>
  </si>
  <si>
    <r>
      <t>S</t>
    </r>
    <r>
      <rPr>
        <vertAlign val="subscript"/>
        <sz val="11"/>
        <rFont val="Calibri"/>
        <family val="2"/>
        <charset val="238"/>
      </rPr>
      <t>G</t>
    </r>
    <r>
      <rPr>
        <vertAlign val="subscript"/>
        <sz val="11"/>
        <rFont val="Calibri"/>
        <family val="2"/>
      </rPr>
      <t>CO2,sur,sat</t>
    </r>
  </si>
  <si>
    <t>CO2 saturation concentration at atmospheric interface</t>
  </si>
  <si>
    <r>
      <t>f(G</t>
    </r>
    <r>
      <rPr>
        <vertAlign val="subscript"/>
        <sz val="11"/>
        <rFont val="Calibri"/>
        <family val="2"/>
      </rPr>
      <t>CO2,atm</t>
    </r>
    <r>
      <rPr>
        <sz val="11"/>
        <rFont val="Calibri"/>
        <family val="2"/>
      </rPr>
      <t>)</t>
    </r>
  </si>
  <si>
    <r>
      <t>S</t>
    </r>
    <r>
      <rPr>
        <vertAlign val="subscript"/>
        <sz val="11"/>
        <rFont val="Calibri"/>
        <family val="2"/>
        <charset val="238"/>
      </rPr>
      <t>G</t>
    </r>
    <r>
      <rPr>
        <vertAlign val="subscript"/>
        <sz val="11"/>
        <rFont val="Calibri"/>
        <family val="2"/>
      </rPr>
      <t>CH4,sur,sat</t>
    </r>
  </si>
  <si>
    <t>CH4 saturation concentration at atmospheric interface</t>
  </si>
  <si>
    <r>
      <t>f(G</t>
    </r>
    <r>
      <rPr>
        <vertAlign val="subscript"/>
        <sz val="11"/>
        <rFont val="Calibri"/>
        <family val="2"/>
      </rPr>
      <t>CH4,atm</t>
    </r>
    <r>
      <rPr>
        <sz val="11"/>
        <rFont val="Calibri"/>
        <family val="2"/>
      </rPr>
      <t>)</t>
    </r>
  </si>
  <si>
    <r>
      <t>S</t>
    </r>
    <r>
      <rPr>
        <vertAlign val="subscript"/>
        <sz val="11"/>
        <rFont val="Calibri"/>
        <family val="2"/>
        <charset val="238"/>
      </rPr>
      <t>G</t>
    </r>
    <r>
      <rPr>
        <vertAlign val="subscript"/>
        <sz val="11"/>
        <rFont val="Calibri"/>
        <family val="2"/>
      </rPr>
      <t>H2,sur,sat</t>
    </r>
  </si>
  <si>
    <t>H2 saturation concentration at atmospheric interface</t>
  </si>
  <si>
    <r>
      <t>f(G</t>
    </r>
    <r>
      <rPr>
        <vertAlign val="subscript"/>
        <sz val="11"/>
        <rFont val="Calibri"/>
        <family val="2"/>
      </rPr>
      <t>H2,atm</t>
    </r>
    <r>
      <rPr>
        <sz val="11"/>
        <rFont val="Calibri"/>
        <family val="2"/>
      </rPr>
      <t>)</t>
    </r>
  </si>
  <si>
    <r>
      <t>S</t>
    </r>
    <r>
      <rPr>
        <vertAlign val="subscript"/>
        <sz val="11"/>
        <rFont val="Calibri"/>
        <family val="2"/>
        <charset val="238"/>
      </rPr>
      <t>G</t>
    </r>
    <r>
      <rPr>
        <vertAlign val="subscript"/>
        <sz val="11"/>
        <rFont val="Calibri"/>
        <family val="2"/>
      </rPr>
      <t>NH3,sur,sat</t>
    </r>
  </si>
  <si>
    <t>NH3 saturation concentration at atmospheric interface</t>
  </si>
  <si>
    <r>
      <t>f(G</t>
    </r>
    <r>
      <rPr>
        <vertAlign val="subscript"/>
        <sz val="11"/>
        <rFont val="Calibri"/>
        <family val="2"/>
      </rPr>
      <t>NH3,atm</t>
    </r>
    <r>
      <rPr>
        <sz val="11"/>
        <rFont val="Calibri"/>
        <family val="2"/>
      </rPr>
      <t>)</t>
    </r>
  </si>
  <si>
    <r>
      <t>S</t>
    </r>
    <r>
      <rPr>
        <vertAlign val="subscript"/>
        <sz val="11"/>
        <rFont val="Calibri"/>
        <family val="2"/>
        <charset val="238"/>
      </rPr>
      <t>G</t>
    </r>
    <r>
      <rPr>
        <vertAlign val="subscript"/>
        <sz val="11"/>
        <rFont val="Calibri"/>
        <family val="2"/>
      </rPr>
      <t>N2,sur,sat</t>
    </r>
  </si>
  <si>
    <t>N2 saturation concentration at atmospheric interface</t>
  </si>
  <si>
    <r>
      <t>f(G</t>
    </r>
    <r>
      <rPr>
        <vertAlign val="subscript"/>
        <sz val="11"/>
        <rFont val="Calibri"/>
        <family val="2"/>
      </rPr>
      <t>N2,atm</t>
    </r>
    <r>
      <rPr>
        <sz val="11"/>
        <rFont val="Calibri"/>
        <family val="2"/>
      </rPr>
      <t>)</t>
    </r>
  </si>
  <si>
    <r>
      <t>G</t>
    </r>
    <r>
      <rPr>
        <b/>
        <vertAlign val="subscript"/>
        <sz val="11"/>
        <rFont val="Calibri"/>
        <family val="2"/>
        <charset val="238"/>
      </rPr>
      <t>CH4</t>
    </r>
  </si>
  <si>
    <r>
      <t>g COD.m</t>
    </r>
    <r>
      <rPr>
        <vertAlign val="superscript"/>
        <sz val="11"/>
        <color theme="1"/>
        <rFont val="Calibri"/>
        <family val="2"/>
        <scheme val="minor"/>
      </rPr>
      <t>-3</t>
    </r>
  </si>
  <si>
    <r>
      <t>G</t>
    </r>
    <r>
      <rPr>
        <b/>
        <vertAlign val="subscript"/>
        <sz val="11"/>
        <rFont val="Calibri"/>
        <family val="2"/>
        <charset val="238"/>
      </rPr>
      <t>H2</t>
    </r>
  </si>
  <si>
    <r>
      <t>G</t>
    </r>
    <r>
      <rPr>
        <b/>
        <vertAlign val="subscript"/>
        <sz val="11"/>
        <rFont val="Calibri"/>
        <family val="2"/>
        <charset val="238"/>
      </rPr>
      <t>O2</t>
    </r>
  </si>
  <si>
    <r>
      <t>g O</t>
    </r>
    <r>
      <rPr>
        <vertAlign val="subscript"/>
        <sz val="11"/>
        <color theme="1"/>
        <rFont val="Calibri"/>
        <family val="2"/>
        <scheme val="minor"/>
      </rPr>
      <t>2</t>
    </r>
    <r>
      <rPr>
        <sz val="11"/>
        <color theme="1"/>
        <rFont val="Calibri"/>
        <family val="2"/>
        <scheme val="minor"/>
      </rPr>
      <t>.m</t>
    </r>
    <r>
      <rPr>
        <vertAlign val="superscript"/>
        <sz val="11"/>
        <color theme="1"/>
        <rFont val="Calibri"/>
        <family val="2"/>
        <scheme val="minor"/>
      </rPr>
      <t>-3</t>
    </r>
  </si>
  <si>
    <r>
      <t>G</t>
    </r>
    <r>
      <rPr>
        <b/>
        <vertAlign val="subscript"/>
        <sz val="11"/>
        <rFont val="Calibri"/>
        <family val="2"/>
        <charset val="238"/>
      </rPr>
      <t>N2</t>
    </r>
  </si>
  <si>
    <r>
      <t>g N</t>
    </r>
    <r>
      <rPr>
        <sz val="11"/>
        <color theme="1"/>
        <rFont val="Calibri"/>
        <family val="2"/>
        <scheme val="minor"/>
      </rPr>
      <t>.m</t>
    </r>
    <r>
      <rPr>
        <vertAlign val="superscript"/>
        <sz val="11"/>
        <color theme="1"/>
        <rFont val="Calibri"/>
        <family val="2"/>
        <scheme val="minor"/>
      </rPr>
      <t>-3</t>
    </r>
  </si>
  <si>
    <r>
      <t>MJ.m</t>
    </r>
    <r>
      <rPr>
        <vertAlign val="superscript"/>
        <sz val="11"/>
        <rFont val="Calibri"/>
        <family val="2"/>
      </rPr>
      <t>-3</t>
    </r>
  </si>
  <si>
    <r>
      <t>T</t>
    </r>
    <r>
      <rPr>
        <vertAlign val="subscript"/>
        <sz val="11"/>
        <rFont val="Calibri"/>
        <family val="2"/>
        <scheme val="minor"/>
      </rPr>
      <t>P</t>
    </r>
  </si>
  <si>
    <t>Total phosphorus</t>
  </si>
  <si>
    <r>
      <t>ratio</t>
    </r>
    <r>
      <rPr>
        <vertAlign val="subscript"/>
        <sz val="11"/>
        <rFont val="Calibri"/>
        <family val="2"/>
        <scheme val="minor"/>
      </rPr>
      <t>VSS,TSS</t>
    </r>
  </si>
  <si>
    <t>VSS/TSS ratio</t>
  </si>
  <si>
    <r>
      <t>X</t>
    </r>
    <r>
      <rPr>
        <vertAlign val="subscript"/>
        <sz val="11"/>
        <rFont val="Calibri"/>
        <family val="2"/>
        <scheme val="minor"/>
      </rPr>
      <t>VSS</t>
    </r>
    <r>
      <rPr>
        <sz val="11"/>
        <rFont val="Calibri"/>
        <family val="2"/>
        <scheme val="minor"/>
      </rPr>
      <t>/X</t>
    </r>
    <r>
      <rPr>
        <vertAlign val="subscript"/>
        <sz val="11"/>
        <rFont val="Calibri"/>
        <family val="2"/>
        <scheme val="minor"/>
      </rPr>
      <t>TSS</t>
    </r>
  </si>
  <si>
    <r>
      <t>g VSS.g TSS</t>
    </r>
    <r>
      <rPr>
        <vertAlign val="superscript"/>
        <sz val="11"/>
        <rFont val="Calibri"/>
        <family val="2"/>
        <charset val="238"/>
        <scheme val="minor"/>
      </rPr>
      <t>-1</t>
    </r>
  </si>
  <si>
    <r>
      <t>X</t>
    </r>
    <r>
      <rPr>
        <vertAlign val="subscript"/>
        <sz val="11"/>
        <rFont val="Calibri"/>
        <family val="2"/>
        <scheme val="minor"/>
      </rPr>
      <t>Me,P</t>
    </r>
  </si>
  <si>
    <t>Total phosphorus in metal precipitates</t>
  </si>
  <si>
    <r>
      <t>f</t>
    </r>
    <r>
      <rPr>
        <vertAlign val="subscript"/>
        <sz val="11"/>
        <rFont val="Calibri"/>
        <family val="2"/>
        <scheme val="minor"/>
      </rPr>
      <t>P,Fe</t>
    </r>
    <r>
      <rPr>
        <sz val="11"/>
        <rFont val="Calibri"/>
        <family val="2"/>
        <scheme val="minor"/>
      </rPr>
      <t>*X</t>
    </r>
    <r>
      <rPr>
        <vertAlign val="subscript"/>
        <sz val="11"/>
        <rFont val="Calibri"/>
        <family val="2"/>
        <scheme val="minor"/>
      </rPr>
      <t>FeP</t>
    </r>
    <r>
      <rPr>
        <sz val="11"/>
        <rFont val="Calibri"/>
        <family val="2"/>
        <scheme val="minor"/>
      </rPr>
      <t>+ f</t>
    </r>
    <r>
      <rPr>
        <vertAlign val="subscript"/>
        <sz val="11"/>
        <rFont val="Calibri"/>
        <family val="2"/>
        <scheme val="minor"/>
      </rPr>
      <t>P,Al</t>
    </r>
    <r>
      <rPr>
        <sz val="11"/>
        <rFont val="Calibri"/>
        <family val="2"/>
        <scheme val="minor"/>
      </rPr>
      <t>*X</t>
    </r>
    <r>
      <rPr>
        <vertAlign val="subscript"/>
        <sz val="11"/>
        <rFont val="Calibri"/>
        <family val="2"/>
        <scheme val="minor"/>
      </rPr>
      <t>AlP</t>
    </r>
  </si>
  <si>
    <r>
      <t>i</t>
    </r>
    <r>
      <rPr>
        <vertAlign val="subscript"/>
        <sz val="11"/>
        <rFont val="Calibri"/>
        <family val="2"/>
        <scheme val="minor"/>
      </rPr>
      <t>P,BIO</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E</t>
    </r>
    <r>
      <rPr>
        <sz val="11"/>
        <rFont val="Calibri"/>
        <family val="2"/>
        <scheme val="minor"/>
      </rPr>
      <t>) + S</t>
    </r>
    <r>
      <rPr>
        <vertAlign val="subscript"/>
        <sz val="11"/>
        <rFont val="Calibri"/>
        <family val="2"/>
        <scheme val="minor"/>
      </rPr>
      <t>PO4</t>
    </r>
    <r>
      <rPr>
        <sz val="11"/>
        <rFont val="Calibri"/>
        <family val="2"/>
        <scheme val="minor"/>
      </rPr>
      <t xml:space="preserve"> + X</t>
    </r>
    <r>
      <rPr>
        <vertAlign val="subscript"/>
        <sz val="11"/>
        <rFont val="Calibri"/>
        <family val="2"/>
        <scheme val="minor"/>
      </rPr>
      <t>P,B</t>
    </r>
    <r>
      <rPr>
        <sz val="11"/>
        <rFont val="Calibri"/>
        <family val="2"/>
        <scheme val="minor"/>
      </rPr>
      <t xml:space="preserve"> + X</t>
    </r>
    <r>
      <rPr>
        <vertAlign val="subscript"/>
        <sz val="11"/>
        <rFont val="Calibri"/>
        <family val="2"/>
        <scheme val="minor"/>
      </rPr>
      <t>Me,P</t>
    </r>
  </si>
  <si>
    <t>Depreciated constants from next Sumo version</t>
  </si>
  <si>
    <t>Diffusion coefficients for gas phase state variables</t>
  </si>
  <si>
    <t>Atmosphere composition</t>
  </si>
  <si>
    <t>heat capacity ratio</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</si>
  <si>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</si>
  <si>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t>Molar mass of ammonium ion</t>
  </si>
  <si>
    <t>Molar mass of nitrite ion</t>
  </si>
  <si>
    <t>Molar mass of nitrate ion</t>
  </si>
  <si>
    <t>Solubility  constant of CaCO3</t>
  </si>
  <si>
    <t>Solubility  constant of struvite</t>
  </si>
  <si>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</si>
  <si>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</si>
  <si>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</si>
  <si>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</si>
  <si>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</si>
  <si>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</si>
  <si>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</si>
  <si>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</si>
  <si>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</si>
  <si>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</si>
  <si>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</si>
  <si>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</si>
  <si>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r>
      <t>c</t>
    </r>
    <r>
      <rPr>
        <vertAlign val="subscript"/>
        <sz val="11"/>
        <rFont val="Calibri"/>
        <family val="2"/>
        <scheme val="minor"/>
      </rPr>
      <t>cm,m</t>
    </r>
  </si>
  <si>
    <t>Conversion coefficient between centimeters and meters</t>
  </si>
  <si>
    <t>Standard enthalpy of Magnesium ion</t>
  </si>
  <si>
    <t>Diffusion coefficients for liquid phase state variables</t>
  </si>
  <si>
    <r>
      <t>K</t>
    </r>
    <r>
      <rPr>
        <vertAlign val="subscript"/>
        <sz val="11"/>
        <rFont val="Calibri"/>
        <family val="2"/>
        <scheme val="minor"/>
      </rPr>
      <t>SB,AS</t>
    </r>
    <r>
      <rPr>
        <sz val="11"/>
        <rFont val="Calibri"/>
        <family val="2"/>
        <scheme val="minor"/>
      </rPr>
      <t>*f</t>
    </r>
    <r>
      <rPr>
        <vertAlign val="subscript"/>
        <sz val="11"/>
        <rFont val="Calibri"/>
        <family val="2"/>
        <scheme val="minor"/>
      </rPr>
      <t>KS</t>
    </r>
  </si>
  <si>
    <r>
      <t>K</t>
    </r>
    <r>
      <rPr>
        <vertAlign val="subscript"/>
        <sz val="11"/>
        <rFont val="Calibri"/>
        <family val="2"/>
        <scheme val="minor"/>
      </rPr>
      <t>O2,OHO,AS</t>
    </r>
    <r>
      <rPr>
        <sz val="11"/>
        <rFont val="Calibri"/>
        <family val="2"/>
        <scheme val="minor"/>
      </rPr>
      <t>*f</t>
    </r>
    <r>
      <rPr>
        <vertAlign val="subscript"/>
        <sz val="11"/>
        <rFont val="Calibri"/>
        <family val="2"/>
        <scheme val="minor"/>
      </rPr>
      <t>KS</t>
    </r>
  </si>
  <si>
    <r>
      <t>K</t>
    </r>
    <r>
      <rPr>
        <vertAlign val="subscript"/>
        <sz val="11"/>
        <rFont val="Calibri"/>
        <family val="2"/>
        <scheme val="minor"/>
      </rPr>
      <t>NOx,OHO,AS</t>
    </r>
    <r>
      <rPr>
        <sz val="11"/>
        <rFont val="Calibri"/>
        <family val="2"/>
        <scheme val="minor"/>
      </rPr>
      <t>*f</t>
    </r>
    <r>
      <rPr>
        <vertAlign val="subscript"/>
        <sz val="11"/>
        <rFont val="Calibri"/>
        <family val="2"/>
        <scheme val="minor"/>
      </rPr>
      <t>KS</t>
    </r>
  </si>
  <si>
    <r>
      <t>K</t>
    </r>
    <r>
      <rPr>
        <vertAlign val="subscript"/>
        <sz val="11"/>
        <rFont val="Calibri"/>
        <family val="2"/>
      </rPr>
      <t>NHx,NITO,AS</t>
    </r>
    <r>
      <rPr>
        <sz val="11"/>
        <rFont val="Calibri"/>
        <family val="2"/>
      </rPr>
      <t>*f</t>
    </r>
    <r>
      <rPr>
        <vertAlign val="subscript"/>
        <sz val="11"/>
        <rFont val="Calibri"/>
        <family val="2"/>
      </rPr>
      <t>KS</t>
    </r>
  </si>
  <si>
    <r>
      <t>K</t>
    </r>
    <r>
      <rPr>
        <vertAlign val="subscript"/>
        <sz val="11"/>
        <rFont val="Calibri"/>
        <family val="2"/>
      </rPr>
      <t>O2,NITO,AS</t>
    </r>
    <r>
      <rPr>
        <sz val="11"/>
        <rFont val="Calibri"/>
        <family val="2"/>
      </rPr>
      <t>*f</t>
    </r>
    <r>
      <rPr>
        <vertAlign val="subscript"/>
        <sz val="11"/>
        <rFont val="Calibri"/>
        <family val="2"/>
      </rPr>
      <t>KS</t>
    </r>
  </si>
  <si>
    <r>
      <t>K</t>
    </r>
    <r>
      <rPr>
        <vertAlign val="subscript"/>
        <sz val="11"/>
        <rFont val="Calibri"/>
        <family val="2"/>
      </rPr>
      <t>NOx,NITO,AS</t>
    </r>
    <r>
      <rPr>
        <sz val="11"/>
        <rFont val="Calibri"/>
        <family val="2"/>
      </rPr>
      <t>*f</t>
    </r>
    <r>
      <rPr>
        <vertAlign val="subscript"/>
        <sz val="11"/>
        <rFont val="Calibri"/>
        <family val="2"/>
      </rPr>
      <t>KS</t>
    </r>
  </si>
  <si>
    <r>
      <t>K</t>
    </r>
    <r>
      <rPr>
        <vertAlign val="subscript"/>
        <sz val="11"/>
        <rFont val="Calibri"/>
        <family val="2"/>
      </rPr>
      <t>VFA,AMETO,AS</t>
    </r>
    <r>
      <rPr>
        <sz val="11"/>
        <rFont val="Calibri"/>
        <family val="2"/>
      </rPr>
      <t>*f</t>
    </r>
    <r>
      <rPr>
        <vertAlign val="subscript"/>
        <sz val="11"/>
        <rFont val="Calibri"/>
        <family val="2"/>
      </rPr>
      <t>KS</t>
    </r>
  </si>
  <si>
    <r>
      <t>K</t>
    </r>
    <r>
      <rPr>
        <vertAlign val="subscript"/>
        <sz val="11"/>
        <rFont val="Calibri"/>
        <family val="2"/>
      </rPr>
      <t>NOx,AMETO,AS</t>
    </r>
    <r>
      <rPr>
        <sz val="11"/>
        <rFont val="Calibri"/>
        <family val="2"/>
      </rPr>
      <t>*f</t>
    </r>
    <r>
      <rPr>
        <vertAlign val="subscript"/>
        <sz val="11"/>
        <rFont val="Calibri"/>
        <family val="2"/>
      </rPr>
      <t>KS</t>
    </r>
  </si>
  <si>
    <r>
      <t>K</t>
    </r>
    <r>
      <rPr>
        <vertAlign val="subscript"/>
        <sz val="11"/>
        <rFont val="Calibri"/>
        <family val="2"/>
      </rPr>
      <t>H2,HMETO,AS</t>
    </r>
    <r>
      <rPr>
        <sz val="11"/>
        <rFont val="Calibri"/>
        <family val="2"/>
      </rPr>
      <t>*f</t>
    </r>
    <r>
      <rPr>
        <vertAlign val="subscript"/>
        <sz val="11"/>
        <rFont val="Calibri"/>
        <family val="2"/>
      </rPr>
      <t>KS</t>
    </r>
  </si>
  <si>
    <r>
      <t>K</t>
    </r>
    <r>
      <rPr>
        <vertAlign val="subscript"/>
        <sz val="11"/>
        <rFont val="Calibri"/>
        <family val="2"/>
      </rPr>
      <t>NOx,HMETO,AS</t>
    </r>
    <r>
      <rPr>
        <sz val="11"/>
        <rFont val="Calibri"/>
        <family val="2"/>
      </rPr>
      <t>*f</t>
    </r>
    <r>
      <rPr>
        <vertAlign val="subscript"/>
        <sz val="11"/>
        <rFont val="Calibri"/>
        <family val="2"/>
      </rPr>
      <t>KS</t>
    </r>
  </si>
  <si>
    <r>
      <t>K</t>
    </r>
    <r>
      <rPr>
        <vertAlign val="subscript"/>
        <sz val="11"/>
        <rFont val="Calibri"/>
        <family val="2"/>
        <scheme val="minor"/>
      </rPr>
      <t>NHx,BIO,AS</t>
    </r>
    <r>
      <rPr>
        <sz val="11"/>
        <rFont val="Calibri"/>
        <family val="2"/>
        <scheme val="minor"/>
      </rPr>
      <t>*f</t>
    </r>
    <r>
      <rPr>
        <vertAlign val="subscript"/>
        <sz val="11"/>
        <rFont val="Calibri"/>
        <family val="2"/>
        <scheme val="minor"/>
      </rPr>
      <t>KS</t>
    </r>
  </si>
  <si>
    <r>
      <t>K</t>
    </r>
    <r>
      <rPr>
        <vertAlign val="subscript"/>
        <sz val="11"/>
        <rFont val="Calibri"/>
        <family val="2"/>
        <scheme val="minor"/>
      </rPr>
      <t>PO4,BIO,AS</t>
    </r>
    <r>
      <rPr>
        <sz val="11"/>
        <rFont val="Calibri"/>
        <family val="2"/>
        <scheme val="minor"/>
      </rPr>
      <t>*f</t>
    </r>
    <r>
      <rPr>
        <vertAlign val="subscript"/>
        <sz val="11"/>
        <rFont val="Calibri"/>
        <family val="2"/>
        <scheme val="minor"/>
      </rPr>
      <t>KS</t>
    </r>
  </si>
  <si>
    <r>
      <t>K</t>
    </r>
    <r>
      <rPr>
        <vertAlign val="subscript"/>
        <sz val="11"/>
        <rFont val="Calibri"/>
        <family val="2"/>
        <scheme val="minor"/>
      </rPr>
      <t>ALK,AS</t>
    </r>
    <r>
      <rPr>
        <sz val="11"/>
        <rFont val="Calibri"/>
        <family val="2"/>
        <scheme val="minor"/>
      </rPr>
      <t>*f</t>
    </r>
    <r>
      <rPr>
        <vertAlign val="subscript"/>
        <sz val="11"/>
        <rFont val="Calibri"/>
        <family val="2"/>
        <scheme val="minor"/>
      </rPr>
      <t>KS</t>
    </r>
  </si>
  <si>
    <r>
      <t>K</t>
    </r>
    <r>
      <rPr>
        <vertAlign val="subscript"/>
        <sz val="11"/>
        <rFont val="Calibri"/>
        <family val="2"/>
        <scheme val="minor"/>
      </rPr>
      <t>HYD,AS</t>
    </r>
    <r>
      <rPr>
        <sz val="11"/>
        <rFont val="Calibri"/>
        <family val="2"/>
        <scheme val="minor"/>
      </rPr>
      <t>*f</t>
    </r>
    <r>
      <rPr>
        <vertAlign val="subscript"/>
        <sz val="11"/>
        <rFont val="Calibri"/>
        <family val="2"/>
        <scheme val="minor"/>
      </rPr>
      <t>KS</t>
    </r>
  </si>
  <si>
    <r>
      <t>Ki</t>
    </r>
    <r>
      <rPr>
        <vertAlign val="subscript"/>
        <sz val="11"/>
        <rFont val="Calibri"/>
        <family val="2"/>
        <scheme val="minor"/>
      </rPr>
      <t>NHx,ASSIM,AS</t>
    </r>
    <r>
      <rPr>
        <sz val="11"/>
        <rFont val="Calibri"/>
        <family val="2"/>
        <scheme val="minor"/>
      </rPr>
      <t>*f</t>
    </r>
    <r>
      <rPr>
        <vertAlign val="subscript"/>
        <sz val="11"/>
        <rFont val="Calibri"/>
        <family val="2"/>
        <scheme val="minor"/>
      </rPr>
      <t>KS</t>
    </r>
  </si>
  <si>
    <r>
      <t>K</t>
    </r>
    <r>
      <rPr>
        <vertAlign val="subscript"/>
        <sz val="11"/>
        <rFont val="Calibri"/>
        <family val="2"/>
        <scheme val="minor"/>
      </rPr>
      <t>NOx,ASSIM,AS</t>
    </r>
    <r>
      <rPr>
        <sz val="11"/>
        <rFont val="Calibri"/>
        <family val="2"/>
        <scheme val="minor"/>
      </rPr>
      <t>*f</t>
    </r>
    <r>
      <rPr>
        <vertAlign val="subscript"/>
        <sz val="11"/>
        <rFont val="Calibri"/>
        <family val="2"/>
        <scheme val="minor"/>
      </rPr>
      <t>KS</t>
    </r>
  </si>
  <si>
    <t>fKS=1 in bulk and fKS,biofilm in biofilm</t>
  </si>
  <si>
    <r>
      <rPr>
        <sz val="11"/>
        <rFont val="Calibri"/>
        <family val="2"/>
        <scheme val="minor"/>
      </rPr>
      <t>f</t>
    </r>
    <r>
      <rPr>
        <vertAlign val="subscript"/>
        <sz val="11"/>
        <rFont val="Calibri"/>
        <family val="2"/>
        <scheme val="minor"/>
      </rPr>
      <t>KS</t>
    </r>
  </si>
  <si>
    <r>
      <t>S</t>
    </r>
    <r>
      <rPr>
        <vertAlign val="subscript"/>
        <sz val="11"/>
        <rFont val="Calibri"/>
        <family val="2"/>
        <scheme val="minor"/>
      </rPr>
      <t>KN</t>
    </r>
  </si>
  <si>
    <t>Soluble Kjeldahl nitrogen (SKN)</t>
  </si>
  <si>
    <r>
      <t>S</t>
    </r>
    <r>
      <rPr>
        <vertAlign val="subscript"/>
        <sz val="11"/>
        <rFont val="Calibri"/>
        <family val="2"/>
        <scheme val="minor"/>
      </rPr>
      <t>P</t>
    </r>
  </si>
  <si>
    <t>Soluble phosphorus</t>
  </si>
  <si>
    <r>
      <t>S</t>
    </r>
    <r>
      <rPr>
        <vertAlign val="subscript"/>
        <sz val="11"/>
        <rFont val="Calibri"/>
        <family val="2"/>
      </rPr>
      <t>NHx</t>
    </r>
    <r>
      <rPr>
        <sz val="11"/>
        <rFont val="Calibri"/>
        <family val="2"/>
      </rPr>
      <t xml:space="preserve"> + S</t>
    </r>
    <r>
      <rPr>
        <vertAlign val="subscript"/>
        <sz val="11"/>
        <rFont val="Calibri"/>
        <family val="2"/>
      </rPr>
      <t>N,B</t>
    </r>
  </si>
  <si>
    <r>
      <t>S</t>
    </r>
    <r>
      <rPr>
        <vertAlign val="subscript"/>
        <sz val="11"/>
        <rFont val="Calibri"/>
        <family val="2"/>
        <scheme val="minor"/>
      </rPr>
      <t>PO4</t>
    </r>
  </si>
  <si>
    <r>
      <t>Ki</t>
    </r>
    <r>
      <rPr>
        <vertAlign val="subscript"/>
        <sz val="11"/>
        <color indexed="8"/>
        <rFont val="Calibri"/>
        <family val="2"/>
        <scheme val="minor"/>
      </rPr>
      <t>O2,AMETO,AS</t>
    </r>
  </si>
  <si>
    <r>
      <t>Half-inhibition of O</t>
    </r>
    <r>
      <rPr>
        <vertAlign val="subscript"/>
        <sz val="11"/>
        <color rgb="FF000000"/>
        <rFont val="Calibri"/>
        <family val="2"/>
        <scheme val="minor"/>
      </rPr>
      <t>2</t>
    </r>
    <r>
      <rPr>
        <sz val="11"/>
        <color rgb="FF000000"/>
        <rFont val="Calibri"/>
        <family val="2"/>
        <charset val="238"/>
        <scheme val="minor"/>
      </rPr>
      <t xml:space="preserve"> for AMETOs (AS)</t>
    </r>
  </si>
  <si>
    <r>
      <t>Ki</t>
    </r>
    <r>
      <rPr>
        <vertAlign val="subscript"/>
        <sz val="11"/>
        <color indexed="8"/>
        <rFont val="Calibri"/>
        <family val="2"/>
        <scheme val="minor"/>
      </rPr>
      <t>O2,HMETO,AS</t>
    </r>
  </si>
  <si>
    <r>
      <t>Half-inhibition of O</t>
    </r>
    <r>
      <rPr>
        <vertAlign val="subscript"/>
        <sz val="11"/>
        <color rgb="FF000000"/>
        <rFont val="Calibri"/>
        <family val="2"/>
        <scheme val="minor"/>
      </rPr>
      <t>2</t>
    </r>
    <r>
      <rPr>
        <sz val="11"/>
        <color rgb="FF000000"/>
        <rFont val="Calibri"/>
        <family val="2"/>
        <charset val="238"/>
        <scheme val="minor"/>
      </rPr>
      <t xml:space="preserve"> for HMETOs (AS)</t>
    </r>
  </si>
  <si>
    <r>
      <t>Ki</t>
    </r>
    <r>
      <rPr>
        <vertAlign val="subscript"/>
        <sz val="11"/>
        <rFont val="Calibri"/>
        <family val="2"/>
      </rPr>
      <t>O2,AMETO</t>
    </r>
  </si>
  <si>
    <r>
      <t>Ki</t>
    </r>
    <r>
      <rPr>
        <vertAlign val="subscript"/>
        <sz val="11"/>
        <rFont val="Calibri"/>
        <family val="2"/>
      </rPr>
      <t>O2,HMETO</t>
    </r>
  </si>
  <si>
    <r>
      <t>Half-inhibition of O</t>
    </r>
    <r>
      <rPr>
        <vertAlign val="subscript"/>
        <sz val="11"/>
        <color rgb="FF000000"/>
        <rFont val="Calibri"/>
        <family val="2"/>
        <scheme val="minor"/>
      </rPr>
      <t>2</t>
    </r>
    <r>
      <rPr>
        <sz val="11"/>
        <color rgb="FF000000"/>
        <rFont val="Calibri"/>
        <family val="2"/>
        <charset val="238"/>
        <scheme val="minor"/>
      </rPr>
      <t xml:space="preserve"> for AMETOs</t>
    </r>
  </si>
  <si>
    <r>
      <t>Half-inhibition of O</t>
    </r>
    <r>
      <rPr>
        <vertAlign val="subscript"/>
        <sz val="11"/>
        <color rgb="FF000000"/>
        <rFont val="Calibri"/>
        <family val="2"/>
        <scheme val="minor"/>
      </rPr>
      <t>2</t>
    </r>
    <r>
      <rPr>
        <sz val="11"/>
        <color rgb="FF000000"/>
        <rFont val="Calibri"/>
        <family val="2"/>
        <charset val="238"/>
        <scheme val="minor"/>
      </rPr>
      <t xml:space="preserve"> for HMETOs</t>
    </r>
  </si>
  <si>
    <r>
      <t>Minh(S</t>
    </r>
    <r>
      <rPr>
        <vertAlign val="subscript"/>
        <sz val="11"/>
        <rFont val="Calibri"/>
        <family val="2"/>
      </rPr>
      <t>O2</t>
    </r>
    <r>
      <rPr>
        <sz val="11"/>
        <rFont val="Calibri"/>
        <family val="2"/>
      </rPr>
      <t>;Ki</t>
    </r>
    <r>
      <rPr>
        <vertAlign val="subscript"/>
        <sz val="11"/>
        <rFont val="Calibri"/>
        <family val="2"/>
      </rPr>
      <t>O2,AMETO</t>
    </r>
    <r>
      <rPr>
        <sz val="11"/>
        <rFont val="Calibri"/>
        <family val="2"/>
      </rPr>
      <t>)</t>
    </r>
  </si>
  <si>
    <r>
      <t>Minh(S</t>
    </r>
    <r>
      <rPr>
        <vertAlign val="subscript"/>
        <sz val="11"/>
        <rFont val="Calibri"/>
        <family val="2"/>
      </rPr>
      <t>O2</t>
    </r>
    <r>
      <rPr>
        <sz val="11"/>
        <rFont val="Calibri"/>
        <family val="2"/>
      </rPr>
      <t>;Ki</t>
    </r>
    <r>
      <rPr>
        <vertAlign val="subscript"/>
        <sz val="11"/>
        <rFont val="Calibri"/>
        <family val="2"/>
      </rPr>
      <t>O2,HMETO</t>
    </r>
    <r>
      <rPr>
        <sz val="11"/>
        <rFont val="Calibri"/>
        <family val="2"/>
      </rPr>
      <t>)</t>
    </r>
  </si>
  <si>
    <r>
      <t>Msat(S</t>
    </r>
    <r>
      <rPr>
        <vertAlign val="subscript"/>
        <sz val="11"/>
        <rFont val="Calibri"/>
        <family val="2"/>
      </rPr>
      <t>O2</t>
    </r>
    <r>
      <rPr>
        <sz val="11"/>
        <rFont val="Calibri"/>
        <family val="2"/>
      </rPr>
      <t>;Ki</t>
    </r>
    <r>
      <rPr>
        <vertAlign val="subscript"/>
        <sz val="11"/>
        <rFont val="Calibri"/>
        <family val="2"/>
      </rPr>
      <t>O2,AMETO</t>
    </r>
    <r>
      <rPr>
        <sz val="11"/>
        <rFont val="Calibri"/>
        <family val="2"/>
      </rPr>
      <t>)</t>
    </r>
  </si>
  <si>
    <r>
      <t>Msat(S</t>
    </r>
    <r>
      <rPr>
        <vertAlign val="subscript"/>
        <sz val="11"/>
        <rFont val="Calibri"/>
        <family val="2"/>
      </rPr>
      <t>O2</t>
    </r>
    <r>
      <rPr>
        <sz val="11"/>
        <rFont val="Calibri"/>
        <family val="2"/>
      </rPr>
      <t>;Ki</t>
    </r>
    <r>
      <rPr>
        <vertAlign val="subscript"/>
        <sz val="11"/>
        <rFont val="Calibri"/>
        <family val="2"/>
      </rPr>
      <t>O2,HMETO</t>
    </r>
    <r>
      <rPr>
        <sz val="11"/>
        <rFont val="Calibri"/>
        <family val="2"/>
      </rPr>
      <t>)</t>
    </r>
  </si>
  <si>
    <r>
      <t>Minh</t>
    </r>
    <r>
      <rPr>
        <vertAlign val="subscript"/>
        <sz val="11"/>
        <rFont val="Calibri"/>
        <family val="2"/>
        <scheme val="minor"/>
      </rPr>
      <t>SO2,KiO2,AMETO</t>
    </r>
  </si>
  <si>
    <r>
      <t>Minh</t>
    </r>
    <r>
      <rPr>
        <vertAlign val="subscript"/>
        <sz val="11"/>
        <rFont val="Calibri"/>
        <family val="2"/>
        <scheme val="minor"/>
      </rPr>
      <t>SO2,KiO2,HMETO</t>
    </r>
  </si>
  <si>
    <r>
      <t>Msat</t>
    </r>
    <r>
      <rPr>
        <vertAlign val="subscript"/>
        <sz val="11"/>
        <rFont val="Calibri"/>
        <family val="2"/>
        <scheme val="minor"/>
      </rPr>
      <t>SO2,KiO2,AMETO</t>
    </r>
  </si>
  <si>
    <r>
      <t>Msat</t>
    </r>
    <r>
      <rPr>
        <vertAlign val="subscript"/>
        <sz val="11"/>
        <rFont val="Calibri"/>
        <family val="2"/>
        <scheme val="minor"/>
      </rPr>
      <t>SO2,KiO2,HMETO</t>
    </r>
  </si>
  <si>
    <r>
      <t>µ</t>
    </r>
    <r>
      <rPr>
        <vertAlign val="subscript"/>
        <sz val="11"/>
        <color indexed="8"/>
        <rFont val="Calibri"/>
        <family val="2"/>
      </rPr>
      <t>AMETO,T</t>
    </r>
    <r>
      <rPr>
        <sz val="11"/>
        <color indexed="8"/>
        <rFont val="Calibri"/>
        <family val="2"/>
      </rPr>
      <t>*Msat</t>
    </r>
    <r>
      <rPr>
        <vertAlign val="subscript"/>
        <sz val="11"/>
        <color indexed="8"/>
        <rFont val="Calibri"/>
        <family val="2"/>
      </rPr>
      <t>SB,KVFA,AMETO</t>
    </r>
    <r>
      <rPr>
        <sz val="11"/>
        <color indexed="8"/>
        <rFont val="Calibri"/>
        <family val="2"/>
      </rPr>
      <t>*X</t>
    </r>
    <r>
      <rPr>
        <vertAlign val="subscript"/>
        <sz val="11"/>
        <color indexed="8"/>
        <rFont val="Calibri"/>
        <family val="2"/>
      </rPr>
      <t>AMETO</t>
    </r>
    <r>
      <rPr>
        <sz val="11"/>
        <color indexed="8"/>
        <rFont val="Calibri"/>
        <family val="2"/>
      </rPr>
      <t>*Minh</t>
    </r>
    <r>
      <rPr>
        <vertAlign val="subscript"/>
        <sz val="11"/>
        <color indexed="8"/>
        <rFont val="Calibri"/>
        <family val="2"/>
      </rPr>
      <t>SO2,KiO2,AMETO</t>
    </r>
    <r>
      <rPr>
        <sz val="11"/>
        <color indexed="8"/>
        <rFont val="Calibri"/>
        <family val="2"/>
      </rPr>
      <t>*Minh</t>
    </r>
    <r>
      <rPr>
        <vertAlign val="subscript"/>
        <sz val="11"/>
        <color indexed="8"/>
        <rFont val="Calibri"/>
        <family val="2"/>
      </rPr>
      <t>SNOx,KNOx,AMETO</t>
    </r>
    <r>
      <rPr>
        <sz val="11"/>
        <color indexed="8"/>
        <rFont val="Calibri"/>
        <family val="2"/>
      </rPr>
      <t>*Msat</t>
    </r>
    <r>
      <rPr>
        <vertAlign val="subscript"/>
        <sz val="11"/>
        <color indexed="8"/>
        <rFont val="Calibri"/>
        <family val="2"/>
      </rPr>
      <t>SNHx,KNHx,BIO</t>
    </r>
    <r>
      <rPr>
        <sz val="11"/>
        <color indexed="8"/>
        <rFont val="Calibri"/>
        <family val="2"/>
      </rPr>
      <t>*Msat</t>
    </r>
    <r>
      <rPr>
        <vertAlign val="subscript"/>
        <sz val="11"/>
        <color indexed="8"/>
        <rFont val="Calibri"/>
        <family val="2"/>
      </rPr>
      <t>SPO4,KPO4,BIO</t>
    </r>
    <r>
      <rPr>
        <sz val="11"/>
        <color indexed="8"/>
        <rFont val="Calibri"/>
        <family val="2"/>
      </rPr>
      <t>*Msat</t>
    </r>
    <r>
      <rPr>
        <vertAlign val="subscript"/>
        <sz val="11"/>
        <color indexed="8"/>
        <rFont val="Calibri"/>
        <family val="2"/>
      </rPr>
      <t>SALK,KALK</t>
    </r>
  </si>
  <si>
    <r>
      <t>b</t>
    </r>
    <r>
      <rPr>
        <vertAlign val="subscript"/>
        <sz val="11"/>
        <color indexed="8"/>
        <rFont val="Calibri"/>
        <family val="2"/>
      </rPr>
      <t>AMETO,T</t>
    </r>
    <r>
      <rPr>
        <sz val="11"/>
        <color indexed="8"/>
        <rFont val="Calibri"/>
        <family val="2"/>
      </rPr>
      <t>*X</t>
    </r>
    <r>
      <rPr>
        <vertAlign val="subscript"/>
        <sz val="11"/>
        <color indexed="8"/>
        <rFont val="Calibri"/>
        <family val="2"/>
      </rPr>
      <t>AMETO</t>
    </r>
    <r>
      <rPr>
        <sz val="11"/>
        <color indexed="8"/>
        <rFont val="Calibri"/>
        <family val="2"/>
      </rPr>
      <t>*(Msat</t>
    </r>
    <r>
      <rPr>
        <vertAlign val="subscript"/>
        <sz val="11"/>
        <color indexed="8"/>
        <rFont val="Calibri"/>
        <family val="2"/>
      </rPr>
      <t>SO2,KiO2,AMETO</t>
    </r>
    <r>
      <rPr>
        <sz val="11"/>
        <color indexed="8"/>
        <rFont val="Calibri"/>
        <family val="2"/>
      </rPr>
      <t>+η</t>
    </r>
    <r>
      <rPr>
        <vertAlign val="subscript"/>
        <sz val="11"/>
        <color indexed="8"/>
        <rFont val="Calibri"/>
        <family val="2"/>
      </rPr>
      <t>b,anox</t>
    </r>
    <r>
      <rPr>
        <sz val="11"/>
        <color indexed="8"/>
        <rFont val="Calibri"/>
        <family val="2"/>
      </rPr>
      <t>*Msat</t>
    </r>
    <r>
      <rPr>
        <vertAlign val="subscript"/>
        <sz val="11"/>
        <color indexed="8"/>
        <rFont val="Calibri"/>
        <family val="2"/>
      </rPr>
      <t>SNOx,KNOx,AMETO</t>
    </r>
    <r>
      <rPr>
        <sz val="11"/>
        <color indexed="8"/>
        <rFont val="Calibri"/>
        <family val="2"/>
      </rPr>
      <t>*Minh</t>
    </r>
    <r>
      <rPr>
        <vertAlign val="subscript"/>
        <sz val="11"/>
        <color indexed="8"/>
        <rFont val="Calibri"/>
        <family val="2"/>
      </rPr>
      <t>SO2,KiO2,AMETO</t>
    </r>
    <r>
      <rPr>
        <sz val="11"/>
        <color indexed="8"/>
        <rFont val="Calibri"/>
        <family val="2"/>
      </rPr>
      <t>+η</t>
    </r>
    <r>
      <rPr>
        <vertAlign val="subscript"/>
        <sz val="11"/>
        <color indexed="8"/>
        <rFont val="Calibri"/>
        <family val="2"/>
      </rPr>
      <t>b,ana</t>
    </r>
    <r>
      <rPr>
        <sz val="11"/>
        <color indexed="8"/>
        <rFont val="Calibri"/>
        <family val="2"/>
      </rPr>
      <t>*Minh</t>
    </r>
    <r>
      <rPr>
        <vertAlign val="subscript"/>
        <sz val="11"/>
        <color indexed="8"/>
        <rFont val="Calibri"/>
        <family val="2"/>
      </rPr>
      <t>SNOx,KNOx,AMETO</t>
    </r>
    <r>
      <rPr>
        <sz val="11"/>
        <color indexed="8"/>
        <rFont val="Calibri"/>
        <family val="2"/>
      </rPr>
      <t>*Minh</t>
    </r>
    <r>
      <rPr>
        <vertAlign val="subscript"/>
        <sz val="11"/>
        <color indexed="8"/>
        <rFont val="Calibri"/>
        <family val="2"/>
      </rPr>
      <t>SO2,KiO2,AMETO</t>
    </r>
    <r>
      <rPr>
        <sz val="11"/>
        <color indexed="8"/>
        <rFont val="Calibri"/>
        <family val="2"/>
      </rPr>
      <t>)</t>
    </r>
  </si>
  <si>
    <r>
      <t>µ</t>
    </r>
    <r>
      <rPr>
        <vertAlign val="subscript"/>
        <sz val="11"/>
        <color indexed="8"/>
        <rFont val="Calibri"/>
        <family val="2"/>
      </rPr>
      <t>HMETO,T</t>
    </r>
    <r>
      <rPr>
        <sz val="11"/>
        <color indexed="8"/>
        <rFont val="Calibri"/>
        <family val="2"/>
      </rPr>
      <t>*Msat</t>
    </r>
    <r>
      <rPr>
        <vertAlign val="subscript"/>
        <sz val="11"/>
        <color indexed="8"/>
        <rFont val="Calibri"/>
        <family val="2"/>
      </rPr>
      <t>SH2,KH2,HMETO</t>
    </r>
    <r>
      <rPr>
        <sz val="11"/>
        <color indexed="8"/>
        <rFont val="Calibri"/>
        <family val="2"/>
      </rPr>
      <t>*X</t>
    </r>
    <r>
      <rPr>
        <vertAlign val="subscript"/>
        <sz val="11"/>
        <color indexed="8"/>
        <rFont val="Calibri"/>
        <family val="2"/>
      </rPr>
      <t>HMETO</t>
    </r>
    <r>
      <rPr>
        <sz val="11"/>
        <color indexed="8"/>
        <rFont val="Calibri"/>
        <family val="2"/>
      </rPr>
      <t>*Minh</t>
    </r>
    <r>
      <rPr>
        <vertAlign val="subscript"/>
        <sz val="11"/>
        <color indexed="8"/>
        <rFont val="Calibri"/>
        <family val="2"/>
      </rPr>
      <t>SO2,KiO2,HMETO</t>
    </r>
    <r>
      <rPr>
        <sz val="11"/>
        <color indexed="8"/>
        <rFont val="Calibri"/>
        <family val="2"/>
      </rPr>
      <t>*Minh</t>
    </r>
    <r>
      <rPr>
        <vertAlign val="subscript"/>
        <sz val="11"/>
        <color indexed="8"/>
        <rFont val="Calibri"/>
        <family val="2"/>
      </rPr>
      <t>SNOx,KNOx,HMETO</t>
    </r>
    <r>
      <rPr>
        <sz val="11"/>
        <color indexed="8"/>
        <rFont val="Calibri"/>
        <family val="2"/>
      </rPr>
      <t>*Msat</t>
    </r>
    <r>
      <rPr>
        <vertAlign val="subscript"/>
        <sz val="11"/>
        <color indexed="8"/>
        <rFont val="Calibri"/>
        <family val="2"/>
      </rPr>
      <t>SNHx,KNHx,BIO</t>
    </r>
    <r>
      <rPr>
        <sz val="11"/>
        <color indexed="8"/>
        <rFont val="Calibri"/>
        <family val="2"/>
      </rPr>
      <t>*Msat</t>
    </r>
    <r>
      <rPr>
        <vertAlign val="subscript"/>
        <sz val="11"/>
        <color indexed="8"/>
        <rFont val="Calibri"/>
        <family val="2"/>
      </rPr>
      <t>SPO4,KPO4,BIO</t>
    </r>
    <r>
      <rPr>
        <sz val="11"/>
        <color indexed="8"/>
        <rFont val="Calibri"/>
        <family val="2"/>
      </rPr>
      <t>*Msat</t>
    </r>
    <r>
      <rPr>
        <vertAlign val="subscript"/>
        <sz val="11"/>
        <color indexed="8"/>
        <rFont val="Calibri"/>
        <family val="2"/>
      </rPr>
      <t>SALK,KALK</t>
    </r>
  </si>
  <si>
    <r>
      <t>b</t>
    </r>
    <r>
      <rPr>
        <vertAlign val="subscript"/>
        <sz val="11"/>
        <color indexed="8"/>
        <rFont val="Calibri"/>
        <family val="2"/>
      </rPr>
      <t>HMETO,T</t>
    </r>
    <r>
      <rPr>
        <sz val="11"/>
        <color indexed="8"/>
        <rFont val="Calibri"/>
        <family val="2"/>
      </rPr>
      <t>*X</t>
    </r>
    <r>
      <rPr>
        <vertAlign val="subscript"/>
        <sz val="11"/>
        <color indexed="8"/>
        <rFont val="Calibri"/>
        <family val="2"/>
      </rPr>
      <t>HMETO</t>
    </r>
    <r>
      <rPr>
        <sz val="11"/>
        <color indexed="8"/>
        <rFont val="Calibri"/>
        <family val="2"/>
      </rPr>
      <t>*(Msat</t>
    </r>
    <r>
      <rPr>
        <vertAlign val="subscript"/>
        <sz val="11"/>
        <color indexed="8"/>
        <rFont val="Calibri"/>
        <family val="2"/>
      </rPr>
      <t>SO2,KiO2,HMETO</t>
    </r>
    <r>
      <rPr>
        <sz val="11"/>
        <color indexed="8"/>
        <rFont val="Calibri"/>
        <family val="2"/>
      </rPr>
      <t>+η</t>
    </r>
    <r>
      <rPr>
        <vertAlign val="subscript"/>
        <sz val="11"/>
        <color indexed="8"/>
        <rFont val="Calibri"/>
        <family val="2"/>
      </rPr>
      <t>b,anox</t>
    </r>
    <r>
      <rPr>
        <sz val="11"/>
        <color indexed="8"/>
        <rFont val="Calibri"/>
        <family val="2"/>
      </rPr>
      <t>*Msat</t>
    </r>
    <r>
      <rPr>
        <vertAlign val="subscript"/>
        <sz val="11"/>
        <color indexed="8"/>
        <rFont val="Calibri"/>
        <family val="2"/>
      </rPr>
      <t>SNOx,KNOx,HMETO</t>
    </r>
    <r>
      <rPr>
        <sz val="11"/>
        <color indexed="8"/>
        <rFont val="Calibri"/>
        <family val="2"/>
      </rPr>
      <t>*Minh</t>
    </r>
    <r>
      <rPr>
        <vertAlign val="subscript"/>
        <sz val="11"/>
        <color indexed="8"/>
        <rFont val="Calibri"/>
        <family val="2"/>
      </rPr>
      <t>SO2,KiO2,HMETO</t>
    </r>
    <r>
      <rPr>
        <sz val="11"/>
        <color indexed="8"/>
        <rFont val="Calibri"/>
        <family val="2"/>
      </rPr>
      <t>+η</t>
    </r>
    <r>
      <rPr>
        <vertAlign val="subscript"/>
        <sz val="11"/>
        <color indexed="8"/>
        <rFont val="Calibri"/>
        <family val="2"/>
      </rPr>
      <t>b,ana</t>
    </r>
    <r>
      <rPr>
        <sz val="11"/>
        <color indexed="8"/>
        <rFont val="Calibri"/>
        <family val="2"/>
      </rPr>
      <t>*Minh</t>
    </r>
    <r>
      <rPr>
        <vertAlign val="subscript"/>
        <sz val="11"/>
        <color indexed="8"/>
        <rFont val="Calibri"/>
        <family val="2"/>
      </rPr>
      <t>SNOx,KNOx,HMETO</t>
    </r>
    <r>
      <rPr>
        <sz val="11"/>
        <color indexed="8"/>
        <rFont val="Calibri"/>
        <family val="2"/>
      </rPr>
      <t>*Minh</t>
    </r>
    <r>
      <rPr>
        <vertAlign val="subscript"/>
        <sz val="11"/>
        <color indexed="8"/>
        <rFont val="Calibri"/>
        <family val="2"/>
      </rPr>
      <t>SO2,KiO2,HMETO</t>
    </r>
    <r>
      <rPr>
        <sz val="11"/>
        <color indexed="8"/>
        <rFont val="Calibri"/>
        <family val="2"/>
      </rPr>
      <t>)</t>
    </r>
  </si>
  <si>
    <t>unused</t>
  </si>
  <si>
    <r>
      <t>Ki</t>
    </r>
    <r>
      <rPr>
        <vertAlign val="subscript"/>
        <sz val="11"/>
        <rFont val="Calibri"/>
        <family val="2"/>
      </rPr>
      <t>O2,AMETO,AS</t>
    </r>
  </si>
  <si>
    <r>
      <t>Ki</t>
    </r>
    <r>
      <rPr>
        <vertAlign val="subscript"/>
        <sz val="11"/>
        <rFont val="Calibri"/>
        <family val="2"/>
      </rPr>
      <t>O2,AMETO,AS</t>
    </r>
    <r>
      <rPr>
        <sz val="11"/>
        <rFont val="Calibri"/>
        <family val="2"/>
      </rPr>
      <t>*f</t>
    </r>
    <r>
      <rPr>
        <vertAlign val="subscript"/>
        <sz val="11"/>
        <rFont val="Calibri"/>
        <family val="2"/>
      </rPr>
      <t>KS</t>
    </r>
  </si>
  <si>
    <r>
      <t>Ki</t>
    </r>
    <r>
      <rPr>
        <vertAlign val="subscript"/>
        <sz val="11"/>
        <rFont val="Calibri"/>
        <family val="2"/>
      </rPr>
      <t>O2,HMETO,AS</t>
    </r>
  </si>
  <si>
    <r>
      <t>Ki</t>
    </r>
    <r>
      <rPr>
        <vertAlign val="subscript"/>
        <sz val="11"/>
        <rFont val="Calibri"/>
        <family val="2"/>
      </rPr>
      <t>O2,HMETO,AS</t>
    </r>
    <r>
      <rPr>
        <sz val="11"/>
        <rFont val="Calibri"/>
        <family val="2"/>
      </rPr>
      <t>*f</t>
    </r>
    <r>
      <rPr>
        <vertAlign val="subscript"/>
        <sz val="11"/>
        <rFont val="Calibri"/>
        <family val="2"/>
      </rPr>
      <t>KS</t>
    </r>
  </si>
  <si>
    <r>
      <t>k</t>
    </r>
    <r>
      <rPr>
        <vertAlign val="subscript"/>
        <sz val="11"/>
        <rFont val="Calibri"/>
        <family val="2"/>
      </rPr>
      <t>L,GO2,sur</t>
    </r>
  </si>
  <si>
    <r>
      <t>k</t>
    </r>
    <r>
      <rPr>
        <vertAlign val="subscript"/>
        <sz val="11"/>
        <rFont val="Calibri"/>
        <family val="2"/>
      </rPr>
      <t>L,GO2,bub</t>
    </r>
  </si>
  <si>
    <r>
      <t>Liquid-side mass transfer coefficient of O</t>
    </r>
    <r>
      <rPr>
        <vertAlign val="subscript"/>
        <sz val="11"/>
        <color rgb="FF000000"/>
        <rFont val="Calibri"/>
        <family val="2"/>
        <scheme val="minor"/>
      </rPr>
      <t>2</t>
    </r>
    <r>
      <rPr>
        <sz val="11"/>
        <rFont val="Calibri"/>
        <family val="2"/>
        <scheme val="minor"/>
      </rPr>
      <t xml:space="preserve"> for gas bubbles</t>
    </r>
  </si>
  <si>
    <r>
      <t>Liquid-side mass transfer coefficient of O</t>
    </r>
    <r>
      <rPr>
        <vertAlign val="subscript"/>
        <sz val="11"/>
        <color rgb="FF000000"/>
        <rFont val="Calibri"/>
        <family val="2"/>
        <scheme val="minor"/>
      </rPr>
      <t>2</t>
    </r>
    <r>
      <rPr>
        <sz val="11"/>
        <rFont val="Calibri"/>
        <family val="2"/>
        <scheme val="minor"/>
      </rPr>
      <t xml:space="preserve"> at liquid surface</t>
    </r>
  </si>
  <si>
    <r>
      <t>Liquid-side mass transfer coefficient of N</t>
    </r>
    <r>
      <rPr>
        <vertAlign val="subscript"/>
        <sz val="11"/>
        <color rgb="FF000000"/>
        <rFont val="Calibri"/>
        <family val="2"/>
        <scheme val="minor"/>
      </rPr>
      <t>2</t>
    </r>
    <r>
      <rPr>
        <sz val="11"/>
        <rFont val="Calibri"/>
        <family val="2"/>
        <scheme val="minor"/>
      </rPr>
      <t xml:space="preserve"> for gas bubbles</t>
    </r>
  </si>
  <si>
    <r>
      <t>Liquid-side mass transfer coefficient of CH</t>
    </r>
    <r>
      <rPr>
        <vertAlign val="subscript"/>
        <sz val="11"/>
        <color rgb="FF000000"/>
        <rFont val="Calibri"/>
        <family val="2"/>
        <scheme val="minor"/>
      </rPr>
      <t>4</t>
    </r>
    <r>
      <rPr>
        <sz val="11"/>
        <rFont val="Calibri"/>
        <family val="2"/>
        <scheme val="minor"/>
      </rPr>
      <t xml:space="preserve"> for gas bubbles</t>
    </r>
  </si>
  <si>
    <r>
      <t>Liquid-side mass transfer coefficient of H</t>
    </r>
    <r>
      <rPr>
        <vertAlign val="subscript"/>
        <sz val="11"/>
        <color rgb="FF000000"/>
        <rFont val="Calibri"/>
        <family val="2"/>
        <scheme val="minor"/>
      </rPr>
      <t>2</t>
    </r>
    <r>
      <rPr>
        <sz val="11"/>
        <rFont val="Calibri"/>
        <family val="2"/>
        <scheme val="minor"/>
      </rPr>
      <t xml:space="preserve"> for gas bubbles</t>
    </r>
  </si>
  <si>
    <r>
      <t>k</t>
    </r>
    <r>
      <rPr>
        <vertAlign val="subscript"/>
        <sz val="11"/>
        <rFont val="Calibri"/>
        <family val="2"/>
        <scheme val="minor"/>
      </rPr>
      <t>L,GN2,bub</t>
    </r>
  </si>
  <si>
    <r>
      <t>k</t>
    </r>
    <r>
      <rPr>
        <vertAlign val="subscript"/>
        <sz val="11"/>
        <rFont val="Calibri"/>
        <family val="2"/>
        <scheme val="minor"/>
      </rPr>
      <t>L,GCH4,bub</t>
    </r>
  </si>
  <si>
    <r>
      <t>k</t>
    </r>
    <r>
      <rPr>
        <vertAlign val="subscript"/>
        <sz val="11"/>
        <rFont val="Calibri"/>
        <family val="2"/>
        <scheme val="minor"/>
      </rPr>
      <t>L,GH2,bub</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</si>
  <si>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</si>
  <si>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</si>
  <si>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</si>
  <si>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k</t>
    </r>
    <r>
      <rPr>
        <vertAlign val="subscript"/>
        <sz val="11"/>
        <rFont val="Calibri"/>
        <family val="2"/>
        <scheme val="minor"/>
      </rPr>
      <t>L,GN2,sur</t>
    </r>
  </si>
  <si>
    <r>
      <t>k</t>
    </r>
    <r>
      <rPr>
        <vertAlign val="subscript"/>
        <sz val="11"/>
        <rFont val="Calibri"/>
        <family val="2"/>
        <scheme val="minor"/>
      </rPr>
      <t>L,GCH4,sur</t>
    </r>
  </si>
  <si>
    <r>
      <t>k</t>
    </r>
    <r>
      <rPr>
        <vertAlign val="subscript"/>
        <sz val="11"/>
        <rFont val="Calibri"/>
        <family val="2"/>
        <scheme val="minor"/>
      </rPr>
      <t>L,GH2,sur</t>
    </r>
  </si>
  <si>
    <r>
      <t>Liquid-side mass transfer coefficient of N</t>
    </r>
    <r>
      <rPr>
        <vertAlign val="subscript"/>
        <sz val="11"/>
        <color rgb="FF000000"/>
        <rFont val="Calibri"/>
        <family val="2"/>
        <scheme val="minor"/>
      </rPr>
      <t>2</t>
    </r>
    <r>
      <rPr>
        <sz val="11"/>
        <rFont val="Calibri"/>
        <family val="2"/>
        <scheme val="minor"/>
      </rPr>
      <t xml:space="preserve"> at liquid surface</t>
    </r>
  </si>
  <si>
    <r>
      <t>Liquid-side mass transfer coefficient of CH</t>
    </r>
    <r>
      <rPr>
        <vertAlign val="subscript"/>
        <sz val="11"/>
        <color rgb="FF000000"/>
        <rFont val="Calibri"/>
        <family val="2"/>
        <scheme val="minor"/>
      </rPr>
      <t>4</t>
    </r>
    <r>
      <rPr>
        <sz val="11"/>
        <rFont val="Calibri"/>
        <family val="2"/>
        <scheme val="minor"/>
      </rPr>
      <t xml:space="preserve"> at liquid surface</t>
    </r>
  </si>
  <si>
    <r>
      <t>Liquid-side mass transfer coefficient of H</t>
    </r>
    <r>
      <rPr>
        <vertAlign val="subscript"/>
        <sz val="11"/>
        <color rgb="FF000000"/>
        <rFont val="Calibri"/>
        <family val="2"/>
        <scheme val="minor"/>
      </rPr>
      <t>2</t>
    </r>
    <r>
      <rPr>
        <sz val="11"/>
        <rFont val="Calibri"/>
        <family val="2"/>
        <scheme val="minor"/>
      </rPr>
      <t xml:space="preserve"> at liquid surface</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</si>
  <si>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</si>
  <si>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</si>
  <si>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</si>
  <si>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t>Press "Global Check" button</t>
  </si>
  <si>
    <t>In Process code/System files/systemcode.xlsx (if necessary)</t>
  </si>
  <si>
    <t>On Constants Tab add the required thermodynamic constants and molecular masses</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</si>
  <si>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</si>
  <si>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</si>
  <si>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</si>
  <si>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Check the species does exist in the systemcode.xlsx file</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</si>
  <si>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</si>
  <si>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</si>
  <si>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</si>
  <si>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</si>
  <si>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</si>
  <si>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</si>
  <si>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</si>
  <si>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</si>
  <si>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</si>
  <si>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</si>
  <si>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www.dynamita.com</t>
  </si>
  <si>
    <r>
      <t>error</t>
    </r>
    <r>
      <rPr>
        <vertAlign val="subscript"/>
        <sz val="11"/>
        <rFont val="Calibri"/>
        <family val="2"/>
        <charset val="238"/>
        <scheme val="minor"/>
      </rPr>
      <t>NHx,NOx</t>
    </r>
  </si>
  <si>
    <r>
      <t>N</t>
    </r>
    <r>
      <rPr>
        <sz val="11"/>
        <rFont val="Calibri"/>
        <family val="2"/>
        <charset val="238"/>
        <scheme val="minor"/>
      </rPr>
      <t>H</t>
    </r>
    <r>
      <rPr>
        <vertAlign val="subscript"/>
        <sz val="11"/>
        <rFont val="Calibri"/>
        <family val="2"/>
        <charset val="238"/>
        <scheme val="minor"/>
      </rPr>
      <t>x</t>
    </r>
    <r>
      <rPr>
        <sz val="11"/>
        <rFont val="Calibri"/>
        <family val="2"/>
        <charset val="238"/>
        <scheme val="minor"/>
      </rPr>
      <t>-NO</t>
    </r>
    <r>
      <rPr>
        <vertAlign val="subscript"/>
        <sz val="11"/>
        <rFont val="Calibri"/>
        <family val="2"/>
        <charset val="238"/>
        <scheme val="minor"/>
      </rPr>
      <t>x</t>
    </r>
    <r>
      <rPr>
        <sz val="11"/>
        <rFont val="Calibri"/>
        <family val="2"/>
        <scheme val="minor"/>
      </rPr>
      <t xml:space="preserve"> error</t>
    </r>
  </si>
  <si>
    <r>
      <t>S</t>
    </r>
    <r>
      <rPr>
        <vertAlign val="subscript"/>
        <sz val="11"/>
        <rFont val="Calibri"/>
        <family val="2"/>
        <charset val="238"/>
        <scheme val="minor"/>
      </rPr>
      <t>NHx</t>
    </r>
    <r>
      <rPr>
        <sz val="11"/>
        <rFont val="Calibri"/>
        <family val="2"/>
        <scheme val="minor"/>
      </rPr>
      <t xml:space="preserve"> - S</t>
    </r>
    <r>
      <rPr>
        <vertAlign val="subscript"/>
        <sz val="11"/>
        <rFont val="Calibri"/>
        <family val="2"/>
        <charset val="238"/>
        <scheme val="minor"/>
      </rPr>
      <t>NOx</t>
    </r>
  </si>
  <si>
    <r>
      <t>g VS.m</t>
    </r>
    <r>
      <rPr>
        <vertAlign val="superscript"/>
        <sz val="11"/>
        <rFont val="Calibri"/>
        <family val="2"/>
      </rPr>
      <t>-3</t>
    </r>
  </si>
  <si>
    <r>
      <t>g TS.m</t>
    </r>
    <r>
      <rPr>
        <vertAlign val="superscript"/>
        <sz val="11"/>
        <rFont val="Calibri"/>
        <family val="2"/>
        <scheme val="minor"/>
      </rPr>
      <t>-3</t>
    </r>
  </si>
  <si>
    <r>
      <t>SC</t>
    </r>
    <r>
      <rPr>
        <vertAlign val="subscript"/>
        <sz val="11"/>
        <rFont val="Calibri"/>
        <family val="2"/>
        <scheme val="minor"/>
      </rPr>
      <t>COD</t>
    </r>
  </si>
  <si>
    <t>Filtered chemical oxygen demand</t>
  </si>
  <si>
    <r>
      <t>SC</t>
    </r>
    <r>
      <rPr>
        <vertAlign val="subscript"/>
        <sz val="11"/>
        <rFont val="Calibri"/>
        <family val="2"/>
      </rPr>
      <t>COD</t>
    </r>
    <r>
      <rPr>
        <sz val="11"/>
        <rFont val="Calibri"/>
        <family val="2"/>
      </rPr>
      <t xml:space="preserve"> +X</t>
    </r>
    <r>
      <rPr>
        <vertAlign val="subscript"/>
        <sz val="11"/>
        <rFont val="Calibri"/>
        <family val="2"/>
      </rPr>
      <t>COD</t>
    </r>
  </si>
  <si>
    <t>Reference gas composition percentages</t>
  </si>
  <si>
    <t>Input gas</t>
  </si>
  <si>
    <t>Offgas with aeration</t>
  </si>
  <si>
    <t>Offgas without aeration</t>
  </si>
  <si>
    <t>Biogas</t>
  </si>
  <si>
    <r>
      <t>G</t>
    </r>
    <r>
      <rPr>
        <vertAlign val="subscript"/>
        <sz val="11"/>
        <rFont val="Calibri"/>
        <family val="2"/>
      </rPr>
      <t>CH4</t>
    </r>
  </si>
  <si>
    <r>
      <t>Methane gas (CH</t>
    </r>
    <r>
      <rPr>
        <vertAlign val="subscript"/>
        <sz val="11"/>
        <rFont val="Calibri"/>
        <family val="2"/>
      </rPr>
      <t>4</t>
    </r>
    <r>
      <rPr>
        <sz val="11"/>
        <rFont val="Calibri"/>
        <family val="2"/>
      </rPr>
      <t>)</t>
    </r>
    <r>
      <rPr>
        <sz val="11"/>
        <rFont val="Calibri"/>
        <family val="2"/>
        <scheme val="minor"/>
      </rPr>
      <t xml:space="preserve"> reference percentage</t>
    </r>
  </si>
  <si>
    <r>
      <t>G</t>
    </r>
    <r>
      <rPr>
        <vertAlign val="subscript"/>
        <sz val="11"/>
        <rFont val="Calibri"/>
        <family val="2"/>
      </rPr>
      <t>H2</t>
    </r>
  </si>
  <si>
    <r>
      <t>Hydrogen gas (H</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</si>
  <si>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O2</t>
    </r>
  </si>
  <si>
    <r>
      <t>Oxygen gas (O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</si>
  <si>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N2</t>
    </r>
  </si>
  <si>
    <r>
      <t>Nitrogen gas (N</t>
    </r>
    <r>
      <rPr>
        <vertAlign val="subscript"/>
        <sz val="11"/>
        <rFont val="Calibri"/>
        <family val="2"/>
      </rPr>
      <t>2</t>
    </r>
    <r>
      <rPr>
        <sz val="11"/>
        <rFont val="Calibri"/>
        <family val="2"/>
      </rPr>
      <t>)</t>
    </r>
    <r>
      <rPr>
        <sz val="11"/>
        <rFont val="Calibri"/>
        <family val="2"/>
        <scheme val="minor"/>
      </rPr>
      <t xml:space="preserve"> reference percentage</t>
    </r>
  </si>
  <si>
    <t>High purity oxygen</t>
  </si>
  <si>
    <t>Interstitial water content</t>
  </si>
  <si>
    <r>
      <t>i</t>
    </r>
    <r>
      <rPr>
        <vertAlign val="subscript"/>
        <sz val="11"/>
        <rFont val="Calibri"/>
        <family val="2"/>
        <scheme val="minor"/>
      </rPr>
      <t>iw,BIO</t>
    </r>
  </si>
  <si>
    <r>
      <t>g H2O.g VS</t>
    </r>
    <r>
      <rPr>
        <vertAlign val="superscript"/>
        <sz val="11"/>
        <rFont val="Calibri"/>
        <family val="2"/>
        <scheme val="minor"/>
      </rPr>
      <t>-1</t>
    </r>
  </si>
  <si>
    <t>Vicinal water content</t>
  </si>
  <si>
    <r>
      <t>i</t>
    </r>
    <r>
      <rPr>
        <vertAlign val="subscript"/>
        <sz val="11"/>
        <rFont val="Calibri"/>
        <family val="2"/>
        <scheme val="minor"/>
      </rPr>
      <t>vw,XB</t>
    </r>
  </si>
  <si>
    <t>Vicinal water of biodegradable substrate in volatile solids</t>
  </si>
  <si>
    <t>Assuming 5% of H2O is associated with vicinal water for these organics</t>
  </si>
  <si>
    <r>
      <t>i</t>
    </r>
    <r>
      <rPr>
        <vertAlign val="subscript"/>
        <sz val="11"/>
        <rFont val="Calibri"/>
        <family val="2"/>
        <scheme val="minor"/>
      </rPr>
      <t>vw,XU</t>
    </r>
  </si>
  <si>
    <t>Vicinal water of particulate unbiodegradable organics in volatile solids</t>
  </si>
  <si>
    <r>
      <t>i</t>
    </r>
    <r>
      <rPr>
        <vertAlign val="subscript"/>
        <sz val="11"/>
        <rFont val="Calibri"/>
        <family val="2"/>
        <scheme val="minor"/>
      </rPr>
      <t>vw,BIO</t>
    </r>
  </si>
  <si>
    <t>Vicinal water of biomass in volatile solids</t>
  </si>
  <si>
    <r>
      <t>i</t>
    </r>
    <r>
      <rPr>
        <vertAlign val="subscript"/>
        <sz val="11"/>
        <rFont val="Calibri"/>
        <family val="2"/>
        <scheme val="minor"/>
      </rPr>
      <t>vw,XE</t>
    </r>
  </si>
  <si>
    <t>Vicinal water of endogenous products in volatile solids</t>
  </si>
  <si>
    <r>
      <t>i</t>
    </r>
    <r>
      <rPr>
        <vertAlign val="subscript"/>
        <sz val="11"/>
        <rFont val="Calibri"/>
        <family val="2"/>
        <scheme val="minor"/>
      </rPr>
      <t>vw,EPS</t>
    </r>
  </si>
  <si>
    <t>Vicinal water correction of EPS in volatile solids</t>
  </si>
  <si>
    <t>Water of Hydration content</t>
  </si>
  <si>
    <r>
      <t>i</t>
    </r>
    <r>
      <rPr>
        <vertAlign val="subscript"/>
        <sz val="11"/>
        <rFont val="Calibri"/>
        <family val="2"/>
        <scheme val="minor"/>
      </rPr>
      <t>wh,XB</t>
    </r>
  </si>
  <si>
    <t>Water of hydration of biodegradable substrate in volatile solids</t>
  </si>
  <si>
    <t>Assuming 10% of H2O is associated with water of hydration</t>
  </si>
  <si>
    <r>
      <t>i</t>
    </r>
    <r>
      <rPr>
        <vertAlign val="subscript"/>
        <sz val="11"/>
        <rFont val="Calibri"/>
        <family val="2"/>
        <scheme val="minor"/>
      </rPr>
      <t>wh,XU</t>
    </r>
  </si>
  <si>
    <t>Water of hydration of particulate unbiodegradable organics in volatile solids</t>
  </si>
  <si>
    <r>
      <t>i</t>
    </r>
    <r>
      <rPr>
        <vertAlign val="subscript"/>
        <sz val="11"/>
        <rFont val="Calibri"/>
        <family val="2"/>
        <scheme val="minor"/>
      </rPr>
      <t>wh,BIO</t>
    </r>
  </si>
  <si>
    <t>Water of hydration of biomass in volatile solids</t>
  </si>
  <si>
    <r>
      <t>i</t>
    </r>
    <r>
      <rPr>
        <vertAlign val="subscript"/>
        <sz val="11"/>
        <rFont val="Calibri"/>
        <family val="2"/>
        <scheme val="minor"/>
      </rPr>
      <t>wh,XE</t>
    </r>
  </si>
  <si>
    <t>Water of hydration of endogenous products in volatile solids</t>
  </si>
  <si>
    <r>
      <t>i</t>
    </r>
    <r>
      <rPr>
        <vertAlign val="subscript"/>
        <sz val="11"/>
        <rFont val="Calibri"/>
        <family val="2"/>
        <scheme val="minor"/>
      </rPr>
      <t>wh,EPS</t>
    </r>
  </si>
  <si>
    <t>Water of hydration correction of EPS in volatile solids</t>
  </si>
  <si>
    <t>Assuming 25% of H2O is associated with water of hydration</t>
  </si>
  <si>
    <t>Fraction of bound water</t>
  </si>
  <si>
    <r>
      <t>f</t>
    </r>
    <r>
      <rPr>
        <vertAlign val="subscript"/>
        <sz val="11"/>
        <rFont val="Calibri"/>
        <family val="2"/>
        <scheme val="minor"/>
      </rPr>
      <t>bw,floc</t>
    </r>
  </si>
  <si>
    <t>MABR offgas</t>
  </si>
  <si>
    <r>
      <t>S</t>
    </r>
    <r>
      <rPr>
        <b/>
        <vertAlign val="subscript"/>
        <sz val="12"/>
        <rFont val="Calibri"/>
        <family val="2"/>
        <charset val="238"/>
        <scheme val="minor"/>
      </rPr>
      <t>ALPHA</t>
    </r>
  </si>
  <si>
    <t>Elimination of surfactants</t>
  </si>
  <si>
    <t>r26</t>
  </si>
  <si>
    <r>
      <rPr>
        <sz val="11"/>
        <rFont val="Calibri"/>
        <family val="2"/>
      </rPr>
      <t>d</t>
    </r>
    <r>
      <rPr>
        <vertAlign val="superscript"/>
        <sz val="11"/>
        <rFont val="Calibri"/>
        <family val="2"/>
      </rPr>
      <t>-1</t>
    </r>
  </si>
  <si>
    <r>
      <t>q</t>
    </r>
    <r>
      <rPr>
        <vertAlign val="subscript"/>
        <sz val="11"/>
        <rFont val="Calibri"/>
        <family val="2"/>
        <scheme val="minor"/>
      </rPr>
      <t>ALPHA</t>
    </r>
  </si>
  <si>
    <r>
      <t>m</t>
    </r>
    <r>
      <rPr>
        <vertAlign val="superscript"/>
        <sz val="11"/>
        <rFont val="Calibri"/>
        <family val="2"/>
        <charset val="238"/>
        <scheme val="minor"/>
      </rPr>
      <t>3</t>
    </r>
    <r>
      <rPr>
        <sz val="11"/>
        <rFont val="Calibri"/>
        <family val="2"/>
        <scheme val="minor"/>
      </rPr>
      <t>.g</t>
    </r>
    <r>
      <rPr>
        <vertAlign val="superscript"/>
        <sz val="11"/>
        <rFont val="Calibri"/>
        <family val="2"/>
        <charset val="238"/>
        <scheme val="minor"/>
      </rPr>
      <t>-1</t>
    </r>
    <r>
      <rPr>
        <sz val="11"/>
        <rFont val="Calibri"/>
        <family val="2"/>
        <charset val="238"/>
        <scheme val="minor"/>
      </rPr>
      <t>.</t>
    </r>
    <r>
      <rPr>
        <sz val="11"/>
        <rFont val="Calibri"/>
        <family val="2"/>
        <scheme val="minor"/>
      </rPr>
      <t>d</t>
    </r>
    <r>
      <rPr>
        <vertAlign val="superscript"/>
        <sz val="11"/>
        <rFont val="Calibri"/>
        <family val="2"/>
        <scheme val="minor"/>
      </rPr>
      <t>-1</t>
    </r>
  </si>
  <si>
    <r>
      <t>S</t>
    </r>
    <r>
      <rPr>
        <vertAlign val="subscript"/>
        <sz val="11"/>
        <rFont val="Calibri"/>
        <family val="2"/>
        <charset val="238"/>
        <scheme val="minor"/>
      </rPr>
      <t>ALPHA,sat</t>
    </r>
  </si>
  <si>
    <r>
      <t>coeff</t>
    </r>
    <r>
      <rPr>
        <vertAlign val="subscript"/>
        <sz val="11"/>
        <rFont val="Calibri"/>
        <family val="2"/>
        <charset val="238"/>
        <scheme val="minor"/>
      </rPr>
      <t>damp,ALPHA</t>
    </r>
  </si>
  <si>
    <r>
      <t>pow</t>
    </r>
    <r>
      <rPr>
        <vertAlign val="subscript"/>
        <sz val="11"/>
        <rFont val="Calibri"/>
        <family val="2"/>
        <charset val="238"/>
        <scheme val="minor"/>
      </rPr>
      <t>damp,ALPHA</t>
    </r>
  </si>
  <si>
    <r>
      <t>sl</t>
    </r>
    <r>
      <rPr>
        <vertAlign val="subscript"/>
        <sz val="11"/>
        <rFont val="Calibri"/>
        <family val="2"/>
        <charset val="238"/>
        <scheme val="minor"/>
      </rPr>
      <t>TSS,</t>
    </r>
    <r>
      <rPr>
        <vertAlign val="subscript"/>
        <sz val="11"/>
        <rFont val="Calibri"/>
        <family val="2"/>
        <charset val="238"/>
      </rPr>
      <t>α</t>
    </r>
    <r>
      <rPr>
        <vertAlign val="subscript"/>
        <sz val="11"/>
        <rFont val="Calibri"/>
        <family val="2"/>
        <charset val="238"/>
        <scheme val="minor"/>
      </rPr>
      <t>,def</t>
    </r>
  </si>
  <si>
    <r>
      <t>sl</t>
    </r>
    <r>
      <rPr>
        <vertAlign val="subscript"/>
        <sz val="11"/>
        <rFont val="Calibri"/>
        <family val="2"/>
        <charset val="238"/>
        <scheme val="minor"/>
      </rPr>
      <t>TSS,α,coarse</t>
    </r>
  </si>
  <si>
    <r>
      <t>coeff</t>
    </r>
    <r>
      <rPr>
        <vertAlign val="subscript"/>
        <sz val="11"/>
        <rFont val="Calibri"/>
        <family val="2"/>
        <charset val="238"/>
        <scheme val="minor"/>
      </rPr>
      <t>lead,TSS,α,mech</t>
    </r>
  </si>
  <si>
    <r>
      <t>coeff</t>
    </r>
    <r>
      <rPr>
        <vertAlign val="subscript"/>
        <sz val="11"/>
        <rFont val="Calibri"/>
        <family val="2"/>
        <charset val="238"/>
        <scheme val="minor"/>
      </rPr>
      <t>lin,TSS,α,mech</t>
    </r>
  </si>
  <si>
    <r>
      <t>const</t>
    </r>
    <r>
      <rPr>
        <vertAlign val="subscript"/>
        <sz val="11"/>
        <color rgb="FF000000"/>
        <rFont val="Calibri"/>
        <family val="2"/>
        <charset val="238"/>
        <scheme val="minor"/>
      </rPr>
      <t>TSS,α,mech</t>
    </r>
  </si>
  <si>
    <t>Alpha factor influencing expressions</t>
  </si>
  <si>
    <r>
      <t>damp</t>
    </r>
    <r>
      <rPr>
        <vertAlign val="subscript"/>
        <sz val="11"/>
        <rFont val="Calibri"/>
        <family val="2"/>
        <charset val="238"/>
        <scheme val="minor"/>
      </rPr>
      <t>ALPHA</t>
    </r>
  </si>
  <si>
    <r>
      <t>1+coeff</t>
    </r>
    <r>
      <rPr>
        <vertAlign val="subscript"/>
        <sz val="11"/>
        <rFont val="Calibri"/>
        <family val="2"/>
        <charset val="238"/>
        <scheme val="minor"/>
      </rPr>
      <t>damp,ALPHA</t>
    </r>
    <r>
      <rPr>
        <sz val="11"/>
        <rFont val="Calibri"/>
        <family val="2"/>
        <charset val="238"/>
        <scheme val="minor"/>
      </rPr>
      <t>*(</t>
    </r>
    <r>
      <rPr>
        <sz val="11"/>
        <rFont val="Calibri"/>
        <family val="2"/>
        <scheme val="minor"/>
      </rPr>
      <t>S</t>
    </r>
    <r>
      <rPr>
        <vertAlign val="subscript"/>
        <sz val="11"/>
        <rFont val="Calibri"/>
        <family val="2"/>
        <charset val="238"/>
        <scheme val="minor"/>
      </rPr>
      <t>ALPHA</t>
    </r>
    <r>
      <rPr>
        <sz val="11"/>
        <rFont val="Calibri"/>
        <family val="2"/>
        <scheme val="minor"/>
      </rPr>
      <t>/S</t>
    </r>
    <r>
      <rPr>
        <vertAlign val="subscript"/>
        <sz val="11"/>
        <rFont val="Calibri"/>
        <family val="2"/>
        <charset val="238"/>
        <scheme val="minor"/>
      </rPr>
      <t>ALPHA,sat</t>
    </r>
    <r>
      <rPr>
        <sz val="11"/>
        <rFont val="Calibri"/>
        <family val="2"/>
        <charset val="238"/>
        <scheme val="minor"/>
      </rPr>
      <t>)^pow</t>
    </r>
    <r>
      <rPr>
        <vertAlign val="subscript"/>
        <sz val="11"/>
        <rFont val="Calibri"/>
        <family val="2"/>
        <charset val="238"/>
        <scheme val="minor"/>
      </rPr>
      <t>damp,ALPHA</t>
    </r>
  </si>
  <si>
    <r>
      <t>corr</t>
    </r>
    <r>
      <rPr>
        <vertAlign val="subscript"/>
        <sz val="11"/>
        <rFont val="Calibri"/>
        <family val="2"/>
        <charset val="238"/>
        <scheme val="minor"/>
      </rPr>
      <t>TSS,</t>
    </r>
    <r>
      <rPr>
        <vertAlign val="subscript"/>
        <sz val="11"/>
        <rFont val="Calibri"/>
        <family val="2"/>
        <charset val="238"/>
      </rPr>
      <t>α</t>
    </r>
  </si>
  <si>
    <r>
      <t>Exp(</t>
    </r>
    <r>
      <rPr>
        <sz val="11"/>
        <color indexed="8"/>
        <rFont val="Calibri"/>
        <family val="2"/>
      </rPr>
      <t>sl</t>
    </r>
    <r>
      <rPr>
        <vertAlign val="subscript"/>
        <sz val="11"/>
        <color rgb="FF000000"/>
        <rFont val="Calibri"/>
        <family val="2"/>
        <charset val="238"/>
      </rPr>
      <t>TSS,α,def</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</si>
  <si>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r>
      <t>Exp(</t>
    </r>
    <r>
      <rPr>
        <sz val="11"/>
        <color indexed="8"/>
        <rFont val="Calibri"/>
        <family val="2"/>
      </rPr>
      <t>sl</t>
    </r>
    <r>
      <rPr>
        <vertAlign val="subscript"/>
        <sz val="11"/>
        <color rgb="FF000000"/>
        <rFont val="Calibri"/>
        <family val="2"/>
        <charset val="238"/>
      </rPr>
      <t>TSS,α,coarse</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</si>
  <si>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t>SOTEFixed_coarse</t>
  </si>
  <si>
    <r>
      <t>coeff</t>
    </r>
    <r>
      <rPr>
        <vertAlign val="subscript"/>
        <sz val="11"/>
        <rFont val="Calibri"/>
        <family val="2"/>
        <charset val="238"/>
        <scheme val="minor"/>
      </rPr>
      <t>lead,TSS,</t>
    </r>
    <r>
      <rPr>
        <vertAlign val="subscript"/>
        <sz val="11"/>
        <rFont val="Calibri"/>
        <family val="2"/>
        <charset val="238"/>
      </rPr>
      <t>α,mech</t>
    </r>
    <r>
      <rPr>
        <sz val="11"/>
        <rFont val="Calibri"/>
        <family val="2"/>
        <scheme val="minor"/>
      </rPr>
      <t>*(X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charset val="238"/>
        <scheme val="minor"/>
      </rPr>
      <t>)^</t>
    </r>
    <r>
      <rPr>
        <sz val="11"/>
        <rFont val="Calibri"/>
        <family val="2"/>
        <scheme val="minor"/>
      </rPr>
      <t>2 + coeff</t>
    </r>
    <r>
      <rPr>
        <vertAlign val="subscript"/>
        <sz val="11"/>
        <rFont val="Calibri"/>
        <family val="2"/>
        <charset val="238"/>
        <scheme val="minor"/>
      </rPr>
      <t>lin,TSS,α,mech</t>
    </r>
    <r>
      <rPr>
        <sz val="11"/>
        <rFont val="Calibri"/>
        <family val="2"/>
        <scheme val="minor"/>
      </rPr>
      <t xml:space="preserve"> * 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scheme val="minor"/>
      </rPr>
      <t xml:space="preserve"> + const</t>
    </r>
    <r>
      <rPr>
        <vertAlign val="subscript"/>
        <sz val="11"/>
        <rFont val="Calibri"/>
        <family val="2"/>
        <charset val="238"/>
        <scheme val="minor"/>
      </rPr>
      <t>TSS,α,mech</t>
    </r>
  </si>
  <si>
    <t>Mechanical</t>
  </si>
  <si>
    <r>
      <t>S</t>
    </r>
    <r>
      <rPr>
        <b/>
        <vertAlign val="subscript"/>
        <sz val="11"/>
        <rFont val="Calibri"/>
        <family val="2"/>
        <scheme val="minor"/>
      </rPr>
      <t>ALPHA</t>
    </r>
  </si>
  <si>
    <t>Alpha indicator</t>
  </si>
  <si>
    <r>
      <t>α</t>
    </r>
    <r>
      <rPr>
        <vertAlign val="subscript"/>
        <sz val="9.35"/>
        <rFont val="Calibri"/>
        <family val="2"/>
        <charset val="238"/>
      </rPr>
      <t>pred</t>
    </r>
  </si>
  <si>
    <t>Alpha factor predicted</t>
  </si>
  <si>
    <t>SOTECorr_cap</t>
  </si>
  <si>
    <t>Total inorganic nitrogen</t>
  </si>
  <si>
    <r>
      <t>T</t>
    </r>
    <r>
      <rPr>
        <vertAlign val="subscript"/>
        <sz val="11"/>
        <rFont val="Calibri"/>
        <family val="2"/>
        <charset val="238"/>
      </rPr>
      <t>IN</t>
    </r>
  </si>
  <si>
    <r>
      <t>S</t>
    </r>
    <r>
      <rPr>
        <vertAlign val="subscript"/>
        <sz val="11"/>
        <rFont val="Calibri"/>
        <family val="2"/>
      </rPr>
      <t>NHx</t>
    </r>
    <r>
      <rPr>
        <sz val="11"/>
        <rFont val="Calibri"/>
        <family val="2"/>
      </rPr>
      <t xml:space="preserve"> + S</t>
    </r>
    <r>
      <rPr>
        <vertAlign val="subscript"/>
        <sz val="11"/>
        <rFont val="Calibri"/>
        <family val="2"/>
      </rPr>
      <t>NOx</t>
    </r>
  </si>
  <si>
    <r>
      <t>T</t>
    </r>
    <r>
      <rPr>
        <vertAlign val="subscript"/>
        <sz val="11"/>
        <rFont val="Calibri"/>
        <family val="2"/>
      </rPr>
      <t>KN</t>
    </r>
    <r>
      <rPr>
        <sz val="11"/>
        <rFont val="Calibri"/>
        <family val="2"/>
      </rPr>
      <t xml:space="preserve"> + S</t>
    </r>
    <r>
      <rPr>
        <vertAlign val="subscript"/>
        <sz val="11"/>
        <rFont val="Calibri"/>
        <family val="2"/>
      </rPr>
      <t>NOx</t>
    </r>
  </si>
  <si>
    <t>Simplified One-step whole-plant model</t>
  </si>
  <si>
    <t>SV group</t>
  </si>
  <si>
    <t>Biomass</t>
  </si>
  <si>
    <t>O2</t>
  </si>
  <si>
    <t>TSS</t>
  </si>
  <si>
    <t>ALPHA</t>
  </si>
  <si>
    <t>ALK</t>
  </si>
  <si>
    <r>
      <t>i</t>
    </r>
    <r>
      <rPr>
        <vertAlign val="subscript"/>
        <sz val="11"/>
        <rFont val="Calibri"/>
        <family val="2"/>
        <scheme val="minor"/>
      </rPr>
      <t>N,SU</t>
    </r>
  </si>
  <si>
    <t>N content of soluble unbiodegradable organics</t>
  </si>
  <si>
    <r>
      <t>i</t>
    </r>
    <r>
      <rPr>
        <vertAlign val="subscript"/>
        <sz val="11"/>
        <rFont val="Calibri"/>
        <family val="2"/>
        <scheme val="minor"/>
      </rPr>
      <t>N,XU</t>
    </r>
  </si>
  <si>
    <t>N content of particulate unbiodegradable organics</t>
  </si>
  <si>
    <r>
      <t>S</t>
    </r>
    <r>
      <rPr>
        <vertAlign val="subscript"/>
        <sz val="11"/>
        <rFont val="Calibri"/>
        <family val="2"/>
      </rPr>
      <t>NHx</t>
    </r>
    <r>
      <rPr>
        <sz val="11"/>
        <rFont val="Calibri"/>
        <family val="2"/>
      </rPr>
      <t xml:space="preserve"> + S</t>
    </r>
    <r>
      <rPr>
        <vertAlign val="subscript"/>
        <sz val="11"/>
        <rFont val="Calibri"/>
        <family val="2"/>
      </rPr>
      <t>N,B</t>
    </r>
    <r>
      <rPr>
        <sz val="11"/>
        <rFont val="Calibri"/>
        <family val="2"/>
      </rPr>
      <t xml:space="preserve"> + S</t>
    </r>
    <r>
      <rPr>
        <vertAlign val="subscript"/>
        <sz val="11"/>
        <rFont val="Calibri"/>
        <family val="2"/>
      </rPr>
      <t>U</t>
    </r>
    <r>
      <rPr>
        <sz val="11"/>
        <rFont val="Calibri"/>
        <family val="2"/>
      </rPr>
      <t>*i</t>
    </r>
    <r>
      <rPr>
        <vertAlign val="subscript"/>
        <sz val="11"/>
        <rFont val="Calibri"/>
        <family val="2"/>
      </rPr>
      <t>N,SU</t>
    </r>
    <r>
      <rPr>
        <sz val="11"/>
        <rFont val="Calibri"/>
        <family val="2"/>
      </rPr>
      <t>+X</t>
    </r>
    <r>
      <rPr>
        <vertAlign val="subscript"/>
        <sz val="11"/>
        <rFont val="Calibri"/>
        <family val="2"/>
      </rPr>
      <t>U</t>
    </r>
    <r>
      <rPr>
        <sz val="11"/>
        <rFont val="Calibri"/>
        <family val="2"/>
      </rPr>
      <t>*i</t>
    </r>
    <r>
      <rPr>
        <vertAlign val="subscript"/>
        <sz val="11"/>
        <rFont val="Calibri"/>
        <family val="2"/>
      </rPr>
      <t>N,XU</t>
    </r>
    <r>
      <rPr>
        <sz val="11"/>
        <rFont val="Calibri"/>
        <family val="2"/>
      </rPr>
      <t xml:space="preserve"> + X</t>
    </r>
    <r>
      <rPr>
        <vertAlign val="subscript"/>
        <sz val="11"/>
        <rFont val="Calibri"/>
        <family val="2"/>
      </rPr>
      <t>N,B</t>
    </r>
    <r>
      <rPr>
        <sz val="11"/>
        <rFont val="Calibri"/>
        <family val="2"/>
      </rPr>
      <t xml:space="preserve"> + i</t>
    </r>
    <r>
      <rPr>
        <vertAlign val="subscript"/>
        <sz val="11"/>
        <rFont val="Calibri"/>
        <family val="2"/>
      </rPr>
      <t>N,BIO</t>
    </r>
    <r>
      <rPr>
        <sz val="11"/>
        <rFont val="Calibri"/>
        <family val="2"/>
      </rPr>
      <t>*X</t>
    </r>
    <r>
      <rPr>
        <vertAlign val="subscript"/>
        <sz val="11"/>
        <rFont val="Calibri"/>
        <family val="2"/>
      </rPr>
      <t>BIO</t>
    </r>
    <r>
      <rPr>
        <sz val="11"/>
        <rFont val="Calibri"/>
        <family val="2"/>
      </rPr>
      <t xml:space="preserve"> + i</t>
    </r>
    <r>
      <rPr>
        <vertAlign val="subscript"/>
        <sz val="11"/>
        <rFont val="Calibri"/>
        <family val="2"/>
      </rPr>
      <t>N,XE</t>
    </r>
    <r>
      <rPr>
        <sz val="11"/>
        <rFont val="Calibri"/>
        <family val="2"/>
      </rPr>
      <t>*X</t>
    </r>
    <r>
      <rPr>
        <vertAlign val="subscript"/>
        <sz val="11"/>
        <rFont val="Calibri"/>
        <family val="2"/>
      </rPr>
      <t>E</t>
    </r>
  </si>
  <si>
    <t>Soluble unbiodegradable organic nitrogen</t>
  </si>
  <si>
    <r>
      <t>S</t>
    </r>
    <r>
      <rPr>
        <vertAlign val="subscript"/>
        <sz val="11"/>
        <rFont val="Calibri"/>
        <family val="2"/>
      </rPr>
      <t>U</t>
    </r>
    <r>
      <rPr>
        <sz val="11"/>
        <rFont val="Calibri"/>
        <family val="2"/>
      </rPr>
      <t xml:space="preserve"> *i</t>
    </r>
    <r>
      <rPr>
        <vertAlign val="subscript"/>
        <sz val="11"/>
        <rFont val="Calibri"/>
        <family val="2"/>
      </rPr>
      <t>N,SU</t>
    </r>
  </si>
  <si>
    <t>Effluent</t>
  </si>
  <si>
    <r>
      <t>S</t>
    </r>
    <r>
      <rPr>
        <vertAlign val="subscript"/>
        <sz val="11"/>
        <rFont val="Calibri"/>
        <family val="2"/>
        <scheme val="minor"/>
      </rPr>
      <t>U,N</t>
    </r>
  </si>
  <si>
    <r>
      <t>q</t>
    </r>
    <r>
      <rPr>
        <vertAlign val="subscript"/>
        <sz val="11"/>
        <rFont val="Calibri"/>
        <family val="2"/>
        <scheme val="minor"/>
      </rPr>
      <t>FeOH,PREC</t>
    </r>
    <r>
      <rPr>
        <sz val="11"/>
        <rFont val="Calibri"/>
        <family val="2"/>
        <scheme val="minor"/>
      </rPr>
      <t>*S</t>
    </r>
    <r>
      <rPr>
        <vertAlign val="subscript"/>
        <sz val="11"/>
        <rFont val="Calibri"/>
        <family val="2"/>
        <scheme val="minor"/>
      </rPr>
      <t>PO4</t>
    </r>
    <r>
      <rPr>
        <sz val="11"/>
        <rFont val="Calibri"/>
        <family val="2"/>
        <scheme val="minor"/>
      </rPr>
      <t>*X</t>
    </r>
    <r>
      <rPr>
        <vertAlign val="subscript"/>
        <sz val="11"/>
        <rFont val="Calibri"/>
        <family val="2"/>
        <scheme val="minor"/>
      </rPr>
      <t>FeOH</t>
    </r>
  </si>
  <si>
    <r>
      <t>q</t>
    </r>
    <r>
      <rPr>
        <vertAlign val="subscript"/>
        <sz val="11"/>
        <rFont val="Calibri"/>
        <family val="2"/>
        <scheme val="minor"/>
      </rPr>
      <t>FeOH,DISSOL</t>
    </r>
    <r>
      <rPr>
        <sz val="11"/>
        <rFont val="Calibri"/>
        <family val="2"/>
        <scheme val="minor"/>
      </rPr>
      <t>*X</t>
    </r>
    <r>
      <rPr>
        <vertAlign val="subscript"/>
        <sz val="11"/>
        <rFont val="Calibri"/>
        <family val="2"/>
        <scheme val="minor"/>
      </rPr>
      <t>FeP</t>
    </r>
    <r>
      <rPr>
        <sz val="11"/>
        <rFont val="Calibri"/>
        <family val="2"/>
        <scheme val="minor"/>
      </rPr>
      <t>*Msat</t>
    </r>
    <r>
      <rPr>
        <vertAlign val="subscript"/>
        <sz val="11"/>
        <rFont val="Calibri"/>
        <family val="2"/>
        <scheme val="minor"/>
      </rPr>
      <t>SALK,KALK</t>
    </r>
  </si>
  <si>
    <r>
      <t>q</t>
    </r>
    <r>
      <rPr>
        <vertAlign val="subscript"/>
        <sz val="11"/>
        <rFont val="Calibri"/>
        <family val="2"/>
        <scheme val="minor"/>
      </rPr>
      <t>AlOH,PREC</t>
    </r>
    <r>
      <rPr>
        <sz val="11"/>
        <rFont val="Calibri"/>
        <family val="2"/>
        <scheme val="minor"/>
      </rPr>
      <t>*S</t>
    </r>
    <r>
      <rPr>
        <vertAlign val="subscript"/>
        <sz val="11"/>
        <rFont val="Calibri"/>
        <family val="2"/>
        <scheme val="minor"/>
      </rPr>
      <t>PO4</t>
    </r>
    <r>
      <rPr>
        <sz val="11"/>
        <rFont val="Calibri"/>
        <family val="2"/>
        <scheme val="minor"/>
      </rPr>
      <t>*X</t>
    </r>
    <r>
      <rPr>
        <vertAlign val="subscript"/>
        <sz val="11"/>
        <rFont val="Calibri"/>
        <family val="2"/>
        <scheme val="minor"/>
      </rPr>
      <t>AlOH</t>
    </r>
  </si>
  <si>
    <r>
      <t>q</t>
    </r>
    <r>
      <rPr>
        <vertAlign val="subscript"/>
        <sz val="11"/>
        <rFont val="Calibri"/>
        <family val="2"/>
        <scheme val="minor"/>
      </rPr>
      <t>AlOH,DISSOL</t>
    </r>
    <r>
      <rPr>
        <sz val="11"/>
        <rFont val="Calibri"/>
        <family val="2"/>
        <scheme val="minor"/>
      </rPr>
      <t>*X</t>
    </r>
    <r>
      <rPr>
        <vertAlign val="subscript"/>
        <sz val="11"/>
        <rFont val="Calibri"/>
        <family val="2"/>
        <scheme val="minor"/>
      </rPr>
      <t>AlP</t>
    </r>
    <r>
      <rPr>
        <sz val="11"/>
        <rFont val="Calibri"/>
        <family val="2"/>
        <scheme val="minor"/>
      </rPr>
      <t>*Msat</t>
    </r>
    <r>
      <rPr>
        <vertAlign val="subscript"/>
        <sz val="11"/>
        <rFont val="Calibri"/>
        <family val="2"/>
        <scheme val="minor"/>
      </rPr>
      <t>SALK,KALK</t>
    </r>
  </si>
  <si>
    <t>PondWaterColumn</t>
  </si>
  <si>
    <t>PondSediments</t>
  </si>
  <si>
    <r>
      <t>(X</t>
    </r>
    <r>
      <rPr>
        <vertAlign val="subscript"/>
        <sz val="11"/>
        <rFont val="Calibri"/>
        <family val="2"/>
        <scheme val="minor"/>
      </rPr>
      <t>VSS,BIO</t>
    </r>
    <r>
      <rPr>
        <sz val="11"/>
        <rFont val="Calibri"/>
        <family val="2"/>
        <scheme val="minor"/>
      </rPr>
      <t>*(i</t>
    </r>
    <r>
      <rPr>
        <vertAlign val="subscript"/>
        <sz val="11"/>
        <rFont val="Calibri"/>
        <family val="2"/>
        <scheme val="minor"/>
      </rPr>
      <t>vw,BIO</t>
    </r>
    <r>
      <rPr>
        <sz val="11"/>
        <rFont val="Calibri"/>
        <family val="2"/>
        <scheme val="minor"/>
      </rPr>
      <t>+i</t>
    </r>
    <r>
      <rPr>
        <vertAlign val="subscript"/>
        <sz val="11"/>
        <rFont val="Calibri"/>
        <family val="2"/>
        <scheme val="minor"/>
      </rPr>
      <t>iw,BIO</t>
    </r>
    <r>
      <rPr>
        <sz val="11"/>
        <rFont val="Calibri"/>
        <family val="2"/>
        <scheme val="minor"/>
      </rPr>
      <t>+i</t>
    </r>
    <r>
      <rPr>
        <vertAlign val="subscript"/>
        <sz val="11"/>
        <rFont val="Calibri"/>
        <family val="2"/>
        <scheme val="minor"/>
      </rPr>
      <t>wh,BIO</t>
    </r>
    <r>
      <rPr>
        <sz val="11"/>
        <rFont val="Calibri"/>
        <family val="2"/>
        <scheme val="minor"/>
      </rPr>
      <t>)</t>
    </r>
    <r>
      <rPr>
        <vertAlign val="subscript"/>
        <sz val="11"/>
        <rFont val="Calibri"/>
        <family val="2"/>
        <scheme val="minor"/>
      </rPr>
      <t xml:space="preserve"> </t>
    </r>
    <r>
      <rPr>
        <b/>
        <sz val="11"/>
        <color rgb="FFC00000"/>
        <rFont val="Calibri"/>
        <family val="2"/>
        <scheme val="minor"/>
      </rPr>
      <t>+ X</t>
    </r>
    <r>
      <rPr>
        <b/>
        <vertAlign val="subscript"/>
        <sz val="11"/>
        <color rgb="FFC00000"/>
        <rFont val="Calibri"/>
        <family val="2"/>
        <scheme val="minor"/>
      </rPr>
      <t>VSS,BIO</t>
    </r>
    <r>
      <rPr>
        <b/>
        <sz val="11"/>
        <color rgb="FFC00000"/>
        <rFont val="Calibri"/>
        <family val="2"/>
        <scheme val="minor"/>
      </rPr>
      <t xml:space="preserve"> * (i</t>
    </r>
    <r>
      <rPr>
        <b/>
        <vertAlign val="subscript"/>
        <sz val="11"/>
        <color rgb="FFC00000"/>
        <rFont val="Calibri"/>
        <family val="2"/>
        <scheme val="minor"/>
      </rPr>
      <t>vw,EPS</t>
    </r>
    <r>
      <rPr>
        <b/>
        <sz val="11"/>
        <color rgb="FFC00000"/>
        <rFont val="Calibri"/>
        <family val="2"/>
        <scheme val="minor"/>
      </rPr>
      <t xml:space="preserve"> + i</t>
    </r>
    <r>
      <rPr>
        <b/>
        <vertAlign val="subscript"/>
        <sz val="11"/>
        <color rgb="FFC00000"/>
        <rFont val="Calibri"/>
        <family val="2"/>
        <scheme val="minor"/>
      </rPr>
      <t>wh,EPS</t>
    </r>
    <r>
      <rPr>
        <sz val="11"/>
        <color rgb="FFC00000"/>
        <rFont val="Calibri"/>
        <family val="2"/>
        <scheme val="minor"/>
      </rPr>
      <t>)</t>
    </r>
    <r>
      <rPr>
        <sz val="11"/>
        <rFont val="Calibri"/>
        <family val="2"/>
        <scheme val="minor"/>
      </rPr>
      <t xml:space="preserve"> + X</t>
    </r>
    <r>
      <rPr>
        <vertAlign val="subscript"/>
        <sz val="11"/>
        <rFont val="Calibri"/>
        <family val="2"/>
        <scheme val="minor"/>
      </rPr>
      <t>E</t>
    </r>
    <r>
      <rPr>
        <sz val="11"/>
        <rFont val="Calibri"/>
        <family val="2"/>
        <scheme val="minor"/>
      </rPr>
      <t>/i</t>
    </r>
    <r>
      <rPr>
        <vertAlign val="subscript"/>
        <sz val="11"/>
        <rFont val="Calibri"/>
        <family val="2"/>
        <scheme val="minor"/>
      </rPr>
      <t>CV,XE</t>
    </r>
    <r>
      <rPr>
        <sz val="11"/>
        <rFont val="Calibri"/>
        <family val="2"/>
        <scheme val="minor"/>
      </rPr>
      <t xml:space="preserve"> * (i</t>
    </r>
    <r>
      <rPr>
        <vertAlign val="subscript"/>
        <sz val="11"/>
        <rFont val="Calibri"/>
        <family val="2"/>
        <scheme val="minor"/>
      </rPr>
      <t>vw,XE</t>
    </r>
    <r>
      <rPr>
        <sz val="11"/>
        <rFont val="Calibri"/>
        <family val="2"/>
        <scheme val="minor"/>
      </rPr>
      <t>+i</t>
    </r>
    <r>
      <rPr>
        <vertAlign val="subscript"/>
        <sz val="11"/>
        <rFont val="Calibri"/>
        <family val="2"/>
        <scheme val="minor"/>
      </rPr>
      <t>wh,XE</t>
    </r>
    <r>
      <rPr>
        <sz val="11"/>
        <rFont val="Calibri"/>
        <family val="2"/>
        <scheme val="minor"/>
      </rPr>
      <t>)</t>
    </r>
    <r>
      <rPr>
        <b/>
        <sz val="11"/>
        <color rgb="FFC00000"/>
        <rFont val="Calibri"/>
        <family val="2"/>
        <scheme val="minor"/>
      </rPr>
      <t xml:space="preserve"> + X</t>
    </r>
    <r>
      <rPr>
        <b/>
        <vertAlign val="subscript"/>
        <sz val="11"/>
        <color rgb="FFC00000"/>
        <rFont val="Calibri"/>
        <family val="2"/>
        <scheme val="minor"/>
      </rPr>
      <t>E</t>
    </r>
    <r>
      <rPr>
        <b/>
        <sz val="11"/>
        <color rgb="FFC00000"/>
        <rFont val="Calibri"/>
        <family val="2"/>
        <scheme val="minor"/>
      </rPr>
      <t>/i</t>
    </r>
    <r>
      <rPr>
        <b/>
        <vertAlign val="subscript"/>
        <sz val="11"/>
        <color rgb="FFC00000"/>
        <rFont val="Calibri"/>
        <family val="2"/>
        <scheme val="minor"/>
      </rPr>
      <t>CV,XE</t>
    </r>
    <r>
      <rPr>
        <b/>
        <sz val="11"/>
        <color rgb="FFC00000"/>
        <rFont val="Calibri"/>
        <family val="2"/>
        <scheme val="minor"/>
      </rPr>
      <t xml:space="preserve"> * (i</t>
    </r>
    <r>
      <rPr>
        <b/>
        <vertAlign val="subscript"/>
        <sz val="11"/>
        <color rgb="FFC00000"/>
        <rFont val="Calibri"/>
        <family val="2"/>
        <scheme val="minor"/>
      </rPr>
      <t>vw,EPS</t>
    </r>
    <r>
      <rPr>
        <b/>
        <sz val="11"/>
        <color rgb="FFC00000"/>
        <rFont val="Calibri"/>
        <family val="2"/>
        <scheme val="minor"/>
      </rPr>
      <t xml:space="preserve"> + i</t>
    </r>
    <r>
      <rPr>
        <b/>
        <vertAlign val="subscript"/>
        <sz val="11"/>
        <color rgb="FFC00000"/>
        <rFont val="Calibri"/>
        <family val="2"/>
        <scheme val="minor"/>
      </rPr>
      <t>wh,EPS</t>
    </r>
    <r>
      <rPr>
        <sz val="11"/>
        <color rgb="FFC00000"/>
        <rFont val="Calibri"/>
        <family val="2"/>
        <scheme val="minor"/>
      </rPr>
      <t>)</t>
    </r>
    <r>
      <rPr>
        <sz val="11"/>
        <rFont val="Calibri"/>
        <family val="2"/>
        <scheme val="minor"/>
      </rPr>
      <t xml:space="preserve"> + X</t>
    </r>
    <r>
      <rPr>
        <vertAlign val="subscript"/>
        <sz val="11"/>
        <rFont val="Calibri"/>
        <family val="2"/>
        <scheme val="minor"/>
      </rPr>
      <t>B</t>
    </r>
    <r>
      <rPr>
        <sz val="11"/>
        <rFont val="Calibri"/>
        <family val="2"/>
        <scheme val="minor"/>
      </rPr>
      <t>/i</t>
    </r>
    <r>
      <rPr>
        <vertAlign val="subscript"/>
        <sz val="11"/>
        <rFont val="Calibri"/>
        <family val="2"/>
        <scheme val="minor"/>
      </rPr>
      <t>CV,XB</t>
    </r>
    <r>
      <rPr>
        <sz val="11"/>
        <rFont val="Calibri"/>
        <family val="2"/>
        <scheme val="minor"/>
      </rPr>
      <t xml:space="preserve"> *(i</t>
    </r>
    <r>
      <rPr>
        <vertAlign val="subscript"/>
        <sz val="11"/>
        <rFont val="Calibri"/>
        <family val="2"/>
        <scheme val="minor"/>
      </rPr>
      <t>vw,XB</t>
    </r>
    <r>
      <rPr>
        <sz val="11"/>
        <rFont val="Calibri"/>
        <family val="2"/>
        <scheme val="minor"/>
      </rPr>
      <t>+i</t>
    </r>
    <r>
      <rPr>
        <vertAlign val="subscript"/>
        <sz val="11"/>
        <rFont val="Calibri"/>
        <family val="2"/>
        <scheme val="minor"/>
      </rPr>
      <t>wh,XB</t>
    </r>
    <r>
      <rPr>
        <sz val="11"/>
        <rFont val="Calibri"/>
        <family val="2"/>
        <scheme val="minor"/>
      </rPr>
      <t>) + 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 xml:space="preserve"> *(i</t>
    </r>
    <r>
      <rPr>
        <vertAlign val="subscript"/>
        <sz val="11"/>
        <rFont val="Calibri"/>
        <family val="2"/>
        <scheme val="minor"/>
      </rPr>
      <t>vw,XU</t>
    </r>
    <r>
      <rPr>
        <sz val="11"/>
        <rFont val="Calibri"/>
        <family val="2"/>
        <scheme val="minor"/>
      </rPr>
      <t>+i</t>
    </r>
    <r>
      <rPr>
        <vertAlign val="subscript"/>
        <sz val="11"/>
        <rFont val="Calibri"/>
        <family val="2"/>
        <scheme val="minor"/>
      </rPr>
      <t>wh,XU</t>
    </r>
    <r>
      <rPr>
        <sz val="11"/>
        <rFont val="Calibri"/>
        <family val="2"/>
        <scheme val="minor"/>
      </rPr>
      <t>))/X</t>
    </r>
    <r>
      <rPr>
        <vertAlign val="subscript"/>
        <sz val="11"/>
        <rFont val="Calibri"/>
        <family val="2"/>
        <scheme val="minor"/>
      </rPr>
      <t>VSS</t>
    </r>
  </si>
  <si>
    <t>Alpha improvement rate</t>
  </si>
  <si>
    <t>Maximum alpha indicator</t>
  </si>
  <si>
    <r>
      <t>K</t>
    </r>
    <r>
      <rPr>
        <vertAlign val="subscript"/>
        <sz val="11"/>
        <rFont val="Calibri"/>
        <family val="2"/>
        <charset val="238"/>
        <scheme val="minor"/>
      </rPr>
      <t>O2,ALPHA</t>
    </r>
  </si>
  <si>
    <t>Half-saturation of dissolved oxygen for alpha rate</t>
  </si>
  <si>
    <r>
      <t>f</t>
    </r>
    <r>
      <rPr>
        <vertAlign val="subscript"/>
        <sz val="11"/>
        <rFont val="Calibri"/>
        <family val="2"/>
        <charset val="238"/>
        <scheme val="minor"/>
      </rPr>
      <t>O2,max,ALPHA</t>
    </r>
  </si>
  <si>
    <t>Non-aerated zone alpha improvement rate increase</t>
  </si>
  <si>
    <t>Coefficient of alpha first order limitation-dampening term</t>
  </si>
  <si>
    <t>Power of alpha first order limitation-dampening term</t>
  </si>
  <si>
    <r>
      <t>sl</t>
    </r>
    <r>
      <rPr>
        <vertAlign val="subscript"/>
        <sz val="11"/>
        <color theme="1"/>
        <rFont val="Calibri"/>
        <family val="2"/>
        <scheme val="minor"/>
      </rPr>
      <t>h,diff,α</t>
    </r>
  </si>
  <si>
    <t>Slope of depth-related alpha factor correction term</t>
  </si>
  <si>
    <r>
      <t>m</t>
    </r>
    <r>
      <rPr>
        <vertAlign val="superscript"/>
        <sz val="11"/>
        <rFont val="Calibri"/>
        <family val="2"/>
        <scheme val="minor"/>
      </rPr>
      <t>-1</t>
    </r>
  </si>
  <si>
    <t>Slope of solids-related alpha factor correction term, default</t>
  </si>
  <si>
    <r>
      <t>m</t>
    </r>
    <r>
      <rPr>
        <vertAlign val="superscript"/>
        <sz val="11"/>
        <rFont val="Calibri"/>
        <family val="2"/>
        <charset val="238"/>
        <scheme val="minor"/>
      </rPr>
      <t>3</t>
    </r>
    <r>
      <rPr>
        <sz val="11"/>
        <rFont val="Calibri"/>
        <family val="2"/>
        <scheme val="minor"/>
      </rPr>
      <t>.kg TSS</t>
    </r>
    <r>
      <rPr>
        <vertAlign val="superscript"/>
        <sz val="11"/>
        <rFont val="Calibri"/>
        <family val="2"/>
        <scheme val="minor"/>
      </rPr>
      <t>-1</t>
    </r>
  </si>
  <si>
    <t>Slope of solids-related alpha factor correction term, coarse bubbles</t>
  </si>
  <si>
    <r>
      <t>m</t>
    </r>
    <r>
      <rPr>
        <vertAlign val="superscript"/>
        <sz val="11"/>
        <rFont val="Calibri"/>
        <family val="2"/>
        <charset val="238"/>
        <scheme val="minor"/>
      </rPr>
      <t>3</t>
    </r>
    <r>
      <rPr>
        <sz val="11"/>
        <rFont val="Calibri"/>
        <family val="2"/>
        <scheme val="minor"/>
      </rPr>
      <t>.kg TSS</t>
    </r>
    <r>
      <rPr>
        <vertAlign val="superscript"/>
        <sz val="11"/>
        <rFont val="Calibri"/>
        <family val="2"/>
        <charset val="238"/>
        <scheme val="minor"/>
      </rPr>
      <t>-1</t>
    </r>
  </si>
  <si>
    <t>Leading coefficient of solids-related alpha correction term, mechanical aeration</t>
  </si>
  <si>
    <r>
      <t>(kg TSS.m</t>
    </r>
    <r>
      <rPr>
        <vertAlign val="superscript"/>
        <sz val="11"/>
        <rFont val="Calibri"/>
        <family val="2"/>
        <charset val="238"/>
        <scheme val="minor"/>
      </rPr>
      <t>-3</t>
    </r>
    <r>
      <rPr>
        <sz val="11"/>
        <rFont val="Calibri"/>
        <family val="2"/>
        <scheme val="minor"/>
      </rPr>
      <t>)</t>
    </r>
    <r>
      <rPr>
        <vertAlign val="superscript"/>
        <sz val="11"/>
        <rFont val="Calibri"/>
        <family val="2"/>
        <charset val="238"/>
        <scheme val="minor"/>
      </rPr>
      <t>-2</t>
    </r>
  </si>
  <si>
    <t>Linear coefficient of solids-related alpha correction term, mechanical aeration</t>
  </si>
  <si>
    <t>Constant of solids-related alpha correction term, mechanical aeration</t>
  </si>
  <si>
    <r>
      <t>q</t>
    </r>
    <r>
      <rPr>
        <vertAlign val="subscript"/>
        <sz val="11"/>
        <rFont val="Calibri"/>
        <family val="2"/>
        <charset val="238"/>
        <scheme val="minor"/>
      </rPr>
      <t>ALPHA,O2</t>
    </r>
  </si>
  <si>
    <t>Alpha improvement rate (dissolved oxygen corrected)</t>
  </si>
  <si>
    <t>Alpha first order limitation-dampening term</t>
  </si>
  <si>
    <r>
      <t>corr</t>
    </r>
    <r>
      <rPr>
        <vertAlign val="subscript"/>
        <sz val="11"/>
        <rFont val="Calibri"/>
        <family val="2"/>
        <charset val="238"/>
        <scheme val="minor"/>
      </rPr>
      <t>h,diff,</t>
    </r>
    <r>
      <rPr>
        <vertAlign val="subscript"/>
        <sz val="11"/>
        <rFont val="Calibri"/>
        <family val="2"/>
        <charset val="238"/>
      </rPr>
      <t>α</t>
    </r>
  </si>
  <si>
    <t>Depth-related alpha factor correction term</t>
  </si>
  <si>
    <r>
      <t>(S</t>
    </r>
    <r>
      <rPr>
        <vertAlign val="subscript"/>
        <sz val="11"/>
        <color theme="1"/>
        <rFont val="Calibri"/>
        <family val="2"/>
        <scheme val="minor"/>
      </rPr>
      <t>ALPHA</t>
    </r>
    <r>
      <rPr>
        <sz val="11"/>
        <color theme="1"/>
        <rFont val="Calibri"/>
        <family val="2"/>
        <scheme val="minor"/>
      </rPr>
      <t>-1</t>
    </r>
    <r>
      <rPr>
        <sz val="11"/>
        <color indexed="8"/>
        <rFont val="Calibri"/>
        <family val="2"/>
      </rPr>
      <t>)*Exp(sl</t>
    </r>
    <r>
      <rPr>
        <vertAlign val="subscript"/>
        <sz val="11"/>
        <color theme="1"/>
        <rFont val="Calibri"/>
        <family val="2"/>
        <scheme val="minor"/>
      </rPr>
      <t>h,diff,α</t>
    </r>
    <r>
      <rPr>
        <sz val="11"/>
        <color indexed="8"/>
        <rFont val="Calibri"/>
        <family val="2"/>
      </rPr>
      <t>*h</t>
    </r>
    <r>
      <rPr>
        <vertAlign val="subscript"/>
        <sz val="11"/>
        <color theme="1"/>
        <rFont val="Calibri"/>
        <family val="2"/>
        <scheme val="minor"/>
      </rPr>
      <t>diff</t>
    </r>
    <r>
      <rPr>
        <sz val="11"/>
        <color indexed="8"/>
        <rFont val="Calibri"/>
        <family val="2"/>
      </rPr>
      <t>)+1</t>
    </r>
  </si>
  <si>
    <t>Solids-related alpha factor correction term</t>
  </si>
  <si>
    <r>
      <t>S</t>
    </r>
    <r>
      <rPr>
        <vertAlign val="subscript"/>
        <sz val="11"/>
        <rFont val="Calibri"/>
        <family val="2"/>
        <charset val="238"/>
        <scheme val="minor"/>
      </rPr>
      <t>ALPHA</t>
    </r>
    <r>
      <rPr>
        <sz val="11"/>
        <rFont val="Calibri"/>
        <family val="2"/>
        <scheme val="minor"/>
      </rPr>
      <t>/corr</t>
    </r>
    <r>
      <rPr>
        <vertAlign val="subscript"/>
        <sz val="11"/>
        <rFont val="Calibri"/>
        <family val="2"/>
        <scheme val="minor"/>
      </rPr>
      <t>h,diff,α</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</si>
  <si>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r>
      <t>q</t>
    </r>
    <r>
      <rPr>
        <vertAlign val="subscript"/>
        <sz val="11"/>
        <rFont val="Calibri"/>
        <family val="2"/>
        <charset val="238"/>
        <scheme val="minor"/>
      </rPr>
      <t>ALPHA</t>
    </r>
    <r>
      <rPr>
        <sz val="11"/>
        <rFont val="Calibri"/>
        <family val="2"/>
        <charset val="238"/>
        <scheme val="minor"/>
      </rPr>
      <t>*((1-f</t>
    </r>
    <r>
      <rPr>
        <vertAlign val="subscript"/>
        <sz val="11"/>
        <rFont val="Calibri"/>
        <family val="2"/>
        <charset val="238"/>
        <scheme val="minor"/>
      </rPr>
      <t>O2,max,ALPHA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/(K</t>
    </r>
    <r>
      <rPr>
        <vertAlign val="subscript"/>
        <sz val="11"/>
        <rFont val="Calibri"/>
        <family val="2"/>
        <charset val="238"/>
        <scheme val="minor"/>
      </rPr>
      <t>O2,ALPHA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)+f</t>
    </r>
    <r>
      <rPr>
        <vertAlign val="subscript"/>
        <sz val="11"/>
        <rFont val="Calibri"/>
        <family val="2"/>
        <charset val="238"/>
        <scheme val="minor"/>
      </rPr>
      <t>O2,max,ALPHA</t>
    </r>
    <r>
      <rPr>
        <sz val="11"/>
        <rFont val="Calibri"/>
        <family val="2"/>
        <charset val="238"/>
        <scheme val="minor"/>
      </rPr>
      <t>)</t>
    </r>
  </si>
  <si>
    <r>
      <t>h</t>
    </r>
    <r>
      <rPr>
        <vertAlign val="subscript"/>
        <sz val="11"/>
        <rFont val="Calibri"/>
        <family val="2"/>
      </rPr>
      <t>diff</t>
    </r>
  </si>
  <si>
    <t>Diffuser submergence</t>
  </si>
  <si>
    <t>m</t>
  </si>
  <si>
    <r>
      <t>q</t>
    </r>
    <r>
      <rPr>
        <vertAlign val="subscript"/>
        <sz val="11"/>
        <rFont val="Calibri"/>
        <family val="2"/>
      </rPr>
      <t>ALPHA,O2</t>
    </r>
    <r>
      <rPr>
        <sz val="11"/>
        <rFont val="Calibri"/>
        <family val="2"/>
      </rPr>
      <t>*X</t>
    </r>
    <r>
      <rPr>
        <vertAlign val="subscript"/>
        <sz val="11"/>
        <rFont val="Calibri"/>
        <family val="2"/>
      </rPr>
      <t>VSS</t>
    </r>
    <r>
      <rPr>
        <sz val="11"/>
        <rFont val="Calibri"/>
        <family val="2"/>
      </rPr>
      <t>*damp</t>
    </r>
    <r>
      <rPr>
        <vertAlign val="subscript"/>
        <sz val="11"/>
        <rFont val="Calibri"/>
        <family val="2"/>
        <charset val="238"/>
      </rPr>
      <t>ALPHA</t>
    </r>
    <r>
      <rPr>
        <sz val="11"/>
        <rFont val="Calibri"/>
        <family val="2"/>
      </rPr>
      <t>*(S</t>
    </r>
    <r>
      <rPr>
        <vertAlign val="subscript"/>
        <sz val="11"/>
        <rFont val="Calibri"/>
        <family val="2"/>
      </rPr>
      <t>ALPHA,sat</t>
    </r>
    <r>
      <rPr>
        <sz val="11"/>
        <rFont val="Calibri"/>
        <family val="2"/>
      </rPr>
      <t>-S</t>
    </r>
    <r>
      <rPr>
        <vertAlign val="subscript"/>
        <sz val="11"/>
        <rFont val="Calibri"/>
        <family val="2"/>
      </rPr>
      <t>ALPHA</t>
    </r>
    <r>
      <rPr>
        <sz val="11"/>
        <rFont val="Calibri"/>
        <family val="2"/>
      </rPr>
      <t>)</t>
    </r>
  </si>
  <si>
    <r>
      <t>S</t>
    </r>
    <r>
      <rPr>
        <vertAlign val="subscript"/>
        <sz val="11"/>
        <rFont val="Calibri"/>
        <family val="2"/>
        <charset val="238"/>
        <scheme val="minor"/>
      </rPr>
      <t>ALPHA</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</si>
  <si>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t>Diffused</t>
  </si>
  <si>
    <t>Diffused; Non-SOTECorr_cap; Non-SOTEFixed_coarse</t>
  </si>
  <si>
    <t>loss at 105°C</t>
  </si>
  <si>
    <r>
      <t>X</t>
    </r>
    <r>
      <rPr>
        <vertAlign val="subscript"/>
        <sz val="11"/>
        <rFont val="Calibri"/>
        <family val="2"/>
        <scheme val="minor"/>
      </rPr>
      <t>Fe,ISS</t>
    </r>
  </si>
  <si>
    <r>
      <t>X</t>
    </r>
    <r>
      <rPr>
        <vertAlign val="subscript"/>
        <sz val="11"/>
        <rFont val="Calibri"/>
        <family val="2"/>
        <scheme val="minor"/>
      </rPr>
      <t>Al,ISS</t>
    </r>
  </si>
  <si>
    <r>
      <t>X</t>
    </r>
    <r>
      <rPr>
        <vertAlign val="subscript"/>
        <sz val="11"/>
        <rFont val="Calibri"/>
        <family val="2"/>
        <scheme val="minor"/>
      </rPr>
      <t>Me,ISS</t>
    </r>
  </si>
  <si>
    <t>Iron precipitates in ISS unit</t>
  </si>
  <si>
    <t>Aluminium precipitates in ISS unit</t>
  </si>
  <si>
    <t>Metal precipitates in ISS unit</t>
  </si>
  <si>
    <r>
      <t>(1-f</t>
    </r>
    <r>
      <rPr>
        <vertAlign val="subscript"/>
        <sz val="11"/>
        <rFont val="Calibri"/>
        <family val="2"/>
      </rPr>
      <t>H2O,FeOH,VSS</t>
    </r>
    <r>
      <rPr>
        <sz val="11"/>
        <rFont val="Calibri"/>
        <family val="2"/>
      </rPr>
      <t>)*(X</t>
    </r>
    <r>
      <rPr>
        <vertAlign val="subscript"/>
        <sz val="11"/>
        <rFont val="Calibri"/>
        <family val="2"/>
      </rPr>
      <t>FeOH</t>
    </r>
    <r>
      <rPr>
        <sz val="11"/>
        <rFont val="Calibri"/>
        <family val="2"/>
      </rPr>
      <t>+X</t>
    </r>
    <r>
      <rPr>
        <vertAlign val="subscript"/>
        <sz val="11"/>
        <rFont val="Calibri"/>
        <family val="2"/>
      </rPr>
      <t>FeP</t>
    </r>
    <r>
      <rPr>
        <sz val="11"/>
        <rFont val="Calibri"/>
        <family val="2"/>
      </rPr>
      <t>)*MM</t>
    </r>
    <r>
      <rPr>
        <vertAlign val="subscript"/>
        <sz val="11"/>
        <rFont val="Calibri"/>
        <family val="2"/>
      </rPr>
      <t>FeOH3</t>
    </r>
    <r>
      <rPr>
        <sz val="11"/>
        <rFont val="Calibri"/>
        <family val="2"/>
      </rPr>
      <t>/AM</t>
    </r>
    <r>
      <rPr>
        <vertAlign val="subscript"/>
        <sz val="11"/>
        <rFont val="Calibri"/>
        <family val="2"/>
      </rPr>
      <t>Fe</t>
    </r>
    <r>
      <rPr>
        <sz val="11"/>
        <rFont val="Calibri"/>
        <family val="2"/>
      </rPr>
      <t>+X</t>
    </r>
    <r>
      <rPr>
        <vertAlign val="subscript"/>
        <sz val="11"/>
        <rFont val="Calibri"/>
        <family val="2"/>
      </rPr>
      <t>FeP</t>
    </r>
    <r>
      <rPr>
        <sz val="11"/>
        <rFont val="Calibri"/>
        <family val="2"/>
      </rPr>
      <t>*f</t>
    </r>
    <r>
      <rPr>
        <vertAlign val="subscript"/>
        <sz val="11"/>
        <rFont val="Calibri"/>
        <family val="2"/>
      </rPr>
      <t>P,Fe</t>
    </r>
    <r>
      <rPr>
        <sz val="11"/>
        <rFont val="Calibri"/>
        <family val="2"/>
      </rPr>
      <t>*MM</t>
    </r>
    <r>
      <rPr>
        <vertAlign val="subscript"/>
        <sz val="11"/>
        <rFont val="Calibri"/>
        <family val="2"/>
      </rPr>
      <t>PO4</t>
    </r>
    <r>
      <rPr>
        <sz val="11"/>
        <rFont val="Calibri"/>
        <family val="2"/>
      </rPr>
      <t>/AM</t>
    </r>
    <r>
      <rPr>
        <vertAlign val="subscript"/>
        <sz val="11"/>
        <rFont val="Calibri"/>
        <family val="2"/>
      </rPr>
      <t>Fe</t>
    </r>
  </si>
  <si>
    <r>
      <t>(1-f</t>
    </r>
    <r>
      <rPr>
        <vertAlign val="subscript"/>
        <sz val="11"/>
        <rFont val="Calibri"/>
        <family val="2"/>
      </rPr>
      <t>H2O,AlOH,VSS</t>
    </r>
    <r>
      <rPr>
        <sz val="11"/>
        <rFont val="Calibri"/>
        <family val="2"/>
      </rPr>
      <t>)*(X</t>
    </r>
    <r>
      <rPr>
        <vertAlign val="subscript"/>
        <sz val="11"/>
        <rFont val="Calibri"/>
        <family val="2"/>
      </rPr>
      <t>AlOH</t>
    </r>
    <r>
      <rPr>
        <sz val="11"/>
        <rFont val="Calibri"/>
        <family val="2"/>
      </rPr>
      <t>+X</t>
    </r>
    <r>
      <rPr>
        <vertAlign val="subscript"/>
        <sz val="11"/>
        <rFont val="Calibri"/>
        <family val="2"/>
      </rPr>
      <t>AlP</t>
    </r>
    <r>
      <rPr>
        <sz val="11"/>
        <rFont val="Calibri"/>
        <family val="2"/>
      </rPr>
      <t>)*MM</t>
    </r>
    <r>
      <rPr>
        <vertAlign val="subscript"/>
        <sz val="11"/>
        <rFont val="Calibri"/>
        <family val="2"/>
      </rPr>
      <t>AlOH3</t>
    </r>
    <r>
      <rPr>
        <sz val="11"/>
        <rFont val="Calibri"/>
        <family val="2"/>
      </rPr>
      <t>/AM</t>
    </r>
    <r>
      <rPr>
        <vertAlign val="subscript"/>
        <sz val="11"/>
        <rFont val="Calibri"/>
        <family val="2"/>
      </rPr>
      <t>Al</t>
    </r>
    <r>
      <rPr>
        <sz val="11"/>
        <rFont val="Calibri"/>
        <family val="2"/>
      </rPr>
      <t>+X</t>
    </r>
    <r>
      <rPr>
        <vertAlign val="subscript"/>
        <sz val="11"/>
        <rFont val="Calibri"/>
        <family val="2"/>
      </rPr>
      <t>AlP</t>
    </r>
    <r>
      <rPr>
        <sz val="11"/>
        <rFont val="Calibri"/>
        <family val="2"/>
      </rPr>
      <t>*f</t>
    </r>
    <r>
      <rPr>
        <vertAlign val="subscript"/>
        <sz val="11"/>
        <rFont val="Calibri"/>
        <family val="2"/>
      </rPr>
      <t>P,Al</t>
    </r>
    <r>
      <rPr>
        <sz val="11"/>
        <rFont val="Calibri"/>
        <family val="2"/>
      </rPr>
      <t>*MM</t>
    </r>
    <r>
      <rPr>
        <vertAlign val="subscript"/>
        <sz val="11"/>
        <rFont val="Calibri"/>
        <family val="2"/>
      </rPr>
      <t>PO4</t>
    </r>
    <r>
      <rPr>
        <sz val="11"/>
        <rFont val="Calibri"/>
        <family val="2"/>
      </rPr>
      <t>/AM</t>
    </r>
    <r>
      <rPr>
        <vertAlign val="subscript"/>
        <sz val="11"/>
        <rFont val="Calibri"/>
        <family val="2"/>
      </rPr>
      <t>Al</t>
    </r>
  </si>
  <si>
    <r>
      <t>X</t>
    </r>
    <r>
      <rPr>
        <vertAlign val="subscript"/>
        <sz val="11"/>
        <rFont val="Calibri"/>
        <family val="2"/>
        <scheme val="minor"/>
      </rPr>
      <t>Fe,ISS</t>
    </r>
    <r>
      <rPr>
        <sz val="11"/>
        <rFont val="Calibri"/>
        <family val="2"/>
        <scheme val="minor"/>
      </rPr>
      <t>+X</t>
    </r>
    <r>
      <rPr>
        <vertAlign val="subscript"/>
        <sz val="11"/>
        <rFont val="Calibri"/>
        <family val="2"/>
        <scheme val="minor"/>
      </rPr>
      <t>Al,ISS</t>
    </r>
  </si>
  <si>
    <r>
      <t>X</t>
    </r>
    <r>
      <rPr>
        <vertAlign val="subscript"/>
        <sz val="11"/>
        <rFont val="Calibri"/>
        <family val="2"/>
        <scheme val="minor"/>
      </rPr>
      <t>Me,H2O,TSS</t>
    </r>
  </si>
  <si>
    <t>Water associated with metals measured in TSS Test</t>
  </si>
  <si>
    <r>
      <t>X</t>
    </r>
    <r>
      <rPr>
        <vertAlign val="subscript"/>
        <sz val="11"/>
        <rFont val="Calibri"/>
        <family val="2"/>
        <scheme val="minor"/>
      </rPr>
      <t>Me,ISS</t>
    </r>
    <r>
      <rPr>
        <sz val="11"/>
        <rFont val="Calibri"/>
        <family val="2"/>
        <scheme val="minor"/>
      </rPr>
      <t>+X</t>
    </r>
    <r>
      <rPr>
        <vertAlign val="subscript"/>
        <sz val="11"/>
        <rFont val="Calibri"/>
        <family val="2"/>
        <scheme val="minor"/>
      </rPr>
      <t>INORG</t>
    </r>
  </si>
  <si>
    <r>
      <t>X</t>
    </r>
    <r>
      <rPr>
        <vertAlign val="subscript"/>
        <sz val="11"/>
        <rFont val="Calibri"/>
        <family val="2"/>
        <scheme val="minor"/>
      </rPr>
      <t xml:space="preserve">VSS </t>
    </r>
    <r>
      <rPr>
        <sz val="11"/>
        <rFont val="Calibri"/>
        <family val="2"/>
        <scheme val="minor"/>
      </rPr>
      <t>+ X</t>
    </r>
    <r>
      <rPr>
        <vertAlign val="subscript"/>
        <sz val="11"/>
        <rFont val="Calibri"/>
        <family val="2"/>
        <scheme val="minor"/>
      </rPr>
      <t xml:space="preserve">ISS </t>
    </r>
    <r>
      <rPr>
        <sz val="11"/>
        <rFont val="Calibri"/>
        <family val="2"/>
        <scheme val="minor"/>
      </rPr>
      <t>- X</t>
    </r>
    <r>
      <rPr>
        <vertAlign val="subscript"/>
        <sz val="11"/>
        <rFont val="Calibri"/>
        <family val="2"/>
        <scheme val="minor"/>
      </rPr>
      <t>Me,H2O,TSS</t>
    </r>
  </si>
  <si>
    <t>Water associated with metals measured in VSS Test</t>
  </si>
  <si>
    <r>
      <t>X</t>
    </r>
    <r>
      <rPr>
        <vertAlign val="subscript"/>
        <sz val="11"/>
        <rFont val="Calibri"/>
        <family val="2"/>
        <scheme val="minor"/>
      </rPr>
      <t>Me,H2O,VSS</t>
    </r>
  </si>
  <si>
    <r>
      <t>g VSS.m</t>
    </r>
    <r>
      <rPr>
        <vertAlign val="superscript"/>
        <sz val="11"/>
        <rFont val="Calibri"/>
        <family val="2"/>
        <scheme val="minor"/>
      </rPr>
      <t>-3</t>
    </r>
  </si>
  <si>
    <r>
      <t>f</t>
    </r>
    <r>
      <rPr>
        <vertAlign val="subscript"/>
        <sz val="11"/>
        <rFont val="Calibri"/>
        <family val="2"/>
        <scheme val="minor"/>
      </rPr>
      <t>H2O,FeOH,TSS</t>
    </r>
    <r>
      <rPr>
        <sz val="11"/>
        <rFont val="Calibri"/>
        <family val="2"/>
        <scheme val="minor"/>
      </rPr>
      <t>*(X</t>
    </r>
    <r>
      <rPr>
        <vertAlign val="subscript"/>
        <sz val="11"/>
        <rFont val="Calibri"/>
        <family val="2"/>
        <scheme val="minor"/>
      </rPr>
      <t>FeOH</t>
    </r>
    <r>
      <rPr>
        <sz val="11"/>
        <rFont val="Calibri"/>
        <family val="2"/>
        <scheme val="minor"/>
      </rPr>
      <t>+X</t>
    </r>
    <r>
      <rPr>
        <vertAlign val="subscript"/>
        <sz val="11"/>
        <rFont val="Calibri"/>
        <family val="2"/>
        <scheme val="minor"/>
      </rPr>
      <t>FeP</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H2O,AlOH,TSS</t>
    </r>
    <r>
      <rPr>
        <sz val="11"/>
        <rFont val="Calibri"/>
        <family val="2"/>
        <scheme val="minor"/>
      </rPr>
      <t>*(X</t>
    </r>
    <r>
      <rPr>
        <vertAlign val="subscript"/>
        <sz val="11"/>
        <rFont val="Calibri"/>
        <family val="2"/>
        <scheme val="minor"/>
      </rPr>
      <t>AlOH</t>
    </r>
    <r>
      <rPr>
        <sz val="11"/>
        <rFont val="Calibri"/>
        <family val="2"/>
        <scheme val="minor"/>
      </rPr>
      <t>+X</t>
    </r>
    <r>
      <rPr>
        <vertAlign val="subscript"/>
        <sz val="11"/>
        <rFont val="Calibri"/>
        <family val="2"/>
        <scheme val="minor"/>
      </rPr>
      <t>AlP</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</si>
  <si>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r>
      <t>X</t>
    </r>
    <r>
      <rPr>
        <vertAlign val="subscript"/>
        <sz val="11"/>
        <rFont val="Calibri"/>
        <family val="2"/>
      </rPr>
      <t>VSS,BIO</t>
    </r>
    <r>
      <rPr>
        <sz val="11"/>
        <rFont val="Calibri"/>
        <family val="2"/>
      </rPr>
      <t>+X</t>
    </r>
    <r>
      <rPr>
        <vertAlign val="subscript"/>
        <sz val="11"/>
        <rFont val="Calibri"/>
        <family val="2"/>
      </rPr>
      <t>B</t>
    </r>
    <r>
      <rPr>
        <sz val="11"/>
        <rFont val="Calibri"/>
        <family val="2"/>
      </rPr>
      <t>/i</t>
    </r>
    <r>
      <rPr>
        <vertAlign val="subscript"/>
        <sz val="11"/>
        <rFont val="Calibri"/>
        <family val="2"/>
      </rPr>
      <t>CV,XB</t>
    </r>
    <r>
      <rPr>
        <sz val="11"/>
        <rFont val="Calibri"/>
        <family val="2"/>
      </rPr>
      <t>+X</t>
    </r>
    <r>
      <rPr>
        <vertAlign val="subscript"/>
        <sz val="11"/>
        <rFont val="Calibri"/>
        <family val="2"/>
      </rPr>
      <t>U</t>
    </r>
    <r>
      <rPr>
        <sz val="11"/>
        <rFont val="Calibri"/>
        <family val="2"/>
      </rPr>
      <t>/i</t>
    </r>
    <r>
      <rPr>
        <vertAlign val="subscript"/>
        <sz val="11"/>
        <rFont val="Calibri"/>
        <family val="2"/>
      </rPr>
      <t>CV,XU</t>
    </r>
    <r>
      <rPr>
        <sz val="11"/>
        <rFont val="Calibri"/>
        <family val="2"/>
      </rPr>
      <t>+X</t>
    </r>
    <r>
      <rPr>
        <vertAlign val="subscript"/>
        <sz val="11"/>
        <rFont val="Calibri"/>
        <family val="2"/>
      </rPr>
      <t>E</t>
    </r>
    <r>
      <rPr>
        <sz val="11"/>
        <rFont val="Calibri"/>
        <family val="2"/>
      </rPr>
      <t>/i</t>
    </r>
    <r>
      <rPr>
        <vertAlign val="subscript"/>
        <sz val="11"/>
        <rFont val="Calibri"/>
        <family val="2"/>
      </rPr>
      <t xml:space="preserve">CV,XE </t>
    </r>
    <r>
      <rPr>
        <sz val="11"/>
        <rFont val="Calibri"/>
        <family val="2"/>
      </rPr>
      <t>+ X</t>
    </r>
    <r>
      <rPr>
        <vertAlign val="subscript"/>
        <sz val="11"/>
        <rFont val="Calibri"/>
        <family val="2"/>
      </rPr>
      <t>Me,H2O,VSS</t>
    </r>
  </si>
  <si>
    <t>g MeOH / g Me</t>
  </si>
  <si>
    <t>g MeP / g Me</t>
  </si>
  <si>
    <r>
      <t>(f</t>
    </r>
    <r>
      <rPr>
        <vertAlign val="subscript"/>
        <sz val="11"/>
        <rFont val="Calibri"/>
        <family val="2"/>
        <scheme val="minor"/>
      </rPr>
      <t>H2O,FeOH,VSS</t>
    </r>
    <r>
      <rPr>
        <sz val="11"/>
        <rFont val="Calibri"/>
        <family val="2"/>
        <scheme val="minor"/>
      </rPr>
      <t>-f</t>
    </r>
    <r>
      <rPr>
        <vertAlign val="subscript"/>
        <sz val="11"/>
        <rFont val="Calibri"/>
        <family val="2"/>
        <scheme val="minor"/>
      </rPr>
      <t>H2O,FeOH,TSS</t>
    </r>
    <r>
      <rPr>
        <sz val="11"/>
        <rFont val="Calibri"/>
        <family val="2"/>
        <scheme val="minor"/>
      </rPr>
      <t>)*(X</t>
    </r>
    <r>
      <rPr>
        <vertAlign val="subscript"/>
        <sz val="11"/>
        <rFont val="Calibri"/>
        <family val="2"/>
        <scheme val="minor"/>
      </rPr>
      <t>FeOH</t>
    </r>
    <r>
      <rPr>
        <sz val="11"/>
        <rFont val="Calibri"/>
        <family val="2"/>
        <scheme val="minor"/>
      </rPr>
      <t>+X</t>
    </r>
    <r>
      <rPr>
        <vertAlign val="subscript"/>
        <sz val="11"/>
        <rFont val="Calibri"/>
        <family val="2"/>
        <scheme val="minor"/>
      </rPr>
      <t>FeP</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H2O,AlOH,VSS</t>
    </r>
    <r>
      <rPr>
        <sz val="11"/>
        <rFont val="Calibri"/>
        <family val="2"/>
        <scheme val="minor"/>
      </rPr>
      <t>-f</t>
    </r>
    <r>
      <rPr>
        <vertAlign val="subscript"/>
        <sz val="11"/>
        <rFont val="Calibri"/>
        <family val="2"/>
        <scheme val="minor"/>
      </rPr>
      <t>H2O,AlOH,TSS</t>
    </r>
    <r>
      <rPr>
        <sz val="11"/>
        <rFont val="Calibri"/>
        <family val="2"/>
        <scheme val="minor"/>
      </rPr>
      <t>)*(X</t>
    </r>
    <r>
      <rPr>
        <vertAlign val="subscript"/>
        <sz val="11"/>
        <rFont val="Calibri"/>
        <family val="2"/>
        <scheme val="minor"/>
      </rPr>
      <t>AlOH</t>
    </r>
    <r>
      <rPr>
        <sz val="11"/>
        <rFont val="Calibri"/>
        <family val="2"/>
        <scheme val="minor"/>
      </rPr>
      <t>+X</t>
    </r>
    <r>
      <rPr>
        <vertAlign val="subscript"/>
        <sz val="11"/>
        <rFont val="Calibri"/>
        <family val="2"/>
        <scheme val="minor"/>
      </rPr>
      <t>AlP</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</si>
  <si>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r>
      <t>g COD.g COD</t>
    </r>
    <r>
      <rPr>
        <vertAlign val="superscript"/>
        <sz val="11"/>
        <rFont val="Calibri"/>
        <family val="2"/>
        <scheme val="minor"/>
      </rPr>
      <t>-1</t>
    </r>
  </si>
  <si>
    <t>Primary effluent</t>
  </si>
  <si>
    <t>r27</t>
  </si>
  <si>
    <t>r28</t>
  </si>
  <si>
    <t>XE conversion</t>
  </si>
  <si>
    <t>XU conversion</t>
  </si>
  <si>
    <r>
      <t>q</t>
    </r>
    <r>
      <rPr>
        <vertAlign val="subscript"/>
        <sz val="11"/>
        <rFont val="Calibri"/>
        <family val="2"/>
      </rPr>
      <t>XE,T</t>
    </r>
    <r>
      <rPr>
        <sz val="11"/>
        <rFont val="Calibri"/>
        <family val="2"/>
      </rPr>
      <t>*X</t>
    </r>
    <r>
      <rPr>
        <vertAlign val="subscript"/>
        <sz val="11"/>
        <rFont val="Calibri"/>
        <family val="2"/>
      </rPr>
      <t>E</t>
    </r>
  </si>
  <si>
    <r>
      <t>q</t>
    </r>
    <r>
      <rPr>
        <vertAlign val="subscript"/>
        <sz val="11"/>
        <color indexed="8"/>
        <rFont val="Calibri"/>
        <family val="2"/>
        <scheme val="minor"/>
      </rPr>
      <t>XE</t>
    </r>
  </si>
  <si>
    <t>Rate of endogenous decay products conversion</t>
  </si>
  <si>
    <r>
      <t>q</t>
    </r>
    <r>
      <rPr>
        <vertAlign val="subscript"/>
        <sz val="11"/>
        <color indexed="8"/>
        <rFont val="Calibri"/>
        <family val="2"/>
        <scheme val="minor"/>
      </rPr>
      <t>XU</t>
    </r>
  </si>
  <si>
    <t>Rate of particulate unbiodegradable organics conversion</t>
  </si>
  <si>
    <r>
      <t>q</t>
    </r>
    <r>
      <rPr>
        <vertAlign val="subscript"/>
        <sz val="11"/>
        <color indexed="8"/>
        <rFont val="Calibri"/>
        <family val="2"/>
        <scheme val="minor"/>
      </rPr>
      <t>XE,T</t>
    </r>
  </si>
  <si>
    <t>Rate of endogenous decay products conversion (temperature corrected)</t>
  </si>
  <si>
    <r>
      <t>q</t>
    </r>
    <r>
      <rPr>
        <vertAlign val="subscript"/>
        <sz val="11"/>
        <color indexed="8"/>
        <rFont val="Calibri"/>
        <family val="2"/>
        <scheme val="minor"/>
      </rPr>
      <t>XE</t>
    </r>
    <r>
      <rPr>
        <sz val="11"/>
        <color indexed="8"/>
        <rFont val="Calibri"/>
        <family val="2"/>
        <scheme val="minor"/>
      </rPr>
      <t>*Arrh(θ</t>
    </r>
    <r>
      <rPr>
        <vertAlign val="subscript"/>
        <sz val="11"/>
        <color indexed="8"/>
        <rFont val="Calibri"/>
        <family val="2"/>
        <scheme val="minor"/>
      </rPr>
      <t>q,XE</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</si>
  <si>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XU,T</t>
    </r>
  </si>
  <si>
    <r>
      <t>q</t>
    </r>
    <r>
      <rPr>
        <vertAlign val="subscript"/>
        <sz val="11"/>
        <color indexed="8"/>
        <rFont val="Calibri"/>
        <family val="2"/>
        <scheme val="minor"/>
      </rPr>
      <t>XU</t>
    </r>
    <r>
      <rPr>
        <sz val="11"/>
        <color indexed="8"/>
        <rFont val="Calibri"/>
        <family val="2"/>
        <scheme val="minor"/>
      </rPr>
      <t>*Arrh(θ</t>
    </r>
    <r>
      <rPr>
        <vertAlign val="subscript"/>
        <sz val="11"/>
        <color indexed="8"/>
        <rFont val="Calibri"/>
        <family val="2"/>
        <scheme val="minor"/>
      </rPr>
      <t>q,XU</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</si>
  <si>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Rate of particulate unbiodegradable organics conversion (temperature corrected)</t>
  </si>
  <si>
    <r>
      <t>θ</t>
    </r>
    <r>
      <rPr>
        <vertAlign val="subscript"/>
        <sz val="11"/>
        <color indexed="8"/>
        <rFont val="Calibri"/>
        <family val="2"/>
        <scheme val="minor"/>
      </rPr>
      <t>q,XE</t>
    </r>
  </si>
  <si>
    <t>Arrhenius coefficient endogenous residual conversion</t>
  </si>
  <si>
    <r>
      <t>θ</t>
    </r>
    <r>
      <rPr>
        <vertAlign val="subscript"/>
        <sz val="11"/>
        <color indexed="8"/>
        <rFont val="Calibri"/>
        <family val="2"/>
        <scheme val="minor"/>
      </rPr>
      <t>q,XU</t>
    </r>
  </si>
  <si>
    <r>
      <t>i</t>
    </r>
    <r>
      <rPr>
        <vertAlign val="subscript"/>
        <sz val="11"/>
        <rFont val="Calibri"/>
        <family val="2"/>
      </rPr>
      <t>P,BIO</t>
    </r>
  </si>
  <si>
    <r>
      <t>i</t>
    </r>
    <r>
      <rPr>
        <vertAlign val="subscript"/>
        <sz val="11"/>
        <rFont val="Calibri"/>
        <family val="2"/>
      </rPr>
      <t>N,XE</t>
    </r>
  </si>
  <si>
    <r>
      <t>i</t>
    </r>
    <r>
      <rPr>
        <vertAlign val="subscript"/>
        <sz val="11"/>
        <rFont val="Calibri"/>
        <family val="2"/>
      </rPr>
      <t>N,XU</t>
    </r>
  </si>
  <si>
    <t>Arrhenius particulate unbiodegradable organics conversion</t>
  </si>
  <si>
    <r>
      <t>Msat</t>
    </r>
    <r>
      <rPr>
        <vertAlign val="subscript"/>
        <sz val="11"/>
        <rFont val="Calibri"/>
        <family val="2"/>
      </rPr>
      <t>XU,KXU</t>
    </r>
  </si>
  <si>
    <t>Saturation term for XU</t>
  </si>
  <si>
    <r>
      <t>Msat(X</t>
    </r>
    <r>
      <rPr>
        <vertAlign val="subscript"/>
        <sz val="11"/>
        <rFont val="Calibri"/>
        <family val="2"/>
      </rPr>
      <t>U</t>
    </r>
    <r>
      <rPr>
        <sz val="11"/>
        <rFont val="Calibri"/>
        <family val="2"/>
      </rPr>
      <t>;K</t>
    </r>
    <r>
      <rPr>
        <vertAlign val="subscript"/>
        <sz val="11"/>
        <rFont val="Calibri"/>
        <family val="2"/>
      </rPr>
      <t>XU</t>
    </r>
    <r>
      <rPr>
        <sz val="11"/>
        <rFont val="Calibri"/>
        <family val="2"/>
      </rPr>
      <t>)</t>
    </r>
  </si>
  <si>
    <r>
      <t>q</t>
    </r>
    <r>
      <rPr>
        <vertAlign val="subscript"/>
        <sz val="11"/>
        <rFont val="Calibri"/>
        <family val="2"/>
      </rPr>
      <t>XU,T</t>
    </r>
    <r>
      <rPr>
        <sz val="11"/>
        <rFont val="Calibri"/>
        <family val="2"/>
      </rPr>
      <t>*X</t>
    </r>
    <r>
      <rPr>
        <vertAlign val="subscript"/>
        <sz val="11"/>
        <rFont val="Calibri"/>
        <family val="2"/>
      </rPr>
      <t>U</t>
    </r>
    <r>
      <rPr>
        <sz val="11"/>
        <rFont val="Calibri"/>
        <family val="2"/>
      </rPr>
      <t>*Msat</t>
    </r>
    <r>
      <rPr>
        <vertAlign val="subscript"/>
        <sz val="11"/>
        <rFont val="Calibri"/>
        <family val="2"/>
      </rPr>
      <t>XU,KXU</t>
    </r>
  </si>
  <si>
    <r>
      <t>K</t>
    </r>
    <r>
      <rPr>
        <vertAlign val="subscript"/>
        <sz val="11"/>
        <color indexed="8"/>
        <rFont val="Calibri"/>
        <family val="2"/>
        <scheme val="minor"/>
      </rPr>
      <t>XU</t>
    </r>
  </si>
  <si>
    <r>
      <t>X</t>
    </r>
    <r>
      <rPr>
        <b/>
        <vertAlign val="subscript"/>
        <sz val="11"/>
        <rFont val="Calibri"/>
        <family val="2"/>
        <charset val="238"/>
        <scheme val="minor"/>
      </rPr>
      <t>ALGAE</t>
    </r>
  </si>
  <si>
    <t>Photosynthetic organisms (ALGAE)</t>
  </si>
  <si>
    <r>
      <t>f(X</t>
    </r>
    <r>
      <rPr>
        <vertAlign val="subscript"/>
        <sz val="11"/>
        <rFont val="Calibri"/>
        <family val="2"/>
      </rPr>
      <t>INORG</t>
    </r>
    <r>
      <rPr>
        <sz val="11"/>
        <rFont val="Calibri"/>
        <family val="2"/>
      </rPr>
      <t>)</t>
    </r>
  </si>
  <si>
    <t>Photosynthetic organisms kinetics (ALGAE)</t>
  </si>
  <si>
    <r>
      <t>µ</t>
    </r>
    <r>
      <rPr>
        <vertAlign val="subscript"/>
        <sz val="11"/>
        <color rgb="FF000000"/>
        <rFont val="Calibri"/>
        <family val="2"/>
        <scheme val="minor"/>
      </rPr>
      <t>ALGAE</t>
    </r>
  </si>
  <si>
    <t>Maximum specific growth rate of ALGAE</t>
  </si>
  <si>
    <r>
      <t>b</t>
    </r>
    <r>
      <rPr>
        <vertAlign val="subscript"/>
        <sz val="11"/>
        <color indexed="8"/>
        <rFont val="Calibri"/>
        <family val="2"/>
        <scheme val="minor"/>
      </rPr>
      <t>ALGAE</t>
    </r>
  </si>
  <si>
    <t>Decay rate of ALGAE</t>
  </si>
  <si>
    <r>
      <t>K</t>
    </r>
    <r>
      <rPr>
        <vertAlign val="subscript"/>
        <sz val="11"/>
        <color rgb="FF000000"/>
        <rFont val="Calibri"/>
        <family val="2"/>
        <scheme val="minor"/>
      </rPr>
      <t>NOx,ALGAE</t>
    </r>
  </si>
  <si>
    <r>
      <t>Half-saturation of NO</t>
    </r>
    <r>
      <rPr>
        <vertAlign val="subscript"/>
        <sz val="11"/>
        <color rgb="FF000000"/>
        <rFont val="Calibri"/>
        <family val="2"/>
        <scheme val="minor"/>
      </rPr>
      <t>x</t>
    </r>
    <r>
      <rPr>
        <sz val="11"/>
        <color indexed="8"/>
        <rFont val="Calibri"/>
        <family val="2"/>
        <scheme val="minor"/>
      </rPr>
      <t xml:space="preserve"> for ALGAE</t>
    </r>
  </si>
  <si>
    <r>
      <t>K</t>
    </r>
    <r>
      <rPr>
        <vertAlign val="subscript"/>
        <sz val="11"/>
        <color rgb="FF000000"/>
        <rFont val="Calibri"/>
        <family val="2"/>
        <scheme val="minor"/>
      </rPr>
      <t>O2,ALGAE</t>
    </r>
  </si>
  <si>
    <r>
      <t>Half-saturation of O</t>
    </r>
    <r>
      <rPr>
        <vertAlign val="subscript"/>
        <sz val="11"/>
        <color rgb="FF000000"/>
        <rFont val="Calibri"/>
        <family val="2"/>
        <scheme val="minor"/>
      </rPr>
      <t>2</t>
    </r>
    <r>
      <rPr>
        <sz val="11"/>
        <color indexed="8"/>
        <rFont val="Calibri"/>
        <family val="2"/>
        <scheme val="minor"/>
      </rPr>
      <t xml:space="preserve"> for ALGAE</t>
    </r>
  </si>
  <si>
    <r>
      <t>K</t>
    </r>
    <r>
      <rPr>
        <sz val="11"/>
        <color rgb="FF000000"/>
        <rFont val="Calibri"/>
        <family val="2"/>
        <scheme val="minor"/>
      </rPr>
      <t>i</t>
    </r>
    <r>
      <rPr>
        <vertAlign val="subscript"/>
        <sz val="11"/>
        <color rgb="FF000000"/>
        <rFont val="Calibri"/>
        <family val="2"/>
        <scheme val="minor"/>
      </rPr>
      <t>NHx,ALGAE</t>
    </r>
  </si>
  <si>
    <r>
      <t>Half-inhibition of NH</t>
    </r>
    <r>
      <rPr>
        <vertAlign val="subscript"/>
        <sz val="11"/>
        <color rgb="FF000000"/>
        <rFont val="Calibri"/>
        <family val="2"/>
        <scheme val="minor"/>
      </rPr>
      <t>x</t>
    </r>
    <r>
      <rPr>
        <sz val="11"/>
        <color indexed="8"/>
        <rFont val="Calibri"/>
        <family val="2"/>
        <scheme val="minor"/>
      </rPr>
      <t xml:space="preserve"> for ALGAE</t>
    </r>
  </si>
  <si>
    <r>
      <t>k</t>
    </r>
    <r>
      <rPr>
        <vertAlign val="subscript"/>
        <sz val="11"/>
        <rFont val="Calibri"/>
        <family val="2"/>
      </rPr>
      <t>L,GO2,PondSurface</t>
    </r>
  </si>
  <si>
    <r>
      <t>Liquid-side mass transfer coefficient of O</t>
    </r>
    <r>
      <rPr>
        <vertAlign val="subscript"/>
        <sz val="11"/>
        <color rgb="FF000000"/>
        <rFont val="Calibri"/>
        <family val="2"/>
        <scheme val="minor"/>
      </rPr>
      <t>2</t>
    </r>
    <r>
      <rPr>
        <sz val="11"/>
        <rFont val="Calibri"/>
        <family val="2"/>
        <scheme val="minor"/>
      </rPr>
      <t xml:space="preserve"> at liquid surface of a pond</t>
    </r>
  </si>
  <si>
    <r>
      <t>i</t>
    </r>
    <r>
      <rPr>
        <vertAlign val="subscript"/>
        <sz val="11"/>
        <rFont val="Calibri"/>
        <family val="2"/>
        <scheme val="minor"/>
      </rPr>
      <t>N,ALGAE</t>
    </r>
  </si>
  <si>
    <t>N content of algae</t>
  </si>
  <si>
    <t>g N.g COD-1</t>
  </si>
  <si>
    <r>
      <t>i</t>
    </r>
    <r>
      <rPr>
        <vertAlign val="subscript"/>
        <sz val="11"/>
        <rFont val="Calibri"/>
        <family val="2"/>
        <scheme val="minor"/>
      </rPr>
      <t>P,ALGAE</t>
    </r>
  </si>
  <si>
    <t>P content of algae</t>
  </si>
  <si>
    <t>g P.g COD-1</t>
  </si>
  <si>
    <t>ALGAE growth on Nitrate</t>
  </si>
  <si>
    <t>ALGAE growth on Ammonia</t>
  </si>
  <si>
    <t>ALGAE respiration</t>
  </si>
  <si>
    <t>ALGAE decay</t>
  </si>
  <si>
    <t>r29</t>
  </si>
  <si>
    <t>r30</t>
  </si>
  <si>
    <t>r31</t>
  </si>
  <si>
    <t>r32</t>
  </si>
  <si>
    <r>
      <t>1-f</t>
    </r>
    <r>
      <rPr>
        <vertAlign val="subscript"/>
        <sz val="11"/>
        <rFont val="Calibri"/>
        <family val="2"/>
      </rPr>
      <t>E</t>
    </r>
  </si>
  <si>
    <r>
      <t>f</t>
    </r>
    <r>
      <rPr>
        <vertAlign val="subscript"/>
        <sz val="11"/>
        <rFont val="Calibri"/>
        <family val="2"/>
      </rPr>
      <t>E</t>
    </r>
  </si>
  <si>
    <r>
      <t>X</t>
    </r>
    <r>
      <rPr>
        <b/>
        <vertAlign val="subscript"/>
        <sz val="11"/>
        <rFont val="Calibri"/>
        <family val="2"/>
        <scheme val="minor"/>
      </rPr>
      <t>ALGAE</t>
    </r>
  </si>
  <si>
    <r>
      <t>i</t>
    </r>
    <r>
      <rPr>
        <vertAlign val="subscript"/>
        <sz val="11"/>
        <rFont val="Calibri"/>
        <family val="2"/>
      </rPr>
      <t>N,ALGAE</t>
    </r>
  </si>
  <si>
    <r>
      <t>i</t>
    </r>
    <r>
      <rPr>
        <vertAlign val="subscript"/>
        <sz val="11"/>
        <rFont val="Calibri"/>
        <family val="2"/>
      </rPr>
      <t>P,ALGAE</t>
    </r>
  </si>
  <si>
    <r>
      <t>-i</t>
    </r>
    <r>
      <rPr>
        <vertAlign val="subscript"/>
        <sz val="11"/>
        <color indexed="8"/>
        <rFont val="Calibri"/>
        <family val="2"/>
      </rPr>
      <t>N,ALGAE</t>
    </r>
  </si>
  <si>
    <r>
      <t>i</t>
    </r>
    <r>
      <rPr>
        <vertAlign val="subscript"/>
        <sz val="11"/>
        <color indexed="8"/>
        <rFont val="Calibri"/>
        <family val="2"/>
      </rPr>
      <t>N,ALGAE</t>
    </r>
  </si>
  <si>
    <r>
      <t>(1-f</t>
    </r>
    <r>
      <rPr>
        <vertAlign val="subscript"/>
        <sz val="11"/>
        <rFont val="Calibri"/>
        <family val="2"/>
      </rPr>
      <t>E</t>
    </r>
    <r>
      <rPr>
        <sz val="11"/>
        <rFont val="Calibri"/>
        <family val="2"/>
      </rPr>
      <t>)*i</t>
    </r>
    <r>
      <rPr>
        <vertAlign val="subscript"/>
        <sz val="11"/>
        <rFont val="Calibri"/>
        <family val="2"/>
      </rPr>
      <t>N,BIO</t>
    </r>
  </si>
  <si>
    <r>
      <t>-i</t>
    </r>
    <r>
      <rPr>
        <vertAlign val="subscript"/>
        <sz val="11"/>
        <color indexed="8"/>
        <rFont val="Calibri"/>
        <family val="2"/>
      </rPr>
      <t>P,ALGAE</t>
    </r>
  </si>
  <si>
    <r>
      <t>i</t>
    </r>
    <r>
      <rPr>
        <vertAlign val="subscript"/>
        <sz val="11"/>
        <color indexed="8"/>
        <rFont val="Calibri"/>
        <family val="2"/>
      </rPr>
      <t>P,ALGAE</t>
    </r>
  </si>
  <si>
    <r>
      <t>1 + i</t>
    </r>
    <r>
      <rPr>
        <vertAlign val="subscript"/>
        <sz val="11"/>
        <color rgb="FF000000"/>
        <rFont val="Calibri"/>
        <family val="2"/>
      </rPr>
      <t>N,ALGAE</t>
    </r>
    <r>
      <rPr>
        <sz val="11"/>
        <color indexed="8"/>
        <rFont val="Calibri"/>
        <family val="2"/>
      </rPr>
      <t>*EEQ</t>
    </r>
    <r>
      <rPr>
        <vertAlign val="subscript"/>
        <sz val="11"/>
        <color rgb="FF000000"/>
        <rFont val="Calibri"/>
        <family val="2"/>
      </rPr>
      <t>NO3</t>
    </r>
  </si>
  <si>
    <r>
      <t>(-i</t>
    </r>
    <r>
      <rPr>
        <vertAlign val="subscript"/>
        <sz val="11"/>
        <color indexed="8"/>
        <rFont val="Calibri"/>
        <family val="2"/>
      </rPr>
      <t>N,ALGAE</t>
    </r>
    <r>
      <rPr>
        <sz val="11"/>
        <color indexed="8"/>
        <rFont val="Calibri"/>
        <family val="2"/>
      </rPr>
      <t>*CH</t>
    </r>
    <r>
      <rPr>
        <vertAlign val="subscript"/>
        <sz val="11"/>
        <color indexed="8"/>
        <rFont val="Calibri"/>
        <family val="2"/>
      </rPr>
      <t>NHx</t>
    </r>
    <r>
      <rPr>
        <sz val="11"/>
        <color indexed="8"/>
        <rFont val="Calibri"/>
        <family val="2"/>
      </rPr>
      <t>-i</t>
    </r>
    <r>
      <rPr>
        <vertAlign val="subscript"/>
        <sz val="11"/>
        <color indexed="8"/>
        <rFont val="Calibri"/>
        <family val="2"/>
      </rPr>
      <t>P,ALGAE</t>
    </r>
    <r>
      <rPr>
        <sz val="11"/>
        <color indexed="8"/>
        <rFont val="Calibri"/>
        <family val="2"/>
      </rPr>
      <t>*CH</t>
    </r>
    <r>
      <rPr>
        <vertAlign val="subscript"/>
        <sz val="11"/>
        <color indexed="8"/>
        <rFont val="Calibri"/>
        <family val="2"/>
      </rPr>
      <t>PO4</t>
    </r>
    <r>
      <rPr>
        <sz val="11"/>
        <color indexed="8"/>
        <rFont val="Calibri"/>
        <family val="2"/>
      </rPr>
      <t>)</t>
    </r>
  </si>
  <si>
    <r>
      <t>(1-f</t>
    </r>
    <r>
      <rPr>
        <vertAlign val="subscript"/>
        <sz val="11"/>
        <rFont val="Calibri"/>
        <family val="2"/>
      </rPr>
      <t>E</t>
    </r>
    <r>
      <rPr>
        <sz val="11"/>
        <rFont val="Calibri"/>
        <family val="2"/>
      </rPr>
      <t>)*i</t>
    </r>
    <r>
      <rPr>
        <vertAlign val="subscript"/>
        <sz val="11"/>
        <rFont val="Calibri"/>
        <family val="2"/>
      </rPr>
      <t>P,BIO</t>
    </r>
  </si>
  <si>
    <r>
      <t>i</t>
    </r>
    <r>
      <rPr>
        <vertAlign val="subscript"/>
        <sz val="11"/>
        <color indexed="8"/>
        <rFont val="Calibri"/>
        <family val="2"/>
      </rPr>
      <t>P,ALGAE</t>
    </r>
    <r>
      <rPr>
        <sz val="11"/>
        <color rgb="FF000000"/>
        <rFont val="Calibri"/>
        <family val="2"/>
      </rPr>
      <t>-i</t>
    </r>
    <r>
      <rPr>
        <vertAlign val="subscript"/>
        <sz val="11"/>
        <color indexed="8"/>
        <rFont val="Calibri"/>
        <family val="2"/>
      </rPr>
      <t>P,BIO</t>
    </r>
  </si>
  <si>
    <r>
      <t>(i</t>
    </r>
    <r>
      <rPr>
        <vertAlign val="subscript"/>
        <sz val="11"/>
        <color indexed="8"/>
        <rFont val="Calibri"/>
        <family val="2"/>
      </rPr>
      <t>N,ALGAE</t>
    </r>
    <r>
      <rPr>
        <sz val="11"/>
        <color indexed="8"/>
        <rFont val="Calibri"/>
        <family val="2"/>
      </rPr>
      <t>*CH</t>
    </r>
    <r>
      <rPr>
        <vertAlign val="subscript"/>
        <sz val="11"/>
        <color indexed="8"/>
        <rFont val="Calibri"/>
        <family val="2"/>
      </rPr>
      <t>NHx</t>
    </r>
    <r>
      <rPr>
        <sz val="11"/>
        <color indexed="8"/>
        <rFont val="Calibri"/>
        <family val="2"/>
      </rPr>
      <t>+i</t>
    </r>
    <r>
      <rPr>
        <vertAlign val="subscript"/>
        <sz val="11"/>
        <color indexed="8"/>
        <rFont val="Calibri"/>
        <family val="2"/>
      </rPr>
      <t>P,ALGAE</t>
    </r>
    <r>
      <rPr>
        <sz val="11"/>
        <color indexed="8"/>
        <rFont val="Calibri"/>
        <family val="2"/>
      </rPr>
      <t>*CH</t>
    </r>
    <r>
      <rPr>
        <vertAlign val="subscript"/>
        <sz val="11"/>
        <color indexed="8"/>
        <rFont val="Calibri"/>
        <family val="2"/>
      </rPr>
      <t>PO4</t>
    </r>
    <r>
      <rPr>
        <sz val="11"/>
        <color indexed="8"/>
        <rFont val="Calibri"/>
        <family val="2"/>
      </rPr>
      <t>)</t>
    </r>
  </si>
  <si>
    <r>
      <t>-f</t>
    </r>
    <r>
      <rPr>
        <vertAlign val="subscript"/>
        <sz val="11"/>
        <rFont val="Calibri"/>
        <family val="2"/>
      </rPr>
      <t>E</t>
    </r>
    <r>
      <rPr>
        <sz val="11"/>
        <rFont val="Calibri"/>
        <family val="2"/>
      </rPr>
      <t>*(i</t>
    </r>
    <r>
      <rPr>
        <vertAlign val="subscript"/>
        <sz val="11"/>
        <rFont val="Calibri"/>
        <family val="2"/>
      </rPr>
      <t>N,XE</t>
    </r>
    <r>
      <rPr>
        <sz val="11"/>
        <rFont val="Calibri"/>
        <family val="2"/>
      </rPr>
      <t>-i</t>
    </r>
    <r>
      <rPr>
        <vertAlign val="subscript"/>
        <sz val="11"/>
        <rFont val="Calibri"/>
        <family val="2"/>
      </rPr>
      <t>N,BIO</t>
    </r>
    <r>
      <rPr>
        <sz val="11"/>
        <rFont val="Calibri"/>
        <family val="2"/>
      </rPr>
      <t>)</t>
    </r>
    <r>
      <rPr>
        <sz val="11"/>
        <color indexed="8"/>
        <rFont val="Calibri"/>
        <family val="2"/>
      </rPr>
      <t>*CH</t>
    </r>
    <r>
      <rPr>
        <vertAlign val="subscript"/>
        <sz val="11"/>
        <color rgb="FF000000"/>
        <rFont val="Calibri"/>
        <family val="2"/>
      </rPr>
      <t>NHx</t>
    </r>
    <r>
      <rPr>
        <sz val="11"/>
        <color indexed="8"/>
        <rFont val="Calibri"/>
        <family val="2"/>
      </rPr>
      <t>+(i</t>
    </r>
    <r>
      <rPr>
        <vertAlign val="subscript"/>
        <sz val="11"/>
        <color rgb="FF000000"/>
        <rFont val="Calibri"/>
        <family val="2"/>
      </rPr>
      <t>P,ALGAE</t>
    </r>
    <r>
      <rPr>
        <sz val="11"/>
        <color indexed="8"/>
        <rFont val="Calibri"/>
        <family val="2"/>
      </rPr>
      <t>-i</t>
    </r>
    <r>
      <rPr>
        <vertAlign val="subscript"/>
        <sz val="11"/>
        <color rgb="FF000000"/>
        <rFont val="Calibri"/>
        <family val="2"/>
      </rPr>
      <t>P,BIO</t>
    </r>
    <r>
      <rPr>
        <sz val="11"/>
        <color indexed="8"/>
        <rFont val="Calibri"/>
        <family val="2"/>
      </rPr>
      <t>)*CH</t>
    </r>
    <r>
      <rPr>
        <vertAlign val="subscript"/>
        <sz val="11"/>
        <color rgb="FF000000"/>
        <rFont val="Calibri"/>
        <family val="2"/>
      </rPr>
      <t>PO4</t>
    </r>
  </si>
  <si>
    <t>GenThreePondModel</t>
  </si>
  <si>
    <r>
      <t>b</t>
    </r>
    <r>
      <rPr>
        <vertAlign val="subscript"/>
        <sz val="11"/>
        <color rgb="FF000000"/>
        <rFont val="Calibri"/>
        <family val="2"/>
      </rPr>
      <t xml:space="preserve">ALGAE,T </t>
    </r>
    <r>
      <rPr>
        <sz val="11"/>
        <color indexed="8"/>
        <rFont val="Calibri"/>
        <family val="2"/>
      </rPr>
      <t>* X</t>
    </r>
    <r>
      <rPr>
        <vertAlign val="subscript"/>
        <sz val="11"/>
        <color rgb="FF000000"/>
        <rFont val="Calibri"/>
        <family val="2"/>
      </rPr>
      <t>ALGAE</t>
    </r>
    <r>
      <rPr>
        <sz val="11"/>
        <color indexed="8"/>
        <rFont val="Calibri"/>
        <family val="2"/>
      </rPr>
      <t xml:space="preserve"> * Msat</t>
    </r>
    <r>
      <rPr>
        <vertAlign val="subscript"/>
        <sz val="11"/>
        <color rgb="FF000000"/>
        <rFont val="Calibri"/>
        <family val="2"/>
      </rPr>
      <t>SO2,KO2,ALGAE</t>
    </r>
  </si>
  <si>
    <r>
      <t>b</t>
    </r>
    <r>
      <rPr>
        <vertAlign val="subscript"/>
        <sz val="11"/>
        <color rgb="FF000000"/>
        <rFont val="Calibri"/>
        <family val="2"/>
      </rPr>
      <t xml:space="preserve">ALGAE,T </t>
    </r>
    <r>
      <rPr>
        <sz val="11"/>
        <color indexed="8"/>
        <rFont val="Calibri"/>
        <family val="2"/>
      </rPr>
      <t>* X</t>
    </r>
    <r>
      <rPr>
        <vertAlign val="subscript"/>
        <sz val="11"/>
        <color rgb="FF000000"/>
        <rFont val="Calibri"/>
        <family val="2"/>
      </rPr>
      <t>ALGAE</t>
    </r>
    <r>
      <rPr>
        <sz val="11"/>
        <color indexed="8"/>
        <rFont val="Calibri"/>
        <family val="2"/>
      </rPr>
      <t xml:space="preserve"> * Minh</t>
    </r>
    <r>
      <rPr>
        <vertAlign val="subscript"/>
        <sz val="11"/>
        <color rgb="FF000000"/>
        <rFont val="Calibri"/>
        <family val="2"/>
      </rPr>
      <t>SO2,KO2,ALGAE</t>
    </r>
  </si>
  <si>
    <t>Pond calculated variables</t>
  </si>
  <si>
    <t>LightSwitch</t>
  </si>
  <si>
    <t>Light switch to account for solar irradiation and TSS shading</t>
  </si>
  <si>
    <r>
      <t>Msat</t>
    </r>
    <r>
      <rPr>
        <vertAlign val="subscript"/>
        <sz val="11"/>
        <rFont val="Calibri"/>
        <family val="2"/>
        <scheme val="minor"/>
      </rPr>
      <t>SNOx,KNOx,ALGAE</t>
    </r>
  </si>
  <si>
    <r>
      <t>Msat(S</t>
    </r>
    <r>
      <rPr>
        <vertAlign val="subscript"/>
        <sz val="11"/>
        <rFont val="Calibri"/>
        <family val="2"/>
        <scheme val="minor"/>
      </rPr>
      <t>NOx</t>
    </r>
    <r>
      <rPr>
        <sz val="11"/>
        <rFont val="Calibri"/>
        <family val="2"/>
        <scheme val="minor"/>
      </rPr>
      <t>;K</t>
    </r>
    <r>
      <rPr>
        <vertAlign val="subscript"/>
        <sz val="11"/>
        <rFont val="Calibri"/>
        <family val="2"/>
        <scheme val="minor"/>
      </rPr>
      <t>NOx,ALGAE</t>
    </r>
    <r>
      <rPr>
        <sz val="11"/>
        <rFont val="Calibri"/>
        <family val="2"/>
        <scheme val="minor"/>
      </rPr>
      <t>)</t>
    </r>
  </si>
  <si>
    <r>
      <t>Msat</t>
    </r>
    <r>
      <rPr>
        <vertAlign val="subscript"/>
        <sz val="11"/>
        <rFont val="Calibri"/>
        <family val="2"/>
        <scheme val="minor"/>
      </rPr>
      <t>SO2,KO2,ALGAE</t>
    </r>
  </si>
  <si>
    <t>Saturation term for O2 (ALGAE)</t>
  </si>
  <si>
    <r>
      <t>Msat(S</t>
    </r>
    <r>
      <rPr>
        <vertAlign val="subscript"/>
        <sz val="11"/>
        <rFont val="Calibri"/>
        <family val="2"/>
        <scheme val="minor"/>
      </rPr>
      <t>O2</t>
    </r>
    <r>
      <rPr>
        <sz val="11"/>
        <rFont val="Calibri"/>
        <family val="2"/>
        <scheme val="minor"/>
      </rPr>
      <t>;K</t>
    </r>
    <r>
      <rPr>
        <vertAlign val="subscript"/>
        <sz val="11"/>
        <rFont val="Calibri"/>
        <family val="2"/>
        <scheme val="minor"/>
      </rPr>
      <t>O2,ALGAE</t>
    </r>
    <r>
      <rPr>
        <sz val="11"/>
        <rFont val="Calibri"/>
        <family val="2"/>
        <scheme val="minor"/>
      </rPr>
      <t>)</t>
    </r>
  </si>
  <si>
    <r>
      <t>Minh</t>
    </r>
    <r>
      <rPr>
        <vertAlign val="subscript"/>
        <sz val="11"/>
        <rFont val="Calibri"/>
        <family val="2"/>
        <scheme val="minor"/>
      </rPr>
      <t>SO2,KO2,ALGAE</t>
    </r>
  </si>
  <si>
    <t>Inhibition term for O2 (ALGAE)</t>
  </si>
  <si>
    <r>
      <t>Minh(S</t>
    </r>
    <r>
      <rPr>
        <vertAlign val="subscript"/>
        <sz val="11"/>
        <rFont val="Calibri"/>
        <family val="2"/>
        <scheme val="minor"/>
      </rPr>
      <t>O2</t>
    </r>
    <r>
      <rPr>
        <sz val="11"/>
        <rFont val="Calibri"/>
        <family val="2"/>
        <scheme val="minor"/>
      </rPr>
      <t>;K</t>
    </r>
    <r>
      <rPr>
        <vertAlign val="subscript"/>
        <sz val="11"/>
        <rFont val="Calibri"/>
        <family val="2"/>
        <scheme val="minor"/>
      </rPr>
      <t>O2,ALGAE</t>
    </r>
    <r>
      <rPr>
        <sz val="11"/>
        <rFont val="Calibri"/>
        <family val="2"/>
        <scheme val="minor"/>
      </rPr>
      <t>)</t>
    </r>
  </si>
  <si>
    <r>
      <t>Minh</t>
    </r>
    <r>
      <rPr>
        <vertAlign val="subscript"/>
        <sz val="11"/>
        <rFont val="Calibri"/>
        <family val="2"/>
        <scheme val="minor"/>
      </rPr>
      <t>SNHx,KiNHx,ALGAE</t>
    </r>
  </si>
  <si>
    <t>Inhibition term for NHx (ALGAE)</t>
  </si>
  <si>
    <r>
      <t>Minh(S</t>
    </r>
    <r>
      <rPr>
        <vertAlign val="subscript"/>
        <sz val="11"/>
        <rFont val="Calibri"/>
        <family val="2"/>
        <scheme val="minor"/>
      </rPr>
      <t>NHx</t>
    </r>
    <r>
      <rPr>
        <sz val="11"/>
        <rFont val="Calibri"/>
        <family val="2"/>
        <scheme val="minor"/>
      </rPr>
      <t>;Ki</t>
    </r>
    <r>
      <rPr>
        <vertAlign val="subscript"/>
        <sz val="11"/>
        <rFont val="Calibri"/>
        <family val="2"/>
        <scheme val="minor"/>
      </rPr>
      <t>NHx,ALGAE</t>
    </r>
    <r>
      <rPr>
        <sz val="11"/>
        <rFont val="Calibri"/>
        <family val="2"/>
        <scheme val="minor"/>
      </rPr>
      <t>)</t>
    </r>
  </si>
  <si>
    <r>
      <t>µ</t>
    </r>
    <r>
      <rPr>
        <vertAlign val="subscript"/>
        <sz val="11"/>
        <color indexed="8"/>
        <rFont val="Calibri"/>
        <family val="2"/>
      </rPr>
      <t>ALGAE,T</t>
    </r>
  </si>
  <si>
    <t>Maximum specific growth rate of ALGAE (temperature corrected)</t>
  </si>
  <si>
    <r>
      <t>b</t>
    </r>
    <r>
      <rPr>
        <vertAlign val="subscript"/>
        <sz val="11"/>
        <color indexed="8"/>
        <rFont val="Calibri"/>
        <family val="2"/>
      </rPr>
      <t>ALGAE,T</t>
    </r>
  </si>
  <si>
    <t>Respiration rate of ALGAE (temperature corrected)</t>
  </si>
  <si>
    <t>Environmental Variables</t>
  </si>
  <si>
    <t>Solar Irradiation</t>
  </si>
  <si>
    <t>W.m-2</t>
  </si>
  <si>
    <t>Optimal irradiation for photosynthesis</t>
  </si>
  <si>
    <t>TSS concentration for calculating light extinction switching factor</t>
  </si>
  <si>
    <t>g.m-3</t>
  </si>
  <si>
    <t>Cooments</t>
  </si>
  <si>
    <t>Max(var - Sumo__MSatMin; 0) / (k + var)</t>
  </si>
  <si>
    <t>(k)/(s/x+k)</t>
  </si>
  <si>
    <t>Bellopt(var; xopt; whalf; slope)</t>
  </si>
  <si>
    <t>Bell-shaped filtering function</t>
  </si>
  <si>
    <t>1 / (1 + Pow(Abs((var-xopt)/whalf),slope))</t>
  </si>
  <si>
    <t>Logisticslope(halfval; range)</t>
  </si>
  <si>
    <t>Slope for logistic saturation and inhibition functions</t>
  </si>
  <si>
    <t>(-1)*(2 / (halfval * range)) * Ln((1/19) * (1 + (1/2) * (halfval * range / halfval)))</t>
  </si>
  <si>
    <t>Logsat(var; halfval; slope)</t>
  </si>
  <si>
    <t>var / (var + halfval * Exp((halfval - var) * slope))</t>
  </si>
  <si>
    <t>Loginh(var; halfval; slope)</t>
  </si>
  <si>
    <t>1 - var / (var + halfval * Exp((halfval - var) * slope))</t>
  </si>
  <si>
    <t>Logsatswitch(var; halfval; slope)</t>
  </si>
  <si>
    <t>Logistic saturation switch</t>
  </si>
  <si>
    <t>Loginhswitch(var; halfval; slope)</t>
  </si>
  <si>
    <t>Logistic inhibition switch</t>
  </si>
  <si>
    <t>Damp(x)</t>
  </si>
  <si>
    <t xml:space="preserve">Logarithmic damping </t>
  </si>
  <si>
    <t>If(x&lt;0;-Log10(-x+1);Log10(x+1))</t>
  </si>
  <si>
    <r>
      <t>Henry</t>
    </r>
    <r>
      <rPr>
        <vertAlign val="subscript"/>
        <sz val="11"/>
        <rFont val="Calibri"/>
        <family val="2"/>
        <scheme val="minor"/>
      </rPr>
      <t>GO2</t>
    </r>
    <r>
      <rPr>
        <sz val="11"/>
        <rFont val="Calibri"/>
        <family val="2"/>
        <scheme val="minor"/>
      </rPr>
      <t>(T)</t>
    </r>
  </si>
  <si>
    <r>
      <t>Temperature dependent Henry coefficient for O</t>
    </r>
    <r>
      <rPr>
        <vertAlign val="subscript"/>
        <sz val="11"/>
        <rFont val="Calibri"/>
        <family val="2"/>
        <scheme val="minor"/>
      </rPr>
      <t>2</t>
    </r>
  </si>
  <si>
    <r>
      <t>Henry</t>
    </r>
    <r>
      <rPr>
        <vertAlign val="subscript"/>
        <sz val="11"/>
        <rFont val="Calibri"/>
        <family val="2"/>
        <scheme val="minor"/>
      </rPr>
      <t>GO2_25</t>
    </r>
    <r>
      <rPr>
        <sz val="11"/>
        <rFont val="Calibri"/>
        <family val="2"/>
        <scheme val="minor"/>
      </rPr>
      <t>*Exp(Henry</t>
    </r>
    <r>
      <rPr>
        <vertAlign val="subscript"/>
        <sz val="11"/>
        <rFont val="Calibri"/>
        <family val="2"/>
        <scheme val="minor"/>
      </rPr>
      <t>GO2_dt</t>
    </r>
    <r>
      <rPr>
        <sz val="11"/>
        <rFont val="Calibri"/>
        <family val="2"/>
        <scheme val="minor"/>
      </rPr>
      <t>*((1/T)-(1/298.15)))</t>
    </r>
  </si>
  <si>
    <r>
      <t>Henry</t>
    </r>
    <r>
      <rPr>
        <vertAlign val="subscript"/>
        <sz val="11"/>
        <rFont val="Calibri"/>
        <family val="2"/>
        <scheme val="minor"/>
      </rPr>
      <t>GCO2</t>
    </r>
    <r>
      <rPr>
        <sz val="11"/>
        <rFont val="Calibri"/>
        <family val="2"/>
        <scheme val="minor"/>
      </rPr>
      <t>(T)</t>
    </r>
  </si>
  <si>
    <r>
      <t>Temperature dependent Henry coefficient for CO</t>
    </r>
    <r>
      <rPr>
        <vertAlign val="subscript"/>
        <sz val="11"/>
        <rFont val="Calibri"/>
        <family val="2"/>
        <scheme val="minor"/>
      </rPr>
      <t>2</t>
    </r>
  </si>
  <si>
    <r>
      <t>Henry</t>
    </r>
    <r>
      <rPr>
        <vertAlign val="subscript"/>
        <sz val="11"/>
        <rFont val="Calibri"/>
        <family val="2"/>
        <scheme val="minor"/>
      </rPr>
      <t>GCO2_25</t>
    </r>
    <r>
      <rPr>
        <sz val="11"/>
        <rFont val="Calibri"/>
        <family val="2"/>
        <scheme val="minor"/>
      </rPr>
      <t>*Exp(Henry</t>
    </r>
    <r>
      <rPr>
        <vertAlign val="subscript"/>
        <sz val="11"/>
        <rFont val="Calibri"/>
        <family val="2"/>
        <scheme val="minor"/>
      </rPr>
      <t>GCO2_dt</t>
    </r>
    <r>
      <rPr>
        <sz val="11"/>
        <rFont val="Calibri"/>
        <family val="2"/>
        <scheme val="minor"/>
      </rPr>
      <t>*((1/T)-(1/298.15)))</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</si>
  <si>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</si>
  <si>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GNO_25</t>
    </r>
    <r>
      <rPr>
        <sz val="11"/>
        <rFont val="Calibri"/>
        <family val="2"/>
        <scheme val="minor"/>
      </rPr>
      <t>*Exp(Henry</t>
    </r>
    <r>
      <rPr>
        <vertAlign val="subscript"/>
        <sz val="11"/>
        <rFont val="Calibri"/>
        <family val="2"/>
        <scheme val="minor"/>
      </rPr>
      <t>GNO_dt</t>
    </r>
    <r>
      <rPr>
        <sz val="11"/>
        <rFont val="Calibri"/>
        <family val="2"/>
        <scheme val="minor"/>
      </rPr>
      <t>*((1/T)-(1/298.15)))</t>
    </r>
  </si>
  <si>
    <r>
      <t>Henry</t>
    </r>
    <r>
      <rPr>
        <vertAlign val="subscript"/>
        <sz val="11"/>
        <rFont val="Calibri"/>
        <family val="2"/>
        <scheme val="minor"/>
      </rPr>
      <t>GN2O</t>
    </r>
    <r>
      <rPr>
        <sz val="11"/>
        <rFont val="Calibri"/>
        <family val="2"/>
        <scheme val="minor"/>
      </rPr>
      <t>(T)</t>
    </r>
  </si>
  <si>
    <r>
      <t>Temperature dependent Henry coefficient for N</t>
    </r>
    <r>
      <rPr>
        <vertAlign val="subscript"/>
        <sz val="11"/>
        <rFont val="Calibri"/>
        <family val="2"/>
        <scheme val="minor"/>
      </rPr>
      <t>2</t>
    </r>
    <r>
      <rPr>
        <sz val="11"/>
        <rFont val="Calibri"/>
        <family val="2"/>
        <scheme val="minor"/>
      </rPr>
      <t>O</t>
    </r>
  </si>
  <si>
    <r>
      <t>Henry</t>
    </r>
    <r>
      <rPr>
        <vertAlign val="subscript"/>
        <sz val="11"/>
        <rFont val="Calibri"/>
        <family val="2"/>
        <scheme val="minor"/>
      </rPr>
      <t>GN2O_25</t>
    </r>
    <r>
      <rPr>
        <sz val="11"/>
        <rFont val="Calibri"/>
        <family val="2"/>
        <scheme val="minor"/>
      </rPr>
      <t>*Exp(Henry</t>
    </r>
    <r>
      <rPr>
        <vertAlign val="subscript"/>
        <sz val="11"/>
        <rFont val="Calibri"/>
        <family val="2"/>
        <scheme val="minor"/>
      </rPr>
      <t>GN2O_dt</t>
    </r>
    <r>
      <rPr>
        <sz val="11"/>
        <rFont val="Calibri"/>
        <family val="2"/>
        <scheme val="minor"/>
      </rPr>
      <t>*((1/T)-(1/298.15)))</t>
    </r>
  </si>
  <si>
    <r>
      <t>Henry</t>
    </r>
    <r>
      <rPr>
        <vertAlign val="subscript"/>
        <sz val="11"/>
        <rFont val="Calibri"/>
        <family val="2"/>
        <scheme val="minor"/>
      </rPr>
      <t>GN2</t>
    </r>
    <r>
      <rPr>
        <sz val="11"/>
        <rFont val="Calibri"/>
        <family val="2"/>
        <scheme val="minor"/>
      </rPr>
      <t>(T)</t>
    </r>
  </si>
  <si>
    <r>
      <t>Temperature dependent Henry coefficient for N</t>
    </r>
    <r>
      <rPr>
        <vertAlign val="subscript"/>
        <sz val="11"/>
        <rFont val="Calibri"/>
        <family val="2"/>
        <scheme val="minor"/>
      </rPr>
      <t>2</t>
    </r>
  </si>
  <si>
    <r>
      <t>Henry</t>
    </r>
    <r>
      <rPr>
        <vertAlign val="subscript"/>
        <sz val="11"/>
        <rFont val="Calibri"/>
        <family val="2"/>
        <scheme val="minor"/>
      </rPr>
      <t>GN2_25</t>
    </r>
    <r>
      <rPr>
        <sz val="11"/>
        <rFont val="Calibri"/>
        <family val="2"/>
        <scheme val="minor"/>
      </rPr>
      <t>*Exp(Henry</t>
    </r>
    <r>
      <rPr>
        <vertAlign val="subscript"/>
        <sz val="11"/>
        <rFont val="Calibri"/>
        <family val="2"/>
        <scheme val="minor"/>
      </rPr>
      <t>GN2_dt</t>
    </r>
    <r>
      <rPr>
        <sz val="11"/>
        <rFont val="Calibri"/>
        <family val="2"/>
        <scheme val="minor"/>
      </rPr>
      <t>*((1/T)-(1/298.15)))</t>
    </r>
  </si>
  <si>
    <r>
      <t>Henry</t>
    </r>
    <r>
      <rPr>
        <vertAlign val="subscript"/>
        <sz val="11"/>
        <rFont val="Calibri"/>
        <family val="2"/>
        <scheme val="minor"/>
      </rPr>
      <t>GH2</t>
    </r>
    <r>
      <rPr>
        <sz val="11"/>
        <rFont val="Calibri"/>
        <family val="2"/>
        <scheme val="minor"/>
      </rPr>
      <t>(T)</t>
    </r>
  </si>
  <si>
    <r>
      <t>Temperature dependent Henry coefficient for H</t>
    </r>
    <r>
      <rPr>
        <vertAlign val="subscript"/>
        <sz val="11"/>
        <rFont val="Calibri"/>
        <family val="2"/>
        <scheme val="minor"/>
      </rPr>
      <t>2</t>
    </r>
  </si>
  <si>
    <r>
      <t>Henry</t>
    </r>
    <r>
      <rPr>
        <vertAlign val="subscript"/>
        <sz val="11"/>
        <rFont val="Calibri"/>
        <family val="2"/>
        <scheme val="minor"/>
      </rPr>
      <t>GH2_25</t>
    </r>
    <r>
      <rPr>
        <sz val="11"/>
        <rFont val="Calibri"/>
        <family val="2"/>
        <scheme val="minor"/>
      </rPr>
      <t>*Exp(Henry</t>
    </r>
    <r>
      <rPr>
        <vertAlign val="subscript"/>
        <sz val="11"/>
        <rFont val="Calibri"/>
        <family val="2"/>
        <scheme val="minor"/>
      </rPr>
      <t>GH2_dt</t>
    </r>
    <r>
      <rPr>
        <sz val="11"/>
        <rFont val="Calibri"/>
        <family val="2"/>
        <scheme val="minor"/>
      </rPr>
      <t>*((1/T)-(1/298.15)))</t>
    </r>
  </si>
  <si>
    <r>
      <t>Henry</t>
    </r>
    <r>
      <rPr>
        <vertAlign val="subscript"/>
        <sz val="11"/>
        <rFont val="Calibri"/>
        <family val="2"/>
        <scheme val="minor"/>
      </rPr>
      <t>GCH4</t>
    </r>
    <r>
      <rPr>
        <sz val="11"/>
        <rFont val="Calibri"/>
        <family val="2"/>
        <scheme val="minor"/>
      </rPr>
      <t>(T)</t>
    </r>
  </si>
  <si>
    <r>
      <t>Temperature dependent Henry coefficient for CH</t>
    </r>
    <r>
      <rPr>
        <vertAlign val="subscript"/>
        <sz val="11"/>
        <rFont val="Calibri"/>
        <family val="2"/>
        <scheme val="minor"/>
      </rPr>
      <t>4</t>
    </r>
  </si>
  <si>
    <r>
      <t>Henry</t>
    </r>
    <r>
      <rPr>
        <vertAlign val="subscript"/>
        <sz val="11"/>
        <rFont val="Calibri"/>
        <family val="2"/>
        <scheme val="minor"/>
      </rPr>
      <t>GCH4_25</t>
    </r>
    <r>
      <rPr>
        <sz val="11"/>
        <rFont val="Calibri"/>
        <family val="2"/>
        <scheme val="minor"/>
      </rPr>
      <t>*Exp(Henry</t>
    </r>
    <r>
      <rPr>
        <vertAlign val="subscript"/>
        <sz val="11"/>
        <rFont val="Calibri"/>
        <family val="2"/>
        <scheme val="minor"/>
      </rPr>
      <t>GCH4_dt</t>
    </r>
    <r>
      <rPr>
        <sz val="11"/>
        <rFont val="Calibri"/>
        <family val="2"/>
        <scheme val="minor"/>
      </rPr>
      <t>*((1/T)-(1/298.15)))</t>
    </r>
  </si>
  <si>
    <r>
      <t>Henry</t>
    </r>
    <r>
      <rPr>
        <vertAlign val="subscript"/>
        <sz val="11"/>
        <color theme="1"/>
        <rFont val="Calibri"/>
        <family val="2"/>
        <scheme val="minor"/>
      </rPr>
      <t>GNH3</t>
    </r>
    <r>
      <rPr>
        <sz val="11"/>
        <color indexed="8"/>
        <rFont val="Calibri"/>
        <family val="2"/>
      </rPr>
      <t>(T)</t>
    </r>
  </si>
  <si>
    <r>
      <t>Temperature dependent Henry coefficient for NH</t>
    </r>
    <r>
      <rPr>
        <vertAlign val="subscript"/>
        <sz val="11"/>
        <color theme="1"/>
        <rFont val="Calibri"/>
        <family val="2"/>
        <scheme val="minor"/>
      </rPr>
      <t>3</t>
    </r>
  </si>
  <si>
    <r>
      <t>Henry</t>
    </r>
    <r>
      <rPr>
        <vertAlign val="subscript"/>
        <sz val="11"/>
        <color theme="1"/>
        <rFont val="Calibri"/>
        <family val="2"/>
        <scheme val="minor"/>
      </rPr>
      <t>GNH3_25</t>
    </r>
    <r>
      <rPr>
        <sz val="11"/>
        <color indexed="8"/>
        <rFont val="Calibri"/>
        <family val="2"/>
      </rPr>
      <t>*Exp(Henry</t>
    </r>
    <r>
      <rPr>
        <vertAlign val="subscript"/>
        <sz val="11"/>
        <color theme="1"/>
        <rFont val="Calibri"/>
        <family val="2"/>
        <scheme val="minor"/>
      </rPr>
      <t>GNH3_dt</t>
    </r>
    <r>
      <rPr>
        <sz val="11"/>
        <color indexed="8"/>
        <rFont val="Calibri"/>
        <family val="2"/>
      </rPr>
      <t>*((1/T)-(1/298.15)))</t>
    </r>
  </si>
  <si>
    <r>
      <t>Henry</t>
    </r>
    <r>
      <rPr>
        <vertAlign val="subscript"/>
        <sz val="11"/>
        <color theme="1"/>
        <rFont val="Calibri"/>
        <family val="2"/>
        <scheme val="minor"/>
      </rPr>
      <t>GH2S</t>
    </r>
    <r>
      <rPr>
        <sz val="11"/>
        <color indexed="8"/>
        <rFont val="Calibri"/>
        <family val="2"/>
      </rPr>
      <t>(T)</t>
    </r>
  </si>
  <si>
    <r>
      <t>Temperature dependent Henry coefficient for H</t>
    </r>
    <r>
      <rPr>
        <vertAlign val="subscript"/>
        <sz val="11"/>
        <rFont val="Calibri"/>
        <family val="2"/>
        <scheme val="minor"/>
      </rPr>
      <t>2</t>
    </r>
    <r>
      <rPr>
        <sz val="11"/>
        <rFont val="Calibri"/>
        <family val="2"/>
        <scheme val="minor"/>
      </rPr>
      <t>S</t>
    </r>
  </si>
  <si>
    <r>
      <t>Henry</t>
    </r>
    <r>
      <rPr>
        <vertAlign val="subscript"/>
        <sz val="11"/>
        <color theme="1"/>
        <rFont val="Calibri"/>
        <family val="2"/>
        <scheme val="minor"/>
      </rPr>
      <t>GH2S_25</t>
    </r>
    <r>
      <rPr>
        <sz val="11"/>
        <color indexed="8"/>
        <rFont val="Calibri"/>
        <family val="2"/>
      </rPr>
      <t>*Exp(Henry</t>
    </r>
    <r>
      <rPr>
        <vertAlign val="subscript"/>
        <sz val="11"/>
        <color theme="1"/>
        <rFont val="Calibri"/>
        <family val="2"/>
        <scheme val="minor"/>
      </rPr>
      <t>GH2S_dt</t>
    </r>
    <r>
      <rPr>
        <sz val="11"/>
        <color indexed="8"/>
        <rFont val="Calibri"/>
        <family val="2"/>
      </rPr>
      <t>*((1/T)-(1/298.15)))</t>
    </r>
  </si>
  <si>
    <t>C++ functions</t>
  </si>
  <si>
    <t>New functions to be used only in C++ (must follow C++ syntax)</t>
  </si>
  <si>
    <t>SignedAbs(x1; x2)</t>
  </si>
  <si>
    <t>Abs value with sign of x2</t>
  </si>
  <si>
    <t>Sign(x2) * fabs(x1)</t>
  </si>
  <si>
    <t>Dmp(dx; x)</t>
  </si>
  <si>
    <t xml:space="preserve">Derivative damping </t>
  </si>
  <si>
    <t>if (x &lt; Sumo__DampingLimit &amp;&amp; dx &lt; 0.0 &amp;&amp; fabs(dx/x) &gt; Sumo__DerivToStateRatioLimit)
{
     Real x_d = 1/((1+exp(-Sumo__DampingStrength/(Sumo__DampingLimit)*
                      (x - Sumo__DampingLimit/2.0))));
    return x_d*dx;
}
else return dx;</t>
  </si>
  <si>
    <t>AbsError(modelvar;data)</t>
  </si>
  <si>
    <t>Absolute error</t>
  </si>
  <si>
    <t>fabs(modelvar-data)</t>
  </si>
  <si>
    <t>RelError(modelvar;data)</t>
  </si>
  <si>
    <t>Relative error</t>
  </si>
  <si>
    <t>fabs((modelvar-data)/modelvar)</t>
  </si>
  <si>
    <t>AbsSumOfSquares(modelvar;data)</t>
  </si>
  <si>
    <t>Sum of squares</t>
  </si>
  <si>
    <t>pow((modelvar-data), 2)</t>
  </si>
  <si>
    <t>RelSumOfSquares(modelvar;data)</t>
  </si>
  <si>
    <t>Sum of relative squares</t>
  </si>
  <si>
    <t>pow(((modelvar-data)/modelvar), 2)</t>
  </si>
  <si>
    <t>MaxElemIndex([] x)</t>
  </si>
  <si>
    <t>Index of element with maximum value in 'x'</t>
  </si>
  <si>
    <t>return std::distance(x.data, std::max_element(x.data, x.data+x.size))+1;</t>
  </si>
  <si>
    <t>MinElemIndex([] x)</t>
  </si>
  <si>
    <t>Index of element with minimum value in 'x'</t>
    <phoneticPr fontId="0"/>
  </si>
  <si>
    <t>return std::distance(x.data, std::min_element(x.data, x.data+x.size))+1;</t>
    <phoneticPr fontId="0"/>
  </si>
  <si>
    <t>SumIf([] x;[] y; z)</t>
  </si>
  <si>
    <t>Conditional sum</t>
  </si>
  <si>
    <t>Real sum = 0.0;
for( int i = 0; i &lt; y.size; ++i )
{
  if( y(i) == z ) sum += x(i);
}
return sum;</t>
  </si>
  <si>
    <t>If(BOOL a;b;c)</t>
  </si>
  <si>
    <t>if (a is true) then b else c</t>
  </si>
  <si>
    <t>return a ? b : c;</t>
  </si>
  <si>
    <t>STRING If(BOOL a; STRING b; STRING c)</t>
  </si>
  <si>
    <t>STRING</t>
  </si>
  <si>
    <t>Average([] x)</t>
  </si>
  <si>
    <t>Average of array elements</t>
  </si>
  <si>
    <t>Real sum = 0.0;
for( int i = 0; i &lt; x.size; ++i )
{
  sum += x(i);
}
return sum/x.size;</t>
  </si>
  <si>
    <t>Average([] x; INT start; INT end)</t>
  </si>
  <si>
    <t>Average of array elements between indices 'start' and 'end'</t>
  </si>
  <si>
    <t>Real sum = 0.0;
if (end &gt; x.size)
{
    return -9999.9;
}
if (start &gt; end)
{
    return -9999.9;
}
if (start == end &amp;&amp; start &lt; x.size)
{
    return x(start);
}
for(int i = start; i &lt; end; ++i)
{
  sum += x(i);
}
return sum/(end - start);</t>
  </si>
  <si>
    <t>Max([] x)</t>
  </si>
  <si>
    <t>Maximum of array elements</t>
  </si>
  <si>
    <t>Real m = x(0);
for( int i = 1; i &lt; x.size; ++i )
{
    m = max( m, x(i) );
}
return m;</t>
  </si>
  <si>
    <t>Min([] x)</t>
  </si>
  <si>
    <t>Minimum of array elements</t>
  </si>
  <si>
    <t>Real m = x(0);
for( int i = 1; i &lt; x.size; ++i )
{
    m = min( m, x(i) );
}
return m;</t>
  </si>
  <si>
    <t>Sum([] x)</t>
  </si>
  <si>
    <t>Sum of array elements</t>
  </si>
  <si>
    <t>Real sum = 0.0;
for( int i = 0; i &lt;= x.size; ++i )
{
  sum += x(i);
}
return sum;</t>
  </si>
  <si>
    <t>MoveAndPrepend([] x; y)</t>
  </si>
  <si>
    <t>Move the array content 'to the right' and insert a new value to array beginning</t>
  </si>
  <si>
    <t>for( int i = x.size-1; i &gt;= 1; --i )
{
  x(i) = x(i-1);
}
static int j = 0;
x(0) = y;
return j++;</t>
  </si>
  <si>
    <t>MoveAndAppend([] x; y)</t>
  </si>
  <si>
    <t>Move the array content 'to the left' and insert a new value to array end</t>
  </si>
  <si>
    <t>for( int i = 0; i &lt;= x.size-1; ++i )
{
  x(i) = x(i+1);
}
x(x.size-1) = y;
return 0;</t>
  </si>
  <si>
    <t>And(BOOL x; BOOL y)</t>
  </si>
  <si>
    <t>Logical 'and'</t>
  </si>
  <si>
    <t>return x &amp;&amp; y;</t>
  </si>
  <si>
    <t>And(BOOL x; BOOL y; BOOL z)</t>
  </si>
  <si>
    <t>Logical 'and' for three arguments</t>
  </si>
  <si>
    <t>return x &amp;&amp; y &amp;&amp; z;</t>
  </si>
  <si>
    <t>And(BOOL x; BOOL y; BOOL z; BOOL m)</t>
  </si>
  <si>
    <t>Logical 'and' for four arguments</t>
  </si>
  <si>
    <t>return x &amp;&amp; y &amp;&amp; z &amp;&amp; m;</t>
  </si>
  <si>
    <t>And(BOOL x; BOOL y; BOOL z; BOOL m; BOOL n)</t>
  </si>
  <si>
    <t>Logical 'and' for five arguments</t>
  </si>
  <si>
    <t>return x &amp;&amp; y &amp;&amp; z &amp;&amp; m &amp;&amp; n;</t>
  </si>
  <si>
    <t>And(BOOL x; BOOL y; BOOL z; BOOL m; BOOL n; BOOL o)</t>
  </si>
  <si>
    <t>Logical 'and' for six arguments</t>
  </si>
  <si>
    <t>return x &amp;&amp; y &amp;&amp; z &amp;&amp; m &amp;&amp; n &amp;&amp; o;</t>
  </si>
  <si>
    <t>Or(BOOL x; BOOL y)</t>
  </si>
  <si>
    <t>Logical 'or'</t>
  </si>
  <si>
    <t>return x || y;</t>
  </si>
  <si>
    <t>Or(BOOL x; BOOL y; BOOL z)</t>
  </si>
  <si>
    <t>Logical 'or' for three arguments</t>
  </si>
  <si>
    <t>return x || y || z;</t>
  </si>
  <si>
    <t>Or(BOOL x; BOOL y; BOOL z; BOOL m)</t>
  </si>
  <si>
    <t>Logical 'or' for four arguments</t>
  </si>
  <si>
    <t>return x || y || z || m;</t>
  </si>
  <si>
    <t>Or(BOOL x; BOOL y; BOOL z; BOOL m; BOOL n)</t>
  </si>
  <si>
    <t>Logical 'or' for five arguments</t>
  </si>
  <si>
    <t>return x || y || z || m || n;</t>
  </si>
  <si>
    <t>Or(BOOL x; BOOL y; BOOL z; BOOL m; BOOL n; BOOL o)</t>
  </si>
  <si>
    <t>Logical 'or' for six arguments</t>
  </si>
  <si>
    <t>return x || y || z || m || n || o;</t>
  </si>
  <si>
    <t>SUMO to C++ mapping</t>
  </si>
  <si>
    <t>Argument</t>
  </si>
  <si>
    <t>Min(a;b)</t>
  </si>
  <si>
    <t>Minimum</t>
  </si>
  <si>
    <t>min(a,b)</t>
  </si>
  <si>
    <t>Maximum</t>
  </si>
  <si>
    <t>Max(a;b;c)</t>
  </si>
  <si>
    <t>max(Max(a;b);c)</t>
  </si>
  <si>
    <t>Max(a;b;c;d)</t>
  </si>
  <si>
    <t>max(Max(a;b;c);d)</t>
  </si>
  <si>
    <t>Max(a;b;c;d;e)</t>
  </si>
  <si>
    <t>max(Max(a;b;c;d);e)</t>
  </si>
  <si>
    <t>Max(a;b;c;d;e;f)</t>
  </si>
  <si>
    <t>max(Max(a;b;c;d;e);f)</t>
  </si>
  <si>
    <t>Max(a;b;c;d;e;f;g)</t>
  </si>
  <si>
    <t>max(Max(a;b;c;d;e;f);g)</t>
  </si>
  <si>
    <t>Max(a;b;c;d;e;f;g;h)</t>
  </si>
  <si>
    <t>max(Max(a;b;c;d;e;f;g);h)</t>
  </si>
  <si>
    <t>Max(a;b;c;d;e;f;g;h;i)</t>
  </si>
  <si>
    <t>max(Max(a;b;c;d;e;f;g;h);i)</t>
  </si>
  <si>
    <t>Max(a;b;c;d;e;f;g;h;i;j)</t>
  </si>
  <si>
    <t>max(Max(a;b;c;d;e;f;g;h;i);j)</t>
  </si>
  <si>
    <t>Max(a;b;c;d;e;f;g;h;i;j;k)</t>
  </si>
  <si>
    <t>max(Max(a;b;c;d;e;f;g;h;i;j);k)</t>
  </si>
  <si>
    <t>Max(a;b;c;d;e;f;g;h;i;j;k;l)</t>
  </si>
  <si>
    <t>max(Max(a;b;c;d;e;f;g;h;i;j;k);l)</t>
  </si>
  <si>
    <t>Max(a;b;c;d;e;f;g;h;i;j;k;l;m)</t>
  </si>
  <si>
    <t>max(Max(a;b;c;d;e;f;g;h;i;j;k;l);m)</t>
  </si>
  <si>
    <t>Max(a;b;c;d;e;f;g;h;i;j;k;l;m;n)</t>
  </si>
  <si>
    <t>max(Max(a;b;c;d;e;f;g;h;i;j;k;l;m);n)</t>
  </si>
  <si>
    <t>Max(a;b;c;d;e;f;g;h;i;j;k;l;m;n;o)</t>
  </si>
  <si>
    <t>max(Max(a;b;c;d;e;f;g;h;i;j;k;l;m;n);o)</t>
  </si>
  <si>
    <t>Max(a;b;c;d;e;f;g;h;i;j;k;l;m;n;o;p)</t>
  </si>
  <si>
    <t>max(Max(a;b;c;d;e;f;g;h;i;j;k;l;m;n;o);p)</t>
  </si>
  <si>
    <t>Max(a;b;c;d;e;f;g;h;i;j;k;l;m;n;o;p;q)</t>
  </si>
  <si>
    <t>max(Max(a;b;c;d;e;f;g;h;i;j;k;l;m;n;o;p);q)</t>
  </si>
  <si>
    <t>Max(a;b;c;d;e;f;g;h;i;j;k;l;m;n;o;p;q;r)</t>
  </si>
  <si>
    <t>max(Max(a;b;c;d;e;f;g;h;i;j;k;l;m;n;o;p;q);r)</t>
  </si>
  <si>
    <t>Max(a;b;c;d;e;f;g;h;i;j;k;l;m;n;o;p;q;r;s)</t>
  </si>
  <si>
    <t>max(Max(a;b;c;d;e;f;g;h;i;j;k;l;m;n;o;p;q;r);s)</t>
  </si>
  <si>
    <t>Max(a;b;c;d;e;f;g;h;i;j;k;l;m;n;o;p;q;r;s;t)</t>
  </si>
  <si>
    <t>max(Max(a;b;c;d;e;f;g;h;i;j;k;l;m;n;o;p;q;r;s);t)</t>
  </si>
  <si>
    <t>Power</t>
  </si>
  <si>
    <t>Absolute value of integer</t>
  </si>
  <si>
    <t>fabs(x)</t>
  </si>
  <si>
    <t>Natural base exponent</t>
  </si>
  <si>
    <t>Ln(x)</t>
  </si>
  <si>
    <t>e based logarithm</t>
  </si>
  <si>
    <t>log(x)</t>
  </si>
  <si>
    <t>Min(a;b;c)</t>
  </si>
  <si>
    <t>Minimum of three numbers</t>
  </si>
  <si>
    <t>min(min(a;b);c)</t>
  </si>
  <si>
    <t>Min(a;b;c;d)</t>
  </si>
  <si>
    <t>Minimum of four numbers</t>
  </si>
  <si>
    <t>min(Min(a;b;c);d)</t>
  </si>
  <si>
    <t>Min(a;b;c;d;e)</t>
  </si>
  <si>
    <t>Minimum of five numbers</t>
  </si>
  <si>
    <t>min(Min(a;b;c;d);e)</t>
  </si>
  <si>
    <t>Built in C++ functions</t>
  </si>
  <si>
    <t>Pure</t>
  </si>
  <si>
    <t>valid C++ functions (don't need definition)</t>
  </si>
  <si>
    <t>cos</t>
  </si>
  <si>
    <t>Compute cosine</t>
  </si>
  <si>
    <t>sin</t>
  </si>
  <si>
    <t>Compute sine</t>
  </si>
  <si>
    <t>tan</t>
  </si>
  <si>
    <t>Compute tangent</t>
  </si>
  <si>
    <t>acos</t>
  </si>
  <si>
    <t>Compute arc cosine</t>
  </si>
  <si>
    <t>asin</t>
  </si>
  <si>
    <t>Compute arc sine</t>
  </si>
  <si>
    <t>atan</t>
  </si>
  <si>
    <t>Compute arc tangent</t>
  </si>
  <si>
    <t>atan2</t>
  </si>
  <si>
    <t>Compute arc tangent with two parameters</t>
  </si>
  <si>
    <t>cosh</t>
  </si>
  <si>
    <t>Compute hyperbolic cosine</t>
  </si>
  <si>
    <t>sinh</t>
  </si>
  <si>
    <t>Compute hyperbolic sine</t>
  </si>
  <si>
    <t>tanh</t>
  </si>
  <si>
    <t>Compute hyperbolic tangent</t>
  </si>
  <si>
    <t>exp</t>
  </si>
  <si>
    <t>Compute exponential function</t>
  </si>
  <si>
    <t>(power)</t>
  </si>
  <si>
    <t>ldexp</t>
  </si>
  <si>
    <t>Generate number from significand and exponent</t>
  </si>
  <si>
    <t>log</t>
  </si>
  <si>
    <t>Compute natural logarithm</t>
  </si>
  <si>
    <t>log10</t>
  </si>
  <si>
    <t>Compute common logarithm</t>
  </si>
  <si>
    <t>sqrt</t>
  </si>
  <si>
    <t>Compute square root</t>
  </si>
  <si>
    <t>ceil</t>
  </si>
  <si>
    <t>Round up value</t>
  </si>
  <si>
    <t>fabs</t>
  </si>
  <si>
    <t>Compute absolute value</t>
  </si>
  <si>
    <t>floor</t>
  </si>
  <si>
    <t>Round down value</t>
  </si>
  <si>
    <t>round</t>
  </si>
  <si>
    <t>Round value to next integer</t>
  </si>
  <si>
    <t>fmod</t>
  </si>
  <si>
    <t>Compute remainder of division</t>
  </si>
  <si>
    <t>pow</t>
  </si>
  <si>
    <t>(base,power)</t>
  </si>
  <si>
    <t>min</t>
  </si>
  <si>
    <t>minimum of</t>
  </si>
  <si>
    <t>max</t>
  </si>
  <si>
    <t>maximum of</t>
  </si>
  <si>
    <t>distance</t>
  </si>
  <si>
    <t>Return distance between two iterators</t>
  </si>
  <si>
    <t>max_element</t>
  </si>
  <si>
    <t>Return largest element in a range</t>
  </si>
  <si>
    <t>int</t>
  </si>
  <si>
    <t>converts to integer</t>
  </si>
  <si>
    <r>
      <t>µ</t>
    </r>
    <r>
      <rPr>
        <vertAlign val="subscript"/>
        <sz val="11"/>
        <rFont val="Calibri"/>
        <family val="2"/>
      </rPr>
      <t>ALGAE,T</t>
    </r>
    <r>
      <rPr>
        <sz val="11"/>
        <rFont val="Calibri"/>
        <family val="2"/>
      </rPr>
      <t xml:space="preserve"> * X</t>
    </r>
    <r>
      <rPr>
        <vertAlign val="subscript"/>
        <sz val="11"/>
        <rFont val="Calibri"/>
        <family val="2"/>
      </rPr>
      <t>ALGAE</t>
    </r>
    <r>
      <rPr>
        <sz val="11"/>
        <rFont val="Calibri"/>
        <family val="2"/>
      </rPr>
      <t xml:space="preserve"> * Msat</t>
    </r>
    <r>
      <rPr>
        <vertAlign val="subscript"/>
        <sz val="11"/>
        <rFont val="Calibri"/>
        <family val="2"/>
      </rPr>
      <t xml:space="preserve">SPO4,KPO4,BIO </t>
    </r>
    <r>
      <rPr>
        <sz val="11"/>
        <rFont val="Calibri"/>
        <family val="2"/>
      </rPr>
      <t>*Msat</t>
    </r>
    <r>
      <rPr>
        <vertAlign val="subscript"/>
        <sz val="11"/>
        <rFont val="Calibri"/>
        <family val="2"/>
      </rPr>
      <t>SALK,KALK</t>
    </r>
    <r>
      <rPr>
        <sz val="11"/>
        <rFont val="Calibri"/>
        <family val="2"/>
      </rPr>
      <t xml:space="preserve"> * LightSwitch * Msat</t>
    </r>
    <r>
      <rPr>
        <vertAlign val="subscript"/>
        <sz val="11"/>
        <rFont val="Calibri"/>
        <family val="2"/>
      </rPr>
      <t>SNOx,KNOx,ALGAE</t>
    </r>
    <r>
      <rPr>
        <sz val="11"/>
        <rFont val="Calibri"/>
        <family val="2"/>
      </rPr>
      <t xml:space="preserve">  * Minh</t>
    </r>
    <r>
      <rPr>
        <vertAlign val="subscript"/>
        <sz val="11"/>
        <rFont val="Calibri"/>
        <family val="2"/>
      </rPr>
      <t>SNHx,KiNHx,ALGAE</t>
    </r>
  </si>
  <si>
    <r>
      <t>(-i</t>
    </r>
    <r>
      <rPr>
        <vertAlign val="subscript"/>
        <sz val="11"/>
        <color indexed="8"/>
        <rFont val="Calibri"/>
        <family val="2"/>
      </rPr>
      <t>N,ALGAE</t>
    </r>
    <r>
      <rPr>
        <sz val="11"/>
        <color indexed="8"/>
        <rFont val="Calibri"/>
        <family val="2"/>
      </rPr>
      <t>*CH</t>
    </r>
    <r>
      <rPr>
        <vertAlign val="subscript"/>
        <sz val="11"/>
        <color indexed="8"/>
        <rFont val="Calibri"/>
        <family val="2"/>
      </rPr>
      <t>NO3</t>
    </r>
    <r>
      <rPr>
        <sz val="11"/>
        <color indexed="8"/>
        <rFont val="Calibri"/>
        <family val="2"/>
      </rPr>
      <t>-i</t>
    </r>
    <r>
      <rPr>
        <vertAlign val="subscript"/>
        <sz val="11"/>
        <color indexed="8"/>
        <rFont val="Calibri"/>
        <family val="2"/>
      </rPr>
      <t>P,ALGAE</t>
    </r>
    <r>
      <rPr>
        <sz val="11"/>
        <color indexed="8"/>
        <rFont val="Calibri"/>
        <family val="2"/>
      </rPr>
      <t>*CH</t>
    </r>
    <r>
      <rPr>
        <vertAlign val="subscript"/>
        <sz val="11"/>
        <color indexed="8"/>
        <rFont val="Calibri"/>
        <family val="2"/>
      </rPr>
      <t>PO4</t>
    </r>
    <r>
      <rPr>
        <sz val="11"/>
        <color indexed="8"/>
        <rFont val="Calibri"/>
        <family val="2"/>
      </rPr>
      <t>)</t>
    </r>
  </si>
  <si>
    <t>Parameters from solver settings</t>
  </si>
  <si>
    <t>Sumo__MSatMin</t>
  </si>
  <si>
    <t>Msat cut off value</t>
  </si>
  <si>
    <r>
      <t>X</t>
    </r>
    <r>
      <rPr>
        <vertAlign val="subscript"/>
        <sz val="11"/>
        <rFont val="Calibri"/>
        <family val="2"/>
      </rPr>
      <t>OHO</t>
    </r>
    <r>
      <rPr>
        <sz val="11"/>
        <rFont val="Calibri"/>
        <family val="2"/>
      </rPr>
      <t>+X</t>
    </r>
    <r>
      <rPr>
        <vertAlign val="subscript"/>
        <sz val="11"/>
        <rFont val="Calibri"/>
        <family val="2"/>
      </rPr>
      <t>NITO</t>
    </r>
    <r>
      <rPr>
        <sz val="11"/>
        <rFont val="Calibri"/>
        <family val="2"/>
      </rPr>
      <t>+X</t>
    </r>
    <r>
      <rPr>
        <vertAlign val="subscript"/>
        <sz val="11"/>
        <rFont val="Calibri"/>
        <family val="2"/>
      </rPr>
      <t>AMETO</t>
    </r>
    <r>
      <rPr>
        <sz val="11"/>
        <rFont val="Calibri"/>
        <family val="2"/>
      </rPr>
      <t>+X</t>
    </r>
    <r>
      <rPr>
        <vertAlign val="subscript"/>
        <sz val="11"/>
        <rFont val="Calibri"/>
        <family val="2"/>
      </rPr>
      <t>HMETO</t>
    </r>
    <r>
      <rPr>
        <sz val="11"/>
        <rFont val="Calibri"/>
        <family val="2"/>
      </rPr>
      <t>+X</t>
    </r>
    <r>
      <rPr>
        <vertAlign val="subscript"/>
        <sz val="11"/>
        <rFont val="Calibri"/>
        <family val="2"/>
      </rPr>
      <t>ALGAE</t>
    </r>
  </si>
  <si>
    <r>
      <t>µ</t>
    </r>
    <r>
      <rPr>
        <vertAlign val="subscript"/>
        <sz val="11"/>
        <rFont val="Calibri"/>
        <family val="2"/>
      </rPr>
      <t>ALGAE,T</t>
    </r>
    <r>
      <rPr>
        <sz val="11"/>
        <rFont val="Calibri"/>
        <family val="2"/>
      </rPr>
      <t xml:space="preserve"> * X</t>
    </r>
    <r>
      <rPr>
        <vertAlign val="subscript"/>
        <sz val="11"/>
        <rFont val="Calibri"/>
        <family val="2"/>
      </rPr>
      <t>ALGAE</t>
    </r>
    <r>
      <rPr>
        <sz val="11"/>
        <rFont val="Calibri"/>
        <family val="2"/>
      </rPr>
      <t xml:space="preserve"> *Msat</t>
    </r>
    <r>
      <rPr>
        <vertAlign val="subscript"/>
        <sz val="11"/>
        <rFont val="Calibri"/>
        <family val="2"/>
      </rPr>
      <t>SNHx,KNHx,ALGAE</t>
    </r>
    <r>
      <rPr>
        <sz val="11"/>
        <rFont val="Calibri"/>
        <family val="2"/>
      </rPr>
      <t xml:space="preserve"> * Msat</t>
    </r>
    <r>
      <rPr>
        <vertAlign val="subscript"/>
        <sz val="11"/>
        <rFont val="Calibri"/>
        <family val="2"/>
      </rPr>
      <t xml:space="preserve">SPO4,KPO4,BIO </t>
    </r>
    <r>
      <rPr>
        <sz val="11"/>
        <rFont val="Calibri"/>
        <family val="2"/>
      </rPr>
      <t>* Msat</t>
    </r>
    <r>
      <rPr>
        <vertAlign val="subscript"/>
        <sz val="11"/>
        <rFont val="Calibri"/>
        <family val="2"/>
      </rPr>
      <t xml:space="preserve">SALK,KALK </t>
    </r>
    <r>
      <rPr>
        <sz val="11"/>
        <rFont val="Calibri"/>
        <family val="2"/>
      </rPr>
      <t xml:space="preserve">* LightSwitch </t>
    </r>
  </si>
  <si>
    <r>
      <t>K</t>
    </r>
    <r>
      <rPr>
        <vertAlign val="subscript"/>
        <sz val="11"/>
        <rFont val="Calibri"/>
        <family val="2"/>
        <scheme val="minor"/>
      </rPr>
      <t>NHx,ALGAE</t>
    </r>
  </si>
  <si>
    <r>
      <t>Half-saturation of NH</t>
    </r>
    <r>
      <rPr>
        <vertAlign val="subscript"/>
        <sz val="11"/>
        <color rgb="FF000000"/>
        <rFont val="Calibri"/>
        <family val="2"/>
        <scheme val="minor"/>
      </rPr>
      <t>x</t>
    </r>
    <r>
      <rPr>
        <sz val="11"/>
        <color rgb="FF000000"/>
        <rFont val="Calibri"/>
        <family val="2"/>
        <charset val="238"/>
        <scheme val="minor"/>
      </rPr>
      <t xml:space="preserve"> for ALGAE</t>
    </r>
  </si>
  <si>
    <r>
      <t>Msat</t>
    </r>
    <r>
      <rPr>
        <vertAlign val="subscript"/>
        <sz val="11"/>
        <rFont val="Calibri"/>
        <family val="2"/>
        <scheme val="minor"/>
      </rPr>
      <t>SNHx,KNHx,ALGAE</t>
    </r>
  </si>
  <si>
    <r>
      <t>Msat(S</t>
    </r>
    <r>
      <rPr>
        <vertAlign val="subscript"/>
        <sz val="11"/>
        <rFont val="Calibri"/>
        <family val="2"/>
        <scheme val="minor"/>
      </rPr>
      <t>NHx</t>
    </r>
    <r>
      <rPr>
        <sz val="11"/>
        <rFont val="Calibri"/>
        <family val="2"/>
        <scheme val="minor"/>
      </rPr>
      <t>;K</t>
    </r>
    <r>
      <rPr>
        <vertAlign val="subscript"/>
        <sz val="11"/>
        <rFont val="Calibri"/>
        <family val="2"/>
        <scheme val="minor"/>
      </rPr>
      <t>NHx,ALGAE</t>
    </r>
    <r>
      <rPr>
        <sz val="11"/>
        <rFont val="Calibri"/>
        <family val="2"/>
        <scheme val="minor"/>
      </rPr>
      <t>)</t>
    </r>
  </si>
  <si>
    <r>
      <t>θ</t>
    </r>
    <r>
      <rPr>
        <vertAlign val="subscript"/>
        <sz val="11"/>
        <color indexed="8"/>
        <rFont val="Calibri"/>
        <family val="2"/>
        <scheme val="minor"/>
      </rPr>
      <t>µ,ALGAE</t>
    </r>
  </si>
  <si>
    <t>Arrhenius coefficient for ALGAE growth</t>
  </si>
  <si>
    <r>
      <t>θ</t>
    </r>
    <r>
      <rPr>
        <vertAlign val="subscript"/>
        <sz val="11"/>
        <color indexed="8"/>
        <rFont val="Calibri"/>
        <family val="2"/>
        <scheme val="minor"/>
      </rPr>
      <t>b,ALGAE</t>
    </r>
  </si>
  <si>
    <t>Arrhenius coefficient for ALGAE decay</t>
  </si>
  <si>
    <r>
      <t>µ</t>
    </r>
    <r>
      <rPr>
        <vertAlign val="subscript"/>
        <sz val="11"/>
        <color indexed="8"/>
        <rFont val="Calibri"/>
        <family val="2"/>
      </rPr>
      <t>ALGAE</t>
    </r>
    <r>
      <rPr>
        <sz val="11"/>
        <color indexed="8"/>
        <rFont val="Calibri"/>
        <family val="2"/>
      </rPr>
      <t>*Arrh(θ</t>
    </r>
    <r>
      <rPr>
        <vertAlign val="subscript"/>
        <sz val="11"/>
        <color indexed="8"/>
        <rFont val="Calibri"/>
        <family val="2"/>
      </rPr>
      <t>µ,ALGAE</t>
    </r>
    <r>
      <rPr>
        <sz val="11"/>
        <color indexed="8"/>
        <rFont val="Calibri"/>
        <family val="2"/>
      </rPr>
      <t>; T; T</t>
    </r>
    <r>
      <rPr>
        <vertAlign val="subscript"/>
        <sz val="11"/>
        <color indexed="8"/>
        <rFont val="Calibri"/>
        <family val="2"/>
      </rPr>
      <t>base</t>
    </r>
    <r>
      <rPr>
        <sz val="11"/>
        <color indexed="8"/>
        <rFont val="Calibri"/>
        <family val="2"/>
      </rPr>
      <t>)</t>
    </r>
  </si>
  <si>
    <r>
      <t>b</t>
    </r>
    <r>
      <rPr>
        <vertAlign val="subscript"/>
        <sz val="11"/>
        <color indexed="8"/>
        <rFont val="Calibri"/>
        <family val="2"/>
      </rPr>
      <t>ALGAE</t>
    </r>
    <r>
      <rPr>
        <sz val="11"/>
        <color indexed="8"/>
        <rFont val="Calibri"/>
        <family val="2"/>
      </rPr>
      <t>*Arrh(θ</t>
    </r>
    <r>
      <rPr>
        <vertAlign val="subscript"/>
        <sz val="11"/>
        <color indexed="8"/>
        <rFont val="Calibri"/>
        <family val="2"/>
      </rPr>
      <t>b,ALGAE</t>
    </r>
    <r>
      <rPr>
        <sz val="11"/>
        <color indexed="8"/>
        <rFont val="Calibri"/>
        <family val="2"/>
      </rPr>
      <t>;T;T</t>
    </r>
    <r>
      <rPr>
        <vertAlign val="subscript"/>
        <sz val="11"/>
        <color indexed="8"/>
        <rFont val="Calibri"/>
        <family val="2"/>
      </rPr>
      <t>base</t>
    </r>
    <r>
      <rPr>
        <sz val="11"/>
        <color indexed="8"/>
        <rFont val="Calibri"/>
        <family val="2"/>
      </rPr>
      <t>)</t>
    </r>
  </si>
  <si>
    <r>
      <t>-(v2_S</t>
    </r>
    <r>
      <rPr>
        <vertAlign val="subscript"/>
        <sz val="11"/>
        <rFont val="Calibri"/>
        <family val="2"/>
      </rPr>
      <t>NOx</t>
    </r>
    <r>
      <rPr>
        <sz val="11"/>
        <rFont val="Calibri"/>
        <family val="2"/>
      </rPr>
      <t>*r2+v19_S</t>
    </r>
    <r>
      <rPr>
        <vertAlign val="subscript"/>
        <sz val="11"/>
        <rFont val="Calibri"/>
        <family val="2"/>
      </rPr>
      <t>NOx</t>
    </r>
    <r>
      <rPr>
        <sz val="11"/>
        <rFont val="Calibri"/>
        <family val="2"/>
      </rPr>
      <t>*r19)</t>
    </r>
  </si>
  <si>
    <r>
      <t>-(i</t>
    </r>
    <r>
      <rPr>
        <vertAlign val="subscript"/>
        <sz val="11"/>
        <rFont val="Calibri"/>
        <family val="2"/>
      </rPr>
      <t>N,BIO</t>
    </r>
    <r>
      <rPr>
        <sz val="11"/>
        <rFont val="Calibri"/>
        <family val="2"/>
      </rPr>
      <t>*(r1+r2+r6+r8)+v4_S</t>
    </r>
    <r>
      <rPr>
        <vertAlign val="subscript"/>
        <sz val="11"/>
        <rFont val="Calibri"/>
        <family val="2"/>
      </rPr>
      <t>NHx</t>
    </r>
    <r>
      <rPr>
        <sz val="11"/>
        <rFont val="Calibri"/>
        <family val="2"/>
      </rPr>
      <t>*r4+v16_S</t>
    </r>
    <r>
      <rPr>
        <vertAlign val="subscript"/>
        <sz val="11"/>
        <rFont val="Calibri"/>
        <family val="2"/>
      </rPr>
      <t>NHx</t>
    </r>
    <r>
      <rPr>
        <sz val="11"/>
        <rFont val="Calibri"/>
        <family val="2"/>
      </rPr>
      <t>*r16+v19_S</t>
    </r>
    <r>
      <rPr>
        <vertAlign val="subscript"/>
        <sz val="11"/>
        <rFont val="Calibri"/>
        <family val="2"/>
      </rPr>
      <t>NHx</t>
    </r>
    <r>
      <rPr>
        <sz val="11"/>
        <rFont val="Calibri"/>
        <family val="2"/>
      </rPr>
      <t>*r19)</t>
    </r>
  </si>
  <si>
    <t>Saturation term for NOx (ALGAE)</t>
  </si>
  <si>
    <t>Saturation term for NHx (ALGAE)</t>
  </si>
  <si>
    <t>Half-saturation of particulate unbiodegradable organics</t>
  </si>
  <si>
    <r>
      <t>X</t>
    </r>
    <r>
      <rPr>
        <vertAlign val="subscript"/>
        <sz val="11"/>
        <rFont val="Calibri"/>
        <family val="2"/>
        <scheme val="minor"/>
      </rPr>
      <t>HET</t>
    </r>
  </si>
  <si>
    <t>COD of heterotrophs</t>
  </si>
  <si>
    <r>
      <t>X</t>
    </r>
    <r>
      <rPr>
        <vertAlign val="subscript"/>
        <sz val="11"/>
        <rFont val="Calibri"/>
        <family val="2"/>
        <scheme val="minor"/>
      </rPr>
      <t>OHO</t>
    </r>
    <r>
      <rPr>
        <sz val="11"/>
        <rFont val="Calibri"/>
        <family val="2"/>
        <scheme val="minor"/>
      </rPr>
      <t xml:space="preserve"> + X</t>
    </r>
    <r>
      <rPr>
        <vertAlign val="subscript"/>
        <sz val="11"/>
        <rFont val="Calibri"/>
        <family val="2"/>
        <scheme val="minor"/>
      </rPr>
      <t>AMETO</t>
    </r>
  </si>
  <si>
    <r>
      <t>MRsat</t>
    </r>
    <r>
      <rPr>
        <vertAlign val="subscript"/>
        <sz val="11"/>
        <rFont val="Calibri"/>
        <family val="2"/>
        <scheme val="minor"/>
      </rPr>
      <t>XB,XHET,KHYD</t>
    </r>
  </si>
  <si>
    <r>
      <t>MRsat(X</t>
    </r>
    <r>
      <rPr>
        <vertAlign val="subscript"/>
        <sz val="11"/>
        <rFont val="Calibri"/>
        <family val="2"/>
      </rPr>
      <t>B</t>
    </r>
    <r>
      <rPr>
        <sz val="11"/>
        <rFont val="Calibri"/>
        <family val="2"/>
      </rPr>
      <t>;X</t>
    </r>
    <r>
      <rPr>
        <vertAlign val="subscript"/>
        <sz val="11"/>
        <rFont val="Calibri"/>
        <family val="2"/>
      </rPr>
      <t>HET</t>
    </r>
    <r>
      <rPr>
        <sz val="11"/>
        <rFont val="Calibri"/>
        <family val="2"/>
      </rPr>
      <t>;K</t>
    </r>
    <r>
      <rPr>
        <vertAlign val="subscript"/>
        <sz val="11"/>
        <rFont val="Calibri"/>
        <family val="2"/>
      </rPr>
      <t>HYD</t>
    </r>
    <r>
      <rPr>
        <sz val="11"/>
        <rFont val="Calibri"/>
        <family val="2"/>
      </rPr>
      <t>)</t>
    </r>
  </si>
  <si>
    <r>
      <t>q</t>
    </r>
    <r>
      <rPr>
        <vertAlign val="subscript"/>
        <sz val="11"/>
        <color indexed="8"/>
        <rFont val="Calibri"/>
        <family val="2"/>
      </rPr>
      <t>AMMON,T</t>
    </r>
    <r>
      <rPr>
        <sz val="11"/>
        <color indexed="8"/>
        <rFont val="Calibri"/>
        <family val="2"/>
      </rPr>
      <t>*S</t>
    </r>
    <r>
      <rPr>
        <vertAlign val="subscript"/>
        <sz val="11"/>
        <color indexed="8"/>
        <rFont val="Calibri"/>
        <family val="2"/>
      </rPr>
      <t>N,B</t>
    </r>
    <r>
      <rPr>
        <sz val="11"/>
        <color indexed="8"/>
        <rFont val="Calibri"/>
        <family val="2"/>
      </rPr>
      <t>*X</t>
    </r>
    <r>
      <rPr>
        <vertAlign val="subscript"/>
        <sz val="11"/>
        <color indexed="8"/>
        <rFont val="Calibri"/>
        <family val="2"/>
      </rPr>
      <t>HET</t>
    </r>
  </si>
  <si>
    <r>
      <t>-EEQ</t>
    </r>
    <r>
      <rPr>
        <vertAlign val="subscript"/>
        <sz val="11"/>
        <rFont val="Calibri"/>
        <family val="2"/>
      </rPr>
      <t>NO3</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</si>
  <si>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NITO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</si>
  <si>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</si>
  <si>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</si>
  <si>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</si>
  <si>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1+(i</t>
    </r>
    <r>
      <rPr>
        <vertAlign val="subscript"/>
        <sz val="11"/>
        <rFont val="Calibri"/>
        <family val="2"/>
      </rPr>
      <t>N,BIO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N,ALGAE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</si>
  <si>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P,BIO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P,ALGAE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</si>
  <si>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(1+(i</t>
    </r>
    <r>
      <rPr>
        <vertAlign val="subscript"/>
        <sz val="11"/>
        <color rgb="FF000000"/>
        <rFont val="Calibri"/>
        <family val="2"/>
      </rPr>
      <t>N,BIO</t>
    </r>
    <r>
      <rPr>
        <sz val="11"/>
        <color indexed="8"/>
        <rFont val="Calibri"/>
        <family val="2"/>
      </rPr>
      <t>*EEQ</t>
    </r>
    <r>
      <rPr>
        <vertAlign val="subscript"/>
        <sz val="11"/>
        <color rgb="FF000000"/>
        <rFont val="Calibri"/>
        <family val="2"/>
      </rPr>
      <t>NO3</t>
    </r>
    <r>
      <rPr>
        <sz val="11"/>
        <color indexed="8"/>
        <rFont val="Calibri"/>
        <family val="2"/>
      </rPr>
      <t>*(X</t>
    </r>
    <r>
      <rPr>
        <vertAlign val="subscript"/>
        <sz val="11"/>
        <color rgb="FF000000"/>
        <rFont val="Calibri"/>
        <family val="2"/>
      </rPr>
      <t>BIO</t>
    </r>
    <r>
      <rPr>
        <sz val="11"/>
        <color indexed="8"/>
        <rFont val="Calibri"/>
        <family val="2"/>
      </rPr>
      <t>-X</t>
    </r>
    <r>
      <rPr>
        <vertAlign val="subscript"/>
        <sz val="11"/>
        <color rgb="FF000000"/>
        <rFont val="Calibri"/>
        <family val="2"/>
      </rPr>
      <t>ALGAE</t>
    </r>
    <r>
      <rPr>
        <sz val="11"/>
        <color indexed="8"/>
        <rFont val="Calibri"/>
        <family val="2"/>
      </rPr>
      <t>)+i</t>
    </r>
    <r>
      <rPr>
        <vertAlign val="subscript"/>
        <sz val="11"/>
        <color rgb="FF000000"/>
        <rFont val="Calibri"/>
        <family val="2"/>
      </rPr>
      <t>N,ALGAE</t>
    </r>
    <r>
      <rPr>
        <sz val="11"/>
        <color indexed="8"/>
        <rFont val="Calibri"/>
        <family val="2"/>
      </rPr>
      <t>*EEQ</t>
    </r>
    <r>
      <rPr>
        <vertAlign val="subscript"/>
        <sz val="11"/>
        <color rgb="FF000000"/>
        <rFont val="Calibri"/>
        <family val="2"/>
      </rPr>
      <t>NO3</t>
    </r>
    <r>
      <rPr>
        <sz val="11"/>
        <color indexed="8"/>
        <rFont val="Calibri"/>
        <family val="2"/>
      </rPr>
      <t>*X</t>
    </r>
    <r>
      <rPr>
        <vertAlign val="subscript"/>
        <sz val="11"/>
        <color rgb="FF000000"/>
        <rFont val="Calibri"/>
        <family val="2"/>
      </rPr>
      <t>ALGAE</t>
    </r>
    <r>
      <rPr>
        <sz val="11"/>
        <color indexed="8"/>
        <rFont val="Calibri"/>
        <family val="2"/>
      </rPr>
      <t>)/X</t>
    </r>
    <r>
      <rPr>
        <vertAlign val="subscript"/>
        <sz val="11"/>
        <color rgb="FF000000"/>
        <rFont val="Calibri"/>
        <family val="2"/>
      </rPr>
      <t>BIO</t>
    </r>
    <r>
      <rPr>
        <sz val="11"/>
        <color rgb="FF000000"/>
        <rFont val="Calibri"/>
        <family val="2"/>
      </rPr>
      <t>)</t>
    </r>
    <r>
      <rPr>
        <sz val="11"/>
        <color indexed="8"/>
        <rFont val="Calibri"/>
        <family val="2"/>
      </rPr>
      <t>*CH</t>
    </r>
    <r>
      <rPr>
        <vertAlign val="subscript"/>
        <sz val="11"/>
        <color indexed="8"/>
        <rFont val="Calibri"/>
        <family val="2"/>
      </rPr>
      <t>NHx</t>
    </r>
    <r>
      <rPr>
        <sz val="11"/>
        <color indexed="8"/>
        <rFont val="Calibri"/>
        <family val="2"/>
      </rPr>
      <t>-CH</t>
    </r>
    <r>
      <rPr>
        <vertAlign val="subscript"/>
        <sz val="11"/>
        <color indexed="8"/>
        <rFont val="Calibri"/>
        <family val="2"/>
      </rPr>
      <t>NO3</t>
    </r>
    <r>
      <rPr>
        <sz val="11"/>
        <color indexed="8"/>
        <rFont val="Calibri"/>
        <family val="2"/>
      </rPr>
      <t>+(i</t>
    </r>
    <r>
      <rPr>
        <vertAlign val="subscript"/>
        <sz val="11"/>
        <color rgb="FF000000"/>
        <rFont val="Calibri"/>
        <family val="2"/>
      </rPr>
      <t>P,BIO</t>
    </r>
    <r>
      <rPr>
        <sz val="11"/>
        <color indexed="8"/>
        <rFont val="Calibri"/>
        <family val="2"/>
      </rPr>
      <t>*EEQ</t>
    </r>
    <r>
      <rPr>
        <vertAlign val="subscript"/>
        <sz val="11"/>
        <color rgb="FF000000"/>
        <rFont val="Calibri"/>
        <family val="2"/>
      </rPr>
      <t>NO3</t>
    </r>
    <r>
      <rPr>
        <sz val="11"/>
        <color indexed="8"/>
        <rFont val="Calibri"/>
        <family val="2"/>
      </rPr>
      <t>*(X</t>
    </r>
    <r>
      <rPr>
        <vertAlign val="subscript"/>
        <sz val="11"/>
        <color rgb="FF000000"/>
        <rFont val="Calibri"/>
        <family val="2"/>
      </rPr>
      <t>BIO</t>
    </r>
    <r>
      <rPr>
        <sz val="11"/>
        <color indexed="8"/>
        <rFont val="Calibri"/>
        <family val="2"/>
      </rPr>
      <t>-X</t>
    </r>
    <r>
      <rPr>
        <vertAlign val="subscript"/>
        <sz val="11"/>
        <color rgb="FF000000"/>
        <rFont val="Calibri"/>
        <family val="2"/>
      </rPr>
      <t>ALGAE</t>
    </r>
    <r>
      <rPr>
        <sz val="11"/>
        <color indexed="8"/>
        <rFont val="Calibri"/>
        <family val="2"/>
      </rPr>
      <t>)+i</t>
    </r>
    <r>
      <rPr>
        <vertAlign val="subscript"/>
        <sz val="11"/>
        <color rgb="FF000000"/>
        <rFont val="Calibri"/>
        <family val="2"/>
      </rPr>
      <t>P,ALGAE</t>
    </r>
    <r>
      <rPr>
        <sz val="11"/>
        <color indexed="8"/>
        <rFont val="Calibri"/>
        <family val="2"/>
      </rPr>
      <t>*EEQ</t>
    </r>
    <r>
      <rPr>
        <vertAlign val="subscript"/>
        <sz val="11"/>
        <color rgb="FF000000"/>
        <rFont val="Calibri"/>
        <family val="2"/>
      </rPr>
      <t>NO3</t>
    </r>
    <r>
      <rPr>
        <sz val="11"/>
        <color indexed="8"/>
        <rFont val="Calibri"/>
        <family val="2"/>
      </rPr>
      <t>*X</t>
    </r>
    <r>
      <rPr>
        <vertAlign val="subscript"/>
        <sz val="11"/>
        <color rgb="FF000000"/>
        <rFont val="Calibri"/>
        <family val="2"/>
      </rPr>
      <t>ALGAE</t>
    </r>
    <r>
      <rPr>
        <sz val="11"/>
        <color indexed="8"/>
        <rFont val="Calibri"/>
        <family val="2"/>
      </rPr>
      <t>)/X</t>
    </r>
    <r>
      <rPr>
        <vertAlign val="subscript"/>
        <sz val="11"/>
        <color rgb="FF000000"/>
        <rFont val="Calibri"/>
        <family val="2"/>
      </rPr>
      <t>BIO</t>
    </r>
    <r>
      <rPr>
        <sz val="11"/>
        <color indexed="8"/>
        <rFont val="Calibri"/>
        <family val="2"/>
      </rPr>
      <t>*CH</t>
    </r>
    <r>
      <rPr>
        <vertAlign val="subscript"/>
        <sz val="11"/>
        <color indexed="8"/>
        <rFont val="Calibri"/>
        <family val="2"/>
      </rPr>
      <t>PO4</t>
    </r>
  </si>
  <si>
    <r>
      <t>q</t>
    </r>
    <r>
      <rPr>
        <vertAlign val="subscript"/>
        <sz val="11"/>
        <rFont val="Calibri"/>
        <family val="2"/>
      </rPr>
      <t>ASSIM,T</t>
    </r>
    <r>
      <rPr>
        <sz val="11"/>
        <rFont val="Calibri"/>
        <family val="2"/>
      </rPr>
      <t>*Msat</t>
    </r>
    <r>
      <rPr>
        <vertAlign val="subscript"/>
        <sz val="11"/>
        <rFont val="Calibri"/>
        <family val="2"/>
      </rPr>
      <t>SNOx,KNOx,ASSIM</t>
    </r>
    <r>
      <rPr>
        <sz val="11"/>
        <rFont val="Calibri"/>
        <family val="2"/>
      </rPr>
      <t>*Minh</t>
    </r>
    <r>
      <rPr>
        <vertAlign val="subscript"/>
        <sz val="11"/>
        <rFont val="Calibri"/>
        <family val="2"/>
      </rPr>
      <t>SNHx,KiNHx,ASSIM</t>
    </r>
    <r>
      <rPr>
        <sz val="11"/>
        <rFont val="Calibri"/>
        <family val="2"/>
      </rPr>
      <t>*X</t>
    </r>
    <r>
      <rPr>
        <vertAlign val="subscript"/>
        <sz val="11"/>
        <rFont val="Calibri"/>
        <family val="2"/>
      </rPr>
      <t>BIO</t>
    </r>
  </si>
  <si>
    <r>
      <t>Loginhswitch(X</t>
    </r>
    <r>
      <rPr>
        <vertAlign val="subscript"/>
        <sz val="11"/>
        <color rgb="FF000000"/>
        <rFont val="Calibri"/>
        <family val="2"/>
      </rPr>
      <t>TSS</t>
    </r>
    <r>
      <rPr>
        <sz val="11"/>
        <color indexed="8"/>
        <rFont val="Calibri"/>
        <family val="2"/>
      </rPr>
      <t>/K</t>
    </r>
    <r>
      <rPr>
        <vertAlign val="subscript"/>
        <sz val="11"/>
        <color rgb="FF000000"/>
        <rFont val="Calibri"/>
        <family val="2"/>
      </rPr>
      <t>XTSS,lightextinction</t>
    </r>
    <r>
      <rPr>
        <sz val="11"/>
        <color indexed="8"/>
        <rFont val="Calibri"/>
        <family val="2"/>
      </rPr>
      <t>; 1; 100) * Logsatswitch(J</t>
    </r>
    <r>
      <rPr>
        <vertAlign val="subscript"/>
        <sz val="11"/>
        <color rgb="FF000000"/>
        <rFont val="Calibri"/>
        <family val="2"/>
      </rPr>
      <t>photosynt,solar/</t>
    </r>
    <r>
      <rPr>
        <sz val="11"/>
        <color indexed="8"/>
        <rFont val="Calibri"/>
        <family val="2"/>
      </rPr>
      <t>J</t>
    </r>
    <r>
      <rPr>
        <vertAlign val="subscript"/>
        <sz val="11"/>
        <color rgb="FF000000"/>
        <rFont val="Calibri"/>
        <family val="2"/>
      </rPr>
      <t>photosynt,solar,opt</t>
    </r>
    <r>
      <rPr>
        <sz val="11"/>
        <color indexed="8"/>
        <rFont val="Calibri"/>
        <family val="2"/>
      </rPr>
      <t>;1;100)</t>
    </r>
  </si>
  <si>
    <r>
      <t>J</t>
    </r>
    <r>
      <rPr>
        <vertAlign val="subscript"/>
        <sz val="11"/>
        <rFont val="Calibri"/>
        <family val="2"/>
        <scheme val="minor"/>
      </rPr>
      <t>photosynt,solar</t>
    </r>
  </si>
  <si>
    <r>
      <t>J</t>
    </r>
    <r>
      <rPr>
        <vertAlign val="subscript"/>
        <sz val="11"/>
        <rFont val="Calibri"/>
        <family val="2"/>
        <scheme val="minor"/>
      </rPr>
      <t>photosynt,solar,opt</t>
    </r>
  </si>
  <si>
    <r>
      <t>K</t>
    </r>
    <r>
      <rPr>
        <vertAlign val="subscript"/>
        <sz val="11"/>
        <rFont val="Calibri"/>
        <family val="2"/>
        <scheme val="minor"/>
      </rPr>
      <t>XTSS,lightextinction</t>
    </r>
  </si>
  <si>
    <t>Precipitation</t>
  </si>
  <si>
    <t>SOTECorr_cdisc</t>
  </si>
  <si>
    <t>SOTECorr_mdisc</t>
  </si>
  <si>
    <t>SOTECorr_pdisc</t>
  </si>
  <si>
    <t>SOTECorr_cdome</t>
  </si>
  <si>
    <t>SOTECorr_mtube</t>
  </si>
  <si>
    <t>SOTEFixed_fine</t>
  </si>
  <si>
    <r>
      <t>(S</t>
    </r>
    <r>
      <rPr>
        <vertAlign val="subscript"/>
        <sz val="11"/>
        <rFont val="Calibri"/>
        <family val="2"/>
        <charset val="238"/>
        <scheme val="minor"/>
      </rPr>
      <t>H</t>
    </r>
    <r>
      <rPr>
        <sz val="11"/>
        <rFont val="Calibri"/>
        <family val="2"/>
        <scheme val="minor"/>
      </rPr>
      <t>-H</t>
    </r>
    <r>
      <rPr>
        <vertAlign val="subscript"/>
        <sz val="11"/>
        <rFont val="Calibri"/>
        <family val="2"/>
        <scheme val="minor"/>
      </rPr>
      <t>STP</t>
    </r>
    <r>
      <rPr>
        <sz val="11"/>
        <rFont val="Calibri"/>
        <family val="2"/>
        <scheme val="minor"/>
      </rPr>
      <t>)/c</t>
    </r>
    <r>
      <rPr>
        <vertAlign val="subscript"/>
        <sz val="11"/>
        <rFont val="Calibri"/>
        <family val="2"/>
        <scheme val="minor"/>
      </rPr>
      <t>p,water</t>
    </r>
  </si>
  <si>
    <r>
      <t>S</t>
    </r>
    <r>
      <rPr>
        <b/>
        <vertAlign val="subscript"/>
        <sz val="12"/>
        <rFont val="Calibri"/>
        <family val="2"/>
        <charset val="238"/>
        <scheme val="minor"/>
      </rPr>
      <t>H</t>
    </r>
  </si>
  <si>
    <t>Energy</t>
  </si>
  <si>
    <t>PFAS</t>
  </si>
  <si>
    <t>r33</t>
  </si>
  <si>
    <r>
      <t>X</t>
    </r>
    <r>
      <rPr>
        <vertAlign val="subscript"/>
        <sz val="11"/>
        <rFont val="Calibri"/>
        <family val="2"/>
        <scheme val="minor"/>
      </rPr>
      <t>P</t>
    </r>
  </si>
  <si>
    <t>Particulate phosphorus</t>
  </si>
  <si>
    <r>
      <t>T</t>
    </r>
    <r>
      <rPr>
        <vertAlign val="subscript"/>
        <sz val="11"/>
        <rFont val="Calibri"/>
        <family val="2"/>
        <scheme val="minor"/>
      </rPr>
      <t>P</t>
    </r>
    <r>
      <rPr>
        <sz val="11"/>
        <rFont val="Calibri"/>
        <family val="2"/>
        <scheme val="minor"/>
      </rPr>
      <t>-S</t>
    </r>
    <r>
      <rPr>
        <vertAlign val="subscript"/>
        <sz val="11"/>
        <rFont val="Calibri"/>
        <family val="2"/>
        <scheme val="minor"/>
      </rPr>
      <t>P</t>
    </r>
  </si>
  <si>
    <t>Particulate total nitrogen</t>
  </si>
  <si>
    <r>
      <t>T</t>
    </r>
    <r>
      <rPr>
        <vertAlign val="subscript"/>
        <sz val="11"/>
        <rFont val="Calibri"/>
        <family val="2"/>
        <scheme val="minor"/>
      </rPr>
      <t>KN</t>
    </r>
    <r>
      <rPr>
        <sz val="11"/>
        <rFont val="Calibri"/>
        <family val="2"/>
        <scheme val="minor"/>
      </rPr>
      <t>-S</t>
    </r>
    <r>
      <rPr>
        <vertAlign val="subscript"/>
        <sz val="11"/>
        <rFont val="Calibri"/>
        <family val="2"/>
        <scheme val="minor"/>
      </rPr>
      <t>KN</t>
    </r>
  </si>
  <si>
    <t>to be calibrated (default from Wei et al., DOI: 10.1016/j.ecoenv.2017.03.040)</t>
  </si>
  <si>
    <t>PFOA sorption</t>
  </si>
  <si>
    <t>PFOS sorption</t>
  </si>
  <si>
    <t>r34</t>
  </si>
  <si>
    <t>Sorption rate of PFOA to solids</t>
  </si>
  <si>
    <r>
      <t>q</t>
    </r>
    <r>
      <rPr>
        <vertAlign val="subscript"/>
        <sz val="11"/>
        <rFont val="Calibri"/>
        <family val="2"/>
        <scheme val="minor"/>
      </rPr>
      <t>PFOA,SORP</t>
    </r>
  </si>
  <si>
    <r>
      <t>q</t>
    </r>
    <r>
      <rPr>
        <vertAlign val="subscript"/>
        <sz val="11"/>
        <rFont val="Calibri"/>
        <family val="2"/>
        <scheme val="minor"/>
      </rPr>
      <t>PFOS,SORP</t>
    </r>
  </si>
  <si>
    <t>Sorption rate of PFOS to solids</t>
  </si>
  <si>
    <r>
      <t>K</t>
    </r>
    <r>
      <rPr>
        <vertAlign val="subscript"/>
        <sz val="11"/>
        <rFont val="Calibri"/>
        <family val="2"/>
        <scheme val="minor"/>
      </rPr>
      <t>OC,PFOA,EQ</t>
    </r>
  </si>
  <si>
    <r>
      <t>K</t>
    </r>
    <r>
      <rPr>
        <vertAlign val="subscript"/>
        <sz val="11"/>
        <rFont val="Calibri"/>
        <family val="2"/>
        <scheme val="minor"/>
      </rPr>
      <t>OC,PFOS,EQ</t>
    </r>
  </si>
  <si>
    <t>PFOS organic carbon/water equilibrium distribution coefficient</t>
  </si>
  <si>
    <t>PFOA organic carbon/water equilibrium distribution coefficient</t>
  </si>
  <si>
    <r>
      <t>L.kg</t>
    </r>
    <r>
      <rPr>
        <vertAlign val="superscript"/>
        <sz val="11"/>
        <rFont val="Calibri"/>
        <family val="2"/>
        <scheme val="minor"/>
      </rPr>
      <t>-1</t>
    </r>
  </si>
  <si>
    <r>
      <t>global average log K</t>
    </r>
    <r>
      <rPr>
        <vertAlign val="subscript"/>
        <sz val="11"/>
        <rFont val="Calibri"/>
        <family val="2"/>
        <charset val="238"/>
        <scheme val="minor"/>
      </rPr>
      <t>OC</t>
    </r>
    <r>
      <rPr>
        <sz val="11"/>
        <rFont val="Calibri"/>
        <family val="2"/>
        <scheme val="minor"/>
      </rPr>
      <t xml:space="preserve"> around 3.7 for sewage sludge (Zareitalabad et al., DOI: 10.1016/j.chemosphere.2013.02.024)</t>
    </r>
  </si>
  <si>
    <r>
      <t>global average log K</t>
    </r>
    <r>
      <rPr>
        <vertAlign val="subscript"/>
        <sz val="11"/>
        <rFont val="Calibri"/>
        <family val="2"/>
        <charset val="238"/>
        <scheme val="minor"/>
      </rPr>
      <t>OC</t>
    </r>
    <r>
      <rPr>
        <sz val="11"/>
        <rFont val="Calibri"/>
        <family val="2"/>
        <scheme val="minor"/>
      </rPr>
      <t xml:space="preserve"> around 4.3 for sewage sludge (Zareitalabad et al., DOI: 10.1016/j.chemosphere.2013.02.024)</t>
    </r>
  </si>
  <si>
    <r>
      <t>q</t>
    </r>
    <r>
      <rPr>
        <vertAlign val="subscript"/>
        <sz val="11"/>
        <rFont val="Calibri"/>
        <family val="2"/>
      </rPr>
      <t>PFOA,SORP</t>
    </r>
    <r>
      <rPr>
        <sz val="11"/>
        <rFont val="Calibri"/>
        <family val="2"/>
      </rPr>
      <t>*</t>
    </r>
    <r>
      <rPr>
        <sz val="11"/>
        <rFont val="Calibri"/>
        <family val="2"/>
        <charset val="238"/>
      </rPr>
      <t>(S</t>
    </r>
    <r>
      <rPr>
        <vertAlign val="subscript"/>
        <sz val="11"/>
        <rFont val="Calibri"/>
        <family val="2"/>
        <charset val="238"/>
      </rPr>
      <t>PFOA</t>
    </r>
    <r>
      <rPr>
        <sz val="11"/>
        <rFont val="Calibri"/>
        <family val="2"/>
        <charset val="238"/>
      </rPr>
      <t xml:space="preserve"> - (X</t>
    </r>
    <r>
      <rPr>
        <vertAlign val="subscript"/>
        <sz val="11"/>
        <rFont val="Calibri"/>
        <family val="2"/>
        <charset val="238"/>
      </rPr>
      <t>PFOA</t>
    </r>
    <r>
      <rPr>
        <sz val="11"/>
        <rFont val="Calibri"/>
        <family val="2"/>
        <charset val="238"/>
      </rPr>
      <t>/X</t>
    </r>
    <r>
      <rPr>
        <vertAlign val="subscript"/>
        <sz val="11"/>
        <rFont val="Calibri"/>
        <family val="2"/>
        <charset val="238"/>
      </rPr>
      <t>VSS</t>
    </r>
    <r>
      <rPr>
        <sz val="11"/>
        <rFont val="Calibri"/>
        <family val="2"/>
        <charset val="238"/>
      </rPr>
      <t>)*(c</t>
    </r>
    <r>
      <rPr>
        <vertAlign val="subscript"/>
        <sz val="11"/>
        <rFont val="Calibri"/>
        <family val="2"/>
        <charset val="238"/>
      </rPr>
      <t>g,kg</t>
    </r>
    <r>
      <rPr>
        <sz val="11"/>
        <rFont val="Calibri"/>
        <family val="2"/>
        <charset val="238"/>
      </rPr>
      <t>*c</t>
    </r>
    <r>
      <rPr>
        <vertAlign val="subscript"/>
        <sz val="11"/>
        <rFont val="Calibri"/>
        <family val="2"/>
        <charset val="238"/>
      </rPr>
      <t>mg,g</t>
    </r>
    <r>
      <rPr>
        <sz val="11"/>
        <rFont val="Calibri"/>
        <family val="2"/>
        <charset val="238"/>
      </rPr>
      <t>)/K</t>
    </r>
    <r>
      <rPr>
        <vertAlign val="subscript"/>
        <sz val="11"/>
        <rFont val="Calibri"/>
        <family val="2"/>
        <charset val="238"/>
      </rPr>
      <t>OC,PFOA,EQ</t>
    </r>
    <r>
      <rPr>
        <sz val="11"/>
        <rFont val="Calibri"/>
        <family val="2"/>
        <charset val="238"/>
      </rPr>
      <t>)</t>
    </r>
  </si>
  <si>
    <r>
      <t>q</t>
    </r>
    <r>
      <rPr>
        <vertAlign val="subscript"/>
        <sz val="11"/>
        <rFont val="Calibri"/>
        <family val="2"/>
      </rPr>
      <t>PFOS,SORP</t>
    </r>
    <r>
      <rPr>
        <sz val="11"/>
        <rFont val="Calibri"/>
        <family val="2"/>
      </rPr>
      <t>*</t>
    </r>
    <r>
      <rPr>
        <sz val="11"/>
        <rFont val="Calibri"/>
        <family val="2"/>
        <charset val="238"/>
      </rPr>
      <t>(S</t>
    </r>
    <r>
      <rPr>
        <vertAlign val="subscript"/>
        <sz val="11"/>
        <rFont val="Calibri"/>
        <family val="2"/>
        <charset val="238"/>
      </rPr>
      <t>PFOS</t>
    </r>
    <r>
      <rPr>
        <sz val="11"/>
        <rFont val="Calibri"/>
        <family val="2"/>
        <charset val="238"/>
      </rPr>
      <t xml:space="preserve"> - (X</t>
    </r>
    <r>
      <rPr>
        <vertAlign val="subscript"/>
        <sz val="11"/>
        <rFont val="Calibri"/>
        <family val="2"/>
        <charset val="238"/>
      </rPr>
      <t>PFOS</t>
    </r>
    <r>
      <rPr>
        <sz val="11"/>
        <rFont val="Calibri"/>
        <family val="2"/>
        <charset val="238"/>
      </rPr>
      <t>/X</t>
    </r>
    <r>
      <rPr>
        <vertAlign val="subscript"/>
        <sz val="11"/>
        <rFont val="Calibri"/>
        <family val="2"/>
        <charset val="238"/>
      </rPr>
      <t>VSS</t>
    </r>
    <r>
      <rPr>
        <sz val="11"/>
        <rFont val="Calibri"/>
        <family val="2"/>
        <charset val="238"/>
      </rPr>
      <t>)*(c</t>
    </r>
    <r>
      <rPr>
        <vertAlign val="subscript"/>
        <sz val="11"/>
        <rFont val="Calibri"/>
        <family val="2"/>
        <charset val="238"/>
      </rPr>
      <t>g,kg</t>
    </r>
    <r>
      <rPr>
        <sz val="11"/>
        <rFont val="Calibri"/>
        <family val="2"/>
        <charset val="238"/>
      </rPr>
      <t>*c</t>
    </r>
    <r>
      <rPr>
        <vertAlign val="subscript"/>
        <sz val="11"/>
        <rFont val="Calibri"/>
        <family val="2"/>
        <charset val="238"/>
      </rPr>
      <t>mg,g</t>
    </r>
    <r>
      <rPr>
        <sz val="11"/>
        <rFont val="Calibri"/>
        <family val="2"/>
        <charset val="238"/>
      </rPr>
      <t>)/K</t>
    </r>
    <r>
      <rPr>
        <vertAlign val="subscript"/>
        <sz val="11"/>
        <rFont val="Calibri"/>
        <family val="2"/>
        <charset val="238"/>
      </rPr>
      <t>OC,PFOS,EQ</t>
    </r>
    <r>
      <rPr>
        <sz val="11"/>
        <rFont val="Calibri"/>
        <family val="2"/>
        <charset val="238"/>
      </rPr>
      <t>)</t>
    </r>
  </si>
  <si>
    <r>
      <t>S</t>
    </r>
    <r>
      <rPr>
        <b/>
        <vertAlign val="subscript"/>
        <sz val="11"/>
        <rFont val="Calibri"/>
        <family val="2"/>
      </rPr>
      <t>PFOA</t>
    </r>
  </si>
  <si>
    <r>
      <t>S</t>
    </r>
    <r>
      <rPr>
        <b/>
        <vertAlign val="subscript"/>
        <sz val="11"/>
        <rFont val="Calibri"/>
        <family val="2"/>
      </rPr>
      <t>PFOS</t>
    </r>
  </si>
  <si>
    <r>
      <t>X</t>
    </r>
    <r>
      <rPr>
        <b/>
        <vertAlign val="subscript"/>
        <sz val="11"/>
        <rFont val="Calibri"/>
        <family val="2"/>
      </rPr>
      <t>PFOA</t>
    </r>
  </si>
  <si>
    <r>
      <t>X</t>
    </r>
    <r>
      <rPr>
        <b/>
        <vertAlign val="subscript"/>
        <sz val="11"/>
        <rFont val="Calibri"/>
        <family val="2"/>
      </rPr>
      <t>PFOS</t>
    </r>
  </si>
  <si>
    <r>
      <t>g PFAS.m</t>
    </r>
    <r>
      <rPr>
        <vertAlign val="superscript"/>
        <sz val="11"/>
        <color theme="1"/>
        <rFont val="Calibri"/>
        <family val="2"/>
        <charset val="238"/>
        <scheme val="minor"/>
      </rPr>
      <t>-3</t>
    </r>
  </si>
  <si>
    <t>Dissolved Perfluorooctanoic Acid (PFOA)</t>
  </si>
  <si>
    <t>Adsorbed Perfluorooctanoic Acid (PFOA)</t>
  </si>
  <si>
    <t>Dissolved Perfluorooctyl Sulfonate (PFOS)</t>
  </si>
  <si>
    <t>Adsorbed Perfluorooctyl Sulfonate (PFOS)</t>
  </si>
  <si>
    <r>
      <t>S</t>
    </r>
    <r>
      <rPr>
        <b/>
        <vertAlign val="subscript"/>
        <sz val="12"/>
        <rFont val="Calibri"/>
        <family val="2"/>
        <charset val="238"/>
        <scheme val="minor"/>
      </rPr>
      <t>PFOA</t>
    </r>
  </si>
  <si>
    <r>
      <t>X</t>
    </r>
    <r>
      <rPr>
        <b/>
        <vertAlign val="subscript"/>
        <sz val="12"/>
        <rFont val="Calibri"/>
        <family val="2"/>
        <charset val="238"/>
        <scheme val="minor"/>
      </rPr>
      <t>PFOA</t>
    </r>
  </si>
  <si>
    <r>
      <t>S</t>
    </r>
    <r>
      <rPr>
        <b/>
        <vertAlign val="subscript"/>
        <sz val="12"/>
        <rFont val="Calibri"/>
        <family val="2"/>
        <charset val="238"/>
        <scheme val="minor"/>
      </rPr>
      <t>PFOS</t>
    </r>
  </si>
  <si>
    <r>
      <t>X</t>
    </r>
    <r>
      <rPr>
        <b/>
        <vertAlign val="subscript"/>
        <sz val="12"/>
        <rFont val="Calibri"/>
        <family val="2"/>
        <charset val="238"/>
        <scheme val="minor"/>
      </rPr>
      <t>PFOS</t>
    </r>
  </si>
  <si>
    <r>
      <t>T</t>
    </r>
    <r>
      <rPr>
        <vertAlign val="subscript"/>
        <sz val="11"/>
        <rFont val="Calibri"/>
        <family val="2"/>
      </rPr>
      <t>PFOA</t>
    </r>
  </si>
  <si>
    <r>
      <t>T</t>
    </r>
    <r>
      <rPr>
        <vertAlign val="subscript"/>
        <sz val="11"/>
        <rFont val="Calibri"/>
        <family val="2"/>
      </rPr>
      <t>PFOS</t>
    </r>
  </si>
  <si>
    <t>Total PFOS</t>
  </si>
  <si>
    <t>Total PFOA</t>
  </si>
  <si>
    <r>
      <t>g PFAS.m</t>
    </r>
    <r>
      <rPr>
        <vertAlign val="superscript"/>
        <sz val="11"/>
        <rFont val="Calibri"/>
        <family val="2"/>
        <scheme val="minor"/>
      </rPr>
      <t>-3</t>
    </r>
  </si>
  <si>
    <r>
      <t>S</t>
    </r>
    <r>
      <rPr>
        <vertAlign val="subscript"/>
        <sz val="11"/>
        <rFont val="Calibri"/>
        <family val="2"/>
        <scheme val="minor"/>
      </rPr>
      <t>PFOA</t>
    </r>
    <r>
      <rPr>
        <sz val="11"/>
        <rFont val="Calibri"/>
        <family val="2"/>
        <scheme val="minor"/>
      </rPr>
      <t xml:space="preserve"> + X</t>
    </r>
    <r>
      <rPr>
        <vertAlign val="subscript"/>
        <sz val="11"/>
        <rFont val="Calibri"/>
        <family val="2"/>
        <scheme val="minor"/>
      </rPr>
      <t>PFOA</t>
    </r>
  </si>
  <si>
    <r>
      <t>S</t>
    </r>
    <r>
      <rPr>
        <vertAlign val="subscript"/>
        <sz val="11"/>
        <rFont val="Calibri"/>
        <family val="2"/>
        <scheme val="minor"/>
      </rPr>
      <t>PFOS</t>
    </r>
    <r>
      <rPr>
        <sz val="11"/>
        <rFont val="Calibri"/>
        <family val="2"/>
        <scheme val="minor"/>
      </rPr>
      <t xml:space="preserve"> + X</t>
    </r>
    <r>
      <rPr>
        <vertAlign val="subscript"/>
        <sz val="11"/>
        <rFont val="Calibri"/>
        <family val="2"/>
        <scheme val="minor"/>
      </rPr>
      <t>PFOS</t>
    </r>
  </si>
  <si>
    <r>
      <t>X</t>
    </r>
    <r>
      <rPr>
        <vertAlign val="subscript"/>
        <sz val="11"/>
        <rFont val="Calibri"/>
        <family val="2"/>
        <scheme val="minor"/>
      </rPr>
      <t>KN</t>
    </r>
  </si>
  <si>
    <r>
      <t>Msat</t>
    </r>
    <r>
      <rPr>
        <vertAlign val="subscript"/>
        <sz val="11"/>
        <rFont val="Calibri"/>
        <family val="2"/>
        <scheme val="minor"/>
      </rPr>
      <t>XB,KXB,HYD</t>
    </r>
  </si>
  <si>
    <t>Saturation term for slowly biodegradable substrate in low biomass condition (hydrolysis)</t>
  </si>
  <si>
    <r>
      <t>Msat(X</t>
    </r>
    <r>
      <rPr>
        <vertAlign val="subscript"/>
        <sz val="11"/>
        <rFont val="Calibri"/>
        <family val="2"/>
        <scheme val="minor"/>
      </rPr>
      <t>B</t>
    </r>
    <r>
      <rPr>
        <sz val="11"/>
        <rFont val="Calibri"/>
        <family val="2"/>
        <scheme val="minor"/>
      </rPr>
      <t>;K</t>
    </r>
    <r>
      <rPr>
        <vertAlign val="subscript"/>
        <sz val="11"/>
        <rFont val="Calibri"/>
        <family val="2"/>
        <scheme val="minor"/>
      </rPr>
      <t>XB,HYD</t>
    </r>
    <r>
      <rPr>
        <sz val="11"/>
        <rFont val="Calibri"/>
        <family val="2"/>
        <scheme val="minor"/>
      </rPr>
      <t>)</t>
    </r>
  </si>
  <si>
    <r>
      <t>Logslope</t>
    </r>
    <r>
      <rPr>
        <vertAlign val="subscript"/>
        <sz val="11"/>
        <rFont val="Calibri"/>
        <family val="2"/>
        <charset val="238"/>
        <scheme val="minor"/>
      </rPr>
      <t>XHET,HYD,lim</t>
    </r>
  </si>
  <si>
    <r>
      <t>Logisticslope(X</t>
    </r>
    <r>
      <rPr>
        <vertAlign val="subscript"/>
        <sz val="11"/>
        <rFont val="Calibri"/>
        <family val="2"/>
        <scheme val="minor"/>
      </rPr>
      <t>HET,HYD,lim</t>
    </r>
    <r>
      <rPr>
        <sz val="11"/>
        <rFont val="Calibri"/>
        <family val="2"/>
        <scheme val="minor"/>
      </rPr>
      <t>; Logrange</t>
    </r>
    <r>
      <rPr>
        <vertAlign val="subscript"/>
        <sz val="11"/>
        <rFont val="Calibri"/>
        <family val="2"/>
        <charset val="238"/>
        <scheme val="minor"/>
      </rPr>
      <t>XHET,HYD,lim</t>
    </r>
    <r>
      <rPr>
        <sz val="11"/>
        <rFont val="Calibri"/>
        <family val="2"/>
        <scheme val="minor"/>
      </rPr>
      <t>)</t>
    </r>
  </si>
  <si>
    <t>based on the 95% percentile of the saturation function</t>
  </si>
  <si>
    <r>
      <t>Logsat</t>
    </r>
    <r>
      <rPr>
        <vertAlign val="subscript"/>
        <sz val="11"/>
        <rFont val="Calibri"/>
        <family val="2"/>
        <scheme val="minor"/>
      </rPr>
      <t>XHET,HYD,lim</t>
    </r>
  </si>
  <si>
    <t>Logistic saturation term for XHET in hydrolysis process</t>
  </si>
  <si>
    <r>
      <t>Logsat(X</t>
    </r>
    <r>
      <rPr>
        <vertAlign val="subscript"/>
        <sz val="11"/>
        <rFont val="Calibri"/>
        <family val="2"/>
        <scheme val="minor"/>
      </rPr>
      <t>HET</t>
    </r>
    <r>
      <rPr>
        <sz val="11"/>
        <rFont val="Calibri"/>
        <family val="2"/>
        <scheme val="minor"/>
      </rPr>
      <t>;X</t>
    </r>
    <r>
      <rPr>
        <vertAlign val="subscript"/>
        <sz val="11"/>
        <rFont val="Calibri"/>
        <family val="2"/>
        <scheme val="minor"/>
      </rPr>
      <t>HET,HYD,lim</t>
    </r>
    <r>
      <rPr>
        <sz val="11"/>
        <rFont val="Calibri"/>
        <family val="2"/>
        <scheme val="minor"/>
      </rPr>
      <t>;Logslope</t>
    </r>
    <r>
      <rPr>
        <vertAlign val="subscript"/>
        <sz val="11"/>
        <rFont val="Calibri"/>
        <family val="2"/>
        <charset val="238"/>
        <scheme val="minor"/>
      </rPr>
      <t>XHET,HYD,lim</t>
    </r>
    <r>
      <rPr>
        <sz val="11"/>
        <rFont val="Calibri"/>
        <family val="2"/>
        <scheme val="minor"/>
      </rPr>
      <t>)</t>
    </r>
  </si>
  <si>
    <r>
      <t>Loginh</t>
    </r>
    <r>
      <rPr>
        <vertAlign val="subscript"/>
        <sz val="11"/>
        <rFont val="Calibri"/>
        <family val="2"/>
        <scheme val="minor"/>
      </rPr>
      <t>XHET,HYD,lim</t>
    </r>
  </si>
  <si>
    <t>Logistic inhibition term for XHET in hydrolysis process</t>
  </si>
  <si>
    <r>
      <t>Loginh(X</t>
    </r>
    <r>
      <rPr>
        <vertAlign val="subscript"/>
        <sz val="11"/>
        <rFont val="Calibri"/>
        <family val="2"/>
        <scheme val="minor"/>
      </rPr>
      <t>HET</t>
    </r>
    <r>
      <rPr>
        <sz val="11"/>
        <rFont val="Calibri"/>
        <family val="2"/>
        <scheme val="minor"/>
      </rPr>
      <t>;X</t>
    </r>
    <r>
      <rPr>
        <vertAlign val="subscript"/>
        <sz val="11"/>
        <rFont val="Calibri"/>
        <family val="2"/>
        <scheme val="minor"/>
      </rPr>
      <t>HET,HYD,lim</t>
    </r>
    <r>
      <rPr>
        <sz val="11"/>
        <rFont val="Calibri"/>
        <family val="2"/>
        <scheme val="minor"/>
      </rPr>
      <t>;Logslope</t>
    </r>
    <r>
      <rPr>
        <vertAlign val="subscript"/>
        <sz val="11"/>
        <rFont val="Calibri"/>
        <family val="2"/>
        <charset val="238"/>
        <scheme val="minor"/>
      </rPr>
      <t>XHET,HYD,lim</t>
    </r>
    <r>
      <rPr>
        <sz val="11"/>
        <rFont val="Calibri"/>
        <family val="2"/>
        <scheme val="minor"/>
      </rPr>
      <t>)</t>
    </r>
  </si>
  <si>
    <r>
      <t>q</t>
    </r>
    <r>
      <rPr>
        <vertAlign val="subscript"/>
        <sz val="11"/>
        <color indexed="8"/>
        <rFont val="Calibri"/>
        <family val="2"/>
      </rPr>
      <t>HYD,T</t>
    </r>
    <r>
      <rPr>
        <sz val="11"/>
        <color indexed="8"/>
        <rFont val="Calibri"/>
        <family val="2"/>
      </rPr>
      <t>*X</t>
    </r>
    <r>
      <rPr>
        <vertAlign val="subscript"/>
        <sz val="11"/>
        <color indexed="8"/>
        <rFont val="Calibri"/>
        <family val="2"/>
      </rPr>
      <t>HET</t>
    </r>
    <r>
      <rPr>
        <sz val="11"/>
        <color indexed="8"/>
        <rFont val="Calibri"/>
        <family val="2"/>
      </rPr>
      <t>*(Logsat</t>
    </r>
    <r>
      <rPr>
        <vertAlign val="subscript"/>
        <sz val="11"/>
        <color rgb="FF000000"/>
        <rFont val="Calibri"/>
        <family val="2"/>
      </rPr>
      <t>XHET,HYD,lim</t>
    </r>
    <r>
      <rPr>
        <sz val="11"/>
        <color indexed="8"/>
        <rFont val="Calibri"/>
        <family val="2"/>
      </rPr>
      <t>*MRsat</t>
    </r>
    <r>
      <rPr>
        <vertAlign val="subscript"/>
        <sz val="11"/>
        <color rgb="FF000000"/>
        <rFont val="Calibri"/>
        <family val="2"/>
      </rPr>
      <t>XB,XHET,KHYD</t>
    </r>
    <r>
      <rPr>
        <sz val="11"/>
        <color indexed="8"/>
        <rFont val="Calibri"/>
        <family val="2"/>
      </rPr>
      <t>+Loginh</t>
    </r>
    <r>
      <rPr>
        <vertAlign val="subscript"/>
        <sz val="11"/>
        <color rgb="FF000000"/>
        <rFont val="Calibri"/>
        <family val="2"/>
      </rPr>
      <t>XHET,HYD,lim</t>
    </r>
    <r>
      <rPr>
        <sz val="11"/>
        <color indexed="8"/>
        <rFont val="Calibri"/>
        <family val="2"/>
      </rPr>
      <t>*Msat</t>
    </r>
    <r>
      <rPr>
        <vertAlign val="subscript"/>
        <sz val="11"/>
        <color rgb="FF000000"/>
        <rFont val="Calibri"/>
        <family val="2"/>
      </rPr>
      <t>XB,KXB,HYD</t>
    </r>
    <r>
      <rPr>
        <sz val="11"/>
        <color indexed="8"/>
        <rFont val="Calibri"/>
        <family val="2"/>
      </rPr>
      <t>)*(Msat</t>
    </r>
    <r>
      <rPr>
        <vertAlign val="subscript"/>
        <sz val="11"/>
        <color indexed="8"/>
        <rFont val="Calibri"/>
        <family val="2"/>
      </rPr>
      <t>SO2,KO2,OHO</t>
    </r>
    <r>
      <rPr>
        <sz val="11"/>
        <color indexed="8"/>
        <rFont val="Calibri"/>
        <family val="2"/>
      </rPr>
      <t>+η</t>
    </r>
    <r>
      <rPr>
        <vertAlign val="subscript"/>
        <sz val="11"/>
        <color indexed="8"/>
        <rFont val="Calibri"/>
        <family val="2"/>
      </rPr>
      <t>b,anox</t>
    </r>
    <r>
      <rPr>
        <sz val="11"/>
        <color indexed="8"/>
        <rFont val="Calibri"/>
        <family val="2"/>
      </rPr>
      <t>*Msat</t>
    </r>
    <r>
      <rPr>
        <vertAlign val="subscript"/>
        <sz val="11"/>
        <color indexed="8"/>
        <rFont val="Calibri"/>
        <family val="2"/>
      </rPr>
      <t>SNOx,KNOx,OHO</t>
    </r>
    <r>
      <rPr>
        <sz val="11"/>
        <color indexed="8"/>
        <rFont val="Calibri"/>
        <family val="2"/>
      </rPr>
      <t>*Minh</t>
    </r>
    <r>
      <rPr>
        <vertAlign val="subscript"/>
        <sz val="11"/>
        <color indexed="8"/>
        <rFont val="Calibri"/>
        <family val="2"/>
      </rPr>
      <t>SO2,KO2,OHO</t>
    </r>
    <r>
      <rPr>
        <sz val="11"/>
        <color indexed="8"/>
        <rFont val="Calibri"/>
        <family val="2"/>
      </rPr>
      <t>)*Msat</t>
    </r>
    <r>
      <rPr>
        <vertAlign val="subscript"/>
        <sz val="11"/>
        <color indexed="8"/>
        <rFont val="Calibri"/>
        <family val="2"/>
      </rPr>
      <t>SALK,KALK</t>
    </r>
  </si>
  <si>
    <r>
      <t>q</t>
    </r>
    <r>
      <rPr>
        <vertAlign val="subscript"/>
        <sz val="11"/>
        <color indexed="8"/>
        <rFont val="Calibri"/>
        <family val="2"/>
      </rPr>
      <t>HYD,T</t>
    </r>
    <r>
      <rPr>
        <sz val="11"/>
        <color indexed="8"/>
        <rFont val="Calibri"/>
        <family val="2"/>
      </rPr>
      <t>*X</t>
    </r>
    <r>
      <rPr>
        <vertAlign val="subscript"/>
        <sz val="11"/>
        <color indexed="8"/>
        <rFont val="Calibri"/>
        <family val="2"/>
      </rPr>
      <t>HET</t>
    </r>
    <r>
      <rPr>
        <sz val="11"/>
        <color indexed="8"/>
        <rFont val="Calibri"/>
        <family val="2"/>
      </rPr>
      <t>*(Logsat</t>
    </r>
    <r>
      <rPr>
        <vertAlign val="subscript"/>
        <sz val="11"/>
        <color rgb="FF000000"/>
        <rFont val="Calibri"/>
        <family val="2"/>
      </rPr>
      <t>XHET,HYD,lim</t>
    </r>
    <r>
      <rPr>
        <sz val="11"/>
        <color indexed="8"/>
        <rFont val="Calibri"/>
        <family val="2"/>
      </rPr>
      <t>*MRsat</t>
    </r>
    <r>
      <rPr>
        <vertAlign val="subscript"/>
        <sz val="11"/>
        <color rgb="FF000000"/>
        <rFont val="Calibri"/>
        <family val="2"/>
      </rPr>
      <t>XB,XHET,KHYD</t>
    </r>
    <r>
      <rPr>
        <sz val="11"/>
        <color indexed="8"/>
        <rFont val="Calibri"/>
        <family val="2"/>
      </rPr>
      <t>+Loginh</t>
    </r>
    <r>
      <rPr>
        <vertAlign val="subscript"/>
        <sz val="11"/>
        <color rgb="FF000000"/>
        <rFont val="Calibri"/>
        <family val="2"/>
      </rPr>
      <t>XHET,HYD,lim</t>
    </r>
    <r>
      <rPr>
        <sz val="11"/>
        <color indexed="8"/>
        <rFont val="Calibri"/>
        <family val="2"/>
      </rPr>
      <t>*Msat</t>
    </r>
    <r>
      <rPr>
        <vertAlign val="subscript"/>
        <sz val="11"/>
        <color rgb="FF000000"/>
        <rFont val="Calibri"/>
        <family val="2"/>
      </rPr>
      <t>XB,KXB,HYD</t>
    </r>
    <r>
      <rPr>
        <sz val="11"/>
        <color indexed="8"/>
        <rFont val="Calibri"/>
        <family val="2"/>
      </rPr>
      <t>)*η</t>
    </r>
    <r>
      <rPr>
        <vertAlign val="subscript"/>
        <sz val="11"/>
        <color indexed="8"/>
        <rFont val="Calibri"/>
        <family val="2"/>
      </rPr>
      <t>b,ana</t>
    </r>
    <r>
      <rPr>
        <sz val="11"/>
        <color indexed="8"/>
        <rFont val="Calibri"/>
        <family val="2"/>
      </rPr>
      <t>*Minh</t>
    </r>
    <r>
      <rPr>
        <vertAlign val="subscript"/>
        <sz val="11"/>
        <color indexed="8"/>
        <rFont val="Calibri"/>
        <family val="2"/>
      </rPr>
      <t>SNOx,KNOx,OHO</t>
    </r>
    <r>
      <rPr>
        <sz val="11"/>
        <color indexed="8"/>
        <rFont val="Calibri"/>
        <family val="2"/>
      </rPr>
      <t>*Minh</t>
    </r>
    <r>
      <rPr>
        <vertAlign val="subscript"/>
        <sz val="11"/>
        <color indexed="8"/>
        <rFont val="Calibri"/>
        <family val="2"/>
      </rPr>
      <t>SO2,KO2,OHO</t>
    </r>
    <r>
      <rPr>
        <sz val="11"/>
        <color indexed="8"/>
        <rFont val="Calibri"/>
        <family val="2"/>
      </rPr>
      <t>*Msat</t>
    </r>
    <r>
      <rPr>
        <vertAlign val="subscript"/>
        <sz val="11"/>
        <color indexed="8"/>
        <rFont val="Calibri"/>
        <family val="2"/>
      </rPr>
      <t>SALK,KALK</t>
    </r>
  </si>
  <si>
    <r>
      <t>X</t>
    </r>
    <r>
      <rPr>
        <vertAlign val="subscript"/>
        <sz val="11"/>
        <color rgb="FF000000"/>
        <rFont val="Calibri"/>
        <family val="2"/>
        <scheme val="minor"/>
      </rPr>
      <t>HET,HYD,lim</t>
    </r>
  </si>
  <si>
    <r>
      <t>X</t>
    </r>
    <r>
      <rPr>
        <vertAlign val="subscript"/>
        <sz val="11"/>
        <color rgb="FF000000"/>
        <rFont val="Calibri"/>
        <family val="2"/>
        <scheme val="minor"/>
      </rPr>
      <t>HET</t>
    </r>
    <r>
      <rPr>
        <sz val="11"/>
        <color indexed="8"/>
        <rFont val="Calibri"/>
        <family val="2"/>
        <scheme val="minor"/>
      </rPr>
      <t xml:space="preserve"> limit concentration for hydrolysis</t>
    </r>
  </si>
  <si>
    <r>
      <t>Logrange</t>
    </r>
    <r>
      <rPr>
        <vertAlign val="subscript"/>
        <sz val="11"/>
        <rFont val="Calibri"/>
        <family val="2"/>
        <charset val="238"/>
        <scheme val="minor"/>
      </rPr>
      <t>XHET,HYD,lim</t>
    </r>
  </si>
  <si>
    <t>Effective range of logistic switch for XHET limit</t>
  </si>
  <si>
    <t>define range in percentage of XBIO limit</t>
  </si>
  <si>
    <r>
      <t>K</t>
    </r>
    <r>
      <rPr>
        <vertAlign val="subscript"/>
        <sz val="11"/>
        <color indexed="8"/>
        <rFont val="Calibri"/>
        <family val="2"/>
        <scheme val="minor"/>
      </rPr>
      <t>XB,HYD</t>
    </r>
  </si>
  <si>
    <t>Half-saturation of slowly biodegradable substrate in low biomass condition hydrolysis</t>
  </si>
  <si>
    <t>Goel et al, 1998</t>
  </si>
  <si>
    <t>Logistic slope of logistic term for XHET limit</t>
  </si>
  <si>
    <t>Heat - pond model</t>
  </si>
  <si>
    <t>rate_Hbio</t>
  </si>
  <si>
    <t>Biological heat rate of biological reactions</t>
  </si>
  <si>
    <t>MJ.m-3.d-1</t>
  </si>
  <si>
    <t>COD Balance - pond model</t>
  </si>
  <si>
    <t>rate_TCOD,stripping</t>
  </si>
  <si>
    <t>((v31_SCH4 * r31) + (v32_SH2 * r32))</t>
  </si>
  <si>
    <t>g.m-3.d-1</t>
  </si>
  <si>
    <t>2</t>
  </si>
  <si>
    <t>rate_TCOD,oxydation,O2</t>
  </si>
  <si>
    <t xml:space="preserve"> - ((v1_SO2 * r1 * -1) + (v12_SO2 * r12 * -1))</t>
  </si>
  <si>
    <t>rate_TCOD,oxydation,NO3</t>
  </si>
  <si>
    <t>rate_TCOD,photosynt</t>
  </si>
  <si>
    <t>((v11_XALGAE * r11) + (v10_XALGAE * r10))</t>
  </si>
  <si>
    <t>rate_TCOD,autotrophs</t>
  </si>
  <si>
    <t>((v4_XNITO * r4))</t>
  </si>
  <si>
    <t>TN Balance - pond model</t>
  </si>
  <si>
    <t>rate_SNHx,stripping</t>
  </si>
  <si>
    <t>rate_TN,denit</t>
  </si>
  <si>
    <t xml:space="preserve"> + ((v2_SNOx * r2 * 1) + (v19_SNOx * r19 * 1))</t>
  </si>
  <si>
    <t>O2 Balance - pond model</t>
  </si>
  <si>
    <t>rate_SO2,aerator</t>
  </si>
  <si>
    <t>((v33_SO2 * r33)) * SOTRaerator/SOTRsur</t>
  </si>
  <si>
    <t>rate_SO2,sur</t>
  </si>
  <si>
    <t>((v33_SO2 * r33)) * SOTRsur,min/SOTRsur</t>
  </si>
  <si>
    <t>rate_SO2,C,oxidation</t>
  </si>
  <si>
    <t xml:space="preserve"> - ((v1_SO2 * r1 * -1))</t>
  </si>
  <si>
    <t>rate_SO2,nitrif</t>
  </si>
  <si>
    <t>((v4_SO2 * r4))</t>
  </si>
  <si>
    <t>rate_SO2,Fe,oxidation</t>
  </si>
  <si>
    <t>rate_SO2,photosynt</t>
  </si>
  <si>
    <t>((v11_SO2 * r11) + (v10_SO2 * r10))</t>
  </si>
  <si>
    <t>rate_SO2,ALGAE,resp</t>
  </si>
  <si>
    <t>((v12_SO2 * r12))</t>
  </si>
  <si>
    <t>SNHx processes - pond model</t>
  </si>
  <si>
    <t>rate_SNHx,OHOs</t>
  </si>
  <si>
    <t>((v1_SNHx * r1) + (v2_SNHx * r2) + (v3_SNHx * r3))</t>
  </si>
  <si>
    <t>rate_SNHx,NITOs</t>
  </si>
  <si>
    <t>((v4_SNHx * r4) + (v5_SNHx * r5))</t>
  </si>
  <si>
    <t>rate_SNHx,ALGAE</t>
  </si>
  <si>
    <t>((v11_SNHx * r11) + (v12_SNHx * r12) + (v13_SNHx * r13))</t>
  </si>
  <si>
    <t>rate_SNHx,Hydrolysis</t>
  </si>
  <si>
    <t>((v16_SNHx * r16) + (v19_SNHx * r19))</t>
  </si>
  <si>
    <t>SNOx processes - pond model</t>
  </si>
  <si>
    <t>rate_SNOx,OHOs</t>
  </si>
  <si>
    <t>((v2_SNOx * r2))</t>
  </si>
  <si>
    <t>rate_SNOx,NITOs</t>
  </si>
  <si>
    <t>((v4_SNOx * r4))</t>
  </si>
  <si>
    <t>rate_SNOx,ALGAE</t>
  </si>
  <si>
    <t>((v10_SNOx * r10))</t>
  </si>
  <si>
    <t>SPO4 processes - pond model</t>
  </si>
  <si>
    <t>rate_SPO4,OHOs</t>
  </si>
  <si>
    <t>((v1_SPO4 * r1) + (v2_SPO4 * r2))</t>
  </si>
  <si>
    <t>rate_SPO4,NITOs</t>
  </si>
  <si>
    <t>((v4_SPO4 * r4))</t>
  </si>
  <si>
    <t>rate_SPO4,ALGAE</t>
  </si>
  <si>
    <t>((v10_SPO4 * r10) + (v11_SPO4 * r11) + (v12_SPO4 * r12) + (v13_SPO4 * r13))</t>
  </si>
  <si>
    <t>rate_SPO4,Hydrolysis</t>
  </si>
  <si>
    <t>((v14_SPO4 * r14) + (v15_SPO4 * r15) + (v19_SPO4 * r19))</t>
  </si>
  <si>
    <t>rate_SPO4,Precipitation</t>
  </si>
  <si>
    <t>((v20_SPO4 * r20) + (v21_SPO4 * r21) + (v22_SPO4 * r22) + (v23_SPO4 * r23))</t>
  </si>
  <si>
    <t>Aeration - pond model</t>
  </si>
  <si>
    <t>rate_DiffAer,ox,transf</t>
  </si>
  <si>
    <t>Diffused aeration oxygen transferred</t>
  </si>
  <si>
    <t>(v29_SO2 * r29)</t>
  </si>
  <si>
    <t>rate_SurfAer,ox,transf</t>
  </si>
  <si>
    <t>Surface aeration oxygen transferred</t>
  </si>
  <si>
    <t>(v33_SO2 * r33)</t>
  </si>
  <si>
    <t>Nitrifier kinetics - pond model</t>
  </si>
  <si>
    <t>Display_µAOB,T</t>
  </si>
  <si>
    <t>d-1</t>
  </si>
  <si>
    <t>Display_XAOB</t>
  </si>
  <si>
    <t>g COD.m-3</t>
  </si>
  <si>
    <t>Display_MsatSNHx,KNHx,AOB</t>
  </si>
  <si>
    <t>Display_LogsatpHCO2,AOB</t>
  </si>
  <si>
    <t>Display_MsatSO2,KO2,AOB</t>
  </si>
  <si>
    <t>Display_MsatSPO4,KPO4,BIO</t>
  </si>
  <si>
    <t>Display_MsatSCAT,KCAT</t>
  </si>
  <si>
    <t>Display_MsatSAN,KAN</t>
  </si>
  <si>
    <t>Display_MsatSCa,KCa</t>
  </si>
  <si>
    <t>Display_MsatSMg,KMg</t>
  </si>
  <si>
    <t>Display_MsatSSO4,KSO4,BIO</t>
  </si>
  <si>
    <t>Display_MinhpHHNO2,AOB</t>
  </si>
  <si>
    <t>Display_MinhpHNH3,NITO</t>
  </si>
  <si>
    <t>Display_BellinhpH,AOB</t>
  </si>
  <si>
    <t>Display_MsatSALK,KALK</t>
  </si>
  <si>
    <t>Nitrifier specific growth rate (temperature corrected)</t>
  </si>
  <si>
    <t>Nitrifier concentration (AOB for two-step or NITO for single-step)</t>
  </si>
  <si>
    <t>Ammonia availability (Monod saturation function)</t>
  </si>
  <si>
    <t>CO2 availability (Log saturation function)</t>
  </si>
  <si>
    <t>Oxygen availability (Monod saturation function)</t>
  </si>
  <si>
    <t>Phosphate availability (Monod saturation function)</t>
  </si>
  <si>
    <t>Cation availability (Monod saturation function)</t>
  </si>
  <si>
    <t>Anion availability (Monod saturation function)</t>
  </si>
  <si>
    <t>Calcium availability (Monod saturation function)</t>
  </si>
  <si>
    <t>Magnesium availability (Monod saturation function)</t>
  </si>
  <si>
    <t>Sulphate availability (Monod saturation function)</t>
  </si>
  <si>
    <t>Nitrous acid inhibition (Monod saturation function)</t>
  </si>
  <si>
    <t>Un-ionized ammonia inhibition (Monod saturation function)</t>
  </si>
  <si>
    <t>pH inhibition function</t>
  </si>
  <si>
    <t>Alkalinity availability (Monod saturation function)</t>
  </si>
  <si>
    <t>Algal kinetics - pond model</t>
  </si>
  <si>
    <t>Display_µALGAE,T</t>
  </si>
  <si>
    <t>Algal specific growth rate (temperature corrected)</t>
  </si>
  <si>
    <t>Display_XALGAE</t>
  </si>
  <si>
    <t>Algal concentration</t>
  </si>
  <si>
    <t>Display_MsatSCO2,KCO2,ALGAE</t>
  </si>
  <si>
    <t>CO2 availability (Monod saturation function)</t>
  </si>
  <si>
    <t>Display_LightSwitch</t>
  </si>
  <si>
    <t>Light availability function</t>
  </si>
  <si>
    <t>Display_MsatSNOx,KNOx,ALGAE</t>
  </si>
  <si>
    <t>Nitrate availability (Monod saturation function)</t>
  </si>
  <si>
    <t>Display_MinhSNHx,KiNHx,ALGAE</t>
  </si>
  <si>
    <t>Ammonia inhibition of nitrate assimilation (Monod saturation function)</t>
  </si>
  <si>
    <t>Display_MsatSNHx,KNHx,ALGAE</t>
  </si>
  <si>
    <t>Heat of reaction</t>
  </si>
  <si>
    <t>Heat of biological reaction</t>
  </si>
  <si>
    <t>MJ.g COD-1</t>
  </si>
  <si>
    <t>DeltaHbio</t>
  </si>
  <si>
    <r>
      <t>(+(-v1_SO2*r1)+(-v4_SO2*r4)+(-v10_SO2*r10)+(-v11_SO2*r11)+(-v12_SO2*r12)+(+EEQ</t>
    </r>
    <r>
      <rPr>
        <vertAlign val="subscript"/>
        <sz val="11"/>
        <rFont val="Calibri"/>
        <family val="2"/>
        <charset val="238"/>
        <scheme val="minor"/>
      </rPr>
      <t>N2,NO3</t>
    </r>
    <r>
      <rPr>
        <sz val="11"/>
        <rFont val="Calibri"/>
        <family val="2"/>
        <scheme val="minor"/>
      </rPr>
      <t xml:space="preserve"> * v2_SN2*r2)) * DeltaHbio</t>
    </r>
  </si>
  <si>
    <r>
      <t>Msat</t>
    </r>
    <r>
      <rPr>
        <vertAlign val="subscript"/>
        <sz val="11"/>
        <rFont val="Calibri"/>
        <family val="2"/>
        <charset val="238"/>
        <scheme val="minor"/>
      </rPr>
      <t>SNOx,KNOx,ALGAE</t>
    </r>
  </si>
  <si>
    <r>
      <t>Minh</t>
    </r>
    <r>
      <rPr>
        <vertAlign val="subscript"/>
        <sz val="11"/>
        <rFont val="Calibri"/>
        <family val="2"/>
        <charset val="238"/>
        <scheme val="minor"/>
      </rPr>
      <t>SNHx,KiNHx,ALGAE</t>
    </r>
  </si>
  <si>
    <r>
      <t>Msat</t>
    </r>
    <r>
      <rPr>
        <vertAlign val="subscript"/>
        <sz val="11"/>
        <rFont val="Calibri"/>
        <family val="2"/>
        <charset val="238"/>
        <scheme val="minor"/>
      </rPr>
      <t>SNHx,KNHx,ALGAE</t>
    </r>
  </si>
  <si>
    <r>
      <t>µ</t>
    </r>
    <r>
      <rPr>
        <vertAlign val="subscript"/>
        <sz val="11"/>
        <rFont val="Calibri"/>
        <family val="2"/>
        <charset val="238"/>
        <scheme val="minor"/>
      </rPr>
      <t>ALGAE,T</t>
    </r>
  </si>
  <si>
    <r>
      <t>X</t>
    </r>
    <r>
      <rPr>
        <vertAlign val="subscript"/>
        <sz val="11"/>
        <rFont val="Calibri"/>
        <family val="2"/>
        <charset val="238"/>
        <scheme val="minor"/>
      </rPr>
      <t>ALGAE</t>
    </r>
  </si>
  <si>
    <r>
      <t>Msat</t>
    </r>
    <r>
      <rPr>
        <vertAlign val="subscript"/>
        <sz val="11"/>
        <rFont val="Calibri"/>
        <family val="2"/>
        <charset val="238"/>
        <scheme val="minor"/>
      </rPr>
      <t>SALK,KALK</t>
    </r>
  </si>
  <si>
    <r>
      <t>Msat</t>
    </r>
    <r>
      <rPr>
        <vertAlign val="subscript"/>
        <sz val="11"/>
        <rFont val="Calibri"/>
        <family val="2"/>
        <charset val="238"/>
        <scheme val="minor"/>
      </rPr>
      <t>SO2,KO2,NITO</t>
    </r>
  </si>
  <si>
    <r>
      <t>Msat</t>
    </r>
    <r>
      <rPr>
        <vertAlign val="subscript"/>
        <sz val="11"/>
        <rFont val="Calibri"/>
        <family val="2"/>
        <charset val="238"/>
        <scheme val="minor"/>
      </rPr>
      <t>SNHx,KNHx,NITO</t>
    </r>
  </si>
  <si>
    <r>
      <t>X</t>
    </r>
    <r>
      <rPr>
        <vertAlign val="subscript"/>
        <sz val="11"/>
        <rFont val="Calibri"/>
        <family val="2"/>
        <charset val="238"/>
        <scheme val="minor"/>
      </rPr>
      <t>NITO</t>
    </r>
  </si>
  <si>
    <r>
      <t>µ</t>
    </r>
    <r>
      <rPr>
        <vertAlign val="subscript"/>
        <sz val="11"/>
        <rFont val="Calibri"/>
        <family val="2"/>
        <charset val="238"/>
        <scheme val="minor"/>
      </rPr>
      <t>NITO,T</t>
    </r>
  </si>
  <si>
    <r>
      <t xml:space="preserve"> - ((v2_SNOx * r2 * -EEQ</t>
    </r>
    <r>
      <rPr>
        <vertAlign val="subscript"/>
        <sz val="11"/>
        <rFont val="Calibri"/>
        <family val="2"/>
        <charset val="238"/>
        <scheme val="minor"/>
      </rPr>
      <t>NO3)</t>
    </r>
    <r>
      <rPr>
        <sz val="11"/>
        <rFont val="Calibri"/>
        <family val="2"/>
        <scheme val="minor"/>
      </rPr>
      <t xml:space="preserve"> + (v19_SNOx * r19 * -EEQ</t>
    </r>
    <r>
      <rPr>
        <vertAlign val="subscript"/>
        <sz val="11"/>
        <rFont val="Calibri"/>
        <family val="2"/>
        <charset val="238"/>
        <scheme val="minor"/>
      </rPr>
      <t>NO3</t>
    </r>
    <r>
      <rPr>
        <sz val="11"/>
        <rFont val="Calibri"/>
        <family val="2"/>
        <scheme val="minor"/>
      </rPr>
      <t>) + (v2_SN2 * r2 * -EEQ</t>
    </r>
    <r>
      <rPr>
        <vertAlign val="subscript"/>
        <sz val="11"/>
        <rFont val="Calibri"/>
        <family val="2"/>
        <charset val="238"/>
        <scheme val="minor"/>
      </rPr>
      <t>N2</t>
    </r>
    <r>
      <rPr>
        <sz val="11"/>
        <rFont val="Calibri"/>
        <family val="2"/>
        <scheme val="minor"/>
      </rPr>
      <t>))</t>
    </r>
  </si>
  <si>
    <t>SOTRaerator</t>
  </si>
  <si>
    <t>Standard oxygen transfer rate by aerator</t>
  </si>
  <si>
    <r>
      <t>g.d</t>
    </r>
    <r>
      <rPr>
        <vertAlign val="superscript"/>
        <sz val="11"/>
        <rFont val="Calibri"/>
        <family val="2"/>
      </rPr>
      <t>-1</t>
    </r>
  </si>
  <si>
    <t>SOTRsur</t>
  </si>
  <si>
    <t>Standard oxygen transfer rate via water surface</t>
  </si>
  <si>
    <t>SOTRsur,min</t>
  </si>
  <si>
    <t>Minimum standard oxygen transfer rate via water surface (if non-aerated)</t>
  </si>
  <si>
    <r>
      <t>Msa</t>
    </r>
    <r>
      <rPr>
        <sz val="11"/>
        <rFont val="Calibri"/>
        <family val="2"/>
        <charset val="238"/>
        <scheme val="minor"/>
      </rPr>
      <t>t</t>
    </r>
    <r>
      <rPr>
        <vertAlign val="subscript"/>
        <sz val="11"/>
        <rFont val="Calibri"/>
        <family val="2"/>
        <charset val="238"/>
        <scheme val="minor"/>
      </rPr>
      <t>SPO4,KPO4,BIO</t>
    </r>
  </si>
  <si>
    <t>Intracellular water of biomass in volatile solids</t>
  </si>
  <si>
    <t>Assuming 80% of biomass cytoplasm is water(wet mass0.8/ dry mass0.2)</t>
  </si>
  <si>
    <r>
      <t>%v.v</t>
    </r>
    <r>
      <rPr>
        <vertAlign val="superscript"/>
        <sz val="11"/>
        <rFont val="Calibri"/>
        <family val="2"/>
        <scheme val="minor"/>
      </rPr>
      <t>-1</t>
    </r>
  </si>
  <si>
    <t>Rate of CH4 and H2 stripping (F)</t>
  </si>
  <si>
    <t>Rate of TCOD oxidized using oxygen (G)</t>
  </si>
  <si>
    <t>Rate of TCOD oxidized using nitrite and nitrate (H)</t>
  </si>
  <si>
    <t>Rate of TCOD produced by photosynthesis (I)</t>
  </si>
  <si>
    <t>Rate of TCOD in nitrifier growth (J)</t>
  </si>
  <si>
    <t>Rate of SNHx stripping (F)</t>
  </si>
  <si>
    <t>Rate of TN denitrified (G)</t>
  </si>
  <si>
    <t>Rate of SO2 transferred by mechanical aeration (D)</t>
  </si>
  <si>
    <t>Rate of SO2 transferred by natural aeration (E)</t>
  </si>
  <si>
    <t>Rate of SO2 consumed by carbon oxidation (F)</t>
  </si>
  <si>
    <t>Rate of SO2 consumed by nitrification (G)</t>
  </si>
  <si>
    <t>Rate of SO2 consumed by iron oxidation (H)</t>
  </si>
  <si>
    <t>Rate of SO2 produced by photosynthesis (I)</t>
  </si>
  <si>
    <t>Rate of SO2 produced by ALGAE respiration (J)</t>
  </si>
  <si>
    <t>Rate of ammonia from ordinary heterotrophic organisms</t>
  </si>
  <si>
    <t>Rate of ammonia from nitrification</t>
  </si>
  <si>
    <t>Rate of ammonia from algae</t>
  </si>
  <si>
    <t>Rate of ammonia from hydrolysis</t>
  </si>
  <si>
    <t>Rate of nitrate from ordinary heterotrophic organisms</t>
  </si>
  <si>
    <t>Rate of nitrate from nitrification</t>
  </si>
  <si>
    <t>Rate of nitrate from algae</t>
  </si>
  <si>
    <t>Rate of exchange of phosphate with sediments</t>
  </si>
  <si>
    <t>Rate of phosphate from ordinary heterotrophic organisms</t>
  </si>
  <si>
    <t>Rate of phosphate from nitrification</t>
  </si>
  <si>
    <t>Rate of phosphate from algae</t>
  </si>
  <si>
    <t>Rate of phosphate from precipitation reactions</t>
  </si>
  <si>
    <t>rbCODDR to AAR ratio</t>
  </si>
  <si>
    <t>AAR/rbCODDR</t>
  </si>
  <si>
    <r>
      <t>ORP</t>
    </r>
    <r>
      <rPr>
        <vertAlign val="subscript"/>
        <sz val="11"/>
        <rFont val="Calibri"/>
        <family val="2"/>
      </rPr>
      <t>ana</t>
    </r>
  </si>
  <si>
    <t>Oxidation-reduction potential due to anaerobic activity</t>
  </si>
  <si>
    <r>
      <t>Max(ORP</t>
    </r>
    <r>
      <rPr>
        <vertAlign val="subscript"/>
        <sz val="11"/>
        <rFont val="Calibri"/>
        <family val="2"/>
        <scheme val="minor"/>
      </rPr>
      <t>O2;</t>
    </r>
    <r>
      <rPr>
        <sz val="11"/>
        <rFont val="Calibri"/>
        <family val="2"/>
        <scheme val="minor"/>
      </rPr>
      <t>ORP</t>
    </r>
    <r>
      <rPr>
        <vertAlign val="subscript"/>
        <sz val="11"/>
        <rFont val="Calibri"/>
        <family val="2"/>
        <scheme val="minor"/>
      </rPr>
      <t>NOx;</t>
    </r>
    <r>
      <rPr>
        <sz val="11"/>
        <rFont val="Calibri"/>
        <family val="2"/>
        <scheme val="minor"/>
      </rPr>
      <t>ORP</t>
    </r>
    <r>
      <rPr>
        <vertAlign val="subscript"/>
        <sz val="11"/>
        <rFont val="Calibri"/>
        <family val="2"/>
        <scheme val="minor"/>
      </rPr>
      <t>ana</t>
    </r>
    <r>
      <rPr>
        <sz val="11"/>
        <rFont val="Calibri"/>
        <family val="2"/>
        <scheme val="minor"/>
      </rPr>
      <t>)</t>
    </r>
  </si>
  <si>
    <t>rbCODDR</t>
  </si>
  <si>
    <t>rbCOD degradation rate (rbCODDR)</t>
  </si>
  <si>
    <r>
      <t>g COD.m</t>
    </r>
    <r>
      <rPr>
        <vertAlign val="superscript"/>
        <sz val="11"/>
        <rFont val="Calibri"/>
        <family val="2"/>
        <scheme val="minor"/>
      </rPr>
      <t>-3</t>
    </r>
    <r>
      <rPr>
        <sz val="11"/>
        <rFont val="Calibri"/>
        <family val="2"/>
        <scheme val="minor"/>
      </rPr>
      <t>.d</t>
    </r>
    <r>
      <rPr>
        <vertAlign val="superscript"/>
        <sz val="11"/>
        <rFont val="Calibri"/>
        <family val="2"/>
        <scheme val="minor"/>
      </rPr>
      <t>-1</t>
    </r>
  </si>
  <si>
    <t>AAR</t>
  </si>
  <si>
    <t>Anaerobic activity rate (AAR)</t>
  </si>
  <si>
    <r>
      <t>-(v1_S</t>
    </r>
    <r>
      <rPr>
        <vertAlign val="subscript"/>
        <sz val="11"/>
        <rFont val="Calibri"/>
        <family val="2"/>
        <scheme val="minor"/>
      </rPr>
      <t>B</t>
    </r>
    <r>
      <rPr>
        <sz val="11"/>
        <rFont val="Calibri"/>
        <family val="2"/>
        <scheme val="minor"/>
      </rPr>
      <t xml:space="preserve"> * r1 + v2_S</t>
    </r>
    <r>
      <rPr>
        <vertAlign val="subscript"/>
        <sz val="11"/>
        <rFont val="Calibri"/>
        <family val="2"/>
        <scheme val="minor"/>
      </rPr>
      <t>B</t>
    </r>
    <r>
      <rPr>
        <sz val="11"/>
        <rFont val="Calibri"/>
        <family val="2"/>
        <scheme val="minor"/>
      </rPr>
      <t xml:space="preserve"> * r2 +  v6_S</t>
    </r>
    <r>
      <rPr>
        <vertAlign val="subscript"/>
        <sz val="11"/>
        <rFont val="Calibri"/>
        <family val="2"/>
        <scheme val="minor"/>
      </rPr>
      <t>B</t>
    </r>
    <r>
      <rPr>
        <sz val="11"/>
        <rFont val="Calibri"/>
        <family val="2"/>
        <scheme val="minor"/>
      </rPr>
      <t xml:space="preserve"> * r6 + v15_X</t>
    </r>
    <r>
      <rPr>
        <vertAlign val="subscript"/>
        <sz val="11"/>
        <rFont val="Calibri"/>
        <family val="2"/>
        <scheme val="minor"/>
      </rPr>
      <t>B</t>
    </r>
    <r>
      <rPr>
        <sz val="11"/>
        <rFont val="Calibri"/>
        <family val="2"/>
        <scheme val="minor"/>
      </rPr>
      <t xml:space="preserve"> * r15 )</t>
    </r>
  </si>
  <si>
    <r>
      <t>v15_S</t>
    </r>
    <r>
      <rPr>
        <vertAlign val="subscript"/>
        <sz val="11"/>
        <rFont val="Calibri"/>
        <family val="2"/>
        <scheme val="minor"/>
      </rPr>
      <t>H2</t>
    </r>
    <r>
      <rPr>
        <sz val="11"/>
        <rFont val="Calibri"/>
        <family val="2"/>
        <scheme val="minor"/>
      </rPr>
      <t xml:space="preserve"> * r15  + v6_S</t>
    </r>
    <r>
      <rPr>
        <vertAlign val="subscript"/>
        <sz val="11"/>
        <rFont val="Calibri"/>
        <family val="2"/>
        <scheme val="minor"/>
      </rPr>
      <t>CH4</t>
    </r>
    <r>
      <rPr>
        <sz val="11"/>
        <rFont val="Calibri"/>
        <family val="2"/>
        <scheme val="minor"/>
      </rPr>
      <t xml:space="preserve"> * r6 + v8_S</t>
    </r>
    <r>
      <rPr>
        <vertAlign val="subscript"/>
        <sz val="11"/>
        <rFont val="Calibri"/>
        <family val="2"/>
        <scheme val="minor"/>
      </rPr>
      <t>CH4</t>
    </r>
    <r>
      <rPr>
        <sz val="11"/>
        <rFont val="Calibri"/>
        <family val="2"/>
        <scheme val="minor"/>
      </rPr>
      <t xml:space="preserve"> * r8</t>
    </r>
  </si>
  <si>
    <r>
      <t>K</t>
    </r>
    <r>
      <rPr>
        <vertAlign val="subscript"/>
        <sz val="11"/>
        <rFont val="Calibri"/>
        <family val="2"/>
        <scheme val="minor"/>
      </rPr>
      <t>ORP,ana</t>
    </r>
  </si>
  <si>
    <t>Half-saturation of anaerobic activity for anaerobic ORP</t>
  </si>
  <si>
    <r>
      <t>ratio</t>
    </r>
    <r>
      <rPr>
        <vertAlign val="subscript"/>
        <sz val="11"/>
        <rFont val="Calibri"/>
        <family val="2"/>
      </rPr>
      <t>AAR,rbCODDR</t>
    </r>
  </si>
  <si>
    <r>
      <t>ORP</t>
    </r>
    <r>
      <rPr>
        <vertAlign val="subscript"/>
        <sz val="11"/>
        <rFont val="Calibri"/>
        <family val="2"/>
        <scheme val="minor"/>
      </rPr>
      <t xml:space="preserve">base </t>
    </r>
    <r>
      <rPr>
        <sz val="11"/>
        <rFont val="Calibri"/>
        <family val="2"/>
        <scheme val="minor"/>
      </rPr>
      <t>* (ratio</t>
    </r>
    <r>
      <rPr>
        <vertAlign val="subscript"/>
        <sz val="11"/>
        <rFont val="Calibri"/>
        <family val="2"/>
        <scheme val="minor"/>
      </rPr>
      <t>AAR,rbCODDR</t>
    </r>
    <r>
      <rPr>
        <sz val="11"/>
        <rFont val="Calibri"/>
        <family val="2"/>
        <scheme val="minor"/>
      </rPr>
      <t>)/(K</t>
    </r>
    <r>
      <rPr>
        <vertAlign val="subscript"/>
        <sz val="11"/>
        <rFont val="Calibri"/>
        <family val="2"/>
        <scheme val="minor"/>
      </rPr>
      <t xml:space="preserve">ORP,ana </t>
    </r>
    <r>
      <rPr>
        <sz val="11"/>
        <rFont val="Calibri"/>
        <family val="2"/>
        <scheme val="minor"/>
      </rPr>
      <t>+ ratio</t>
    </r>
    <r>
      <rPr>
        <vertAlign val="subscript"/>
        <sz val="11"/>
        <rFont val="Calibri"/>
        <family val="2"/>
        <scheme val="minor"/>
      </rPr>
      <t>AAR,rbCODDR</t>
    </r>
    <r>
      <rPr>
        <sz val="1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</si>
</sst>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0.00\ &quot;€&quot;;[Red]\-#,##0.00\ &quot;€&quot;"/>
    <numFmt numFmtId="164" formatCode="_(&quot;$&quot;* #,##0.00_);_(&quot;$&quot;* \(#,##0.00\);_(&quot;$&quot;* &quot;-&quot;??_);_(@_)"/>
    <numFmt numFmtId="165" formatCode="0.0"/>
    <numFmt numFmtId="166" formatCode="0.0000"/>
    <numFmt numFmtId="167" formatCode="0.000"/>
    <numFmt numFmtId="168" formatCode="0.0E+00"/>
    <numFmt numFmtId="169" formatCode="0.000000"/>
  </numFmts>
  <fonts count="92"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1"/>
      <name val="Calibri"/>
      <family val="2"/>
    </font>
    <font>
      <b/>
      <sz val="11"/>
      <name val="Calibri"/>
      <family val="2"/>
    </font>
    <font>
      <sz val="11"/>
      <name val="Calibri"/>
      <family val="2"/>
      <scheme val="minor"/>
    </font>
    <font>
      <vertAlign val="subscript"/>
      <sz val="11"/>
      <color indexed="8"/>
      <name val="Calibri"/>
      <family val="2"/>
    </font>
    <font>
      <vertAlign val="superscript"/>
      <sz val="11"/>
      <color indexed="8"/>
      <name val="Calibri"/>
      <family val="2"/>
    </font>
    <font>
      <vertAlign val="subscript"/>
      <sz val="11"/>
      <color indexed="8"/>
      <name val="Calibri"/>
      <family val="2"/>
      <scheme val="minor"/>
    </font>
    <font>
      <b/>
      <vertAlign val="subscript"/>
      <sz val="11"/>
      <color theme="1"/>
      <name val="Calibri"/>
      <family val="2"/>
      <scheme val="minor"/>
    </font>
    <font>
      <b/>
      <vertAlign val="subscript"/>
      <sz val="11"/>
      <color indexed="8"/>
      <name val="Calibri"/>
      <family val="2"/>
      <scheme val="minor"/>
    </font>
    <font>
      <sz val="11"/>
      <color indexed="8"/>
      <name val="Calibri"/>
      <family val="2"/>
      <scheme val="minor"/>
    </font>
    <font>
      <vertAlign val="subscript"/>
      <sz val="11"/>
      <name val="Calibri"/>
      <family val="2"/>
    </font>
    <font>
      <sz val="11"/>
      <color rgb="FF00B050"/>
      <name val="Calibri"/>
      <family val="2"/>
    </font>
    <font>
      <vertAlign val="subscript"/>
      <sz val="11"/>
      <name val="Calibri"/>
      <family val="2"/>
      <scheme val="minor"/>
    </font>
    <font>
      <vertAlign val="superscript"/>
      <sz val="11"/>
      <name val="Calibri"/>
      <family val="2"/>
    </font>
    <font>
      <b/>
      <sz val="12"/>
      <name val="Calibri"/>
      <family val="2"/>
      <scheme val="minor"/>
    </font>
    <font>
      <b/>
      <vertAlign val="subscript"/>
      <sz val="12"/>
      <name val="Calibri"/>
      <family val="2"/>
      <scheme val="minor"/>
    </font>
    <font>
      <vertAlign val="superscript"/>
      <sz val="11"/>
      <name val="Calibri"/>
      <family val="2"/>
      <scheme val="minor"/>
    </font>
    <font>
      <b/>
      <sz val="11"/>
      <name val="Calibri"/>
      <family val="2"/>
      <scheme val="minor"/>
    </font>
    <font>
      <vertAlign val="subscript"/>
      <sz val="11"/>
      <name val="Calibri"/>
      <family val="2"/>
      <charset val="238"/>
      <scheme val="minor"/>
    </font>
    <font>
      <vertAlign val="subscript"/>
      <sz val="11"/>
      <name val="Calibri"/>
      <family val="2"/>
      <charset val="238"/>
    </font>
    <font>
      <b/>
      <vertAlign val="subscript"/>
      <sz val="11"/>
      <name val="Calibri"/>
      <family val="2"/>
      <scheme val="minor"/>
    </font>
    <font>
      <b/>
      <sz val="11"/>
      <color indexed="8"/>
      <name val="Calibri"/>
      <family val="2"/>
      <scheme val="minor"/>
    </font>
    <font>
      <b/>
      <i/>
      <sz val="11"/>
      <name val="Calibri"/>
      <family val="2"/>
      <scheme val="minor"/>
    </font>
    <font>
      <vertAlign val="superscript"/>
      <sz val="11"/>
      <color indexed="8"/>
      <name val="Calibri"/>
      <family val="2"/>
      <scheme val="minor"/>
    </font>
    <font>
      <vertAlign val="superscript"/>
      <sz val="11"/>
      <color theme="1"/>
      <name val="Calibri"/>
      <family val="2"/>
      <scheme val="minor"/>
    </font>
    <font>
      <sz val="11"/>
      <color rgb="FF0082C8"/>
      <name val="Calibri"/>
      <family val="2"/>
      <scheme val="minor"/>
    </font>
    <font>
      <sz val="10"/>
      <name val="Arial"/>
      <family val="2"/>
      <charset val="238"/>
    </font>
    <font>
      <b/>
      <sz val="10"/>
      <name val="Calibri"/>
      <family val="2"/>
      <scheme val="minor"/>
    </font>
    <font>
      <b/>
      <sz val="11"/>
      <color indexed="9"/>
      <name val="Calibri"/>
      <family val="2"/>
      <scheme val="minor"/>
    </font>
    <font>
      <b/>
      <sz val="11"/>
      <name val="Calibri"/>
      <family val="2"/>
      <charset val="238"/>
    </font>
    <font>
      <b/>
      <vertAlign val="subscript"/>
      <sz val="11"/>
      <name val="Calibri"/>
      <family val="2"/>
      <charset val="238"/>
    </font>
    <font>
      <vertAlign val="subscript"/>
      <sz val="12.65"/>
      <name val="Calibri"/>
      <family val="2"/>
    </font>
    <font>
      <vertAlign val="superscript"/>
      <sz val="11"/>
      <name val="Calibri"/>
      <family val="2"/>
      <charset val="238"/>
      <scheme val="minor"/>
    </font>
    <font>
      <vertAlign val="superscript"/>
      <sz val="11"/>
      <name val="Calibri"/>
      <family val="2"/>
      <charset val="238"/>
    </font>
    <font>
      <vertAlign val="subscript"/>
      <sz val="11"/>
      <color theme="1"/>
      <name val="Calibri"/>
      <family val="2"/>
      <scheme val="minor"/>
    </font>
    <font>
      <vertAlign val="subscript"/>
      <sz val="11"/>
      <color rgb="FF000000"/>
      <name val="Calibri"/>
      <family val="2"/>
      <scheme val="minor"/>
    </font>
    <font>
      <sz val="11"/>
      <color rgb="FF000000"/>
      <name val="Calibri"/>
      <family val="2"/>
      <charset val="238"/>
      <scheme val="minor"/>
    </font>
    <font>
      <u/>
      <sz val="11"/>
      <color theme="10"/>
      <name val="Calibri"/>
      <family val="2"/>
    </font>
    <font>
      <sz val="11"/>
      <name val="Calibri"/>
      <family val="2"/>
      <charset val="238"/>
      <scheme val="minor"/>
    </font>
    <font>
      <b/>
      <sz val="11"/>
      <color rgb="FFC00000"/>
      <name val="Calibri"/>
      <family val="2"/>
      <scheme val="minor"/>
    </font>
    <font>
      <b/>
      <vertAlign val="subscript"/>
      <sz val="11"/>
      <color rgb="FFC00000"/>
      <name val="Calibri"/>
      <family val="2"/>
      <scheme val="minor"/>
    </font>
    <font>
      <sz val="11"/>
      <color rgb="FFC00000"/>
      <name val="Calibri"/>
      <family val="2"/>
      <scheme val="minor"/>
    </font>
    <font>
      <b/>
      <vertAlign val="subscript"/>
      <sz val="12"/>
      <name val="Calibri"/>
      <family val="2"/>
      <charset val="238"/>
      <scheme val="minor"/>
    </font>
    <font>
      <vertAlign val="subscript"/>
      <sz val="11"/>
      <color rgb="FF000000"/>
      <name val="Calibri"/>
      <family val="2"/>
      <charset val="238"/>
      <scheme val="minor"/>
    </font>
    <font>
      <vertAlign val="subscript"/>
      <sz val="11"/>
      <color rgb="FF000000"/>
      <name val="Calibri"/>
      <family val="2"/>
      <charset val="238"/>
    </font>
    <font>
      <sz val="11"/>
      <color rgb="FF000000"/>
      <name val="Calibri"/>
      <family val="2"/>
      <charset val="238"/>
    </font>
    <font>
      <sz val="11"/>
      <name val="Calibri"/>
      <family val="2"/>
      <charset val="238"/>
    </font>
    <font>
      <vertAlign val="subscript"/>
      <sz val="9.35"/>
      <name val="Calibri"/>
      <family val="2"/>
      <charset val="238"/>
    </font>
    <font>
      <b/>
      <sz val="11"/>
      <name val="Calibri"/>
      <family val="2"/>
      <charset val="238"/>
      <scheme val="minor"/>
    </font>
    <font>
      <b/>
      <vertAlign val="subscript"/>
      <sz val="11"/>
      <name val="Calibri"/>
      <family val="2"/>
      <charset val="238"/>
      <scheme val="minor"/>
    </font>
    <font>
      <sz val="11"/>
      <color rgb="FF000000"/>
      <name val="Calibri"/>
      <family val="2"/>
      <scheme val="minor"/>
    </font>
    <font>
      <vertAlign val="subscript"/>
      <sz val="11"/>
      <color rgb="FF000000"/>
      <name val="Calibri"/>
      <family val="2"/>
    </font>
    <font>
      <sz val="11"/>
      <color rgb="FF000000"/>
      <name val="Calibri"/>
      <family val="2"/>
    </font>
    <font>
      <b/>
      <i/>
      <sz val="11"/>
      <color theme="0" tint="-0.499984740745262"/>
      <name val="Calibri"/>
      <family val="2"/>
      <scheme val="minor"/>
    </font>
    <font>
      <b/>
      <vertAlign val="subscript"/>
      <sz val="11"/>
      <name val="Calibri"/>
      <family val="2"/>
    </font>
    <font>
      <vertAlign val="superscript"/>
      <sz val="11"/>
      <color theme="1"/>
      <name val="Calibri"/>
      <family val="2"/>
      <charset val="238"/>
      <scheme val="minor"/>
    </font>
    <font>
      <b/>
      <sz val="11"/>
      <color indexed="8"/>
      <name val="Calibri"/>
      <family val="2"/>
      <charset val="238"/>
      <scheme val="minor"/>
    </font>
  </fonts>
  <fills count="33">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2" tint="-9.9978637043366805E-2"/>
        <bgColor indexed="64"/>
      </patternFill>
    </fill>
    <fill>
      <patternFill patternType="solid">
        <fgColor rgb="FFDCE6F1"/>
        <bgColor indexed="64"/>
      </patternFill>
    </fill>
    <fill>
      <patternFill patternType="solid">
        <fgColor rgb="FFDDD9C4"/>
        <bgColor indexed="64"/>
      </patternFill>
    </fill>
    <fill>
      <patternFill patternType="solid">
        <fgColor rgb="FFEBF1DE"/>
        <bgColor indexed="64"/>
      </patternFill>
    </fill>
    <fill>
      <patternFill patternType="solid">
        <fgColor indexed="11"/>
        <bgColor indexed="64"/>
      </patternFill>
    </fill>
    <fill>
      <patternFill patternType="solid">
        <fgColor theme="9" tint="0.79995117038483843"/>
        <bgColor indexed="64"/>
      </patternFill>
    </fill>
    <fill>
      <patternFill patternType="solid">
        <fgColor theme="2" tint="-0.249977111117893"/>
        <bgColor indexed="64"/>
      </patternFill>
    </fill>
    <fill>
      <patternFill patternType="solid">
        <fgColor rgb="FF2B8DD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C00000"/>
        <bgColor indexed="64"/>
      </patternFill>
    </fill>
    <fill>
      <patternFill patternType="solid">
        <fgColor rgb="FFB7DEE8"/>
        <bgColor indexed="64"/>
      </patternFill>
    </fill>
    <fill>
      <patternFill patternType="solid">
        <fgColor rgb="FFC4BD97"/>
        <bgColor indexed="64"/>
      </patternFill>
    </fill>
    <fill>
      <patternFill patternType="solid">
        <fgColor theme="8" tint="0.39997558519241921"/>
        <bgColor indexed="64"/>
      </patternFill>
    </fill>
    <fill>
      <patternFill patternType="solid">
        <fgColor rgb="FFC0C0C0"/>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rgb="FF2B8DD5"/>
        <bgColor indexed="9"/>
      </patternFill>
    </fill>
    <fill>
      <patternFill patternType="solid">
        <fgColor rgb="FF76933C"/>
        <bgColor indexed="64"/>
      </patternFill>
    </fill>
    <fill>
      <patternFill patternType="solid">
        <fgColor theme="7" tint="0.79998168889431442"/>
        <bgColor indexed="64"/>
      </patternFill>
    </fill>
    <fill>
      <patternFill patternType="solid">
        <fgColor rgb="FFE4DFEC"/>
        <bgColor indexed="64"/>
      </patternFill>
    </fill>
    <fill>
      <patternFill patternType="solid">
        <fgColor theme="6" tint="0.39997558519241921"/>
        <bgColor indexed="64"/>
      </patternFill>
    </fill>
  </fills>
  <borders count="162">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right style="medium">
        <color indexed="8"/>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ck">
        <color indexed="64"/>
      </right>
      <top/>
      <bottom/>
      <diagonal/>
    </border>
    <border>
      <left style="medium">
        <color indexed="8"/>
      </left>
      <right style="medium">
        <color indexed="8"/>
      </right>
      <top style="medium">
        <color indexed="8"/>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8"/>
      </left>
      <right style="medium">
        <color indexed="8"/>
      </right>
      <top style="medium">
        <color indexed="8"/>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auto="1"/>
      </left>
      <right style="thin">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8"/>
      </left>
      <right style="medium">
        <color indexed="8"/>
      </right>
      <top style="medium">
        <color indexed="8"/>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indexed="64"/>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indexed="64"/>
      </right>
      <top style="medium">
        <color auto="1"/>
      </top>
      <bottom style="medium">
        <color indexed="64"/>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thin">
        <color indexed="23"/>
      </right>
      <top/>
      <bottom style="thin">
        <color indexed="23"/>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indexed="64"/>
      </top>
      <bottom style="thin">
        <color indexed="64"/>
      </bottom>
      <diagonal/>
    </border>
    <border>
      <left style="thin">
        <color auto="1"/>
      </left>
      <right style="medium">
        <color indexed="64"/>
      </right>
      <top style="thin">
        <color auto="1"/>
      </top>
      <bottom style="medium">
        <color indexed="64"/>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64"/>
      </left>
      <right style="thin">
        <color indexed="64"/>
      </right>
      <top style="thin">
        <color indexed="64"/>
      </top>
      <bottom style="thin">
        <color indexed="64"/>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indexed="64"/>
      </left>
      <right/>
      <top style="thin">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indexed="64"/>
      </left>
      <right style="medium">
        <color indexed="64"/>
      </right>
      <top style="medium">
        <color indexed="64"/>
      </top>
      <bottom/>
      <diagonal/>
    </border>
  </borders>
  <cellStyleXfs count="38">
    <xf numFmtId="0" fontId="0" fillId="0" borderId="0"/>
    <xf numFmtId="0" fontId="18" fillId="0" borderId="0"/>
    <xf numFmtId="0" fontId="35" fillId="0" borderId="0"/>
    <xf numFmtId="0" fontId="17" fillId="0" borderId="0"/>
    <xf numFmtId="0" fontId="16" fillId="0" borderId="0"/>
    <xf numFmtId="0" fontId="33" fillId="0" borderId="0"/>
    <xf numFmtId="164" fontId="33" fillId="0" borderId="0" applyFont="0" applyFill="0" applyBorder="0" applyAlignment="0" applyProtection="0"/>
    <xf numFmtId="0" fontId="15" fillId="0" borderId="0"/>
    <xf numFmtId="0" fontId="15" fillId="0" borderId="0"/>
    <xf numFmtId="0" fontId="15"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33" fillId="0" borderId="0"/>
    <xf numFmtId="0" fontId="12" fillId="0" borderId="0"/>
    <xf numFmtId="0" fontId="12" fillId="0" borderId="0"/>
    <xf numFmtId="0" fontId="12" fillId="0" borderId="0"/>
    <xf numFmtId="0" fontId="11" fillId="0" borderId="0"/>
    <xf numFmtId="0" fontId="10" fillId="0" borderId="0"/>
    <xf numFmtId="0" fontId="10" fillId="0" borderId="0"/>
    <xf numFmtId="0" fontId="10" fillId="0" borderId="0"/>
    <xf numFmtId="0" fontId="61" fillId="0" borderId="0"/>
    <xf numFmtId="0" fontId="8" fillId="0" borderId="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72" fillId="0" borderId="0" applyNumberFormat="0" applyFill="0" applyBorder="0" applyAlignment="0" applyProtection="0"/>
    <xf numFmtId="0" fontId="4" fillId="0" borderId="0"/>
    <xf numFmtId="0" fontId="4" fillId="0" borderId="0"/>
    <xf numFmtId="0" fontId="4" fillId="0" borderId="0"/>
  </cellStyleXfs>
  <cellXfs count="1213">
    <xf numFmtId="0" fontId="0" fillId="0" borderId="0" xfId="0"/>
    <xf numFmtId="0" fontId="19" fillId="0" borderId="0" xfId="0" applyFont="1"/>
    <xf numFmtId="0" fontId="19" fillId="0" borderId="5" xfId="0" applyFont="1" applyBorder="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23" fillId="0" borderId="0" xfId="0" applyFont="1" applyAlignment="1">
      <alignment horizontal="center" vertical="center"/>
    </xf>
    <xf numFmtId="0" fontId="0" fillId="0" borderId="6" xfId="0" applyBorder="1"/>
    <xf numFmtId="0" fontId="0" fillId="0" borderId="0" xfId="0" applyAlignment="1">
      <alignment vertical="top"/>
    </xf>
    <xf numFmtId="0" fontId="0" fillId="2" borderId="0" xfId="0" applyFill="1"/>
    <xf numFmtId="0" fontId="24" fillId="3" borderId="17" xfId="0" applyFont="1" applyFill="1" applyBorder="1"/>
    <xf numFmtId="0" fontId="24" fillId="3" borderId="18" xfId="0" applyFont="1" applyFill="1" applyBorder="1"/>
    <xf numFmtId="0" fontId="24" fillId="3" borderId="19" xfId="0" applyFont="1" applyFill="1" applyBorder="1"/>
    <xf numFmtId="0" fontId="25" fillId="0" borderId="0" xfId="0" applyFont="1" applyAlignment="1">
      <alignment horizontal="left" vertical="center"/>
    </xf>
    <xf numFmtId="0" fontId="19" fillId="0" borderId="0" xfId="0" applyFont="1" applyAlignment="1">
      <alignment horizontal="center" vertical="center" wrapText="1"/>
    </xf>
    <xf numFmtId="0" fontId="25" fillId="0" borderId="29" xfId="0" applyFont="1" applyBorder="1" applyAlignment="1">
      <alignment horizontal="left" vertical="center"/>
    </xf>
    <xf numFmtId="0" fontId="25" fillId="0" borderId="4" xfId="0" applyFont="1" applyBorder="1" applyAlignment="1">
      <alignment horizontal="left" vertical="center"/>
    </xf>
    <xf numFmtId="0" fontId="25" fillId="0" borderId="18" xfId="0" applyFont="1" applyBorder="1" applyAlignment="1">
      <alignment horizontal="left" vertical="center"/>
    </xf>
    <xf numFmtId="0" fontId="25" fillId="0" borderId="28" xfId="0" applyFont="1" applyBorder="1" applyAlignment="1">
      <alignment horizontal="left" vertical="center"/>
    </xf>
    <xf numFmtId="0" fontId="25" fillId="0" borderId="27" xfId="0" applyFont="1" applyBorder="1" applyAlignment="1">
      <alignment horizontal="left" vertical="center"/>
    </xf>
    <xf numFmtId="0" fontId="25" fillId="0" borderId="0" xfId="1" applyFont="1"/>
    <xf numFmtId="0" fontId="18" fillId="0" borderId="0" xfId="1"/>
    <xf numFmtId="0" fontId="34" fillId="4" borderId="2" xfId="1" applyFont="1" applyFill="1" applyBorder="1"/>
    <xf numFmtId="0" fontId="25" fillId="4" borderId="12" xfId="1" applyFont="1" applyFill="1" applyBorder="1" applyAlignment="1">
      <alignment horizontal="center" vertical="center"/>
    </xf>
    <xf numFmtId="0" fontId="25" fillId="4" borderId="3" xfId="1" applyFont="1" applyFill="1" applyBorder="1" applyAlignment="1">
      <alignment horizontal="center" vertical="center"/>
    </xf>
    <xf numFmtId="0" fontId="25" fillId="4" borderId="2" xfId="1" applyFont="1" applyFill="1" applyBorder="1"/>
    <xf numFmtId="0" fontId="18" fillId="4" borderId="12" xfId="1" applyFill="1" applyBorder="1" applyAlignment="1">
      <alignment horizontal="center" vertical="center"/>
    </xf>
    <xf numFmtId="0" fontId="18" fillId="4" borderId="3" xfId="1" applyFill="1" applyBorder="1" applyAlignment="1">
      <alignment horizontal="center" vertical="center"/>
    </xf>
    <xf numFmtId="0" fontId="18" fillId="0" borderId="0" xfId="1" applyAlignment="1">
      <alignment horizontal="center" vertical="center"/>
    </xf>
    <xf numFmtId="0" fontId="25" fillId="4" borderId="30" xfId="1" applyFont="1" applyFill="1" applyBorder="1"/>
    <xf numFmtId="0" fontId="18" fillId="4" borderId="0" xfId="1" applyFill="1" applyAlignment="1">
      <alignment horizontal="center" vertical="center"/>
    </xf>
    <xf numFmtId="0" fontId="18" fillId="4" borderId="21" xfId="1" applyFill="1" applyBorder="1" applyAlignment="1">
      <alignment horizontal="center" vertical="center"/>
    </xf>
    <xf numFmtId="0" fontId="25" fillId="4" borderId="31" xfId="1" applyFont="1" applyFill="1" applyBorder="1"/>
    <xf numFmtId="0" fontId="18" fillId="4" borderId="23" xfId="1" applyFill="1" applyBorder="1" applyAlignment="1">
      <alignment horizontal="center" vertical="center"/>
    </xf>
    <xf numFmtId="0" fontId="18" fillId="4" borderId="24" xfId="1" applyFill="1" applyBorder="1" applyAlignment="1">
      <alignment horizontal="center" vertical="center"/>
    </xf>
    <xf numFmtId="0" fontId="18" fillId="4" borderId="4" xfId="1" applyFill="1" applyBorder="1" applyAlignment="1">
      <alignment horizontal="center" vertical="center"/>
    </xf>
    <xf numFmtId="0" fontId="18" fillId="4" borderId="31" xfId="1" applyFill="1" applyBorder="1" applyAlignment="1">
      <alignment horizontal="center" vertical="center"/>
    </xf>
    <xf numFmtId="0" fontId="25" fillId="4" borderId="4" xfId="1" applyFont="1" applyFill="1" applyBorder="1"/>
    <xf numFmtId="0" fontId="18" fillId="4" borderId="27" xfId="1" applyFill="1" applyBorder="1" applyAlignment="1">
      <alignment horizontal="center" vertical="center"/>
    </xf>
    <xf numFmtId="11" fontId="18" fillId="4" borderId="23" xfId="1" applyNumberFormat="1" applyFill="1" applyBorder="1" applyAlignment="1">
      <alignment horizontal="center" vertical="center"/>
    </xf>
    <xf numFmtId="0" fontId="18" fillId="4" borderId="33" xfId="1" applyFill="1" applyBorder="1" applyAlignment="1">
      <alignment horizontal="center" vertical="center"/>
    </xf>
    <xf numFmtId="0" fontId="38" fillId="0" borderId="0" xfId="0" applyFont="1" applyAlignment="1">
      <alignment vertical="center"/>
    </xf>
    <xf numFmtId="0" fontId="38" fillId="0" borderId="0" xfId="0" applyFont="1"/>
    <xf numFmtId="0" fontId="0" fillId="6" borderId="0" xfId="0" applyFill="1"/>
    <xf numFmtId="0" fontId="23" fillId="6" borderId="0" xfId="0" applyFont="1" applyFill="1" applyAlignment="1">
      <alignment horizontal="center" vertical="center" wrapText="1"/>
    </xf>
    <xf numFmtId="0" fontId="29" fillId="6" borderId="0" xfId="0" applyFont="1" applyFill="1" applyAlignment="1">
      <alignment horizontal="center" vertical="center" wrapText="1"/>
    </xf>
    <xf numFmtId="0" fontId="23" fillId="6" borderId="0" xfId="0" applyFont="1" applyFill="1" applyAlignment="1">
      <alignment horizontal="center" vertical="center"/>
    </xf>
    <xf numFmtId="0" fontId="22" fillId="6" borderId="0" xfId="0" applyFont="1" applyFill="1" applyAlignment="1">
      <alignment horizontal="center" vertical="center"/>
    </xf>
    <xf numFmtId="0" fontId="30" fillId="7" borderId="0" xfId="0" applyFont="1" applyFill="1"/>
    <xf numFmtId="0" fontId="0" fillId="7" borderId="0" xfId="0" applyFill="1"/>
    <xf numFmtId="0" fontId="19" fillId="7" borderId="1" xfId="0" applyFont="1" applyFill="1" applyBorder="1" applyAlignment="1">
      <alignment horizontal="center" vertical="center" wrapText="1"/>
    </xf>
    <xf numFmtId="0" fontId="19" fillId="7" borderId="4" xfId="0" applyFont="1" applyFill="1" applyBorder="1" applyAlignment="1">
      <alignment horizontal="center" vertical="center"/>
    </xf>
    <xf numFmtId="0" fontId="25" fillId="7" borderId="29" xfId="0" applyFont="1" applyFill="1" applyBorder="1" applyAlignment="1">
      <alignment horizontal="left" vertical="center"/>
    </xf>
    <xf numFmtId="0" fontId="25" fillId="7" borderId="4" xfId="0" applyFont="1" applyFill="1" applyBorder="1" applyAlignment="1">
      <alignment horizontal="left" vertical="center"/>
    </xf>
    <xf numFmtId="0" fontId="25" fillId="7" borderId="18" xfId="0" applyFont="1" applyFill="1" applyBorder="1" applyAlignment="1">
      <alignment horizontal="left" vertical="center"/>
    </xf>
    <xf numFmtId="0" fontId="25" fillId="7" borderId="28" xfId="0" applyFont="1" applyFill="1" applyBorder="1" applyAlignment="1">
      <alignment horizontal="left" vertical="center"/>
    </xf>
    <xf numFmtId="0" fontId="25" fillId="7" borderId="27" xfId="0" applyFont="1" applyFill="1" applyBorder="1" applyAlignment="1">
      <alignment horizontal="left" vertical="center"/>
    </xf>
    <xf numFmtId="0" fontId="25" fillId="7" borderId="25" xfId="0" applyFont="1" applyFill="1" applyBorder="1" applyAlignment="1">
      <alignment horizontal="left" vertical="center" wrapText="1"/>
    </xf>
    <xf numFmtId="0" fontId="25" fillId="7" borderId="0" xfId="0" applyFont="1" applyFill="1" applyAlignment="1">
      <alignment horizontal="left" vertical="center"/>
    </xf>
    <xf numFmtId="0" fontId="19" fillId="7" borderId="5" xfId="0" applyFont="1" applyFill="1" applyBorder="1" applyAlignment="1">
      <alignment vertical="top" wrapText="1"/>
    </xf>
    <xf numFmtId="0" fontId="0" fillId="0" borderId="0" xfId="0" applyAlignment="1">
      <alignment horizontal="left"/>
    </xf>
    <xf numFmtId="165" fontId="19" fillId="0" borderId="0" xfId="0" applyNumberFormat="1" applyFont="1" applyAlignment="1">
      <alignment horizontal="center" vertical="center"/>
    </xf>
    <xf numFmtId="165" fontId="0" fillId="0" borderId="0" xfId="0" applyNumberFormat="1" applyAlignment="1">
      <alignment horizontal="center" vertical="center"/>
    </xf>
    <xf numFmtId="165" fontId="25" fillId="0" borderId="0" xfId="0" applyNumberFormat="1" applyFont="1" applyAlignment="1">
      <alignment horizontal="center" vertical="center"/>
    </xf>
    <xf numFmtId="0" fontId="19" fillId="7" borderId="27" xfId="0" applyFont="1" applyFill="1" applyBorder="1" applyAlignment="1">
      <alignment horizontal="center" vertical="center" wrapText="1"/>
    </xf>
    <xf numFmtId="0" fontId="19" fillId="6" borderId="0" xfId="0" applyFont="1" applyFill="1" applyAlignment="1">
      <alignment horizontal="center" vertical="center"/>
    </xf>
    <xf numFmtId="0" fontId="19" fillId="0" borderId="0" xfId="0" applyFont="1" applyAlignment="1">
      <alignment horizontal="center" vertical="center"/>
    </xf>
    <xf numFmtId="0" fontId="44" fillId="5" borderId="6" xfId="0" applyFont="1" applyFill="1" applyBorder="1" applyAlignment="1">
      <alignment horizontal="center" vertical="center"/>
    </xf>
    <xf numFmtId="0" fontId="0" fillId="6" borderId="0" xfId="0" applyFill="1" applyAlignment="1">
      <alignment horizontal="left"/>
    </xf>
    <xf numFmtId="0" fontId="38" fillId="0" borderId="6" xfId="0" applyFont="1" applyBorder="1"/>
    <xf numFmtId="0" fontId="38" fillId="0" borderId="6" xfId="0" applyFont="1" applyBorder="1" applyAlignment="1">
      <alignment wrapText="1"/>
    </xf>
    <xf numFmtId="0" fontId="39" fillId="6" borderId="0" xfId="0" applyFont="1" applyFill="1"/>
    <xf numFmtId="0" fontId="19" fillId="7" borderId="26" xfId="0" applyFont="1" applyFill="1" applyBorder="1" applyAlignment="1">
      <alignment horizontal="center" vertical="center" wrapText="1"/>
    </xf>
    <xf numFmtId="0" fontId="38" fillId="0" borderId="6" xfId="0" applyFont="1" applyBorder="1" applyAlignment="1">
      <alignment vertical="center"/>
    </xf>
    <xf numFmtId="0" fontId="46" fillId="0" borderId="0" xfId="0" applyFont="1"/>
    <xf numFmtId="0" fontId="25" fillId="0" borderId="0" xfId="3" applyFont="1" applyAlignment="1">
      <alignment horizontal="center" vertical="center" wrapText="1"/>
    </xf>
    <xf numFmtId="0" fontId="36" fillId="6" borderId="0" xfId="0" applyFont="1" applyFill="1"/>
    <xf numFmtId="0" fontId="36" fillId="0" borderId="0" xfId="0" applyFont="1"/>
    <xf numFmtId="0" fontId="37" fillId="0" borderId="0" xfId="0" applyFont="1"/>
    <xf numFmtId="167" fontId="0" fillId="0" borderId="0" xfId="0" applyNumberFormat="1" applyAlignment="1">
      <alignment horizontal="center" vertical="center"/>
    </xf>
    <xf numFmtId="0" fontId="0" fillId="0" borderId="0" xfId="0" quotePrefix="1" applyAlignment="1">
      <alignment horizontal="center" vertical="center"/>
    </xf>
    <xf numFmtId="0" fontId="38" fillId="0" borderId="6" xfId="0" applyFont="1" applyBorder="1" applyAlignment="1">
      <alignment horizontal="left" vertical="center"/>
    </xf>
    <xf numFmtId="0" fontId="36" fillId="0" borderId="6" xfId="0" applyFont="1" applyBorder="1" applyAlignment="1">
      <alignment horizontal="center" vertical="center"/>
    </xf>
    <xf numFmtId="0" fontId="38" fillId="0" borderId="6" xfId="0" applyFont="1" applyBorder="1" applyAlignment="1">
      <alignment horizontal="center" vertical="center"/>
    </xf>
    <xf numFmtId="0" fontId="36" fillId="0" borderId="6" xfId="0" applyFont="1" applyBorder="1" applyAlignment="1">
      <alignment horizontal="left" vertical="center"/>
    </xf>
    <xf numFmtId="165" fontId="36" fillId="0" borderId="6" xfId="0" applyNumberFormat="1" applyFont="1" applyBorder="1" applyAlignment="1">
      <alignment horizontal="center" vertical="center"/>
    </xf>
    <xf numFmtId="164" fontId="0" fillId="0" borderId="0" xfId="6" applyFont="1"/>
    <xf numFmtId="0" fontId="0" fillId="5" borderId="6" xfId="0" applyFill="1" applyBorder="1" applyAlignment="1">
      <alignment horizontal="center" vertical="center"/>
    </xf>
    <xf numFmtId="0" fontId="36" fillId="0" borderId="6" xfId="0" quotePrefix="1" applyFont="1" applyBorder="1" applyAlignment="1">
      <alignment horizontal="center" vertical="center"/>
    </xf>
    <xf numFmtId="0" fontId="36" fillId="0" borderId="0" xfId="0" applyFont="1" applyAlignment="1">
      <alignment horizontal="left" vertical="center"/>
    </xf>
    <xf numFmtId="165" fontId="36" fillId="0" borderId="0" xfId="0" applyNumberFormat="1" applyFont="1" applyAlignment="1">
      <alignment horizontal="center" vertical="center"/>
    </xf>
    <xf numFmtId="0" fontId="36" fillId="0" borderId="0" xfId="0" applyFont="1" applyAlignment="1">
      <alignment horizontal="center" vertical="center"/>
    </xf>
    <xf numFmtId="2" fontId="36" fillId="0" borderId="6" xfId="0" applyNumberFormat="1" applyFont="1" applyBorder="1" applyAlignment="1">
      <alignment horizontal="center" vertical="center"/>
    </xf>
    <xf numFmtId="0" fontId="49" fillId="0" borderId="7" xfId="3" applyFont="1" applyBorder="1" applyAlignment="1">
      <alignment horizontal="left" vertical="center" wrapText="1"/>
    </xf>
    <xf numFmtId="0" fontId="52" fillId="0" borderId="36" xfId="3" applyFont="1" applyBorder="1" applyAlignment="1">
      <alignment horizontal="left" vertical="center" wrapText="1"/>
    </xf>
    <xf numFmtId="2" fontId="36" fillId="0" borderId="15" xfId="0" applyNumberFormat="1" applyFont="1" applyBorder="1" applyAlignment="1">
      <alignment horizontal="center" vertical="center"/>
    </xf>
    <xf numFmtId="0" fontId="36" fillId="0" borderId="15" xfId="0" applyFont="1" applyBorder="1" applyAlignment="1">
      <alignment horizontal="center" vertical="center"/>
    </xf>
    <xf numFmtId="0" fontId="36" fillId="0" borderId="37" xfId="0" applyFont="1" applyBorder="1"/>
    <xf numFmtId="0" fontId="52" fillId="0" borderId="7" xfId="3" applyFont="1" applyBorder="1" applyAlignment="1">
      <alignment horizontal="left" vertical="center" wrapText="1"/>
    </xf>
    <xf numFmtId="0" fontId="36" fillId="0" borderId="8" xfId="0" applyFont="1" applyBorder="1"/>
    <xf numFmtId="0" fontId="36" fillId="0" borderId="10" xfId="0" applyFont="1" applyBorder="1" applyAlignment="1">
      <alignment horizontal="center" vertical="center"/>
    </xf>
    <xf numFmtId="0" fontId="0" fillId="8" borderId="8" xfId="0" applyFill="1" applyBorder="1"/>
    <xf numFmtId="0" fontId="0" fillId="10" borderId="8" xfId="0" applyFill="1" applyBorder="1"/>
    <xf numFmtId="0" fontId="0" fillId="11" borderId="8" xfId="0" applyFill="1" applyBorder="1"/>
    <xf numFmtId="0" fontId="0" fillId="9" borderId="8" xfId="0" applyFill="1" applyBorder="1"/>
    <xf numFmtId="0" fontId="0" fillId="6" borderId="10" xfId="0" applyFill="1" applyBorder="1" applyAlignment="1">
      <alignment horizontal="left" vertical="center"/>
    </xf>
    <xf numFmtId="0" fontId="0" fillId="6" borderId="8" xfId="0" applyFill="1" applyBorder="1"/>
    <xf numFmtId="0" fontId="0" fillId="6" borderId="10" xfId="0" applyFill="1" applyBorder="1" applyAlignment="1">
      <alignment horizontal="center" vertical="center"/>
    </xf>
    <xf numFmtId="0" fontId="0" fillId="6" borderId="10" xfId="0" quotePrefix="1" applyFill="1" applyBorder="1" applyAlignment="1">
      <alignment horizontal="center" vertical="center"/>
    </xf>
    <xf numFmtId="0" fontId="0" fillId="6" borderId="11" xfId="0" applyFill="1" applyBorder="1"/>
    <xf numFmtId="0" fontId="44" fillId="0" borderId="0" xfId="0" applyFont="1" applyAlignment="1">
      <alignment horizontal="left" vertical="center"/>
    </xf>
    <xf numFmtId="0" fontId="52" fillId="16" borderId="34" xfId="0" applyFont="1" applyFill="1" applyBorder="1" applyAlignment="1">
      <alignment horizontal="left" vertical="center"/>
    </xf>
    <xf numFmtId="0" fontId="52" fillId="16" borderId="16" xfId="0" applyFont="1" applyFill="1" applyBorder="1" applyAlignment="1">
      <alignment horizontal="left" vertical="center"/>
    </xf>
    <xf numFmtId="0" fontId="52" fillId="16" borderId="16" xfId="0" applyFont="1" applyFill="1" applyBorder="1" applyAlignment="1">
      <alignment horizontal="center" vertical="center"/>
    </xf>
    <xf numFmtId="0" fontId="52" fillId="16" borderId="35" xfId="0" applyFont="1" applyFill="1" applyBorder="1" applyAlignment="1">
      <alignment horizontal="left" vertical="center"/>
    </xf>
    <xf numFmtId="0" fontId="36" fillId="0" borderId="15" xfId="0" applyFont="1" applyBorder="1"/>
    <xf numFmtId="0" fontId="38" fillId="0" borderId="15" xfId="0" applyFont="1" applyBorder="1" applyAlignment="1">
      <alignment horizontal="center" vertical="center"/>
    </xf>
    <xf numFmtId="0" fontId="38" fillId="0" borderId="8" xfId="0" applyFont="1" applyBorder="1" applyAlignment="1">
      <alignment horizontal="center" vertical="center"/>
    </xf>
    <xf numFmtId="0" fontId="36" fillId="0" borderId="6" xfId="0" applyFont="1" applyBorder="1" applyAlignment="1">
      <alignment horizontal="center"/>
    </xf>
    <xf numFmtId="0" fontId="36" fillId="0" borderId="10" xfId="0" applyFont="1" applyBorder="1" applyAlignment="1">
      <alignment horizontal="center"/>
    </xf>
    <xf numFmtId="0" fontId="22" fillId="0" borderId="41" xfId="0" applyFont="1" applyBorder="1" applyAlignment="1">
      <alignment horizontal="center" vertical="center"/>
    </xf>
    <xf numFmtId="0" fontId="14" fillId="0" borderId="0" xfId="13"/>
    <xf numFmtId="0" fontId="44" fillId="0" borderId="0" xfId="0" applyFont="1" applyAlignment="1">
      <alignment horizontal="center" vertical="center"/>
    </xf>
    <xf numFmtId="0" fontId="56" fillId="7" borderId="4" xfId="0" applyFont="1" applyFill="1" applyBorder="1" applyAlignment="1">
      <alignment horizontal="center" vertical="center" wrapText="1"/>
    </xf>
    <xf numFmtId="0" fontId="44" fillId="0" borderId="0" xfId="0" applyFont="1"/>
    <xf numFmtId="0" fontId="57" fillId="16" borderId="34" xfId="0" applyFont="1" applyFill="1" applyBorder="1" applyAlignment="1">
      <alignment horizontal="center" vertical="center" wrapText="1"/>
    </xf>
    <xf numFmtId="0" fontId="57" fillId="16" borderId="16" xfId="0" applyFont="1" applyFill="1" applyBorder="1" applyAlignment="1">
      <alignment horizontal="center" vertical="center" wrapText="1"/>
    </xf>
    <xf numFmtId="0" fontId="57" fillId="16" borderId="35" xfId="0" applyFont="1" applyFill="1" applyBorder="1" applyAlignment="1">
      <alignment horizontal="center" vertical="center" wrapText="1"/>
    </xf>
    <xf numFmtId="0" fontId="38" fillId="0" borderId="10" xfId="0" applyFont="1" applyBorder="1" applyAlignment="1">
      <alignment horizontal="center" vertical="center"/>
    </xf>
    <xf numFmtId="0" fontId="36" fillId="0" borderId="10" xfId="0" applyFont="1" applyBorder="1" applyAlignment="1">
      <alignment horizontal="left" vertical="center"/>
    </xf>
    <xf numFmtId="165" fontId="36" fillId="0" borderId="10" xfId="0" applyNumberFormat="1" applyFont="1" applyBorder="1" applyAlignment="1">
      <alignment horizontal="center" vertical="center"/>
    </xf>
    <xf numFmtId="0" fontId="52" fillId="16" borderId="46" xfId="0" applyFont="1" applyFill="1" applyBorder="1" applyAlignment="1">
      <alignment horizontal="center" vertical="center"/>
    </xf>
    <xf numFmtId="165" fontId="52" fillId="16" borderId="46" xfId="0" applyNumberFormat="1" applyFont="1" applyFill="1" applyBorder="1" applyAlignment="1">
      <alignment horizontal="center" vertical="center"/>
    </xf>
    <xf numFmtId="0" fontId="52" fillId="16" borderId="43" xfId="0" applyFont="1" applyFill="1" applyBorder="1" applyAlignment="1">
      <alignment horizontal="center" vertical="center"/>
    </xf>
    <xf numFmtId="0" fontId="36" fillId="0" borderId="15" xfId="0" applyFont="1" applyBorder="1" applyAlignment="1">
      <alignment horizontal="left" vertical="center"/>
    </xf>
    <xf numFmtId="0" fontId="36" fillId="0" borderId="7" xfId="0" applyFont="1" applyBorder="1" applyAlignment="1">
      <alignment horizontal="left" vertical="center"/>
    </xf>
    <xf numFmtId="165" fontId="38" fillId="0" borderId="15" xfId="0" quotePrefix="1" applyNumberFormat="1" applyFont="1" applyBorder="1" applyAlignment="1">
      <alignment horizontal="center" vertical="center"/>
    </xf>
    <xf numFmtId="0" fontId="36" fillId="0" borderId="9" xfId="0" applyFont="1" applyBorder="1" applyAlignment="1">
      <alignment horizontal="left" vertical="center"/>
    </xf>
    <xf numFmtId="0" fontId="37" fillId="0" borderId="0" xfId="0" applyFont="1" applyAlignment="1">
      <alignment horizontal="center" vertical="center"/>
    </xf>
    <xf numFmtId="0" fontId="52" fillId="0" borderId="0" xfId="0" applyFont="1" applyAlignment="1">
      <alignment horizontal="center" vertical="center"/>
    </xf>
    <xf numFmtId="0" fontId="37" fillId="0" borderId="0" xfId="0" applyFont="1" applyAlignment="1">
      <alignment horizontal="center" vertical="center" wrapText="1"/>
    </xf>
    <xf numFmtId="0" fontId="52" fillId="16" borderId="46" xfId="0" applyFont="1" applyFill="1" applyBorder="1" applyAlignment="1">
      <alignment horizontal="center" vertical="center" wrapText="1"/>
    </xf>
    <xf numFmtId="0" fontId="38" fillId="0" borderId="6" xfId="0" applyFont="1" applyBorder="1" applyAlignment="1">
      <alignment horizontal="center"/>
    </xf>
    <xf numFmtId="0" fontId="52" fillId="16" borderId="43" xfId="0" applyFont="1" applyFill="1" applyBorder="1" applyAlignment="1">
      <alignment horizontal="center" vertical="center" wrapText="1"/>
    </xf>
    <xf numFmtId="0" fontId="56" fillId="6" borderId="0" xfId="0" applyFont="1" applyFill="1" applyAlignment="1">
      <alignment horizontal="center" vertical="center" wrapText="1"/>
    </xf>
    <xf numFmtId="0" fontId="44" fillId="6" borderId="0" xfId="0" applyFont="1" applyFill="1" applyAlignment="1">
      <alignment horizontal="center" vertical="center"/>
    </xf>
    <xf numFmtId="0" fontId="56" fillId="0" borderId="0" xfId="0" applyFont="1" applyAlignment="1">
      <alignment horizontal="center" vertical="center"/>
    </xf>
    <xf numFmtId="0" fontId="44" fillId="8" borderId="49" xfId="0" applyFont="1" applyFill="1" applyBorder="1" applyAlignment="1">
      <alignment horizontal="left" vertical="center" wrapText="1"/>
    </xf>
    <xf numFmtId="165" fontId="44" fillId="8" borderId="49" xfId="0" applyNumberFormat="1" applyFont="1" applyFill="1" applyBorder="1" applyAlignment="1">
      <alignment horizontal="center" vertical="center" wrapText="1"/>
    </xf>
    <xf numFmtId="0" fontId="44" fillId="8" borderId="49" xfId="0" applyFont="1" applyFill="1" applyBorder="1" applyAlignment="1">
      <alignment horizontal="center" vertical="center" wrapText="1"/>
    </xf>
    <xf numFmtId="0" fontId="44" fillId="8" borderId="50" xfId="0" applyFont="1" applyFill="1" applyBorder="1" applyAlignment="1">
      <alignment horizontal="center" vertical="center" wrapText="1"/>
    </xf>
    <xf numFmtId="0" fontId="44" fillId="8" borderId="6" xfId="0" applyFont="1" applyFill="1" applyBorder="1" applyAlignment="1">
      <alignment horizontal="left" vertical="center" wrapText="1"/>
    </xf>
    <xf numFmtId="165" fontId="44" fillId="8" borderId="6" xfId="0" applyNumberFormat="1" applyFont="1" applyFill="1" applyBorder="1" applyAlignment="1">
      <alignment horizontal="center" vertical="center" wrapText="1"/>
    </xf>
    <xf numFmtId="0" fontId="44" fillId="8" borderId="6" xfId="0" applyFont="1" applyFill="1" applyBorder="1" applyAlignment="1">
      <alignment horizontal="center" vertical="center" wrapText="1"/>
    </xf>
    <xf numFmtId="0" fontId="44" fillId="8" borderId="8" xfId="0" applyFont="1" applyFill="1" applyBorder="1" applyAlignment="1">
      <alignment horizontal="center" vertical="center" wrapText="1"/>
    </xf>
    <xf numFmtId="2" fontId="44" fillId="8" borderId="6" xfId="0" applyNumberFormat="1" applyFont="1" applyFill="1" applyBorder="1" applyAlignment="1">
      <alignment horizontal="center" vertical="center" wrapText="1"/>
    </xf>
    <xf numFmtId="0" fontId="44" fillId="8" borderId="6" xfId="0" quotePrefix="1" applyFont="1" applyFill="1" applyBorder="1" applyAlignment="1">
      <alignment horizontal="center" vertical="center" wrapText="1"/>
    </xf>
    <xf numFmtId="0" fontId="44" fillId="8" borderId="10" xfId="0" applyFont="1" applyFill="1" applyBorder="1" applyAlignment="1">
      <alignment horizontal="left" vertical="center" wrapText="1"/>
    </xf>
    <xf numFmtId="165" fontId="44" fillId="8" borderId="10" xfId="0" applyNumberFormat="1" applyFont="1" applyFill="1" applyBorder="1" applyAlignment="1">
      <alignment horizontal="center" vertical="center" wrapText="1"/>
    </xf>
    <xf numFmtId="0" fontId="44" fillId="8" borderId="10" xfId="0" applyFont="1" applyFill="1" applyBorder="1" applyAlignment="1">
      <alignment horizontal="center" vertical="center" wrapText="1"/>
    </xf>
    <xf numFmtId="0" fontId="44" fillId="8" borderId="11" xfId="0" applyFont="1" applyFill="1" applyBorder="1" applyAlignment="1">
      <alignment horizontal="center" vertical="center" wrapText="1"/>
    </xf>
    <xf numFmtId="0" fontId="44" fillId="0" borderId="0" xfId="0" applyFont="1" applyAlignment="1">
      <alignment horizontal="left" vertical="center" wrapText="1"/>
    </xf>
    <xf numFmtId="2" fontId="44" fillId="0" borderId="0" xfId="0" applyNumberFormat="1" applyFont="1" applyAlignment="1">
      <alignment horizontal="center" vertical="center" wrapText="1"/>
    </xf>
    <xf numFmtId="0" fontId="44" fillId="0" borderId="0" xfId="0" applyFont="1" applyAlignment="1">
      <alignment horizontal="center" vertical="center" wrapText="1"/>
    </xf>
    <xf numFmtId="0" fontId="44" fillId="10" borderId="49" xfId="0" applyFont="1" applyFill="1" applyBorder="1" applyAlignment="1">
      <alignment horizontal="left" vertical="center" wrapText="1"/>
    </xf>
    <xf numFmtId="2" fontId="44" fillId="10" borderId="49" xfId="0" applyNumberFormat="1" applyFont="1" applyFill="1" applyBorder="1" applyAlignment="1">
      <alignment horizontal="center" vertical="center" wrapText="1"/>
    </xf>
    <xf numFmtId="0" fontId="44" fillId="10" borderId="49" xfId="0" applyFont="1" applyFill="1" applyBorder="1" applyAlignment="1">
      <alignment horizontal="center" vertical="center" wrapText="1"/>
    </xf>
    <xf numFmtId="0" fontId="44" fillId="10" borderId="50" xfId="0" applyFont="1" applyFill="1" applyBorder="1" applyAlignment="1">
      <alignment horizontal="center" vertical="center" wrapText="1"/>
    </xf>
    <xf numFmtId="0" fontId="44" fillId="10" borderId="6" xfId="0" applyFont="1" applyFill="1" applyBorder="1" applyAlignment="1">
      <alignment horizontal="left" vertical="center" wrapText="1"/>
    </xf>
    <xf numFmtId="165" fontId="44" fillId="10" borderId="6" xfId="0" applyNumberFormat="1" applyFont="1" applyFill="1" applyBorder="1" applyAlignment="1">
      <alignment horizontal="center" vertical="center" wrapText="1"/>
    </xf>
    <xf numFmtId="0" fontId="44" fillId="10" borderId="6" xfId="0" applyFont="1" applyFill="1" applyBorder="1" applyAlignment="1">
      <alignment horizontal="center" vertical="center" wrapText="1"/>
    </xf>
    <xf numFmtId="0" fontId="44" fillId="10" borderId="8" xfId="0" applyFont="1" applyFill="1" applyBorder="1" applyAlignment="1">
      <alignment horizontal="center" vertical="center" wrapText="1"/>
    </xf>
    <xf numFmtId="2" fontId="44" fillId="10" borderId="6" xfId="0" applyNumberFormat="1" applyFont="1" applyFill="1" applyBorder="1" applyAlignment="1">
      <alignment horizontal="center" vertical="center" wrapText="1"/>
    </xf>
    <xf numFmtId="0" fontId="44" fillId="10" borderId="10" xfId="0" applyFont="1" applyFill="1" applyBorder="1" applyAlignment="1">
      <alignment horizontal="left" vertical="center" wrapText="1"/>
    </xf>
    <xf numFmtId="2" fontId="44" fillId="10" borderId="10" xfId="0" applyNumberFormat="1" applyFont="1" applyFill="1" applyBorder="1" applyAlignment="1">
      <alignment horizontal="center" vertical="center" wrapText="1"/>
    </xf>
    <xf numFmtId="0" fontId="44" fillId="10" borderId="10" xfId="0" applyFont="1" applyFill="1" applyBorder="1" applyAlignment="1">
      <alignment horizontal="center" vertical="center" wrapText="1"/>
    </xf>
    <xf numFmtId="0" fontId="44" fillId="10" borderId="11" xfId="0" applyFont="1" applyFill="1" applyBorder="1" applyAlignment="1">
      <alignment horizontal="center" vertical="center" wrapText="1"/>
    </xf>
    <xf numFmtId="0" fontId="44" fillId="11" borderId="49" xfId="0" applyFont="1" applyFill="1" applyBorder="1" applyAlignment="1">
      <alignment horizontal="left" vertical="center"/>
    </xf>
    <xf numFmtId="2" fontId="44" fillId="11" borderId="49" xfId="0" applyNumberFormat="1" applyFont="1" applyFill="1" applyBorder="1" applyAlignment="1">
      <alignment horizontal="center" vertical="center"/>
    </xf>
    <xf numFmtId="0" fontId="44" fillId="11" borderId="49" xfId="0" applyFont="1" applyFill="1" applyBorder="1" applyAlignment="1">
      <alignment horizontal="center" vertical="center"/>
    </xf>
    <xf numFmtId="0" fontId="44" fillId="11" borderId="50" xfId="0" applyFont="1" applyFill="1" applyBorder="1" applyAlignment="1">
      <alignment horizontal="center" vertical="center"/>
    </xf>
    <xf numFmtId="0" fontId="44" fillId="11" borderId="6" xfId="0" applyFont="1" applyFill="1" applyBorder="1" applyAlignment="1">
      <alignment horizontal="left" vertical="center"/>
    </xf>
    <xf numFmtId="0" fontId="44" fillId="11" borderId="6" xfId="0" applyFont="1" applyFill="1" applyBorder="1" applyAlignment="1">
      <alignment horizontal="center" vertical="center"/>
    </xf>
    <xf numFmtId="0" fontId="44" fillId="11" borderId="8" xfId="0" applyFont="1" applyFill="1" applyBorder="1" applyAlignment="1">
      <alignment horizontal="center" vertical="center"/>
    </xf>
    <xf numFmtId="0" fontId="44" fillId="11" borderId="10" xfId="0" applyFont="1" applyFill="1" applyBorder="1" applyAlignment="1">
      <alignment horizontal="left" vertical="center"/>
    </xf>
    <xf numFmtId="0" fontId="44" fillId="11" borderId="10" xfId="0" applyFont="1" applyFill="1" applyBorder="1" applyAlignment="1">
      <alignment horizontal="center" vertical="center"/>
    </xf>
    <xf numFmtId="0" fontId="44" fillId="11" borderId="11" xfId="0" applyFont="1" applyFill="1" applyBorder="1" applyAlignment="1">
      <alignment horizontal="center" vertical="center"/>
    </xf>
    <xf numFmtId="167" fontId="44" fillId="0" borderId="0" xfId="0" applyNumberFormat="1" applyFont="1" applyAlignment="1">
      <alignment horizontal="center" vertical="center" wrapText="1"/>
    </xf>
    <xf numFmtId="0" fontId="38" fillId="0" borderId="15" xfId="0" applyFont="1" applyBorder="1" applyAlignment="1">
      <alignment horizontal="left" vertical="center" wrapText="1"/>
    </xf>
    <xf numFmtId="0" fontId="38" fillId="0" borderId="15" xfId="0" applyFont="1" applyBorder="1" applyAlignment="1">
      <alignment horizontal="center" vertical="center" wrapText="1"/>
    </xf>
    <xf numFmtId="0" fontId="38" fillId="0" borderId="37" xfId="0" applyFont="1" applyBorder="1" applyAlignment="1">
      <alignment horizontal="center" vertical="center" wrapText="1"/>
    </xf>
    <xf numFmtId="0" fontId="38" fillId="0" borderId="6" xfId="0" applyFont="1" applyBorder="1" applyAlignment="1">
      <alignment horizontal="left" vertical="center" wrapText="1"/>
    </xf>
    <xf numFmtId="167" fontId="38" fillId="0" borderId="6" xfId="0" applyNumberFormat="1" applyFont="1" applyBorder="1" applyAlignment="1">
      <alignment horizontal="center" vertical="center" wrapText="1"/>
    </xf>
    <xf numFmtId="0" fontId="38" fillId="0" borderId="6" xfId="0" applyFont="1" applyBorder="1" applyAlignment="1">
      <alignment horizontal="center" vertical="center" wrapText="1"/>
    </xf>
    <xf numFmtId="0" fontId="38" fillId="0" borderId="8" xfId="0" applyFont="1" applyBorder="1" applyAlignment="1">
      <alignment horizontal="center" vertical="center" wrapText="1"/>
    </xf>
    <xf numFmtId="2" fontId="38" fillId="0" borderId="6" xfId="0" applyNumberFormat="1" applyFont="1" applyBorder="1" applyAlignment="1">
      <alignment horizontal="center" vertical="center" wrapText="1"/>
    </xf>
    <xf numFmtId="0" fontId="38" fillId="0" borderId="6" xfId="0" quotePrefix="1" applyFont="1" applyBorder="1" applyAlignment="1">
      <alignment horizontal="center" vertical="center" wrapText="1"/>
    </xf>
    <xf numFmtId="0" fontId="38" fillId="0" borderId="10" xfId="0" applyFont="1" applyBorder="1" applyAlignment="1">
      <alignment horizontal="left" vertical="center" wrapText="1"/>
    </xf>
    <xf numFmtId="2" fontId="38" fillId="0" borderId="10" xfId="0" applyNumberFormat="1" applyFont="1" applyBorder="1" applyAlignment="1">
      <alignment horizontal="center" vertical="center" wrapText="1"/>
    </xf>
    <xf numFmtId="0" fontId="38" fillId="0" borderId="10" xfId="0" applyFont="1" applyBorder="1" applyAlignment="1">
      <alignment horizontal="center" vertical="center" wrapText="1"/>
    </xf>
    <xf numFmtId="0" fontId="38" fillId="0" borderId="10" xfId="0" quotePrefix="1" applyFont="1" applyBorder="1" applyAlignment="1">
      <alignment horizontal="center" vertical="center" wrapText="1"/>
    </xf>
    <xf numFmtId="0" fontId="38" fillId="0" borderId="11" xfId="0" applyFont="1" applyBorder="1" applyAlignment="1">
      <alignment horizontal="center" vertical="center" wrapText="1"/>
    </xf>
    <xf numFmtId="0" fontId="38" fillId="0" borderId="38" xfId="0" applyFont="1" applyBorder="1" applyAlignment="1">
      <alignment horizontal="left" vertical="center" wrapText="1"/>
    </xf>
    <xf numFmtId="0" fontId="38" fillId="0" borderId="38" xfId="0" applyFont="1" applyBorder="1" applyAlignment="1">
      <alignment horizontal="center" vertical="center" wrapText="1"/>
    </xf>
    <xf numFmtId="0" fontId="38" fillId="0" borderId="40" xfId="0" applyFont="1" applyBorder="1" applyAlignment="1">
      <alignment horizontal="center" vertical="center" wrapText="1"/>
    </xf>
    <xf numFmtId="0" fontId="38" fillId="0" borderId="38" xfId="0" quotePrefix="1" applyFont="1" applyBorder="1" applyAlignment="1">
      <alignment horizontal="center" vertical="center" wrapText="1"/>
    </xf>
    <xf numFmtId="166" fontId="44" fillId="0" borderId="0" xfId="0" applyNumberFormat="1" applyFont="1" applyAlignment="1">
      <alignment horizontal="center" vertical="center"/>
    </xf>
    <xf numFmtId="0" fontId="56" fillId="0" borderId="0" xfId="0" applyFont="1" applyAlignment="1">
      <alignment horizontal="left" vertical="center"/>
    </xf>
    <xf numFmtId="0" fontId="25" fillId="0" borderId="0" xfId="0" applyFont="1" applyAlignment="1">
      <alignment horizontal="center" vertical="center"/>
    </xf>
    <xf numFmtId="165" fontId="44" fillId="0" borderId="0" xfId="0" applyNumberFormat="1" applyFont="1" applyAlignment="1">
      <alignment horizontal="center" vertical="center" wrapText="1"/>
    </xf>
    <xf numFmtId="0" fontId="52" fillId="16" borderId="44" xfId="13" applyFont="1" applyFill="1" applyBorder="1"/>
    <xf numFmtId="0" fontId="33" fillId="0" borderId="0" xfId="17"/>
    <xf numFmtId="0" fontId="30" fillId="0" borderId="0" xfId="0" applyFont="1"/>
    <xf numFmtId="0" fontId="31" fillId="0" borderId="0" xfId="0" quotePrefix="1" applyFont="1"/>
    <xf numFmtId="0" fontId="10" fillId="0" borderId="0" xfId="22" applyAlignment="1">
      <alignment horizontal="left" vertical="center"/>
    </xf>
    <xf numFmtId="0" fontId="19" fillId="7" borderId="47" xfId="0" applyFont="1" applyFill="1" applyBorder="1" applyAlignment="1">
      <alignment horizontal="left" vertical="center" wrapText="1"/>
    </xf>
    <xf numFmtId="0" fontId="52" fillId="16" borderId="51" xfId="0" applyFont="1" applyFill="1" applyBorder="1" applyAlignment="1">
      <alignment horizontal="left" vertical="center"/>
    </xf>
    <xf numFmtId="0" fontId="52" fillId="16" borderId="52" xfId="0" applyFont="1" applyFill="1" applyBorder="1" applyAlignment="1">
      <alignment horizontal="left" vertical="center"/>
    </xf>
    <xf numFmtId="0" fontId="52" fillId="16" borderId="53" xfId="0" applyFont="1" applyFill="1" applyBorder="1" applyAlignment="1">
      <alignment horizontal="left" vertical="center"/>
    </xf>
    <xf numFmtId="0" fontId="36" fillId="0" borderId="36" xfId="0" applyFont="1" applyBorder="1" applyAlignment="1">
      <alignment horizontal="left" vertical="center"/>
    </xf>
    <xf numFmtId="0" fontId="36" fillId="0" borderId="15" xfId="0" applyFont="1" applyBorder="1" applyAlignment="1">
      <alignment horizontal="left"/>
    </xf>
    <xf numFmtId="0" fontId="36" fillId="0" borderId="37" xfId="0" applyFont="1" applyBorder="1" applyAlignment="1">
      <alignment horizontal="left"/>
    </xf>
    <xf numFmtId="0" fontId="36" fillId="0" borderId="10" xfId="0" applyFont="1" applyBorder="1" applyAlignment="1">
      <alignment horizontal="left"/>
    </xf>
    <xf numFmtId="0" fontId="36" fillId="0" borderId="11" xfId="0" applyFont="1" applyBorder="1" applyAlignment="1">
      <alignment horizontal="left"/>
    </xf>
    <xf numFmtId="0" fontId="36" fillId="0" borderId="8" xfId="0" applyFont="1" applyBorder="1" applyAlignment="1">
      <alignment horizontal="left" vertical="center"/>
    </xf>
    <xf numFmtId="0" fontId="36" fillId="0" borderId="8" xfId="0" applyFont="1" applyBorder="1" applyAlignment="1">
      <alignment horizontal="left"/>
    </xf>
    <xf numFmtId="0" fontId="52" fillId="16" borderId="54" xfId="0" applyFont="1" applyFill="1" applyBorder="1" applyAlignment="1">
      <alignment horizontal="left" vertical="center"/>
    </xf>
    <xf numFmtId="0" fontId="52" fillId="16" borderId="55" xfId="0" applyFont="1" applyFill="1" applyBorder="1" applyAlignment="1">
      <alignment horizontal="left" vertical="center"/>
    </xf>
    <xf numFmtId="0" fontId="52" fillId="16" borderId="56" xfId="0" applyFont="1" applyFill="1" applyBorder="1" applyAlignment="1">
      <alignment horizontal="left" vertical="center"/>
    </xf>
    <xf numFmtId="0" fontId="33" fillId="0" borderId="0" xfId="5"/>
    <xf numFmtId="0" fontId="38" fillId="0" borderId="0" xfId="0" applyFont="1" applyAlignment="1">
      <alignment horizontal="left" vertical="center"/>
    </xf>
    <xf numFmtId="0" fontId="38" fillId="0" borderId="0" xfId="0" applyFont="1" applyAlignment="1">
      <alignment horizontal="left"/>
    </xf>
    <xf numFmtId="0" fontId="38" fillId="0" borderId="0" xfId="0" applyFont="1" applyAlignment="1">
      <alignment horizontal="center"/>
    </xf>
    <xf numFmtId="0" fontId="38" fillId="0" borderId="0" xfId="0" quotePrefix="1" applyFont="1" applyAlignment="1">
      <alignment horizontal="center"/>
    </xf>
    <xf numFmtId="11" fontId="38" fillId="0" borderId="0" xfId="0" applyNumberFormat="1" applyFont="1" applyAlignment="1">
      <alignment horizontal="center"/>
    </xf>
    <xf numFmtId="0" fontId="36" fillId="0" borderId="0" xfId="17" applyFont="1"/>
    <xf numFmtId="0" fontId="52" fillId="16" borderId="54" xfId="13" applyFont="1" applyFill="1" applyBorder="1" applyAlignment="1">
      <alignment horizontal="center"/>
    </xf>
    <xf numFmtId="0" fontId="52" fillId="16" borderId="55" xfId="13" applyFont="1" applyFill="1" applyBorder="1" applyAlignment="1">
      <alignment horizontal="center" vertical="top" wrapText="1"/>
    </xf>
    <xf numFmtId="0" fontId="52" fillId="16" borderId="55" xfId="13" applyFont="1" applyFill="1" applyBorder="1" applyAlignment="1">
      <alignment horizontal="center" vertical="center" wrapText="1"/>
    </xf>
    <xf numFmtId="0" fontId="52" fillId="16" borderId="56" xfId="13" applyFont="1" applyFill="1" applyBorder="1" applyAlignment="1">
      <alignment horizontal="center" vertical="top" wrapText="1"/>
    </xf>
    <xf numFmtId="0" fontId="36" fillId="0" borderId="39" xfId="5" applyFont="1" applyBorder="1"/>
    <xf numFmtId="0" fontId="36" fillId="0" borderId="38" xfId="5" applyFont="1" applyBorder="1"/>
    <xf numFmtId="0" fontId="36" fillId="0" borderId="38" xfId="5" applyFont="1" applyBorder="1" applyAlignment="1">
      <alignment horizontal="center"/>
    </xf>
    <xf numFmtId="0" fontId="36" fillId="0" borderId="40" xfId="5" applyFont="1" applyBorder="1"/>
    <xf numFmtId="0" fontId="9" fillId="0" borderId="0" xfId="13" applyFont="1"/>
    <xf numFmtId="0" fontId="36" fillId="0" borderId="36" xfId="5" applyFont="1" applyBorder="1"/>
    <xf numFmtId="0" fontId="36" fillId="0" borderId="15" xfId="5" applyFont="1" applyBorder="1"/>
    <xf numFmtId="0" fontId="36" fillId="0" borderId="37" xfId="5" applyFont="1" applyBorder="1"/>
    <xf numFmtId="0" fontId="36" fillId="0" borderId="7" xfId="5" applyFont="1" applyBorder="1"/>
    <xf numFmtId="0" fontId="36" fillId="0" borderId="6" xfId="5" applyFont="1" applyBorder="1"/>
    <xf numFmtId="0" fontId="36" fillId="0" borderId="8" xfId="5" applyFont="1" applyBorder="1"/>
    <xf numFmtId="0" fontId="36" fillId="0" borderId="9" xfId="5" applyFont="1" applyBorder="1"/>
    <xf numFmtId="0" fontId="36" fillId="0" borderId="10" xfId="5" applyFont="1" applyBorder="1"/>
    <xf numFmtId="0" fontId="36" fillId="0" borderId="11" xfId="5" applyFont="1" applyBorder="1"/>
    <xf numFmtId="0" fontId="52" fillId="16" borderId="58" xfId="0" applyFont="1" applyFill="1" applyBorder="1" applyAlignment="1">
      <alignment horizontal="center" vertical="center" wrapText="1"/>
    </xf>
    <xf numFmtId="0" fontId="52" fillId="16" borderId="59" xfId="0" applyFont="1" applyFill="1" applyBorder="1" applyAlignment="1">
      <alignment horizontal="center" vertical="center" wrapText="1"/>
    </xf>
    <xf numFmtId="0" fontId="52" fillId="0" borderId="40" xfId="0" applyFont="1" applyBorder="1" applyAlignment="1">
      <alignment horizontal="center" vertical="center"/>
    </xf>
    <xf numFmtId="0" fontId="52" fillId="16" borderId="55" xfId="0" applyFont="1" applyFill="1" applyBorder="1" applyAlignment="1">
      <alignment horizontal="center" vertical="center"/>
    </xf>
    <xf numFmtId="165" fontId="52" fillId="16" borderId="55" xfId="0" applyNumberFormat="1" applyFont="1" applyFill="1" applyBorder="1" applyAlignment="1">
      <alignment horizontal="center" vertical="center"/>
    </xf>
    <xf numFmtId="0" fontId="52" fillId="16" borderId="56" xfId="0" applyFont="1" applyFill="1" applyBorder="1" applyAlignment="1">
      <alignment horizontal="center" vertical="center"/>
    </xf>
    <xf numFmtId="0" fontId="36" fillId="0" borderId="15" xfId="0" quotePrefix="1" applyFont="1" applyBorder="1" applyAlignment="1">
      <alignment horizontal="center" vertical="center"/>
    </xf>
    <xf numFmtId="0" fontId="36" fillId="0" borderId="10" xfId="0" quotePrefix="1" applyFont="1" applyBorder="1" applyAlignment="1">
      <alignment horizontal="center" vertical="center"/>
    </xf>
    <xf numFmtId="0" fontId="38" fillId="0" borderId="15" xfId="0" applyFont="1" applyBorder="1" applyAlignment="1">
      <alignment horizontal="left" vertical="center"/>
    </xf>
    <xf numFmtId="0" fontId="52" fillId="0" borderId="37" xfId="0" applyFont="1" applyBorder="1" applyAlignment="1">
      <alignment horizontal="left" vertical="center"/>
    </xf>
    <xf numFmtId="0" fontId="52" fillId="0" borderId="8" xfId="0" applyFont="1" applyBorder="1" applyAlignment="1">
      <alignment horizontal="left" vertical="center"/>
    </xf>
    <xf numFmtId="0" fontId="38" fillId="0" borderId="10" xfId="0" applyFont="1" applyBorder="1" applyAlignment="1">
      <alignment horizontal="left" vertical="center"/>
    </xf>
    <xf numFmtId="0" fontId="36" fillId="0" borderId="36" xfId="0" quotePrefix="1" applyFont="1" applyBorder="1" applyAlignment="1">
      <alignment horizontal="left" vertical="center"/>
    </xf>
    <xf numFmtId="0" fontId="36" fillId="0" borderId="15" xfId="0" quotePrefix="1" applyFont="1" applyBorder="1" applyAlignment="1">
      <alignment horizontal="left" vertical="center"/>
    </xf>
    <xf numFmtId="0" fontId="36" fillId="0" borderId="7" xfId="0" quotePrefix="1" applyFont="1" applyBorder="1" applyAlignment="1">
      <alignment horizontal="left" vertical="center"/>
    </xf>
    <xf numFmtId="0" fontId="36" fillId="0" borderId="6" xfId="0" quotePrefix="1" applyFont="1" applyBorder="1" applyAlignment="1">
      <alignment horizontal="left" vertical="center"/>
    </xf>
    <xf numFmtId="167" fontId="36" fillId="0" borderId="6" xfId="0" applyNumberFormat="1" applyFont="1" applyBorder="1" applyAlignment="1">
      <alignment horizontal="center" vertical="center"/>
    </xf>
    <xf numFmtId="0" fontId="36" fillId="0" borderId="9" xfId="0" quotePrefix="1" applyFont="1" applyBorder="1" applyAlignment="1">
      <alignment horizontal="left" vertical="center"/>
    </xf>
    <xf numFmtId="0" fontId="36" fillId="0" borderId="10" xfId="0" quotePrefix="1" applyFont="1" applyBorder="1" applyAlignment="1">
      <alignment horizontal="left" vertical="center"/>
    </xf>
    <xf numFmtId="167" fontId="36" fillId="0" borderId="10" xfId="0" applyNumberFormat="1" applyFont="1" applyBorder="1" applyAlignment="1">
      <alignment horizontal="center" vertical="center"/>
    </xf>
    <xf numFmtId="0" fontId="52" fillId="16" borderId="61" xfId="0" applyFont="1" applyFill="1" applyBorder="1" applyAlignment="1">
      <alignment horizontal="left" vertical="center"/>
    </xf>
    <xf numFmtId="0" fontId="52" fillId="16" borderId="62" xfId="0" applyFont="1" applyFill="1" applyBorder="1" applyAlignment="1">
      <alignment horizontal="left" vertical="center"/>
    </xf>
    <xf numFmtId="0" fontId="52" fillId="16" borderId="62" xfId="0" applyFont="1" applyFill="1" applyBorder="1" applyAlignment="1">
      <alignment horizontal="center" vertical="center"/>
    </xf>
    <xf numFmtId="0" fontId="52" fillId="16" borderId="63" xfId="0" applyFont="1" applyFill="1" applyBorder="1" applyAlignment="1">
      <alignment horizontal="left" vertical="center"/>
    </xf>
    <xf numFmtId="0" fontId="38" fillId="0" borderId="7" xfId="0" applyFont="1" applyBorder="1" applyAlignment="1">
      <alignment horizontal="left"/>
    </xf>
    <xf numFmtId="0" fontId="38" fillId="0" borderId="7" xfId="0" applyFont="1" applyBorder="1" applyAlignment="1">
      <alignment horizontal="left" vertical="center" wrapText="1"/>
    </xf>
    <xf numFmtId="0" fontId="38" fillId="0" borderId="7" xfId="0" applyFont="1" applyBorder="1" applyAlignment="1">
      <alignment horizontal="left" vertical="center"/>
    </xf>
    <xf numFmtId="0" fontId="38" fillId="0" borderId="8" xfId="0" applyFont="1" applyBorder="1" applyAlignment="1">
      <alignment horizontal="left" vertical="center"/>
    </xf>
    <xf numFmtId="0" fontId="0" fillId="6" borderId="0" xfId="0" applyFill="1" applyAlignment="1">
      <alignment horizontal="center"/>
    </xf>
    <xf numFmtId="0" fontId="0" fillId="0" borderId="0" xfId="0" applyAlignment="1">
      <alignment horizontal="center"/>
    </xf>
    <xf numFmtId="0" fontId="19" fillId="7" borderId="32" xfId="0" applyFont="1" applyFill="1" applyBorder="1" applyAlignment="1">
      <alignment horizontal="left" vertical="center" wrapText="1"/>
    </xf>
    <xf numFmtId="0" fontId="52" fillId="16" borderId="45" xfId="0" applyFont="1" applyFill="1" applyBorder="1" applyAlignment="1">
      <alignment horizontal="left" vertical="center"/>
    </xf>
    <xf numFmtId="0" fontId="52" fillId="16" borderId="46" xfId="0" applyFont="1" applyFill="1" applyBorder="1" applyAlignment="1">
      <alignment horizontal="left" vertical="center"/>
    </xf>
    <xf numFmtId="0" fontId="52" fillId="16" borderId="12" xfId="0" applyFont="1" applyFill="1" applyBorder="1" applyAlignment="1">
      <alignment horizontal="center" vertical="center"/>
    </xf>
    <xf numFmtId="0" fontId="52" fillId="16" borderId="12" xfId="0" applyFont="1" applyFill="1" applyBorder="1" applyAlignment="1">
      <alignment horizontal="left" vertical="center"/>
    </xf>
    <xf numFmtId="165" fontId="52" fillId="16" borderId="12" xfId="0" applyNumberFormat="1" applyFont="1" applyFill="1" applyBorder="1" applyAlignment="1">
      <alignment horizontal="center" vertical="center"/>
    </xf>
    <xf numFmtId="168" fontId="52" fillId="16" borderId="12" xfId="0" applyNumberFormat="1" applyFont="1" applyFill="1" applyBorder="1" applyAlignment="1">
      <alignment horizontal="center" vertical="center"/>
    </xf>
    <xf numFmtId="0" fontId="52" fillId="16" borderId="65" xfId="0" applyFont="1" applyFill="1" applyBorder="1" applyAlignment="1">
      <alignment horizontal="center" vertical="center" wrapText="1"/>
    </xf>
    <xf numFmtId="0" fontId="52" fillId="16" borderId="66" xfId="0" applyFont="1" applyFill="1" applyBorder="1" applyAlignment="1">
      <alignment horizontal="center" vertical="center" wrapText="1"/>
    </xf>
    <xf numFmtId="0" fontId="0" fillId="0" borderId="6" xfId="0" applyBorder="1" applyAlignment="1">
      <alignment horizontal="center" vertical="center"/>
    </xf>
    <xf numFmtId="0" fontId="44" fillId="5" borderId="70" xfId="0" applyFont="1" applyFill="1" applyBorder="1" applyAlignment="1">
      <alignment horizontal="center" vertical="center"/>
    </xf>
    <xf numFmtId="0" fontId="44" fillId="5" borderId="70" xfId="0" quotePrefix="1" applyFont="1" applyFill="1" applyBorder="1" applyAlignment="1">
      <alignment horizontal="center" vertical="center"/>
    </xf>
    <xf numFmtId="0" fontId="0" fillId="5" borderId="70" xfId="0" quotePrefix="1" applyFill="1" applyBorder="1" applyAlignment="1">
      <alignment horizontal="center" vertical="center"/>
    </xf>
    <xf numFmtId="0" fontId="0" fillId="5" borderId="70" xfId="0" applyFill="1" applyBorder="1" applyAlignment="1">
      <alignment horizontal="center" vertical="center"/>
    </xf>
    <xf numFmtId="0" fontId="19" fillId="5" borderId="7" xfId="0" applyFont="1" applyFill="1" applyBorder="1" applyAlignment="1">
      <alignment horizontal="center" vertical="center"/>
    </xf>
    <xf numFmtId="0" fontId="0" fillId="5" borderId="8" xfId="0" applyFill="1" applyBorder="1" applyAlignment="1">
      <alignment horizontal="center" vertical="center"/>
    </xf>
    <xf numFmtId="0" fontId="19" fillId="5" borderId="9" xfId="0" applyFont="1" applyFill="1" applyBorder="1" applyAlignment="1">
      <alignment horizontal="center" vertical="center"/>
    </xf>
    <xf numFmtId="0" fontId="0" fillId="5" borderId="10" xfId="0" applyFill="1" applyBorder="1" applyAlignment="1">
      <alignment horizontal="center" vertical="center"/>
    </xf>
    <xf numFmtId="0" fontId="0" fillId="5" borderId="10" xfId="0" quotePrefix="1" applyFill="1" applyBorder="1" applyAlignment="1">
      <alignment horizontal="center" vertical="center"/>
    </xf>
    <xf numFmtId="0" fontId="0" fillId="5" borderId="11" xfId="0" applyFill="1" applyBorder="1" applyAlignment="1">
      <alignment horizontal="center" vertical="center"/>
    </xf>
    <xf numFmtId="0" fontId="44" fillId="9" borderId="6" xfId="0" applyFont="1" applyFill="1" applyBorder="1" applyAlignment="1">
      <alignment horizontal="center" vertical="center" wrapText="1"/>
    </xf>
    <xf numFmtId="0" fontId="38" fillId="8" borderId="6" xfId="0" applyFont="1" applyFill="1" applyBorder="1" applyAlignment="1">
      <alignment horizontal="center" vertical="center" wrapText="1"/>
    </xf>
    <xf numFmtId="0" fontId="38" fillId="17" borderId="6" xfId="0" applyFont="1" applyFill="1" applyBorder="1" applyAlignment="1">
      <alignment horizontal="center" vertical="center" wrapText="1"/>
    </xf>
    <xf numFmtId="0" fontId="38" fillId="17" borderId="10" xfId="0" applyFont="1" applyFill="1" applyBorder="1" applyAlignment="1">
      <alignment horizontal="center" vertical="center" wrapText="1"/>
    </xf>
    <xf numFmtId="0" fontId="52" fillId="16" borderId="72" xfId="0" applyFont="1" applyFill="1" applyBorder="1" applyAlignment="1">
      <alignment horizontal="center" vertical="center" wrapText="1"/>
    </xf>
    <xf numFmtId="0" fontId="52" fillId="16" borderId="73" xfId="0" applyFont="1" applyFill="1" applyBorder="1" applyAlignment="1">
      <alignment horizontal="center" vertical="center" wrapText="1"/>
    </xf>
    <xf numFmtId="0" fontId="38" fillId="11" borderId="6" xfId="0" applyFont="1" applyFill="1" applyBorder="1" applyAlignment="1">
      <alignment horizontal="left" vertical="center" wrapText="1"/>
    </xf>
    <xf numFmtId="0" fontId="38" fillId="11" borderId="6" xfId="0" applyFont="1" applyFill="1" applyBorder="1" applyAlignment="1">
      <alignment horizontal="center" vertical="center" wrapText="1"/>
    </xf>
    <xf numFmtId="0" fontId="38" fillId="11" borderId="8" xfId="0" applyFont="1" applyFill="1" applyBorder="1" applyAlignment="1">
      <alignment horizontal="center" vertical="center" wrapText="1"/>
    </xf>
    <xf numFmtId="0" fontId="38" fillId="17" borderId="10" xfId="0" applyFont="1" applyFill="1" applyBorder="1" applyAlignment="1">
      <alignment horizontal="left" vertical="center" wrapText="1"/>
    </xf>
    <xf numFmtId="0" fontId="38" fillId="17" borderId="11" xfId="0" applyFont="1" applyFill="1" applyBorder="1" applyAlignment="1">
      <alignment horizontal="center" vertical="center" wrapText="1"/>
    </xf>
    <xf numFmtId="0" fontId="38" fillId="10" borderId="6" xfId="0" applyFont="1" applyFill="1" applyBorder="1" applyAlignment="1">
      <alignment horizontal="left" vertical="center" wrapText="1"/>
    </xf>
    <xf numFmtId="0" fontId="38" fillId="10" borderId="6" xfId="0" applyFont="1" applyFill="1" applyBorder="1" applyAlignment="1">
      <alignment horizontal="center" vertical="center" wrapText="1"/>
    </xf>
    <xf numFmtId="0" fontId="38" fillId="10" borderId="8" xfId="0" applyFont="1" applyFill="1" applyBorder="1" applyAlignment="1">
      <alignment horizontal="center" vertical="center" wrapText="1"/>
    </xf>
    <xf numFmtId="0" fontId="38" fillId="8" borderId="75" xfId="0" applyFont="1" applyFill="1" applyBorder="1" applyAlignment="1">
      <alignment horizontal="left" vertical="center" wrapText="1"/>
    </xf>
    <xf numFmtId="0" fontId="38" fillId="8" borderId="75" xfId="0" applyFont="1" applyFill="1" applyBorder="1" applyAlignment="1">
      <alignment horizontal="center" vertical="center" wrapText="1"/>
    </xf>
    <xf numFmtId="0" fontId="38" fillId="8" borderId="76" xfId="0" applyFont="1" applyFill="1" applyBorder="1" applyAlignment="1">
      <alignment horizontal="center" vertical="center" wrapText="1"/>
    </xf>
    <xf numFmtId="0" fontId="38" fillId="8" borderId="6" xfId="0" applyFont="1" applyFill="1" applyBorder="1" applyAlignment="1">
      <alignment horizontal="left" vertical="center" wrapText="1"/>
    </xf>
    <xf numFmtId="0" fontId="38" fillId="8" borderId="8" xfId="0" applyFont="1" applyFill="1" applyBorder="1" applyAlignment="1">
      <alignment horizontal="center" vertical="center" wrapText="1"/>
    </xf>
    <xf numFmtId="0" fontId="44" fillId="8" borderId="15" xfId="0" applyFont="1" applyFill="1" applyBorder="1" applyAlignment="1">
      <alignment horizontal="left" vertical="center" wrapText="1"/>
    </xf>
    <xf numFmtId="0" fontId="38" fillId="8" borderId="15" xfId="0" applyFont="1" applyFill="1" applyBorder="1" applyAlignment="1">
      <alignment horizontal="center" vertical="center" wrapText="1"/>
    </xf>
    <xf numFmtId="0" fontId="38" fillId="8" borderId="15" xfId="0" quotePrefix="1" applyFont="1" applyFill="1" applyBorder="1" applyAlignment="1">
      <alignment horizontal="center" vertical="center" wrapText="1"/>
    </xf>
    <xf numFmtId="0" fontId="52" fillId="8" borderId="37" xfId="0" applyFont="1" applyFill="1" applyBorder="1" applyAlignment="1">
      <alignment horizontal="center" vertical="center"/>
    </xf>
    <xf numFmtId="0" fontId="38" fillId="8" borderId="6" xfId="0" quotePrefix="1" applyFont="1" applyFill="1" applyBorder="1" applyAlignment="1">
      <alignment horizontal="center" vertical="center" wrapText="1"/>
    </xf>
    <xf numFmtId="0" fontId="52" fillId="8" borderId="8" xfId="0" applyFont="1" applyFill="1" applyBorder="1" applyAlignment="1">
      <alignment horizontal="center" vertical="center"/>
    </xf>
    <xf numFmtId="0" fontId="38" fillId="10" borderId="6" xfId="0" quotePrefix="1" applyFont="1" applyFill="1" applyBorder="1" applyAlignment="1">
      <alignment horizontal="center" vertical="center" wrapText="1"/>
    </xf>
    <xf numFmtId="0" fontId="52" fillId="10" borderId="8" xfId="0" applyFont="1" applyFill="1" applyBorder="1" applyAlignment="1">
      <alignment horizontal="center" vertical="center"/>
    </xf>
    <xf numFmtId="0" fontId="44" fillId="11" borderId="6" xfId="0" applyFont="1" applyFill="1" applyBorder="1" applyAlignment="1">
      <alignment horizontal="left" vertical="center" wrapText="1"/>
    </xf>
    <xf numFmtId="0" fontId="38" fillId="11" borderId="6" xfId="0" quotePrefix="1" applyFont="1" applyFill="1" applyBorder="1" applyAlignment="1">
      <alignment horizontal="center" vertical="center" wrapText="1"/>
    </xf>
    <xf numFmtId="0" fontId="52" fillId="11" borderId="8" xfId="0" applyFont="1" applyFill="1" applyBorder="1" applyAlignment="1">
      <alignment horizontal="center" vertical="center"/>
    </xf>
    <xf numFmtId="0" fontId="44" fillId="17" borderId="6" xfId="0" applyFont="1" applyFill="1" applyBorder="1" applyAlignment="1">
      <alignment horizontal="left" vertical="center" wrapText="1"/>
    </xf>
    <xf numFmtId="0" fontId="38" fillId="17" borderId="6" xfId="0" quotePrefix="1" applyFont="1" applyFill="1" applyBorder="1" applyAlignment="1">
      <alignment horizontal="center" vertical="center" wrapText="1"/>
    </xf>
    <xf numFmtId="0" fontId="52" fillId="17" borderId="8" xfId="0" applyFont="1" applyFill="1" applyBorder="1" applyAlignment="1">
      <alignment horizontal="center" vertical="center"/>
    </xf>
    <xf numFmtId="0" fontId="44" fillId="9" borderId="6" xfId="0" applyFont="1" applyFill="1" applyBorder="1" applyAlignment="1">
      <alignment horizontal="left" vertical="center" wrapText="1"/>
    </xf>
    <xf numFmtId="0" fontId="38" fillId="9" borderId="6" xfId="0" applyFont="1" applyFill="1" applyBorder="1" applyAlignment="1">
      <alignment horizontal="center" vertical="center"/>
    </xf>
    <xf numFmtId="0" fontId="38" fillId="9" borderId="6" xfId="0" quotePrefix="1" applyFont="1" applyFill="1" applyBorder="1" applyAlignment="1">
      <alignment horizontal="center" vertical="center" wrapText="1"/>
    </xf>
    <xf numFmtId="0" fontId="52" fillId="9" borderId="8" xfId="0" applyFont="1" applyFill="1" applyBorder="1" applyAlignment="1">
      <alignment horizontal="center" vertical="center"/>
    </xf>
    <xf numFmtId="0" fontId="38" fillId="9" borderId="15" xfId="0" applyFont="1" applyFill="1" applyBorder="1" applyAlignment="1">
      <alignment horizontal="left" vertical="center" wrapText="1"/>
    </xf>
    <xf numFmtId="165" fontId="38" fillId="9" borderId="15" xfId="0" applyNumberFormat="1" applyFont="1" applyFill="1" applyBorder="1" applyAlignment="1">
      <alignment horizontal="center" vertical="center" wrapText="1"/>
    </xf>
    <xf numFmtId="0" fontId="38" fillId="9" borderId="15" xfId="0" applyFont="1" applyFill="1" applyBorder="1" applyAlignment="1">
      <alignment horizontal="center" vertical="center" wrapText="1"/>
    </xf>
    <xf numFmtId="0" fontId="38" fillId="9" borderId="37" xfId="0" applyFont="1" applyFill="1" applyBorder="1" applyAlignment="1">
      <alignment horizontal="center" vertical="center" wrapText="1"/>
    </xf>
    <xf numFmtId="0" fontId="38" fillId="9" borderId="6" xfId="0" applyFont="1" applyFill="1" applyBorder="1" applyAlignment="1">
      <alignment horizontal="left" vertical="center" wrapText="1"/>
    </xf>
    <xf numFmtId="2" fontId="38" fillId="9" borderId="6" xfId="0" applyNumberFormat="1" applyFont="1" applyFill="1" applyBorder="1" applyAlignment="1">
      <alignment horizontal="center" vertical="center" wrapText="1"/>
    </xf>
    <xf numFmtId="0" fontId="38" fillId="9" borderId="6" xfId="0" applyFont="1" applyFill="1" applyBorder="1" applyAlignment="1">
      <alignment horizontal="center" vertical="center" wrapText="1"/>
    </xf>
    <xf numFmtId="0" fontId="38" fillId="9" borderId="8" xfId="0" applyFont="1" applyFill="1" applyBorder="1" applyAlignment="1">
      <alignment horizontal="center" vertical="center" wrapText="1"/>
    </xf>
    <xf numFmtId="165" fontId="38" fillId="9" borderId="6" xfId="0" applyNumberFormat="1" applyFont="1" applyFill="1" applyBorder="1" applyAlignment="1">
      <alignment horizontal="center" vertical="center" wrapText="1"/>
    </xf>
    <xf numFmtId="166" fontId="38" fillId="9" borderId="6" xfId="0" applyNumberFormat="1" applyFont="1" applyFill="1" applyBorder="1" applyAlignment="1">
      <alignment horizontal="center" vertical="center" wrapText="1"/>
    </xf>
    <xf numFmtId="167" fontId="38" fillId="9" borderId="6" xfId="0" applyNumberFormat="1" applyFont="1" applyFill="1" applyBorder="1" applyAlignment="1">
      <alignment horizontal="center" vertical="center" wrapText="1"/>
    </xf>
    <xf numFmtId="2" fontId="38" fillId="9" borderId="10" xfId="0" applyNumberFormat="1" applyFont="1" applyFill="1" applyBorder="1" applyAlignment="1">
      <alignment horizontal="center" vertical="center" wrapText="1"/>
    </xf>
    <xf numFmtId="0" fontId="38" fillId="9" borderId="10" xfId="0" applyFont="1" applyFill="1" applyBorder="1" applyAlignment="1">
      <alignment horizontal="center" vertical="center" wrapText="1"/>
    </xf>
    <xf numFmtId="0" fontId="38" fillId="9" borderId="11" xfId="0" applyFont="1" applyFill="1" applyBorder="1" applyAlignment="1">
      <alignment horizontal="center" vertical="center" wrapText="1"/>
    </xf>
    <xf numFmtId="165" fontId="38" fillId="0" borderId="38" xfId="0" applyNumberFormat="1" applyFont="1" applyBorder="1" applyAlignment="1">
      <alignment horizontal="center" vertical="center" wrapText="1"/>
    </xf>
    <xf numFmtId="0" fontId="19" fillId="7" borderId="71" xfId="0" applyFont="1" applyFill="1" applyBorder="1" applyAlignment="1">
      <alignment horizontal="center" vertical="center"/>
    </xf>
    <xf numFmtId="0" fontId="19" fillId="7" borderId="72" xfId="0" applyFont="1" applyFill="1" applyBorder="1" applyAlignment="1">
      <alignment horizontal="center" vertical="center"/>
    </xf>
    <xf numFmtId="0" fontId="25" fillId="7" borderId="72" xfId="3" applyFont="1" applyFill="1" applyBorder="1" applyAlignment="1">
      <alignment horizontal="center" vertical="center" wrapText="1"/>
    </xf>
    <xf numFmtId="0" fontId="49" fillId="7" borderId="72" xfId="3" applyFont="1" applyFill="1" applyBorder="1" applyAlignment="1">
      <alignment horizontal="center" vertical="center" wrapText="1"/>
    </xf>
    <xf numFmtId="0" fontId="19" fillId="7" borderId="72" xfId="0" applyFont="1" applyFill="1" applyBorder="1" applyAlignment="1">
      <alignment horizontal="center" vertical="center" wrapText="1"/>
    </xf>
    <xf numFmtId="0" fontId="19" fillId="8" borderId="7" xfId="0" applyFont="1" applyFill="1" applyBorder="1" applyAlignment="1">
      <alignment horizontal="center"/>
    </xf>
    <xf numFmtId="0" fontId="19" fillId="10" borderId="7" xfId="0" applyFont="1" applyFill="1" applyBorder="1" applyAlignment="1">
      <alignment horizontal="center"/>
    </xf>
    <xf numFmtId="0" fontId="19" fillId="11" borderId="7" xfId="0" applyFont="1" applyFill="1" applyBorder="1" applyAlignment="1">
      <alignment horizontal="center"/>
    </xf>
    <xf numFmtId="0" fontId="19" fillId="9" borderId="7" xfId="0" applyFont="1" applyFill="1" applyBorder="1" applyAlignment="1">
      <alignment horizontal="center"/>
    </xf>
    <xf numFmtId="0" fontId="19" fillId="7" borderId="73" xfId="0" applyFont="1" applyFill="1" applyBorder="1" applyAlignment="1">
      <alignment horizontal="center" vertical="center"/>
    </xf>
    <xf numFmtId="0" fontId="44" fillId="0" borderId="0" xfId="0" applyFont="1" applyAlignment="1">
      <alignment horizontal="left"/>
    </xf>
    <xf numFmtId="0" fontId="56" fillId="7" borderId="47" xfId="0" applyFont="1" applyFill="1" applyBorder="1" applyAlignment="1">
      <alignment horizontal="left" vertical="center" wrapText="1"/>
    </xf>
    <xf numFmtId="0" fontId="52" fillId="7" borderId="67" xfId="0" applyFont="1" applyFill="1" applyBorder="1" applyAlignment="1">
      <alignment horizontal="left" vertical="center"/>
    </xf>
    <xf numFmtId="0" fontId="62" fillId="7" borderId="77" xfId="25" applyFont="1" applyFill="1" applyBorder="1" applyAlignment="1">
      <alignment horizontal="left" vertical="center"/>
    </xf>
    <xf numFmtId="0" fontId="52" fillId="7" borderId="68" xfId="0" applyFont="1" applyFill="1" applyBorder="1" applyAlignment="1">
      <alignment horizontal="left" vertical="center"/>
    </xf>
    <xf numFmtId="0" fontId="38" fillId="0" borderId="78" xfId="0" applyFont="1" applyBorder="1" applyAlignment="1">
      <alignment vertical="center"/>
    </xf>
    <xf numFmtId="0" fontId="38" fillId="0" borderId="79" xfId="0" applyFont="1" applyBorder="1" applyAlignment="1">
      <alignment horizontal="left" vertical="center" wrapText="1"/>
    </xf>
    <xf numFmtId="0" fontId="38" fillId="0" borderId="79" xfId="0" applyFont="1" applyBorder="1" applyAlignment="1">
      <alignment horizontal="center" vertical="center" wrapText="1"/>
    </xf>
    <xf numFmtId="0" fontId="38" fillId="0" borderId="79" xfId="0" quotePrefix="1" applyFont="1" applyBorder="1" applyAlignment="1">
      <alignment horizontal="center" vertical="center" wrapText="1"/>
    </xf>
    <xf numFmtId="0" fontId="38" fillId="0" borderId="80" xfId="0" applyFont="1" applyBorder="1" applyAlignment="1">
      <alignment horizontal="center" vertical="center" wrapText="1"/>
    </xf>
    <xf numFmtId="0" fontId="38" fillId="0" borderId="0" xfId="0" applyFont="1" applyAlignment="1">
      <alignment horizontal="center" vertical="center" wrapText="1"/>
    </xf>
    <xf numFmtId="0" fontId="38" fillId="0" borderId="9" xfId="0" applyFont="1" applyBorder="1" applyAlignment="1">
      <alignment vertical="center"/>
    </xf>
    <xf numFmtId="0" fontId="52" fillId="16" borderId="82" xfId="0" applyFont="1" applyFill="1" applyBorder="1" applyAlignment="1">
      <alignment horizontal="center" vertical="center" wrapText="1"/>
    </xf>
    <xf numFmtId="0" fontId="52" fillId="16" borderId="83" xfId="0" applyFont="1" applyFill="1" applyBorder="1" applyAlignment="1">
      <alignment horizontal="center" vertical="center" wrapText="1"/>
    </xf>
    <xf numFmtId="167" fontId="38" fillId="0" borderId="79" xfId="0" applyNumberFormat="1" applyFont="1" applyBorder="1" applyAlignment="1">
      <alignment horizontal="center" vertical="center" wrapText="1"/>
    </xf>
    <xf numFmtId="0" fontId="38" fillId="0" borderId="9" xfId="0" applyFont="1" applyBorder="1" applyAlignment="1">
      <alignment horizontal="left" vertical="center"/>
    </xf>
    <xf numFmtId="0" fontId="38" fillId="0" borderId="11" xfId="0" applyFont="1" applyBorder="1" applyAlignment="1">
      <alignment horizontal="center" vertical="center"/>
    </xf>
    <xf numFmtId="0" fontId="38" fillId="0" borderId="78" xfId="0" applyFont="1" applyBorder="1" applyAlignment="1">
      <alignment horizontal="left" vertical="center"/>
    </xf>
    <xf numFmtId="0" fontId="38" fillId="0" borderId="79" xfId="0" applyFont="1" applyBorder="1" applyAlignment="1">
      <alignment horizontal="left" vertical="center"/>
    </xf>
    <xf numFmtId="0" fontId="38" fillId="0" borderId="79" xfId="0" applyFont="1" applyBorder="1" applyAlignment="1">
      <alignment horizontal="center" vertical="center"/>
    </xf>
    <xf numFmtId="0" fontId="38" fillId="0" borderId="80" xfId="0" applyFont="1" applyBorder="1" applyAlignment="1">
      <alignment horizontal="center" vertical="center"/>
    </xf>
    <xf numFmtId="0" fontId="38" fillId="0" borderId="38" xfId="0" applyFont="1" applyBorder="1" applyAlignment="1">
      <alignment horizontal="center" vertical="center"/>
    </xf>
    <xf numFmtId="0" fontId="0" fillId="0" borderId="6" xfId="0" applyBorder="1" applyAlignment="1">
      <alignment horizontal="center"/>
    </xf>
    <xf numFmtId="0" fontId="36" fillId="0" borderId="14" xfId="0" quotePrefix="1" applyFont="1" applyBorder="1" applyAlignment="1">
      <alignment horizontal="center" vertical="center"/>
    </xf>
    <xf numFmtId="0" fontId="38" fillId="0" borderId="78" xfId="0" applyFont="1" applyBorder="1" applyAlignment="1">
      <alignment horizontal="left"/>
    </xf>
    <xf numFmtId="0" fontId="36" fillId="0" borderId="79" xfId="0" quotePrefix="1" applyFont="1" applyBorder="1" applyAlignment="1">
      <alignment horizontal="center" vertical="center"/>
    </xf>
    <xf numFmtId="0" fontId="56" fillId="7" borderId="32" xfId="0" applyFont="1" applyFill="1" applyBorder="1" applyAlignment="1">
      <alignment horizontal="left" vertical="center" wrapText="1"/>
    </xf>
    <xf numFmtId="0" fontId="56" fillId="7" borderId="60" xfId="0" applyFont="1" applyFill="1" applyBorder="1" applyAlignment="1">
      <alignment horizontal="left" vertical="center" wrapText="1"/>
    </xf>
    <xf numFmtId="0" fontId="56" fillId="7" borderId="42" xfId="0" applyFont="1" applyFill="1" applyBorder="1" applyAlignment="1">
      <alignment horizontal="left" vertical="center" wrapText="1"/>
    </xf>
    <xf numFmtId="0" fontId="38" fillId="0" borderId="9" xfId="0" applyFont="1" applyBorder="1" applyAlignment="1">
      <alignment horizontal="left" vertical="center" wrapText="1"/>
    </xf>
    <xf numFmtId="0" fontId="25" fillId="7" borderId="81" xfId="0" applyFont="1" applyFill="1" applyBorder="1" applyAlignment="1">
      <alignment horizontal="left" vertical="center"/>
    </xf>
    <xf numFmtId="0" fontId="25" fillId="7" borderId="84" xfId="0" applyFont="1" applyFill="1" applyBorder="1" applyAlignment="1">
      <alignment horizontal="left" vertical="center"/>
    </xf>
    <xf numFmtId="165" fontId="25" fillId="7" borderId="84" xfId="0" applyNumberFormat="1" applyFont="1" applyFill="1" applyBorder="1" applyAlignment="1">
      <alignment horizontal="center" vertical="center"/>
    </xf>
    <xf numFmtId="0" fontId="25" fillId="7" borderId="84" xfId="0" applyFont="1" applyFill="1" applyBorder="1" applyAlignment="1">
      <alignment horizontal="center" vertical="center"/>
    </xf>
    <xf numFmtId="0" fontId="25" fillId="7" borderId="85" xfId="0" applyFont="1" applyFill="1" applyBorder="1" applyAlignment="1">
      <alignment horizontal="center" vertical="center"/>
    </xf>
    <xf numFmtId="0" fontId="44" fillId="10" borderId="79" xfId="0" applyFont="1" applyFill="1" applyBorder="1" applyAlignment="1">
      <alignment horizontal="center" vertical="center" wrapText="1"/>
    </xf>
    <xf numFmtId="0" fontId="44" fillId="9" borderId="79" xfId="0" applyFont="1" applyFill="1" applyBorder="1" applyAlignment="1">
      <alignment horizontal="center" vertical="center" wrapText="1"/>
    </xf>
    <xf numFmtId="0" fontId="52" fillId="7" borderId="87" xfId="0" applyFont="1" applyFill="1" applyBorder="1" applyAlignment="1">
      <alignment horizontal="center" vertical="center" wrapText="1"/>
    </xf>
    <xf numFmtId="0" fontId="52" fillId="7" borderId="88" xfId="0" applyFont="1" applyFill="1" applyBorder="1" applyAlignment="1">
      <alignment horizontal="center" vertical="center"/>
    </xf>
    <xf numFmtId="0" fontId="38" fillId="0" borderId="90" xfId="0" applyFont="1" applyBorder="1" applyAlignment="1">
      <alignment horizontal="left" vertical="center"/>
    </xf>
    <xf numFmtId="0" fontId="38" fillId="0" borderId="90" xfId="0" applyFont="1" applyBorder="1" applyAlignment="1">
      <alignment horizontal="center" vertical="center"/>
    </xf>
    <xf numFmtId="0" fontId="38" fillId="0" borderId="91" xfId="0" applyFont="1" applyBorder="1" applyAlignment="1">
      <alignment horizontal="center" vertical="center"/>
    </xf>
    <xf numFmtId="0" fontId="52" fillId="7" borderId="92" xfId="0" applyFont="1" applyFill="1" applyBorder="1" applyAlignment="1">
      <alignment horizontal="center" vertical="center"/>
    </xf>
    <xf numFmtId="0" fontId="52" fillId="7" borderId="77" xfId="0" applyFont="1" applyFill="1" applyBorder="1" applyAlignment="1">
      <alignment horizontal="center" vertical="center"/>
    </xf>
    <xf numFmtId="0" fontId="52" fillId="7" borderId="93" xfId="0" applyFont="1" applyFill="1" applyBorder="1" applyAlignment="1">
      <alignment horizontal="center" vertical="center"/>
    </xf>
    <xf numFmtId="0" fontId="38" fillId="0" borderId="36" xfId="0" applyFont="1" applyBorder="1" applyAlignment="1">
      <alignment horizontal="left" vertical="center"/>
    </xf>
    <xf numFmtId="0" fontId="36" fillId="0" borderId="37" xfId="0" applyFont="1" applyBorder="1" applyAlignment="1">
      <alignment horizontal="center" vertical="center"/>
    </xf>
    <xf numFmtId="0" fontId="36" fillId="0" borderId="8" xfId="0" applyFont="1" applyBorder="1" applyAlignment="1">
      <alignment horizontal="center" vertical="center"/>
    </xf>
    <xf numFmtId="2" fontId="38" fillId="0" borderId="15" xfId="0" applyNumberFormat="1" applyFont="1" applyBorder="1" applyAlignment="1">
      <alignment horizontal="center" vertical="center" wrapText="1"/>
    </xf>
    <xf numFmtId="0" fontId="38" fillId="0" borderId="90" xfId="0" applyFont="1" applyBorder="1" applyAlignment="1">
      <alignment horizontal="left" vertical="center" wrapText="1"/>
    </xf>
    <xf numFmtId="0" fontId="38" fillId="0" borderId="90" xfId="0" applyFont="1" applyBorder="1" applyAlignment="1">
      <alignment horizontal="center" vertical="center" wrapText="1"/>
    </xf>
    <xf numFmtId="0" fontId="38" fillId="0" borderId="90" xfId="0" quotePrefix="1" applyFont="1" applyBorder="1" applyAlignment="1">
      <alignment horizontal="center" vertical="center" wrapText="1"/>
    </xf>
    <xf numFmtId="0" fontId="38" fillId="0" borderId="91" xfId="0" applyFont="1" applyBorder="1" applyAlignment="1">
      <alignment horizontal="center" vertical="center" wrapText="1"/>
    </xf>
    <xf numFmtId="0" fontId="19" fillId="7" borderId="94" xfId="0" applyFont="1" applyFill="1" applyBorder="1" applyAlignment="1">
      <alignment horizontal="left" vertical="center" wrapText="1"/>
    </xf>
    <xf numFmtId="0" fontId="52" fillId="16" borderId="84" xfId="0" applyFont="1" applyFill="1" applyBorder="1" applyAlignment="1">
      <alignment horizontal="left" vertical="center"/>
    </xf>
    <xf numFmtId="2" fontId="36" fillId="0" borderId="15" xfId="0" applyNumberFormat="1" applyFont="1" applyBorder="1" applyAlignment="1">
      <alignment horizontal="left" vertical="center"/>
    </xf>
    <xf numFmtId="2" fontId="36" fillId="0" borderId="6" xfId="0" applyNumberFormat="1" applyFont="1" applyBorder="1" applyAlignment="1">
      <alignment horizontal="left" vertical="center"/>
    </xf>
    <xf numFmtId="0" fontId="19" fillId="5" borderId="95" xfId="0" applyFont="1" applyFill="1" applyBorder="1" applyAlignment="1">
      <alignment horizontal="center" vertical="center"/>
    </xf>
    <xf numFmtId="0" fontId="0" fillId="5" borderId="13" xfId="0" applyFill="1" applyBorder="1" applyAlignment="1">
      <alignment horizontal="center" vertical="center"/>
    </xf>
    <xf numFmtId="0" fontId="0" fillId="5" borderId="96" xfId="0" applyFill="1" applyBorder="1" applyAlignment="1">
      <alignment horizontal="center" vertical="center"/>
    </xf>
    <xf numFmtId="2" fontId="38" fillId="9" borderId="15" xfId="0" applyNumberFormat="1" applyFont="1" applyFill="1" applyBorder="1" applyAlignment="1">
      <alignment horizontal="center" vertical="center" wrapText="1"/>
    </xf>
    <xf numFmtId="0" fontId="38" fillId="7" borderId="6" xfId="0" applyFont="1" applyFill="1" applyBorder="1" applyAlignment="1">
      <alignment horizontal="left" vertical="center" wrapText="1"/>
    </xf>
    <xf numFmtId="166" fontId="38" fillId="7" borderId="6" xfId="0" applyNumberFormat="1" applyFont="1" applyFill="1" applyBorder="1" applyAlignment="1">
      <alignment horizontal="center" vertical="center" wrapText="1"/>
    </xf>
    <xf numFmtId="0" fontId="38" fillId="7" borderId="6" xfId="0" applyFont="1" applyFill="1" applyBorder="1" applyAlignment="1">
      <alignment horizontal="center" vertical="center" wrapText="1"/>
    </xf>
    <xf numFmtId="0" fontId="38" fillId="7" borderId="8" xfId="0" applyFont="1" applyFill="1" applyBorder="1" applyAlignment="1">
      <alignment horizontal="center" vertical="center" wrapText="1"/>
    </xf>
    <xf numFmtId="0" fontId="52" fillId="16" borderId="97" xfId="0" applyFont="1" applyFill="1" applyBorder="1" applyAlignment="1">
      <alignment horizontal="left" vertical="center"/>
    </xf>
    <xf numFmtId="0" fontId="52" fillId="16" borderId="84" xfId="0" applyFont="1" applyFill="1" applyBorder="1" applyAlignment="1">
      <alignment horizontal="center" vertical="center"/>
    </xf>
    <xf numFmtId="0" fontId="52" fillId="16" borderId="85" xfId="0" applyFont="1" applyFill="1" applyBorder="1" applyAlignment="1">
      <alignment horizontal="center" vertical="center"/>
    </xf>
    <xf numFmtId="2" fontId="38" fillId="9" borderId="6" xfId="0" applyNumberFormat="1" applyFont="1" applyFill="1" applyBorder="1" applyAlignment="1">
      <alignment horizontal="left" vertical="center" wrapText="1"/>
    </xf>
    <xf numFmtId="2" fontId="38" fillId="9" borderId="15" xfId="0" applyNumberFormat="1" applyFont="1" applyFill="1" applyBorder="1" applyAlignment="1">
      <alignment horizontal="left" vertical="center" wrapText="1"/>
    </xf>
    <xf numFmtId="2" fontId="38" fillId="9" borderId="10" xfId="0" applyNumberFormat="1" applyFont="1" applyFill="1" applyBorder="1" applyAlignment="1">
      <alignment horizontal="left" vertical="center" wrapText="1"/>
    </xf>
    <xf numFmtId="0" fontId="19" fillId="6" borderId="10" xfId="0" applyFont="1" applyFill="1" applyBorder="1" applyAlignment="1">
      <alignment horizontal="center" vertical="center"/>
    </xf>
    <xf numFmtId="0" fontId="19" fillId="9" borderId="7" xfId="0" applyFont="1" applyFill="1" applyBorder="1" applyAlignment="1">
      <alignment horizontal="center" vertical="center"/>
    </xf>
    <xf numFmtId="0" fontId="19" fillId="6" borderId="7" xfId="0" applyFont="1" applyFill="1" applyBorder="1" applyAlignment="1">
      <alignment horizontal="center" vertical="center"/>
    </xf>
    <xf numFmtId="0" fontId="19" fillId="6" borderId="9" xfId="0" applyFont="1" applyFill="1" applyBorder="1" applyAlignment="1">
      <alignment horizontal="center" vertical="center"/>
    </xf>
    <xf numFmtId="0" fontId="37" fillId="7" borderId="45" xfId="0" applyFont="1" applyFill="1" applyBorder="1" applyAlignment="1">
      <alignment horizontal="left" vertical="center" wrapText="1"/>
    </xf>
    <xf numFmtId="0" fontId="37" fillId="7" borderId="46" xfId="0" applyFont="1" applyFill="1" applyBorder="1" applyAlignment="1">
      <alignment horizontal="center" vertical="center" wrapText="1"/>
    </xf>
    <xf numFmtId="0" fontId="37" fillId="7" borderId="46" xfId="0" applyFont="1" applyFill="1" applyBorder="1" applyAlignment="1">
      <alignment horizontal="center" vertical="center"/>
    </xf>
    <xf numFmtId="0" fontId="37" fillId="7" borderId="43" xfId="0" applyFont="1" applyFill="1" applyBorder="1" applyAlignment="1">
      <alignment horizontal="center" vertical="center" wrapText="1"/>
    </xf>
    <xf numFmtId="0" fontId="63" fillId="18" borderId="106" xfId="22" applyFont="1" applyFill="1" applyBorder="1" applyAlignment="1">
      <alignment horizontal="left" vertical="center"/>
    </xf>
    <xf numFmtId="0" fontId="63" fillId="18" borderId="107" xfId="22" applyFont="1" applyFill="1" applyBorder="1" applyAlignment="1">
      <alignment horizontal="left" vertical="center"/>
    </xf>
    <xf numFmtId="0" fontId="63" fillId="18" borderId="108" xfId="22" applyFont="1" applyFill="1" applyBorder="1" applyAlignment="1">
      <alignment horizontal="left" vertical="center"/>
    </xf>
    <xf numFmtId="0" fontId="63" fillId="18" borderId="109" xfId="22" applyFont="1" applyFill="1" applyBorder="1" applyAlignment="1">
      <alignment horizontal="left" vertical="center"/>
    </xf>
    <xf numFmtId="0" fontId="63" fillId="18" borderId="110" xfId="22" applyFont="1" applyFill="1" applyBorder="1" applyAlignment="1">
      <alignment horizontal="left" vertical="center"/>
    </xf>
    <xf numFmtId="0" fontId="38" fillId="0" borderId="111" xfId="0" applyFont="1" applyBorder="1" applyAlignment="1">
      <alignment horizontal="left" vertical="center"/>
    </xf>
    <xf numFmtId="0" fontId="38" fillId="0" borderId="111" xfId="0" applyFont="1" applyBorder="1" applyAlignment="1">
      <alignment horizontal="center" vertical="center"/>
    </xf>
    <xf numFmtId="0" fontId="38" fillId="0" borderId="112" xfId="22" applyFont="1" applyBorder="1" applyAlignment="1">
      <alignment horizontal="left" vertical="center"/>
    </xf>
    <xf numFmtId="0" fontId="52" fillId="7" borderId="103" xfId="0" applyFont="1" applyFill="1" applyBorder="1" applyAlignment="1">
      <alignment horizontal="center" vertical="center" wrapText="1"/>
    </xf>
    <xf numFmtId="0" fontId="44" fillId="6" borderId="0" xfId="0" applyFont="1" applyFill="1" applyAlignment="1">
      <alignment horizontal="left" vertical="center"/>
    </xf>
    <xf numFmtId="0" fontId="56" fillId="7" borderId="105" xfId="0" applyFont="1" applyFill="1" applyBorder="1" applyAlignment="1">
      <alignment horizontal="left" vertical="center" wrapText="1"/>
    </xf>
    <xf numFmtId="0" fontId="52" fillId="16" borderId="46" xfId="0" applyFont="1" applyFill="1" applyBorder="1" applyAlignment="1">
      <alignment horizontal="left" vertical="center" wrapText="1"/>
    </xf>
    <xf numFmtId="0" fontId="52" fillId="16" borderId="82" xfId="0" applyFont="1" applyFill="1" applyBorder="1" applyAlignment="1">
      <alignment horizontal="left" vertical="center" wrapText="1"/>
    </xf>
    <xf numFmtId="0" fontId="52" fillId="16" borderId="58" xfId="0" applyFont="1" applyFill="1" applyBorder="1" applyAlignment="1">
      <alignment horizontal="left" vertical="center" wrapText="1"/>
    </xf>
    <xf numFmtId="0" fontId="52" fillId="16" borderId="72" xfId="0" applyFont="1" applyFill="1" applyBorder="1" applyAlignment="1">
      <alignment horizontal="left" vertical="center" wrapText="1"/>
    </xf>
    <xf numFmtId="0" fontId="52" fillId="16" borderId="65" xfId="0" applyFont="1" applyFill="1" applyBorder="1" applyAlignment="1">
      <alignment horizontal="left" vertical="center" wrapText="1"/>
    </xf>
    <xf numFmtId="0" fontId="52" fillId="7" borderId="87" xfId="0" applyFont="1" applyFill="1" applyBorder="1" applyAlignment="1">
      <alignment horizontal="left" vertical="center" wrapText="1"/>
    </xf>
    <xf numFmtId="0" fontId="19" fillId="7" borderId="60" xfId="0" applyFont="1" applyFill="1" applyBorder="1" applyAlignment="1">
      <alignment horizontal="left" vertical="center" wrapText="1"/>
    </xf>
    <xf numFmtId="0" fontId="0" fillId="0" borderId="0" xfId="0" applyAlignment="1">
      <alignment horizontal="left" vertical="center" wrapText="1"/>
    </xf>
    <xf numFmtId="0" fontId="25" fillId="0" borderId="0" xfId="0" applyFont="1" applyAlignment="1">
      <alignment horizontal="left" vertical="center" wrapText="1"/>
    </xf>
    <xf numFmtId="0" fontId="25" fillId="0" borderId="0" xfId="0" applyFont="1" applyAlignment="1">
      <alignment horizontal="center" vertical="center" wrapText="1"/>
    </xf>
    <xf numFmtId="0" fontId="0" fillId="0" borderId="0" xfId="0" applyAlignment="1">
      <alignment horizontal="center" vertical="center" wrapText="1"/>
    </xf>
    <xf numFmtId="0" fontId="64" fillId="0" borderId="7" xfId="0" applyFont="1" applyBorder="1" applyAlignment="1">
      <alignment horizontal="left"/>
    </xf>
    <xf numFmtId="0" fontId="64" fillId="0" borderId="9" xfId="0" applyFont="1" applyBorder="1" applyAlignment="1">
      <alignment horizontal="left"/>
    </xf>
    <xf numFmtId="167" fontId="8" fillId="0" borderId="6" xfId="26" applyNumberFormat="1" applyBorder="1" applyAlignment="1">
      <alignment horizontal="center"/>
    </xf>
    <xf numFmtId="0" fontId="8" fillId="0" borderId="6" xfId="27" applyBorder="1" applyAlignment="1">
      <alignment horizontal="center"/>
    </xf>
    <xf numFmtId="0" fontId="36" fillId="0" borderId="6" xfId="0" applyFont="1" applyBorder="1" applyAlignment="1">
      <alignment horizontal="center" vertical="center" wrapText="1"/>
    </xf>
    <xf numFmtId="167" fontId="8" fillId="0" borderId="10" xfId="26" applyNumberFormat="1" applyBorder="1" applyAlignment="1">
      <alignment horizontal="center"/>
    </xf>
    <xf numFmtId="0" fontId="19" fillId="17" borderId="7" xfId="0" applyFont="1" applyFill="1" applyBorder="1" applyAlignment="1">
      <alignment horizontal="center" vertical="center"/>
    </xf>
    <xf numFmtId="0" fontId="0" fillId="17" borderId="8" xfId="0" applyFill="1" applyBorder="1"/>
    <xf numFmtId="0" fontId="19" fillId="17" borderId="9" xfId="0" applyFont="1" applyFill="1" applyBorder="1" applyAlignment="1">
      <alignment horizontal="center" vertical="center"/>
    </xf>
    <xf numFmtId="0" fontId="19" fillId="17" borderId="10" xfId="0" applyFont="1" applyFill="1" applyBorder="1" applyAlignment="1">
      <alignment horizontal="center" vertical="center"/>
    </xf>
    <xf numFmtId="0" fontId="0" fillId="17" borderId="10" xfId="0" applyFill="1" applyBorder="1" applyAlignment="1">
      <alignment horizontal="left" vertical="center"/>
    </xf>
    <xf numFmtId="0" fontId="0" fillId="17" borderId="10" xfId="0" applyFill="1" applyBorder="1" applyAlignment="1">
      <alignment horizontal="center" vertical="center"/>
    </xf>
    <xf numFmtId="0" fontId="0" fillId="17" borderId="10" xfId="0" quotePrefix="1" applyFill="1" applyBorder="1" applyAlignment="1">
      <alignment horizontal="center" vertical="center"/>
    </xf>
    <xf numFmtId="0" fontId="0" fillId="17" borderId="11" xfId="0" applyFill="1" applyBorder="1"/>
    <xf numFmtId="0" fontId="36" fillId="4" borderId="114" xfId="0" applyFont="1" applyFill="1" applyBorder="1" applyAlignment="1">
      <alignment horizontal="left" vertical="center"/>
    </xf>
    <xf numFmtId="0" fontId="36" fillId="17" borderId="99" xfId="0" applyFont="1" applyFill="1" applyBorder="1" applyAlignment="1">
      <alignment horizontal="left" vertical="center"/>
    </xf>
    <xf numFmtId="0" fontId="38" fillId="0" borderId="117" xfId="0" applyFont="1" applyBorder="1" applyAlignment="1">
      <alignment horizontal="center" vertical="center" wrapText="1"/>
    </xf>
    <xf numFmtId="0" fontId="38" fillId="0" borderId="117" xfId="0" applyFont="1" applyBorder="1" applyAlignment="1">
      <alignment horizontal="left" vertical="center" wrapText="1"/>
    </xf>
    <xf numFmtId="0" fontId="38" fillId="0" borderId="118" xfId="0" applyFont="1" applyBorder="1" applyAlignment="1">
      <alignment horizontal="center" vertical="center" wrapText="1"/>
    </xf>
    <xf numFmtId="0" fontId="38" fillId="0" borderId="113" xfId="0" applyFont="1" applyBorder="1" applyAlignment="1">
      <alignment horizontal="left" vertical="center" wrapText="1"/>
    </xf>
    <xf numFmtId="0" fontId="38" fillId="0" borderId="113" xfId="0" applyFont="1" applyBorder="1" applyAlignment="1">
      <alignment horizontal="center" vertical="center" wrapText="1"/>
    </xf>
    <xf numFmtId="0" fontId="38" fillId="0" borderId="119" xfId="0" applyFont="1" applyBorder="1" applyAlignment="1">
      <alignment horizontal="center" vertical="center" wrapText="1"/>
    </xf>
    <xf numFmtId="0" fontId="38" fillId="19" borderId="116" xfId="0" applyFont="1" applyFill="1" applyBorder="1" applyAlignment="1">
      <alignment horizontal="left" vertical="center"/>
    </xf>
    <xf numFmtId="0" fontId="38" fillId="19" borderId="117" xfId="0" applyFont="1" applyFill="1" applyBorder="1" applyAlignment="1">
      <alignment horizontal="left" vertical="center"/>
    </xf>
    <xf numFmtId="0" fontId="38" fillId="19" borderId="9" xfId="0" applyFont="1" applyFill="1" applyBorder="1" applyAlignment="1">
      <alignment horizontal="left" vertical="center"/>
    </xf>
    <xf numFmtId="0" fontId="38" fillId="19" borderId="115" xfId="0" applyFont="1" applyFill="1" applyBorder="1" applyAlignment="1">
      <alignment horizontal="left" vertical="center"/>
    </xf>
    <xf numFmtId="0" fontId="38" fillId="20" borderId="98" xfId="2" applyFont="1" applyFill="1" applyBorder="1" applyAlignment="1">
      <alignment horizontal="left" vertical="center" wrapText="1"/>
    </xf>
    <xf numFmtId="0" fontId="38" fillId="20" borderId="99" xfId="0" applyFont="1" applyFill="1" applyBorder="1" applyAlignment="1">
      <alignment horizontal="center" vertical="center" wrapText="1"/>
    </xf>
    <xf numFmtId="0" fontId="38" fillId="20" borderId="100" xfId="0" applyFont="1" applyFill="1" applyBorder="1" applyAlignment="1">
      <alignment horizontal="center" vertical="center"/>
    </xf>
    <xf numFmtId="0" fontId="38" fillId="20" borderId="120" xfId="2" applyFont="1" applyFill="1" applyBorder="1" applyAlignment="1">
      <alignment horizontal="left" vertical="center" wrapText="1"/>
    </xf>
    <xf numFmtId="0" fontId="38" fillId="20" borderId="113" xfId="0" applyFont="1" applyFill="1" applyBorder="1" applyAlignment="1">
      <alignment horizontal="center" vertical="center" wrapText="1"/>
    </xf>
    <xf numFmtId="0" fontId="38" fillId="20" borderId="119" xfId="0" applyFont="1" applyFill="1" applyBorder="1" applyAlignment="1">
      <alignment horizontal="center" vertical="center"/>
    </xf>
    <xf numFmtId="0" fontId="38" fillId="20" borderId="9" xfId="2" applyFont="1" applyFill="1" applyBorder="1" applyAlignment="1">
      <alignment horizontal="left" vertical="center" wrapText="1"/>
    </xf>
    <xf numFmtId="0" fontId="38" fillId="20" borderId="115" xfId="0" applyFont="1" applyFill="1" applyBorder="1" applyAlignment="1">
      <alignment horizontal="center" vertical="center" wrapText="1"/>
    </xf>
    <xf numFmtId="0" fontId="36" fillId="0" borderId="111" xfId="0" applyFont="1" applyBorder="1" applyAlignment="1">
      <alignment horizontal="left" vertical="center"/>
    </xf>
    <xf numFmtId="0" fontId="38" fillId="0" borderId="111" xfId="0" applyFont="1" applyBorder="1" applyAlignment="1">
      <alignment horizontal="left"/>
    </xf>
    <xf numFmtId="165" fontId="44" fillId="0" borderId="0" xfId="0" applyNumberFormat="1" applyFont="1" applyAlignment="1">
      <alignment horizontal="center" vertical="center"/>
    </xf>
    <xf numFmtId="0" fontId="52" fillId="16" borderId="101" xfId="13" applyFont="1" applyFill="1" applyBorder="1"/>
    <xf numFmtId="0" fontId="52" fillId="16" borderId="102" xfId="13" applyFont="1" applyFill="1" applyBorder="1" applyAlignment="1">
      <alignment horizontal="center"/>
    </xf>
    <xf numFmtId="0" fontId="52" fillId="16" borderId="103" xfId="13" applyFont="1" applyFill="1" applyBorder="1" applyAlignment="1">
      <alignment horizontal="center" vertical="top" wrapText="1"/>
    </xf>
    <xf numFmtId="0" fontId="52" fillId="16" borderId="103" xfId="13" applyFont="1" applyFill="1" applyBorder="1" applyAlignment="1">
      <alignment horizontal="center" vertical="center" wrapText="1"/>
    </xf>
    <xf numFmtId="0" fontId="52" fillId="16" borderId="104" xfId="13" applyFont="1" applyFill="1" applyBorder="1" applyAlignment="1">
      <alignment horizontal="center" vertical="top" wrapText="1"/>
    </xf>
    <xf numFmtId="0" fontId="36" fillId="0" borderId="98" xfId="0" applyFont="1" applyBorder="1"/>
    <xf numFmtId="0" fontId="36" fillId="0" borderId="99" xfId="0" applyFont="1" applyBorder="1"/>
    <xf numFmtId="0" fontId="36" fillId="0" borderId="99" xfId="0" applyFont="1" applyBorder="1" applyAlignment="1">
      <alignment horizontal="center"/>
    </xf>
    <xf numFmtId="0" fontId="36" fillId="0" borderId="100" xfId="0" applyFont="1" applyBorder="1"/>
    <xf numFmtId="0" fontId="36" fillId="0" borderId="116" xfId="0" applyFont="1" applyBorder="1"/>
    <xf numFmtId="0" fontId="36" fillId="0" borderId="117" xfId="0" applyFont="1" applyBorder="1"/>
    <xf numFmtId="0" fontId="36" fillId="0" borderId="117" xfId="0" applyFont="1" applyBorder="1" applyAlignment="1">
      <alignment horizontal="center"/>
    </xf>
    <xf numFmtId="0" fontId="36" fillId="0" borderId="118" xfId="0" applyFont="1" applyBorder="1"/>
    <xf numFmtId="0" fontId="36" fillId="0" borderId="120" xfId="17" applyFont="1" applyBorder="1"/>
    <xf numFmtId="0" fontId="36" fillId="0" borderId="113" xfId="17" applyFont="1" applyBorder="1"/>
    <xf numFmtId="0" fontId="36" fillId="0" borderId="113" xfId="17" applyFont="1" applyBorder="1" applyAlignment="1">
      <alignment horizontal="center"/>
    </xf>
    <xf numFmtId="0" fontId="36" fillId="0" borderId="113" xfId="17" applyFont="1" applyBorder="1" applyAlignment="1">
      <alignment horizontal="left" vertical="center"/>
    </xf>
    <xf numFmtId="0" fontId="36" fillId="0" borderId="119" xfId="17" applyFont="1" applyBorder="1"/>
    <xf numFmtId="0" fontId="36" fillId="0" borderId="120" xfId="17" applyFont="1" applyBorder="1" applyAlignment="1">
      <alignment horizontal="left" vertical="center"/>
    </xf>
    <xf numFmtId="0" fontId="36" fillId="0" borderId="113" xfId="17" applyFont="1" applyBorder="1" applyAlignment="1">
      <alignment horizontal="center" vertical="center"/>
    </xf>
    <xf numFmtId="0" fontId="36" fillId="0" borderId="119" xfId="17" applyFont="1" applyBorder="1" applyAlignment="1">
      <alignment horizontal="left" vertical="center"/>
    </xf>
    <xf numFmtId="0" fontId="36" fillId="0" borderId="9" xfId="17" applyFont="1" applyBorder="1"/>
    <xf numFmtId="0" fontId="36" fillId="0" borderId="115" xfId="17" applyFont="1" applyBorder="1"/>
    <xf numFmtId="0" fontId="36" fillId="0" borderId="115" xfId="17" applyFont="1" applyBorder="1" applyAlignment="1">
      <alignment horizontal="center"/>
    </xf>
    <xf numFmtId="0" fontId="36" fillId="0" borderId="121" xfId="17" applyFont="1" applyBorder="1"/>
    <xf numFmtId="0" fontId="36" fillId="0" borderId="102" xfId="0" applyFont="1" applyBorder="1"/>
    <xf numFmtId="0" fontId="36" fillId="0" borderId="103" xfId="0" applyFont="1" applyBorder="1"/>
    <xf numFmtId="0" fontId="36" fillId="0" borderId="103" xfId="0" applyFont="1" applyBorder="1" applyAlignment="1">
      <alignment horizontal="center"/>
    </xf>
    <xf numFmtId="0" fontId="36" fillId="0" borderId="103" xfId="17" applyFont="1" applyBorder="1"/>
    <xf numFmtId="0" fontId="36" fillId="0" borderId="104" xfId="0" applyFont="1" applyBorder="1"/>
    <xf numFmtId="0" fontId="38" fillId="5" borderId="99" xfId="0" quotePrefix="1" applyFont="1" applyFill="1" applyBorder="1" applyAlignment="1">
      <alignment horizontal="center" vertical="center"/>
    </xf>
    <xf numFmtId="0" fontId="38" fillId="5" borderId="100" xfId="0" quotePrefix="1" applyFont="1" applyFill="1" applyBorder="1" applyAlignment="1">
      <alignment horizontal="center" vertical="center"/>
    </xf>
    <xf numFmtId="0" fontId="38" fillId="5" borderId="98" xfId="0" quotePrefix="1" applyFont="1" applyFill="1" applyBorder="1" applyAlignment="1">
      <alignment horizontal="center" vertical="center"/>
    </xf>
    <xf numFmtId="0" fontId="0" fillId="5" borderId="6" xfId="0" applyFill="1" applyBorder="1" applyAlignment="1">
      <alignment horizontal="center"/>
    </xf>
    <xf numFmtId="0" fontId="0" fillId="5" borderId="13" xfId="0" applyFill="1" applyBorder="1" applyAlignment="1">
      <alignment horizontal="center"/>
    </xf>
    <xf numFmtId="0" fontId="0" fillId="5" borderId="10" xfId="0" applyFill="1" applyBorder="1" applyAlignment="1">
      <alignment horizontal="center"/>
    </xf>
    <xf numFmtId="0" fontId="6" fillId="0" borderId="6" xfId="30" applyFont="1" applyBorder="1" applyAlignment="1">
      <alignment horizontal="center"/>
    </xf>
    <xf numFmtId="0" fontId="6" fillId="0" borderId="6" xfId="32" applyFont="1" applyBorder="1" applyAlignment="1">
      <alignment horizontal="center"/>
    </xf>
    <xf numFmtId="0" fontId="6" fillId="0" borderId="10" xfId="33" applyFont="1" applyBorder="1" applyAlignment="1">
      <alignment horizontal="center"/>
    </xf>
    <xf numFmtId="0" fontId="38" fillId="0" borderId="11" xfId="0" applyFont="1" applyBorder="1" applyAlignment="1">
      <alignment horizontal="left" vertical="center"/>
    </xf>
    <xf numFmtId="0" fontId="38" fillId="0" borderId="116" xfId="0" applyFont="1" applyBorder="1" applyAlignment="1">
      <alignment horizontal="left" vertical="center"/>
    </xf>
    <xf numFmtId="0" fontId="38" fillId="0" borderId="117" xfId="0" applyFont="1" applyBorder="1" applyAlignment="1">
      <alignment horizontal="left" vertical="center"/>
    </xf>
    <xf numFmtId="0" fontId="36" fillId="0" borderId="113" xfId="0" applyFont="1" applyBorder="1" applyAlignment="1">
      <alignment horizontal="center" vertical="center"/>
    </xf>
    <xf numFmtId="167" fontId="5" fillId="0" borderId="6" xfId="26" applyNumberFormat="1" applyFont="1" applyBorder="1" applyAlignment="1">
      <alignment horizontal="center"/>
    </xf>
    <xf numFmtId="0" fontId="63" fillId="21" borderId="106" xfId="22" applyFont="1" applyFill="1" applyBorder="1" applyAlignment="1">
      <alignment horizontal="left" vertical="center"/>
    </xf>
    <xf numFmtId="0" fontId="63" fillId="21" borderId="107" xfId="22" applyFont="1" applyFill="1" applyBorder="1" applyAlignment="1">
      <alignment horizontal="left" vertical="center"/>
    </xf>
    <xf numFmtId="0" fontId="63" fillId="21" borderId="108" xfId="22" applyFont="1" applyFill="1" applyBorder="1" applyAlignment="1">
      <alignment horizontal="left" vertical="center"/>
    </xf>
    <xf numFmtId="0" fontId="63" fillId="21" borderId="109" xfId="22" applyFont="1" applyFill="1" applyBorder="1" applyAlignment="1">
      <alignment horizontal="left" vertical="center"/>
    </xf>
    <xf numFmtId="0" fontId="63" fillId="21" borderId="110" xfId="22" applyFont="1" applyFill="1" applyBorder="1" applyAlignment="1">
      <alignment horizontal="left" vertical="center"/>
    </xf>
    <xf numFmtId="0" fontId="63" fillId="18" borderId="122" xfId="22" applyFont="1" applyFill="1" applyBorder="1" applyAlignment="1">
      <alignment horizontal="left" vertical="center"/>
    </xf>
    <xf numFmtId="0" fontId="63" fillId="18" borderId="123" xfId="22" applyFont="1" applyFill="1" applyBorder="1" applyAlignment="1">
      <alignment horizontal="left" vertical="center"/>
    </xf>
    <xf numFmtId="0" fontId="63" fillId="18" borderId="124" xfId="22" applyFont="1" applyFill="1" applyBorder="1" applyAlignment="1">
      <alignment horizontal="left" vertical="center"/>
    </xf>
    <xf numFmtId="0" fontId="63" fillId="18" borderId="125" xfId="22" applyFont="1" applyFill="1" applyBorder="1" applyAlignment="1">
      <alignment horizontal="left" vertical="center"/>
    </xf>
    <xf numFmtId="0" fontId="52" fillId="7" borderId="102" xfId="0" applyFont="1" applyFill="1" applyBorder="1" applyAlignment="1">
      <alignment horizontal="center" vertical="center"/>
    </xf>
    <xf numFmtId="0" fontId="52" fillId="7" borderId="104" xfId="0" applyFont="1" applyFill="1" applyBorder="1" applyAlignment="1">
      <alignment horizontal="center" vertical="center" wrapText="1"/>
    </xf>
    <xf numFmtId="0" fontId="47" fillId="0" borderId="39" xfId="0" applyFont="1" applyBorder="1" applyAlignment="1">
      <alignment horizontal="left" vertical="center"/>
    </xf>
    <xf numFmtId="0" fontId="38" fillId="0" borderId="126" xfId="0" applyFont="1" applyBorder="1" applyAlignment="1">
      <alignment horizontal="left" vertical="center"/>
    </xf>
    <xf numFmtId="0" fontId="38" fillId="0" borderId="126" xfId="0" applyFont="1" applyBorder="1" applyAlignment="1">
      <alignment horizontal="left" vertical="center" wrapText="1"/>
    </xf>
    <xf numFmtId="0" fontId="38" fillId="0" borderId="127" xfId="0" applyFont="1" applyBorder="1" applyAlignment="1">
      <alignment horizontal="left" vertical="center" wrapText="1"/>
    </xf>
    <xf numFmtId="0" fontId="38" fillId="0" borderId="127" xfId="0" applyFont="1" applyBorder="1" applyAlignment="1">
      <alignment horizontal="center" vertical="center" wrapText="1"/>
    </xf>
    <xf numFmtId="0" fontId="38" fillId="0" borderId="128" xfId="0" applyFont="1" applyBorder="1" applyAlignment="1">
      <alignment horizontal="center" vertical="center" wrapText="1"/>
    </xf>
    <xf numFmtId="0" fontId="38" fillId="20" borderId="121" xfId="0" applyFont="1" applyFill="1" applyBorder="1" applyAlignment="1">
      <alignment horizontal="center" vertical="center"/>
    </xf>
    <xf numFmtId="0" fontId="0" fillId="0" borderId="0" xfId="0" quotePrefix="1" applyAlignment="1">
      <alignment horizontal="right"/>
    </xf>
    <xf numFmtId="0" fontId="20" fillId="0" borderId="0" xfId="0" applyFont="1" applyAlignment="1">
      <alignment horizontal="right"/>
    </xf>
    <xf numFmtId="0" fontId="0" fillId="0" borderId="113" xfId="0" applyBorder="1"/>
    <xf numFmtId="0" fontId="0" fillId="0" borderId="114" xfId="0" applyBorder="1"/>
    <xf numFmtId="0" fontId="0" fillId="0" borderId="129" xfId="0" applyBorder="1"/>
    <xf numFmtId="0" fontId="0" fillId="24" borderId="98" xfId="0" applyFill="1" applyBorder="1"/>
    <xf numFmtId="0" fontId="0" fillId="24" borderId="99" xfId="0" applyFill="1" applyBorder="1"/>
    <xf numFmtId="2" fontId="0" fillId="24" borderId="100" xfId="0" applyNumberFormat="1" applyFill="1" applyBorder="1"/>
    <xf numFmtId="0" fontId="0" fillId="0" borderId="130" xfId="0" applyBorder="1"/>
    <xf numFmtId="0" fontId="0" fillId="24" borderId="120" xfId="0" applyFill="1" applyBorder="1"/>
    <xf numFmtId="0" fontId="0" fillId="24" borderId="113" xfId="0" applyFill="1" applyBorder="1"/>
    <xf numFmtId="2" fontId="0" fillId="24" borderId="119" xfId="0" applyNumberFormat="1" applyFill="1" applyBorder="1"/>
    <xf numFmtId="0" fontId="0" fillId="24" borderId="9" xfId="0" applyFill="1" applyBorder="1"/>
    <xf numFmtId="0" fontId="0" fillId="24" borderId="10" xfId="0" applyFill="1" applyBorder="1"/>
    <xf numFmtId="2" fontId="0" fillId="24" borderId="11" xfId="0" applyNumberFormat="1" applyFill="1" applyBorder="1"/>
    <xf numFmtId="0" fontId="0" fillId="0" borderId="117" xfId="0" applyBorder="1"/>
    <xf numFmtId="0" fontId="27" fillId="0" borderId="0" xfId="0" applyFont="1"/>
    <xf numFmtId="0" fontId="28" fillId="0" borderId="0" xfId="0" applyFont="1"/>
    <xf numFmtId="0" fontId="52" fillId="7" borderId="102" xfId="0" applyFont="1" applyFill="1" applyBorder="1" applyAlignment="1">
      <alignment horizontal="left" vertical="center"/>
    </xf>
    <xf numFmtId="0" fontId="52" fillId="7" borderId="103" xfId="0" applyFont="1" applyFill="1" applyBorder="1" applyAlignment="1">
      <alignment horizontal="left" vertical="center" wrapText="1"/>
    </xf>
    <xf numFmtId="0" fontId="38" fillId="0" borderId="120" xfId="0" applyFont="1" applyBorder="1" applyAlignment="1">
      <alignment horizontal="left" vertical="center"/>
    </xf>
    <xf numFmtId="0" fontId="38" fillId="0" borderId="113" xfId="0" applyFont="1" applyBorder="1" applyAlignment="1">
      <alignment horizontal="left" vertical="center"/>
    </xf>
    <xf numFmtId="0" fontId="52" fillId="7" borderId="97" xfId="0" applyFont="1" applyFill="1" applyBorder="1" applyAlignment="1">
      <alignment horizontal="left" vertical="center"/>
    </xf>
    <xf numFmtId="0" fontId="52" fillId="7" borderId="127" xfId="0" applyFont="1" applyFill="1" applyBorder="1" applyAlignment="1">
      <alignment horizontal="left" vertical="center" wrapText="1"/>
    </xf>
    <xf numFmtId="0" fontId="52" fillId="7" borderId="128" xfId="0" applyFont="1" applyFill="1" applyBorder="1" applyAlignment="1">
      <alignment vertical="center" wrapText="1"/>
    </xf>
    <xf numFmtId="0" fontId="38" fillId="0" borderId="98" xfId="0" applyFont="1" applyBorder="1" applyAlignment="1">
      <alignment vertical="center"/>
    </xf>
    <xf numFmtId="0" fontId="38" fillId="0" borderId="99" xfId="0" applyFont="1" applyBorder="1"/>
    <xf numFmtId="0" fontId="38" fillId="0" borderId="100" xfId="0" applyFont="1" applyBorder="1"/>
    <xf numFmtId="0" fontId="38" fillId="0" borderId="120" xfId="0" applyFont="1" applyBorder="1" applyAlignment="1">
      <alignment vertical="center"/>
    </xf>
    <xf numFmtId="0" fontId="38" fillId="0" borderId="113" xfId="0" applyFont="1" applyBorder="1"/>
    <xf numFmtId="0" fontId="38" fillId="0" borderId="119" xfId="0" applyFont="1" applyBorder="1"/>
    <xf numFmtId="0" fontId="38" fillId="0" borderId="113" xfId="0" applyFont="1" applyBorder="1" applyAlignment="1">
      <alignment vertical="center"/>
    </xf>
    <xf numFmtId="0" fontId="38" fillId="0" borderId="119" xfId="0" applyFont="1" applyBorder="1" applyAlignment="1">
      <alignment vertical="center"/>
    </xf>
    <xf numFmtId="0" fontId="38" fillId="0" borderId="10" xfId="0" applyFont="1" applyBorder="1" applyAlignment="1">
      <alignment vertical="center"/>
    </xf>
    <xf numFmtId="0" fontId="38" fillId="0" borderId="11" xfId="0" applyFont="1" applyBorder="1" applyAlignment="1">
      <alignment vertical="center"/>
    </xf>
    <xf numFmtId="0" fontId="24" fillId="0" borderId="0" xfId="0" applyFont="1"/>
    <xf numFmtId="2" fontId="38" fillId="8" borderId="126" xfId="0" applyNumberFormat="1" applyFont="1" applyFill="1" applyBorder="1" applyAlignment="1">
      <alignment horizontal="center" vertical="center" wrapText="1"/>
    </xf>
    <xf numFmtId="0" fontId="38" fillId="0" borderId="126" xfId="0" applyFont="1" applyBorder="1" applyAlignment="1">
      <alignment horizontal="center" vertical="center"/>
    </xf>
    <xf numFmtId="167" fontId="8" fillId="0" borderId="126" xfId="26" applyNumberFormat="1" applyBorder="1" applyAlignment="1">
      <alignment horizontal="center"/>
    </xf>
    <xf numFmtId="0" fontId="44" fillId="0" borderId="0" xfId="5" applyFont="1" applyAlignment="1">
      <alignment horizontal="center" vertical="center"/>
    </xf>
    <xf numFmtId="0" fontId="56" fillId="7" borderId="60" xfId="5" applyFont="1" applyFill="1" applyBorder="1" applyAlignment="1">
      <alignment horizontal="left" vertical="center" wrapText="1"/>
    </xf>
    <xf numFmtId="0" fontId="56" fillId="0" borderId="0" xfId="5" applyFont="1" applyAlignment="1">
      <alignment horizontal="center" vertical="center"/>
    </xf>
    <xf numFmtId="0" fontId="52" fillId="16" borderId="102" xfId="5" applyFont="1" applyFill="1" applyBorder="1" applyAlignment="1">
      <alignment horizontal="center" vertical="center"/>
    </xf>
    <xf numFmtId="0" fontId="52" fillId="16" borderId="103" xfId="5" applyFont="1" applyFill="1" applyBorder="1" applyAlignment="1">
      <alignment horizontal="left" vertical="center" wrapText="1"/>
    </xf>
    <xf numFmtId="0" fontId="52" fillId="16" borderId="103" xfId="5" applyFont="1" applyFill="1" applyBorder="1" applyAlignment="1">
      <alignment horizontal="center" vertical="center" wrapText="1"/>
    </xf>
    <xf numFmtId="0" fontId="52" fillId="16" borderId="104" xfId="5" applyFont="1" applyFill="1" applyBorder="1" applyAlignment="1">
      <alignment vertical="center"/>
    </xf>
    <xf numFmtId="0" fontId="36" fillId="0" borderId="7" xfId="5" applyFont="1" applyBorder="1" applyAlignment="1">
      <alignment horizontal="left"/>
    </xf>
    <xf numFmtId="0" fontId="38" fillId="0" borderId="126" xfId="5" applyFont="1" applyBorder="1" applyAlignment="1">
      <alignment horizontal="left" vertical="center" wrapText="1"/>
    </xf>
    <xf numFmtId="0" fontId="38" fillId="0" borderId="126" xfId="5" applyFont="1" applyBorder="1" applyAlignment="1">
      <alignment horizontal="center" vertical="center" wrapText="1"/>
    </xf>
    <xf numFmtId="0" fontId="36" fillId="0" borderId="126" xfId="5" applyFont="1" applyBorder="1" applyAlignment="1">
      <alignment horizontal="center"/>
    </xf>
    <xf numFmtId="0" fontId="38" fillId="0" borderId="8" xfId="5" applyFont="1" applyBorder="1" applyAlignment="1">
      <alignment horizontal="center" vertical="center" wrapText="1"/>
    </xf>
    <xf numFmtId="0" fontId="36" fillId="0" borderId="126" xfId="5" applyFont="1" applyBorder="1" applyAlignment="1">
      <alignment horizontal="center" vertical="center"/>
    </xf>
    <xf numFmtId="0" fontId="36" fillId="0" borderId="9" xfId="5" applyFont="1" applyBorder="1" applyAlignment="1">
      <alignment horizontal="left"/>
    </xf>
    <xf numFmtId="0" fontId="38" fillId="0" borderId="10" xfId="5" applyFont="1" applyBorder="1" applyAlignment="1">
      <alignment horizontal="left" vertical="center" wrapText="1"/>
    </xf>
    <xf numFmtId="0" fontId="38" fillId="0" borderId="10" xfId="5" applyFont="1" applyBorder="1" applyAlignment="1">
      <alignment horizontal="center" vertical="center" wrapText="1"/>
    </xf>
    <xf numFmtId="0" fontId="36" fillId="0" borderId="10" xfId="5" applyFont="1" applyBorder="1" applyAlignment="1">
      <alignment horizontal="center"/>
    </xf>
    <xf numFmtId="0" fontId="38" fillId="0" borderId="11" xfId="5" applyFont="1" applyBorder="1" applyAlignment="1">
      <alignment horizontal="center" vertical="center" wrapText="1"/>
    </xf>
    <xf numFmtId="0" fontId="38" fillId="9" borderId="7" xfId="0" applyFont="1" applyFill="1" applyBorder="1" applyAlignment="1">
      <alignment horizontal="left" vertical="center" wrapText="1"/>
    </xf>
    <xf numFmtId="2" fontId="38" fillId="9" borderId="126" xfId="0" applyNumberFormat="1" applyFont="1" applyFill="1" applyBorder="1" applyAlignment="1">
      <alignment horizontal="left" vertical="center" wrapText="1"/>
    </xf>
    <xf numFmtId="2" fontId="38" fillId="9" borderId="126" xfId="0" applyNumberFormat="1" applyFont="1" applyFill="1" applyBorder="1" applyAlignment="1">
      <alignment horizontal="center" vertical="center" wrapText="1"/>
    </xf>
    <xf numFmtId="0" fontId="38" fillId="9" borderId="126" xfId="0" applyFont="1" applyFill="1" applyBorder="1" applyAlignment="1">
      <alignment horizontal="center" vertical="center" wrapText="1"/>
    </xf>
    <xf numFmtId="0" fontId="52" fillId="7" borderId="103" xfId="5" applyFont="1" applyFill="1" applyBorder="1" applyAlignment="1">
      <alignment horizontal="center" vertical="center" wrapText="1"/>
    </xf>
    <xf numFmtId="0" fontId="36" fillId="0" borderId="117" xfId="5" applyFont="1" applyBorder="1" applyAlignment="1">
      <alignment horizontal="center"/>
    </xf>
    <xf numFmtId="0" fontId="49" fillId="7" borderId="127" xfId="3" applyFont="1" applyFill="1" applyBorder="1" applyAlignment="1">
      <alignment horizontal="center" vertical="center" wrapText="1"/>
    </xf>
    <xf numFmtId="0" fontId="0" fillId="8" borderId="99" xfId="0" applyFill="1" applyBorder="1" applyAlignment="1">
      <alignment horizontal="center" vertical="center"/>
    </xf>
    <xf numFmtId="0" fontId="0" fillId="8" borderId="126" xfId="0" applyFill="1" applyBorder="1" applyAlignment="1">
      <alignment horizontal="center" vertical="center"/>
    </xf>
    <xf numFmtId="0" fontId="0" fillId="10" borderId="126" xfId="0" applyFill="1" applyBorder="1" applyAlignment="1">
      <alignment horizontal="center" vertical="center"/>
    </xf>
    <xf numFmtId="0" fontId="0" fillId="11" borderId="126" xfId="0" applyFill="1" applyBorder="1" applyAlignment="1">
      <alignment horizontal="center" vertical="center"/>
    </xf>
    <xf numFmtId="0" fontId="0" fillId="9" borderId="126" xfId="0" applyFill="1" applyBorder="1" applyAlignment="1">
      <alignment horizontal="center" vertical="center"/>
    </xf>
    <xf numFmtId="0" fontId="0" fillId="9" borderId="126" xfId="0" quotePrefix="1" applyFill="1" applyBorder="1" applyAlignment="1">
      <alignment horizontal="center" vertical="center"/>
    </xf>
    <xf numFmtId="0" fontId="0" fillId="6" borderId="126" xfId="0" quotePrefix="1" applyFill="1" applyBorder="1" applyAlignment="1">
      <alignment horizontal="center" vertical="center"/>
    </xf>
    <xf numFmtId="0" fontId="0" fillId="17" borderId="126" xfId="0" quotePrefix="1" applyFill="1" applyBorder="1" applyAlignment="1">
      <alignment horizontal="center" vertical="center"/>
    </xf>
    <xf numFmtId="0" fontId="44" fillId="5" borderId="99" xfId="0" applyFont="1" applyFill="1" applyBorder="1" applyAlignment="1">
      <alignment horizontal="center" vertical="center"/>
    </xf>
    <xf numFmtId="0" fontId="44" fillId="5" borderId="126" xfId="0" applyFont="1" applyFill="1" applyBorder="1" applyAlignment="1">
      <alignment horizontal="center" vertical="center"/>
    </xf>
    <xf numFmtId="0" fontId="0" fillId="5" borderId="126" xfId="0" applyFill="1" applyBorder="1" applyAlignment="1">
      <alignment horizontal="center" vertical="center"/>
    </xf>
    <xf numFmtId="0" fontId="0" fillId="5" borderId="114" xfId="0" applyFill="1" applyBorder="1" applyAlignment="1">
      <alignment horizontal="center" vertical="center"/>
    </xf>
    <xf numFmtId="0" fontId="38" fillId="0" borderId="114" xfId="0" applyFont="1" applyBorder="1" applyAlignment="1">
      <alignment horizontal="left" vertical="center" wrapText="1"/>
    </xf>
    <xf numFmtId="0" fontId="38" fillId="0" borderId="114" xfId="0" applyFont="1" applyBorder="1" applyAlignment="1">
      <alignment horizontal="center" vertical="center" wrapText="1"/>
    </xf>
    <xf numFmtId="0" fontId="38" fillId="0" borderId="132" xfId="0" applyFont="1" applyBorder="1" applyAlignment="1">
      <alignment horizontal="center" vertical="center" wrapText="1"/>
    </xf>
    <xf numFmtId="0" fontId="44" fillId="0" borderId="10" xfId="0" applyFont="1" applyBorder="1" applyAlignment="1">
      <alignment horizontal="center" vertical="center"/>
    </xf>
    <xf numFmtId="0" fontId="44" fillId="0" borderId="11" xfId="0" applyFont="1" applyBorder="1" applyAlignment="1">
      <alignment horizontal="center" vertical="center"/>
    </xf>
    <xf numFmtId="0" fontId="38" fillId="0" borderId="133" xfId="0" applyFont="1" applyBorder="1" applyAlignment="1">
      <alignment horizontal="center" vertical="center" wrapText="1"/>
    </xf>
    <xf numFmtId="0" fontId="52" fillId="16" borderId="134" xfId="0" applyFont="1" applyFill="1" applyBorder="1" applyAlignment="1">
      <alignment horizontal="left" vertical="center"/>
    </xf>
    <xf numFmtId="0" fontId="52" fillId="16" borderId="135" xfId="0" applyFont="1" applyFill="1" applyBorder="1" applyAlignment="1">
      <alignment horizontal="left" vertical="center"/>
    </xf>
    <xf numFmtId="0" fontId="52" fillId="16" borderId="135" xfId="0" applyFont="1" applyFill="1" applyBorder="1" applyAlignment="1">
      <alignment horizontal="center" vertical="center"/>
    </xf>
    <xf numFmtId="0" fontId="52" fillId="16" borderId="136" xfId="0" applyFont="1" applyFill="1" applyBorder="1" applyAlignment="1">
      <alignment horizontal="left" vertical="center"/>
    </xf>
    <xf numFmtId="0" fontId="38" fillId="20" borderId="116" xfId="2" applyFont="1" applyFill="1" applyBorder="1" applyAlignment="1">
      <alignment horizontal="left" vertical="center" wrapText="1"/>
    </xf>
    <xf numFmtId="0" fontId="36" fillId="20" borderId="117" xfId="0" applyFont="1" applyFill="1" applyBorder="1" applyAlignment="1">
      <alignment horizontal="center" vertical="center" wrapText="1"/>
    </xf>
    <xf numFmtId="0" fontId="38" fillId="20" borderId="117" xfId="0" applyFont="1" applyFill="1" applyBorder="1" applyAlignment="1">
      <alignment horizontal="center" vertical="center" wrapText="1"/>
    </xf>
    <xf numFmtId="0" fontId="38" fillId="20" borderId="118" xfId="0" applyFont="1" applyFill="1" applyBorder="1" applyAlignment="1">
      <alignment horizontal="center" vertical="center"/>
    </xf>
    <xf numFmtId="0" fontId="81" fillId="20" borderId="9" xfId="2" applyFont="1" applyFill="1" applyBorder="1" applyAlignment="1">
      <alignment horizontal="left" vertical="center" wrapText="1"/>
    </xf>
    <xf numFmtId="0" fontId="36" fillId="20" borderId="10" xfId="0" applyFont="1" applyFill="1" applyBorder="1" applyAlignment="1">
      <alignment horizontal="center" vertical="center" wrapText="1"/>
    </xf>
    <xf numFmtId="0" fontId="38" fillId="20" borderId="10" xfId="0" applyFont="1" applyFill="1" applyBorder="1" applyAlignment="1">
      <alignment horizontal="center" vertical="center" wrapText="1"/>
    </xf>
    <xf numFmtId="0" fontId="38" fillId="20" borderId="11" xfId="0" applyFont="1" applyFill="1" applyBorder="1" applyAlignment="1">
      <alignment horizontal="center" vertical="center"/>
    </xf>
    <xf numFmtId="2" fontId="36" fillId="0" borderId="113" xfId="0" applyNumberFormat="1" applyFont="1" applyBorder="1" applyAlignment="1">
      <alignment horizontal="left" vertical="center"/>
    </xf>
    <xf numFmtId="2" fontId="36" fillId="0" borderId="113" xfId="0" applyNumberFormat="1" applyFont="1" applyBorder="1" applyAlignment="1">
      <alignment horizontal="center" vertical="center"/>
    </xf>
    <xf numFmtId="0" fontId="36" fillId="0" borderId="117" xfId="0" applyFont="1" applyBorder="1" applyAlignment="1">
      <alignment horizontal="center" vertical="center"/>
    </xf>
    <xf numFmtId="165" fontId="38" fillId="0" borderId="126" xfId="0" applyNumberFormat="1" applyFont="1" applyBorder="1" applyAlignment="1">
      <alignment horizontal="center" vertical="center"/>
    </xf>
    <xf numFmtId="0" fontId="38" fillId="9" borderId="9" xfId="0" applyFont="1" applyFill="1" applyBorder="1" applyAlignment="1">
      <alignment horizontal="left" vertical="center" wrapText="1"/>
    </xf>
    <xf numFmtId="0" fontId="0" fillId="15" borderId="126" xfId="0" applyFill="1" applyBorder="1"/>
    <xf numFmtId="0" fontId="36" fillId="15" borderId="126" xfId="0" applyFont="1" applyFill="1" applyBorder="1"/>
    <xf numFmtId="0" fontId="72" fillId="0" borderId="0" xfId="34" applyAlignment="1">
      <alignment horizontal="left"/>
    </xf>
    <xf numFmtId="0" fontId="37" fillId="7" borderId="135" xfId="0" applyFont="1" applyFill="1" applyBorder="1" applyAlignment="1">
      <alignment horizontal="center" vertical="center" wrapText="1"/>
    </xf>
    <xf numFmtId="0" fontId="36" fillId="0" borderId="126" xfId="0" applyFont="1" applyBorder="1" applyAlignment="1">
      <alignment horizontal="center" vertical="center"/>
    </xf>
    <xf numFmtId="0" fontId="36" fillId="0" borderId="126" xfId="0" applyFont="1" applyBorder="1" applyAlignment="1">
      <alignment horizontal="center" vertical="center" wrapText="1"/>
    </xf>
    <xf numFmtId="167" fontId="38" fillId="9" borderId="126" xfId="0" applyNumberFormat="1" applyFont="1" applyFill="1" applyBorder="1" applyAlignment="1">
      <alignment horizontal="left" vertical="center" wrapText="1"/>
    </xf>
    <xf numFmtId="167" fontId="38" fillId="9" borderId="126" xfId="0" applyNumberFormat="1" applyFont="1" applyFill="1" applyBorder="1" applyAlignment="1">
      <alignment horizontal="center" vertical="center" wrapText="1"/>
    </xf>
    <xf numFmtId="0" fontId="38" fillId="9" borderId="126" xfId="0" applyFont="1" applyFill="1" applyBorder="1" applyAlignment="1">
      <alignment horizontal="left" vertical="center" wrapText="1"/>
    </xf>
    <xf numFmtId="0" fontId="38" fillId="9" borderId="8" xfId="0" applyFont="1" applyFill="1" applyBorder="1" applyAlignment="1">
      <alignment horizontal="left" vertical="center" wrapText="1"/>
    </xf>
    <xf numFmtId="0" fontId="36" fillId="0" borderId="126" xfId="0" applyFont="1" applyBorder="1" applyAlignment="1">
      <alignment horizontal="left" vertical="center"/>
    </xf>
    <xf numFmtId="0" fontId="37" fillId="7" borderId="135" xfId="0" applyFont="1" applyFill="1" applyBorder="1" applyAlignment="1">
      <alignment horizontal="center" vertical="center"/>
    </xf>
    <xf numFmtId="2" fontId="36" fillId="0" borderId="117" xfId="0" applyNumberFormat="1" applyFont="1" applyBorder="1" applyAlignment="1">
      <alignment horizontal="center" vertical="center"/>
    </xf>
    <xf numFmtId="0" fontId="38" fillId="0" borderId="126" xfId="0" applyFont="1" applyBorder="1" applyAlignment="1">
      <alignment horizontal="center" vertical="center" wrapText="1"/>
    </xf>
    <xf numFmtId="0" fontId="38" fillId="0" borderId="126" xfId="0" quotePrefix="1" applyFont="1" applyBorder="1" applyAlignment="1">
      <alignment horizontal="center" vertical="center" wrapText="1"/>
    </xf>
    <xf numFmtId="0" fontId="38" fillId="0" borderId="0" xfId="0" applyFont="1" applyAlignment="1">
      <alignment horizontal="left" vertical="center" wrapText="1"/>
    </xf>
    <xf numFmtId="0" fontId="81" fillId="0" borderId="0" xfId="2" applyFont="1" applyAlignment="1">
      <alignment horizontal="left" vertical="center" wrapText="1"/>
    </xf>
    <xf numFmtId="0" fontId="36" fillId="0" borderId="0" xfId="0" applyFont="1" applyAlignment="1">
      <alignment horizontal="center" vertical="center" wrapText="1"/>
    </xf>
    <xf numFmtId="0" fontId="38" fillId="0" borderId="0" xfId="0" applyFont="1" applyAlignment="1">
      <alignment horizontal="center" vertical="center"/>
    </xf>
    <xf numFmtId="0" fontId="81" fillId="20" borderId="137" xfId="2" applyFont="1" applyFill="1" applyBorder="1" applyAlignment="1">
      <alignment horizontal="left" vertical="center" wrapText="1"/>
    </xf>
    <xf numFmtId="0" fontId="36" fillId="20" borderId="114" xfId="0" applyFont="1" applyFill="1" applyBorder="1" applyAlignment="1">
      <alignment horizontal="center" vertical="center" wrapText="1"/>
    </xf>
    <xf numFmtId="0" fontId="38" fillId="20" borderId="114" xfId="0" applyFont="1" applyFill="1" applyBorder="1" applyAlignment="1">
      <alignment horizontal="center" vertical="center" wrapText="1"/>
    </xf>
    <xf numFmtId="0" fontId="38" fillId="20" borderId="138" xfId="0" applyFont="1" applyFill="1" applyBorder="1" applyAlignment="1">
      <alignment horizontal="center" vertical="center"/>
    </xf>
    <xf numFmtId="0" fontId="44" fillId="0" borderId="6" xfId="0" applyFont="1" applyBorder="1" applyAlignment="1">
      <alignment horizontal="center" vertical="center"/>
    </xf>
    <xf numFmtId="0" fontId="44" fillId="0" borderId="126" xfId="0" applyFont="1" applyBorder="1" applyAlignment="1">
      <alignment horizontal="center" vertical="center" wrapText="1"/>
    </xf>
    <xf numFmtId="166" fontId="44" fillId="0" borderId="126" xfId="0" applyNumberFormat="1" applyFont="1" applyBorder="1" applyAlignment="1">
      <alignment horizontal="center" vertical="center"/>
    </xf>
    <xf numFmtId="166" fontId="56" fillId="0" borderId="0" xfId="0" applyNumberFormat="1" applyFont="1" applyAlignment="1">
      <alignment horizontal="center" vertical="center"/>
    </xf>
    <xf numFmtId="0" fontId="56" fillId="0" borderId="0" xfId="0" applyFont="1" applyAlignment="1">
      <alignment horizontal="left" vertical="center" wrapText="1"/>
    </xf>
    <xf numFmtId="0" fontId="56" fillId="0" borderId="0" xfId="0" applyFont="1" applyAlignment="1">
      <alignment horizontal="center" vertical="center" wrapText="1"/>
    </xf>
    <xf numFmtId="0" fontId="56" fillId="0" borderId="126" xfId="0" applyFont="1" applyBorder="1" applyAlignment="1">
      <alignment horizontal="center" vertical="center"/>
    </xf>
    <xf numFmtId="166" fontId="56" fillId="0" borderId="126" xfId="0" applyNumberFormat="1" applyFont="1" applyBorder="1" applyAlignment="1">
      <alignment horizontal="center" vertical="center"/>
    </xf>
    <xf numFmtId="0" fontId="19" fillId="9" borderId="126" xfId="0" applyFont="1" applyFill="1" applyBorder="1" applyAlignment="1">
      <alignment horizontal="center"/>
    </xf>
    <xf numFmtId="0" fontId="0" fillId="9" borderId="126" xfId="0" applyFill="1" applyBorder="1"/>
    <xf numFmtId="0" fontId="0" fillId="9" borderId="126" xfId="0" applyFill="1" applyBorder="1" applyAlignment="1">
      <alignment horizontal="left"/>
    </xf>
    <xf numFmtId="0" fontId="19" fillId="8" borderId="98" xfId="0" applyFont="1" applyFill="1" applyBorder="1" applyAlignment="1">
      <alignment horizontal="center"/>
    </xf>
    <xf numFmtId="0" fontId="19" fillId="8" borderId="99" xfId="0" applyFont="1" applyFill="1" applyBorder="1" applyAlignment="1">
      <alignment horizontal="center"/>
    </xf>
    <xf numFmtId="0" fontId="0" fillId="8" borderId="99" xfId="0" applyFill="1" applyBorder="1"/>
    <xf numFmtId="0" fontId="0" fillId="8" borderId="99" xfId="0" quotePrefix="1" applyFill="1" applyBorder="1" applyAlignment="1">
      <alignment horizontal="center" vertical="center"/>
    </xf>
    <xf numFmtId="0" fontId="0" fillId="8" borderId="99" xfId="0" applyFill="1" applyBorder="1" applyAlignment="1">
      <alignment horizontal="left"/>
    </xf>
    <xf numFmtId="0" fontId="0" fillId="8" borderId="100" xfId="0" applyFill="1" applyBorder="1"/>
    <xf numFmtId="0" fontId="19" fillId="8" borderId="126" xfId="0" applyFont="1" applyFill="1" applyBorder="1" applyAlignment="1">
      <alignment horizontal="center"/>
    </xf>
    <xf numFmtId="0" fontId="0" fillId="8" borderId="126" xfId="0" applyFill="1" applyBorder="1"/>
    <xf numFmtId="0" fontId="0" fillId="8" borderId="126" xfId="0" quotePrefix="1" applyFill="1" applyBorder="1" applyAlignment="1">
      <alignment horizontal="center" vertical="center"/>
    </xf>
    <xf numFmtId="0" fontId="0" fillId="8" borderId="126" xfId="0" applyFill="1" applyBorder="1" applyAlignment="1">
      <alignment horizontal="left"/>
    </xf>
    <xf numFmtId="0" fontId="36" fillId="8" borderId="126" xfId="0" quotePrefix="1" applyFont="1" applyFill="1" applyBorder="1" applyAlignment="1">
      <alignment horizontal="center" vertical="center"/>
    </xf>
    <xf numFmtId="0" fontId="19" fillId="10" borderId="126" xfId="0" applyFont="1" applyFill="1" applyBorder="1" applyAlignment="1">
      <alignment horizontal="center"/>
    </xf>
    <xf numFmtId="0" fontId="0" fillId="10" borderId="126" xfId="0" applyFill="1" applyBorder="1"/>
    <xf numFmtId="0" fontId="0" fillId="10" borderId="126" xfId="0" quotePrefix="1" applyFill="1" applyBorder="1" applyAlignment="1">
      <alignment horizontal="center" vertical="center"/>
    </xf>
    <xf numFmtId="0" fontId="36" fillId="10" borderId="126" xfId="0" applyFont="1" applyFill="1" applyBorder="1" applyAlignment="1">
      <alignment horizontal="left"/>
    </xf>
    <xf numFmtId="0" fontId="36" fillId="10" borderId="126" xfId="0" quotePrefix="1" applyFont="1" applyFill="1" applyBorder="1" applyAlignment="1">
      <alignment horizontal="center" vertical="center"/>
    </xf>
    <xf numFmtId="0" fontId="0" fillId="10" borderId="126" xfId="0" applyFill="1" applyBorder="1" applyAlignment="1">
      <alignment horizontal="left"/>
    </xf>
    <xf numFmtId="0" fontId="19" fillId="11" borderId="126" xfId="0" applyFont="1" applyFill="1" applyBorder="1" applyAlignment="1">
      <alignment horizontal="center"/>
    </xf>
    <xf numFmtId="0" fontId="0" fillId="11" borderId="126" xfId="0" applyFill="1" applyBorder="1"/>
    <xf numFmtId="0" fontId="0" fillId="11" borderId="126" xfId="0" quotePrefix="1" applyFill="1" applyBorder="1" applyAlignment="1">
      <alignment horizontal="center" vertical="center"/>
    </xf>
    <xf numFmtId="0" fontId="0" fillId="11" borderId="126" xfId="0" applyFill="1" applyBorder="1" applyAlignment="1">
      <alignment horizontal="left"/>
    </xf>
    <xf numFmtId="0" fontId="36" fillId="11" borderId="126" xfId="0" quotePrefix="1" applyFont="1" applyFill="1" applyBorder="1" applyAlignment="1">
      <alignment horizontal="center" vertical="center"/>
    </xf>
    <xf numFmtId="0" fontId="19" fillId="9" borderId="126" xfId="0" applyFont="1" applyFill="1" applyBorder="1" applyAlignment="1">
      <alignment horizontal="center" vertical="center"/>
    </xf>
    <xf numFmtId="0" fontId="36" fillId="9" borderId="126" xfId="0" quotePrefix="1" applyFont="1" applyFill="1" applyBorder="1" applyAlignment="1">
      <alignment horizontal="center" vertical="center"/>
    </xf>
    <xf numFmtId="0" fontId="36" fillId="9" borderId="126" xfId="0" applyFont="1" applyFill="1" applyBorder="1" applyAlignment="1">
      <alignment horizontal="left"/>
    </xf>
    <xf numFmtId="0" fontId="0" fillId="9" borderId="126" xfId="0" applyFill="1" applyBorder="1" applyAlignment="1">
      <alignment horizontal="left" vertical="center"/>
    </xf>
    <xf numFmtId="0" fontId="38" fillId="9" borderId="126" xfId="0" applyFont="1" applyFill="1" applyBorder="1" applyAlignment="1">
      <alignment horizontal="left"/>
    </xf>
    <xf numFmtId="0" fontId="44" fillId="9" borderId="126" xfId="0" applyFont="1" applyFill="1" applyBorder="1" applyAlignment="1">
      <alignment horizontal="left"/>
    </xf>
    <xf numFmtId="0" fontId="19" fillId="6" borderId="126" xfId="0" applyFont="1" applyFill="1" applyBorder="1" applyAlignment="1">
      <alignment horizontal="center" vertical="center"/>
    </xf>
    <xf numFmtId="0" fontId="0" fillId="6" borderId="126" xfId="0" applyFill="1" applyBorder="1" applyAlignment="1">
      <alignment horizontal="left" vertical="center"/>
    </xf>
    <xf numFmtId="0" fontId="0" fillId="6" borderId="126" xfId="0" applyFill="1" applyBorder="1" applyAlignment="1">
      <alignment horizontal="center" vertical="center"/>
    </xf>
    <xf numFmtId="0" fontId="36" fillId="4" borderId="126" xfId="0" applyFont="1" applyFill="1" applyBorder="1" applyAlignment="1">
      <alignment horizontal="left" vertical="center"/>
    </xf>
    <xf numFmtId="0" fontId="19" fillId="17" borderId="126" xfId="0" applyFont="1" applyFill="1" applyBorder="1" applyAlignment="1">
      <alignment horizontal="center" vertical="center"/>
    </xf>
    <xf numFmtId="0" fontId="0" fillId="17" borderId="126" xfId="0" applyFill="1" applyBorder="1" applyAlignment="1">
      <alignment horizontal="left" vertical="center"/>
    </xf>
    <xf numFmtId="0" fontId="0" fillId="17" borderId="126" xfId="0" applyFill="1" applyBorder="1" applyAlignment="1">
      <alignment horizontal="center" vertical="center"/>
    </xf>
    <xf numFmtId="0" fontId="36" fillId="17" borderId="126" xfId="0" quotePrefix="1" applyFont="1" applyFill="1" applyBorder="1" applyAlignment="1">
      <alignment horizontal="left" vertical="center"/>
    </xf>
    <xf numFmtId="0" fontId="36" fillId="17" borderId="126" xfId="0" applyFont="1" applyFill="1" applyBorder="1" applyAlignment="1">
      <alignment horizontal="left" vertical="center"/>
    </xf>
    <xf numFmtId="0" fontId="36" fillId="17" borderId="10" xfId="0" applyFont="1" applyFill="1" applyBorder="1" applyAlignment="1">
      <alignment horizontal="left" vertical="center"/>
    </xf>
    <xf numFmtId="0" fontId="36" fillId="9" borderId="126" xfId="0" applyFont="1" applyFill="1" applyBorder="1" applyAlignment="1">
      <alignment horizontal="left" vertical="center"/>
    </xf>
    <xf numFmtId="167" fontId="44" fillId="9" borderId="126" xfId="0" applyNumberFormat="1" applyFont="1" applyFill="1" applyBorder="1" applyAlignment="1">
      <alignment vertical="center" wrapText="1"/>
    </xf>
    <xf numFmtId="167" fontId="44" fillId="9" borderId="126" xfId="0" applyNumberFormat="1" applyFont="1" applyFill="1" applyBorder="1" applyAlignment="1">
      <alignment horizontal="center" vertical="center" wrapText="1"/>
    </xf>
    <xf numFmtId="0" fontId="44" fillId="9" borderId="126" xfId="0" applyFont="1" applyFill="1" applyBorder="1" applyAlignment="1">
      <alignment horizontal="center" vertical="center" wrapText="1"/>
    </xf>
    <xf numFmtId="0" fontId="44" fillId="9" borderId="126" xfId="0" applyFont="1" applyFill="1" applyBorder="1" applyAlignment="1">
      <alignment horizontal="left" vertical="center" wrapText="1"/>
    </xf>
    <xf numFmtId="0" fontId="44" fillId="9" borderId="8" xfId="0" applyFont="1" applyFill="1" applyBorder="1" applyAlignment="1">
      <alignment horizontal="left" vertical="center" wrapText="1"/>
    </xf>
    <xf numFmtId="0" fontId="44" fillId="8" borderId="48" xfId="0" applyFont="1" applyFill="1" applyBorder="1" applyAlignment="1">
      <alignment horizontal="left"/>
    </xf>
    <xf numFmtId="0" fontId="44" fillId="8" borderId="7" xfId="0" applyFont="1" applyFill="1" applyBorder="1" applyAlignment="1">
      <alignment horizontal="left"/>
    </xf>
    <xf numFmtId="0" fontId="44" fillId="8" borderId="9" xfId="0" applyFont="1" applyFill="1" applyBorder="1" applyAlignment="1">
      <alignment horizontal="left"/>
    </xf>
    <xf numFmtId="0" fontId="44" fillId="10" borderId="48" xfId="0" applyFont="1" applyFill="1" applyBorder="1" applyAlignment="1">
      <alignment horizontal="left"/>
    </xf>
    <xf numFmtId="0" fontId="44" fillId="10" borderId="7" xfId="0" applyFont="1" applyFill="1" applyBorder="1" applyAlignment="1">
      <alignment horizontal="left"/>
    </xf>
    <xf numFmtId="0" fontId="44" fillId="10" borderId="9" xfId="0" applyFont="1" applyFill="1" applyBorder="1" applyAlignment="1">
      <alignment horizontal="left"/>
    </xf>
    <xf numFmtId="0" fontId="44" fillId="11" borderId="48" xfId="0" applyFont="1" applyFill="1" applyBorder="1" applyAlignment="1">
      <alignment horizontal="left" vertical="center"/>
    </xf>
    <xf numFmtId="0" fontId="44" fillId="11" borderId="7" xfId="0" applyFont="1" applyFill="1" applyBorder="1" applyAlignment="1">
      <alignment horizontal="left" vertical="center"/>
    </xf>
    <xf numFmtId="0" fontId="44" fillId="11" borderId="9" xfId="0" applyFont="1" applyFill="1" applyBorder="1" applyAlignment="1">
      <alignment horizontal="left" vertical="center"/>
    </xf>
    <xf numFmtId="0" fontId="52" fillId="16" borderId="81" xfId="0" applyFont="1" applyFill="1" applyBorder="1" applyAlignment="1">
      <alignment horizontal="left" vertical="center"/>
    </xf>
    <xf numFmtId="0" fontId="38" fillId="9" borderId="36" xfId="0" applyFont="1" applyFill="1" applyBorder="1" applyAlignment="1">
      <alignment horizontal="left" vertical="center" wrapText="1"/>
    </xf>
    <xf numFmtId="0" fontId="44" fillId="9" borderId="7" xfId="0" applyFont="1" applyFill="1" applyBorder="1" applyAlignment="1">
      <alignment horizontal="left" vertical="center" wrapText="1"/>
    </xf>
    <xf numFmtId="0" fontId="52" fillId="16" borderId="57" xfId="0" applyFont="1" applyFill="1" applyBorder="1" applyAlignment="1">
      <alignment horizontal="left" vertical="center"/>
    </xf>
    <xf numFmtId="0" fontId="47" fillId="8" borderId="36" xfId="0" applyFont="1" applyFill="1" applyBorder="1" applyAlignment="1">
      <alignment horizontal="left" vertical="center"/>
    </xf>
    <xf numFmtId="0" fontId="38" fillId="8" borderId="7" xfId="0" applyFont="1" applyFill="1" applyBorder="1" applyAlignment="1">
      <alignment horizontal="left" vertical="center"/>
    </xf>
    <xf numFmtId="0" fontId="38" fillId="10" borderId="7" xfId="0" applyFont="1" applyFill="1" applyBorder="1" applyAlignment="1">
      <alignment horizontal="left" vertical="center"/>
    </xf>
    <xf numFmtId="0" fontId="38" fillId="11" borderId="7" xfId="0" applyFont="1" applyFill="1" applyBorder="1" applyAlignment="1">
      <alignment horizontal="left" vertical="center"/>
    </xf>
    <xf numFmtId="0" fontId="38" fillId="17" borderId="7" xfId="0" applyFont="1" applyFill="1" applyBorder="1" applyAlignment="1">
      <alignment horizontal="left" vertical="center"/>
    </xf>
    <xf numFmtId="0" fontId="38" fillId="9" borderId="7" xfId="0" applyFont="1" applyFill="1" applyBorder="1" applyAlignment="1">
      <alignment horizontal="left" vertical="center"/>
    </xf>
    <xf numFmtId="0" fontId="38" fillId="0" borderId="39" xfId="0" applyFont="1" applyBorder="1" applyAlignment="1">
      <alignment horizontal="left" vertical="center"/>
    </xf>
    <xf numFmtId="0" fontId="52" fillId="16" borderId="71" xfId="0" applyFont="1" applyFill="1" applyBorder="1" applyAlignment="1">
      <alignment horizontal="left" vertical="center"/>
    </xf>
    <xf numFmtId="0" fontId="38" fillId="8" borderId="74" xfId="0" applyFont="1" applyFill="1" applyBorder="1" applyAlignment="1">
      <alignment horizontal="left" vertical="center"/>
    </xf>
    <xf numFmtId="0" fontId="38" fillId="17" borderId="9" xfId="0" applyFont="1" applyFill="1" applyBorder="1" applyAlignment="1">
      <alignment horizontal="left" vertical="center"/>
    </xf>
    <xf numFmtId="0" fontId="38" fillId="0" borderId="89" xfId="0" applyFont="1" applyBorder="1" applyAlignment="1">
      <alignment horizontal="left" vertical="center"/>
    </xf>
    <xf numFmtId="0" fontId="38" fillId="7" borderId="7" xfId="0" applyFont="1" applyFill="1" applyBorder="1" applyAlignment="1">
      <alignment horizontal="left" vertical="center" wrapText="1"/>
    </xf>
    <xf numFmtId="0" fontId="38" fillId="0" borderId="36" xfId="0" applyFont="1" applyBorder="1" applyAlignment="1">
      <alignment horizontal="left" vertical="center" wrapText="1"/>
    </xf>
    <xf numFmtId="0" fontId="36" fillId="0" borderId="9" xfId="0" applyFont="1" applyBorder="1" applyAlignment="1">
      <alignment horizontal="left"/>
    </xf>
    <xf numFmtId="0" fontId="52" fillId="16" borderId="64" xfId="0" applyFont="1" applyFill="1" applyBorder="1" applyAlignment="1">
      <alignment horizontal="left" vertical="center"/>
    </xf>
    <xf numFmtId="0" fontId="36" fillId="0" borderId="97" xfId="0" applyFont="1" applyBorder="1" applyAlignment="1">
      <alignment horizontal="left"/>
    </xf>
    <xf numFmtId="0" fontId="36" fillId="0" borderId="120" xfId="0" applyFont="1" applyBorder="1" applyAlignment="1">
      <alignment horizontal="left"/>
    </xf>
    <xf numFmtId="0" fontId="38" fillId="0" borderId="116" xfId="2" applyFont="1" applyBorder="1" applyAlignment="1">
      <alignment horizontal="left" vertical="center" wrapText="1"/>
    </xf>
    <xf numFmtId="0" fontId="38" fillId="0" borderId="120" xfId="2" applyFont="1" applyBorder="1" applyAlignment="1">
      <alignment horizontal="left" vertical="center" wrapText="1"/>
    </xf>
    <xf numFmtId="0" fontId="38" fillId="0" borderId="131" xfId="2" applyFont="1" applyBorder="1" applyAlignment="1">
      <alignment horizontal="left" vertical="center" wrapText="1"/>
    </xf>
    <xf numFmtId="0" fontId="38" fillId="0" borderId="7" xfId="2" applyFont="1" applyBorder="1" applyAlignment="1">
      <alignment horizontal="left" vertical="center" wrapText="1"/>
    </xf>
    <xf numFmtId="0" fontId="44" fillId="0" borderId="9" xfId="0" applyFont="1" applyBorder="1" applyAlignment="1">
      <alignment horizontal="left" vertical="center"/>
    </xf>
    <xf numFmtId="0" fontId="52" fillId="7" borderId="86" xfId="0" applyFont="1" applyFill="1" applyBorder="1" applyAlignment="1">
      <alignment horizontal="left" vertical="center"/>
    </xf>
    <xf numFmtId="169" fontId="44" fillId="9" borderId="126" xfId="0" applyNumberFormat="1" applyFont="1" applyFill="1" applyBorder="1" applyAlignment="1">
      <alignment horizontal="center" vertical="center" wrapText="1"/>
    </xf>
    <xf numFmtId="0" fontId="44" fillId="9" borderId="7" xfId="0" applyFont="1" applyFill="1" applyBorder="1" applyAlignment="1">
      <alignment horizontal="left" vertical="center"/>
    </xf>
    <xf numFmtId="0" fontId="44" fillId="9" borderId="126" xfId="0" applyFont="1" applyFill="1" applyBorder="1" applyAlignment="1">
      <alignment horizontal="left" vertical="center"/>
    </xf>
    <xf numFmtId="0" fontId="44" fillId="9" borderId="8" xfId="0" applyFont="1" applyFill="1" applyBorder="1" applyAlignment="1">
      <alignment horizontal="left" vertical="center"/>
    </xf>
    <xf numFmtId="0" fontId="44" fillId="9" borderId="7" xfId="0" applyFont="1" applyFill="1" applyBorder="1" applyAlignment="1">
      <alignment vertical="center"/>
    </xf>
    <xf numFmtId="0" fontId="44" fillId="9" borderId="126" xfId="0" applyFont="1" applyFill="1" applyBorder="1" applyAlignment="1">
      <alignment vertical="center" wrapText="1"/>
    </xf>
    <xf numFmtId="167" fontId="44" fillId="9" borderId="126" xfId="0" applyNumberFormat="1" applyFont="1" applyFill="1" applyBorder="1" applyAlignment="1">
      <alignment horizontal="center" vertical="center"/>
    </xf>
    <xf numFmtId="0" fontId="44" fillId="9" borderId="126" xfId="0" quotePrefix="1" applyFont="1" applyFill="1" applyBorder="1" applyAlignment="1">
      <alignment horizontal="center" vertical="center" wrapText="1"/>
    </xf>
    <xf numFmtId="0" fontId="56" fillId="9" borderId="8" xfId="0" applyFont="1" applyFill="1" applyBorder="1" applyAlignment="1">
      <alignment horizontal="left" vertical="center"/>
    </xf>
    <xf numFmtId="0" fontId="38" fillId="9" borderId="126" xfId="0" applyFont="1" applyFill="1" applyBorder="1" applyAlignment="1">
      <alignment horizontal="center" vertical="center"/>
    </xf>
    <xf numFmtId="0" fontId="44" fillId="9" borderId="126" xfId="0" applyFont="1" applyFill="1" applyBorder="1" applyAlignment="1">
      <alignment horizontal="center" vertical="center"/>
    </xf>
    <xf numFmtId="0" fontId="36" fillId="9" borderId="126" xfId="0" applyFont="1" applyFill="1" applyBorder="1" applyAlignment="1">
      <alignment horizontal="center" vertical="center"/>
    </xf>
    <xf numFmtId="1" fontId="44" fillId="9" borderId="126" xfId="0" applyNumberFormat="1" applyFont="1" applyFill="1" applyBorder="1" applyAlignment="1">
      <alignment horizontal="center" vertical="center" wrapText="1"/>
    </xf>
    <xf numFmtId="0" fontId="25" fillId="0" borderId="0" xfId="3" applyFont="1" applyAlignment="1">
      <alignment horizontal="left" vertical="center" wrapText="1"/>
    </xf>
    <xf numFmtId="0" fontId="83" fillId="0" borderId="7" xfId="3" applyFont="1" applyBorder="1" applyAlignment="1">
      <alignment horizontal="left" vertical="center" wrapText="1"/>
    </xf>
    <xf numFmtId="2" fontId="36" fillId="0" borderId="126" xfId="0" applyNumberFormat="1" applyFont="1" applyBorder="1" applyAlignment="1">
      <alignment horizontal="left" vertical="center"/>
    </xf>
    <xf numFmtId="2" fontId="36" fillId="0" borderId="126" xfId="0" applyNumberFormat="1" applyFont="1" applyBorder="1" applyAlignment="1">
      <alignment horizontal="center" vertical="center"/>
    </xf>
    <xf numFmtId="167" fontId="0" fillId="0" borderId="0" xfId="0" applyNumberFormat="1" applyAlignment="1">
      <alignment horizontal="left"/>
    </xf>
    <xf numFmtId="0" fontId="52" fillId="7" borderId="127" xfId="0" applyFont="1" applyFill="1" applyBorder="1" applyAlignment="1">
      <alignment horizontal="center" vertical="center" wrapText="1"/>
    </xf>
    <xf numFmtId="0" fontId="52" fillId="7" borderId="128" xfId="0" applyFont="1" applyFill="1" applyBorder="1" applyAlignment="1">
      <alignment horizontal="left" vertical="center"/>
    </xf>
    <xf numFmtId="0" fontId="44" fillId="26" borderId="98" xfId="0" applyFont="1" applyFill="1" applyBorder="1" applyAlignment="1">
      <alignment horizontal="left"/>
    </xf>
    <xf numFmtId="0" fontId="44" fillId="26" borderId="99" xfId="0" applyFont="1" applyFill="1" applyBorder="1" applyAlignment="1">
      <alignment horizontal="left" vertical="center" wrapText="1"/>
    </xf>
    <xf numFmtId="2" fontId="44" fillId="26" borderId="99" xfId="0" applyNumberFormat="1" applyFont="1" applyFill="1" applyBorder="1" applyAlignment="1">
      <alignment horizontal="center" vertical="center" wrapText="1"/>
    </xf>
    <xf numFmtId="0" fontId="44" fillId="26" borderId="99" xfId="0" applyFont="1" applyFill="1" applyBorder="1" applyAlignment="1">
      <alignment horizontal="center" vertical="center" wrapText="1"/>
    </xf>
    <xf numFmtId="0" fontId="38" fillId="26" borderId="99" xfId="0" applyFont="1" applyFill="1" applyBorder="1" applyAlignment="1">
      <alignment horizontal="left" vertical="center" wrapText="1"/>
    </xf>
    <xf numFmtId="0" fontId="38" fillId="26" borderId="100" xfId="0" applyFont="1" applyFill="1" applyBorder="1" applyAlignment="1">
      <alignment horizontal="left" vertical="center" wrapText="1"/>
    </xf>
    <xf numFmtId="0" fontId="44" fillId="26" borderId="7" xfId="0" applyFont="1" applyFill="1" applyBorder="1" applyAlignment="1">
      <alignment horizontal="left"/>
    </xf>
    <xf numFmtId="0" fontId="44" fillId="26" borderId="126" xfId="0" applyFont="1" applyFill="1" applyBorder="1" applyAlignment="1">
      <alignment horizontal="left" vertical="center" wrapText="1"/>
    </xf>
    <xf numFmtId="2" fontId="44" fillId="26" borderId="126" xfId="0" applyNumberFormat="1" applyFont="1" applyFill="1" applyBorder="1" applyAlignment="1">
      <alignment horizontal="center" vertical="center" wrapText="1"/>
    </xf>
    <xf numFmtId="0" fontId="44" fillId="26" borderId="126" xfId="0" applyFont="1" applyFill="1" applyBorder="1" applyAlignment="1">
      <alignment horizontal="center" vertical="center" wrapText="1"/>
    </xf>
    <xf numFmtId="0" fontId="38" fillId="26" borderId="126" xfId="0" applyFont="1" applyFill="1" applyBorder="1" applyAlignment="1">
      <alignment horizontal="left" vertical="center" wrapText="1"/>
    </xf>
    <xf numFmtId="0" fontId="38" fillId="26" borderId="8" xfId="0" applyFont="1" applyFill="1" applyBorder="1" applyAlignment="1">
      <alignment horizontal="left" vertical="center" wrapText="1"/>
    </xf>
    <xf numFmtId="0" fontId="44" fillId="26" borderId="9" xfId="0" applyFont="1" applyFill="1" applyBorder="1" applyAlignment="1">
      <alignment horizontal="left"/>
    </xf>
    <xf numFmtId="0" fontId="44" fillId="26" borderId="10" xfId="0" applyFont="1" applyFill="1" applyBorder="1" applyAlignment="1">
      <alignment horizontal="left" vertical="center" wrapText="1"/>
    </xf>
    <xf numFmtId="2" fontId="44" fillId="26" borderId="10" xfId="0" applyNumberFormat="1" applyFont="1" applyFill="1" applyBorder="1" applyAlignment="1">
      <alignment horizontal="center" vertical="center" wrapText="1"/>
    </xf>
    <xf numFmtId="0" fontId="44" fillId="26" borderId="10" xfId="0" applyFont="1" applyFill="1" applyBorder="1" applyAlignment="1">
      <alignment horizontal="center" vertical="center" wrapText="1"/>
    </xf>
    <xf numFmtId="0" fontId="38" fillId="26" borderId="10" xfId="0" applyFont="1" applyFill="1" applyBorder="1" applyAlignment="1">
      <alignment horizontal="left" vertical="center" wrapText="1"/>
    </xf>
    <xf numFmtId="0" fontId="38" fillId="26" borderId="11" xfId="0" applyFont="1" applyFill="1" applyBorder="1" applyAlignment="1">
      <alignment horizontal="left" vertical="center" wrapText="1"/>
    </xf>
    <xf numFmtId="0" fontId="36" fillId="0" borderId="7" xfId="0" applyFont="1" applyBorder="1" applyAlignment="1">
      <alignment horizontal="left"/>
    </xf>
    <xf numFmtId="0" fontId="38" fillId="0" borderId="118" xfId="0" applyFont="1" applyBorder="1" applyAlignment="1">
      <alignment horizontal="left" vertical="center" wrapText="1"/>
    </xf>
    <xf numFmtId="0" fontId="38" fillId="27" borderId="7" xfId="0" applyFont="1" applyFill="1" applyBorder="1" applyAlignment="1">
      <alignment horizontal="left" vertical="center"/>
    </xf>
    <xf numFmtId="167" fontId="38" fillId="27" borderId="126" xfId="0" applyNumberFormat="1" applyFont="1" applyFill="1" applyBorder="1" applyAlignment="1">
      <alignment horizontal="left" vertical="center" wrapText="1"/>
    </xf>
    <xf numFmtId="167" fontId="38" fillId="27" borderId="126" xfId="0" applyNumberFormat="1" applyFont="1" applyFill="1" applyBorder="1" applyAlignment="1">
      <alignment horizontal="center" vertical="center" wrapText="1"/>
    </xf>
    <xf numFmtId="0" fontId="38" fillId="27" borderId="126" xfId="0" applyFont="1" applyFill="1" applyBorder="1" applyAlignment="1">
      <alignment horizontal="center" vertical="center" wrapText="1"/>
    </xf>
    <xf numFmtId="0" fontId="38" fillId="27" borderId="126" xfId="0" applyFont="1" applyFill="1" applyBorder="1" applyAlignment="1">
      <alignment horizontal="left" vertical="center" wrapText="1"/>
    </xf>
    <xf numFmtId="0" fontId="38" fillId="27" borderId="8" xfId="0" applyFont="1" applyFill="1" applyBorder="1" applyAlignment="1">
      <alignment horizontal="left" vertical="center" wrapText="1"/>
    </xf>
    <xf numFmtId="0" fontId="37" fillId="26" borderId="7" xfId="0" applyFont="1" applyFill="1" applyBorder="1" applyAlignment="1">
      <alignment horizontal="center" vertical="center"/>
    </xf>
    <xf numFmtId="0" fontId="37" fillId="26" borderId="126" xfId="0" applyFont="1" applyFill="1" applyBorder="1" applyAlignment="1">
      <alignment horizontal="center" vertical="center"/>
    </xf>
    <xf numFmtId="0" fontId="36" fillId="26" borderId="126" xfId="0" applyFont="1" applyFill="1" applyBorder="1" applyAlignment="1">
      <alignment horizontal="left" vertical="center"/>
    </xf>
    <xf numFmtId="0" fontId="36" fillId="26" borderId="126" xfId="0" applyFont="1" applyFill="1" applyBorder="1" applyAlignment="1">
      <alignment horizontal="center" vertical="center"/>
    </xf>
    <xf numFmtId="0" fontId="0" fillId="5" borderId="126" xfId="0" applyFill="1" applyBorder="1" applyAlignment="1">
      <alignment horizontal="center"/>
    </xf>
    <xf numFmtId="0" fontId="0" fillId="5" borderId="114" xfId="0" applyFill="1" applyBorder="1" applyAlignment="1">
      <alignment horizontal="center"/>
    </xf>
    <xf numFmtId="0" fontId="52" fillId="7" borderId="135" xfId="3" applyFont="1" applyFill="1" applyBorder="1" applyAlignment="1">
      <alignment vertical="center" wrapText="1"/>
    </xf>
    <xf numFmtId="0" fontId="38" fillId="5" borderId="126" xfId="0" applyFont="1" applyFill="1" applyBorder="1" applyAlignment="1">
      <alignment horizontal="center" vertical="center"/>
    </xf>
    <xf numFmtId="0" fontId="0" fillId="26" borderId="126" xfId="0" quotePrefix="1" applyFill="1" applyBorder="1" applyAlignment="1">
      <alignment horizontal="center" vertical="center"/>
    </xf>
    <xf numFmtId="0" fontId="36" fillId="26" borderId="130" xfId="0" applyFont="1" applyFill="1" applyBorder="1" applyAlignment="1">
      <alignment horizontal="center" vertical="center"/>
    </xf>
    <xf numFmtId="0" fontId="36" fillId="26" borderId="8" xfId="0" applyFont="1" applyFill="1" applyBorder="1" applyAlignment="1">
      <alignment horizontal="left" vertical="center"/>
    </xf>
    <xf numFmtId="0" fontId="36" fillId="26" borderId="126" xfId="0" applyFont="1" applyFill="1" applyBorder="1" applyAlignment="1">
      <alignment horizontal="left"/>
    </xf>
    <xf numFmtId="0" fontId="0" fillId="26" borderId="126" xfId="0" applyFill="1" applyBorder="1" applyAlignment="1">
      <alignment horizontal="left"/>
    </xf>
    <xf numFmtId="0" fontId="56" fillId="7" borderId="139" xfId="0" applyFont="1" applyFill="1" applyBorder="1" applyAlignment="1">
      <alignment horizontal="left" vertical="center" wrapText="1"/>
    </xf>
    <xf numFmtId="0" fontId="25" fillId="7" borderId="140" xfId="0" applyFont="1" applyFill="1" applyBorder="1" applyAlignment="1">
      <alignment horizontal="left" vertical="center"/>
    </xf>
    <xf numFmtId="0" fontId="25" fillId="7" borderId="141" xfId="0" applyFont="1" applyFill="1" applyBorder="1" applyAlignment="1">
      <alignment horizontal="left" vertical="center"/>
    </xf>
    <xf numFmtId="165" fontId="25" fillId="7" borderId="141" xfId="0" applyNumberFormat="1" applyFont="1" applyFill="1" applyBorder="1" applyAlignment="1">
      <alignment horizontal="center" vertical="center"/>
    </xf>
    <xf numFmtId="0" fontId="25" fillId="7" borderId="141" xfId="0" applyFont="1" applyFill="1" applyBorder="1" applyAlignment="1">
      <alignment horizontal="center" vertical="center"/>
    </xf>
    <xf numFmtId="0" fontId="25" fillId="7" borderId="142" xfId="0" applyFont="1" applyFill="1" applyBorder="1" applyAlignment="1">
      <alignment horizontal="center" vertical="center"/>
    </xf>
    <xf numFmtId="0" fontId="38" fillId="26" borderId="7" xfId="0" applyFont="1" applyFill="1" applyBorder="1" applyAlignment="1">
      <alignment horizontal="left" vertical="center"/>
    </xf>
    <xf numFmtId="0" fontId="38" fillId="26" borderId="126" xfId="0" quotePrefix="1" applyFont="1" applyFill="1" applyBorder="1" applyAlignment="1">
      <alignment horizontal="left" vertical="center" wrapText="1"/>
    </xf>
    <xf numFmtId="0" fontId="38" fillId="26" borderId="8" xfId="0" applyFont="1" applyFill="1" applyBorder="1" applyAlignment="1">
      <alignment horizontal="left" vertical="center"/>
    </xf>
    <xf numFmtId="0" fontId="44" fillId="26" borderId="7" xfId="0" applyFont="1" applyFill="1" applyBorder="1" applyAlignment="1">
      <alignment horizontal="left" vertical="center"/>
    </xf>
    <xf numFmtId="0" fontId="44" fillId="26" borderId="8" xfId="0" applyFont="1" applyFill="1" applyBorder="1" applyAlignment="1">
      <alignment horizontal="left" vertical="center"/>
    </xf>
    <xf numFmtId="0" fontId="4" fillId="0" borderId="0" xfId="0" applyFont="1" applyAlignment="1">
      <alignment wrapText="1"/>
    </xf>
    <xf numFmtId="0" fontId="63" fillId="28" borderId="124" xfId="0" applyFont="1" applyFill="1" applyBorder="1" applyAlignment="1">
      <alignment horizontal="left" vertical="center" wrapText="1"/>
    </xf>
    <xf numFmtId="0" fontId="63" fillId="28" borderId="123" xfId="0" applyFont="1" applyFill="1" applyBorder="1" applyAlignment="1">
      <alignment horizontal="left" vertical="center" wrapText="1"/>
    </xf>
    <xf numFmtId="0" fontId="63" fillId="28" borderId="108" xfId="0" applyFont="1" applyFill="1" applyBorder="1" applyAlignment="1">
      <alignment horizontal="left" vertical="center" wrapText="1"/>
    </xf>
    <xf numFmtId="0" fontId="38" fillId="0" borderId="0" xfId="0" applyFont="1" applyAlignment="1">
      <alignment wrapText="1"/>
    </xf>
    <xf numFmtId="0" fontId="38" fillId="0" borderId="111" xfId="0" applyFont="1" applyBorder="1" applyAlignment="1">
      <alignment horizontal="left" vertical="center" wrapText="1"/>
    </xf>
    <xf numFmtId="0" fontId="88" fillId="0" borderId="20" xfId="0" applyFont="1" applyBorder="1"/>
    <xf numFmtId="0" fontId="38" fillId="0" borderId="111" xfId="0" quotePrefix="1" applyFont="1" applyBorder="1" applyAlignment="1">
      <alignment horizontal="left" vertical="center"/>
    </xf>
    <xf numFmtId="0" fontId="4" fillId="0" borderId="0" xfId="0" applyFont="1"/>
    <xf numFmtId="0" fontId="4" fillId="0" borderId="0" xfId="35" applyAlignment="1">
      <alignment horizontal="left" vertical="center"/>
    </xf>
    <xf numFmtId="0" fontId="4" fillId="0" borderId="0" xfId="35" applyAlignment="1">
      <alignment horizontal="left" vertical="center" wrapText="1"/>
    </xf>
    <xf numFmtId="0" fontId="63" fillId="18" borderId="122" xfId="35" applyFont="1" applyFill="1" applyBorder="1" applyAlignment="1">
      <alignment horizontal="left" vertical="center"/>
    </xf>
    <xf numFmtId="0" fontId="63" fillId="18" borderId="123" xfId="35" applyFont="1" applyFill="1" applyBorder="1" applyAlignment="1">
      <alignment horizontal="left" vertical="center"/>
    </xf>
    <xf numFmtId="0" fontId="63" fillId="18" borderId="108" xfId="35" applyFont="1" applyFill="1" applyBorder="1" applyAlignment="1">
      <alignment horizontal="left" vertical="center"/>
    </xf>
    <xf numFmtId="0" fontId="63" fillId="18" borderId="124" xfId="35" applyFont="1" applyFill="1" applyBorder="1" applyAlignment="1">
      <alignment horizontal="left" vertical="center" wrapText="1"/>
    </xf>
    <xf numFmtId="0" fontId="63" fillId="18" borderId="124" xfId="35" applyFont="1" applyFill="1" applyBorder="1" applyAlignment="1">
      <alignment horizontal="left" vertical="center"/>
    </xf>
    <xf numFmtId="0" fontId="36" fillId="0" borderId="111" xfId="36" applyFont="1" applyBorder="1" applyAlignment="1">
      <alignment horizontal="left" vertical="center"/>
    </xf>
    <xf numFmtId="0" fontId="38" fillId="0" borderId="111" xfId="36" applyFont="1" applyBorder="1" applyAlignment="1">
      <alignment horizontal="left" vertical="center"/>
    </xf>
    <xf numFmtId="0" fontId="38" fillId="0" borderId="111" xfId="36" applyFont="1" applyBorder="1" applyAlignment="1">
      <alignment horizontal="left" vertical="center" wrapText="1"/>
    </xf>
    <xf numFmtId="0" fontId="38" fillId="0" borderId="111" xfId="36" applyFont="1" applyBorder="1" applyAlignment="1">
      <alignment horizontal="left"/>
    </xf>
    <xf numFmtId="0" fontId="38" fillId="0" borderId="111" xfId="36" applyFont="1" applyBorder="1" applyAlignment="1">
      <alignment horizontal="center" vertical="center"/>
    </xf>
    <xf numFmtId="0" fontId="4" fillId="0" borderId="0" xfId="36"/>
    <xf numFmtId="0" fontId="4" fillId="0" borderId="0" xfId="36" applyAlignment="1">
      <alignment wrapText="1"/>
    </xf>
    <xf numFmtId="0" fontId="25" fillId="0" borderId="0" xfId="36" applyFont="1" applyAlignment="1">
      <alignment horizontal="left" vertical="center"/>
    </xf>
    <xf numFmtId="0" fontId="4" fillId="0" borderId="0" xfId="37" applyAlignment="1">
      <alignment horizontal="left" vertical="center"/>
    </xf>
    <xf numFmtId="0" fontId="52" fillId="7" borderId="143" xfId="0" applyFont="1" applyFill="1" applyBorder="1" applyAlignment="1">
      <alignment horizontal="center" vertical="center"/>
    </xf>
    <xf numFmtId="0" fontId="52" fillId="7" borderId="144" xfId="0" applyFont="1" applyFill="1" applyBorder="1" applyAlignment="1">
      <alignment horizontal="center" vertical="center" wrapText="1"/>
    </xf>
    <xf numFmtId="0" fontId="52" fillId="7" borderId="145" xfId="0" applyFont="1" applyFill="1" applyBorder="1" applyAlignment="1">
      <alignment horizontal="center" vertical="center" wrapText="1"/>
    </xf>
    <xf numFmtId="167" fontId="44" fillId="26" borderId="126" xfId="0" applyNumberFormat="1" applyFont="1" applyFill="1" applyBorder="1" applyAlignment="1">
      <alignment horizontal="center" vertical="center" wrapText="1"/>
    </xf>
    <xf numFmtId="0" fontId="44" fillId="26" borderId="126" xfId="0" quotePrefix="1" applyFont="1" applyFill="1" applyBorder="1" applyAlignment="1">
      <alignment horizontal="center" vertical="center" wrapText="1"/>
    </xf>
    <xf numFmtId="0" fontId="56" fillId="26" borderId="8" xfId="0" applyFont="1" applyFill="1" applyBorder="1" applyAlignment="1">
      <alignment horizontal="left" vertical="center"/>
    </xf>
    <xf numFmtId="0" fontId="36" fillId="0" borderId="126" xfId="0" applyFont="1" applyBorder="1"/>
    <xf numFmtId="0" fontId="36" fillId="0" borderId="126" xfId="5" applyFont="1" applyBorder="1"/>
    <xf numFmtId="0" fontId="38" fillId="26" borderId="126" xfId="0" quotePrefix="1" applyFont="1" applyFill="1" applyBorder="1" applyAlignment="1">
      <alignment horizontal="center" vertical="center"/>
    </xf>
    <xf numFmtId="0" fontId="44" fillId="26" borderId="126" xfId="0" applyFont="1" applyFill="1" applyBorder="1" applyAlignment="1">
      <alignment horizontal="center" vertical="center"/>
    </xf>
    <xf numFmtId="0" fontId="0" fillId="6" borderId="0" xfId="0" applyFill="1" applyAlignment="1">
      <alignment vertical="center"/>
    </xf>
    <xf numFmtId="0" fontId="0" fillId="6" borderId="0" xfId="0" applyFill="1" applyAlignment="1">
      <alignment horizontal="left" vertical="center"/>
    </xf>
    <xf numFmtId="165" fontId="0" fillId="6" borderId="0" xfId="0" applyNumberFormat="1" applyFill="1" applyAlignment="1">
      <alignment horizontal="center" vertical="center"/>
    </xf>
    <xf numFmtId="0" fontId="0" fillId="6" borderId="0" xfId="0" applyFill="1" applyAlignment="1">
      <alignment horizontal="center" vertical="center"/>
    </xf>
    <xf numFmtId="0" fontId="0" fillId="0" borderId="0" xfId="0" applyAlignment="1">
      <alignment vertical="center"/>
    </xf>
    <xf numFmtId="0" fontId="36" fillId="0" borderId="37" xfId="0" applyFont="1" applyBorder="1" applyAlignment="1">
      <alignment vertical="center"/>
    </xf>
    <xf numFmtId="0" fontId="36" fillId="0" borderId="8" xfId="0" applyFont="1" applyBorder="1" applyAlignment="1">
      <alignment vertical="center"/>
    </xf>
    <xf numFmtId="0" fontId="0" fillId="0" borderId="134" xfId="0" applyBorder="1" applyAlignment="1">
      <alignment horizontal="left" vertical="center"/>
    </xf>
    <xf numFmtId="0" fontId="0" fillId="0" borderId="135" xfId="0" applyBorder="1" applyAlignment="1">
      <alignment horizontal="left" vertical="center"/>
    </xf>
    <xf numFmtId="0" fontId="0" fillId="0" borderId="135" xfId="0" applyBorder="1" applyAlignment="1">
      <alignment horizontal="center" vertical="center"/>
    </xf>
    <xf numFmtId="0" fontId="0" fillId="0" borderId="136" xfId="0" applyBorder="1" applyAlignment="1">
      <alignment horizontal="left" vertical="center"/>
    </xf>
    <xf numFmtId="0" fontId="36" fillId="0" borderId="0" xfId="0" applyFont="1" applyAlignment="1">
      <alignment vertical="center"/>
    </xf>
    <xf numFmtId="0" fontId="36" fillId="0" borderId="37" xfId="0" applyFont="1" applyBorder="1" applyAlignment="1">
      <alignment horizontal="left" vertical="center"/>
    </xf>
    <xf numFmtId="0" fontId="24" fillId="0" borderId="0" xfId="0" applyFont="1" applyAlignment="1">
      <alignment horizontal="left" vertical="center"/>
    </xf>
    <xf numFmtId="0" fontId="36" fillId="0" borderId="11" xfId="0" applyFont="1" applyBorder="1" applyAlignment="1">
      <alignment horizontal="left" vertical="center"/>
    </xf>
    <xf numFmtId="0" fontId="36" fillId="0" borderId="80" xfId="0" applyFont="1" applyBorder="1" applyAlignment="1">
      <alignment horizontal="left" vertical="center"/>
    </xf>
    <xf numFmtId="0" fontId="0" fillId="0" borderId="90" xfId="0" applyBorder="1" applyAlignment="1">
      <alignment horizontal="left" vertical="center"/>
    </xf>
    <xf numFmtId="0" fontId="0" fillId="0" borderId="6" xfId="0" applyBorder="1" applyAlignment="1">
      <alignment horizontal="left" vertical="center"/>
    </xf>
    <xf numFmtId="0" fontId="0" fillId="0" borderId="10" xfId="0" applyBorder="1" applyAlignment="1">
      <alignment horizontal="left" vertical="center"/>
    </xf>
    <xf numFmtId="0" fontId="36" fillId="0" borderId="11" xfId="0" applyFont="1" applyBorder="1" applyAlignment="1">
      <alignment vertical="center"/>
    </xf>
    <xf numFmtId="0" fontId="44" fillId="0" borderId="0" xfId="0" applyFont="1" applyAlignment="1">
      <alignment vertical="center"/>
    </xf>
    <xf numFmtId="0" fontId="0" fillId="8" borderId="78" xfId="0" applyFill="1" applyBorder="1" applyAlignment="1">
      <alignment horizontal="left" vertical="center"/>
    </xf>
    <xf numFmtId="0" fontId="0" fillId="8" borderId="79" xfId="0" applyFill="1" applyBorder="1" applyAlignment="1">
      <alignment horizontal="left" vertical="center"/>
    </xf>
    <xf numFmtId="0" fontId="0" fillId="8" borderId="79" xfId="0" applyFill="1" applyBorder="1" applyAlignment="1">
      <alignment horizontal="center" vertical="center"/>
    </xf>
    <xf numFmtId="0" fontId="0" fillId="8" borderId="80" xfId="0" applyFill="1" applyBorder="1" applyAlignment="1">
      <alignment horizontal="left" vertical="center"/>
    </xf>
    <xf numFmtId="0" fontId="0" fillId="8" borderId="7" xfId="0" applyFill="1" applyBorder="1" applyAlignment="1">
      <alignment horizontal="left" vertical="center"/>
    </xf>
    <xf numFmtId="0" fontId="0" fillId="8" borderId="6" xfId="0" applyFill="1" applyBorder="1" applyAlignment="1">
      <alignment horizontal="left" vertical="center"/>
    </xf>
    <xf numFmtId="0" fontId="0" fillId="8" borderId="6" xfId="0" applyFill="1" applyBorder="1" applyAlignment="1">
      <alignment horizontal="center" vertical="center"/>
    </xf>
    <xf numFmtId="0" fontId="0" fillId="8" borderId="8" xfId="0" applyFill="1" applyBorder="1" applyAlignment="1">
      <alignment horizontal="left" vertical="center"/>
    </xf>
    <xf numFmtId="0" fontId="0" fillId="10" borderId="7" xfId="0" applyFill="1" applyBorder="1" applyAlignment="1">
      <alignment horizontal="left" vertical="center"/>
    </xf>
    <xf numFmtId="0" fontId="0" fillId="10" borderId="6" xfId="0" applyFill="1" applyBorder="1" applyAlignment="1">
      <alignment horizontal="left" vertical="center"/>
    </xf>
    <xf numFmtId="0" fontId="0" fillId="10" borderId="6" xfId="0" applyFill="1" applyBorder="1" applyAlignment="1">
      <alignment horizontal="center" vertical="center"/>
    </xf>
    <xf numFmtId="0" fontId="0" fillId="10" borderId="8" xfId="0" applyFill="1" applyBorder="1" applyAlignment="1">
      <alignment horizontal="left" vertical="center"/>
    </xf>
    <xf numFmtId="0" fontId="0" fillId="11" borderId="7" xfId="0" applyFill="1" applyBorder="1" applyAlignment="1">
      <alignment horizontal="left" vertical="center"/>
    </xf>
    <xf numFmtId="0" fontId="0" fillId="11" borderId="6" xfId="0" applyFill="1" applyBorder="1" applyAlignment="1">
      <alignment horizontal="left" vertical="center"/>
    </xf>
    <xf numFmtId="0" fontId="0" fillId="11" borderId="6" xfId="0" applyFill="1" applyBorder="1" applyAlignment="1">
      <alignment horizontal="center" vertical="center"/>
    </xf>
    <xf numFmtId="0" fontId="0" fillId="11" borderId="8" xfId="0" applyFill="1" applyBorder="1" applyAlignment="1">
      <alignment horizontal="left" vertical="center"/>
    </xf>
    <xf numFmtId="0" fontId="0" fillId="9" borderId="7" xfId="0" applyFill="1" applyBorder="1" applyAlignment="1">
      <alignment horizontal="left" vertical="center"/>
    </xf>
    <xf numFmtId="0" fontId="0" fillId="9" borderId="6" xfId="0" applyFill="1" applyBorder="1" applyAlignment="1">
      <alignment horizontal="left" vertical="center"/>
    </xf>
    <xf numFmtId="0" fontId="0" fillId="9" borderId="6" xfId="0" applyFill="1" applyBorder="1" applyAlignment="1">
      <alignment horizontal="center" vertical="center"/>
    </xf>
    <xf numFmtId="0" fontId="0" fillId="9" borderId="8" xfId="0" applyFill="1" applyBorder="1" applyAlignment="1">
      <alignment horizontal="left" vertical="center"/>
    </xf>
    <xf numFmtId="0" fontId="0" fillId="9" borderId="9" xfId="0" applyFill="1" applyBorder="1" applyAlignment="1">
      <alignment horizontal="left" vertical="center"/>
    </xf>
    <xf numFmtId="0" fontId="0" fillId="9" borderId="10" xfId="0" applyFill="1" applyBorder="1" applyAlignment="1">
      <alignment horizontal="left" vertical="center"/>
    </xf>
    <xf numFmtId="0" fontId="0" fillId="9" borderId="10" xfId="0" applyFill="1" applyBorder="1" applyAlignment="1">
      <alignment horizontal="center" vertical="center"/>
    </xf>
    <xf numFmtId="0" fontId="0" fillId="9" borderId="11" xfId="0" applyFill="1" applyBorder="1" applyAlignment="1">
      <alignment horizontal="left" vertical="center"/>
    </xf>
    <xf numFmtId="0" fontId="38" fillId="20" borderId="99" xfId="0" applyFont="1" applyFill="1" applyBorder="1" applyAlignment="1">
      <alignment horizontal="left" vertical="center"/>
    </xf>
    <xf numFmtId="2" fontId="38" fillId="20" borderId="99" xfId="0" applyNumberFormat="1" applyFont="1" applyFill="1" applyBorder="1" applyAlignment="1">
      <alignment horizontal="center" vertical="center"/>
    </xf>
    <xf numFmtId="0" fontId="38" fillId="20" borderId="113" xfId="0" applyFont="1" applyFill="1" applyBorder="1" applyAlignment="1">
      <alignment horizontal="left" vertical="center"/>
    </xf>
    <xf numFmtId="2" fontId="38" fillId="20" borderId="113" xfId="0" applyNumberFormat="1" applyFont="1" applyFill="1" applyBorder="1" applyAlignment="1">
      <alignment horizontal="center" vertical="center"/>
    </xf>
    <xf numFmtId="0" fontId="38" fillId="20" borderId="115" xfId="0" applyFont="1" applyFill="1" applyBorder="1" applyAlignment="1">
      <alignment horizontal="left" vertical="center"/>
    </xf>
    <xf numFmtId="2" fontId="38" fillId="20" borderId="115" xfId="0" applyNumberFormat="1" applyFont="1" applyFill="1" applyBorder="1" applyAlignment="1">
      <alignment horizontal="center" vertical="center"/>
    </xf>
    <xf numFmtId="0" fontId="38" fillId="20" borderId="117" xfId="0" applyFont="1" applyFill="1" applyBorder="1" applyAlignment="1">
      <alignment horizontal="left" vertical="center"/>
    </xf>
    <xf numFmtId="166" fontId="38" fillId="20" borderId="117" xfId="0" applyNumberFormat="1" applyFont="1" applyFill="1" applyBorder="1" applyAlignment="1">
      <alignment horizontal="center" vertical="center"/>
    </xf>
    <xf numFmtId="0" fontId="38" fillId="20" borderId="126" xfId="0" applyFont="1" applyFill="1" applyBorder="1" applyAlignment="1">
      <alignment horizontal="left" vertical="center"/>
    </xf>
    <xf numFmtId="2" fontId="38" fillId="20" borderId="117" xfId="0" applyNumberFormat="1" applyFont="1" applyFill="1" applyBorder="1" applyAlignment="1">
      <alignment horizontal="center" vertical="center"/>
    </xf>
    <xf numFmtId="0" fontId="38" fillId="20" borderId="114" xfId="0" applyFont="1" applyFill="1" applyBorder="1" applyAlignment="1">
      <alignment horizontal="left" vertical="center"/>
    </xf>
    <xf numFmtId="2" fontId="38" fillId="20" borderId="114" xfId="0" applyNumberFormat="1" applyFont="1" applyFill="1" applyBorder="1" applyAlignment="1">
      <alignment horizontal="center" vertical="center"/>
    </xf>
    <xf numFmtId="0" fontId="38" fillId="20" borderId="10" xfId="0" applyFont="1" applyFill="1" applyBorder="1" applyAlignment="1">
      <alignment horizontal="left" vertical="center"/>
    </xf>
    <xf numFmtId="2" fontId="38" fillId="20" borderId="10" xfId="0" applyNumberFormat="1" applyFont="1" applyFill="1" applyBorder="1" applyAlignment="1">
      <alignment horizontal="center" vertical="center"/>
    </xf>
    <xf numFmtId="2" fontId="38" fillId="0" borderId="0" xfId="0" applyNumberFormat="1" applyFont="1" applyAlignment="1">
      <alignment horizontal="center" vertical="center"/>
    </xf>
    <xf numFmtId="165" fontId="38" fillId="19" borderId="117" xfId="0" applyNumberFormat="1" applyFont="1" applyFill="1" applyBorder="1" applyAlignment="1">
      <alignment horizontal="center" vertical="center"/>
    </xf>
    <xf numFmtId="0" fontId="38" fillId="19" borderId="117" xfId="0" applyFont="1" applyFill="1" applyBorder="1" applyAlignment="1">
      <alignment horizontal="center" vertical="center"/>
    </xf>
    <xf numFmtId="0" fontId="38" fillId="19" borderId="118" xfId="0" applyFont="1" applyFill="1" applyBorder="1" applyAlignment="1">
      <alignment horizontal="left" vertical="center"/>
    </xf>
    <xf numFmtId="165" fontId="38" fillId="19" borderId="115" xfId="0" applyNumberFormat="1" applyFont="1" applyFill="1" applyBorder="1" applyAlignment="1">
      <alignment horizontal="center" vertical="center"/>
    </xf>
    <xf numFmtId="0" fontId="38" fillId="19" borderId="115" xfId="0" applyFont="1" applyFill="1" applyBorder="1" applyAlignment="1">
      <alignment horizontal="center" vertical="center"/>
    </xf>
    <xf numFmtId="0" fontId="38" fillId="19" borderId="11" xfId="0" applyFont="1" applyFill="1" applyBorder="1" applyAlignment="1">
      <alignment horizontal="left" vertical="center"/>
    </xf>
    <xf numFmtId="0" fontId="38" fillId="26" borderId="126" xfId="0" applyFont="1" applyFill="1" applyBorder="1" applyAlignment="1">
      <alignment horizontal="center" vertical="center"/>
    </xf>
    <xf numFmtId="0" fontId="0" fillId="6" borderId="0" xfId="0" applyFill="1" applyAlignment="1">
      <alignment vertical="center" wrapText="1"/>
    </xf>
    <xf numFmtId="0" fontId="36" fillId="0" borderId="6" xfId="0" applyFont="1" applyBorder="1" applyAlignment="1">
      <alignment horizontal="left" vertical="center" wrapText="1"/>
    </xf>
    <xf numFmtId="0" fontId="36" fillId="0" borderId="10" xfId="0" applyFont="1" applyBorder="1" applyAlignment="1">
      <alignment horizontal="left" vertical="center" wrapText="1"/>
    </xf>
    <xf numFmtId="0" fontId="36" fillId="0" borderId="0" xfId="0" applyFont="1" applyAlignment="1">
      <alignment horizontal="left" vertical="center" wrapText="1"/>
    </xf>
    <xf numFmtId="0" fontId="52" fillId="7" borderId="77" xfId="0" applyFont="1" applyFill="1" applyBorder="1" applyAlignment="1">
      <alignment horizontal="center" vertical="center" wrapText="1"/>
    </xf>
    <xf numFmtId="0" fontId="36" fillId="0" borderId="10" xfId="0" applyFont="1" applyBorder="1" applyAlignment="1">
      <alignment horizontal="center" vertical="center" wrapText="1"/>
    </xf>
    <xf numFmtId="0" fontId="25" fillId="7" borderId="141" xfId="0" applyFont="1" applyFill="1" applyBorder="1" applyAlignment="1">
      <alignment horizontal="center" vertical="center" wrapText="1"/>
    </xf>
    <xf numFmtId="0" fontId="38" fillId="0" borderId="135" xfId="0" applyFont="1" applyBorder="1" applyAlignment="1">
      <alignment horizontal="left" vertical="center" wrapText="1"/>
    </xf>
    <xf numFmtId="0" fontId="52" fillId="7" borderId="77" xfId="0" applyFont="1" applyFill="1" applyBorder="1" applyAlignment="1">
      <alignment horizontal="left" vertical="center" wrapText="1"/>
    </xf>
    <xf numFmtId="0" fontId="52" fillId="16" borderId="55" xfId="0" applyFont="1" applyFill="1" applyBorder="1" applyAlignment="1">
      <alignment horizontal="center" vertical="center" wrapText="1"/>
    </xf>
    <xf numFmtId="0" fontId="52" fillId="16" borderId="55" xfId="0" applyFont="1" applyFill="1" applyBorder="1" applyAlignment="1">
      <alignment horizontal="left" vertical="center" wrapText="1"/>
    </xf>
    <xf numFmtId="0" fontId="36" fillId="0" borderId="15" xfId="0" applyFont="1" applyBorder="1" applyAlignment="1">
      <alignment horizontal="left" vertical="center" wrapText="1"/>
    </xf>
    <xf numFmtId="0" fontId="52" fillId="16" borderId="62" xfId="0" applyFont="1" applyFill="1" applyBorder="1" applyAlignment="1">
      <alignment horizontal="left" vertical="center" wrapText="1"/>
    </xf>
    <xf numFmtId="0" fontId="36" fillId="0" borderId="79" xfId="0" applyFont="1" applyBorder="1" applyAlignment="1">
      <alignment horizontal="left" vertical="center" wrapText="1"/>
    </xf>
    <xf numFmtId="0" fontId="52" fillId="16" borderId="84" xfId="0" applyFont="1" applyFill="1" applyBorder="1" applyAlignment="1">
      <alignment horizontal="center" vertical="center" wrapText="1"/>
    </xf>
    <xf numFmtId="0" fontId="25" fillId="7" borderId="84" xfId="0" applyFont="1" applyFill="1" applyBorder="1" applyAlignment="1">
      <alignment horizontal="center" vertical="center" wrapText="1"/>
    </xf>
    <xf numFmtId="0" fontId="0" fillId="8" borderId="79" xfId="0" applyFill="1" applyBorder="1" applyAlignment="1">
      <alignment horizontal="left" vertical="center" wrapText="1"/>
    </xf>
    <xf numFmtId="0" fontId="0" fillId="8" borderId="6" xfId="0" applyFill="1" applyBorder="1" applyAlignment="1">
      <alignment horizontal="left" vertical="center" wrapText="1"/>
    </xf>
    <xf numFmtId="0" fontId="0" fillId="10" borderId="6" xfId="0" applyFill="1" applyBorder="1" applyAlignment="1">
      <alignment horizontal="left" vertical="center" wrapText="1"/>
    </xf>
    <xf numFmtId="0" fontId="0" fillId="11" borderId="6" xfId="0" applyFill="1" applyBorder="1" applyAlignment="1">
      <alignment horizontal="left" vertical="center" wrapText="1"/>
    </xf>
    <xf numFmtId="0" fontId="0" fillId="9" borderId="6" xfId="0" applyFill="1" applyBorder="1" applyAlignment="1">
      <alignment horizontal="left" vertical="center" wrapText="1"/>
    </xf>
    <xf numFmtId="0" fontId="0" fillId="9" borderId="10" xfId="0" applyFill="1" applyBorder="1" applyAlignment="1">
      <alignment horizontal="left" vertical="center" wrapText="1"/>
    </xf>
    <xf numFmtId="0" fontId="52" fillId="16" borderId="16" xfId="0" applyFont="1" applyFill="1" applyBorder="1" applyAlignment="1">
      <alignment horizontal="center" vertical="center" wrapText="1"/>
    </xf>
    <xf numFmtId="0" fontId="52" fillId="16" borderId="135" xfId="0" applyFont="1" applyFill="1" applyBorder="1" applyAlignment="1">
      <alignment horizontal="center" vertical="center" wrapText="1"/>
    </xf>
    <xf numFmtId="0" fontId="38" fillId="20" borderId="133" xfId="0" applyFont="1" applyFill="1" applyBorder="1" applyAlignment="1">
      <alignment horizontal="center" vertical="center" wrapText="1"/>
    </xf>
    <xf numFmtId="0" fontId="38" fillId="19" borderId="117" xfId="0" applyFont="1" applyFill="1" applyBorder="1" applyAlignment="1">
      <alignment horizontal="left" vertical="center" wrapText="1"/>
    </xf>
    <xf numFmtId="0" fontId="38" fillId="19" borderId="115" xfId="0" applyFont="1" applyFill="1" applyBorder="1" applyAlignment="1">
      <alignment horizontal="left" vertical="center" wrapText="1"/>
    </xf>
    <xf numFmtId="0" fontId="0" fillId="0" borderId="0" xfId="0" applyAlignment="1">
      <alignment vertical="center" wrapText="1"/>
    </xf>
    <xf numFmtId="0" fontId="0" fillId="6" borderId="0" xfId="0" applyFill="1" applyAlignment="1">
      <alignment horizontal="left" vertical="center" wrapText="1"/>
    </xf>
    <xf numFmtId="0" fontId="19" fillId="0" borderId="0" xfId="0" applyFont="1" applyAlignment="1">
      <alignment horizontal="left" vertical="center" wrapText="1"/>
    </xf>
    <xf numFmtId="0" fontId="36" fillId="0" borderId="126" xfId="0" applyFont="1" applyBorder="1" applyAlignment="1">
      <alignment horizontal="left" vertical="center" wrapText="1"/>
    </xf>
    <xf numFmtId="8" fontId="38" fillId="0" borderId="10" xfId="0" applyNumberFormat="1" applyFont="1" applyBorder="1" applyAlignment="1">
      <alignment horizontal="left" vertical="center" wrapText="1"/>
    </xf>
    <xf numFmtId="8" fontId="38" fillId="0" borderId="0" xfId="0" applyNumberFormat="1" applyFont="1" applyAlignment="1">
      <alignment horizontal="left" vertical="center" wrapText="1"/>
    </xf>
    <xf numFmtId="8" fontId="38" fillId="0" borderId="15" xfId="0" applyNumberFormat="1" applyFont="1" applyBorder="1" applyAlignment="1">
      <alignment horizontal="left" vertical="center" wrapText="1"/>
    </xf>
    <xf numFmtId="0" fontId="25" fillId="7" borderId="141" xfId="0" applyFont="1" applyFill="1" applyBorder="1" applyAlignment="1">
      <alignment horizontal="left" vertical="center" wrapText="1"/>
    </xf>
    <xf numFmtId="0" fontId="0" fillId="0" borderId="144" xfId="0" applyBorder="1" applyAlignment="1">
      <alignment horizontal="left" vertical="center" wrapText="1"/>
    </xf>
    <xf numFmtId="0" fontId="38" fillId="0" borderId="15" xfId="0" quotePrefix="1" applyFont="1" applyBorder="1" applyAlignment="1">
      <alignment horizontal="left" vertical="center" wrapText="1"/>
    </xf>
    <xf numFmtId="0" fontId="36" fillId="0" borderId="6" xfId="0" quotePrefix="1" applyFont="1" applyBorder="1" applyAlignment="1">
      <alignment horizontal="left" vertical="center" wrapText="1"/>
    </xf>
    <xf numFmtId="0" fontId="36" fillId="0" borderId="15" xfId="0" quotePrefix="1" applyFont="1" applyBorder="1" applyAlignment="1">
      <alignment horizontal="left" vertical="center" wrapText="1"/>
    </xf>
    <xf numFmtId="0" fontId="36" fillId="0" borderId="10" xfId="0" quotePrefix="1" applyFont="1" applyBorder="1" applyAlignment="1">
      <alignment horizontal="left" vertical="center" wrapText="1"/>
    </xf>
    <xf numFmtId="0" fontId="52" fillId="16" borderId="84" xfId="0" applyFont="1" applyFill="1" applyBorder="1" applyAlignment="1">
      <alignment horizontal="left" vertical="center" wrapText="1"/>
    </xf>
    <xf numFmtId="0" fontId="36" fillId="0" borderId="0" xfId="0" quotePrefix="1" applyFont="1" applyAlignment="1">
      <alignment horizontal="left" vertical="center" wrapText="1"/>
    </xf>
    <xf numFmtId="0" fontId="38" fillId="0" borderId="79" xfId="0" quotePrefix="1" applyFont="1" applyBorder="1" applyAlignment="1">
      <alignment horizontal="left" vertical="center" wrapText="1"/>
    </xf>
    <xf numFmtId="0" fontId="38" fillId="0" borderId="10" xfId="0" quotePrefix="1" applyFont="1" applyBorder="1" applyAlignment="1">
      <alignment horizontal="left" vertical="center" wrapText="1"/>
    </xf>
    <xf numFmtId="0" fontId="25" fillId="7" borderId="84" xfId="0" applyFont="1" applyFill="1" applyBorder="1" applyAlignment="1">
      <alignment horizontal="left" vertical="center" wrapText="1"/>
    </xf>
    <xf numFmtId="0" fontId="52" fillId="16" borderId="16" xfId="0" applyFont="1" applyFill="1" applyBorder="1" applyAlignment="1">
      <alignment horizontal="left" vertical="center" wrapText="1"/>
    </xf>
    <xf numFmtId="0" fontId="38" fillId="20" borderId="99" xfId="0" applyFont="1" applyFill="1" applyBorder="1" applyAlignment="1">
      <alignment horizontal="left" vertical="center" wrapText="1"/>
    </xf>
    <xf numFmtId="0" fontId="38" fillId="20" borderId="113" xfId="0" applyFont="1" applyFill="1" applyBorder="1" applyAlignment="1">
      <alignment horizontal="left" vertical="center" wrapText="1"/>
    </xf>
    <xf numFmtId="0" fontId="38" fillId="20" borderId="115" xfId="0" applyFont="1" applyFill="1" applyBorder="1" applyAlignment="1">
      <alignment horizontal="left" vertical="center" wrapText="1"/>
    </xf>
    <xf numFmtId="0" fontId="52" fillId="16" borderId="135" xfId="0" applyFont="1" applyFill="1" applyBorder="1" applyAlignment="1">
      <alignment horizontal="left" vertical="center" wrapText="1"/>
    </xf>
    <xf numFmtId="0" fontId="73" fillId="20" borderId="117" xfId="0" applyFont="1" applyFill="1" applyBorder="1" applyAlignment="1">
      <alignment horizontal="left" vertical="center" wrapText="1"/>
    </xf>
    <xf numFmtId="0" fontId="73" fillId="20" borderId="114" xfId="0" applyFont="1" applyFill="1" applyBorder="1" applyAlignment="1">
      <alignment horizontal="left" vertical="center" wrapText="1"/>
    </xf>
    <xf numFmtId="0" fontId="73" fillId="20" borderId="10" xfId="0" applyFont="1" applyFill="1" applyBorder="1" applyAlignment="1">
      <alignment horizontal="left" vertical="center" wrapText="1"/>
    </xf>
    <xf numFmtId="0" fontId="73" fillId="0" borderId="0" xfId="0" applyFont="1" applyAlignment="1">
      <alignment horizontal="left" vertical="center" wrapText="1"/>
    </xf>
    <xf numFmtId="0" fontId="0" fillId="0" borderId="135" xfId="0" quotePrefix="1" applyBorder="1" applyAlignment="1">
      <alignment horizontal="center" vertical="center"/>
    </xf>
    <xf numFmtId="0" fontId="38" fillId="9" borderId="137" xfId="0" applyFont="1" applyFill="1" applyBorder="1" applyAlignment="1">
      <alignment horizontal="left" vertical="center" wrapText="1"/>
    </xf>
    <xf numFmtId="2" fontId="38" fillId="9" borderId="114" xfId="0" applyNumberFormat="1" applyFont="1" applyFill="1" applyBorder="1" applyAlignment="1">
      <alignment horizontal="left" vertical="center" wrapText="1"/>
    </xf>
    <xf numFmtId="2" fontId="38" fillId="9" borderId="114" xfId="0" applyNumberFormat="1" applyFont="1" applyFill="1" applyBorder="1" applyAlignment="1">
      <alignment horizontal="center" vertical="center" wrapText="1"/>
    </xf>
    <xf numFmtId="0" fontId="38" fillId="9" borderId="114" xfId="0" applyFont="1" applyFill="1" applyBorder="1" applyAlignment="1">
      <alignment horizontal="center" vertical="center" wrapText="1"/>
    </xf>
    <xf numFmtId="0" fontId="38" fillId="9" borderId="138" xfId="0" applyFont="1" applyFill="1" applyBorder="1" applyAlignment="1">
      <alignment horizontal="center" vertical="center" wrapText="1"/>
    </xf>
    <xf numFmtId="0" fontId="0" fillId="5" borderId="0" xfId="0" applyFill="1"/>
    <xf numFmtId="0" fontId="38" fillId="5" borderId="147" xfId="0" quotePrefix="1" applyFont="1" applyFill="1" applyBorder="1" applyAlignment="1">
      <alignment horizontal="center" vertical="center"/>
    </xf>
    <xf numFmtId="0" fontId="38" fillId="5" borderId="129" xfId="0" applyFont="1" applyFill="1" applyBorder="1" applyAlignment="1">
      <alignment horizontal="center" vertical="center"/>
    </xf>
    <xf numFmtId="0" fontId="0" fillId="5" borderId="129" xfId="0" applyFill="1" applyBorder="1" applyAlignment="1">
      <alignment horizontal="center" vertical="center"/>
    </xf>
    <xf numFmtId="0" fontId="0" fillId="5" borderId="148" xfId="0" applyFill="1" applyBorder="1" applyAlignment="1">
      <alignment horizontal="center" vertical="center"/>
    </xf>
    <xf numFmtId="0" fontId="0" fillId="5" borderId="149" xfId="0" applyFill="1" applyBorder="1" applyAlignment="1">
      <alignment horizontal="center" vertical="center"/>
    </xf>
    <xf numFmtId="8" fontId="38" fillId="0" borderId="126" xfId="0" applyNumberFormat="1" applyFont="1" applyBorder="1" applyAlignment="1">
      <alignment horizontal="left" vertical="center" wrapText="1"/>
    </xf>
    <xf numFmtId="165" fontId="36" fillId="0" borderId="126" xfId="0" applyNumberFormat="1" applyFont="1" applyBorder="1" applyAlignment="1">
      <alignment horizontal="center" vertical="center" wrapText="1"/>
    </xf>
    <xf numFmtId="0" fontId="52" fillId="16" borderId="140" xfId="0" applyFont="1" applyFill="1" applyBorder="1" applyAlignment="1">
      <alignment horizontal="left" vertical="center"/>
    </xf>
    <xf numFmtId="0" fontId="52" fillId="16" borderId="141" xfId="0" applyFont="1" applyFill="1" applyBorder="1" applyAlignment="1">
      <alignment horizontal="left" vertical="center"/>
    </xf>
    <xf numFmtId="0" fontId="52" fillId="16" borderId="141" xfId="0" applyFont="1" applyFill="1" applyBorder="1" applyAlignment="1">
      <alignment horizontal="left" vertical="center" wrapText="1"/>
    </xf>
    <xf numFmtId="165" fontId="52" fillId="16" borderId="141" xfId="0" applyNumberFormat="1" applyFont="1" applyFill="1" applyBorder="1" applyAlignment="1">
      <alignment horizontal="center" vertical="center"/>
    </xf>
    <xf numFmtId="0" fontId="52" fillId="16" borderId="141" xfId="0" applyFont="1" applyFill="1" applyBorder="1" applyAlignment="1">
      <alignment horizontal="center" vertical="center"/>
    </xf>
    <xf numFmtId="0" fontId="52" fillId="16" borderId="141" xfId="0" applyFont="1" applyFill="1" applyBorder="1" applyAlignment="1">
      <alignment horizontal="center" vertical="center" wrapText="1"/>
    </xf>
    <xf numFmtId="0" fontId="52" fillId="16" borderId="142" xfId="0" applyFont="1" applyFill="1" applyBorder="1" applyAlignment="1">
      <alignment horizontal="center" vertical="center"/>
    </xf>
    <xf numFmtId="165" fontId="36" fillId="0" borderId="126" xfId="0" applyNumberFormat="1" applyFont="1" applyBorder="1" applyAlignment="1">
      <alignment horizontal="center" vertical="center"/>
    </xf>
    <xf numFmtId="0" fontId="0" fillId="0" borderId="126" xfId="0" applyBorder="1" applyAlignment="1">
      <alignment horizontal="left" vertical="center"/>
    </xf>
    <xf numFmtId="0" fontId="36" fillId="0" borderId="150" xfId="0" applyFont="1" applyBorder="1" applyAlignment="1">
      <alignment horizontal="left" vertical="center"/>
    </xf>
    <xf numFmtId="0" fontId="36" fillId="0" borderId="146" xfId="0" applyFont="1" applyBorder="1" applyAlignment="1">
      <alignment horizontal="left" vertical="center"/>
    </xf>
    <xf numFmtId="0" fontId="36" fillId="0" borderId="146" xfId="0" applyFont="1" applyBorder="1" applyAlignment="1">
      <alignment horizontal="left" vertical="center" wrapText="1"/>
    </xf>
    <xf numFmtId="165" fontId="36" fillId="0" borderId="146" xfId="0" applyNumberFormat="1" applyFont="1" applyBorder="1" applyAlignment="1">
      <alignment horizontal="center" vertical="center"/>
    </xf>
    <xf numFmtId="0" fontId="36" fillId="0" borderId="146" xfId="0" applyFont="1" applyBorder="1" applyAlignment="1">
      <alignment horizontal="center" vertical="center"/>
    </xf>
    <xf numFmtId="0" fontId="36" fillId="0" borderId="146" xfId="0" applyFont="1" applyBorder="1" applyAlignment="1">
      <alignment horizontal="center" vertical="center" wrapText="1"/>
    </xf>
    <xf numFmtId="0" fontId="36" fillId="0" borderId="151" xfId="0" applyFont="1" applyBorder="1" applyAlignment="1">
      <alignment vertical="center"/>
    </xf>
    <xf numFmtId="0" fontId="36" fillId="0" borderId="7" xfId="0" applyFont="1" applyBorder="1" applyAlignment="1">
      <alignment horizontal="left" vertical="center" wrapText="1"/>
    </xf>
    <xf numFmtId="0" fontId="36" fillId="0" borderId="8" xfId="0" applyFont="1" applyBorder="1" applyAlignment="1">
      <alignment horizontal="center" vertical="center" wrapText="1"/>
    </xf>
    <xf numFmtId="0" fontId="8" fillId="0" borderId="10" xfId="27" applyBorder="1" applyAlignment="1">
      <alignment horizontal="center"/>
    </xf>
    <xf numFmtId="0" fontId="91" fillId="5" borderId="69" xfId="0" applyFont="1" applyFill="1" applyBorder="1" applyAlignment="1">
      <alignment horizontal="center" vertical="center"/>
    </xf>
    <xf numFmtId="0" fontId="19" fillId="25" borderId="116" xfId="0" applyFont="1" applyFill="1" applyBorder="1" applyAlignment="1">
      <alignment horizontal="center" vertical="center"/>
    </xf>
    <xf numFmtId="0" fontId="19" fillId="25" borderId="117" xfId="0" applyFont="1" applyFill="1" applyBorder="1" applyAlignment="1">
      <alignment horizontal="center" vertical="center"/>
    </xf>
    <xf numFmtId="0" fontId="0" fillId="25" borderId="117" xfId="0" applyFill="1" applyBorder="1" applyAlignment="1">
      <alignment horizontal="left" vertical="center"/>
    </xf>
    <xf numFmtId="0" fontId="0" fillId="25" borderId="117" xfId="0" applyFill="1" applyBorder="1" applyAlignment="1">
      <alignment horizontal="center" vertical="center"/>
    </xf>
    <xf numFmtId="0" fontId="36" fillId="25" borderId="117" xfId="0" applyFont="1" applyFill="1" applyBorder="1" applyAlignment="1">
      <alignment horizontal="left" vertical="center"/>
    </xf>
    <xf numFmtId="0" fontId="0" fillId="25" borderId="117" xfId="0" applyFill="1" applyBorder="1"/>
    <xf numFmtId="0" fontId="0" fillId="25" borderId="118" xfId="0" applyFill="1" applyBorder="1" applyAlignment="1">
      <alignment horizontal="left" vertical="center"/>
    </xf>
    <xf numFmtId="2" fontId="44" fillId="9" borderId="126" xfId="0" applyNumberFormat="1" applyFont="1" applyFill="1" applyBorder="1" applyAlignment="1">
      <alignment horizontal="left" vertical="center" wrapText="1"/>
    </xf>
    <xf numFmtId="2" fontId="44" fillId="9" borderId="126" xfId="0" applyNumberFormat="1" applyFont="1" applyFill="1" applyBorder="1" applyAlignment="1">
      <alignment horizontal="center" vertical="center" wrapText="1"/>
    </xf>
    <xf numFmtId="166" fontId="44" fillId="9" borderId="126" xfId="0" applyNumberFormat="1" applyFont="1" applyFill="1" applyBorder="1" applyAlignment="1">
      <alignment horizontal="left" vertical="center" wrapText="1"/>
    </xf>
    <xf numFmtId="166" fontId="44" fillId="9" borderId="126" xfId="0" applyNumberFormat="1" applyFont="1" applyFill="1" applyBorder="1" applyAlignment="1">
      <alignment horizontal="center" vertical="center" wrapText="1"/>
    </xf>
    <xf numFmtId="0" fontId="38" fillId="30" borderId="7" xfId="0" applyFont="1" applyFill="1" applyBorder="1" applyAlignment="1">
      <alignment horizontal="left" vertical="center" wrapText="1"/>
    </xf>
    <xf numFmtId="2" fontId="38" fillId="30" borderId="126" xfId="0" applyNumberFormat="1" applyFont="1" applyFill="1" applyBorder="1" applyAlignment="1">
      <alignment horizontal="left" vertical="center" wrapText="1"/>
    </xf>
    <xf numFmtId="2" fontId="38" fillId="30" borderId="126" xfId="0" applyNumberFormat="1" applyFont="1" applyFill="1" applyBorder="1" applyAlignment="1">
      <alignment horizontal="center" vertical="center" wrapText="1"/>
    </xf>
    <xf numFmtId="0" fontId="38" fillId="30" borderId="126" xfId="0" applyFont="1" applyFill="1" applyBorder="1" applyAlignment="1">
      <alignment horizontal="center" vertical="center" wrapText="1"/>
    </xf>
    <xf numFmtId="0" fontId="38" fillId="30" borderId="8" xfId="0" applyFont="1" applyFill="1" applyBorder="1" applyAlignment="1">
      <alignment horizontal="left" vertical="center"/>
    </xf>
    <xf numFmtId="0" fontId="38" fillId="30" borderId="9" xfId="0" applyFont="1" applyFill="1" applyBorder="1" applyAlignment="1">
      <alignment horizontal="left" vertical="center" wrapText="1"/>
    </xf>
    <xf numFmtId="2" fontId="38" fillId="30" borderId="10" xfId="0" applyNumberFormat="1" applyFont="1" applyFill="1" applyBorder="1" applyAlignment="1">
      <alignment horizontal="left" vertical="center" wrapText="1"/>
    </xf>
    <xf numFmtId="2" fontId="38" fillId="30" borderId="10" xfId="0" applyNumberFormat="1" applyFont="1" applyFill="1" applyBorder="1" applyAlignment="1">
      <alignment horizontal="center" vertical="center" wrapText="1"/>
    </xf>
    <xf numFmtId="0" fontId="38" fillId="30" borderId="10" xfId="0" applyFont="1" applyFill="1" applyBorder="1" applyAlignment="1">
      <alignment horizontal="center" vertical="center" wrapText="1"/>
    </xf>
    <xf numFmtId="0" fontId="38" fillId="30" borderId="11" xfId="0" applyFont="1" applyFill="1" applyBorder="1" applyAlignment="1">
      <alignment horizontal="left" vertical="center"/>
    </xf>
    <xf numFmtId="0" fontId="0" fillId="0" borderId="126" xfId="0" applyBorder="1" applyAlignment="1">
      <alignment horizontal="left"/>
    </xf>
    <xf numFmtId="11" fontId="8" fillId="0" borderId="126" xfId="26" applyNumberFormat="1" applyBorder="1" applyAlignment="1">
      <alignment horizontal="center"/>
    </xf>
    <xf numFmtId="0" fontId="3" fillId="0" borderId="126" xfId="27" applyFont="1" applyBorder="1" applyAlignment="1">
      <alignment horizontal="center"/>
    </xf>
    <xf numFmtId="0" fontId="36" fillId="0" borderId="126" xfId="0" applyFont="1" applyBorder="1" applyAlignment="1">
      <alignment horizontal="center"/>
    </xf>
    <xf numFmtId="0" fontId="0" fillId="0" borderId="126" xfId="0" applyBorder="1" applyAlignment="1">
      <alignment horizontal="center"/>
    </xf>
    <xf numFmtId="0" fontId="0" fillId="0" borderId="8" xfId="0" applyBorder="1"/>
    <xf numFmtId="0" fontId="36" fillId="0" borderId="9" xfId="0" applyFont="1" applyBorder="1" applyAlignment="1">
      <alignment horizontal="left" vertical="center" wrapText="1"/>
    </xf>
    <xf numFmtId="165" fontId="36" fillId="0" borderId="10" xfId="0" applyNumberFormat="1" applyFont="1" applyBorder="1" applyAlignment="1">
      <alignment horizontal="center" vertical="center" wrapText="1"/>
    </xf>
    <xf numFmtId="0" fontId="36" fillId="0" borderId="11" xfId="0" applyFont="1" applyBorder="1" applyAlignment="1">
      <alignment horizontal="center" vertical="center" wrapText="1"/>
    </xf>
    <xf numFmtId="0" fontId="19" fillId="30" borderId="7" xfId="0" applyFont="1" applyFill="1" applyBorder="1" applyAlignment="1">
      <alignment horizontal="center" vertical="center"/>
    </xf>
    <xf numFmtId="0" fontId="19" fillId="30" borderId="126" xfId="0" applyFont="1" applyFill="1" applyBorder="1" applyAlignment="1">
      <alignment horizontal="center" vertical="center"/>
    </xf>
    <xf numFmtId="0" fontId="0" fillId="30" borderId="126" xfId="0" applyFill="1" applyBorder="1" applyAlignment="1">
      <alignment horizontal="left" vertical="center"/>
    </xf>
    <xf numFmtId="0" fontId="0" fillId="30" borderId="126" xfId="0" applyFill="1" applyBorder="1" applyAlignment="1">
      <alignment horizontal="center" vertical="center"/>
    </xf>
    <xf numFmtId="0" fontId="0" fillId="30" borderId="126" xfId="0" quotePrefix="1" applyFill="1" applyBorder="1" applyAlignment="1">
      <alignment horizontal="center" vertical="center"/>
    </xf>
    <xf numFmtId="0" fontId="36" fillId="30" borderId="126" xfId="0" applyFont="1" applyFill="1" applyBorder="1" applyAlignment="1">
      <alignment horizontal="left" vertical="center"/>
    </xf>
    <xf numFmtId="0" fontId="0" fillId="30" borderId="8" xfId="0" applyFill="1" applyBorder="1"/>
    <xf numFmtId="0" fontId="73" fillId="0" borderId="0" xfId="0" applyFont="1" applyAlignment="1">
      <alignment horizontal="left" vertical="center"/>
    </xf>
    <xf numFmtId="2" fontId="38" fillId="0" borderId="0" xfId="0" applyNumberFormat="1" applyFont="1" applyAlignment="1">
      <alignment horizontal="left" vertical="center"/>
    </xf>
    <xf numFmtId="0" fontId="52" fillId="7" borderId="152" xfId="0" applyFont="1" applyFill="1" applyBorder="1" applyAlignment="1">
      <alignment horizontal="left" vertical="center"/>
    </xf>
    <xf numFmtId="0" fontId="83" fillId="7" borderId="153" xfId="0" applyFont="1" applyFill="1" applyBorder="1" applyAlignment="1">
      <alignment horizontal="left" vertical="center"/>
    </xf>
    <xf numFmtId="0" fontId="52" fillId="7" borderId="153" xfId="0" applyFont="1" applyFill="1" applyBorder="1" applyAlignment="1">
      <alignment horizontal="left" vertical="center"/>
    </xf>
    <xf numFmtId="0" fontId="52" fillId="7" borderId="154" xfId="0" applyFont="1" applyFill="1" applyBorder="1" applyAlignment="1">
      <alignment horizontal="left" vertical="center"/>
    </xf>
    <xf numFmtId="0" fontId="52" fillId="7" borderId="155" xfId="0" applyFont="1" applyFill="1" applyBorder="1" applyAlignment="1">
      <alignment horizontal="left" vertical="center"/>
    </xf>
    <xf numFmtId="0" fontId="83" fillId="7" borderId="156" xfId="0" applyFont="1" applyFill="1" applyBorder="1" applyAlignment="1">
      <alignment horizontal="left" vertical="center"/>
    </xf>
    <xf numFmtId="0" fontId="52" fillId="7" borderId="156" xfId="0" applyFont="1" applyFill="1" applyBorder="1" applyAlignment="1">
      <alignment horizontal="left" vertical="center"/>
    </xf>
    <xf numFmtId="0" fontId="52" fillId="7" borderId="157" xfId="0" applyFont="1" applyFill="1" applyBorder="1" applyAlignment="1">
      <alignment horizontal="left" vertical="center"/>
    </xf>
    <xf numFmtId="165" fontId="44" fillId="0" borderId="0" xfId="0" applyNumberFormat="1" applyFont="1" applyAlignment="1">
      <alignment horizontal="left" vertical="center"/>
    </xf>
    <xf numFmtId="0" fontId="52" fillId="7" borderId="158" xfId="0" applyFont="1" applyFill="1" applyBorder="1" applyAlignment="1">
      <alignment horizontal="left" vertical="center"/>
    </xf>
    <xf numFmtId="0" fontId="52" fillId="7" borderId="159" xfId="0" applyFont="1" applyFill="1" applyBorder="1" applyAlignment="1">
      <alignment horizontal="left" vertical="center" wrapText="1"/>
    </xf>
    <xf numFmtId="0" fontId="52" fillId="7" borderId="159" xfId="0" applyFont="1" applyFill="1" applyBorder="1" applyAlignment="1">
      <alignment horizontal="center" vertical="center" wrapText="1"/>
    </xf>
    <xf numFmtId="0" fontId="52" fillId="7" borderId="160" xfId="0" applyFont="1" applyFill="1" applyBorder="1" applyAlignment="1">
      <alignment horizontal="left" vertical="center" wrapText="1"/>
    </xf>
    <xf numFmtId="0" fontId="38" fillId="32" borderId="158" xfId="0" applyFont="1" applyFill="1" applyBorder="1" applyAlignment="1">
      <alignment horizontal="left" vertical="center"/>
    </xf>
    <xf numFmtId="0" fontId="38" fillId="32" borderId="159" xfId="0" applyFont="1" applyFill="1" applyBorder="1" applyAlignment="1">
      <alignment horizontal="left" vertical="center" wrapText="1"/>
    </xf>
    <xf numFmtId="165" fontId="38" fillId="32" borderId="159" xfId="0" applyNumberFormat="1" applyFont="1" applyFill="1" applyBorder="1" applyAlignment="1">
      <alignment horizontal="left" vertical="center"/>
    </xf>
    <xf numFmtId="0" fontId="38" fillId="32" borderId="159" xfId="0" applyFont="1" applyFill="1" applyBorder="1" applyAlignment="1">
      <alignment horizontal="left" vertical="center"/>
    </xf>
    <xf numFmtId="0" fontId="38" fillId="32" borderId="160" xfId="0" quotePrefix="1" applyFont="1" applyFill="1" applyBorder="1" applyAlignment="1">
      <alignment horizontal="left" vertical="center"/>
    </xf>
    <xf numFmtId="0" fontId="38" fillId="32" borderId="150" xfId="0" applyFont="1" applyFill="1" applyBorder="1" applyAlignment="1">
      <alignment horizontal="left" vertical="center"/>
    </xf>
    <xf numFmtId="0" fontId="38" fillId="32" borderId="146" xfId="0" applyFont="1" applyFill="1" applyBorder="1" applyAlignment="1">
      <alignment horizontal="left" vertical="center" wrapText="1"/>
    </xf>
    <xf numFmtId="165" fontId="38" fillId="32" borderId="146" xfId="0" applyNumberFormat="1" applyFont="1" applyFill="1" applyBorder="1" applyAlignment="1">
      <alignment horizontal="left" vertical="center"/>
    </xf>
    <xf numFmtId="0" fontId="38" fillId="32" borderId="146" xfId="0" applyFont="1" applyFill="1" applyBorder="1" applyAlignment="1">
      <alignment horizontal="left" vertical="center"/>
    </xf>
    <xf numFmtId="0" fontId="38" fillId="32" borderId="151" xfId="0" applyFont="1" applyFill="1" applyBorder="1" applyAlignment="1">
      <alignment horizontal="left" vertical="center"/>
    </xf>
    <xf numFmtId="0" fontId="38" fillId="32" borderId="116" xfId="0" applyFont="1" applyFill="1" applyBorder="1" applyAlignment="1">
      <alignment horizontal="left" vertical="center"/>
    </xf>
    <xf numFmtId="0" fontId="38" fillId="32" borderId="117" xfId="0" applyFont="1" applyFill="1" applyBorder="1" applyAlignment="1">
      <alignment horizontal="left" vertical="center" wrapText="1"/>
    </xf>
    <xf numFmtId="165" fontId="38" fillId="32" borderId="117" xfId="0" applyNumberFormat="1" applyFont="1" applyFill="1" applyBorder="1" applyAlignment="1">
      <alignment horizontal="left" vertical="center"/>
    </xf>
    <xf numFmtId="0" fontId="38" fillId="32" borderId="117" xfId="0" applyFont="1" applyFill="1" applyBorder="1" applyAlignment="1">
      <alignment horizontal="left" vertical="center"/>
    </xf>
    <xf numFmtId="0" fontId="38" fillId="32" borderId="118" xfId="0" applyFont="1" applyFill="1" applyBorder="1" applyAlignment="1">
      <alignment horizontal="left" vertical="center"/>
    </xf>
    <xf numFmtId="0" fontId="38" fillId="32" borderId="39" xfId="0" applyFont="1" applyFill="1" applyBorder="1" applyAlignment="1">
      <alignment horizontal="left" vertical="center"/>
    </xf>
    <xf numFmtId="0" fontId="38" fillId="32" borderId="38" xfId="0" applyFont="1" applyFill="1" applyBorder="1" applyAlignment="1">
      <alignment horizontal="left" vertical="center" wrapText="1"/>
    </xf>
    <xf numFmtId="165" fontId="38" fillId="32" borderId="38" xfId="0" applyNumberFormat="1" applyFont="1" applyFill="1" applyBorder="1" applyAlignment="1">
      <alignment horizontal="left" vertical="center"/>
    </xf>
    <xf numFmtId="0" fontId="38" fillId="32" borderId="38" xfId="0" applyFont="1" applyFill="1" applyBorder="1" applyAlignment="1">
      <alignment horizontal="left" vertical="center"/>
    </xf>
    <xf numFmtId="0" fontId="38" fillId="32" borderId="40" xfId="0" applyFont="1" applyFill="1" applyBorder="1" applyAlignment="1">
      <alignment horizontal="left" vertical="center"/>
    </xf>
    <xf numFmtId="165" fontId="38" fillId="32" borderId="117" xfId="0" quotePrefix="1" applyNumberFormat="1" applyFont="1" applyFill="1" applyBorder="1" applyAlignment="1">
      <alignment horizontal="left" vertical="center"/>
    </xf>
    <xf numFmtId="165" fontId="38" fillId="32" borderId="38" xfId="0" quotePrefix="1" applyNumberFormat="1" applyFont="1" applyFill="1" applyBorder="1" applyAlignment="1">
      <alignment horizontal="left" vertical="center"/>
    </xf>
    <xf numFmtId="0" fontId="38" fillId="32" borderId="150" xfId="0" applyFont="1" applyFill="1" applyBorder="1" applyAlignment="1">
      <alignment horizontal="left" vertical="center" wrapText="1"/>
    </xf>
    <xf numFmtId="0" fontId="38" fillId="32" borderId="151" xfId="0" applyFont="1" applyFill="1" applyBorder="1" applyAlignment="1">
      <alignment horizontal="left" vertical="center" wrapText="1"/>
    </xf>
    <xf numFmtId="0" fontId="38" fillId="32" borderId="116" xfId="0" applyFont="1" applyFill="1" applyBorder="1" applyAlignment="1">
      <alignment horizontal="left" vertical="center" wrapText="1"/>
    </xf>
    <xf numFmtId="0" fontId="38" fillId="32" borderId="118" xfId="0" applyFont="1" applyFill="1" applyBorder="1" applyAlignment="1">
      <alignment horizontal="left" vertical="center" wrapText="1"/>
    </xf>
    <xf numFmtId="0" fontId="38" fillId="32" borderId="39" xfId="0" applyFont="1" applyFill="1" applyBorder="1" applyAlignment="1">
      <alignment horizontal="left" vertical="center" wrapText="1"/>
    </xf>
    <xf numFmtId="0" fontId="38" fillId="32" borderId="40" xfId="0" applyFont="1" applyFill="1" applyBorder="1" applyAlignment="1">
      <alignment horizontal="left" vertical="center" wrapText="1"/>
    </xf>
    <xf numFmtId="0" fontId="52" fillId="16" borderId="161" xfId="13" applyFont="1" applyFill="1" applyBorder="1"/>
    <xf numFmtId="0" fontId="52" fillId="16" borderId="158" xfId="13" applyFont="1" applyFill="1" applyBorder="1" applyAlignment="1">
      <alignment horizontal="center"/>
    </xf>
    <xf numFmtId="0" fontId="52" fillId="16" borderId="159" xfId="13" applyFont="1" applyFill="1" applyBorder="1" applyAlignment="1">
      <alignment horizontal="center" vertical="top" wrapText="1"/>
    </xf>
    <xf numFmtId="0" fontId="52" fillId="16" borderId="159" xfId="13" applyFont="1" applyFill="1" applyBorder="1" applyAlignment="1">
      <alignment horizontal="center" vertical="center" wrapText="1"/>
    </xf>
    <xf numFmtId="0" fontId="52" fillId="16" borderId="160" xfId="13" applyFont="1" applyFill="1" applyBorder="1" applyAlignment="1">
      <alignment horizontal="center" vertical="top" wrapText="1"/>
    </xf>
    <xf numFmtId="0" fontId="36" fillId="0" borderId="150" xfId="0" applyFont="1" applyBorder="1"/>
    <xf numFmtId="0" fontId="36" fillId="0" borderId="146" xfId="0" applyFont="1" applyBorder="1"/>
    <xf numFmtId="0" fontId="36" fillId="0" borderId="146" xfId="0" applyFont="1" applyBorder="1" applyAlignment="1">
      <alignment horizontal="center"/>
    </xf>
    <xf numFmtId="0" fontId="36" fillId="0" borderId="151" xfId="0" applyFont="1" applyBorder="1"/>
    <xf numFmtId="0" fontId="36" fillId="0" borderId="36" xfId="0" applyFont="1" applyBorder="1"/>
    <xf numFmtId="0" fontId="36" fillId="0" borderId="15" xfId="0" applyFont="1" applyBorder="1" applyAlignment="1">
      <alignment horizontal="center"/>
    </xf>
    <xf numFmtId="0" fontId="36" fillId="0" borderId="10" xfId="17" applyFont="1" applyBorder="1"/>
    <xf numFmtId="0" fontId="36" fillId="0" borderId="10" xfId="17" applyFont="1" applyBorder="1" applyAlignment="1">
      <alignment horizontal="center"/>
    </xf>
    <xf numFmtId="0" fontId="36" fillId="0" borderId="11" xfId="17" applyFont="1" applyBorder="1"/>
    <xf numFmtId="0" fontId="38" fillId="9" borderId="10" xfId="0" applyFont="1" applyFill="1" applyBorder="1" applyAlignment="1">
      <alignment horizontal="left" vertical="center" wrapText="1"/>
    </xf>
    <xf numFmtId="0" fontId="38" fillId="9" borderId="11" xfId="0" applyFont="1" applyFill="1" applyBorder="1" applyAlignment="1">
      <alignment horizontal="left" vertical="center" wrapText="1"/>
    </xf>
    <xf numFmtId="0" fontId="38" fillId="9" borderId="158" xfId="0" applyFont="1" applyFill="1" applyBorder="1" applyAlignment="1">
      <alignment horizontal="left" vertical="center" wrapText="1"/>
    </xf>
    <xf numFmtId="2" fontId="38" fillId="9" borderId="159" xfId="0" applyNumberFormat="1" applyFont="1" applyFill="1" applyBorder="1" applyAlignment="1">
      <alignment horizontal="left" vertical="center" wrapText="1"/>
    </xf>
    <xf numFmtId="166" fontId="38" fillId="9" borderId="159" xfId="0" applyNumberFormat="1" applyFont="1" applyFill="1" applyBorder="1" applyAlignment="1">
      <alignment horizontal="center" vertical="center" wrapText="1"/>
    </xf>
    <xf numFmtId="0" fontId="38" fillId="9" borderId="159" xfId="0" applyFont="1" applyFill="1" applyBorder="1" applyAlignment="1">
      <alignment horizontal="center" vertical="center" wrapText="1"/>
    </xf>
    <xf numFmtId="0" fontId="38" fillId="9" borderId="160" xfId="0" applyFont="1" applyFill="1" applyBorder="1" applyAlignment="1">
      <alignment horizontal="left" vertical="center" wrapText="1"/>
    </xf>
    <xf numFmtId="0" fontId="38" fillId="0" borderId="111" xfId="0" applyFont="1" applyBorder="1" applyAlignment="1">
      <alignment horizontal="center" vertical="center" wrapText="1"/>
    </xf>
    <xf numFmtId="8" fontId="38" fillId="0" borderId="117" xfId="0" applyNumberFormat="1" applyFont="1" applyBorder="1" applyAlignment="1">
      <alignment horizontal="left" vertical="center" wrapText="1"/>
    </xf>
    <xf numFmtId="165" fontId="36" fillId="0" borderId="126" xfId="0" applyNumberFormat="1" applyFont="1" applyBorder="1" applyAlignment="1">
      <alignment horizontal="left" vertical="center"/>
    </xf>
    <xf numFmtId="165" fontId="36" fillId="0" borderId="10" xfId="0" applyNumberFormat="1" applyFont="1" applyBorder="1" applyAlignment="1">
      <alignment horizontal="left" vertical="center"/>
    </xf>
    <xf numFmtId="0" fontId="38" fillId="0" borderId="126" xfId="0" quotePrefix="1" applyFont="1" applyBorder="1" applyAlignment="1">
      <alignment horizontal="left" vertical="center" wrapText="1"/>
    </xf>
    <xf numFmtId="165" fontId="38" fillId="0" borderId="126" xfId="0" quotePrefix="1" applyNumberFormat="1" applyFont="1" applyBorder="1" applyAlignment="1">
      <alignment horizontal="left" vertical="center"/>
    </xf>
    <xf numFmtId="0" fontId="2" fillId="0" borderId="8" xfId="0" applyFont="1" applyBorder="1" applyAlignment="1">
      <alignment horizontal="left" vertical="center"/>
    </xf>
    <xf numFmtId="0" fontId="38" fillId="0" borderId="146" xfId="0" applyFont="1" applyBorder="1" applyAlignment="1">
      <alignment horizontal="left" vertical="center"/>
    </xf>
    <xf numFmtId="0" fontId="38" fillId="0" borderId="113" xfId="0" applyFont="1" applyBorder="1" applyAlignment="1">
      <alignment horizontal="left" vertical="center"/>
    </xf>
    <xf numFmtId="0" fontId="38" fillId="0" borderId="119" xfId="0" applyFont="1" applyBorder="1" applyAlignment="1">
      <alignment horizontal="left" vertical="center"/>
    </xf>
    <xf numFmtId="0" fontId="38" fillId="0" borderId="10" xfId="0" applyFont="1" applyBorder="1" applyAlignment="1">
      <alignment horizontal="left" vertical="center"/>
    </xf>
    <xf numFmtId="0" fontId="38" fillId="0" borderId="11" xfId="0" applyFont="1" applyBorder="1" applyAlignment="1">
      <alignment horizontal="left" vertical="center"/>
    </xf>
    <xf numFmtId="0" fontId="52" fillId="7" borderId="103" xfId="0" applyFont="1" applyFill="1" applyBorder="1" applyAlignment="1">
      <alignment horizontal="left" vertical="center" wrapText="1"/>
    </xf>
    <xf numFmtId="0" fontId="52" fillId="7" borderId="104" xfId="0" applyFont="1" applyFill="1" applyBorder="1" applyAlignment="1">
      <alignment horizontal="left" vertical="center" wrapText="1"/>
    </xf>
    <xf numFmtId="0" fontId="38" fillId="0" borderId="117" xfId="0" applyFont="1" applyBorder="1" applyAlignment="1">
      <alignment horizontal="left" vertical="center"/>
    </xf>
    <xf numFmtId="0" fontId="38" fillId="0" borderId="118" xfId="0" applyFont="1" applyBorder="1" applyAlignment="1">
      <alignment horizontal="left" vertical="center"/>
    </xf>
    <xf numFmtId="0" fontId="32" fillId="3" borderId="20" xfId="0" applyFont="1" applyFill="1" applyBorder="1" applyAlignment="1">
      <alignment horizontal="center" vertical="top" wrapText="1"/>
    </xf>
    <xf numFmtId="0" fontId="32" fillId="3" borderId="0" xfId="0" applyFont="1" applyFill="1" applyAlignment="1">
      <alignment horizontal="center" vertical="top" wrapText="1"/>
    </xf>
    <xf numFmtId="0" fontId="32" fillId="3" borderId="21" xfId="0" applyFont="1" applyFill="1" applyBorder="1" applyAlignment="1">
      <alignment horizontal="center" vertical="top" wrapText="1"/>
    </xf>
    <xf numFmtId="0" fontId="32" fillId="3" borderId="22" xfId="0" applyFont="1" applyFill="1" applyBorder="1" applyAlignment="1">
      <alignment wrapText="1"/>
    </xf>
    <xf numFmtId="0" fontId="32" fillId="3" borderId="23" xfId="0" applyFont="1" applyFill="1" applyBorder="1" applyAlignment="1">
      <alignment wrapText="1"/>
    </xf>
    <xf numFmtId="0" fontId="32" fillId="3" borderId="24" xfId="0" applyFont="1" applyFill="1" applyBorder="1" applyAlignment="1">
      <alignment wrapText="1"/>
    </xf>
    <xf numFmtId="0" fontId="0" fillId="2" borderId="0" xfId="0" applyFill="1" applyAlignment="1">
      <alignment wrapText="1"/>
    </xf>
    <xf numFmtId="0" fontId="0" fillId="8" borderId="99" xfId="0" quotePrefix="1" applyNumberFormat="1" applyFill="1" applyBorder="1" applyAlignment="1">
      <alignment horizontal="center" vertical="center"/>
    </xf>
    <xf numFmtId="0" fontId="0" fillId="8" borderId="126" xfId="0" quotePrefix="1" applyNumberFormat="1" applyFill="1" applyBorder="1" applyAlignment="1">
      <alignment horizontal="center" vertical="center"/>
    </xf>
    <xf numFmtId="0" fontId="0" fillId="8" borderId="126" xfId="0" applyNumberFormat="1" applyFill="1" applyBorder="1" applyAlignment="1">
      <alignment horizontal="center" vertical="center"/>
    </xf>
    <xf numFmtId="0" fontId="0" fillId="10" borderId="126" xfId="0" applyNumberFormat="1" applyFill="1" applyBorder="1" applyAlignment="1">
      <alignment horizontal="center" vertical="center"/>
    </xf>
    <xf numFmtId="0" fontId="0" fillId="11" borderId="126" xfId="0" quotePrefix="1" applyNumberFormat="1" applyFill="1" applyBorder="1" applyAlignment="1">
      <alignment horizontal="center" vertical="center"/>
    </xf>
    <xf numFmtId="0" fontId="0" fillId="11" borderId="126" xfId="0" applyNumberFormat="1" applyFill="1" applyBorder="1" applyAlignment="1">
      <alignment horizontal="center" vertical="center"/>
    </xf>
    <xf numFmtId="0" fontId="36" fillId="26" borderId="126" xfId="0" applyNumberFormat="1" applyFont="1" applyFill="1" applyBorder="1" applyAlignment="1">
      <alignment horizontal="center" vertical="center"/>
    </xf>
    <xf numFmtId="0" fontId="0" fillId="9" borderId="126" xfId="0" applyNumberFormat="1" applyFill="1" applyBorder="1" applyAlignment="1">
      <alignment horizontal="center" vertical="center"/>
    </xf>
    <xf numFmtId="0" fontId="0" fillId="30" borderId="126" xfId="0" applyNumberFormat="1" applyFill="1" applyBorder="1" applyAlignment="1">
      <alignment horizontal="center" vertical="center"/>
    </xf>
    <xf numFmtId="0" fontId="0" fillId="25" borderId="117" xfId="0" applyNumberFormat="1" applyFill="1" applyBorder="1" applyAlignment="1">
      <alignment horizontal="left" vertical="center"/>
    </xf>
    <xf numFmtId="0" fontId="0" fillId="6" borderId="126" xfId="0" applyNumberFormat="1" applyFill="1" applyBorder="1" applyAlignment="1">
      <alignment horizontal="center" vertical="center"/>
    </xf>
    <xf numFmtId="0" fontId="0" fillId="6" borderId="10" xfId="0" applyNumberFormat="1" applyFill="1" applyBorder="1" applyAlignment="1">
      <alignment horizontal="center" vertical="center"/>
    </xf>
    <xf numFmtId="0" fontId="0" fillId="17" borderId="126" xfId="0" applyNumberFormat="1" applyFill="1" applyBorder="1" applyAlignment="1">
      <alignment horizontal="center" vertical="center"/>
    </xf>
    <xf numFmtId="0" fontId="0" fillId="17" borderId="10" xfId="0" applyNumberFormat="1" applyFill="1" applyBorder="1" applyAlignment="1">
      <alignment horizontal="center" vertical="center"/>
    </xf>
    <xf numFmtId="0" fontId="0" fillId="8" borderId="99" xfId="0" applyNumberFormat="1" applyFill="1" applyBorder="1" applyAlignment="1">
      <alignment horizontal="center" vertical="center"/>
    </xf>
    <xf numFmtId="0" fontId="36" fillId="9" borderId="126" xfId="0" quotePrefix="1" applyNumberFormat="1" applyFont="1" applyFill="1" applyBorder="1" applyAlignment="1">
      <alignment horizontal="center" vertical="center"/>
    </xf>
    <xf numFmtId="0" fontId="0" fillId="9" borderId="126" xfId="0" quotePrefix="1" applyNumberFormat="1" applyFill="1" applyBorder="1" applyAlignment="1">
      <alignment horizontal="center" vertical="center"/>
    </xf>
    <xf numFmtId="0" fontId="0" fillId="30" borderId="126" xfId="0" quotePrefix="1" applyNumberFormat="1" applyFill="1" applyBorder="1" applyAlignment="1">
      <alignment horizontal="center" vertical="center"/>
    </xf>
    <xf numFmtId="0" fontId="0" fillId="6" borderId="126" xfId="0" quotePrefix="1" applyNumberFormat="1" applyFill="1" applyBorder="1" applyAlignment="1">
      <alignment horizontal="center" vertical="center"/>
    </xf>
    <xf numFmtId="0" fontId="0" fillId="6" borderId="10" xfId="0" quotePrefix="1" applyNumberFormat="1" applyFill="1" applyBorder="1" applyAlignment="1">
      <alignment horizontal="center" vertical="center"/>
    </xf>
    <xf numFmtId="0" fontId="0" fillId="17" borderId="126" xfId="0" quotePrefix="1" applyNumberFormat="1" applyFill="1" applyBorder="1" applyAlignment="1">
      <alignment horizontal="center" vertical="center"/>
    </xf>
    <xf numFmtId="0" fontId="0" fillId="17" borderId="10" xfId="0" quotePrefix="1" applyNumberFormat="1" applyFill="1" applyBorder="1" applyAlignment="1">
      <alignment horizontal="center" vertical="center"/>
    </xf>
    <xf numFmtId="0" fontId="36" fillId="8" borderId="126" xfId="0" quotePrefix="1" applyNumberFormat="1" applyFont="1" applyFill="1" applyBorder="1" applyAlignment="1">
      <alignment horizontal="center" vertical="center"/>
    </xf>
    <xf numFmtId="0" fontId="0" fillId="10" borderId="126" xfId="0" quotePrefix="1" applyNumberFormat="1" applyFill="1" applyBorder="1" applyAlignment="1">
      <alignment horizontal="center" vertical="center"/>
    </xf>
    <xf numFmtId="0" fontId="36" fillId="10" borderId="126" xfId="0" quotePrefix="1" applyNumberFormat="1" applyFont="1" applyFill="1" applyBorder="1" applyAlignment="1">
      <alignment horizontal="center" vertical="center"/>
    </xf>
    <xf numFmtId="0" fontId="36" fillId="11" borderId="126" xfId="0" quotePrefix="1" applyNumberFormat="1" applyFont="1" applyFill="1" applyBorder="1" applyAlignment="1">
      <alignment horizontal="center" vertical="center"/>
    </xf>
    <xf numFmtId="0" fontId="0" fillId="26" borderId="126" xfId="0" quotePrefix="1" applyNumberFormat="1" applyFill="1" applyBorder="1" applyAlignment="1">
      <alignment horizontal="center" vertical="center"/>
    </xf>
    <xf numFmtId="0" fontId="36" fillId="9" borderId="126" xfId="0" applyNumberFormat="1" applyFont="1" applyFill="1" applyBorder="1" applyAlignment="1">
      <alignment horizontal="center" vertical="center"/>
    </xf>
    <xf numFmtId="0" fontId="0" fillId="25" borderId="117" xfId="0" applyNumberFormat="1" applyFill="1" applyBorder="1" applyAlignment="1">
      <alignment horizontal="center" vertical="center"/>
    </xf>
    <xf numFmtId="0" fontId="36" fillId="17" borderId="126" xfId="0" quotePrefix="1" applyNumberFormat="1" applyFont="1" applyFill="1" applyBorder="1" applyAlignment="1">
      <alignment horizontal="left" vertical="center"/>
    </xf>
    <xf numFmtId="0" fontId="36" fillId="10" borderId="126" xfId="0" quotePrefix="1" applyNumberFormat="1" applyFont="1" applyFill="1" applyBorder="1" applyAlignment="1">
      <alignment horizontal="left"/>
    </xf>
    <xf numFmtId="0" fontId="0" fillId="10" borderId="126" xfId="0" quotePrefix="1" applyNumberFormat="1" applyFill="1" applyBorder="1" applyAlignment="1">
      <alignment horizontal="left"/>
    </xf>
    <xf numFmtId="0" fontId="36" fillId="25" borderId="117" xfId="0" quotePrefix="1" applyNumberFormat="1" applyFont="1" applyFill="1" applyBorder="1" applyAlignment="1">
      <alignment horizontal="left" vertical="center"/>
    </xf>
    <xf numFmtId="0" fontId="0" fillId="12" borderId="99" xfId="0" quotePrefix="1" applyNumberFormat="1" applyFill="1" applyBorder="1" applyAlignment="1">
      <alignment horizontal="left"/>
    </xf>
    <xf numFmtId="0" fontId="0" fillId="12" borderId="126" xfId="0" quotePrefix="1" applyNumberFormat="1" applyFill="1" applyBorder="1" applyAlignment="1">
      <alignment horizontal="left"/>
    </xf>
    <xf numFmtId="0" fontId="0" fillId="13" borderId="126" xfId="0" quotePrefix="1" applyNumberFormat="1" applyFill="1" applyBorder="1" applyAlignment="1">
      <alignment horizontal="left"/>
    </xf>
    <xf numFmtId="0" fontId="36" fillId="29" borderId="126" xfId="0" quotePrefix="1" applyNumberFormat="1" applyFont="1" applyFill="1" applyBorder="1" applyAlignment="1">
      <alignment horizontal="left"/>
    </xf>
    <xf numFmtId="0" fontId="0" fillId="29" borderId="126" xfId="0" quotePrefix="1" applyNumberFormat="1" applyFill="1" applyBorder="1" applyAlignment="1">
      <alignment horizontal="left"/>
    </xf>
    <xf numFmtId="0" fontId="0" fillId="14" borderId="126" xfId="0" quotePrefix="1" applyNumberFormat="1" applyFill="1" applyBorder="1" applyAlignment="1">
      <alignment horizontal="left"/>
    </xf>
    <xf numFmtId="0" fontId="36" fillId="14" borderId="126" xfId="0" quotePrefix="1" applyNumberFormat="1" applyFont="1" applyFill="1" applyBorder="1" applyAlignment="1">
      <alignment horizontal="left" vertical="center"/>
    </xf>
    <xf numFmtId="0" fontId="36" fillId="14" borderId="126" xfId="0" quotePrefix="1" applyNumberFormat="1" applyFont="1" applyFill="1" applyBorder="1" applyAlignment="1">
      <alignment horizontal="left"/>
    </xf>
    <xf numFmtId="0" fontId="38" fillId="14" borderId="126" xfId="0" quotePrefix="1" applyNumberFormat="1" applyFont="1" applyFill="1" applyBorder="1" applyAlignment="1">
      <alignment horizontal="left"/>
    </xf>
    <xf numFmtId="0" fontId="44" fillId="14" borderId="126" xfId="0" quotePrefix="1" applyNumberFormat="1" applyFont="1" applyFill="1" applyBorder="1" applyAlignment="1">
      <alignment horizontal="left"/>
    </xf>
    <xf numFmtId="0" fontId="36" fillId="31" borderId="126" xfId="0" quotePrefix="1" applyNumberFormat="1" applyFont="1" applyFill="1" applyBorder="1" applyAlignment="1">
      <alignment horizontal="left" vertical="center"/>
    </xf>
    <xf numFmtId="0" fontId="36" fillId="22" borderId="126" xfId="0" quotePrefix="1" applyNumberFormat="1" applyFont="1" applyFill="1" applyBorder="1" applyAlignment="1">
      <alignment horizontal="left" vertical="center"/>
    </xf>
    <xf numFmtId="0" fontId="36" fillId="22" borderId="114" xfId="0" quotePrefix="1" applyNumberFormat="1" applyFont="1" applyFill="1" applyBorder="1" applyAlignment="1">
      <alignment horizontal="left" vertical="center"/>
    </xf>
    <xf numFmtId="0" fontId="36" fillId="23" borderId="99" xfId="0" quotePrefix="1" applyNumberFormat="1" applyFont="1" applyFill="1" applyBorder="1" applyAlignment="1">
      <alignment horizontal="left" vertical="center"/>
    </xf>
    <xf numFmtId="0" fontId="36" fillId="23" borderId="126" xfId="0" quotePrefix="1" applyNumberFormat="1" applyFont="1" applyFill="1" applyBorder="1" applyAlignment="1">
      <alignment horizontal="left" vertical="center"/>
    </xf>
    <xf numFmtId="0" fontId="36" fillId="23" borderId="10" xfId="0" quotePrefix="1" applyNumberFormat="1" applyFont="1" applyFill="1" applyBorder="1" applyAlignment="1">
      <alignment horizontal="left" vertical="center"/>
    </xf>
    <xf numFmtId="0" fontId="91" fillId="5" borderId="0" xfId="0" applyFont="1" applyFill="1" applyBorder="1" applyAlignment="1">
      <alignment horizontal="center" vertical="center"/>
    </xf>
    <xf numFmtId="0" fontId="19" fillId="5" borderId="0" xfId="0" applyFont="1" applyFill="1" applyBorder="1" applyAlignment="1">
      <alignment horizontal="center" vertical="center"/>
    </xf>
  </cellXfs>
  <cellStyles count="38">
    <cellStyle name="Lien hypertexte" xfId="34" builtinId="8"/>
    <cellStyle name="Monétaire" xfId="6" builtinId="4"/>
    <cellStyle name="Normal" xfId="0" builtinId="0"/>
    <cellStyle name="Normal 10" xfId="21" xr:uid="{00000000-0005-0000-0000-000002000000}"/>
    <cellStyle name="Normal 11" xfId="18" xr:uid="{00000000-0005-0000-0000-000003000000}"/>
    <cellStyle name="Normal 11 2" xfId="22" xr:uid="{00000000-0005-0000-0000-000004000000}"/>
    <cellStyle name="Normal 11 2 3 2" xfId="37" xr:uid="{00000000-0005-0000-0000-000005000000}"/>
    <cellStyle name="Normal 11 2 7" xfId="35" xr:uid="{00000000-0005-0000-0000-000006000000}"/>
    <cellStyle name="Normal 2" xfId="1" xr:uid="{00000000-0005-0000-0000-000007000000}"/>
    <cellStyle name="Normál 2" xfId="14" xr:uid="{00000000-0005-0000-0000-000008000000}"/>
    <cellStyle name="Normal 2 2" xfId="5" xr:uid="{00000000-0005-0000-0000-000009000000}"/>
    <cellStyle name="Normal 2 3" xfId="17" xr:uid="{00000000-0005-0000-0000-00000A000000}"/>
    <cellStyle name="Normál 24" xfId="30" xr:uid="{00000000-0005-0000-0000-00000B000000}"/>
    <cellStyle name="Normál 25" xfId="32" xr:uid="{00000000-0005-0000-0000-00000C000000}"/>
    <cellStyle name="Normál 26" xfId="27" xr:uid="{00000000-0005-0000-0000-00000D000000}"/>
    <cellStyle name="Normál 27" xfId="33" xr:uid="{00000000-0005-0000-0000-00000E000000}"/>
    <cellStyle name="Normal 3" xfId="3" xr:uid="{00000000-0005-0000-0000-00000F000000}"/>
    <cellStyle name="Normál 3" xfId="36" xr:uid="{00000000-0005-0000-0000-000010000000}"/>
    <cellStyle name="Normal 3 2" xfId="8" xr:uid="{00000000-0005-0000-0000-000011000000}"/>
    <cellStyle name="Normal 3 3" xfId="11" xr:uid="{00000000-0005-0000-0000-000012000000}"/>
    <cellStyle name="Normal 3 4" xfId="19" xr:uid="{00000000-0005-0000-0000-000013000000}"/>
    <cellStyle name="Normal 3 5" xfId="23" xr:uid="{00000000-0005-0000-0000-000014000000}"/>
    <cellStyle name="Normál 35" xfId="26" xr:uid="{00000000-0005-0000-0000-000015000000}"/>
    <cellStyle name="Normal 4" xfId="4" xr:uid="{00000000-0005-0000-0000-000016000000}"/>
    <cellStyle name="Normal 4 2" xfId="9" xr:uid="{00000000-0005-0000-0000-000017000000}"/>
    <cellStyle name="Normal 4 3" xfId="12" xr:uid="{00000000-0005-0000-0000-000018000000}"/>
    <cellStyle name="Normal 4 5" xfId="20" xr:uid="{00000000-0005-0000-0000-000019000000}"/>
    <cellStyle name="Normal 4 6" xfId="24" xr:uid="{00000000-0005-0000-0000-00001A000000}"/>
    <cellStyle name="Normál 40" xfId="31" xr:uid="{00000000-0005-0000-0000-00001B000000}"/>
    <cellStyle name="Normál 42" xfId="28" xr:uid="{00000000-0005-0000-0000-00001C000000}"/>
    <cellStyle name="Normál 46" xfId="29" xr:uid="{00000000-0005-0000-0000-00001D000000}"/>
    <cellStyle name="Normal 5" xfId="7" xr:uid="{00000000-0005-0000-0000-00001E000000}"/>
    <cellStyle name="Normal 6" xfId="10" xr:uid="{00000000-0005-0000-0000-00001F000000}"/>
    <cellStyle name="Normal 7" xfId="15" xr:uid="{00000000-0005-0000-0000-000020000000}"/>
    <cellStyle name="Normal 8" xfId="13" xr:uid="{00000000-0005-0000-0000-000021000000}"/>
    <cellStyle name="Normal 9" xfId="16" xr:uid="{00000000-0005-0000-0000-000022000000}"/>
    <cellStyle name="Normal_Kinetic matrix" xfId="2" xr:uid="{00000000-0005-0000-0000-000023000000}"/>
    <cellStyle name="Normal_States" xfId="25" xr:uid="{00000000-0005-0000-0000-000024000000}"/>
  </cellStyles>
  <dxfs count="40">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colors>
    <mruColors>
      <color rgb="FFFFFFCC"/>
      <color rgb="FFFFFFFF"/>
      <color rgb="FF333333"/>
      <color rgb="FF498787"/>
      <color rgb="FF499687"/>
      <color rgb="FF498F87"/>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95250</xdr:colOff>
      <xdr:row>0</xdr:row>
      <xdr:rowOff>85725</xdr:rowOff>
    </xdr:from>
    <xdr:to>
      <xdr:col>4</xdr:col>
      <xdr:colOff>1095375</xdr:colOff>
      <xdr:row>0</xdr:row>
      <xdr:rowOff>485775</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2047875" y="85725"/>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235</xdr:row>
      <xdr:rowOff>58232</xdr:rowOff>
    </xdr:from>
    <xdr:ext cx="5000625" cy="833438"/>
    <xdr:pic>
      <xdr:nvPicPr>
        <xdr:cNvPr id="9" name="Picture 1">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231</xdr:row>
      <xdr:rowOff>80341</xdr:rowOff>
    </xdr:from>
    <xdr:ext cx="3455193" cy="622300"/>
    <xdr:pic>
      <xdr:nvPicPr>
        <xdr:cNvPr id="10" name="Picture 2">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143</xdr:row>
      <xdr:rowOff>114300</xdr:rowOff>
    </xdr:from>
    <xdr:to>
      <xdr:col>5</xdr:col>
      <xdr:colOff>476251</xdr:colOff>
      <xdr:row>146</xdr:row>
      <xdr:rowOff>133350</xdr:rowOff>
    </xdr:to>
    <xdr:sp macro="" textlink="">
      <xdr:nvSpPr>
        <xdr:cNvPr id="11" name="Curved Up Arrow 3">
          <a:extLst>
            <a:ext uri="{FF2B5EF4-FFF2-40B4-BE49-F238E27FC236}">
              <a16:creationId xmlns:a16="http://schemas.microsoft.com/office/drawing/2014/main" id="{00000000-0008-0000-0000-00000B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2</xdr:row>
      <xdr:rowOff>0</xdr:rowOff>
    </xdr:from>
    <xdr:to>
      <xdr:col>15</xdr:col>
      <xdr:colOff>213370</xdr:colOff>
      <xdr:row>10</xdr:row>
      <xdr:rowOff>91443</xdr:rowOff>
    </xdr:to>
    <xdr:pic>
      <xdr:nvPicPr>
        <xdr:cNvPr id="5" name="Kép 4">
          <a:extLst>
            <a:ext uri="{FF2B5EF4-FFF2-40B4-BE49-F238E27FC236}">
              <a16:creationId xmlns:a16="http://schemas.microsoft.com/office/drawing/2014/main" id="{58669A03-5586-86FA-3169-5BC4C827537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063740" y="777240"/>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18229</xdr:colOff>
      <xdr:row>0</xdr:row>
      <xdr:rowOff>56329</xdr:rowOff>
    </xdr:from>
    <xdr:to>
      <xdr:col>2</xdr:col>
      <xdr:colOff>419198</xdr:colOff>
      <xdr:row>0</xdr:row>
      <xdr:rowOff>592905</xdr:rowOff>
    </xdr:to>
    <xdr:sp macro="[0]!bt_checkusages" textlink="">
      <xdr:nvSpPr>
        <xdr:cNvPr id="2" name="bt_chkunused">
          <a:extLst>
            <a:ext uri="{FF2B5EF4-FFF2-40B4-BE49-F238E27FC236}">
              <a16:creationId xmlns:a16="http://schemas.microsoft.com/office/drawing/2014/main" id="{00000000-0008-0000-0100-000002000000}"/>
            </a:ext>
          </a:extLst>
        </xdr:cNvPr>
        <xdr:cNvSpPr/>
      </xdr:nvSpPr>
      <xdr:spPr>
        <a:xfrm>
          <a:off x="590550" y="57150"/>
          <a:ext cx="1438275"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136973</xdr:colOff>
      <xdr:row>0</xdr:row>
      <xdr:rowOff>58603</xdr:rowOff>
    </xdr:from>
    <xdr:to>
      <xdr:col>3</xdr:col>
      <xdr:colOff>618211</xdr:colOff>
      <xdr:row>0</xdr:row>
      <xdr:rowOff>595179</xdr:rowOff>
    </xdr:to>
    <xdr:sp macro="[0]!bt_chkcont_click" textlink="">
      <xdr:nvSpPr>
        <xdr:cNvPr id="2" name="bt_chkcont">
          <a:extLst>
            <a:ext uri="{FF2B5EF4-FFF2-40B4-BE49-F238E27FC236}">
              <a16:creationId xmlns:a16="http://schemas.microsoft.com/office/drawing/2014/main" id="{00000000-0008-0000-0300-000002000000}"/>
            </a:ext>
          </a:extLst>
        </xdr:cNvPr>
        <xdr:cNvSpPr/>
      </xdr:nvSpPr>
      <xdr:spPr>
        <a:xfrm>
          <a:off x="339989" y="63500"/>
          <a:ext cx="1430338" cy="531813"/>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976179</xdr:colOff>
      <xdr:row>0</xdr:row>
      <xdr:rowOff>63274</xdr:rowOff>
    </xdr:from>
    <xdr:to>
      <xdr:col>3</xdr:col>
      <xdr:colOff>2421281</xdr:colOff>
      <xdr:row>0</xdr:row>
      <xdr:rowOff>595087</xdr:rowOff>
    </xdr:to>
    <xdr:sp macro="[0]!bt_chkcont_norates_click" textlink="">
      <xdr:nvSpPr>
        <xdr:cNvPr id="3" name="bt_chkcont">
          <a:extLst>
            <a:ext uri="{FF2B5EF4-FFF2-40B4-BE49-F238E27FC236}">
              <a16:creationId xmlns:a16="http://schemas.microsoft.com/office/drawing/2014/main" id="{00000000-0008-0000-0300-000003000000}"/>
            </a:ext>
          </a:extLst>
        </xdr:cNvPr>
        <xdr:cNvSpPr/>
      </xdr:nvSpPr>
      <xdr:spPr>
        <a:xfrm>
          <a:off x="2142039" y="63274"/>
          <a:ext cx="144510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1</xdr:col>
      <xdr:colOff>497681</xdr:colOff>
      <xdr:row>0</xdr:row>
      <xdr:rowOff>466725</xdr:rowOff>
    </xdr:to>
    <xdr:sp macro="[0]!bt_pewpph" textlink="">
      <xdr:nvSpPr>
        <xdr:cNvPr id="2" name="bt_prepph">
          <a:extLst>
            <a:ext uri="{FF2B5EF4-FFF2-40B4-BE49-F238E27FC236}">
              <a16:creationId xmlns:a16="http://schemas.microsoft.com/office/drawing/2014/main" id="{00000000-0008-0000-0400-000002000000}"/>
            </a:ext>
          </a:extLst>
        </xdr:cNvPr>
        <xdr:cNvSpPr/>
      </xdr:nvSpPr>
      <xdr:spPr>
        <a:xfrm>
          <a:off x="190500" y="95250"/>
          <a:ext cx="1485900" cy="37147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0</xdr:row>
      <xdr:rowOff>83815</xdr:rowOff>
    </xdr:from>
    <xdr:to>
      <xdr:col>2</xdr:col>
      <xdr:colOff>365750</xdr:colOff>
      <xdr:row>0</xdr:row>
      <xdr:rowOff>525775</xdr:rowOff>
    </xdr:to>
    <xdr:sp macro="[0]!bt_crkinma_click" textlink="">
      <xdr:nvSpPr>
        <xdr:cNvPr id="2" name="bt_crkinma">
          <a:extLst>
            <a:ext uri="{FF2B5EF4-FFF2-40B4-BE49-F238E27FC236}">
              <a16:creationId xmlns:a16="http://schemas.microsoft.com/office/drawing/2014/main" id="{00000000-0008-0000-06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518150</xdr:colOff>
      <xdr:row>0</xdr:row>
      <xdr:rowOff>99050</xdr:rowOff>
    </xdr:from>
    <xdr:to>
      <xdr:col>2</xdr:col>
      <xdr:colOff>2095500</xdr:colOff>
      <xdr:row>0</xdr:row>
      <xdr:rowOff>525775</xdr:rowOff>
    </xdr:to>
    <xdr:sp macro="[0]!bt_chkst_click" textlink="">
      <xdr:nvSpPr>
        <xdr:cNvPr id="3" name="bt_chkst">
          <a:extLst>
            <a:ext uri="{FF2B5EF4-FFF2-40B4-BE49-F238E27FC236}">
              <a16:creationId xmlns:a16="http://schemas.microsoft.com/office/drawing/2014/main" id="{00000000-0008-0000-0600-000003000000}"/>
            </a:ext>
          </a:extLst>
        </xdr:cNvPr>
        <xdr:cNvSpPr/>
      </xdr:nvSpPr>
      <xdr:spPr>
        <a:xfrm>
          <a:off x="179070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7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228600</xdr:colOff>
      <xdr:row>0</xdr:row>
      <xdr:rowOff>182881</xdr:rowOff>
    </xdr:from>
    <xdr:to>
      <xdr:col>1</xdr:col>
      <xdr:colOff>1464263</xdr:colOff>
      <xdr:row>0</xdr:row>
      <xdr:rowOff>549863</xdr:rowOff>
    </xdr:to>
    <xdr:sp macro="[0]!bt_calcvar" textlink="">
      <xdr:nvSpPr>
        <xdr:cNvPr id="2" name="bt_calc">
          <a:extLst>
            <a:ext uri="{FF2B5EF4-FFF2-40B4-BE49-F238E27FC236}">
              <a16:creationId xmlns:a16="http://schemas.microsoft.com/office/drawing/2014/main" id="{00000000-0008-0000-09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11906</xdr:colOff>
      <xdr:row>0</xdr:row>
      <xdr:rowOff>0</xdr:rowOff>
    </xdr:from>
    <xdr:to>
      <xdr:col>1</xdr:col>
      <xdr:colOff>1497806</xdr:colOff>
      <xdr:row>2</xdr:row>
      <xdr:rowOff>111919</xdr:rowOff>
    </xdr:to>
    <xdr:sp macro="[0]!CreateFunctions" textlink="">
      <xdr:nvSpPr>
        <xdr:cNvPr id="2" name="bt_crfunc">
          <a:extLst>
            <a:ext uri="{FF2B5EF4-FFF2-40B4-BE49-F238E27FC236}">
              <a16:creationId xmlns:a16="http://schemas.microsoft.com/office/drawing/2014/main" id="{00000000-0008-0000-0A00-000002000000}"/>
            </a:ext>
          </a:extLst>
        </xdr:cNvPr>
        <xdr:cNvSpPr/>
      </xdr:nvSpPr>
      <xdr:spPr>
        <a:xfrm>
          <a:off x="390525" y="0"/>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D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F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2" name="bt_creqma">
          <a:extLst>
            <a:ext uri="{FF2B5EF4-FFF2-40B4-BE49-F238E27FC236}">
              <a16:creationId xmlns:a16="http://schemas.microsoft.com/office/drawing/2014/main" id="{00000000-0008-0000-1100-000002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390525</xdr:colOff>
      <xdr:row>0</xdr:row>
      <xdr:rowOff>400050</xdr:rowOff>
    </xdr:to>
    <xdr:sp macro="[0]!bt_chksp_click" textlink="">
      <xdr:nvSpPr>
        <xdr:cNvPr id="3" name="bt_chksp">
          <a:extLst>
            <a:ext uri="{FF2B5EF4-FFF2-40B4-BE49-F238E27FC236}">
              <a16:creationId xmlns:a16="http://schemas.microsoft.com/office/drawing/2014/main" id="{00000000-0008-0000-1100-000003000000}"/>
            </a:ext>
          </a:extLst>
        </xdr:cNvPr>
        <xdr:cNvSpPr/>
      </xdr:nvSpPr>
      <xdr:spPr>
        <a:xfrm>
          <a:off x="3495675" y="0"/>
          <a:ext cx="1609725" cy="40005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persons/person.xml><?xml version="1.0" encoding="utf-8"?>
<personList xmlns="http://schemas.microsoft.com/office/spreadsheetml/2018/threadedcomments" xmlns:x="http://schemas.openxmlformats.org/spreadsheetml/2006/main">
  <person displayName="Ferenc Házi" id="{95C9DB7E-438A-46CC-ADC8-0F772C4EAD00}" userId="09190b45b532d636" providerId="Windows Liv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5" dT="2020-02-03T15:48:49.14" personId="{95C9DB7E-438A-46CC-ADC8-0F772C4EAD00}" id="{99C203CF-3915-4DDE-80E4-116C41C8A572}">
    <text>+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7.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40" Type="http://schemas.openxmlformats.org/officeDocument/2006/relationships/drawing" Target="../drawings/drawing8.xm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NH3&amp;NoIon=on&amp;Units=SI&amp;cSO=on" TargetMode="External"/><Relationship Id="rId7" Type="http://schemas.openxmlformats.org/officeDocument/2006/relationships/hyperlink" Target="http://webbook.nist.gov/cgi/cbook.cgi?Formula=H2&amp;NoIon=on&amp;Units=SI&amp;cSO=on" TargetMode="External"/><Relationship Id="rId12" Type="http://schemas.openxmlformats.org/officeDocument/2006/relationships/printerSettings" Target="../printerSettings/printerSettings8.bin"/><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ID=C7782447&amp;Mask=10"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hyperlink" Target="http://webbook.nist.gov/cgi/cbook.cgi?ID=C124389&amp;Mask=10" TargetMode="External"/><Relationship Id="rId5" Type="http://schemas.openxmlformats.org/officeDocument/2006/relationships/hyperlink" Target="http://webbook.nist.gov/cgi/cbook.cgi?Formula=H2S&amp;NoIon=on&amp;Units=SI&amp;cSO=on" TargetMode="External"/><Relationship Id="rId10" Type="http://schemas.openxmlformats.org/officeDocument/2006/relationships/hyperlink" Target="http://www.vias.org/genchem/standard_enthalpies_table.html"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ebbook.nist.gov/cgi/cbook.cgi?Formula=CH4&amp;NoIon=on&amp;Units=SI&amp;cSO=o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L255"/>
  <sheetViews>
    <sheetView showGridLines="0" tabSelected="1" workbookViewId="0">
      <selection activeCell="G22" sqref="G22"/>
    </sheetView>
  </sheetViews>
  <sheetFormatPr baseColWidth="10" defaultColWidth="9.140625" defaultRowHeight="15" x14ac:dyDescent="0.25"/>
  <cols>
    <col min="1" max="1" width="3.85546875" customWidth="1"/>
    <col min="2" max="2" width="13.140625" customWidth="1"/>
    <col min="3" max="3" width="12.28515625" customWidth="1"/>
    <col min="5" max="5" width="25.28515625" customWidth="1"/>
    <col min="6" max="6" width="25.85546875" customWidth="1"/>
    <col min="7" max="7" width="13.28515625" customWidth="1"/>
    <col min="14" max="14" width="5.140625" customWidth="1"/>
  </cols>
  <sheetData>
    <row r="1" spans="1:10" s="42" customFormat="1" ht="47.25" customHeight="1" x14ac:dyDescent="0.25"/>
    <row r="3" spans="1:10" x14ac:dyDescent="0.25">
      <c r="B3" s="47" t="s">
        <v>150</v>
      </c>
      <c r="C3" s="1" t="s">
        <v>358</v>
      </c>
      <c r="D3" t="s">
        <v>2214</v>
      </c>
    </row>
    <row r="4" spans="1:10" x14ac:dyDescent="0.25">
      <c r="D4" t="s">
        <v>283</v>
      </c>
    </row>
    <row r="5" spans="1:10" x14ac:dyDescent="0.25">
      <c r="D5" t="s">
        <v>284</v>
      </c>
    </row>
    <row r="6" spans="1:10" x14ac:dyDescent="0.25">
      <c r="D6" t="s">
        <v>259</v>
      </c>
    </row>
    <row r="7" spans="1:10" x14ac:dyDescent="0.25">
      <c r="D7" t="s">
        <v>344</v>
      </c>
    </row>
    <row r="8" spans="1:10" x14ac:dyDescent="0.25">
      <c r="D8" t="s">
        <v>357</v>
      </c>
    </row>
    <row r="12" spans="1:10" x14ac:dyDescent="0.25">
      <c r="H12" s="666" t="s">
        <v>2128</v>
      </c>
    </row>
    <row r="14" spans="1:10" x14ac:dyDescent="0.25">
      <c r="B14" s="47" t="s">
        <v>24</v>
      </c>
      <c r="C14" s="48"/>
      <c r="H14" s="47" t="s">
        <v>209</v>
      </c>
      <c r="I14" s="48"/>
      <c r="J14" s="48"/>
    </row>
    <row r="15" spans="1:10" x14ac:dyDescent="0.25">
      <c r="A15" s="211" t="s">
        <v>974</v>
      </c>
      <c r="H15">
        <v>1</v>
      </c>
      <c r="I15" t="s">
        <v>210</v>
      </c>
    </row>
    <row r="16" spans="1:10" x14ac:dyDescent="0.25">
      <c r="A16">
        <v>1</v>
      </c>
      <c r="B16" t="s">
        <v>975</v>
      </c>
      <c r="H16">
        <v>2</v>
      </c>
      <c r="I16" t="s">
        <v>2111</v>
      </c>
    </row>
    <row r="17" spans="1:5" x14ac:dyDescent="0.25">
      <c r="A17">
        <v>2</v>
      </c>
      <c r="B17" t="s">
        <v>976</v>
      </c>
    </row>
    <row r="18" spans="1:5" x14ac:dyDescent="0.25">
      <c r="B18">
        <v>1</v>
      </c>
      <c r="C18" t="s">
        <v>977</v>
      </c>
    </row>
    <row r="19" spans="1:5" x14ac:dyDescent="0.25">
      <c r="B19">
        <v>2</v>
      </c>
      <c r="C19" t="s">
        <v>978</v>
      </c>
    </row>
    <row r="20" spans="1:5" x14ac:dyDescent="0.25">
      <c r="B20">
        <v>3</v>
      </c>
      <c r="C20" t="s">
        <v>979</v>
      </c>
    </row>
    <row r="21" spans="1:5" x14ac:dyDescent="0.25">
      <c r="B21">
        <v>4</v>
      </c>
      <c r="C21" t="s">
        <v>980</v>
      </c>
    </row>
    <row r="22" spans="1:5" x14ac:dyDescent="0.25">
      <c r="B22">
        <v>5</v>
      </c>
      <c r="C22" t="s">
        <v>981</v>
      </c>
    </row>
    <row r="23" spans="1:5" x14ac:dyDescent="0.25">
      <c r="A23">
        <v>3</v>
      </c>
      <c r="B23" t="s">
        <v>982</v>
      </c>
    </row>
    <row r="24" spans="1:5" x14ac:dyDescent="0.25">
      <c r="C24" t="s">
        <v>983</v>
      </c>
    </row>
    <row r="26" spans="1:5" x14ac:dyDescent="0.25">
      <c r="A26" s="1" t="s">
        <v>25</v>
      </c>
      <c r="B26" s="1" t="s">
        <v>26</v>
      </c>
    </row>
    <row r="27" spans="1:5" x14ac:dyDescent="0.25">
      <c r="B27">
        <v>1</v>
      </c>
      <c r="C27" t="s">
        <v>756</v>
      </c>
    </row>
    <row r="28" spans="1:5" x14ac:dyDescent="0.25">
      <c r="D28" t="s">
        <v>27</v>
      </c>
    </row>
    <row r="29" spans="1:5" x14ac:dyDescent="0.25">
      <c r="D29">
        <v>1</v>
      </c>
      <c r="E29" t="s">
        <v>28</v>
      </c>
    </row>
    <row r="30" spans="1:5" x14ac:dyDescent="0.25">
      <c r="D30">
        <v>2</v>
      </c>
      <c r="E30" t="s">
        <v>98</v>
      </c>
    </row>
    <row r="31" spans="1:5" x14ac:dyDescent="0.25">
      <c r="D31">
        <v>3</v>
      </c>
      <c r="E31" t="s">
        <v>151</v>
      </c>
    </row>
    <row r="32" spans="1:5" x14ac:dyDescent="0.25">
      <c r="D32">
        <v>4</v>
      </c>
      <c r="E32" t="s">
        <v>30</v>
      </c>
    </row>
    <row r="33" spans="2:5" x14ac:dyDescent="0.25">
      <c r="B33">
        <v>2</v>
      </c>
      <c r="C33" t="s">
        <v>757</v>
      </c>
    </row>
    <row r="34" spans="2:5" x14ac:dyDescent="0.25">
      <c r="D34">
        <v>1</v>
      </c>
      <c r="E34" t="s">
        <v>31</v>
      </c>
    </row>
    <row r="35" spans="2:5" x14ac:dyDescent="0.25">
      <c r="D35">
        <v>2</v>
      </c>
      <c r="E35" t="s">
        <v>152</v>
      </c>
    </row>
    <row r="36" spans="2:5" x14ac:dyDescent="0.25">
      <c r="D36">
        <v>3</v>
      </c>
      <c r="E36" t="s">
        <v>153</v>
      </c>
    </row>
    <row r="37" spans="2:5" x14ac:dyDescent="0.25">
      <c r="D37">
        <v>3</v>
      </c>
      <c r="E37" t="s">
        <v>154</v>
      </c>
    </row>
    <row r="38" spans="2:5" x14ac:dyDescent="0.25">
      <c r="D38">
        <v>4</v>
      </c>
      <c r="E38" t="s">
        <v>155</v>
      </c>
    </row>
    <row r="39" spans="2:5" x14ac:dyDescent="0.25">
      <c r="D39" s="565" t="s">
        <v>156</v>
      </c>
      <c r="E39" t="s">
        <v>33</v>
      </c>
    </row>
    <row r="40" spans="2:5" x14ac:dyDescent="0.25">
      <c r="D40">
        <v>6</v>
      </c>
      <c r="E40" t="s">
        <v>34</v>
      </c>
    </row>
    <row r="41" spans="2:5" x14ac:dyDescent="0.25">
      <c r="B41">
        <v>3</v>
      </c>
      <c r="C41" t="s">
        <v>35</v>
      </c>
    </row>
    <row r="42" spans="2:5" x14ac:dyDescent="0.25">
      <c r="D42">
        <v>1</v>
      </c>
      <c r="E42" t="s">
        <v>36</v>
      </c>
    </row>
    <row r="43" spans="2:5" x14ac:dyDescent="0.25">
      <c r="D43">
        <v>2</v>
      </c>
      <c r="E43" t="s">
        <v>37</v>
      </c>
    </row>
    <row r="44" spans="2:5" x14ac:dyDescent="0.25">
      <c r="D44">
        <v>3</v>
      </c>
      <c r="E44" t="s">
        <v>38</v>
      </c>
    </row>
    <row r="45" spans="2:5" x14ac:dyDescent="0.25">
      <c r="B45">
        <v>4</v>
      </c>
      <c r="C45" t="s">
        <v>157</v>
      </c>
    </row>
    <row r="46" spans="2:5" x14ac:dyDescent="0.25">
      <c r="D46">
        <v>1</v>
      </c>
      <c r="E46" t="s">
        <v>158</v>
      </c>
    </row>
    <row r="47" spans="2:5" x14ac:dyDescent="0.25">
      <c r="B47">
        <v>5</v>
      </c>
      <c r="C47" t="s">
        <v>757</v>
      </c>
    </row>
    <row r="48" spans="2:5" x14ac:dyDescent="0.25">
      <c r="D48">
        <v>1</v>
      </c>
      <c r="E48" t="s">
        <v>39</v>
      </c>
    </row>
    <row r="49" spans="2:10" x14ac:dyDescent="0.25">
      <c r="D49">
        <v>2</v>
      </c>
      <c r="E49" t="s">
        <v>96</v>
      </c>
    </row>
    <row r="50" spans="2:10" x14ac:dyDescent="0.25">
      <c r="D50">
        <v>3</v>
      </c>
      <c r="E50" t="s">
        <v>40</v>
      </c>
    </row>
    <row r="51" spans="2:10" x14ac:dyDescent="0.25">
      <c r="B51">
        <v>6</v>
      </c>
      <c r="C51" t="s">
        <v>2112</v>
      </c>
      <c r="J51" s="212"/>
    </row>
    <row r="52" spans="2:10" x14ac:dyDescent="0.25">
      <c r="D52">
        <v>1</v>
      </c>
      <c r="E52" t="s">
        <v>2113</v>
      </c>
    </row>
    <row r="53" spans="2:10" x14ac:dyDescent="0.25">
      <c r="D53">
        <v>2</v>
      </c>
      <c r="E53" t="s">
        <v>2114</v>
      </c>
    </row>
    <row r="54" spans="2:10" x14ac:dyDescent="0.25">
      <c r="D54">
        <v>3</v>
      </c>
      <c r="E54" t="s">
        <v>2115</v>
      </c>
    </row>
    <row r="55" spans="2:10" x14ac:dyDescent="0.25">
      <c r="D55">
        <v>4</v>
      </c>
      <c r="E55" t="s">
        <v>2116</v>
      </c>
    </row>
    <row r="57" spans="2:10" x14ac:dyDescent="0.25">
      <c r="B57" s="1" t="s">
        <v>758</v>
      </c>
    </row>
    <row r="58" spans="2:10" x14ac:dyDescent="0.25">
      <c r="B58">
        <v>1</v>
      </c>
      <c r="C58" t="s">
        <v>759</v>
      </c>
    </row>
    <row r="59" spans="2:10" x14ac:dyDescent="0.25">
      <c r="D59" t="s">
        <v>41</v>
      </c>
    </row>
    <row r="60" spans="2:10" x14ac:dyDescent="0.25">
      <c r="D60">
        <v>1</v>
      </c>
      <c r="E60" t="s">
        <v>42</v>
      </c>
    </row>
    <row r="61" spans="2:10" x14ac:dyDescent="0.25">
      <c r="D61">
        <v>2</v>
      </c>
      <c r="E61" t="s">
        <v>43</v>
      </c>
    </row>
    <row r="62" spans="2:10" x14ac:dyDescent="0.25">
      <c r="D62">
        <v>3</v>
      </c>
      <c r="E62" t="s">
        <v>116</v>
      </c>
    </row>
    <row r="63" spans="2:10" x14ac:dyDescent="0.25">
      <c r="D63">
        <v>4</v>
      </c>
      <c r="E63" t="s">
        <v>2117</v>
      </c>
    </row>
    <row r="64" spans="2:10" x14ac:dyDescent="0.25">
      <c r="B64">
        <v>2</v>
      </c>
      <c r="C64" t="s">
        <v>760</v>
      </c>
    </row>
    <row r="65" spans="1:5" x14ac:dyDescent="0.25">
      <c r="D65">
        <v>1</v>
      </c>
      <c r="E65" t="s">
        <v>159</v>
      </c>
    </row>
    <row r="66" spans="1:5" x14ac:dyDescent="0.25">
      <c r="D66">
        <v>2</v>
      </c>
      <c r="E66" t="s">
        <v>160</v>
      </c>
    </row>
    <row r="67" spans="1:5" x14ac:dyDescent="0.25">
      <c r="B67">
        <v>3</v>
      </c>
      <c r="C67" t="s">
        <v>2118</v>
      </c>
    </row>
    <row r="68" spans="1:5" x14ac:dyDescent="0.25">
      <c r="D68">
        <v>1</v>
      </c>
      <c r="E68" t="s">
        <v>2119</v>
      </c>
    </row>
    <row r="69" spans="1:5" x14ac:dyDescent="0.25">
      <c r="B69">
        <v>4</v>
      </c>
      <c r="C69" t="s">
        <v>2120</v>
      </c>
    </row>
    <row r="70" spans="1:5" x14ac:dyDescent="0.25">
      <c r="D70">
        <v>1</v>
      </c>
      <c r="E70" t="s">
        <v>2121</v>
      </c>
    </row>
    <row r="71" spans="1:5" x14ac:dyDescent="0.25">
      <c r="D71">
        <v>2</v>
      </c>
      <c r="E71" t="s">
        <v>2122</v>
      </c>
    </row>
    <row r="72" spans="1:5" x14ac:dyDescent="0.25">
      <c r="D72">
        <v>3</v>
      </c>
      <c r="E72" t="s">
        <v>2123</v>
      </c>
    </row>
    <row r="74" spans="1:5" x14ac:dyDescent="0.25">
      <c r="B74">
        <v>5</v>
      </c>
      <c r="C74" t="s">
        <v>760</v>
      </c>
    </row>
    <row r="75" spans="1:5" x14ac:dyDescent="0.25">
      <c r="D75">
        <v>1</v>
      </c>
      <c r="E75" t="s">
        <v>44</v>
      </c>
    </row>
    <row r="76" spans="1:5" x14ac:dyDescent="0.25">
      <c r="D76">
        <v>2</v>
      </c>
      <c r="E76" t="s">
        <v>161</v>
      </c>
    </row>
    <row r="78" spans="1:5" x14ac:dyDescent="0.25">
      <c r="A78" s="1" t="s">
        <v>45</v>
      </c>
      <c r="B78" s="1" t="s">
        <v>46</v>
      </c>
    </row>
    <row r="79" spans="1:5" x14ac:dyDescent="0.25">
      <c r="B79">
        <v>1</v>
      </c>
      <c r="C79" t="s">
        <v>756</v>
      </c>
    </row>
    <row r="80" spans="1:5" x14ac:dyDescent="0.25">
      <c r="D80" t="s">
        <v>27</v>
      </c>
    </row>
    <row r="81" spans="2:6" x14ac:dyDescent="0.25">
      <c r="D81">
        <v>1</v>
      </c>
      <c r="E81" t="s">
        <v>47</v>
      </c>
    </row>
    <row r="82" spans="2:6" x14ac:dyDescent="0.25">
      <c r="D82">
        <v>2</v>
      </c>
      <c r="E82" t="s">
        <v>99</v>
      </c>
    </row>
    <row r="83" spans="2:6" x14ac:dyDescent="0.25">
      <c r="D83">
        <v>3</v>
      </c>
      <c r="E83" t="s">
        <v>29</v>
      </c>
    </row>
    <row r="84" spans="2:6" x14ac:dyDescent="0.25">
      <c r="E84" s="566" t="s">
        <v>48</v>
      </c>
      <c r="F84" t="s">
        <v>49</v>
      </c>
    </row>
    <row r="85" spans="2:6" x14ac:dyDescent="0.25">
      <c r="E85" s="566" t="s">
        <v>50</v>
      </c>
      <c r="F85" t="s">
        <v>2124</v>
      </c>
    </row>
    <row r="86" spans="2:6" x14ac:dyDescent="0.25">
      <c r="F86" t="s">
        <v>51</v>
      </c>
    </row>
    <row r="87" spans="2:6" x14ac:dyDescent="0.25">
      <c r="B87">
        <v>2</v>
      </c>
      <c r="C87" t="s">
        <v>757</v>
      </c>
    </row>
    <row r="88" spans="2:6" x14ac:dyDescent="0.25">
      <c r="D88">
        <v>1</v>
      </c>
      <c r="E88" t="s">
        <v>52</v>
      </c>
    </row>
    <row r="89" spans="2:6" x14ac:dyDescent="0.25">
      <c r="D89">
        <v>2</v>
      </c>
      <c r="E89" t="s">
        <v>152</v>
      </c>
    </row>
    <row r="90" spans="2:6" x14ac:dyDescent="0.25">
      <c r="D90" s="565" t="s">
        <v>32</v>
      </c>
      <c r="E90" t="s">
        <v>33</v>
      </c>
    </row>
    <row r="91" spans="2:6" x14ac:dyDescent="0.25">
      <c r="D91">
        <v>4</v>
      </c>
      <c r="E91" t="s">
        <v>53</v>
      </c>
    </row>
    <row r="92" spans="2:6" x14ac:dyDescent="0.25">
      <c r="B92">
        <v>3</v>
      </c>
      <c r="C92" t="s">
        <v>35</v>
      </c>
    </row>
    <row r="93" spans="2:6" x14ac:dyDescent="0.25">
      <c r="D93">
        <v>1</v>
      </c>
      <c r="E93" t="s">
        <v>54</v>
      </c>
    </row>
    <row r="94" spans="2:6" x14ac:dyDescent="0.25">
      <c r="D94">
        <v>2</v>
      </c>
      <c r="E94" t="s">
        <v>37</v>
      </c>
    </row>
    <row r="95" spans="2:6" x14ac:dyDescent="0.25">
      <c r="D95">
        <v>3</v>
      </c>
      <c r="E95" t="s">
        <v>38</v>
      </c>
    </row>
    <row r="96" spans="2:6" x14ac:dyDescent="0.25">
      <c r="B96">
        <v>4</v>
      </c>
      <c r="C96" t="s">
        <v>157</v>
      </c>
    </row>
    <row r="97" spans="2:10" x14ac:dyDescent="0.25">
      <c r="D97">
        <v>1</v>
      </c>
      <c r="E97" t="s">
        <v>158</v>
      </c>
    </row>
    <row r="98" spans="2:10" x14ac:dyDescent="0.25">
      <c r="B98">
        <v>5</v>
      </c>
      <c r="C98" t="s">
        <v>757</v>
      </c>
    </row>
    <row r="99" spans="2:10" x14ac:dyDescent="0.25">
      <c r="D99">
        <v>1</v>
      </c>
      <c r="E99" t="s">
        <v>39</v>
      </c>
    </row>
    <row r="100" spans="2:10" x14ac:dyDescent="0.25">
      <c r="D100">
        <v>2</v>
      </c>
      <c r="E100" t="s">
        <v>96</v>
      </c>
    </row>
    <row r="101" spans="2:10" x14ac:dyDescent="0.25">
      <c r="D101">
        <v>3</v>
      </c>
      <c r="E101" t="s">
        <v>40</v>
      </c>
      <c r="J101" s="212"/>
    </row>
    <row r="102" spans="2:10" x14ac:dyDescent="0.25">
      <c r="B102">
        <v>6</v>
      </c>
      <c r="C102" t="s">
        <v>2112</v>
      </c>
    </row>
    <row r="103" spans="2:10" x14ac:dyDescent="0.25">
      <c r="D103">
        <v>1</v>
      </c>
      <c r="E103" t="s">
        <v>2113</v>
      </c>
    </row>
    <row r="104" spans="2:10" x14ac:dyDescent="0.25">
      <c r="D104">
        <v>2</v>
      </c>
      <c r="E104" t="s">
        <v>2114</v>
      </c>
    </row>
    <row r="105" spans="2:10" x14ac:dyDescent="0.25">
      <c r="D105">
        <v>3</v>
      </c>
      <c r="E105" t="s">
        <v>2115</v>
      </c>
    </row>
    <row r="106" spans="2:10" x14ac:dyDescent="0.25">
      <c r="D106">
        <v>4</v>
      </c>
      <c r="E106" t="s">
        <v>2116</v>
      </c>
    </row>
    <row r="107" spans="2:10" x14ac:dyDescent="0.25">
      <c r="B107" s="1" t="s">
        <v>55</v>
      </c>
    </row>
    <row r="108" spans="2:10" x14ac:dyDescent="0.25">
      <c r="B108">
        <v>1</v>
      </c>
      <c r="C108" t="s">
        <v>759</v>
      </c>
    </row>
    <row r="109" spans="2:10" x14ac:dyDescent="0.25">
      <c r="D109" t="s">
        <v>41</v>
      </c>
    </row>
    <row r="110" spans="2:10" x14ac:dyDescent="0.25">
      <c r="D110">
        <v>1</v>
      </c>
      <c r="E110" t="s">
        <v>56</v>
      </c>
    </row>
    <row r="111" spans="2:10" x14ac:dyDescent="0.25">
      <c r="D111">
        <v>2</v>
      </c>
      <c r="E111" t="s">
        <v>43</v>
      </c>
    </row>
    <row r="112" spans="2:10" x14ac:dyDescent="0.25">
      <c r="E112" s="566" t="s">
        <v>48</v>
      </c>
      <c r="F112" t="s">
        <v>57</v>
      </c>
    </row>
    <row r="113" spans="2:6" x14ac:dyDescent="0.25">
      <c r="E113" s="566" t="s">
        <v>50</v>
      </c>
      <c r="F113" t="s">
        <v>58</v>
      </c>
    </row>
    <row r="114" spans="2:6" x14ac:dyDescent="0.25">
      <c r="F114" t="s">
        <v>59</v>
      </c>
    </row>
    <row r="115" spans="2:6" x14ac:dyDescent="0.25">
      <c r="D115">
        <v>3</v>
      </c>
      <c r="E115" t="s">
        <v>2117</v>
      </c>
    </row>
    <row r="116" spans="2:6" x14ac:dyDescent="0.25">
      <c r="B116">
        <v>2</v>
      </c>
      <c r="C116" t="s">
        <v>760</v>
      </c>
    </row>
    <row r="117" spans="2:6" x14ac:dyDescent="0.25">
      <c r="D117">
        <v>1</v>
      </c>
      <c r="E117" t="s">
        <v>60</v>
      </c>
    </row>
    <row r="118" spans="2:6" x14ac:dyDescent="0.25">
      <c r="D118">
        <v>2</v>
      </c>
      <c r="E118" t="s">
        <v>160</v>
      </c>
    </row>
    <row r="119" spans="2:6" x14ac:dyDescent="0.25">
      <c r="E119" t="s">
        <v>2125</v>
      </c>
    </row>
    <row r="120" spans="2:6" x14ac:dyDescent="0.25">
      <c r="B120">
        <v>3</v>
      </c>
      <c r="C120" t="s">
        <v>2118</v>
      </c>
    </row>
    <row r="121" spans="2:6" x14ac:dyDescent="0.25">
      <c r="D121">
        <v>1</v>
      </c>
      <c r="E121" t="s">
        <v>2119</v>
      </c>
    </row>
    <row r="122" spans="2:6" x14ac:dyDescent="0.25">
      <c r="B122">
        <v>4</v>
      </c>
      <c r="C122" t="s">
        <v>2120</v>
      </c>
    </row>
    <row r="123" spans="2:6" x14ac:dyDescent="0.25">
      <c r="D123">
        <v>1</v>
      </c>
      <c r="E123" t="s">
        <v>2121</v>
      </c>
    </row>
    <row r="124" spans="2:6" x14ac:dyDescent="0.25">
      <c r="D124">
        <v>2</v>
      </c>
      <c r="E124" t="s">
        <v>2122</v>
      </c>
    </row>
    <row r="125" spans="2:6" x14ac:dyDescent="0.25">
      <c r="D125">
        <v>3</v>
      </c>
      <c r="E125" t="s">
        <v>2126</v>
      </c>
    </row>
    <row r="126" spans="2:6" x14ac:dyDescent="0.25">
      <c r="D126">
        <v>4</v>
      </c>
      <c r="E126" t="s">
        <v>2123</v>
      </c>
    </row>
    <row r="127" spans="2:6" x14ac:dyDescent="0.25">
      <c r="B127">
        <v>5</v>
      </c>
      <c r="C127" t="s">
        <v>760</v>
      </c>
    </row>
    <row r="128" spans="2:6" x14ac:dyDescent="0.25">
      <c r="D128">
        <v>1</v>
      </c>
      <c r="E128" t="s">
        <v>44</v>
      </c>
    </row>
    <row r="133" spans="2:7" x14ac:dyDescent="0.25">
      <c r="B133" s="47" t="s">
        <v>61</v>
      </c>
      <c r="C133" s="47"/>
      <c r="D133" s="47"/>
    </row>
    <row r="135" spans="2:7" x14ac:dyDescent="0.25">
      <c r="B135" s="1" t="s">
        <v>62</v>
      </c>
      <c r="C135" t="s">
        <v>63</v>
      </c>
    </row>
    <row r="136" spans="2:7" x14ac:dyDescent="0.25">
      <c r="C136" t="s">
        <v>64</v>
      </c>
    </row>
    <row r="137" spans="2:7" x14ac:dyDescent="0.25">
      <c r="C137" t="s">
        <v>122</v>
      </c>
    </row>
    <row r="138" spans="2:7" ht="15.75" thickBot="1" x14ac:dyDescent="0.3">
      <c r="C138" s="567"/>
      <c r="D138" s="568"/>
      <c r="E138" s="568"/>
      <c r="F138" s="568"/>
      <c r="G138" s="567"/>
    </row>
    <row r="139" spans="2:7" x14ac:dyDescent="0.25">
      <c r="C139" s="569"/>
      <c r="D139" s="570" t="s">
        <v>23</v>
      </c>
      <c r="E139" s="571"/>
      <c r="F139" s="572">
        <v>3.52</v>
      </c>
      <c r="G139" s="573"/>
    </row>
    <row r="140" spans="2:7" x14ac:dyDescent="0.25">
      <c r="C140" s="569"/>
      <c r="D140" s="574" t="s">
        <v>65</v>
      </c>
      <c r="E140" s="575"/>
      <c r="F140" s="576">
        <v>1.23</v>
      </c>
      <c r="G140" s="573"/>
    </row>
    <row r="141" spans="2:7" x14ac:dyDescent="0.25">
      <c r="C141" s="569"/>
      <c r="D141" s="574" t="s">
        <v>66</v>
      </c>
      <c r="E141" s="575"/>
      <c r="F141" s="576">
        <v>0.02</v>
      </c>
      <c r="G141" s="573"/>
    </row>
    <row r="142" spans="2:7" ht="15.75" thickBot="1" x14ac:dyDescent="0.3">
      <c r="C142" s="569"/>
      <c r="D142" s="577" t="s">
        <v>67</v>
      </c>
      <c r="E142" s="578"/>
      <c r="F142" s="579">
        <v>4.21</v>
      </c>
      <c r="G142" s="573"/>
    </row>
    <row r="143" spans="2:7" x14ac:dyDescent="0.25">
      <c r="C143" s="567"/>
      <c r="D143" s="580"/>
      <c r="E143" s="580"/>
      <c r="F143" s="580"/>
      <c r="G143" s="567"/>
    </row>
    <row r="151" spans="2:4" x14ac:dyDescent="0.25">
      <c r="B151" s="1" t="s">
        <v>756</v>
      </c>
    </row>
    <row r="152" spans="2:4" x14ac:dyDescent="0.25">
      <c r="C152" s="581" t="s">
        <v>68</v>
      </c>
    </row>
    <row r="153" spans="2:4" x14ac:dyDescent="0.25">
      <c r="C153" t="s">
        <v>69</v>
      </c>
    </row>
    <row r="154" spans="2:4" x14ac:dyDescent="0.25">
      <c r="C154" t="s">
        <v>70</v>
      </c>
    </row>
    <row r="155" spans="2:4" x14ac:dyDescent="0.25">
      <c r="C155" t="s">
        <v>71</v>
      </c>
    </row>
    <row r="157" spans="2:4" x14ac:dyDescent="0.25">
      <c r="C157" s="581" t="s">
        <v>72</v>
      </c>
    </row>
    <row r="158" spans="2:4" x14ac:dyDescent="0.25">
      <c r="C158" t="s">
        <v>73</v>
      </c>
    </row>
    <row r="159" spans="2:4" x14ac:dyDescent="0.25">
      <c r="D159" t="s">
        <v>13</v>
      </c>
    </row>
    <row r="160" spans="2:4" x14ac:dyDescent="0.25">
      <c r="C160" t="s">
        <v>100</v>
      </c>
    </row>
    <row r="162" spans="2:5" x14ac:dyDescent="0.25">
      <c r="B162" s="1" t="s">
        <v>759</v>
      </c>
    </row>
    <row r="163" spans="2:5" x14ac:dyDescent="0.25">
      <c r="C163" s="581" t="s">
        <v>74</v>
      </c>
    </row>
    <row r="164" spans="2:5" x14ac:dyDescent="0.25">
      <c r="C164" t="s">
        <v>75</v>
      </c>
    </row>
    <row r="165" spans="2:5" x14ac:dyDescent="0.25">
      <c r="C165" t="s">
        <v>70</v>
      </c>
    </row>
    <row r="167" spans="2:5" x14ac:dyDescent="0.25">
      <c r="C167" s="581" t="s">
        <v>76</v>
      </c>
    </row>
    <row r="168" spans="2:5" x14ac:dyDescent="0.25">
      <c r="C168" s="582" t="s">
        <v>14</v>
      </c>
    </row>
    <row r="169" spans="2:5" x14ac:dyDescent="0.25">
      <c r="C169" s="582"/>
      <c r="D169" t="s">
        <v>13</v>
      </c>
    </row>
    <row r="170" spans="2:5" x14ac:dyDescent="0.25">
      <c r="C170" s="582"/>
    </row>
    <row r="171" spans="2:5" x14ac:dyDescent="0.25">
      <c r="B171" s="1" t="s">
        <v>757</v>
      </c>
      <c r="C171" s="582"/>
    </row>
    <row r="172" spans="2:5" x14ac:dyDescent="0.25">
      <c r="C172" s="581" t="s">
        <v>101</v>
      </c>
    </row>
    <row r="173" spans="2:5" x14ac:dyDescent="0.25">
      <c r="C173" t="s">
        <v>102</v>
      </c>
    </row>
    <row r="174" spans="2:5" x14ac:dyDescent="0.25">
      <c r="D174" t="s">
        <v>77</v>
      </c>
    </row>
    <row r="175" spans="2:5" x14ac:dyDescent="0.25">
      <c r="E175" t="s">
        <v>78</v>
      </c>
    </row>
    <row r="176" spans="2:5" x14ac:dyDescent="0.25">
      <c r="E176" t="s">
        <v>79</v>
      </c>
    </row>
    <row r="177" spans="3:12" x14ac:dyDescent="0.25">
      <c r="D177" t="s">
        <v>15</v>
      </c>
    </row>
    <row r="178" spans="3:12" x14ac:dyDescent="0.25">
      <c r="E178" t="s">
        <v>16</v>
      </c>
    </row>
    <row r="179" spans="3:12" x14ac:dyDescent="0.25">
      <c r="E179" t="s">
        <v>9</v>
      </c>
    </row>
    <row r="180" spans="3:12" x14ac:dyDescent="0.25">
      <c r="E180" t="s">
        <v>80</v>
      </c>
    </row>
    <row r="181" spans="3:12" x14ac:dyDescent="0.25">
      <c r="D181" t="s">
        <v>81</v>
      </c>
    </row>
    <row r="182" spans="3:12" x14ac:dyDescent="0.25">
      <c r="D182" t="s">
        <v>97</v>
      </c>
    </row>
    <row r="183" spans="3:12" x14ac:dyDescent="0.25">
      <c r="D183" t="s">
        <v>17</v>
      </c>
    </row>
    <row r="184" spans="3:12" x14ac:dyDescent="0.25">
      <c r="C184" t="s">
        <v>103</v>
      </c>
    </row>
    <row r="186" spans="3:12" x14ac:dyDescent="0.25">
      <c r="D186" t="s">
        <v>761</v>
      </c>
    </row>
    <row r="187" spans="3:12" ht="15.75" thickBot="1" x14ac:dyDescent="0.3"/>
    <row r="188" spans="3:12" ht="15.75" thickBot="1" x14ac:dyDescent="0.3">
      <c r="E188" s="583" t="s">
        <v>0</v>
      </c>
      <c r="F188" s="584" t="s">
        <v>1</v>
      </c>
      <c r="G188" s="1151" t="s">
        <v>4</v>
      </c>
      <c r="H188" s="1151"/>
      <c r="I188" s="1151"/>
      <c r="J188" s="1151"/>
      <c r="K188" s="1151"/>
      <c r="L188" s="1152"/>
    </row>
    <row r="189" spans="3:12" x14ac:dyDescent="0.25">
      <c r="E189" s="543" t="s">
        <v>162</v>
      </c>
      <c r="F189" s="544" t="s">
        <v>163</v>
      </c>
      <c r="G189" s="1153" t="s">
        <v>164</v>
      </c>
      <c r="H189" s="1153"/>
      <c r="I189" s="1153"/>
      <c r="J189" s="1153"/>
      <c r="K189" s="1153"/>
      <c r="L189" s="1154"/>
    </row>
    <row r="190" spans="3:12" x14ac:dyDescent="0.25">
      <c r="E190" s="585" t="s">
        <v>165</v>
      </c>
      <c r="F190" s="586" t="s">
        <v>166</v>
      </c>
      <c r="G190" s="1147" t="s">
        <v>167</v>
      </c>
      <c r="H190" s="1147"/>
      <c r="I190" s="1147"/>
      <c r="J190" s="1147"/>
      <c r="K190" s="1147"/>
      <c r="L190" s="1148"/>
    </row>
    <row r="191" spans="3:12" x14ac:dyDescent="0.25">
      <c r="E191" s="585" t="s">
        <v>168</v>
      </c>
      <c r="F191" s="586" t="s">
        <v>169</v>
      </c>
      <c r="G191" s="1147" t="s">
        <v>170</v>
      </c>
      <c r="H191" s="1147"/>
      <c r="I191" s="1147"/>
      <c r="J191" s="1147"/>
      <c r="K191" s="1147"/>
      <c r="L191" s="1148"/>
    </row>
    <row r="192" spans="3:12" x14ac:dyDescent="0.25">
      <c r="E192" s="585" t="s">
        <v>171</v>
      </c>
      <c r="F192" s="586" t="s">
        <v>172</v>
      </c>
      <c r="G192" s="1147" t="s">
        <v>173</v>
      </c>
      <c r="H192" s="1147"/>
      <c r="I192" s="1147"/>
      <c r="J192" s="1147"/>
      <c r="K192" s="1147"/>
      <c r="L192" s="1148"/>
    </row>
    <row r="193" spans="4:12" x14ac:dyDescent="0.25">
      <c r="E193" s="585" t="s">
        <v>174</v>
      </c>
      <c r="F193" s="586" t="s">
        <v>175</v>
      </c>
      <c r="G193" s="1147" t="s">
        <v>176</v>
      </c>
      <c r="H193" s="1147"/>
      <c r="I193" s="1147"/>
      <c r="J193" s="1147"/>
      <c r="K193" s="1147"/>
      <c r="L193" s="1148"/>
    </row>
    <row r="194" spans="4:12" x14ac:dyDescent="0.25">
      <c r="E194" s="585" t="s">
        <v>177</v>
      </c>
      <c r="F194" s="586" t="s">
        <v>178</v>
      </c>
      <c r="G194" s="1147" t="s">
        <v>179</v>
      </c>
      <c r="H194" s="1147"/>
      <c r="I194" s="1147"/>
      <c r="J194" s="1147"/>
      <c r="K194" s="1147"/>
      <c r="L194" s="1148"/>
    </row>
    <row r="195" spans="4:12" x14ac:dyDescent="0.25">
      <c r="E195" s="585" t="s">
        <v>180</v>
      </c>
      <c r="F195" s="586" t="s">
        <v>181</v>
      </c>
      <c r="G195" s="1147" t="s">
        <v>182</v>
      </c>
      <c r="H195" s="1147"/>
      <c r="I195" s="1147"/>
      <c r="J195" s="1147"/>
      <c r="K195" s="1147"/>
      <c r="L195" s="1148"/>
    </row>
    <row r="196" spans="4:12" x14ac:dyDescent="0.25">
      <c r="E196" s="585" t="s">
        <v>148</v>
      </c>
      <c r="F196" s="586" t="s">
        <v>146</v>
      </c>
      <c r="G196" s="1147" t="s">
        <v>147</v>
      </c>
      <c r="H196" s="1147"/>
      <c r="I196" s="1147"/>
      <c r="J196" s="1147"/>
      <c r="K196" s="1147"/>
      <c r="L196" s="1148"/>
    </row>
    <row r="197" spans="4:12" ht="15.75" thickBot="1" x14ac:dyDescent="0.3">
      <c r="E197" s="380" t="s">
        <v>183</v>
      </c>
      <c r="F197" s="264" t="s">
        <v>184</v>
      </c>
      <c r="G197" s="1149" t="s">
        <v>185</v>
      </c>
      <c r="H197" s="1149"/>
      <c r="I197" s="1149"/>
      <c r="J197" s="1149"/>
      <c r="K197" s="1149"/>
      <c r="L197" s="1150"/>
    </row>
    <row r="198" spans="4:12" x14ac:dyDescent="0.25">
      <c r="E198" s="40"/>
      <c r="F198" s="41"/>
      <c r="G198" s="41"/>
    </row>
    <row r="199" spans="4:12" ht="15.75" thickBot="1" x14ac:dyDescent="0.3">
      <c r="D199" t="s">
        <v>186</v>
      </c>
    </row>
    <row r="200" spans="4:12" ht="15.75" thickBot="1" x14ac:dyDescent="0.3">
      <c r="E200" s="587" t="s">
        <v>0</v>
      </c>
      <c r="F200" s="588" t="s">
        <v>1</v>
      </c>
      <c r="G200" s="589" t="s">
        <v>4</v>
      </c>
    </row>
    <row r="201" spans="4:12" x14ac:dyDescent="0.25">
      <c r="E201" s="590" t="s">
        <v>187</v>
      </c>
      <c r="F201" s="591" t="s">
        <v>188</v>
      </c>
      <c r="G201" s="592" t="s">
        <v>189</v>
      </c>
    </row>
    <row r="202" spans="4:12" x14ac:dyDescent="0.25">
      <c r="E202" s="593" t="s">
        <v>190</v>
      </c>
      <c r="F202" s="594" t="s">
        <v>191</v>
      </c>
      <c r="G202" s="595" t="s">
        <v>192</v>
      </c>
    </row>
    <row r="203" spans="4:12" x14ac:dyDescent="0.25">
      <c r="E203" s="593" t="s">
        <v>193</v>
      </c>
      <c r="F203" s="596" t="s">
        <v>194</v>
      </c>
      <c r="G203" s="597" t="s">
        <v>195</v>
      </c>
    </row>
    <row r="204" spans="4:12" x14ac:dyDescent="0.25">
      <c r="E204" s="593" t="s">
        <v>196</v>
      </c>
      <c r="F204" s="596" t="s">
        <v>197</v>
      </c>
      <c r="G204" s="597" t="s">
        <v>198</v>
      </c>
    </row>
    <row r="205" spans="4:12" x14ac:dyDescent="0.25">
      <c r="E205" s="593" t="s">
        <v>199</v>
      </c>
      <c r="F205" s="596" t="s">
        <v>200</v>
      </c>
      <c r="G205" s="597" t="s">
        <v>201</v>
      </c>
    </row>
    <row r="206" spans="4:12" ht="15.75" thickBot="1" x14ac:dyDescent="0.3">
      <c r="E206" s="376" t="s">
        <v>202</v>
      </c>
      <c r="F206" s="598" t="s">
        <v>203</v>
      </c>
      <c r="G206" s="599" t="s">
        <v>204</v>
      </c>
    </row>
    <row r="208" spans="4:12" x14ac:dyDescent="0.25">
      <c r="D208" t="s">
        <v>205</v>
      </c>
    </row>
    <row r="210" spans="2:7" x14ac:dyDescent="0.25">
      <c r="C210" t="s">
        <v>2127</v>
      </c>
    </row>
    <row r="211" spans="2:7" x14ac:dyDescent="0.25">
      <c r="C211" t="s">
        <v>108</v>
      </c>
    </row>
    <row r="212" spans="2:7" x14ac:dyDescent="0.25">
      <c r="D212" t="s">
        <v>111</v>
      </c>
    </row>
    <row r="213" spans="2:7" x14ac:dyDescent="0.25">
      <c r="C213" t="s">
        <v>109</v>
      </c>
    </row>
    <row r="214" spans="2:7" x14ac:dyDescent="0.25">
      <c r="C214" t="s">
        <v>206</v>
      </c>
    </row>
    <row r="217" spans="2:7" x14ac:dyDescent="0.25">
      <c r="B217" s="1" t="s">
        <v>760</v>
      </c>
    </row>
    <row r="218" spans="2:7" x14ac:dyDescent="0.25">
      <c r="C218" s="581" t="s">
        <v>82</v>
      </c>
    </row>
    <row r="219" spans="2:7" x14ac:dyDescent="0.25">
      <c r="C219" t="s">
        <v>83</v>
      </c>
    </row>
    <row r="220" spans="2:7" x14ac:dyDescent="0.25">
      <c r="D220" t="s">
        <v>84</v>
      </c>
      <c r="F220" s="600"/>
      <c r="G220" s="600"/>
    </row>
    <row r="221" spans="2:7" x14ac:dyDescent="0.25">
      <c r="E221" t="s">
        <v>18</v>
      </c>
    </row>
    <row r="222" spans="2:7" x14ac:dyDescent="0.25">
      <c r="E222" t="s">
        <v>19</v>
      </c>
    </row>
    <row r="223" spans="2:7" x14ac:dyDescent="0.25">
      <c r="D223" t="s">
        <v>85</v>
      </c>
    </row>
    <row r="224" spans="2:7" ht="18" x14ac:dyDescent="0.35">
      <c r="E224" t="s">
        <v>20</v>
      </c>
    </row>
    <row r="225" spans="3:5" ht="18" x14ac:dyDescent="0.35">
      <c r="E225" t="s">
        <v>86</v>
      </c>
    </row>
    <row r="226" spans="3:5" x14ac:dyDescent="0.25">
      <c r="D226" t="s">
        <v>22</v>
      </c>
    </row>
    <row r="227" spans="3:5" x14ac:dyDescent="0.25">
      <c r="D227" t="s">
        <v>21</v>
      </c>
    </row>
    <row r="228" spans="3:5" x14ac:dyDescent="0.25">
      <c r="D228" t="s">
        <v>87</v>
      </c>
    </row>
    <row r="230" spans="3:5" x14ac:dyDescent="0.25">
      <c r="C230" s="581"/>
    </row>
    <row r="234" spans="3:5" x14ac:dyDescent="0.25">
      <c r="D234" t="s">
        <v>88</v>
      </c>
    </row>
    <row r="238" spans="3:5" x14ac:dyDescent="0.25">
      <c r="D238" t="s">
        <v>89</v>
      </c>
    </row>
    <row r="241" spans="2:4" x14ac:dyDescent="0.25">
      <c r="B241" s="581" t="s">
        <v>118</v>
      </c>
    </row>
    <row r="242" spans="2:4" x14ac:dyDescent="0.25">
      <c r="B242" s="581"/>
      <c r="C242" s="581" t="s">
        <v>119</v>
      </c>
    </row>
    <row r="243" spans="2:4" x14ac:dyDescent="0.25">
      <c r="B243" s="581"/>
      <c r="C243" t="s">
        <v>120</v>
      </c>
    </row>
    <row r="244" spans="2:4" x14ac:dyDescent="0.25">
      <c r="B244" s="581"/>
      <c r="D244" t="s">
        <v>121</v>
      </c>
    </row>
    <row r="245" spans="2:4" x14ac:dyDescent="0.25">
      <c r="B245" s="581"/>
    </row>
    <row r="246" spans="2:4" x14ac:dyDescent="0.25">
      <c r="B246" s="581" t="s">
        <v>157</v>
      </c>
    </row>
    <row r="247" spans="2:4" x14ac:dyDescent="0.25">
      <c r="B247" s="581"/>
      <c r="C247" s="581" t="s">
        <v>207</v>
      </c>
    </row>
    <row r="248" spans="2:4" x14ac:dyDescent="0.25">
      <c r="B248" s="581"/>
      <c r="C248" t="s">
        <v>208</v>
      </c>
    </row>
    <row r="249" spans="2:4" x14ac:dyDescent="0.25">
      <c r="B249" s="581"/>
    </row>
    <row r="250" spans="2:4" x14ac:dyDescent="0.25">
      <c r="B250" s="581" t="s">
        <v>91</v>
      </c>
    </row>
    <row r="251" spans="2:4" x14ac:dyDescent="0.25">
      <c r="C251" t="s">
        <v>762</v>
      </c>
    </row>
    <row r="252" spans="2:4" x14ac:dyDescent="0.25">
      <c r="C252" s="581" t="s">
        <v>95</v>
      </c>
    </row>
    <row r="253" spans="2:4" x14ac:dyDescent="0.25">
      <c r="D253" t="s">
        <v>92</v>
      </c>
    </row>
    <row r="254" spans="2:4" x14ac:dyDescent="0.25">
      <c r="D254" t="s">
        <v>93</v>
      </c>
    </row>
    <row r="255" spans="2:4" x14ac:dyDescent="0.25">
      <c r="D255" t="s">
        <v>94</v>
      </c>
    </row>
  </sheetData>
  <mergeCells count="10">
    <mergeCell ref="G194:L194"/>
    <mergeCell ref="G195:L195"/>
    <mergeCell ref="G196:L196"/>
    <mergeCell ref="G197:L197"/>
    <mergeCell ref="G188:L188"/>
    <mergeCell ref="G189:L189"/>
    <mergeCell ref="G190:L190"/>
    <mergeCell ref="G191:L191"/>
    <mergeCell ref="G192:L192"/>
    <mergeCell ref="G193:L193"/>
  </mergeCells>
  <hyperlinks>
    <hyperlink ref="H12"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unka2"/>
  <dimension ref="A1:R191"/>
  <sheetViews>
    <sheetView showGridLines="0" zoomScaleNormal="100" workbookViewId="0">
      <selection activeCell="B191" sqref="B191:D191"/>
    </sheetView>
  </sheetViews>
  <sheetFormatPr baseColWidth="10" defaultColWidth="9.140625" defaultRowHeight="15" outlineLevelRow="1" x14ac:dyDescent="0.25"/>
  <cols>
    <col min="1" max="1" width="8.5703125" style="121" customWidth="1"/>
    <col min="2" max="2" width="15.5703125" style="109" bestFit="1" customWidth="1"/>
    <col min="3" max="3" width="76.7109375" style="109" bestFit="1" customWidth="1"/>
    <col min="4" max="4" width="21.140625" style="121" customWidth="1"/>
    <col min="5" max="6" width="14.28515625" style="121" customWidth="1"/>
    <col min="7" max="7" width="16.28515625" style="121" customWidth="1"/>
    <col min="8" max="8" width="11.28515625" style="121" customWidth="1"/>
    <col min="9" max="9" width="15.140625" style="121" bestFit="1" customWidth="1"/>
    <col min="10" max="10" width="96.42578125" style="121" bestFit="1" customWidth="1"/>
    <col min="11" max="11" width="8.85546875" style="121" customWidth="1"/>
    <col min="12" max="12" width="18.7109375" style="121" customWidth="1"/>
    <col min="13" max="13" width="9.140625" style="121" customWidth="1"/>
    <col min="14" max="14" width="12" style="121" bestFit="1" customWidth="1"/>
    <col min="15" max="15" width="36.5703125" style="121" customWidth="1"/>
    <col min="16" max="16" width="50.5703125" style="121" customWidth="1"/>
    <col min="17" max="17" width="9.140625" style="121"/>
    <col min="18" max="18" width="29.7109375" style="121" customWidth="1"/>
    <col min="19" max="16384" width="9.140625" style="121"/>
  </cols>
  <sheetData>
    <row r="1" spans="1:10" s="144" customFormat="1" ht="57.6" customHeight="1" x14ac:dyDescent="0.25">
      <c r="A1" s="143"/>
      <c r="B1" s="453"/>
      <c r="C1" s="453"/>
    </row>
    <row r="2" spans="1:10" s="145" customFormat="1" ht="15.75" thickBot="1" x14ac:dyDescent="0.3">
      <c r="B2" s="365"/>
      <c r="C2" s="160"/>
      <c r="D2" s="208"/>
      <c r="E2" s="162"/>
      <c r="F2" s="162"/>
      <c r="G2" s="162"/>
      <c r="H2" s="162"/>
      <c r="I2" s="162"/>
      <c r="J2" s="162"/>
    </row>
    <row r="3" spans="1:10" s="286" customFormat="1" ht="15.75" thickBot="1" x14ac:dyDescent="0.3">
      <c r="A3" s="286" t="s">
        <v>864</v>
      </c>
      <c r="B3" s="287"/>
      <c r="C3" s="287"/>
      <c r="D3" s="288"/>
      <c r="E3" s="289"/>
      <c r="F3" s="288"/>
      <c r="I3" s="288"/>
    </row>
    <row r="4" spans="1:10" s="145" customFormat="1" ht="15.75" thickBot="1" x14ac:dyDescent="0.3">
      <c r="B4" s="365"/>
      <c r="C4" s="160"/>
      <c r="D4" s="161"/>
      <c r="E4" s="162"/>
      <c r="F4" s="162"/>
      <c r="G4" s="162"/>
      <c r="H4" s="162"/>
      <c r="I4" s="162"/>
    </row>
    <row r="5" spans="1:10" ht="15.75" thickBot="1" x14ac:dyDescent="0.3">
      <c r="A5" s="145"/>
      <c r="C5" s="454" t="s">
        <v>1319</v>
      </c>
      <c r="D5" s="121" t="s">
        <v>310</v>
      </c>
    </row>
    <row r="6" spans="1:10" s="145" customFormat="1" ht="15.75" thickBot="1" x14ac:dyDescent="0.3">
      <c r="B6" s="284" t="s">
        <v>0</v>
      </c>
      <c r="C6" s="455" t="s">
        <v>1</v>
      </c>
      <c r="D6" s="140" t="s">
        <v>775</v>
      </c>
      <c r="E6" s="140" t="s">
        <v>385</v>
      </c>
      <c r="F6" s="140" t="s">
        <v>386</v>
      </c>
      <c r="G6" s="140" t="s">
        <v>2</v>
      </c>
      <c r="H6" s="140" t="s">
        <v>309</v>
      </c>
      <c r="I6" s="140" t="s">
        <v>113</v>
      </c>
      <c r="J6" s="142" t="s">
        <v>114</v>
      </c>
    </row>
    <row r="7" spans="1:10" s="145" customFormat="1" ht="18" x14ac:dyDescent="0.35">
      <c r="B7" s="742" t="s">
        <v>777</v>
      </c>
      <c r="C7" s="146" t="s">
        <v>249</v>
      </c>
      <c r="D7" s="147">
        <v>4</v>
      </c>
      <c r="E7" s="148">
        <v>0</v>
      </c>
      <c r="F7" s="148" t="s">
        <v>1089</v>
      </c>
      <c r="G7" s="148" t="s">
        <v>778</v>
      </c>
      <c r="H7" s="148">
        <v>1</v>
      </c>
      <c r="I7" s="304" t="s">
        <v>1320</v>
      </c>
      <c r="J7" s="149"/>
    </row>
    <row r="8" spans="1:10" s="145" customFormat="1" ht="18" x14ac:dyDescent="0.35">
      <c r="B8" s="743" t="s">
        <v>1259</v>
      </c>
      <c r="C8" s="150" t="s">
        <v>1352</v>
      </c>
      <c r="D8" s="151">
        <v>5</v>
      </c>
      <c r="E8" s="152">
        <v>0</v>
      </c>
      <c r="F8" s="152" t="s">
        <v>1089</v>
      </c>
      <c r="G8" s="152" t="s">
        <v>779</v>
      </c>
      <c r="H8" s="152">
        <v>1</v>
      </c>
      <c r="I8" s="304" t="s">
        <v>1321</v>
      </c>
      <c r="J8" s="153"/>
    </row>
    <row r="9" spans="1:10" s="145" customFormat="1" ht="18.75" x14ac:dyDescent="0.35">
      <c r="B9" s="743" t="s">
        <v>1260</v>
      </c>
      <c r="C9" s="150" t="s">
        <v>1353</v>
      </c>
      <c r="D9" s="601">
        <v>0.15</v>
      </c>
      <c r="E9" s="152">
        <v>0</v>
      </c>
      <c r="F9" s="152" t="s">
        <v>1089</v>
      </c>
      <c r="G9" s="152" t="s">
        <v>780</v>
      </c>
      <c r="H9" s="152">
        <v>2</v>
      </c>
      <c r="I9" s="304" t="s">
        <v>1322</v>
      </c>
      <c r="J9" s="153"/>
    </row>
    <row r="10" spans="1:10" s="145" customFormat="1" ht="18" x14ac:dyDescent="0.35">
      <c r="B10" s="743" t="s">
        <v>1458</v>
      </c>
      <c r="C10" s="150" t="s">
        <v>1354</v>
      </c>
      <c r="D10" s="154">
        <v>0.03</v>
      </c>
      <c r="E10" s="152">
        <v>0</v>
      </c>
      <c r="F10" s="152" t="s">
        <v>1089</v>
      </c>
      <c r="G10" s="152" t="s">
        <v>781</v>
      </c>
      <c r="H10" s="152">
        <v>2</v>
      </c>
      <c r="I10" s="152"/>
      <c r="J10" s="153"/>
    </row>
    <row r="11" spans="1:10" s="145" customFormat="1" ht="18" x14ac:dyDescent="0.35">
      <c r="B11" s="743" t="s">
        <v>1275</v>
      </c>
      <c r="C11" s="150" t="s">
        <v>1355</v>
      </c>
      <c r="D11" s="154">
        <v>0.6</v>
      </c>
      <c r="E11" s="152">
        <v>0</v>
      </c>
      <c r="F11" s="152" t="s">
        <v>1089</v>
      </c>
      <c r="G11" s="155" t="s">
        <v>1229</v>
      </c>
      <c r="H11" s="152">
        <v>2</v>
      </c>
      <c r="I11" s="152"/>
      <c r="J11" s="153"/>
    </row>
    <row r="12" spans="1:10" s="145" customFormat="1" ht="18" x14ac:dyDescent="0.35">
      <c r="B12" s="743" t="s">
        <v>782</v>
      </c>
      <c r="C12" s="150" t="s">
        <v>1356</v>
      </c>
      <c r="D12" s="154">
        <v>0.62</v>
      </c>
      <c r="E12" s="152">
        <v>0</v>
      </c>
      <c r="F12" s="152" t="s">
        <v>1089</v>
      </c>
      <c r="G12" s="152" t="s">
        <v>778</v>
      </c>
      <c r="H12" s="152">
        <v>2</v>
      </c>
      <c r="I12" s="152"/>
      <c r="J12" s="153"/>
    </row>
    <row r="13" spans="1:10" s="145" customFormat="1" ht="18.75" thickBot="1" x14ac:dyDescent="0.4">
      <c r="B13" s="744" t="s">
        <v>783</v>
      </c>
      <c r="C13" s="156" t="s">
        <v>1357</v>
      </c>
      <c r="D13" s="157">
        <v>0.4</v>
      </c>
      <c r="E13" s="158">
        <v>0</v>
      </c>
      <c r="F13" s="158" t="s">
        <v>1089</v>
      </c>
      <c r="G13" s="158" t="s">
        <v>778</v>
      </c>
      <c r="H13" s="158">
        <v>1</v>
      </c>
      <c r="I13" s="158"/>
      <c r="J13" s="159"/>
    </row>
    <row r="14" spans="1:10" s="145" customFormat="1" ht="15.75" thickBot="1" x14ac:dyDescent="0.3">
      <c r="B14" s="365"/>
      <c r="C14" s="160"/>
      <c r="D14" s="161"/>
      <c r="E14" s="162"/>
      <c r="F14" s="162"/>
      <c r="G14" s="162"/>
      <c r="H14" s="162"/>
      <c r="I14" s="162"/>
    </row>
    <row r="15" spans="1:10" s="145" customFormat="1" ht="15.75" thickBot="1" x14ac:dyDescent="0.3">
      <c r="B15" s="109"/>
      <c r="C15" s="392" t="s">
        <v>1317</v>
      </c>
      <c r="D15" s="121" t="s">
        <v>310</v>
      </c>
      <c r="E15" s="121"/>
      <c r="F15" s="121"/>
      <c r="G15" s="121"/>
      <c r="H15" s="121"/>
      <c r="I15" s="121"/>
    </row>
    <row r="16" spans="1:10" s="145" customFormat="1" ht="15.75" thickBot="1" x14ac:dyDescent="0.3">
      <c r="B16" s="284" t="s">
        <v>0</v>
      </c>
      <c r="C16" s="455" t="s">
        <v>1</v>
      </c>
      <c r="D16" s="140" t="s">
        <v>775</v>
      </c>
      <c r="E16" s="140" t="s">
        <v>385</v>
      </c>
      <c r="F16" s="140" t="s">
        <v>386</v>
      </c>
      <c r="G16" s="140" t="s">
        <v>2</v>
      </c>
      <c r="H16" s="140" t="s">
        <v>309</v>
      </c>
      <c r="I16" s="140" t="s">
        <v>113</v>
      </c>
      <c r="J16" s="142" t="s">
        <v>114</v>
      </c>
    </row>
    <row r="17" spans="2:10" s="145" customFormat="1" ht="18" x14ac:dyDescent="0.35">
      <c r="B17" s="745" t="s">
        <v>784</v>
      </c>
      <c r="C17" s="163" t="s">
        <v>281</v>
      </c>
      <c r="D17" s="164">
        <v>0.9</v>
      </c>
      <c r="E17" s="165">
        <v>0</v>
      </c>
      <c r="F17" s="165" t="s">
        <v>1089</v>
      </c>
      <c r="G17" s="165" t="s">
        <v>778</v>
      </c>
      <c r="H17" s="165">
        <v>2</v>
      </c>
      <c r="I17" s="400" t="s">
        <v>1323</v>
      </c>
      <c r="J17" s="166"/>
    </row>
    <row r="18" spans="2:10" s="145" customFormat="1" ht="18" x14ac:dyDescent="0.35">
      <c r="B18" s="746" t="s">
        <v>1261</v>
      </c>
      <c r="C18" s="167" t="s">
        <v>1358</v>
      </c>
      <c r="D18" s="168">
        <v>0.7</v>
      </c>
      <c r="E18" s="169">
        <v>0</v>
      </c>
      <c r="F18" s="169" t="s">
        <v>1089</v>
      </c>
      <c r="G18" s="169" t="s">
        <v>781</v>
      </c>
      <c r="H18" s="169">
        <v>1</v>
      </c>
      <c r="I18" s="315" t="s">
        <v>1324</v>
      </c>
      <c r="J18" s="170"/>
    </row>
    <row r="19" spans="2:10" s="145" customFormat="1" ht="18.75" x14ac:dyDescent="0.35">
      <c r="B19" s="746" t="s">
        <v>1262</v>
      </c>
      <c r="C19" s="167" t="s">
        <v>1359</v>
      </c>
      <c r="D19" s="171">
        <v>0.5</v>
      </c>
      <c r="E19" s="169">
        <v>0</v>
      </c>
      <c r="F19" s="169" t="s">
        <v>1089</v>
      </c>
      <c r="G19" s="169" t="s">
        <v>780</v>
      </c>
      <c r="H19" s="169">
        <v>2</v>
      </c>
      <c r="I19" s="315" t="s">
        <v>1325</v>
      </c>
      <c r="J19" s="170"/>
    </row>
    <row r="20" spans="2:10" s="145" customFormat="1" ht="18" x14ac:dyDescent="0.35">
      <c r="B20" s="746" t="s">
        <v>1459</v>
      </c>
      <c r="C20" s="167" t="s">
        <v>1360</v>
      </c>
      <c r="D20" s="171">
        <v>0.03</v>
      </c>
      <c r="E20" s="169">
        <v>0</v>
      </c>
      <c r="F20" s="169" t="s">
        <v>1089</v>
      </c>
      <c r="G20" s="169" t="s">
        <v>781</v>
      </c>
      <c r="H20" s="169">
        <v>2</v>
      </c>
      <c r="I20" s="169"/>
      <c r="J20" s="170"/>
    </row>
    <row r="21" spans="2:10" s="145" customFormat="1" ht="18.75" thickBot="1" x14ac:dyDescent="0.4">
      <c r="B21" s="747" t="s">
        <v>785</v>
      </c>
      <c r="C21" s="172" t="s">
        <v>1361</v>
      </c>
      <c r="D21" s="173">
        <v>0.17</v>
      </c>
      <c r="E21" s="174">
        <v>0</v>
      </c>
      <c r="F21" s="174" t="s">
        <v>1089</v>
      </c>
      <c r="G21" s="174" t="s">
        <v>778</v>
      </c>
      <c r="H21" s="174">
        <v>2</v>
      </c>
      <c r="I21" s="174"/>
      <c r="J21" s="175"/>
    </row>
    <row r="22" spans="2:10" s="145" customFormat="1" ht="15.75" thickBot="1" x14ac:dyDescent="0.3">
      <c r="B22" s="365"/>
      <c r="C22" s="160"/>
      <c r="D22" s="161"/>
      <c r="E22" s="162"/>
      <c r="F22" s="162"/>
      <c r="G22" s="162"/>
      <c r="H22" s="162"/>
      <c r="I22" s="162"/>
    </row>
    <row r="23" spans="2:10" s="145" customFormat="1" ht="15.75" thickBot="1" x14ac:dyDescent="0.3">
      <c r="B23" s="109"/>
      <c r="C23" s="392" t="s">
        <v>1315</v>
      </c>
      <c r="D23" s="121" t="s">
        <v>310</v>
      </c>
      <c r="E23" s="121"/>
      <c r="F23" s="121"/>
      <c r="G23" s="121"/>
      <c r="H23" s="121"/>
      <c r="I23" s="121"/>
    </row>
    <row r="24" spans="2:10" s="145" customFormat="1" ht="15.75" thickBot="1" x14ac:dyDescent="0.3">
      <c r="B24" s="284" t="s">
        <v>0</v>
      </c>
      <c r="C24" s="455" t="s">
        <v>1</v>
      </c>
      <c r="D24" s="140" t="s">
        <v>775</v>
      </c>
      <c r="E24" s="140" t="s">
        <v>385</v>
      </c>
      <c r="F24" s="140" t="s">
        <v>386</v>
      </c>
      <c r="G24" s="140" t="s">
        <v>2</v>
      </c>
      <c r="H24" s="140" t="s">
        <v>309</v>
      </c>
      <c r="I24" s="140" t="s">
        <v>113</v>
      </c>
      <c r="J24" s="142" t="s">
        <v>114</v>
      </c>
    </row>
    <row r="25" spans="2:10" s="145" customFormat="1" ht="18" x14ac:dyDescent="0.25">
      <c r="B25" s="748" t="s">
        <v>786</v>
      </c>
      <c r="C25" s="176" t="s">
        <v>321</v>
      </c>
      <c r="D25" s="177">
        <v>0.3</v>
      </c>
      <c r="E25" s="178">
        <v>0</v>
      </c>
      <c r="F25" s="178" t="s">
        <v>1089</v>
      </c>
      <c r="G25" s="178" t="s">
        <v>778</v>
      </c>
      <c r="H25" s="178">
        <v>2</v>
      </c>
      <c r="I25" s="178"/>
      <c r="J25" s="179"/>
    </row>
    <row r="26" spans="2:10" s="145" customFormat="1" ht="18" x14ac:dyDescent="0.25">
      <c r="B26" s="749" t="s">
        <v>1263</v>
      </c>
      <c r="C26" s="180" t="s">
        <v>1362</v>
      </c>
      <c r="D26" s="181">
        <v>400</v>
      </c>
      <c r="E26" s="181">
        <v>0</v>
      </c>
      <c r="F26" s="181" t="s">
        <v>1089</v>
      </c>
      <c r="G26" s="181" t="s">
        <v>779</v>
      </c>
      <c r="H26" s="181">
        <v>0</v>
      </c>
      <c r="I26" s="181"/>
      <c r="J26" s="182"/>
    </row>
    <row r="27" spans="2:10" s="145" customFormat="1" ht="18" x14ac:dyDescent="0.25">
      <c r="B27" s="749" t="s">
        <v>2064</v>
      </c>
      <c r="C27" s="180" t="s">
        <v>2065</v>
      </c>
      <c r="D27" s="181">
        <v>0.05</v>
      </c>
      <c r="E27" s="181">
        <v>0</v>
      </c>
      <c r="F27" s="181" t="s">
        <v>1089</v>
      </c>
      <c r="G27" s="181" t="s">
        <v>780</v>
      </c>
      <c r="H27" s="181">
        <v>2</v>
      </c>
      <c r="I27" s="181"/>
      <c r="J27" s="182"/>
    </row>
    <row r="28" spans="2:10" s="145" customFormat="1" ht="18" x14ac:dyDescent="0.25">
      <c r="B28" s="749" t="s">
        <v>1460</v>
      </c>
      <c r="C28" s="180" t="s">
        <v>1363</v>
      </c>
      <c r="D28" s="181">
        <v>0.05</v>
      </c>
      <c r="E28" s="181">
        <v>0</v>
      </c>
      <c r="F28" s="181" t="s">
        <v>1089</v>
      </c>
      <c r="G28" s="181" t="s">
        <v>781</v>
      </c>
      <c r="H28" s="181">
        <v>2</v>
      </c>
      <c r="I28" s="181"/>
      <c r="J28" s="182"/>
    </row>
    <row r="29" spans="2:10" s="145" customFormat="1" ht="18.75" thickBot="1" x14ac:dyDescent="0.3">
      <c r="B29" s="750" t="s">
        <v>787</v>
      </c>
      <c r="C29" s="183" t="s">
        <v>1364</v>
      </c>
      <c r="D29" s="184">
        <v>0.1</v>
      </c>
      <c r="E29" s="184">
        <v>0</v>
      </c>
      <c r="F29" s="184" t="s">
        <v>1089</v>
      </c>
      <c r="G29" s="184" t="s">
        <v>778</v>
      </c>
      <c r="H29" s="184">
        <v>1</v>
      </c>
      <c r="I29" s="184"/>
      <c r="J29" s="185"/>
    </row>
    <row r="30" spans="2:10" s="145" customFormat="1" ht="15.75" thickBot="1" x14ac:dyDescent="0.3">
      <c r="B30" s="365"/>
      <c r="C30" s="160"/>
      <c r="D30" s="186"/>
      <c r="E30" s="162"/>
      <c r="F30" s="162"/>
      <c r="G30" s="162"/>
      <c r="H30" s="162"/>
      <c r="I30" s="162"/>
    </row>
    <row r="31" spans="2:10" s="145" customFormat="1" ht="15.75" thickBot="1" x14ac:dyDescent="0.3">
      <c r="B31" s="109"/>
      <c r="C31" s="392" t="s">
        <v>1316</v>
      </c>
      <c r="D31" s="121" t="s">
        <v>310</v>
      </c>
      <c r="E31" s="121"/>
      <c r="F31" s="121"/>
      <c r="G31" s="121"/>
      <c r="H31" s="121"/>
      <c r="I31" s="121"/>
    </row>
    <row r="32" spans="2:10" s="145" customFormat="1" ht="15.75" thickBot="1" x14ac:dyDescent="0.3">
      <c r="B32" s="284" t="s">
        <v>0</v>
      </c>
      <c r="C32" s="455" t="s">
        <v>1</v>
      </c>
      <c r="D32" s="140" t="s">
        <v>775</v>
      </c>
      <c r="E32" s="140" t="s">
        <v>385</v>
      </c>
      <c r="F32" s="140" t="s">
        <v>386</v>
      </c>
      <c r="G32" s="140" t="s">
        <v>2</v>
      </c>
      <c r="H32" s="140" t="s">
        <v>309</v>
      </c>
      <c r="I32" s="140" t="s">
        <v>113</v>
      </c>
      <c r="J32" s="142" t="s">
        <v>114</v>
      </c>
    </row>
    <row r="33" spans="1:10" s="145" customFormat="1" ht="18" x14ac:dyDescent="0.25">
      <c r="B33" s="748" t="s">
        <v>788</v>
      </c>
      <c r="C33" s="176" t="s">
        <v>351</v>
      </c>
      <c r="D33" s="177">
        <v>1.3</v>
      </c>
      <c r="E33" s="178">
        <v>0</v>
      </c>
      <c r="F33" s="178" t="s">
        <v>1089</v>
      </c>
      <c r="G33" s="178" t="s">
        <v>778</v>
      </c>
      <c r="H33" s="178">
        <v>2</v>
      </c>
      <c r="I33" s="178"/>
      <c r="J33" s="179"/>
    </row>
    <row r="34" spans="1:10" s="145" customFormat="1" ht="18" x14ac:dyDescent="0.25">
      <c r="B34" s="749" t="s">
        <v>1264</v>
      </c>
      <c r="C34" s="180" t="s">
        <v>1365</v>
      </c>
      <c r="D34" s="181">
        <v>0.1</v>
      </c>
      <c r="E34" s="181">
        <v>0</v>
      </c>
      <c r="F34" s="181" t="s">
        <v>1089</v>
      </c>
      <c r="G34" s="181" t="s">
        <v>779</v>
      </c>
      <c r="H34" s="181">
        <v>1</v>
      </c>
      <c r="I34" s="181"/>
      <c r="J34" s="182"/>
    </row>
    <row r="35" spans="1:10" s="145" customFormat="1" ht="18" x14ac:dyDescent="0.25">
      <c r="B35" s="749" t="s">
        <v>2066</v>
      </c>
      <c r="C35" s="180" t="s">
        <v>2067</v>
      </c>
      <c r="D35" s="181">
        <v>0.05</v>
      </c>
      <c r="E35" s="181">
        <v>0</v>
      </c>
      <c r="F35" s="181" t="s">
        <v>1089</v>
      </c>
      <c r="G35" s="181" t="s">
        <v>780</v>
      </c>
      <c r="H35" s="181">
        <v>2</v>
      </c>
      <c r="I35" s="181"/>
      <c r="J35" s="182"/>
    </row>
    <row r="36" spans="1:10" s="145" customFormat="1" ht="18" x14ac:dyDescent="0.25">
      <c r="B36" s="749" t="s">
        <v>1461</v>
      </c>
      <c r="C36" s="180" t="s">
        <v>1366</v>
      </c>
      <c r="D36" s="181">
        <v>0.05</v>
      </c>
      <c r="E36" s="181">
        <v>0</v>
      </c>
      <c r="F36" s="181" t="s">
        <v>1089</v>
      </c>
      <c r="G36" s="181" t="s">
        <v>781</v>
      </c>
      <c r="H36" s="181">
        <v>2</v>
      </c>
      <c r="I36" s="181"/>
      <c r="J36" s="182"/>
    </row>
    <row r="37" spans="1:10" s="145" customFormat="1" ht="18.75" thickBot="1" x14ac:dyDescent="0.3">
      <c r="B37" s="750" t="s">
        <v>789</v>
      </c>
      <c r="C37" s="183" t="s">
        <v>1367</v>
      </c>
      <c r="D37" s="184">
        <v>0.3</v>
      </c>
      <c r="E37" s="184">
        <v>0</v>
      </c>
      <c r="F37" s="184" t="s">
        <v>1089</v>
      </c>
      <c r="G37" s="184" t="s">
        <v>778</v>
      </c>
      <c r="H37" s="184">
        <v>1</v>
      </c>
      <c r="I37" s="184"/>
      <c r="J37" s="185"/>
    </row>
    <row r="38" spans="1:10" s="145" customFormat="1" ht="15.75" thickBot="1" x14ac:dyDescent="0.3">
      <c r="B38" s="109"/>
      <c r="C38" s="160"/>
      <c r="D38" s="161"/>
      <c r="E38" s="162"/>
      <c r="F38" s="162"/>
      <c r="G38" s="162"/>
      <c r="H38" s="162"/>
      <c r="I38" s="160"/>
      <c r="J38" s="206"/>
    </row>
    <row r="39" spans="1:10" ht="15.75" thickBot="1" x14ac:dyDescent="0.3">
      <c r="A39" s="145"/>
      <c r="C39" s="454" t="s">
        <v>2326</v>
      </c>
      <c r="D39" s="121" t="s">
        <v>310</v>
      </c>
      <c r="I39" s="109"/>
      <c r="J39" s="109"/>
    </row>
    <row r="40" spans="1:10" s="145" customFormat="1" ht="15.75" thickBot="1" x14ac:dyDescent="0.3">
      <c r="B40" s="587" t="s">
        <v>0</v>
      </c>
      <c r="C40" s="588" t="s">
        <v>1</v>
      </c>
      <c r="D40" s="796" t="s">
        <v>775</v>
      </c>
      <c r="E40" s="796" t="s">
        <v>385</v>
      </c>
      <c r="F40" s="796" t="s">
        <v>386</v>
      </c>
      <c r="G40" s="796" t="s">
        <v>2</v>
      </c>
      <c r="H40" s="796" t="s">
        <v>309</v>
      </c>
      <c r="I40" s="588" t="s">
        <v>113</v>
      </c>
      <c r="J40" s="797" t="s">
        <v>114</v>
      </c>
    </row>
    <row r="41" spans="1:10" s="145" customFormat="1" ht="18" x14ac:dyDescent="0.35">
      <c r="B41" s="798" t="s">
        <v>2327</v>
      </c>
      <c r="C41" s="799" t="s">
        <v>2328</v>
      </c>
      <c r="D41" s="800">
        <v>2</v>
      </c>
      <c r="E41" s="801">
        <v>0</v>
      </c>
      <c r="F41" s="801" t="s">
        <v>1089</v>
      </c>
      <c r="G41" s="801" t="s">
        <v>778</v>
      </c>
      <c r="H41" s="801">
        <v>2</v>
      </c>
      <c r="I41" s="802"/>
      <c r="J41" s="803"/>
    </row>
    <row r="42" spans="1:10" s="145" customFormat="1" ht="18" x14ac:dyDescent="0.35">
      <c r="B42" s="804" t="s">
        <v>2329</v>
      </c>
      <c r="C42" s="805" t="s">
        <v>2330</v>
      </c>
      <c r="D42" s="806">
        <v>0.1</v>
      </c>
      <c r="E42" s="807">
        <v>0</v>
      </c>
      <c r="F42" s="807" t="s">
        <v>1089</v>
      </c>
      <c r="G42" s="807" t="s">
        <v>778</v>
      </c>
      <c r="H42" s="807">
        <v>2</v>
      </c>
      <c r="I42" s="808"/>
      <c r="J42" s="809"/>
    </row>
    <row r="43" spans="1:10" s="145" customFormat="1" ht="18" x14ac:dyDescent="0.35">
      <c r="B43" s="804" t="s">
        <v>2331</v>
      </c>
      <c r="C43" s="805" t="s">
        <v>2332</v>
      </c>
      <c r="D43" s="806">
        <v>0.5</v>
      </c>
      <c r="E43" s="807">
        <v>0</v>
      </c>
      <c r="F43" s="807" t="s">
        <v>1089</v>
      </c>
      <c r="G43" s="807" t="s">
        <v>781</v>
      </c>
      <c r="H43" s="807">
        <v>2</v>
      </c>
      <c r="I43" s="808"/>
      <c r="J43" s="809"/>
    </row>
    <row r="44" spans="1:10" s="145" customFormat="1" ht="18.75" x14ac:dyDescent="0.35">
      <c r="B44" s="804" t="s">
        <v>2333</v>
      </c>
      <c r="C44" s="805" t="s">
        <v>2334</v>
      </c>
      <c r="D44" s="806">
        <v>0.05</v>
      </c>
      <c r="E44" s="807">
        <v>0</v>
      </c>
      <c r="F44" s="807" t="s">
        <v>1089</v>
      </c>
      <c r="G44" s="807" t="s">
        <v>780</v>
      </c>
      <c r="H44" s="807">
        <v>2</v>
      </c>
      <c r="I44" s="808"/>
      <c r="J44" s="809"/>
    </row>
    <row r="45" spans="1:10" s="145" customFormat="1" ht="18" x14ac:dyDescent="0.35">
      <c r="B45" s="804" t="s">
        <v>2648</v>
      </c>
      <c r="C45" s="805" t="s">
        <v>2649</v>
      </c>
      <c r="D45" s="806">
        <v>0.7</v>
      </c>
      <c r="E45" s="807">
        <v>0</v>
      </c>
      <c r="F45" s="807" t="s">
        <v>1089</v>
      </c>
      <c r="G45" s="807" t="s">
        <v>791</v>
      </c>
      <c r="H45" s="807">
        <v>1</v>
      </c>
      <c r="I45" s="808"/>
      <c r="J45" s="809"/>
    </row>
    <row r="46" spans="1:10" s="145" customFormat="1" ht="18.75" thickBot="1" x14ac:dyDescent="0.4">
      <c r="B46" s="810" t="s">
        <v>2335</v>
      </c>
      <c r="C46" s="811" t="s">
        <v>2336</v>
      </c>
      <c r="D46" s="812">
        <v>0.5</v>
      </c>
      <c r="E46" s="813">
        <v>0</v>
      </c>
      <c r="F46" s="813" t="s">
        <v>1089</v>
      </c>
      <c r="G46" s="813" t="s">
        <v>781</v>
      </c>
      <c r="H46" s="813">
        <v>2</v>
      </c>
      <c r="I46" s="814"/>
      <c r="J46" s="815"/>
    </row>
    <row r="47" spans="1:10" s="145" customFormat="1" ht="15.75" thickBot="1" x14ac:dyDescent="0.3">
      <c r="B47" s="365"/>
      <c r="C47" s="160"/>
      <c r="D47" s="186"/>
      <c r="E47" s="162"/>
      <c r="F47" s="162"/>
      <c r="G47" s="162"/>
      <c r="H47" s="162"/>
      <c r="I47" s="162"/>
    </row>
    <row r="48" spans="1:10" s="145" customFormat="1" ht="15.75" thickBot="1" x14ac:dyDescent="0.3">
      <c r="B48" s="109"/>
      <c r="C48" s="391" t="s">
        <v>312</v>
      </c>
      <c r="D48" s="121" t="s">
        <v>310</v>
      </c>
      <c r="E48" s="121"/>
      <c r="F48" s="121"/>
      <c r="G48" s="121"/>
      <c r="H48" s="121"/>
      <c r="I48" s="121"/>
    </row>
    <row r="49" spans="2:10" s="145" customFormat="1" ht="15.75" thickBot="1" x14ac:dyDescent="0.3">
      <c r="B49" s="751" t="s">
        <v>0</v>
      </c>
      <c r="C49" s="456" t="s">
        <v>1</v>
      </c>
      <c r="D49" s="377" t="s">
        <v>775</v>
      </c>
      <c r="E49" s="377" t="s">
        <v>385</v>
      </c>
      <c r="F49" s="377" t="s">
        <v>386</v>
      </c>
      <c r="G49" s="377" t="s">
        <v>2</v>
      </c>
      <c r="H49" s="377" t="s">
        <v>309</v>
      </c>
      <c r="I49" s="377" t="s">
        <v>113</v>
      </c>
      <c r="J49" s="378" t="s">
        <v>114</v>
      </c>
    </row>
    <row r="50" spans="2:10" s="145" customFormat="1" ht="18" x14ac:dyDescent="0.35">
      <c r="B50" s="389" t="s">
        <v>1265</v>
      </c>
      <c r="C50" s="371" t="s">
        <v>1368</v>
      </c>
      <c r="D50" s="379">
        <v>5.0000000000000001E-3</v>
      </c>
      <c r="E50" s="372">
        <v>0</v>
      </c>
      <c r="F50" s="372" t="s">
        <v>1089</v>
      </c>
      <c r="G50" s="372" t="s">
        <v>791</v>
      </c>
      <c r="H50" s="372">
        <v>3</v>
      </c>
      <c r="I50" s="372"/>
      <c r="J50" s="374"/>
    </row>
    <row r="51" spans="2:10" s="145" customFormat="1" ht="18" x14ac:dyDescent="0.35">
      <c r="B51" s="277" t="s">
        <v>1266</v>
      </c>
      <c r="C51" s="190" t="s">
        <v>1369</v>
      </c>
      <c r="D51" s="191">
        <v>2E-3</v>
      </c>
      <c r="E51" s="192">
        <v>0</v>
      </c>
      <c r="F51" s="192" t="s">
        <v>1089</v>
      </c>
      <c r="G51" s="192" t="s">
        <v>793</v>
      </c>
      <c r="H51" s="192">
        <v>3</v>
      </c>
      <c r="I51" s="192"/>
      <c r="J51" s="193"/>
    </row>
    <row r="52" spans="2:10" s="145" customFormat="1" ht="18" x14ac:dyDescent="0.35">
      <c r="B52" s="277" t="s">
        <v>1267</v>
      </c>
      <c r="C52" s="190" t="s">
        <v>1370</v>
      </c>
      <c r="D52" s="82">
        <v>1E-3</v>
      </c>
      <c r="E52" s="141">
        <v>0</v>
      </c>
      <c r="F52" s="141" t="s">
        <v>1089</v>
      </c>
      <c r="G52" s="82" t="s">
        <v>1525</v>
      </c>
      <c r="H52" s="82">
        <v>3</v>
      </c>
      <c r="I52" s="192"/>
      <c r="J52" s="193"/>
    </row>
    <row r="53" spans="2:10" s="145" customFormat="1" ht="18" x14ac:dyDescent="0.35">
      <c r="B53" s="277" t="s">
        <v>1276</v>
      </c>
      <c r="C53" s="190" t="s">
        <v>1371</v>
      </c>
      <c r="D53" s="194">
        <v>0.5</v>
      </c>
      <c r="E53" s="192">
        <v>0</v>
      </c>
      <c r="F53" s="192" t="s">
        <v>1089</v>
      </c>
      <c r="G53" s="195" t="s">
        <v>1229</v>
      </c>
      <c r="H53" s="192">
        <v>2</v>
      </c>
      <c r="I53" s="192"/>
      <c r="J53" s="193"/>
    </row>
    <row r="54" spans="2:10" s="145" customFormat="1" ht="18" x14ac:dyDescent="0.35">
      <c r="B54" s="277" t="s">
        <v>1277</v>
      </c>
      <c r="C54" s="190" t="s">
        <v>1372</v>
      </c>
      <c r="D54" s="194">
        <v>0.5</v>
      </c>
      <c r="E54" s="192">
        <v>0</v>
      </c>
      <c r="F54" s="192" t="s">
        <v>1089</v>
      </c>
      <c r="G54" s="195" t="s">
        <v>1229</v>
      </c>
      <c r="H54" s="192">
        <v>2</v>
      </c>
      <c r="I54" s="192"/>
      <c r="J54" s="193"/>
    </row>
    <row r="55" spans="2:10" s="145" customFormat="1" ht="18.75" thickBot="1" x14ac:dyDescent="0.3">
      <c r="B55" s="380" t="s">
        <v>1250</v>
      </c>
      <c r="C55" s="196" t="s">
        <v>1373</v>
      </c>
      <c r="D55" s="197">
        <v>10</v>
      </c>
      <c r="E55" s="198">
        <v>0</v>
      </c>
      <c r="F55" s="198" t="s">
        <v>1089</v>
      </c>
      <c r="G55" s="199" t="s">
        <v>1229</v>
      </c>
      <c r="H55" s="198">
        <v>1</v>
      </c>
      <c r="I55" s="198"/>
      <c r="J55" s="200"/>
    </row>
    <row r="56" spans="2:10" s="145" customFormat="1" ht="15.75" thickBot="1" x14ac:dyDescent="0.3">
      <c r="B56" s="365"/>
      <c r="C56" s="160"/>
      <c r="D56" s="186"/>
      <c r="E56" s="162"/>
      <c r="F56" s="162"/>
      <c r="G56" s="162"/>
      <c r="H56" s="162"/>
      <c r="I56" s="162"/>
    </row>
    <row r="57" spans="2:10" s="145" customFormat="1" ht="15.75" thickBot="1" x14ac:dyDescent="0.3">
      <c r="B57" s="109"/>
      <c r="C57" s="391" t="s">
        <v>311</v>
      </c>
      <c r="D57" s="121" t="s">
        <v>310</v>
      </c>
      <c r="E57" s="121"/>
      <c r="F57" s="121"/>
      <c r="G57" s="121"/>
      <c r="H57" s="121"/>
      <c r="I57" s="121"/>
    </row>
    <row r="58" spans="2:10" s="145" customFormat="1" ht="15.75" thickBot="1" x14ac:dyDescent="0.3">
      <c r="B58" s="284" t="s">
        <v>0</v>
      </c>
      <c r="C58" s="455" t="s">
        <v>1</v>
      </c>
      <c r="D58" s="140" t="s">
        <v>775</v>
      </c>
      <c r="E58" s="140" t="s">
        <v>385</v>
      </c>
      <c r="F58" s="140" t="s">
        <v>386</v>
      </c>
      <c r="G58" s="140" t="s">
        <v>2</v>
      </c>
      <c r="H58" s="140" t="s">
        <v>309</v>
      </c>
      <c r="I58" s="140" t="s">
        <v>113</v>
      </c>
      <c r="J58" s="142" t="s">
        <v>114</v>
      </c>
    </row>
    <row r="59" spans="2:10" s="145" customFormat="1" ht="18" x14ac:dyDescent="0.25">
      <c r="B59" s="752" t="s">
        <v>795</v>
      </c>
      <c r="C59" s="340" t="s">
        <v>1374</v>
      </c>
      <c r="D59" s="341">
        <v>2</v>
      </c>
      <c r="E59" s="342">
        <v>0</v>
      </c>
      <c r="F59" s="342" t="s">
        <v>1089</v>
      </c>
      <c r="G59" s="342" t="s">
        <v>741</v>
      </c>
      <c r="H59" s="342">
        <v>1</v>
      </c>
      <c r="I59" s="401" t="s">
        <v>1326</v>
      </c>
      <c r="J59" s="343"/>
    </row>
    <row r="60" spans="2:10" s="145" customFormat="1" ht="18" x14ac:dyDescent="0.25">
      <c r="B60" s="622" t="s">
        <v>1274</v>
      </c>
      <c r="C60" s="344" t="s">
        <v>1375</v>
      </c>
      <c r="D60" s="345">
        <v>0.05</v>
      </c>
      <c r="E60" s="346">
        <v>0</v>
      </c>
      <c r="F60" s="346" t="s">
        <v>1089</v>
      </c>
      <c r="G60" s="303" t="s">
        <v>1318</v>
      </c>
      <c r="H60" s="346">
        <v>2</v>
      </c>
      <c r="I60" s="346"/>
      <c r="J60" s="347"/>
    </row>
    <row r="61" spans="2:10" s="145" customFormat="1" ht="18" x14ac:dyDescent="0.25">
      <c r="B61" s="753" t="s">
        <v>2751</v>
      </c>
      <c r="C61" s="1045" t="s">
        <v>2752</v>
      </c>
      <c r="D61" s="1046">
        <v>500</v>
      </c>
      <c r="E61" s="739">
        <v>0</v>
      </c>
      <c r="F61" s="739" t="s">
        <v>1089</v>
      </c>
      <c r="G61" s="739" t="s">
        <v>779</v>
      </c>
      <c r="H61" s="739">
        <v>0</v>
      </c>
      <c r="I61" s="740"/>
      <c r="J61" s="741"/>
    </row>
    <row r="62" spans="2:10" s="145" customFormat="1" ht="36" x14ac:dyDescent="0.25">
      <c r="B62" s="753" t="s">
        <v>2753</v>
      </c>
      <c r="C62" s="1045" t="s">
        <v>2754</v>
      </c>
      <c r="D62" s="1046">
        <v>0.1</v>
      </c>
      <c r="E62" s="739">
        <v>0</v>
      </c>
      <c r="F62" s="739">
        <v>2</v>
      </c>
      <c r="G62" s="739" t="s">
        <v>258</v>
      </c>
      <c r="H62" s="739">
        <v>2</v>
      </c>
      <c r="I62" s="740"/>
      <c r="J62" s="741" t="s">
        <v>2755</v>
      </c>
    </row>
    <row r="63" spans="2:10" s="145" customFormat="1" ht="30" x14ac:dyDescent="0.25">
      <c r="B63" s="753" t="s">
        <v>2756</v>
      </c>
      <c r="C63" s="1047" t="s">
        <v>2757</v>
      </c>
      <c r="D63" s="1048">
        <v>500</v>
      </c>
      <c r="E63" s="739">
        <v>0</v>
      </c>
      <c r="F63" s="739" t="s">
        <v>1089</v>
      </c>
      <c r="G63" s="739" t="s">
        <v>779</v>
      </c>
      <c r="H63" s="739">
        <v>4</v>
      </c>
      <c r="I63" s="740"/>
      <c r="J63" s="741" t="s">
        <v>2758</v>
      </c>
    </row>
    <row r="64" spans="2:10" s="145" customFormat="1" ht="18" x14ac:dyDescent="0.25">
      <c r="B64" s="622" t="s">
        <v>797</v>
      </c>
      <c r="C64" s="344" t="s">
        <v>1376</v>
      </c>
      <c r="D64" s="345">
        <v>0.05</v>
      </c>
      <c r="E64" s="346">
        <v>0</v>
      </c>
      <c r="F64" s="346" t="s">
        <v>1089</v>
      </c>
      <c r="G64" s="346" t="s">
        <v>741</v>
      </c>
      <c r="H64" s="346">
        <v>2</v>
      </c>
      <c r="I64" s="346"/>
      <c r="J64" s="347"/>
    </row>
    <row r="65" spans="2:10" s="145" customFormat="1" ht="18" x14ac:dyDescent="0.25">
      <c r="B65" s="753" t="s">
        <v>2301</v>
      </c>
      <c r="C65" s="737" t="s">
        <v>2302</v>
      </c>
      <c r="D65" s="738">
        <v>7.0000000000000001E-3</v>
      </c>
      <c r="E65" s="739">
        <v>0</v>
      </c>
      <c r="F65" s="739" t="s">
        <v>1089</v>
      </c>
      <c r="G65" s="739" t="s">
        <v>778</v>
      </c>
      <c r="H65" s="739">
        <v>3</v>
      </c>
      <c r="I65" s="740"/>
      <c r="J65" s="741"/>
    </row>
    <row r="66" spans="2:10" s="145" customFormat="1" ht="18" x14ac:dyDescent="0.25">
      <c r="B66" s="753" t="s">
        <v>2303</v>
      </c>
      <c r="C66" s="737" t="s">
        <v>2304</v>
      </c>
      <c r="D66" s="778">
        <v>9.9999999999999995E-7</v>
      </c>
      <c r="E66" s="739">
        <v>0</v>
      </c>
      <c r="F66" s="739" t="s">
        <v>1089</v>
      </c>
      <c r="G66" s="739" t="s">
        <v>778</v>
      </c>
      <c r="H66" s="739">
        <v>6</v>
      </c>
      <c r="I66" s="740"/>
      <c r="J66" s="741"/>
    </row>
    <row r="67" spans="2:10" s="145" customFormat="1" ht="18" x14ac:dyDescent="0.25">
      <c r="B67" s="753" t="s">
        <v>2322</v>
      </c>
      <c r="C67" s="737" t="s">
        <v>2662</v>
      </c>
      <c r="D67" s="790">
        <v>10</v>
      </c>
      <c r="E67" s="739">
        <v>0</v>
      </c>
      <c r="F67" s="739" t="s">
        <v>1089</v>
      </c>
      <c r="G67" s="739" t="s">
        <v>779</v>
      </c>
      <c r="H67" s="739">
        <v>0</v>
      </c>
      <c r="I67" s="740"/>
      <c r="J67" s="741"/>
    </row>
    <row r="68" spans="2:10" s="145" customFormat="1" ht="18" x14ac:dyDescent="0.25">
      <c r="B68" s="622" t="s">
        <v>798</v>
      </c>
      <c r="C68" s="344" t="s">
        <v>1377</v>
      </c>
      <c r="D68" s="348">
        <v>1</v>
      </c>
      <c r="E68" s="346">
        <v>0</v>
      </c>
      <c r="F68" s="346" t="s">
        <v>1089</v>
      </c>
      <c r="G68" s="346" t="s">
        <v>741</v>
      </c>
      <c r="H68" s="346">
        <v>1</v>
      </c>
      <c r="I68" s="346"/>
      <c r="J68" s="347"/>
    </row>
    <row r="69" spans="2:10" s="145" customFormat="1" ht="18" x14ac:dyDescent="0.25">
      <c r="B69" s="622" t="s">
        <v>1462</v>
      </c>
      <c r="C69" s="344" t="s">
        <v>1505</v>
      </c>
      <c r="D69" s="349">
        <v>5.0000000000000001E-4</v>
      </c>
      <c r="E69" s="346">
        <v>0</v>
      </c>
      <c r="F69" s="346" t="s">
        <v>1089</v>
      </c>
      <c r="G69" s="346" t="s">
        <v>791</v>
      </c>
      <c r="H69" s="346">
        <v>4</v>
      </c>
      <c r="I69" s="346"/>
      <c r="J69" s="347"/>
    </row>
    <row r="70" spans="2:10" s="145" customFormat="1" ht="18" x14ac:dyDescent="0.25">
      <c r="B70" s="622" t="s">
        <v>1463</v>
      </c>
      <c r="C70" s="344" t="s">
        <v>1506</v>
      </c>
      <c r="D70" s="350">
        <v>1E-3</v>
      </c>
      <c r="E70" s="346">
        <v>0</v>
      </c>
      <c r="F70" s="346" t="s">
        <v>1089</v>
      </c>
      <c r="G70" s="346" t="s">
        <v>791</v>
      </c>
      <c r="H70" s="346">
        <v>3</v>
      </c>
      <c r="I70" s="346"/>
      <c r="J70" s="347"/>
    </row>
    <row r="71" spans="2:10" s="145" customFormat="1" ht="18" x14ac:dyDescent="0.25">
      <c r="B71" s="622" t="s">
        <v>1550</v>
      </c>
      <c r="C71" s="433" t="s">
        <v>1554</v>
      </c>
      <c r="D71" s="345">
        <v>1</v>
      </c>
      <c r="E71" s="346">
        <v>0</v>
      </c>
      <c r="F71" s="346" t="s">
        <v>1089</v>
      </c>
      <c r="G71" s="346" t="s">
        <v>741</v>
      </c>
      <c r="H71" s="346">
        <v>2</v>
      </c>
      <c r="I71" s="346"/>
      <c r="J71" s="347"/>
    </row>
    <row r="72" spans="2:10" s="145" customFormat="1" ht="18" x14ac:dyDescent="0.25">
      <c r="B72" s="622" t="s">
        <v>1551</v>
      </c>
      <c r="C72" s="433" t="s">
        <v>1555</v>
      </c>
      <c r="D72" s="345">
        <v>0.6</v>
      </c>
      <c r="E72" s="346">
        <v>0</v>
      </c>
      <c r="F72" s="346" t="s">
        <v>1089</v>
      </c>
      <c r="G72" s="346" t="s">
        <v>741</v>
      </c>
      <c r="H72" s="346">
        <v>2</v>
      </c>
      <c r="I72" s="346"/>
      <c r="J72" s="347"/>
    </row>
    <row r="73" spans="2:10" s="145" customFormat="1" ht="18" x14ac:dyDescent="0.25">
      <c r="B73" s="752" t="s">
        <v>1552</v>
      </c>
      <c r="C73" s="434" t="s">
        <v>1556</v>
      </c>
      <c r="D73" s="425">
        <v>5</v>
      </c>
      <c r="E73" s="342">
        <v>0</v>
      </c>
      <c r="F73" s="342" t="s">
        <v>1089</v>
      </c>
      <c r="G73" s="342" t="s">
        <v>741</v>
      </c>
      <c r="H73" s="342">
        <v>2</v>
      </c>
      <c r="I73" s="342"/>
      <c r="J73" s="343"/>
    </row>
    <row r="74" spans="2:10" s="145" customFormat="1" ht="18" x14ac:dyDescent="0.25">
      <c r="B74" s="1005" t="s">
        <v>1553</v>
      </c>
      <c r="C74" s="1006" t="s">
        <v>1557</v>
      </c>
      <c r="D74" s="1007">
        <v>0.6</v>
      </c>
      <c r="E74" s="1008">
        <v>0</v>
      </c>
      <c r="F74" s="1008" t="s">
        <v>1089</v>
      </c>
      <c r="G74" s="1008" t="s">
        <v>741</v>
      </c>
      <c r="H74" s="1008">
        <v>2</v>
      </c>
      <c r="I74" s="1008"/>
      <c r="J74" s="1009"/>
    </row>
    <row r="75" spans="2:10" s="145" customFormat="1" ht="18" x14ac:dyDescent="0.25">
      <c r="B75" s="1049" t="s">
        <v>2704</v>
      </c>
      <c r="C75" s="1050" t="s">
        <v>2703</v>
      </c>
      <c r="D75" s="1051">
        <v>3.36</v>
      </c>
      <c r="E75" s="1052">
        <v>0</v>
      </c>
      <c r="F75" s="1052" t="s">
        <v>1089</v>
      </c>
      <c r="G75" s="1052" t="s">
        <v>741</v>
      </c>
      <c r="H75" s="1052">
        <v>2</v>
      </c>
      <c r="I75" s="1052"/>
      <c r="J75" s="1053" t="s">
        <v>2699</v>
      </c>
    </row>
    <row r="76" spans="2:10" s="145" customFormat="1" ht="18" x14ac:dyDescent="0.25">
      <c r="B76" s="1049" t="s">
        <v>2705</v>
      </c>
      <c r="C76" s="1050" t="s">
        <v>2706</v>
      </c>
      <c r="D76" s="1051">
        <v>3.36</v>
      </c>
      <c r="E76" s="1052">
        <v>0</v>
      </c>
      <c r="F76" s="1052" t="s">
        <v>1089</v>
      </c>
      <c r="G76" s="1052" t="s">
        <v>741</v>
      </c>
      <c r="H76" s="1052">
        <v>2</v>
      </c>
      <c r="I76" s="1052"/>
      <c r="J76" s="1053" t="s">
        <v>2699</v>
      </c>
    </row>
    <row r="77" spans="2:10" s="145" customFormat="1" ht="18" x14ac:dyDescent="0.25">
      <c r="B77" s="1049" t="s">
        <v>2707</v>
      </c>
      <c r="C77" s="1050" t="s">
        <v>2710</v>
      </c>
      <c r="D77" s="1051">
        <v>5000</v>
      </c>
      <c r="E77" s="1052">
        <v>0</v>
      </c>
      <c r="F77" s="1052" t="s">
        <v>1089</v>
      </c>
      <c r="G77" s="1052" t="s">
        <v>2711</v>
      </c>
      <c r="H77" s="1052">
        <v>0</v>
      </c>
      <c r="I77" s="1052"/>
      <c r="J77" s="1053" t="s">
        <v>2712</v>
      </c>
    </row>
    <row r="78" spans="2:10" s="145" customFormat="1" ht="18.75" thickBot="1" x14ac:dyDescent="0.3">
      <c r="B78" s="1054" t="s">
        <v>2708</v>
      </c>
      <c r="C78" s="1055" t="s">
        <v>2709</v>
      </c>
      <c r="D78" s="1056">
        <v>20000</v>
      </c>
      <c r="E78" s="1057">
        <v>0</v>
      </c>
      <c r="F78" s="1057" t="s">
        <v>1089</v>
      </c>
      <c r="G78" s="1057" t="s">
        <v>2711</v>
      </c>
      <c r="H78" s="1057">
        <v>0</v>
      </c>
      <c r="I78" s="1057"/>
      <c r="J78" s="1058" t="s">
        <v>2713</v>
      </c>
    </row>
    <row r="79" spans="2:10" s="145" customFormat="1" ht="15.75" thickBot="1" x14ac:dyDescent="0.3">
      <c r="B79" s="109"/>
      <c r="C79" s="109"/>
      <c r="D79" s="121"/>
      <c r="E79" s="121"/>
      <c r="F79" s="121"/>
      <c r="G79" s="121"/>
      <c r="H79" s="121"/>
      <c r="I79" s="121"/>
    </row>
    <row r="80" spans="2:10" s="145" customFormat="1" ht="15.75" thickBot="1" x14ac:dyDescent="0.3">
      <c r="B80" s="109"/>
      <c r="C80" s="366" t="s">
        <v>1072</v>
      </c>
      <c r="D80" s="121" t="s">
        <v>310</v>
      </c>
      <c r="E80" s="121"/>
      <c r="F80" s="121"/>
      <c r="G80" s="121"/>
      <c r="H80" s="121"/>
      <c r="I80" s="121"/>
    </row>
    <row r="81" spans="1:10" s="145" customFormat="1" ht="15.75" thickBot="1" x14ac:dyDescent="0.3">
      <c r="B81" s="754" t="s">
        <v>0</v>
      </c>
      <c r="C81" s="457" t="s">
        <v>1</v>
      </c>
      <c r="D81" s="253" t="s">
        <v>775</v>
      </c>
      <c r="E81" s="253" t="s">
        <v>385</v>
      </c>
      <c r="F81" s="253" t="s">
        <v>386</v>
      </c>
      <c r="G81" s="253" t="s">
        <v>2</v>
      </c>
      <c r="H81" s="253" t="s">
        <v>309</v>
      </c>
      <c r="I81" s="253" t="s">
        <v>113</v>
      </c>
      <c r="J81" s="254" t="s">
        <v>114</v>
      </c>
    </row>
    <row r="82" spans="1:10" s="145" customFormat="1" ht="18.75" thickBot="1" x14ac:dyDescent="0.3">
      <c r="A82" s="145" t="s">
        <v>2084</v>
      </c>
      <c r="B82" s="558" t="s">
        <v>1073</v>
      </c>
      <c r="C82" s="201" t="s">
        <v>1521</v>
      </c>
      <c r="D82" s="202">
        <v>0.1</v>
      </c>
      <c r="E82" s="202" t="s">
        <v>1074</v>
      </c>
      <c r="F82" s="202">
        <v>1</v>
      </c>
      <c r="G82" s="204" t="s">
        <v>1229</v>
      </c>
      <c r="H82" s="204">
        <v>2</v>
      </c>
      <c r="I82" s="202"/>
      <c r="J82" s="255"/>
    </row>
    <row r="83" spans="1:10" s="145" customFormat="1" ht="15.75" thickBot="1" x14ac:dyDescent="0.3">
      <c r="B83" s="109"/>
      <c r="C83" s="160"/>
      <c r="D83" s="162"/>
      <c r="E83" s="162"/>
      <c r="F83" s="162"/>
      <c r="G83" s="162"/>
      <c r="H83" s="162"/>
      <c r="I83" s="162"/>
    </row>
    <row r="84" spans="1:10" s="145" customFormat="1" ht="15.75" thickBot="1" x14ac:dyDescent="0.3">
      <c r="B84" s="109"/>
      <c r="C84" s="391" t="s">
        <v>250</v>
      </c>
      <c r="D84" s="121" t="s">
        <v>310</v>
      </c>
      <c r="E84" s="121"/>
      <c r="F84" s="121"/>
      <c r="G84" s="121"/>
      <c r="H84" s="121"/>
      <c r="I84" s="121"/>
    </row>
    <row r="85" spans="1:10" s="145" customFormat="1" ht="15.75" thickBot="1" x14ac:dyDescent="0.3">
      <c r="B85" s="284" t="s">
        <v>0</v>
      </c>
      <c r="C85" s="455" t="s">
        <v>1</v>
      </c>
      <c r="D85" s="140" t="s">
        <v>775</v>
      </c>
      <c r="E85" s="140" t="s">
        <v>385</v>
      </c>
      <c r="F85" s="140" t="s">
        <v>386</v>
      </c>
      <c r="G85" s="140" t="s">
        <v>2</v>
      </c>
      <c r="H85" s="140" t="s">
        <v>309</v>
      </c>
      <c r="I85" s="140" t="s">
        <v>113</v>
      </c>
      <c r="J85" s="142" t="s">
        <v>114</v>
      </c>
    </row>
    <row r="86" spans="1:10" s="145" customFormat="1" ht="18" x14ac:dyDescent="0.25">
      <c r="B86" s="755" t="s">
        <v>802</v>
      </c>
      <c r="C86" s="322" t="s">
        <v>1090</v>
      </c>
      <c r="D86" s="323">
        <v>1.04</v>
      </c>
      <c r="E86" s="323">
        <v>0</v>
      </c>
      <c r="F86" s="323" t="s">
        <v>1089</v>
      </c>
      <c r="G86" s="324" t="s">
        <v>1229</v>
      </c>
      <c r="H86" s="324">
        <v>3</v>
      </c>
      <c r="I86" s="323"/>
      <c r="J86" s="325"/>
    </row>
    <row r="87" spans="1:10" s="145" customFormat="1" ht="18" x14ac:dyDescent="0.25">
      <c r="B87" s="756" t="s">
        <v>803</v>
      </c>
      <c r="C87" s="150" t="s">
        <v>1091</v>
      </c>
      <c r="D87" s="304">
        <v>1.04</v>
      </c>
      <c r="E87" s="304">
        <v>0</v>
      </c>
      <c r="F87" s="304" t="s">
        <v>1089</v>
      </c>
      <c r="G87" s="326" t="s">
        <v>1229</v>
      </c>
      <c r="H87" s="326">
        <v>3</v>
      </c>
      <c r="I87" s="304"/>
      <c r="J87" s="327"/>
    </row>
    <row r="88" spans="1:10" s="145" customFormat="1" ht="18" x14ac:dyDescent="0.25">
      <c r="B88" s="756" t="s">
        <v>804</v>
      </c>
      <c r="C88" s="150" t="s">
        <v>1092</v>
      </c>
      <c r="D88" s="304">
        <v>1.03</v>
      </c>
      <c r="E88" s="304">
        <v>0</v>
      </c>
      <c r="F88" s="304" t="s">
        <v>1089</v>
      </c>
      <c r="G88" s="326" t="s">
        <v>1229</v>
      </c>
      <c r="H88" s="326">
        <v>3</v>
      </c>
      <c r="I88" s="304"/>
      <c r="J88" s="327"/>
    </row>
    <row r="89" spans="1:10" s="145" customFormat="1" ht="18" x14ac:dyDescent="0.25">
      <c r="B89" s="757" t="s">
        <v>805</v>
      </c>
      <c r="C89" s="167" t="s">
        <v>1093</v>
      </c>
      <c r="D89" s="315">
        <v>1.0720000000000001</v>
      </c>
      <c r="E89" s="315">
        <v>0</v>
      </c>
      <c r="F89" s="315" t="s">
        <v>1089</v>
      </c>
      <c r="G89" s="328" t="s">
        <v>1229</v>
      </c>
      <c r="H89" s="328">
        <v>3</v>
      </c>
      <c r="I89" s="315"/>
      <c r="J89" s="329"/>
    </row>
    <row r="90" spans="1:10" s="145" customFormat="1" ht="18" x14ac:dyDescent="0.25">
      <c r="B90" s="757" t="s">
        <v>806</v>
      </c>
      <c r="C90" s="167" t="s">
        <v>1094</v>
      </c>
      <c r="D90" s="315">
        <v>1.03</v>
      </c>
      <c r="E90" s="315">
        <v>0</v>
      </c>
      <c r="F90" s="315" t="s">
        <v>1089</v>
      </c>
      <c r="G90" s="328" t="s">
        <v>1229</v>
      </c>
      <c r="H90" s="328">
        <v>3</v>
      </c>
      <c r="I90" s="315"/>
      <c r="J90" s="329"/>
    </row>
    <row r="91" spans="1:10" s="145" customFormat="1" ht="18" x14ac:dyDescent="0.25">
      <c r="B91" s="758" t="s">
        <v>807</v>
      </c>
      <c r="C91" s="330" t="s">
        <v>1095</v>
      </c>
      <c r="D91" s="310">
        <v>1.03</v>
      </c>
      <c r="E91" s="310">
        <v>0</v>
      </c>
      <c r="F91" s="310" t="s">
        <v>1089</v>
      </c>
      <c r="G91" s="331" t="s">
        <v>1229</v>
      </c>
      <c r="H91" s="331">
        <v>3</v>
      </c>
      <c r="I91" s="310"/>
      <c r="J91" s="332"/>
    </row>
    <row r="92" spans="1:10" s="145" customFormat="1" ht="18" x14ac:dyDescent="0.25">
      <c r="B92" s="758" t="s">
        <v>808</v>
      </c>
      <c r="C92" s="330" t="s">
        <v>1096</v>
      </c>
      <c r="D92" s="310">
        <v>1.03</v>
      </c>
      <c r="E92" s="310">
        <v>0</v>
      </c>
      <c r="F92" s="310" t="s">
        <v>1089</v>
      </c>
      <c r="G92" s="331" t="s">
        <v>1229</v>
      </c>
      <c r="H92" s="331">
        <v>3</v>
      </c>
      <c r="I92" s="310"/>
      <c r="J92" s="332"/>
    </row>
    <row r="93" spans="1:10" s="145" customFormat="1" ht="18" x14ac:dyDescent="0.25">
      <c r="B93" s="759" t="s">
        <v>809</v>
      </c>
      <c r="C93" s="333" t="s">
        <v>1097</v>
      </c>
      <c r="D93" s="305">
        <v>1.03</v>
      </c>
      <c r="E93" s="305">
        <v>0</v>
      </c>
      <c r="F93" s="305" t="s">
        <v>1089</v>
      </c>
      <c r="G93" s="334" t="s">
        <v>1229</v>
      </c>
      <c r="H93" s="334">
        <v>3</v>
      </c>
      <c r="I93" s="305"/>
      <c r="J93" s="335"/>
    </row>
    <row r="94" spans="1:10" s="145" customFormat="1" ht="18" x14ac:dyDescent="0.25">
      <c r="B94" s="759" t="s">
        <v>810</v>
      </c>
      <c r="C94" s="333" t="s">
        <v>1098</v>
      </c>
      <c r="D94" s="305">
        <v>1.03</v>
      </c>
      <c r="E94" s="305">
        <v>0</v>
      </c>
      <c r="F94" s="305" t="s">
        <v>1089</v>
      </c>
      <c r="G94" s="334" t="s">
        <v>1229</v>
      </c>
      <c r="H94" s="334">
        <v>3</v>
      </c>
      <c r="I94" s="305"/>
      <c r="J94" s="335"/>
    </row>
    <row r="95" spans="1:10" s="145" customFormat="1" ht="18" x14ac:dyDescent="0.25">
      <c r="B95" s="846" t="s">
        <v>2652</v>
      </c>
      <c r="C95" s="805" t="s">
        <v>2653</v>
      </c>
      <c r="D95" s="876">
        <v>1.04</v>
      </c>
      <c r="E95" s="876">
        <v>0</v>
      </c>
      <c r="F95" s="876" t="s">
        <v>1089</v>
      </c>
      <c r="G95" s="876" t="s">
        <v>1229</v>
      </c>
      <c r="H95" s="877">
        <v>3</v>
      </c>
      <c r="I95" s="805"/>
      <c r="J95" s="878"/>
    </row>
    <row r="96" spans="1:10" s="145" customFormat="1" ht="18" x14ac:dyDescent="0.25">
      <c r="B96" s="846" t="s">
        <v>2654</v>
      </c>
      <c r="C96" s="805" t="s">
        <v>2655</v>
      </c>
      <c r="D96" s="876">
        <v>1.03</v>
      </c>
      <c r="E96" s="876">
        <v>0</v>
      </c>
      <c r="F96" s="876" t="s">
        <v>1089</v>
      </c>
      <c r="G96" s="876" t="s">
        <v>1229</v>
      </c>
      <c r="H96" s="877">
        <v>3</v>
      </c>
      <c r="I96" s="805"/>
      <c r="J96" s="878"/>
    </row>
    <row r="97" spans="2:18" s="145" customFormat="1" ht="18" x14ac:dyDescent="0.25">
      <c r="B97" s="760" t="s">
        <v>811</v>
      </c>
      <c r="C97" s="336" t="s">
        <v>1099</v>
      </c>
      <c r="D97" s="337">
        <v>1.03</v>
      </c>
      <c r="E97" s="337">
        <v>0</v>
      </c>
      <c r="F97" s="337" t="s">
        <v>1089</v>
      </c>
      <c r="G97" s="338" t="s">
        <v>1229</v>
      </c>
      <c r="H97" s="338">
        <v>3</v>
      </c>
      <c r="I97" s="337"/>
      <c r="J97" s="339"/>
    </row>
    <row r="98" spans="2:18" s="145" customFormat="1" ht="18" x14ac:dyDescent="0.25">
      <c r="B98" s="760" t="s">
        <v>812</v>
      </c>
      <c r="C98" s="336" t="s">
        <v>1100</v>
      </c>
      <c r="D98" s="337">
        <v>1.03</v>
      </c>
      <c r="E98" s="337">
        <v>0</v>
      </c>
      <c r="F98" s="337" t="s">
        <v>1089</v>
      </c>
      <c r="G98" s="338" t="s">
        <v>1229</v>
      </c>
      <c r="H98" s="338">
        <v>3</v>
      </c>
      <c r="I98" s="337"/>
      <c r="J98" s="339"/>
    </row>
    <row r="99" spans="2:18" s="145" customFormat="1" ht="18" x14ac:dyDescent="0.25">
      <c r="B99" s="782" t="s">
        <v>2311</v>
      </c>
      <c r="C99" s="783" t="s">
        <v>2312</v>
      </c>
      <c r="D99" s="784">
        <v>1.03</v>
      </c>
      <c r="E99" s="784">
        <v>0</v>
      </c>
      <c r="F99" s="784" t="s">
        <v>1089</v>
      </c>
      <c r="G99" s="784" t="s">
        <v>1229</v>
      </c>
      <c r="H99" s="785">
        <v>3</v>
      </c>
      <c r="I99" s="780"/>
      <c r="J99" s="786"/>
    </row>
    <row r="100" spans="2:18" s="145" customFormat="1" ht="18" x14ac:dyDescent="0.25">
      <c r="B100" s="782" t="s">
        <v>2313</v>
      </c>
      <c r="C100" s="783" t="s">
        <v>2317</v>
      </c>
      <c r="D100" s="784">
        <v>1.03</v>
      </c>
      <c r="E100" s="784">
        <v>0</v>
      </c>
      <c r="F100" s="784" t="s">
        <v>1089</v>
      </c>
      <c r="G100" s="784" t="s">
        <v>1229</v>
      </c>
      <c r="H100" s="785">
        <v>3</v>
      </c>
      <c r="I100" s="780"/>
      <c r="J100" s="786"/>
    </row>
    <row r="101" spans="2:18" s="145" customFormat="1" ht="18" x14ac:dyDescent="0.25">
      <c r="B101" s="760" t="s">
        <v>813</v>
      </c>
      <c r="C101" s="336" t="s">
        <v>1101</v>
      </c>
      <c r="D101" s="337">
        <v>1.03</v>
      </c>
      <c r="E101" s="337">
        <v>0</v>
      </c>
      <c r="F101" s="337" t="s">
        <v>1089</v>
      </c>
      <c r="G101" s="338" t="s">
        <v>1229</v>
      </c>
      <c r="H101" s="338">
        <v>3</v>
      </c>
      <c r="I101" s="337"/>
      <c r="J101" s="339"/>
    </row>
    <row r="102" spans="2:18" s="145" customFormat="1" ht="18.75" thickBot="1" x14ac:dyDescent="0.3">
      <c r="B102" s="761" t="s">
        <v>801</v>
      </c>
      <c r="C102" s="201" t="s">
        <v>256</v>
      </c>
      <c r="D102" s="354">
        <v>20</v>
      </c>
      <c r="E102" s="202">
        <v>1</v>
      </c>
      <c r="F102" s="202">
        <v>60</v>
      </c>
      <c r="G102" s="202" t="s">
        <v>800</v>
      </c>
      <c r="H102" s="202">
        <v>1</v>
      </c>
      <c r="I102" s="202"/>
      <c r="J102" s="203"/>
    </row>
    <row r="103" spans="2:18" s="145" customFormat="1" ht="15.75" thickBot="1" x14ac:dyDescent="0.3">
      <c r="B103" s="109"/>
      <c r="C103" s="206"/>
      <c r="E103" s="162"/>
      <c r="F103" s="162"/>
      <c r="G103" s="162"/>
      <c r="H103" s="162"/>
      <c r="I103" s="162"/>
    </row>
    <row r="104" spans="2:18" s="145" customFormat="1" ht="15.75" thickBot="1" x14ac:dyDescent="0.3">
      <c r="B104" s="109"/>
      <c r="C104" s="392" t="s">
        <v>1230</v>
      </c>
      <c r="D104" s="121" t="s">
        <v>325</v>
      </c>
      <c r="E104" s="121"/>
      <c r="F104" s="121"/>
      <c r="G104" s="121"/>
      <c r="H104" s="121"/>
      <c r="I104" s="121"/>
    </row>
    <row r="105" spans="2:18" s="145" customFormat="1" ht="15.75" thickBot="1" x14ac:dyDescent="0.3">
      <c r="B105" s="762" t="s">
        <v>0</v>
      </c>
      <c r="C105" s="458" t="s">
        <v>1</v>
      </c>
      <c r="D105" s="307" t="s">
        <v>775</v>
      </c>
      <c r="E105" s="307" t="s">
        <v>385</v>
      </c>
      <c r="F105" s="307" t="s">
        <v>386</v>
      </c>
      <c r="G105" s="307" t="s">
        <v>2</v>
      </c>
      <c r="H105" s="307" t="s">
        <v>309</v>
      </c>
      <c r="I105" s="307" t="s">
        <v>113</v>
      </c>
      <c r="J105" s="308" t="s">
        <v>114</v>
      </c>
    </row>
    <row r="106" spans="2:18" s="145" customFormat="1" ht="18" x14ac:dyDescent="0.25">
      <c r="B106" s="763" t="s">
        <v>1305</v>
      </c>
      <c r="C106" s="317" t="s">
        <v>1378</v>
      </c>
      <c r="D106" s="318">
        <v>0.67</v>
      </c>
      <c r="E106" s="318">
        <v>0</v>
      </c>
      <c r="F106" s="318">
        <v>1</v>
      </c>
      <c r="G106" s="318" t="s">
        <v>2294</v>
      </c>
      <c r="H106" s="318">
        <v>2</v>
      </c>
      <c r="I106" s="318"/>
      <c r="J106" s="319"/>
    </row>
    <row r="107" spans="2:18" s="145" customFormat="1" ht="18" x14ac:dyDescent="0.25">
      <c r="B107" s="756" t="s">
        <v>1306</v>
      </c>
      <c r="C107" s="320" t="s">
        <v>1379</v>
      </c>
      <c r="D107" s="304">
        <v>0.54</v>
      </c>
      <c r="E107" s="304">
        <v>0</v>
      </c>
      <c r="F107" s="304">
        <v>1</v>
      </c>
      <c r="G107" s="304" t="s">
        <v>2294</v>
      </c>
      <c r="H107" s="304">
        <v>2</v>
      </c>
      <c r="I107" s="304"/>
      <c r="J107" s="321"/>
    </row>
    <row r="108" spans="2:18" s="145" customFormat="1" ht="18" x14ac:dyDescent="0.25">
      <c r="B108" s="757" t="s">
        <v>814</v>
      </c>
      <c r="C108" s="314" t="s">
        <v>1380</v>
      </c>
      <c r="D108" s="315">
        <v>0.24</v>
      </c>
      <c r="E108" s="315">
        <v>0</v>
      </c>
      <c r="F108" s="315">
        <v>1</v>
      </c>
      <c r="G108" s="315" t="s">
        <v>2294</v>
      </c>
      <c r="H108" s="315">
        <v>2</v>
      </c>
      <c r="I108" s="315"/>
      <c r="J108" s="316"/>
    </row>
    <row r="109" spans="2:18" s="145" customFormat="1" ht="18" x14ac:dyDescent="0.25">
      <c r="B109" s="758" t="s">
        <v>816</v>
      </c>
      <c r="C109" s="309" t="s">
        <v>1381</v>
      </c>
      <c r="D109" s="310">
        <v>0.1</v>
      </c>
      <c r="E109" s="310">
        <v>0</v>
      </c>
      <c r="F109" s="310">
        <v>1</v>
      </c>
      <c r="G109" s="310" t="s">
        <v>2294</v>
      </c>
      <c r="H109" s="310">
        <v>2</v>
      </c>
      <c r="I109" s="310"/>
      <c r="J109" s="311"/>
    </row>
    <row r="110" spans="2:18" s="145" customFormat="1" ht="18.75" thickBot="1" x14ac:dyDescent="0.3">
      <c r="B110" s="764" t="s">
        <v>815</v>
      </c>
      <c r="C110" s="312" t="s">
        <v>1382</v>
      </c>
      <c r="D110" s="306">
        <v>0.1</v>
      </c>
      <c r="E110" s="306">
        <v>0</v>
      </c>
      <c r="F110" s="306">
        <v>1</v>
      </c>
      <c r="G110" s="306" t="s">
        <v>2294</v>
      </c>
      <c r="H110" s="306">
        <v>2</v>
      </c>
      <c r="I110" s="306"/>
      <c r="J110" s="313"/>
    </row>
    <row r="111" spans="2:18" s="123" customFormat="1" ht="15.75" thickBot="1" x14ac:dyDescent="0.3">
      <c r="B111" s="109"/>
      <c r="C111" s="160"/>
      <c r="D111" s="162"/>
      <c r="E111" s="162"/>
      <c r="F111" s="162"/>
      <c r="G111" s="162"/>
      <c r="H111" s="162"/>
      <c r="I111" s="162"/>
      <c r="J111" s="145"/>
      <c r="K111" s="145"/>
      <c r="L111" s="162"/>
      <c r="M111" s="205"/>
      <c r="N111" s="205"/>
      <c r="O111" s="145"/>
      <c r="P111" s="145"/>
      <c r="Q111" s="145"/>
      <c r="R111" s="145"/>
    </row>
    <row r="112" spans="2:18" s="123" customFormat="1" ht="15.75" thickBot="1" x14ac:dyDescent="0.3">
      <c r="B112" s="109"/>
      <c r="C112" s="393" t="s">
        <v>763</v>
      </c>
      <c r="D112" s="121" t="s">
        <v>325</v>
      </c>
      <c r="E112" s="121"/>
      <c r="F112" s="121"/>
      <c r="G112" s="121"/>
      <c r="H112" s="121"/>
      <c r="I112" s="121"/>
      <c r="J112" s="145"/>
      <c r="K112" s="145"/>
      <c r="L112" s="162"/>
      <c r="M112" s="205"/>
      <c r="N112" s="205"/>
      <c r="O112" s="145"/>
      <c r="P112" s="145"/>
      <c r="Q112" s="145"/>
      <c r="R112" s="145"/>
    </row>
    <row r="113" spans="2:18" s="123" customFormat="1" ht="15.75" thickBot="1" x14ac:dyDescent="0.3">
      <c r="B113" s="284" t="s">
        <v>0</v>
      </c>
      <c r="C113" s="455" t="s">
        <v>1</v>
      </c>
      <c r="D113" s="140" t="s">
        <v>775</v>
      </c>
      <c r="E113" s="140" t="s">
        <v>385</v>
      </c>
      <c r="F113" s="140" t="s">
        <v>386</v>
      </c>
      <c r="G113" s="140" t="s">
        <v>2</v>
      </c>
      <c r="H113" s="140" t="s">
        <v>309</v>
      </c>
      <c r="I113" s="140" t="s">
        <v>113</v>
      </c>
      <c r="J113" s="142" t="s">
        <v>114</v>
      </c>
      <c r="K113" s="145"/>
      <c r="L113" s="162"/>
      <c r="M113" s="205"/>
      <c r="N113" s="205"/>
      <c r="O113" s="145"/>
      <c r="P113" s="206"/>
      <c r="Q113" s="145"/>
      <c r="R113" s="145"/>
    </row>
    <row r="114" spans="2:18" s="145" customFormat="1" ht="18.75" x14ac:dyDescent="0.25">
      <c r="B114" s="765" t="s">
        <v>817</v>
      </c>
      <c r="C114" s="414" t="s">
        <v>1383</v>
      </c>
      <c r="D114" s="415">
        <v>0.25</v>
      </c>
      <c r="E114" s="415">
        <v>0</v>
      </c>
      <c r="F114" s="415" t="s">
        <v>1089</v>
      </c>
      <c r="G114" s="416" t="s">
        <v>1526</v>
      </c>
      <c r="H114" s="415">
        <v>2</v>
      </c>
      <c r="I114" s="415"/>
      <c r="J114" s="417"/>
    </row>
    <row r="115" spans="2:18" s="145" customFormat="1" ht="18.75" x14ac:dyDescent="0.25">
      <c r="B115" s="279" t="s">
        <v>818</v>
      </c>
      <c r="C115" s="190" t="s">
        <v>1384</v>
      </c>
      <c r="D115" s="192">
        <v>0.08</v>
      </c>
      <c r="E115" s="192">
        <v>0</v>
      </c>
      <c r="F115" s="192" t="s">
        <v>1089</v>
      </c>
      <c r="G115" s="195" t="s">
        <v>1527</v>
      </c>
      <c r="H115" s="192">
        <v>2</v>
      </c>
      <c r="I115" s="192"/>
      <c r="J115" s="193"/>
    </row>
    <row r="116" spans="2:18" s="145" customFormat="1" ht="18" x14ac:dyDescent="0.25">
      <c r="B116" s="622" t="s">
        <v>819</v>
      </c>
      <c r="C116" s="670" t="s">
        <v>251</v>
      </c>
      <c r="D116" s="671">
        <v>7.0000000000000007E-2</v>
      </c>
      <c r="E116" s="625">
        <v>0</v>
      </c>
      <c r="F116" s="625" t="s">
        <v>1089</v>
      </c>
      <c r="G116" s="625" t="s">
        <v>820</v>
      </c>
      <c r="H116" s="625">
        <v>3</v>
      </c>
      <c r="I116" s="672"/>
      <c r="J116" s="673"/>
      <c r="K116" s="205"/>
      <c r="M116" s="687"/>
      <c r="N116" s="687"/>
    </row>
    <row r="117" spans="2:18" s="145" customFormat="1" ht="18" x14ac:dyDescent="0.25">
      <c r="B117" s="760" t="s">
        <v>2339</v>
      </c>
      <c r="C117" s="670" t="s">
        <v>2340</v>
      </c>
      <c r="D117" s="671">
        <v>7.0000000000000007E-2</v>
      </c>
      <c r="E117" s="625">
        <v>0</v>
      </c>
      <c r="F117" s="625">
        <v>0.5</v>
      </c>
      <c r="G117" s="625" t="s">
        <v>2341</v>
      </c>
      <c r="H117" s="625">
        <v>3</v>
      </c>
      <c r="I117" s="672"/>
      <c r="J117" s="673"/>
      <c r="K117" s="205"/>
    </row>
    <row r="118" spans="2:18" s="145" customFormat="1" ht="18" x14ac:dyDescent="0.25">
      <c r="B118" s="622" t="s">
        <v>1252</v>
      </c>
      <c r="C118" s="670" t="s">
        <v>1253</v>
      </c>
      <c r="D118" s="671">
        <v>0.06</v>
      </c>
      <c r="E118" s="625">
        <v>0</v>
      </c>
      <c r="F118" s="625">
        <v>0.5</v>
      </c>
      <c r="G118" s="625" t="s">
        <v>820</v>
      </c>
      <c r="H118" s="625">
        <v>3</v>
      </c>
      <c r="I118" s="672"/>
      <c r="J118" s="673"/>
      <c r="K118" s="205"/>
      <c r="M118" s="687"/>
      <c r="N118" s="687"/>
    </row>
    <row r="119" spans="2:18" s="145" customFormat="1" ht="18" x14ac:dyDescent="0.25">
      <c r="B119" s="622" t="s">
        <v>2221</v>
      </c>
      <c r="C119" s="670" t="s">
        <v>2222</v>
      </c>
      <c r="D119" s="671">
        <v>0.01</v>
      </c>
      <c r="E119" s="625">
        <v>0</v>
      </c>
      <c r="F119" s="625">
        <v>0.1</v>
      </c>
      <c r="G119" s="625" t="s">
        <v>820</v>
      </c>
      <c r="H119" s="625">
        <v>3</v>
      </c>
      <c r="I119" s="672"/>
      <c r="J119" s="673"/>
      <c r="K119" s="205"/>
      <c r="M119" s="687" t="s">
        <v>239</v>
      </c>
      <c r="N119" s="687" t="s">
        <v>240</v>
      </c>
    </row>
    <row r="120" spans="2:18" s="145" customFormat="1" ht="18" x14ac:dyDescent="0.25">
      <c r="B120" s="622" t="s">
        <v>2223</v>
      </c>
      <c r="C120" s="670" t="s">
        <v>2224</v>
      </c>
      <c r="D120" s="671">
        <v>0.01</v>
      </c>
      <c r="E120" s="625">
        <v>0</v>
      </c>
      <c r="F120" s="625">
        <v>0.1</v>
      </c>
      <c r="G120" s="625" t="s">
        <v>820</v>
      </c>
      <c r="H120" s="625">
        <v>3</v>
      </c>
      <c r="I120" s="672"/>
      <c r="J120" s="673"/>
      <c r="K120" s="205"/>
      <c r="L120" s="688" t="s">
        <v>353</v>
      </c>
      <c r="M120" s="689">
        <f>A_MP/A_MFe</f>
        <v>0.55463805533172172</v>
      </c>
      <c r="N120" s="689">
        <f>A_MP/A_MAl</f>
        <v>1.1479629449808202</v>
      </c>
    </row>
    <row r="121" spans="2:18" s="145" customFormat="1" ht="18" x14ac:dyDescent="0.25">
      <c r="B121" s="818" t="s">
        <v>821</v>
      </c>
      <c r="C121" s="819" t="s">
        <v>252</v>
      </c>
      <c r="D121" s="820">
        <v>0.02</v>
      </c>
      <c r="E121" s="821">
        <v>0</v>
      </c>
      <c r="F121" s="821" t="s">
        <v>1089</v>
      </c>
      <c r="G121" s="821" t="s">
        <v>822</v>
      </c>
      <c r="H121" s="821">
        <v>3</v>
      </c>
      <c r="I121" s="822"/>
      <c r="J121" s="823"/>
      <c r="K121" s="205"/>
    </row>
    <row r="122" spans="2:18" s="145" customFormat="1" ht="18" x14ac:dyDescent="0.25">
      <c r="B122" s="818" t="s">
        <v>2342</v>
      </c>
      <c r="C122" s="819" t="s">
        <v>2343</v>
      </c>
      <c r="D122" s="820">
        <v>0.02</v>
      </c>
      <c r="E122" s="821">
        <v>0</v>
      </c>
      <c r="F122" s="821">
        <v>0.1</v>
      </c>
      <c r="G122" s="821" t="s">
        <v>2344</v>
      </c>
      <c r="H122" s="821">
        <v>3</v>
      </c>
      <c r="I122" s="822"/>
      <c r="J122" s="823"/>
      <c r="K122" s="205"/>
    </row>
    <row r="123" spans="2:18" s="145" customFormat="1" ht="18" x14ac:dyDescent="0.25">
      <c r="B123" s="818" t="s">
        <v>1558</v>
      </c>
      <c r="C123" s="819" t="s">
        <v>1564</v>
      </c>
      <c r="D123" s="820">
        <f>M120</f>
        <v>0.55463805533172172</v>
      </c>
      <c r="E123" s="821">
        <v>0</v>
      </c>
      <c r="F123" s="821" t="s">
        <v>1089</v>
      </c>
      <c r="G123" s="821" t="s">
        <v>1566</v>
      </c>
      <c r="H123" s="821">
        <v>4</v>
      </c>
      <c r="I123" s="822"/>
      <c r="J123" s="823"/>
      <c r="K123" s="205"/>
      <c r="L123" s="145" t="s">
        <v>2291</v>
      </c>
      <c r="M123" s="145">
        <f>(A_MFe+3*(A_MH+A_MO))/A_MFe</f>
        <v>1.9136363147998925</v>
      </c>
      <c r="N123" s="145">
        <f>(A_MAl+3*(A_MH+A_MO))/A_MP</f>
        <v>2.5183740837269033</v>
      </c>
    </row>
    <row r="124" spans="2:18" s="145" customFormat="1" ht="18" x14ac:dyDescent="0.25">
      <c r="B124" s="622" t="s">
        <v>1559</v>
      </c>
      <c r="C124" s="344" t="s">
        <v>1594</v>
      </c>
      <c r="D124" s="349">
        <v>8.2900000000000001E-2</v>
      </c>
      <c r="E124" s="346">
        <v>0</v>
      </c>
      <c r="F124" s="346" t="s">
        <v>1089</v>
      </c>
      <c r="G124" s="346" t="s">
        <v>1567</v>
      </c>
      <c r="H124" s="346">
        <v>4</v>
      </c>
      <c r="I124" s="346"/>
      <c r="J124" s="347"/>
      <c r="K124" s="162"/>
      <c r="L124" s="688" t="s">
        <v>2292</v>
      </c>
      <c r="M124" s="689">
        <f>(A_MFe+A_MP+4*A_MO)/A_MFe</f>
        <v>2.7006242671680543</v>
      </c>
      <c r="N124" s="689">
        <f>(A_MAl+A_MP+4*A_MO)/A_MP</f>
        <v>3.9372957476893138</v>
      </c>
      <c r="O124" s="690"/>
      <c r="P124" s="206"/>
    </row>
    <row r="125" spans="2:18" s="145" customFormat="1" ht="18" x14ac:dyDescent="0.25">
      <c r="B125" s="622" t="s">
        <v>1560</v>
      </c>
      <c r="C125" s="344" t="s">
        <v>1595</v>
      </c>
      <c r="D125" s="349">
        <v>0.25286491566808916</v>
      </c>
      <c r="E125" s="346">
        <v>0</v>
      </c>
      <c r="F125" s="346" t="s">
        <v>1089</v>
      </c>
      <c r="G125" s="346" t="s">
        <v>1567</v>
      </c>
      <c r="H125" s="346">
        <v>4</v>
      </c>
      <c r="I125" s="346"/>
      <c r="J125" s="347" t="s">
        <v>1590</v>
      </c>
      <c r="K125" s="162"/>
      <c r="L125" s="688" t="s">
        <v>253</v>
      </c>
      <c r="M125" s="689">
        <f>3*(2*A_MH+A_MO)/(2*(A_MFe+3*(A_MH+A_MO)))</f>
        <v>0.25286491566808916</v>
      </c>
      <c r="N125" s="689">
        <f>3*(2*A_MH+A_MO)/(2*(A_MAl+3*(A_MH+A_MO)))</f>
        <v>0.34643205845069558</v>
      </c>
      <c r="O125" s="691" t="s">
        <v>1590</v>
      </c>
      <c r="P125" s="691" t="s">
        <v>1591</v>
      </c>
      <c r="Q125" s="692"/>
    </row>
    <row r="126" spans="2:18" s="145" customFormat="1" ht="18" x14ac:dyDescent="0.25">
      <c r="B126" s="766" t="s">
        <v>1561</v>
      </c>
      <c r="C126" s="426" t="s">
        <v>1565</v>
      </c>
      <c r="D126" s="427">
        <f>N120</f>
        <v>1.1479629449808202</v>
      </c>
      <c r="E126" s="428">
        <v>0</v>
      </c>
      <c r="F126" s="428" t="s">
        <v>1089</v>
      </c>
      <c r="G126" s="428" t="s">
        <v>1568</v>
      </c>
      <c r="H126" s="428">
        <v>4</v>
      </c>
      <c r="I126" s="428"/>
      <c r="J126" s="429"/>
      <c r="K126" s="205"/>
      <c r="L126" s="688" t="s">
        <v>253</v>
      </c>
      <c r="M126" s="693">
        <v>0.17</v>
      </c>
      <c r="N126" s="694">
        <f>M126*(A_MFe+3*A_MH+3*A_MO)/(A_MAl+3*A_MH+3*A_MO)</f>
        <v>0.23290478942488754</v>
      </c>
      <c r="O126" s="206" t="s">
        <v>1592</v>
      </c>
      <c r="P126" s="206" t="s">
        <v>1593</v>
      </c>
    </row>
    <row r="127" spans="2:18" s="145" customFormat="1" ht="18" x14ac:dyDescent="0.25">
      <c r="B127" s="766" t="s">
        <v>1562</v>
      </c>
      <c r="C127" s="426" t="s">
        <v>1596</v>
      </c>
      <c r="D127" s="427">
        <v>0.1135</v>
      </c>
      <c r="E127" s="428">
        <v>0</v>
      </c>
      <c r="F127" s="428" t="s">
        <v>1089</v>
      </c>
      <c r="G127" s="428" t="s">
        <v>1569</v>
      </c>
      <c r="H127" s="428">
        <v>4</v>
      </c>
      <c r="I127" s="428"/>
      <c r="J127" s="429"/>
      <c r="K127" s="205"/>
      <c r="L127" s="688" t="s">
        <v>253</v>
      </c>
      <c r="M127" s="694">
        <f>M125-M126</f>
        <v>8.2864915668089151E-2</v>
      </c>
      <c r="N127" s="694">
        <f>N125-N126</f>
        <v>0.11352726902580804</v>
      </c>
      <c r="O127" s="206" t="s">
        <v>2272</v>
      </c>
    </row>
    <row r="128" spans="2:18" s="145" customFormat="1" ht="18" x14ac:dyDescent="0.25">
      <c r="B128" s="766" t="s">
        <v>1563</v>
      </c>
      <c r="C128" s="426" t="s">
        <v>1597</v>
      </c>
      <c r="D128" s="427">
        <v>0.34643205845069558</v>
      </c>
      <c r="E128" s="428">
        <v>0</v>
      </c>
      <c r="F128" s="428" t="s">
        <v>1089</v>
      </c>
      <c r="G128" s="428" t="s">
        <v>1569</v>
      </c>
      <c r="H128" s="428">
        <v>4</v>
      </c>
      <c r="I128" s="428"/>
      <c r="J128" s="429" t="s">
        <v>1590</v>
      </c>
      <c r="K128" s="205"/>
      <c r="L128" s="205"/>
    </row>
    <row r="129" spans="1:11" s="145" customFormat="1" ht="18" x14ac:dyDescent="0.25">
      <c r="B129" s="278" t="s">
        <v>823</v>
      </c>
      <c r="C129" s="190" t="s">
        <v>1385</v>
      </c>
      <c r="D129" s="194">
        <v>1.42</v>
      </c>
      <c r="E129" s="192">
        <v>0</v>
      </c>
      <c r="F129" s="192" t="s">
        <v>1089</v>
      </c>
      <c r="G129" s="192" t="s">
        <v>824</v>
      </c>
      <c r="H129" s="192">
        <v>2</v>
      </c>
      <c r="I129" s="192"/>
      <c r="J129" s="193"/>
      <c r="K129" s="205"/>
    </row>
    <row r="130" spans="1:11" s="145" customFormat="1" ht="18" x14ac:dyDescent="0.25">
      <c r="B130" s="278" t="s">
        <v>1502</v>
      </c>
      <c r="C130" s="190" t="s">
        <v>1386</v>
      </c>
      <c r="D130" s="194">
        <v>1.8</v>
      </c>
      <c r="E130" s="192">
        <v>0</v>
      </c>
      <c r="F130" s="192" t="s">
        <v>1089</v>
      </c>
      <c r="G130" s="192" t="s">
        <v>824</v>
      </c>
      <c r="H130" s="192">
        <v>2</v>
      </c>
      <c r="I130" s="192" t="s">
        <v>1313</v>
      </c>
      <c r="J130" s="193"/>
      <c r="K130" s="205"/>
    </row>
    <row r="131" spans="1:11" s="145" customFormat="1" ht="18" x14ac:dyDescent="0.25">
      <c r="B131" s="278" t="s">
        <v>1496</v>
      </c>
      <c r="C131" s="190" t="s">
        <v>1497</v>
      </c>
      <c r="D131" s="194">
        <v>1.3</v>
      </c>
      <c r="E131" s="192">
        <v>0</v>
      </c>
      <c r="F131" s="192" t="s">
        <v>1089</v>
      </c>
      <c r="G131" s="192" t="s">
        <v>824</v>
      </c>
      <c r="H131" s="192">
        <v>2</v>
      </c>
      <c r="I131" s="192" t="s">
        <v>1314</v>
      </c>
      <c r="J131" s="193"/>
      <c r="K131" s="205"/>
    </row>
    <row r="132" spans="1:11" s="145" customFormat="1" ht="18" x14ac:dyDescent="0.25">
      <c r="B132" s="278" t="s">
        <v>1050</v>
      </c>
      <c r="C132" s="190" t="s">
        <v>1387</v>
      </c>
      <c r="D132" s="194">
        <v>1.0660000000000001</v>
      </c>
      <c r="E132" s="192">
        <v>0</v>
      </c>
      <c r="F132" s="192" t="s">
        <v>1089</v>
      </c>
      <c r="G132" s="192" t="s">
        <v>1283</v>
      </c>
      <c r="H132" s="192">
        <v>2</v>
      </c>
      <c r="I132" s="192"/>
      <c r="J132" s="193"/>
      <c r="K132" s="205"/>
    </row>
    <row r="133" spans="1:11" s="145" customFormat="1" ht="18" x14ac:dyDescent="0.25">
      <c r="B133" s="278" t="s">
        <v>1051</v>
      </c>
      <c r="C133" s="190" t="s">
        <v>1388</v>
      </c>
      <c r="D133" s="194">
        <v>0.92600000000000005</v>
      </c>
      <c r="E133" s="192">
        <v>0</v>
      </c>
      <c r="F133" s="192" t="s">
        <v>1089</v>
      </c>
      <c r="G133" s="192" t="s">
        <v>1283</v>
      </c>
      <c r="H133" s="192">
        <v>2</v>
      </c>
      <c r="I133" s="192"/>
      <c r="J133" s="193"/>
    </row>
    <row r="134" spans="1:11" s="145" customFormat="1" ht="18" x14ac:dyDescent="0.25">
      <c r="B134" s="278" t="s">
        <v>1503</v>
      </c>
      <c r="C134" s="190" t="s">
        <v>1389</v>
      </c>
      <c r="D134" s="194">
        <v>1.42</v>
      </c>
      <c r="E134" s="192">
        <v>0</v>
      </c>
      <c r="F134" s="192" t="s">
        <v>1089</v>
      </c>
      <c r="G134" s="192" t="s">
        <v>824</v>
      </c>
      <c r="H134" s="192">
        <v>2</v>
      </c>
      <c r="I134" s="192"/>
      <c r="J134" s="193"/>
    </row>
    <row r="135" spans="1:11" s="145" customFormat="1" ht="18" x14ac:dyDescent="0.25">
      <c r="B135" s="767" t="s">
        <v>1240</v>
      </c>
      <c r="C135" s="187" t="s">
        <v>340</v>
      </c>
      <c r="D135" s="413">
        <v>0.95</v>
      </c>
      <c r="E135" s="188">
        <v>0</v>
      </c>
      <c r="F135" s="188" t="s">
        <v>1089</v>
      </c>
      <c r="G135" s="387" t="s">
        <v>1528</v>
      </c>
      <c r="H135" s="188">
        <v>2</v>
      </c>
      <c r="I135" s="188"/>
      <c r="J135" s="189"/>
    </row>
    <row r="136" spans="1:11" s="145" customFormat="1" ht="18" x14ac:dyDescent="0.25">
      <c r="B136" s="767" t="s">
        <v>1529</v>
      </c>
      <c r="C136" s="187" t="s">
        <v>1530</v>
      </c>
      <c r="D136" s="413">
        <v>0.9</v>
      </c>
      <c r="E136" s="188">
        <v>0</v>
      </c>
      <c r="F136" s="188" t="s">
        <v>1089</v>
      </c>
      <c r="G136" s="282" t="s">
        <v>1229</v>
      </c>
      <c r="H136" s="188">
        <v>2</v>
      </c>
      <c r="I136" s="188"/>
      <c r="J136" s="189"/>
    </row>
    <row r="137" spans="1:11" s="145" customFormat="1" ht="18.75" thickBot="1" x14ac:dyDescent="0.4">
      <c r="B137" s="768" t="s">
        <v>1531</v>
      </c>
      <c r="C137" s="196" t="s">
        <v>1532</v>
      </c>
      <c r="D137" s="197">
        <v>0.5</v>
      </c>
      <c r="E137" s="198">
        <v>0</v>
      </c>
      <c r="F137" s="198" t="s">
        <v>1089</v>
      </c>
      <c r="G137" s="199" t="s">
        <v>1229</v>
      </c>
      <c r="H137" s="198">
        <v>2</v>
      </c>
      <c r="I137" s="198"/>
      <c r="J137" s="200"/>
    </row>
    <row r="138" spans="1:11" s="145" customFormat="1" ht="15.75" thickBot="1" x14ac:dyDescent="0.3">
      <c r="B138" s="365"/>
      <c r="C138" s="160"/>
      <c r="D138" s="186"/>
      <c r="E138" s="162"/>
      <c r="F138" s="162"/>
      <c r="G138" s="162"/>
      <c r="H138" s="162"/>
      <c r="I138" s="162"/>
    </row>
    <row r="139" spans="1:11" s="145" customFormat="1" ht="15.75" thickBot="1" x14ac:dyDescent="0.3">
      <c r="B139" s="109"/>
      <c r="C139" s="366" t="s">
        <v>1087</v>
      </c>
      <c r="D139" s="121" t="s">
        <v>310</v>
      </c>
      <c r="E139" s="121"/>
      <c r="F139" s="121"/>
      <c r="G139" s="121"/>
      <c r="H139" s="121"/>
      <c r="I139" s="121"/>
    </row>
    <row r="140" spans="1:11" ht="15.75" thickBot="1" x14ac:dyDescent="0.3">
      <c r="B140" s="769" t="s">
        <v>0</v>
      </c>
      <c r="C140" s="459" t="s">
        <v>1</v>
      </c>
      <c r="D140" s="290" t="s">
        <v>775</v>
      </c>
      <c r="E140" s="290" t="s">
        <v>385</v>
      </c>
      <c r="F140" s="290" t="s">
        <v>386</v>
      </c>
      <c r="G140" s="290" t="s">
        <v>2</v>
      </c>
      <c r="H140" s="290" t="s">
        <v>309</v>
      </c>
      <c r="I140" s="290" t="s">
        <v>113</v>
      </c>
      <c r="J140" s="291" t="s">
        <v>114</v>
      </c>
    </row>
    <row r="141" spans="1:11" s="145" customFormat="1" ht="18" x14ac:dyDescent="0.35">
      <c r="B141" s="770" t="s">
        <v>2090</v>
      </c>
      <c r="C141" s="561" t="s">
        <v>2091</v>
      </c>
      <c r="D141" s="562">
        <v>13</v>
      </c>
      <c r="E141" s="562">
        <v>0</v>
      </c>
      <c r="F141" s="562" t="s">
        <v>1089</v>
      </c>
      <c r="G141" s="562" t="s">
        <v>1834</v>
      </c>
      <c r="H141" s="562">
        <v>2</v>
      </c>
      <c r="I141" s="562"/>
      <c r="J141" s="563"/>
    </row>
    <row r="142" spans="1:11" s="145" customFormat="1" ht="18" x14ac:dyDescent="0.35">
      <c r="B142" s="771" t="s">
        <v>2089</v>
      </c>
      <c r="C142" s="485" t="s">
        <v>2092</v>
      </c>
      <c r="D142" s="486">
        <v>7.6</v>
      </c>
      <c r="E142" s="486">
        <v>0</v>
      </c>
      <c r="F142" s="486" t="s">
        <v>1089</v>
      </c>
      <c r="G142" s="486" t="s">
        <v>1834</v>
      </c>
      <c r="H142" s="486">
        <v>2</v>
      </c>
      <c r="I142" s="486"/>
      <c r="J142" s="487"/>
    </row>
    <row r="143" spans="1:11" s="145" customFormat="1" ht="18" x14ac:dyDescent="0.35">
      <c r="A143" s="145" t="s">
        <v>2084</v>
      </c>
      <c r="B143" s="816" t="s">
        <v>2337</v>
      </c>
      <c r="C143" s="560" t="s">
        <v>2338</v>
      </c>
      <c r="D143" s="677">
        <f>7.6 * 0.03</f>
        <v>0.22799999999999998</v>
      </c>
      <c r="E143" s="677">
        <v>0</v>
      </c>
      <c r="F143" s="677" t="s">
        <v>1089</v>
      </c>
      <c r="G143" s="677" t="s">
        <v>1834</v>
      </c>
      <c r="H143" s="677">
        <v>2</v>
      </c>
      <c r="I143" s="483"/>
      <c r="J143" s="817"/>
    </row>
    <row r="144" spans="1:11" ht="18" x14ac:dyDescent="0.25">
      <c r="A144" s="145"/>
      <c r="B144" s="772" t="s">
        <v>1835</v>
      </c>
      <c r="C144" s="483" t="s">
        <v>1390</v>
      </c>
      <c r="D144" s="482">
        <v>1</v>
      </c>
      <c r="E144" s="482">
        <v>0</v>
      </c>
      <c r="F144" s="482" t="s">
        <v>1089</v>
      </c>
      <c r="G144" s="482" t="s">
        <v>258</v>
      </c>
      <c r="H144" s="482">
        <v>2</v>
      </c>
      <c r="I144" s="482"/>
      <c r="J144" s="484"/>
    </row>
    <row r="145" spans="1:10" ht="18" x14ac:dyDescent="0.25">
      <c r="A145" s="145"/>
      <c r="B145" s="773" t="s">
        <v>1836</v>
      </c>
      <c r="C145" s="485" t="s">
        <v>1391</v>
      </c>
      <c r="D145" s="486">
        <v>1</v>
      </c>
      <c r="E145" s="482">
        <v>0</v>
      </c>
      <c r="F145" s="482" t="s">
        <v>1089</v>
      </c>
      <c r="G145" s="486" t="s">
        <v>258</v>
      </c>
      <c r="H145" s="486">
        <v>2</v>
      </c>
      <c r="I145" s="486"/>
      <c r="J145" s="487"/>
    </row>
    <row r="146" spans="1:10" ht="18" x14ac:dyDescent="0.25">
      <c r="B146" s="774" t="s">
        <v>1837</v>
      </c>
      <c r="C146" s="641" t="s">
        <v>1392</v>
      </c>
      <c r="D146" s="642">
        <v>1</v>
      </c>
      <c r="E146" s="646">
        <v>0</v>
      </c>
      <c r="F146" s="646" t="s">
        <v>1089</v>
      </c>
      <c r="G146" s="642" t="s">
        <v>258</v>
      </c>
      <c r="H146" s="642">
        <v>2</v>
      </c>
      <c r="I146" s="642"/>
      <c r="J146" s="643"/>
    </row>
    <row r="147" spans="1:10" ht="18" x14ac:dyDescent="0.25">
      <c r="B147" s="775" t="s">
        <v>2186</v>
      </c>
      <c r="C147" s="560" t="s">
        <v>2237</v>
      </c>
      <c r="D147" s="677">
        <v>1.4E-3</v>
      </c>
      <c r="E147" s="677">
        <v>0</v>
      </c>
      <c r="F147" s="677" t="s">
        <v>1089</v>
      </c>
      <c r="G147" s="677" t="s">
        <v>2187</v>
      </c>
      <c r="H147" s="677">
        <v>4</v>
      </c>
      <c r="I147" s="677"/>
      <c r="J147" s="193"/>
    </row>
    <row r="148" spans="1:10" ht="18" x14ac:dyDescent="0.25">
      <c r="B148" s="775" t="s">
        <v>2188</v>
      </c>
      <c r="C148" s="560" t="s">
        <v>2238</v>
      </c>
      <c r="D148" s="677">
        <v>1</v>
      </c>
      <c r="E148" s="677">
        <v>0</v>
      </c>
      <c r="F148" s="677">
        <v>1</v>
      </c>
      <c r="G148" s="677" t="s">
        <v>1229</v>
      </c>
      <c r="H148" s="677">
        <v>1</v>
      </c>
      <c r="I148" s="677"/>
      <c r="J148" s="193"/>
    </row>
    <row r="149" spans="1:10" ht="18" x14ac:dyDescent="0.25">
      <c r="B149" s="775" t="s">
        <v>2239</v>
      </c>
      <c r="C149" s="560" t="s">
        <v>2240</v>
      </c>
      <c r="D149" s="677">
        <v>0.05</v>
      </c>
      <c r="E149" s="677">
        <v>0</v>
      </c>
      <c r="F149" s="677" t="s">
        <v>1089</v>
      </c>
      <c r="G149" s="602" t="s">
        <v>1338</v>
      </c>
      <c r="H149" s="677">
        <v>2</v>
      </c>
      <c r="I149" s="677"/>
      <c r="J149" s="193"/>
    </row>
    <row r="150" spans="1:10" ht="18" x14ac:dyDescent="0.25">
      <c r="B150" s="775" t="s">
        <v>2241</v>
      </c>
      <c r="C150" s="560" t="s">
        <v>2242</v>
      </c>
      <c r="D150" s="677">
        <v>2.5</v>
      </c>
      <c r="E150" s="677">
        <v>0</v>
      </c>
      <c r="F150" s="677" t="s">
        <v>1089</v>
      </c>
      <c r="G150" s="677" t="s">
        <v>1229</v>
      </c>
      <c r="H150" s="677">
        <v>1</v>
      </c>
      <c r="I150" s="677"/>
      <c r="J150" s="193"/>
    </row>
    <row r="151" spans="1:10" ht="18" x14ac:dyDescent="0.25">
      <c r="B151" s="775" t="s">
        <v>2189</v>
      </c>
      <c r="C151" s="560" t="s">
        <v>2243</v>
      </c>
      <c r="D151" s="677">
        <v>4.2</v>
      </c>
      <c r="E151" s="677">
        <v>0</v>
      </c>
      <c r="F151" s="677" t="s">
        <v>1089</v>
      </c>
      <c r="G151" s="677" t="s">
        <v>1229</v>
      </c>
      <c r="H151" s="677">
        <v>1</v>
      </c>
      <c r="I151" s="677"/>
      <c r="J151" s="193"/>
    </row>
    <row r="152" spans="1:10" ht="18" x14ac:dyDescent="0.25">
      <c r="B152" s="775" t="s">
        <v>2190</v>
      </c>
      <c r="C152" s="560" t="s">
        <v>2244</v>
      </c>
      <c r="D152" s="677">
        <v>7.3</v>
      </c>
      <c r="E152" s="677">
        <v>0</v>
      </c>
      <c r="F152" s="677" t="s">
        <v>1089</v>
      </c>
      <c r="G152" s="677" t="s">
        <v>1229</v>
      </c>
      <c r="H152" s="677">
        <v>1</v>
      </c>
      <c r="I152" s="677"/>
      <c r="J152" s="193"/>
    </row>
    <row r="153" spans="1:10" ht="18" x14ac:dyDescent="0.25">
      <c r="B153" s="775" t="s">
        <v>2245</v>
      </c>
      <c r="C153" s="560" t="s">
        <v>2246</v>
      </c>
      <c r="D153" s="677">
        <v>-0.28999999999999998</v>
      </c>
      <c r="E153" s="678" t="s">
        <v>1330</v>
      </c>
      <c r="F153" s="677" t="s">
        <v>1089</v>
      </c>
      <c r="G153" s="677" t="s">
        <v>2247</v>
      </c>
      <c r="H153" s="677">
        <v>2</v>
      </c>
      <c r="I153" s="677"/>
      <c r="J153" s="193"/>
    </row>
    <row r="154" spans="1:10" ht="18" x14ac:dyDescent="0.25">
      <c r="B154" s="775" t="s">
        <v>2191</v>
      </c>
      <c r="C154" s="560" t="s">
        <v>2248</v>
      </c>
      <c r="D154" s="677">
        <v>-7.1099999999999997E-2</v>
      </c>
      <c r="E154" s="678" t="s">
        <v>1330</v>
      </c>
      <c r="F154" s="677" t="s">
        <v>1089</v>
      </c>
      <c r="G154" s="677" t="s">
        <v>2249</v>
      </c>
      <c r="H154" s="677">
        <v>4</v>
      </c>
      <c r="I154" s="677"/>
      <c r="J154" s="193"/>
    </row>
    <row r="155" spans="1:10" ht="18" x14ac:dyDescent="0.25">
      <c r="B155" s="775" t="s">
        <v>2192</v>
      </c>
      <c r="C155" s="560" t="s">
        <v>2250</v>
      </c>
      <c r="D155" s="677">
        <v>-4.7399999999999998E-2</v>
      </c>
      <c r="E155" s="678" t="s">
        <v>1330</v>
      </c>
      <c r="F155" s="677" t="s">
        <v>1089</v>
      </c>
      <c r="G155" s="677" t="s">
        <v>2251</v>
      </c>
      <c r="H155" s="677">
        <v>4</v>
      </c>
      <c r="I155" s="677"/>
      <c r="J155" s="193"/>
    </row>
    <row r="156" spans="1:10" ht="18" x14ac:dyDescent="0.25">
      <c r="B156" s="775" t="s">
        <v>2193</v>
      </c>
      <c r="C156" s="560" t="s">
        <v>2252</v>
      </c>
      <c r="D156" s="677">
        <v>-7.8700000000000005E-4</v>
      </c>
      <c r="E156" s="678" t="s">
        <v>1330</v>
      </c>
      <c r="F156" s="677" t="s">
        <v>1089</v>
      </c>
      <c r="G156" s="677" t="s">
        <v>2253</v>
      </c>
      <c r="H156" s="677">
        <v>6</v>
      </c>
      <c r="I156" s="677"/>
      <c r="J156" s="193"/>
    </row>
    <row r="157" spans="1:10" ht="18" x14ac:dyDescent="0.25">
      <c r="B157" s="775" t="s">
        <v>2194</v>
      </c>
      <c r="C157" s="560" t="s">
        <v>2254</v>
      </c>
      <c r="D157" s="677">
        <v>2.3199999999999998E-2</v>
      </c>
      <c r="E157" s="678" t="s">
        <v>1330</v>
      </c>
      <c r="F157" s="677" t="s">
        <v>1089</v>
      </c>
      <c r="G157" s="677" t="s">
        <v>2251</v>
      </c>
      <c r="H157" s="677">
        <v>4</v>
      </c>
      <c r="I157" s="677"/>
      <c r="J157" s="193"/>
    </row>
    <row r="158" spans="1:10" ht="18.75" thickBot="1" x14ac:dyDescent="0.3">
      <c r="B158" s="776" t="s">
        <v>2195</v>
      </c>
      <c r="C158" s="196" t="s">
        <v>2255</v>
      </c>
      <c r="D158" s="644">
        <v>0.877</v>
      </c>
      <c r="E158" s="644">
        <v>0</v>
      </c>
      <c r="F158" s="644" t="s">
        <v>1089</v>
      </c>
      <c r="G158" s="644" t="s">
        <v>1229</v>
      </c>
      <c r="H158" s="644">
        <v>3</v>
      </c>
      <c r="I158" s="644"/>
      <c r="J158" s="645"/>
    </row>
    <row r="159" spans="1:10" ht="15.75" thickBot="1" x14ac:dyDescent="0.3">
      <c r="C159" s="679"/>
    </row>
    <row r="160" spans="1:10" ht="15.75" thickBot="1" x14ac:dyDescent="0.3">
      <c r="C160" s="392" t="s">
        <v>1327</v>
      </c>
      <c r="D160" s="121" t="s">
        <v>310</v>
      </c>
      <c r="J160" s="145"/>
    </row>
    <row r="161" spans="2:10" ht="15.75" thickBot="1" x14ac:dyDescent="0.3">
      <c r="B161" s="777" t="s">
        <v>0</v>
      </c>
      <c r="C161" s="460" t="s">
        <v>1</v>
      </c>
      <c r="D161" s="402" t="s">
        <v>775</v>
      </c>
      <c r="E161" s="402" t="s">
        <v>385</v>
      </c>
      <c r="F161" s="402" t="s">
        <v>386</v>
      </c>
      <c r="G161" s="402" t="s">
        <v>2</v>
      </c>
      <c r="H161" s="402" t="s">
        <v>309</v>
      </c>
      <c r="I161" s="402" t="s">
        <v>113</v>
      </c>
      <c r="J161" s="403" t="s">
        <v>114</v>
      </c>
    </row>
    <row r="162" spans="2:10" ht="18" x14ac:dyDescent="0.25">
      <c r="B162" s="765" t="s">
        <v>1328</v>
      </c>
      <c r="C162" s="404" t="s">
        <v>1329</v>
      </c>
      <c r="D162" s="405">
        <v>-300</v>
      </c>
      <c r="E162" s="405" t="s">
        <v>1330</v>
      </c>
      <c r="F162" s="405" t="s">
        <v>1089</v>
      </c>
      <c r="G162" s="405" t="s">
        <v>1331</v>
      </c>
      <c r="H162" s="405">
        <v>1</v>
      </c>
      <c r="I162" s="405"/>
      <c r="J162" s="406"/>
    </row>
    <row r="163" spans="2:10" ht="18" x14ac:dyDescent="0.25">
      <c r="B163" s="279" t="s">
        <v>1332</v>
      </c>
      <c r="C163" s="80" t="s">
        <v>1333</v>
      </c>
      <c r="D163" s="82">
        <v>300</v>
      </c>
      <c r="E163" s="82">
        <v>0</v>
      </c>
      <c r="F163" s="82" t="s">
        <v>1089</v>
      </c>
      <c r="G163" s="82" t="s">
        <v>1331</v>
      </c>
      <c r="H163" s="82">
        <v>1</v>
      </c>
      <c r="I163" s="82"/>
      <c r="J163" s="116"/>
    </row>
    <row r="164" spans="2:10" ht="18" x14ac:dyDescent="0.25">
      <c r="B164" s="279" t="s">
        <v>1334</v>
      </c>
      <c r="C164" s="80" t="s">
        <v>1335</v>
      </c>
      <c r="D164" s="82">
        <v>70</v>
      </c>
      <c r="E164" s="82">
        <v>0</v>
      </c>
      <c r="F164" s="82" t="s">
        <v>1089</v>
      </c>
      <c r="G164" s="82" t="s">
        <v>1331</v>
      </c>
      <c r="H164" s="82">
        <v>1</v>
      </c>
      <c r="I164" s="82"/>
      <c r="J164" s="116"/>
    </row>
    <row r="165" spans="2:10" ht="18" x14ac:dyDescent="0.25">
      <c r="B165" s="279" t="s">
        <v>1336</v>
      </c>
      <c r="C165" s="80" t="s">
        <v>1337</v>
      </c>
      <c r="D165" s="82">
        <v>0.05</v>
      </c>
      <c r="E165" s="82">
        <v>0</v>
      </c>
      <c r="F165" s="82" t="s">
        <v>1089</v>
      </c>
      <c r="G165" s="82" t="s">
        <v>1338</v>
      </c>
      <c r="H165" s="82">
        <v>1</v>
      </c>
      <c r="I165" s="82"/>
      <c r="J165" s="116"/>
    </row>
    <row r="166" spans="2:10" ht="18" x14ac:dyDescent="0.25">
      <c r="B166" s="279" t="s">
        <v>1339</v>
      </c>
      <c r="C166" s="80" t="s">
        <v>1340</v>
      </c>
      <c r="D166" s="82">
        <v>0.1</v>
      </c>
      <c r="E166" s="82">
        <v>0</v>
      </c>
      <c r="F166" s="82" t="s">
        <v>1089</v>
      </c>
      <c r="G166" s="82" t="s">
        <v>791</v>
      </c>
      <c r="H166" s="82">
        <v>1</v>
      </c>
      <c r="I166" s="82"/>
      <c r="J166" s="116"/>
    </row>
    <row r="167" spans="2:10" ht="18.75" outlineLevel="1" thickBot="1" x14ac:dyDescent="0.3">
      <c r="B167" s="380" t="s">
        <v>2940</v>
      </c>
      <c r="C167" s="264" t="s">
        <v>2941</v>
      </c>
      <c r="D167" s="127">
        <v>0.05</v>
      </c>
      <c r="E167" s="127">
        <v>0</v>
      </c>
      <c r="F167" s="127" t="s">
        <v>1089</v>
      </c>
      <c r="G167" s="127" t="s">
        <v>799</v>
      </c>
      <c r="H167" s="127"/>
      <c r="I167" s="264"/>
      <c r="J167" s="542"/>
    </row>
    <row r="168" spans="2:10" ht="15.75" thickBot="1" x14ac:dyDescent="0.3"/>
    <row r="169" spans="2:10" ht="15.75" thickBot="1" x14ac:dyDescent="0.3">
      <c r="C169" s="392" t="s">
        <v>2151</v>
      </c>
      <c r="D169" s="121" t="s">
        <v>325</v>
      </c>
      <c r="J169" s="145"/>
    </row>
    <row r="170" spans="2:10" ht="15.75" thickBot="1" x14ac:dyDescent="0.3">
      <c r="B170" s="583" t="s">
        <v>0</v>
      </c>
      <c r="C170" s="584" t="s">
        <v>1</v>
      </c>
      <c r="D170" s="452" t="s">
        <v>775</v>
      </c>
      <c r="E170" s="452" t="s">
        <v>385</v>
      </c>
      <c r="F170" s="452" t="s">
        <v>386</v>
      </c>
      <c r="G170" s="452" t="s">
        <v>2</v>
      </c>
      <c r="H170" s="452" t="s">
        <v>309</v>
      </c>
      <c r="I170" s="452" t="s">
        <v>113</v>
      </c>
      <c r="J170" s="557" t="s">
        <v>114</v>
      </c>
    </row>
    <row r="171" spans="2:10" ht="18.75" thickBot="1" x14ac:dyDescent="0.3">
      <c r="B171" s="663" t="s">
        <v>2152</v>
      </c>
      <c r="C171" s="435" t="s">
        <v>2899</v>
      </c>
      <c r="D171" s="351">
        <v>4</v>
      </c>
      <c r="E171" s="352">
        <v>0</v>
      </c>
      <c r="F171" s="352">
        <v>9</v>
      </c>
      <c r="G171" s="352" t="s">
        <v>2153</v>
      </c>
      <c r="H171" s="352">
        <v>2</v>
      </c>
      <c r="I171" s="1132"/>
      <c r="J171" s="1133" t="s">
        <v>2900</v>
      </c>
    </row>
    <row r="172" spans="2:10" ht="15.75" thickBot="1" x14ac:dyDescent="0.3"/>
    <row r="173" spans="2:10" ht="15.75" thickBot="1" x14ac:dyDescent="0.3">
      <c r="C173" s="392" t="s">
        <v>2154</v>
      </c>
      <c r="D173" s="121" t="s">
        <v>325</v>
      </c>
      <c r="J173" s="145"/>
    </row>
    <row r="174" spans="2:10" ht="15.75" thickBot="1" x14ac:dyDescent="0.3">
      <c r="B174" s="583" t="s">
        <v>0</v>
      </c>
      <c r="C174" s="584" t="s">
        <v>1</v>
      </c>
      <c r="D174" s="452" t="s">
        <v>775</v>
      </c>
      <c r="E174" s="452" t="s">
        <v>385</v>
      </c>
      <c r="F174" s="452" t="s">
        <v>386</v>
      </c>
      <c r="G174" s="452" t="s">
        <v>2</v>
      </c>
      <c r="H174" s="452" t="s">
        <v>309</v>
      </c>
      <c r="I174" s="452" t="s">
        <v>113</v>
      </c>
      <c r="J174" s="557" t="s">
        <v>114</v>
      </c>
    </row>
    <row r="175" spans="2:10" ht="18" x14ac:dyDescent="0.25">
      <c r="B175" s="622" t="s">
        <v>2155</v>
      </c>
      <c r="C175" s="623" t="s">
        <v>2156</v>
      </c>
      <c r="D175" s="624">
        <v>5.1999999999999998E-2</v>
      </c>
      <c r="E175" s="625">
        <v>0</v>
      </c>
      <c r="F175" s="625">
        <v>5</v>
      </c>
      <c r="G175" s="625" t="s">
        <v>2153</v>
      </c>
      <c r="H175" s="625">
        <v>2</v>
      </c>
      <c r="I175" s="625"/>
      <c r="J175" s="347" t="s">
        <v>2157</v>
      </c>
    </row>
    <row r="176" spans="2:10" ht="18" x14ac:dyDescent="0.25">
      <c r="B176" s="622" t="s">
        <v>2158</v>
      </c>
      <c r="C176" s="623" t="s">
        <v>2159</v>
      </c>
      <c r="D176" s="624">
        <v>5.1999999999999998E-2</v>
      </c>
      <c r="E176" s="625">
        <v>0</v>
      </c>
      <c r="F176" s="625">
        <v>5</v>
      </c>
      <c r="G176" s="625" t="s">
        <v>2153</v>
      </c>
      <c r="H176" s="625">
        <v>2</v>
      </c>
      <c r="I176" s="625"/>
      <c r="J176" s="347"/>
    </row>
    <row r="177" spans="2:10" ht="18" x14ac:dyDescent="0.25">
      <c r="B177" s="622" t="s">
        <v>2160</v>
      </c>
      <c r="C177" s="623" t="s">
        <v>2161</v>
      </c>
      <c r="D177" s="624">
        <v>5.1999999999999998E-2</v>
      </c>
      <c r="E177" s="625">
        <v>0</v>
      </c>
      <c r="F177" s="625">
        <v>5</v>
      </c>
      <c r="G177" s="625" t="s">
        <v>2153</v>
      </c>
      <c r="H177" s="625">
        <v>2</v>
      </c>
      <c r="I177" s="625"/>
      <c r="J177" s="347"/>
    </row>
    <row r="178" spans="2:10" ht="18" x14ac:dyDescent="0.25">
      <c r="B178" s="622" t="s">
        <v>2162</v>
      </c>
      <c r="C178" s="623" t="s">
        <v>2163</v>
      </c>
      <c r="D178" s="624">
        <v>5.1999999999999998E-2</v>
      </c>
      <c r="E178" s="625">
        <v>0</v>
      </c>
      <c r="F178" s="625">
        <v>5</v>
      </c>
      <c r="G178" s="625" t="s">
        <v>2153</v>
      </c>
      <c r="H178" s="625">
        <v>2</v>
      </c>
      <c r="I178" s="625"/>
      <c r="J178" s="347"/>
    </row>
    <row r="179" spans="2:10" ht="18.75" thickBot="1" x14ac:dyDescent="0.3">
      <c r="B179" s="663" t="s">
        <v>2164</v>
      </c>
      <c r="C179" s="435" t="s">
        <v>2165</v>
      </c>
      <c r="D179" s="351">
        <v>5.1999999999999998E-2</v>
      </c>
      <c r="E179" s="352">
        <v>0</v>
      </c>
      <c r="F179" s="352">
        <v>5</v>
      </c>
      <c r="G179" s="352" t="s">
        <v>2153</v>
      </c>
      <c r="H179" s="352">
        <v>2</v>
      </c>
      <c r="I179" s="352"/>
      <c r="J179" s="353"/>
    </row>
    <row r="180" spans="2:10" ht="15.75" thickBot="1" x14ac:dyDescent="0.3"/>
    <row r="181" spans="2:10" ht="15.75" thickBot="1" x14ac:dyDescent="0.3">
      <c r="C181" s="392" t="s">
        <v>2166</v>
      </c>
      <c r="D181" s="121" t="s">
        <v>325</v>
      </c>
      <c r="J181" s="145"/>
    </row>
    <row r="182" spans="2:10" ht="15.75" thickBot="1" x14ac:dyDescent="0.3">
      <c r="B182" s="583" t="s">
        <v>0</v>
      </c>
      <c r="C182" s="584" t="s">
        <v>1</v>
      </c>
      <c r="D182" s="452" t="s">
        <v>775</v>
      </c>
      <c r="E182" s="452" t="s">
        <v>385</v>
      </c>
      <c r="F182" s="452" t="s">
        <v>386</v>
      </c>
      <c r="G182" s="452" t="s">
        <v>2</v>
      </c>
      <c r="H182" s="452" t="s">
        <v>309</v>
      </c>
      <c r="I182" s="452" t="s">
        <v>113</v>
      </c>
      <c r="J182" s="557" t="s">
        <v>114</v>
      </c>
    </row>
    <row r="183" spans="2:10" ht="18" x14ac:dyDescent="0.25">
      <c r="B183" s="622" t="s">
        <v>2167</v>
      </c>
      <c r="C183" s="623" t="s">
        <v>2168</v>
      </c>
      <c r="D183" s="624">
        <v>0.11</v>
      </c>
      <c r="E183" s="625">
        <v>0</v>
      </c>
      <c r="F183" s="625">
        <v>5</v>
      </c>
      <c r="G183" s="625" t="s">
        <v>2153</v>
      </c>
      <c r="H183" s="625">
        <v>2</v>
      </c>
      <c r="I183" s="625"/>
      <c r="J183" s="347" t="s">
        <v>2169</v>
      </c>
    </row>
    <row r="184" spans="2:10" ht="18" x14ac:dyDescent="0.25">
      <c r="B184" s="622" t="s">
        <v>2170</v>
      </c>
      <c r="C184" s="623" t="s">
        <v>2171</v>
      </c>
      <c r="D184" s="624">
        <v>0.11</v>
      </c>
      <c r="E184" s="625">
        <v>0</v>
      </c>
      <c r="F184" s="625">
        <v>5</v>
      </c>
      <c r="G184" s="625" t="s">
        <v>2153</v>
      </c>
      <c r="H184" s="625">
        <v>2</v>
      </c>
      <c r="I184" s="625"/>
      <c r="J184" s="347"/>
    </row>
    <row r="185" spans="2:10" ht="18" x14ac:dyDescent="0.25">
      <c r="B185" s="622" t="s">
        <v>2172</v>
      </c>
      <c r="C185" s="623" t="s">
        <v>2173</v>
      </c>
      <c r="D185" s="624">
        <v>0.11</v>
      </c>
      <c r="E185" s="625">
        <v>0</v>
      </c>
      <c r="F185" s="625">
        <v>5</v>
      </c>
      <c r="G185" s="625" t="s">
        <v>2153</v>
      </c>
      <c r="H185" s="625">
        <v>2</v>
      </c>
      <c r="I185" s="625"/>
      <c r="J185" s="347"/>
    </row>
    <row r="186" spans="2:10" ht="18" x14ac:dyDescent="0.25">
      <c r="B186" s="622" t="s">
        <v>2174</v>
      </c>
      <c r="C186" s="623" t="s">
        <v>2175</v>
      </c>
      <c r="D186" s="624">
        <v>0.11</v>
      </c>
      <c r="E186" s="625">
        <v>0</v>
      </c>
      <c r="F186" s="625">
        <v>5</v>
      </c>
      <c r="G186" s="625" t="s">
        <v>2153</v>
      </c>
      <c r="H186" s="625">
        <v>2</v>
      </c>
      <c r="I186" s="625"/>
      <c r="J186" s="347"/>
    </row>
    <row r="187" spans="2:10" ht="18.75" thickBot="1" x14ac:dyDescent="0.3">
      <c r="B187" s="663" t="s">
        <v>2176</v>
      </c>
      <c r="C187" s="435" t="s">
        <v>2177</v>
      </c>
      <c r="D187" s="351">
        <v>0.33</v>
      </c>
      <c r="E187" s="352">
        <v>0</v>
      </c>
      <c r="F187" s="352">
        <v>5</v>
      </c>
      <c r="G187" s="352" t="s">
        <v>2153</v>
      </c>
      <c r="H187" s="352">
        <v>2</v>
      </c>
      <c r="I187" s="352"/>
      <c r="J187" s="353" t="s">
        <v>2178</v>
      </c>
    </row>
    <row r="188" spans="2:10" ht="15.75" thickBot="1" x14ac:dyDescent="0.3">
      <c r="I188" s="109"/>
      <c r="J188" s="109"/>
    </row>
    <row r="189" spans="2:10" ht="15.75" thickBot="1" x14ac:dyDescent="0.3">
      <c r="C189" s="837" t="s">
        <v>2875</v>
      </c>
      <c r="D189" s="121" t="s">
        <v>325</v>
      </c>
      <c r="I189" s="109"/>
      <c r="J189" s="206"/>
    </row>
    <row r="190" spans="2:10" ht="15.75" thickBot="1" x14ac:dyDescent="0.3">
      <c r="B190" s="1086" t="s">
        <v>0</v>
      </c>
      <c r="C190" s="1087" t="s">
        <v>1</v>
      </c>
      <c r="D190" s="1088" t="s">
        <v>775</v>
      </c>
      <c r="E190" s="1088" t="s">
        <v>385</v>
      </c>
      <c r="F190" s="1088" t="s">
        <v>386</v>
      </c>
      <c r="G190" s="1088" t="s">
        <v>2</v>
      </c>
      <c r="H190" s="1088" t="s">
        <v>309</v>
      </c>
      <c r="I190" s="1087" t="s">
        <v>113</v>
      </c>
      <c r="J190" s="1089" t="s">
        <v>114</v>
      </c>
    </row>
    <row r="191" spans="2:10" ht="15.75" thickBot="1" x14ac:dyDescent="0.3">
      <c r="B191" s="1134" t="s">
        <v>2878</v>
      </c>
      <c r="C191" s="1135" t="s">
        <v>2876</v>
      </c>
      <c r="D191" s="1136">
        <v>8.0000000000000002E-3</v>
      </c>
      <c r="E191" s="1137">
        <v>0</v>
      </c>
      <c r="F191" s="1137">
        <v>1</v>
      </c>
      <c r="G191" s="1137" t="s">
        <v>2877</v>
      </c>
      <c r="H191" s="1137">
        <v>3</v>
      </c>
      <c r="I191" s="1137"/>
      <c r="J191" s="1138"/>
    </row>
  </sheetData>
  <phoneticPr fontId="21" type="noConversion"/>
  <conditionalFormatting sqref="A3:XFD3 A5:XFD13">
    <cfRule type="cellIs" dxfId="39" priority="2" stopIfTrue="1" operator="notEqual">
      <formula>INDIRECT("Dummy_for_Comparison3!"&amp;ADDRESS(ROW(),COLUMN()))</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O7"/>
  <sheetViews>
    <sheetView showGridLines="0" zoomScaleNormal="100" workbookViewId="0">
      <selection activeCell="E17" sqref="E17"/>
    </sheetView>
  </sheetViews>
  <sheetFormatPr baseColWidth="10" defaultColWidth="9.140625" defaultRowHeight="15" x14ac:dyDescent="0.25"/>
  <cols>
    <col min="1" max="1" width="9.140625" style="228"/>
    <col min="2" max="2" width="7.5703125" style="228" bestFit="1" customWidth="1"/>
    <col min="3" max="3" width="43.5703125" style="228" bestFit="1" customWidth="1"/>
    <col min="4" max="4" width="11.5703125" style="228" bestFit="1" customWidth="1"/>
    <col min="5" max="5" width="13.7109375" style="228" bestFit="1" customWidth="1"/>
    <col min="6" max="6" width="14.28515625" style="228" bestFit="1" customWidth="1"/>
    <col min="7" max="7" width="10.5703125" style="228" bestFit="1" customWidth="1"/>
    <col min="8" max="8" width="10.7109375" style="228" bestFit="1" customWidth="1"/>
    <col min="9" max="9" width="10.85546875" style="228" customWidth="1"/>
    <col min="10" max="10" width="9.140625" style="228"/>
    <col min="11" max="11" width="9.5703125" style="228" bestFit="1" customWidth="1"/>
    <col min="12" max="12" width="9.28515625" style="228" customWidth="1"/>
    <col min="13" max="13" width="9" style="228" bestFit="1" customWidth="1"/>
    <col min="14" max="14" width="5" style="228" bestFit="1" customWidth="1"/>
    <col min="15" max="15" width="18.28515625" style="228" bestFit="1" customWidth="1"/>
    <col min="16" max="16384" width="9.140625" style="228"/>
  </cols>
  <sheetData>
    <row r="1" spans="2:15" ht="15.75" thickBot="1" x14ac:dyDescent="0.3"/>
    <row r="2" spans="2:15" s="606" customFormat="1" ht="15.75" thickBot="1" x14ac:dyDescent="0.3">
      <c r="B2" s="604"/>
      <c r="C2" s="605" t="s">
        <v>2137</v>
      </c>
      <c r="D2" s="604"/>
      <c r="E2" s="604"/>
      <c r="F2" s="604"/>
      <c r="G2" s="604"/>
      <c r="H2" s="604"/>
      <c r="I2" s="604"/>
      <c r="J2" s="604"/>
    </row>
    <row r="3" spans="2:15" s="604" customFormat="1" ht="45.75" thickBot="1" x14ac:dyDescent="0.3">
      <c r="B3" s="607" t="s">
        <v>0</v>
      </c>
      <c r="C3" s="608" t="s">
        <v>1</v>
      </c>
      <c r="D3" s="609" t="s">
        <v>2138</v>
      </c>
      <c r="E3" s="609" t="s">
        <v>2139</v>
      </c>
      <c r="F3" s="609" t="s">
        <v>2140</v>
      </c>
      <c r="G3" s="609" t="s">
        <v>2141</v>
      </c>
      <c r="H3" s="609" t="s">
        <v>2150</v>
      </c>
      <c r="I3" s="626" t="s">
        <v>2181</v>
      </c>
      <c r="J3" s="609" t="s">
        <v>385</v>
      </c>
      <c r="K3" s="609" t="s">
        <v>386</v>
      </c>
      <c r="L3" s="609" t="s">
        <v>2</v>
      </c>
      <c r="M3" s="609" t="s">
        <v>309</v>
      </c>
      <c r="N3" s="609" t="s">
        <v>113</v>
      </c>
      <c r="O3" s="610" t="s">
        <v>114</v>
      </c>
    </row>
    <row r="4" spans="2:15" s="606" customFormat="1" ht="18" x14ac:dyDescent="0.35">
      <c r="B4" s="611" t="s">
        <v>2142</v>
      </c>
      <c r="C4" s="612" t="s">
        <v>2143</v>
      </c>
      <c r="D4" s="613" t="s">
        <v>1082</v>
      </c>
      <c r="E4" s="613" t="s">
        <v>1082</v>
      </c>
      <c r="F4" s="614">
        <v>0.02</v>
      </c>
      <c r="G4" s="614">
        <v>99.8</v>
      </c>
      <c r="H4" s="614" t="s">
        <v>1082</v>
      </c>
      <c r="I4" s="627" t="s">
        <v>1082</v>
      </c>
      <c r="J4" s="613">
        <v>0</v>
      </c>
      <c r="K4" s="613">
        <v>100</v>
      </c>
      <c r="L4" s="1139" t="s">
        <v>2901</v>
      </c>
      <c r="M4" s="613"/>
      <c r="N4" s="613"/>
      <c r="O4" s="615"/>
    </row>
    <row r="5" spans="2:15" s="606" customFormat="1" ht="18" x14ac:dyDescent="0.35">
      <c r="B5" s="611" t="s">
        <v>2144</v>
      </c>
      <c r="C5" s="612" t="s">
        <v>2145</v>
      </c>
      <c r="D5" s="613" t="s">
        <v>1082</v>
      </c>
      <c r="E5" s="613" t="s">
        <v>1082</v>
      </c>
      <c r="F5" s="614">
        <v>1.98</v>
      </c>
      <c r="G5" s="614">
        <v>0.15</v>
      </c>
      <c r="H5" s="614" t="s">
        <v>1082</v>
      </c>
      <c r="I5" s="614" t="s">
        <v>1082</v>
      </c>
      <c r="J5" s="613">
        <v>0</v>
      </c>
      <c r="K5" s="613">
        <v>100</v>
      </c>
      <c r="L5" s="1139" t="s">
        <v>2901</v>
      </c>
      <c r="M5" s="613"/>
      <c r="N5" s="613"/>
      <c r="O5" s="615"/>
    </row>
    <row r="6" spans="2:15" s="606" customFormat="1" ht="18" x14ac:dyDescent="0.35">
      <c r="B6" s="611" t="s">
        <v>2146</v>
      </c>
      <c r="C6" s="612" t="s">
        <v>2147</v>
      </c>
      <c r="D6" s="613">
        <v>20.95</v>
      </c>
      <c r="E6" s="613">
        <v>19.399999999999999</v>
      </c>
      <c r="F6" s="616" t="s">
        <v>1082</v>
      </c>
      <c r="G6" s="614" t="s">
        <v>1082</v>
      </c>
      <c r="H6" s="614">
        <v>97</v>
      </c>
      <c r="I6" s="614">
        <v>5.22</v>
      </c>
      <c r="J6" s="613">
        <v>0</v>
      </c>
      <c r="K6" s="613">
        <v>100</v>
      </c>
      <c r="L6" s="1139" t="s">
        <v>2901</v>
      </c>
      <c r="M6" s="613"/>
      <c r="N6" s="613"/>
      <c r="O6" s="615"/>
    </row>
    <row r="7" spans="2:15" s="606" customFormat="1" ht="18.75" thickBot="1" x14ac:dyDescent="0.4">
      <c r="B7" s="617" t="s">
        <v>2148</v>
      </c>
      <c r="C7" s="618" t="s">
        <v>2149</v>
      </c>
      <c r="D7" s="619">
        <v>79.05</v>
      </c>
      <c r="E7" s="619">
        <v>80.599999999999994</v>
      </c>
      <c r="F7" s="620">
        <v>98</v>
      </c>
      <c r="G7" s="620">
        <v>0.05</v>
      </c>
      <c r="H7" s="620">
        <v>3</v>
      </c>
      <c r="I7" s="620">
        <v>94.78</v>
      </c>
      <c r="J7" s="619">
        <v>0</v>
      </c>
      <c r="K7" s="619">
        <v>100</v>
      </c>
      <c r="L7" s="619" t="s">
        <v>2901</v>
      </c>
      <c r="M7" s="619"/>
      <c r="N7" s="619"/>
      <c r="O7" s="62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unka3"/>
  <dimension ref="A1:AZ94"/>
  <sheetViews>
    <sheetView showGridLines="0" zoomScaleNormal="100" workbookViewId="0">
      <pane xSplit="4" ySplit="3" topLeftCell="E8" activePane="bottomRight" state="frozen"/>
      <selection pane="topRight" activeCell="E1" sqref="E1"/>
      <selection pane="bottomLeft" activeCell="A4" sqref="A4"/>
      <selection pane="bottomRight" activeCell="A2" sqref="A2"/>
    </sheetView>
  </sheetViews>
  <sheetFormatPr baseColWidth="10" defaultColWidth="9.140625" defaultRowHeight="15" x14ac:dyDescent="0.25"/>
  <cols>
    <col min="1" max="1" width="3.140625" customWidth="1"/>
    <col min="2" max="2" width="6.28515625" style="65" customWidth="1"/>
    <col min="3" max="3" width="7.5703125" bestFit="1" customWidth="1"/>
    <col min="4" max="4" width="43.28515625" customWidth="1"/>
    <col min="5" max="5" width="12.7109375" bestFit="1" customWidth="1"/>
    <col min="6" max="9" width="5" bestFit="1" customWidth="1"/>
    <col min="10" max="10" width="16.140625" bestFit="1" customWidth="1"/>
    <col min="11" max="11" width="16.28515625" bestFit="1" customWidth="1"/>
    <col min="12" max="13" width="17.7109375" bestFit="1" customWidth="1"/>
    <col min="14" max="14" width="17.28515625" bestFit="1" customWidth="1"/>
    <col min="15" max="15" width="48.85546875" bestFit="1" customWidth="1"/>
    <col min="16" max="16" width="32.85546875" bestFit="1" customWidth="1"/>
    <col min="17" max="17" width="32.28515625" bestFit="1" customWidth="1"/>
    <col min="18" max="18" width="6.5703125" bestFit="1" customWidth="1"/>
    <col min="19" max="19" width="9.85546875" bestFit="1" customWidth="1"/>
    <col min="20" max="20" width="46.42578125" bestFit="1" customWidth="1"/>
    <col min="21" max="21" width="9.7109375" bestFit="1" customWidth="1"/>
    <col min="22" max="22" width="19.7109375" bestFit="1" customWidth="1"/>
    <col min="23" max="23" width="15.140625" bestFit="1" customWidth="1"/>
    <col min="24" max="24" width="8.7109375" bestFit="1" customWidth="1"/>
    <col min="25" max="25" width="5.85546875" bestFit="1" customWidth="1"/>
    <col min="26" max="26" width="113.85546875" bestFit="1" customWidth="1"/>
    <col min="27" max="27" width="5.5703125" bestFit="1" customWidth="1"/>
    <col min="28" max="28" width="12" bestFit="1" customWidth="1"/>
    <col min="29" max="29" width="5.28515625" bestFit="1" customWidth="1"/>
    <col min="30" max="30" width="12" bestFit="1" customWidth="1"/>
    <col min="31" max="31" width="5.28515625" style="1010" bestFit="1" customWidth="1"/>
    <col min="32" max="32" width="5.5703125" style="1010" bestFit="1" customWidth="1"/>
    <col min="33" max="33" width="5.140625" style="1010" bestFit="1" customWidth="1"/>
    <col min="34" max="34" width="5.28515625" style="1010" bestFit="1" customWidth="1"/>
    <col min="35" max="35" width="2.85546875" bestFit="1" customWidth="1"/>
    <col min="36" max="36" width="6.140625" bestFit="1" customWidth="1"/>
    <col min="37" max="37" width="4.85546875" bestFit="1" customWidth="1"/>
    <col min="38" max="38" width="4.140625" bestFit="1" customWidth="1"/>
    <col min="39" max="39" width="4.28515625" bestFit="1" customWidth="1"/>
    <col min="40" max="40" width="12.7109375" bestFit="1" customWidth="1"/>
    <col min="41" max="41" width="7.7109375" bestFit="1" customWidth="1"/>
    <col min="42" max="42" width="6.85546875" bestFit="1" customWidth="1"/>
    <col min="43" max="43" width="7.140625" bestFit="1" customWidth="1"/>
    <col min="44" max="44" width="12.7109375" bestFit="1" customWidth="1"/>
    <col min="45" max="45" width="126.85546875" bestFit="1" customWidth="1"/>
    <col min="46" max="46" width="7.7109375" bestFit="1" customWidth="1"/>
    <col min="47" max="47" width="20.28515625" bestFit="1" customWidth="1"/>
    <col min="48" max="48" width="18.42578125" bestFit="1" customWidth="1"/>
    <col min="49" max="49" width="7.85546875" style="76" customWidth="1"/>
    <col min="50" max="50" width="12.7109375" bestFit="1" customWidth="1"/>
    <col min="51" max="51" width="13.7109375" bestFit="1" customWidth="1"/>
    <col min="52" max="54" width="9.28515625" bestFit="1" customWidth="1"/>
  </cols>
  <sheetData>
    <row r="1" spans="1:50" s="42" customFormat="1" ht="54" customHeight="1" thickBot="1" x14ac:dyDescent="0.4">
      <c r="A1" s="43"/>
      <c r="B1" s="64"/>
      <c r="Y1" s="70"/>
      <c r="Z1" s="70"/>
      <c r="AA1" s="70"/>
      <c r="AB1" s="70"/>
      <c r="AC1" s="70"/>
      <c r="AD1" s="70"/>
      <c r="AE1" s="70"/>
      <c r="AF1" s="70"/>
      <c r="AG1" s="70"/>
      <c r="AH1" s="70"/>
      <c r="AI1" s="70"/>
      <c r="AJ1" s="70"/>
      <c r="AK1" s="70"/>
      <c r="AL1" s="70"/>
      <c r="AM1" s="70"/>
      <c r="AN1" s="70"/>
      <c r="AO1" s="70"/>
      <c r="AP1" s="70"/>
      <c r="AQ1" s="70"/>
      <c r="AR1" s="70"/>
      <c r="AW1" s="75"/>
    </row>
    <row r="2" spans="1:50" ht="18.75" customHeight="1" thickBot="1" x14ac:dyDescent="0.3">
      <c r="C2" s="119"/>
      <c r="D2" s="49" t="s">
        <v>125</v>
      </c>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row>
    <row r="3" spans="1:50" s="1" customFormat="1" ht="38.25" thickBot="1" x14ac:dyDescent="0.3">
      <c r="B3" s="355" t="s">
        <v>90</v>
      </c>
      <c r="C3" s="356" t="s">
        <v>0</v>
      </c>
      <c r="D3" s="356" t="s">
        <v>1</v>
      </c>
      <c r="E3" s="357" t="s">
        <v>261</v>
      </c>
      <c r="F3" s="357" t="s">
        <v>262</v>
      </c>
      <c r="G3" s="357" t="s">
        <v>263</v>
      </c>
      <c r="H3" s="357" t="s">
        <v>264</v>
      </c>
      <c r="I3" s="357" t="s">
        <v>265</v>
      </c>
      <c r="J3" s="357" t="s">
        <v>266</v>
      </c>
      <c r="K3" s="357" t="s">
        <v>274</v>
      </c>
      <c r="L3" s="357" t="s">
        <v>297</v>
      </c>
      <c r="M3" s="357" t="s">
        <v>298</v>
      </c>
      <c r="N3" s="830" t="s">
        <v>2355</v>
      </c>
      <c r="O3" s="357" t="s">
        <v>267</v>
      </c>
      <c r="P3" s="357" t="s">
        <v>765</v>
      </c>
      <c r="Q3" s="357" t="s">
        <v>268</v>
      </c>
      <c r="R3" s="357" t="s">
        <v>269</v>
      </c>
      <c r="S3" s="357" t="s">
        <v>270</v>
      </c>
      <c r="T3" s="357" t="s">
        <v>271</v>
      </c>
      <c r="U3" s="357" t="s">
        <v>272</v>
      </c>
      <c r="V3" s="357" t="s">
        <v>273</v>
      </c>
      <c r="W3" s="357" t="s">
        <v>300</v>
      </c>
      <c r="X3" s="357" t="s">
        <v>299</v>
      </c>
      <c r="Y3" s="357" t="s">
        <v>352</v>
      </c>
      <c r="Z3" s="357" t="s">
        <v>343</v>
      </c>
      <c r="AA3" s="358" t="s">
        <v>1540</v>
      </c>
      <c r="AB3" s="358" t="s">
        <v>1541</v>
      </c>
      <c r="AC3" s="358" t="s">
        <v>1542</v>
      </c>
      <c r="AD3" s="358" t="s">
        <v>1543</v>
      </c>
      <c r="AE3" s="358" t="s">
        <v>2725</v>
      </c>
      <c r="AF3" s="358" t="s">
        <v>2726</v>
      </c>
      <c r="AG3" s="358" t="s">
        <v>2727</v>
      </c>
      <c r="AH3" s="358" t="s">
        <v>2728</v>
      </c>
      <c r="AI3" s="358" t="s">
        <v>2690</v>
      </c>
      <c r="AJ3" s="628" t="s">
        <v>2182</v>
      </c>
      <c r="AK3" s="358" t="s">
        <v>738</v>
      </c>
      <c r="AL3" s="358" t="s">
        <v>739</v>
      </c>
      <c r="AM3" s="358" t="s">
        <v>737</v>
      </c>
      <c r="AN3" s="358" t="s">
        <v>742</v>
      </c>
      <c r="AO3" s="358" t="s">
        <v>1804</v>
      </c>
      <c r="AP3" s="358" t="s">
        <v>1805</v>
      </c>
      <c r="AQ3" s="358" t="s">
        <v>1803</v>
      </c>
      <c r="AR3" s="358" t="s">
        <v>1806</v>
      </c>
      <c r="AS3" s="359" t="s">
        <v>1083</v>
      </c>
      <c r="AT3" s="359" t="s">
        <v>2</v>
      </c>
      <c r="AU3" s="359" t="s">
        <v>8</v>
      </c>
      <c r="AV3" s="364" t="s">
        <v>113</v>
      </c>
      <c r="AW3" s="77"/>
    </row>
    <row r="4" spans="1:50" ht="18.75" x14ac:dyDescent="0.35">
      <c r="B4" s="698">
        <v>1</v>
      </c>
      <c r="C4" s="699" t="s">
        <v>215</v>
      </c>
      <c r="D4" s="700" t="s">
        <v>285</v>
      </c>
      <c r="E4" s="701" t="s">
        <v>1307</v>
      </c>
      <c r="F4" s="629"/>
      <c r="G4" s="629"/>
      <c r="H4" s="629"/>
      <c r="I4" s="629"/>
      <c r="J4" s="629">
        <v>1</v>
      </c>
      <c r="K4" s="629"/>
      <c r="L4" s="629"/>
      <c r="M4" s="629"/>
      <c r="N4" s="629"/>
      <c r="O4" s="701" t="s">
        <v>303</v>
      </c>
      <c r="P4" s="701"/>
      <c r="Q4" s="629"/>
      <c r="R4" s="629"/>
      <c r="S4" s="629"/>
      <c r="T4" s="701" t="s">
        <v>306</v>
      </c>
      <c r="U4" s="629"/>
      <c r="V4" s="701" t="s">
        <v>1311</v>
      </c>
      <c r="W4" s="701"/>
      <c r="X4" s="701"/>
      <c r="Y4" s="701"/>
      <c r="Z4" s="701" t="s">
        <v>754</v>
      </c>
      <c r="AA4" s="629"/>
      <c r="AB4" s="629"/>
      <c r="AC4" s="629"/>
      <c r="AD4" s="629"/>
      <c r="AE4" s="629"/>
      <c r="AF4" s="629"/>
      <c r="AG4" s="629"/>
      <c r="AH4" s="629"/>
      <c r="AI4" s="629"/>
      <c r="AJ4" s="629"/>
      <c r="AK4" s="629"/>
      <c r="AL4" s="629"/>
      <c r="AM4" s="629"/>
      <c r="AN4" s="629"/>
      <c r="AO4" s="629"/>
      <c r="AP4" s="629"/>
      <c r="AQ4" s="629"/>
      <c r="AR4" s="629"/>
      <c r="AS4" s="702" t="s">
        <v>843</v>
      </c>
      <c r="AT4" s="702" t="s">
        <v>1238</v>
      </c>
      <c r="AU4" s="702"/>
      <c r="AV4" s="703"/>
      <c r="AX4" s="73"/>
    </row>
    <row r="5" spans="1:50" ht="18.75" x14ac:dyDescent="0.35">
      <c r="B5" s="360">
        <v>2</v>
      </c>
      <c r="C5" s="704" t="s">
        <v>216</v>
      </c>
      <c r="D5" s="705" t="s">
        <v>1520</v>
      </c>
      <c r="E5" s="706" t="s">
        <v>1308</v>
      </c>
      <c r="F5" s="630"/>
      <c r="G5" s="630"/>
      <c r="H5" s="630"/>
      <c r="I5" s="630"/>
      <c r="J5" s="630">
        <v>1</v>
      </c>
      <c r="K5" s="630"/>
      <c r="L5" s="630"/>
      <c r="M5" s="630"/>
      <c r="N5" s="630"/>
      <c r="O5" s="706" t="s">
        <v>303</v>
      </c>
      <c r="P5" s="706" t="s">
        <v>1309</v>
      </c>
      <c r="Q5" s="706" t="s">
        <v>1310</v>
      </c>
      <c r="R5" s="630"/>
      <c r="S5" s="630"/>
      <c r="T5" s="706" t="s">
        <v>306</v>
      </c>
      <c r="U5" s="630"/>
      <c r="V5" s="630"/>
      <c r="W5" s="630"/>
      <c r="X5" s="630"/>
      <c r="Y5" s="706"/>
      <c r="Z5" s="706" t="s">
        <v>1312</v>
      </c>
      <c r="AA5" s="630"/>
      <c r="AB5" s="630"/>
      <c r="AC5" s="630"/>
      <c r="AD5" s="630"/>
      <c r="AE5" s="630"/>
      <c r="AF5" s="630"/>
      <c r="AG5" s="630"/>
      <c r="AH5" s="630"/>
      <c r="AI5" s="630"/>
      <c r="AJ5" s="630"/>
      <c r="AK5" s="630"/>
      <c r="AL5" s="630"/>
      <c r="AM5" s="630"/>
      <c r="AN5" s="630"/>
      <c r="AO5" s="630"/>
      <c r="AP5" s="630"/>
      <c r="AQ5" s="630"/>
      <c r="AR5" s="630"/>
      <c r="AS5" s="707" t="s">
        <v>1493</v>
      </c>
      <c r="AT5" s="707" t="s">
        <v>1238</v>
      </c>
      <c r="AU5" s="707"/>
      <c r="AV5" s="100"/>
      <c r="AX5" s="73"/>
    </row>
    <row r="6" spans="1:50" ht="18.75" x14ac:dyDescent="0.35">
      <c r="B6" s="360">
        <v>3</v>
      </c>
      <c r="C6" s="704" t="s">
        <v>217</v>
      </c>
      <c r="D6" s="705" t="s">
        <v>290</v>
      </c>
      <c r="E6" s="630"/>
      <c r="F6" s="630" t="s">
        <v>286</v>
      </c>
      <c r="G6" s="630"/>
      <c r="H6" s="630"/>
      <c r="I6" s="630" t="s">
        <v>282</v>
      </c>
      <c r="J6" s="630">
        <v>-1</v>
      </c>
      <c r="K6" s="630"/>
      <c r="L6" s="630"/>
      <c r="M6" s="630"/>
      <c r="N6" s="630"/>
      <c r="O6" s="708" t="s">
        <v>1257</v>
      </c>
      <c r="P6" s="708"/>
      <c r="Q6" s="630"/>
      <c r="R6" s="630"/>
      <c r="S6" s="630" t="s">
        <v>305</v>
      </c>
      <c r="T6" s="630"/>
      <c r="U6" s="630" t="s">
        <v>307</v>
      </c>
      <c r="V6" s="630"/>
      <c r="W6" s="630"/>
      <c r="X6" s="630"/>
      <c r="Y6" s="706"/>
      <c r="Z6" s="708" t="s">
        <v>1258</v>
      </c>
      <c r="AA6" s="630"/>
      <c r="AB6" s="630"/>
      <c r="AC6" s="630"/>
      <c r="AD6" s="630"/>
      <c r="AE6" s="630"/>
      <c r="AF6" s="630"/>
      <c r="AG6" s="630"/>
      <c r="AH6" s="630"/>
      <c r="AI6" s="630"/>
      <c r="AJ6" s="630"/>
      <c r="AK6" s="630"/>
      <c r="AL6" s="630"/>
      <c r="AM6" s="630"/>
      <c r="AN6" s="630"/>
      <c r="AO6" s="630"/>
      <c r="AP6" s="630"/>
      <c r="AQ6" s="630"/>
      <c r="AR6" s="630"/>
      <c r="AS6" s="707" t="s">
        <v>1494</v>
      </c>
      <c r="AT6" s="707" t="s">
        <v>1238</v>
      </c>
      <c r="AU6" s="707"/>
      <c r="AV6" s="100"/>
    </row>
    <row r="7" spans="1:50" ht="18.75" x14ac:dyDescent="0.35">
      <c r="B7" s="361">
        <v>4</v>
      </c>
      <c r="C7" s="709" t="s">
        <v>218</v>
      </c>
      <c r="D7" s="710" t="s">
        <v>275</v>
      </c>
      <c r="E7" s="631"/>
      <c r="F7" s="631"/>
      <c r="G7" s="631"/>
      <c r="H7" s="631"/>
      <c r="I7" s="631"/>
      <c r="J7" s="631"/>
      <c r="K7" s="631">
        <v>1</v>
      </c>
      <c r="L7" s="631"/>
      <c r="M7" s="631"/>
      <c r="N7" s="631"/>
      <c r="O7" s="711" t="s">
        <v>304</v>
      </c>
      <c r="P7" s="711" t="s">
        <v>296</v>
      </c>
      <c r="Q7" s="631"/>
      <c r="R7" s="631"/>
      <c r="S7" s="631"/>
      <c r="T7" s="711" t="s">
        <v>306</v>
      </c>
      <c r="U7" s="631"/>
      <c r="V7" s="711" t="s">
        <v>289</v>
      </c>
      <c r="W7" s="711"/>
      <c r="X7" s="711"/>
      <c r="Y7" s="631"/>
      <c r="Z7" s="631" t="s">
        <v>755</v>
      </c>
      <c r="AA7" s="631"/>
      <c r="AB7" s="631"/>
      <c r="AC7" s="631"/>
      <c r="AD7" s="631"/>
      <c r="AE7" s="631"/>
      <c r="AF7" s="631"/>
      <c r="AG7" s="631"/>
      <c r="AH7" s="631"/>
      <c r="AI7" s="631"/>
      <c r="AJ7" s="631"/>
      <c r="AK7" s="631"/>
      <c r="AL7" s="631"/>
      <c r="AM7" s="631"/>
      <c r="AN7" s="631"/>
      <c r="AO7" s="631"/>
      <c r="AP7" s="631"/>
      <c r="AQ7" s="631"/>
      <c r="AR7" s="631"/>
      <c r="AS7" s="712" t="s">
        <v>846</v>
      </c>
      <c r="AT7" s="712" t="s">
        <v>1238</v>
      </c>
      <c r="AU7" s="712"/>
      <c r="AV7" s="101"/>
    </row>
    <row r="8" spans="1:50" ht="18.75" x14ac:dyDescent="0.35">
      <c r="B8" s="361">
        <v>5</v>
      </c>
      <c r="C8" s="709" t="s">
        <v>219</v>
      </c>
      <c r="D8" s="710" t="s">
        <v>294</v>
      </c>
      <c r="E8" s="631"/>
      <c r="F8" s="631" t="s">
        <v>286</v>
      </c>
      <c r="G8" s="631"/>
      <c r="H8" s="631"/>
      <c r="I8" s="631" t="s">
        <v>282</v>
      </c>
      <c r="J8" s="631"/>
      <c r="K8" s="631">
        <v>-1</v>
      </c>
      <c r="L8" s="631"/>
      <c r="M8" s="631"/>
      <c r="N8" s="631"/>
      <c r="O8" s="713" t="s">
        <v>1257</v>
      </c>
      <c r="P8" s="713"/>
      <c r="Q8" s="631"/>
      <c r="R8" s="631"/>
      <c r="S8" s="631" t="s">
        <v>305</v>
      </c>
      <c r="T8" s="631"/>
      <c r="U8" s="631" t="s">
        <v>307</v>
      </c>
      <c r="V8" s="631"/>
      <c r="W8" s="631"/>
      <c r="X8" s="631"/>
      <c r="Y8" s="711"/>
      <c r="Z8" s="631" t="s">
        <v>1258</v>
      </c>
      <c r="AA8" s="631"/>
      <c r="AB8" s="631"/>
      <c r="AC8" s="631"/>
      <c r="AD8" s="631"/>
      <c r="AE8" s="631"/>
      <c r="AF8" s="631"/>
      <c r="AG8" s="631"/>
      <c r="AH8" s="631"/>
      <c r="AI8" s="631"/>
      <c r="AJ8" s="631"/>
      <c r="AK8" s="631"/>
      <c r="AL8" s="631"/>
      <c r="AM8" s="631"/>
      <c r="AN8" s="631"/>
      <c r="AO8" s="631"/>
      <c r="AP8" s="631"/>
      <c r="AQ8" s="631"/>
      <c r="AR8" s="631"/>
      <c r="AS8" s="714" t="s">
        <v>1495</v>
      </c>
      <c r="AT8" s="714" t="s">
        <v>1238</v>
      </c>
      <c r="AU8" s="714"/>
      <c r="AV8" s="101"/>
    </row>
    <row r="9" spans="1:50" ht="18.75" x14ac:dyDescent="0.35">
      <c r="B9" s="362">
        <v>6</v>
      </c>
      <c r="C9" s="715" t="s">
        <v>220</v>
      </c>
      <c r="D9" s="716" t="s">
        <v>317</v>
      </c>
      <c r="E9" s="717" t="s">
        <v>319</v>
      </c>
      <c r="F9" s="632"/>
      <c r="G9" s="632"/>
      <c r="H9" s="632"/>
      <c r="I9" s="632"/>
      <c r="J9" s="632"/>
      <c r="K9" s="632"/>
      <c r="L9" s="632">
        <v>1</v>
      </c>
      <c r="M9" s="632"/>
      <c r="N9" s="632"/>
      <c r="O9" s="717" t="s">
        <v>303</v>
      </c>
      <c r="P9" s="632"/>
      <c r="Q9" s="632"/>
      <c r="R9" s="632"/>
      <c r="S9" s="632"/>
      <c r="T9" s="717" t="s">
        <v>306</v>
      </c>
      <c r="U9" s="632"/>
      <c r="V9" s="632"/>
      <c r="W9" s="632" t="s">
        <v>320</v>
      </c>
      <c r="X9" s="632"/>
      <c r="Y9" s="632"/>
      <c r="Z9" s="717" t="s">
        <v>754</v>
      </c>
      <c r="AA9" s="632"/>
      <c r="AB9" s="632"/>
      <c r="AC9" s="632"/>
      <c r="AD9" s="632"/>
      <c r="AE9" s="632"/>
      <c r="AF9" s="632"/>
      <c r="AG9" s="632"/>
      <c r="AH9" s="632"/>
      <c r="AI9" s="632"/>
      <c r="AJ9" s="632"/>
      <c r="AK9" s="632"/>
      <c r="AL9" s="632"/>
      <c r="AM9" s="632"/>
      <c r="AN9" s="632"/>
      <c r="AO9" s="632"/>
      <c r="AP9" s="632"/>
      <c r="AQ9" s="632"/>
      <c r="AR9" s="632"/>
      <c r="AS9" s="718" t="s">
        <v>2080</v>
      </c>
      <c r="AT9" s="718" t="s">
        <v>1238</v>
      </c>
      <c r="AU9" s="718"/>
      <c r="AV9" s="102"/>
    </row>
    <row r="10" spans="1:50" ht="18.75" x14ac:dyDescent="0.35">
      <c r="B10" s="362">
        <v>7</v>
      </c>
      <c r="C10" s="715" t="s">
        <v>221</v>
      </c>
      <c r="D10" s="716" t="s">
        <v>302</v>
      </c>
      <c r="E10" s="632"/>
      <c r="F10" s="632" t="s">
        <v>286</v>
      </c>
      <c r="G10" s="632"/>
      <c r="H10" s="632"/>
      <c r="I10" s="632" t="s">
        <v>282</v>
      </c>
      <c r="J10" s="632"/>
      <c r="K10" s="632"/>
      <c r="L10" s="632">
        <v>-1</v>
      </c>
      <c r="M10" s="632"/>
      <c r="N10" s="632"/>
      <c r="O10" s="719" t="s">
        <v>1257</v>
      </c>
      <c r="P10" s="632"/>
      <c r="Q10" s="632"/>
      <c r="R10" s="632"/>
      <c r="S10" s="632" t="s">
        <v>305</v>
      </c>
      <c r="T10" s="717"/>
      <c r="U10" s="632" t="s">
        <v>307</v>
      </c>
      <c r="V10" s="632"/>
      <c r="W10" s="632"/>
      <c r="X10" s="632"/>
      <c r="Y10" s="717"/>
      <c r="Z10" s="717" t="s">
        <v>1258</v>
      </c>
      <c r="AA10" s="632"/>
      <c r="AB10" s="632"/>
      <c r="AC10" s="632"/>
      <c r="AD10" s="632"/>
      <c r="AE10" s="632"/>
      <c r="AF10" s="632"/>
      <c r="AG10" s="632"/>
      <c r="AH10" s="632"/>
      <c r="AI10" s="632"/>
      <c r="AJ10" s="632"/>
      <c r="AK10" s="632"/>
      <c r="AL10" s="632"/>
      <c r="AM10" s="632"/>
      <c r="AN10" s="632"/>
      <c r="AO10" s="632"/>
      <c r="AP10" s="632"/>
      <c r="AQ10" s="632"/>
      <c r="AR10" s="632"/>
      <c r="AS10" s="718" t="s">
        <v>2081</v>
      </c>
      <c r="AT10" s="718" t="s">
        <v>1238</v>
      </c>
      <c r="AU10" s="718"/>
      <c r="AV10" s="102"/>
    </row>
    <row r="11" spans="1:50" ht="18.75" x14ac:dyDescent="0.35">
      <c r="B11" s="362">
        <v>8</v>
      </c>
      <c r="C11" s="715" t="s">
        <v>222</v>
      </c>
      <c r="D11" s="716" t="s">
        <v>318</v>
      </c>
      <c r="E11" s="632"/>
      <c r="F11" s="632"/>
      <c r="G11" s="632"/>
      <c r="H11" s="632"/>
      <c r="I11" s="632"/>
      <c r="J11" s="632"/>
      <c r="K11" s="632"/>
      <c r="L11" s="632"/>
      <c r="M11" s="632">
        <v>1</v>
      </c>
      <c r="N11" s="632"/>
      <c r="O11" s="717" t="s">
        <v>303</v>
      </c>
      <c r="P11" s="632"/>
      <c r="Q11" s="632"/>
      <c r="R11" s="632"/>
      <c r="S11" s="632"/>
      <c r="T11" s="717" t="s">
        <v>306</v>
      </c>
      <c r="U11" s="632"/>
      <c r="V11" s="632"/>
      <c r="W11" s="632" t="s">
        <v>324</v>
      </c>
      <c r="X11" s="717" t="s">
        <v>308</v>
      </c>
      <c r="Y11" s="632"/>
      <c r="Z11" s="717" t="s">
        <v>754</v>
      </c>
      <c r="AA11" s="632"/>
      <c r="AB11" s="632"/>
      <c r="AC11" s="632"/>
      <c r="AD11" s="632"/>
      <c r="AE11" s="632"/>
      <c r="AF11" s="632"/>
      <c r="AG11" s="632"/>
      <c r="AH11" s="632"/>
      <c r="AI11" s="632"/>
      <c r="AJ11" s="632"/>
      <c r="AK11" s="632"/>
      <c r="AL11" s="632"/>
      <c r="AM11" s="632"/>
      <c r="AN11" s="632"/>
      <c r="AO11" s="632"/>
      <c r="AP11" s="632"/>
      <c r="AQ11" s="632"/>
      <c r="AR11" s="632"/>
      <c r="AS11" s="718" t="s">
        <v>2082</v>
      </c>
      <c r="AT11" s="718" t="s">
        <v>1238</v>
      </c>
      <c r="AU11" s="718" t="s">
        <v>323</v>
      </c>
      <c r="AV11" s="102"/>
    </row>
    <row r="12" spans="1:50" ht="18.75" x14ac:dyDescent="0.35">
      <c r="B12" s="362">
        <v>9</v>
      </c>
      <c r="C12" s="715" t="s">
        <v>223</v>
      </c>
      <c r="D12" s="716" t="s">
        <v>301</v>
      </c>
      <c r="E12" s="632"/>
      <c r="F12" s="632" t="s">
        <v>286</v>
      </c>
      <c r="G12" s="632"/>
      <c r="H12" s="632"/>
      <c r="I12" s="632" t="s">
        <v>282</v>
      </c>
      <c r="J12" s="632"/>
      <c r="K12" s="632"/>
      <c r="L12" s="632"/>
      <c r="M12" s="632">
        <v>-1</v>
      </c>
      <c r="N12" s="632"/>
      <c r="O12" s="719" t="s">
        <v>1257</v>
      </c>
      <c r="P12" s="632"/>
      <c r="Q12" s="632"/>
      <c r="R12" s="632"/>
      <c r="S12" s="632" t="s">
        <v>305</v>
      </c>
      <c r="T12" s="632"/>
      <c r="U12" s="632" t="s">
        <v>307</v>
      </c>
      <c r="V12" s="632"/>
      <c r="W12" s="632"/>
      <c r="X12" s="632"/>
      <c r="Y12" s="717"/>
      <c r="Z12" s="717" t="s">
        <v>1258</v>
      </c>
      <c r="AA12" s="632"/>
      <c r="AB12" s="632"/>
      <c r="AC12" s="632"/>
      <c r="AD12" s="632"/>
      <c r="AE12" s="632"/>
      <c r="AF12" s="632"/>
      <c r="AG12" s="632"/>
      <c r="AH12" s="632"/>
      <c r="AI12" s="632"/>
      <c r="AJ12" s="632"/>
      <c r="AK12" s="632"/>
      <c r="AL12" s="632"/>
      <c r="AM12" s="632"/>
      <c r="AN12" s="632"/>
      <c r="AO12" s="632"/>
      <c r="AP12" s="632"/>
      <c r="AQ12" s="632"/>
      <c r="AR12" s="632"/>
      <c r="AS12" s="718" t="s">
        <v>2083</v>
      </c>
      <c r="AT12" s="718" t="s">
        <v>1238</v>
      </c>
      <c r="AU12" s="718"/>
      <c r="AV12" s="102"/>
    </row>
    <row r="13" spans="1:50" ht="18" x14ac:dyDescent="0.35">
      <c r="B13" s="824">
        <v>10</v>
      </c>
      <c r="C13" s="825" t="s">
        <v>224</v>
      </c>
      <c r="D13" s="826" t="s">
        <v>2345</v>
      </c>
      <c r="E13" s="827"/>
      <c r="F13" s="827"/>
      <c r="G13" s="827"/>
      <c r="H13" s="827"/>
      <c r="I13" s="827"/>
      <c r="J13" s="827"/>
      <c r="K13" s="827"/>
      <c r="L13" s="827"/>
      <c r="M13" s="827"/>
      <c r="N13" s="827">
        <v>1</v>
      </c>
      <c r="O13" s="827"/>
      <c r="P13" s="832" t="s">
        <v>2358</v>
      </c>
      <c r="Q13" s="827"/>
      <c r="R13" s="827"/>
      <c r="S13" s="827"/>
      <c r="T13" s="832" t="s">
        <v>2361</v>
      </c>
      <c r="U13" s="827"/>
      <c r="V13" s="832" t="s">
        <v>2363</v>
      </c>
      <c r="W13" s="827"/>
      <c r="X13" s="827"/>
      <c r="Y13" s="827"/>
      <c r="Z13" s="827" t="s">
        <v>2642</v>
      </c>
      <c r="AA13" s="827"/>
      <c r="AB13" s="827"/>
      <c r="AC13" s="827"/>
      <c r="AD13" s="827"/>
      <c r="AE13" s="827"/>
      <c r="AF13" s="827"/>
      <c r="AG13" s="827"/>
      <c r="AH13" s="827"/>
      <c r="AI13" s="827"/>
      <c r="AJ13" s="827"/>
      <c r="AK13" s="827"/>
      <c r="AL13" s="827"/>
      <c r="AM13" s="827"/>
      <c r="AN13" s="827"/>
      <c r="AO13" s="827"/>
      <c r="AP13" s="827"/>
      <c r="AQ13" s="827"/>
      <c r="AR13" s="827"/>
      <c r="AS13" s="835" t="s">
        <v>2641</v>
      </c>
      <c r="AT13" s="827" t="s">
        <v>1238</v>
      </c>
      <c r="AU13" s="833"/>
      <c r="AV13" s="834" t="s">
        <v>2369</v>
      </c>
    </row>
    <row r="14" spans="1:50" ht="18" x14ac:dyDescent="0.35">
      <c r="B14" s="824">
        <v>11</v>
      </c>
      <c r="C14" s="825" t="s">
        <v>225</v>
      </c>
      <c r="D14" s="826" t="s">
        <v>2346</v>
      </c>
      <c r="E14" s="827"/>
      <c r="F14" s="827"/>
      <c r="G14" s="827"/>
      <c r="H14" s="827"/>
      <c r="I14" s="827"/>
      <c r="J14" s="827"/>
      <c r="K14" s="827"/>
      <c r="L14" s="827"/>
      <c r="M14" s="827"/>
      <c r="N14" s="827">
        <v>1</v>
      </c>
      <c r="O14" s="832" t="s">
        <v>2358</v>
      </c>
      <c r="P14" s="827"/>
      <c r="Q14" s="827"/>
      <c r="R14" s="827"/>
      <c r="S14" s="827"/>
      <c r="T14" s="832" t="s">
        <v>2361</v>
      </c>
      <c r="U14" s="827"/>
      <c r="V14" s="827">
        <v>1</v>
      </c>
      <c r="W14" s="827"/>
      <c r="X14" s="827"/>
      <c r="Y14" s="827"/>
      <c r="Z14" s="827" t="s">
        <v>2364</v>
      </c>
      <c r="AA14" s="827"/>
      <c r="AB14" s="827"/>
      <c r="AC14" s="827"/>
      <c r="AD14" s="827"/>
      <c r="AE14" s="827"/>
      <c r="AF14" s="827"/>
      <c r="AG14" s="827"/>
      <c r="AH14" s="827"/>
      <c r="AI14" s="827"/>
      <c r="AJ14" s="827"/>
      <c r="AK14" s="827"/>
      <c r="AL14" s="827"/>
      <c r="AM14" s="827"/>
      <c r="AN14" s="827"/>
      <c r="AO14" s="827"/>
      <c r="AP14" s="827"/>
      <c r="AQ14" s="827"/>
      <c r="AR14" s="827"/>
      <c r="AS14" s="835" t="s">
        <v>2647</v>
      </c>
      <c r="AT14" s="827" t="s">
        <v>1238</v>
      </c>
      <c r="AU14" s="833"/>
      <c r="AV14" s="834" t="s">
        <v>2369</v>
      </c>
    </row>
    <row r="15" spans="1:50" ht="18" x14ac:dyDescent="0.35">
      <c r="B15" s="824">
        <v>12</v>
      </c>
      <c r="C15" s="825" t="s">
        <v>226</v>
      </c>
      <c r="D15" s="826" t="s">
        <v>2347</v>
      </c>
      <c r="E15" s="827"/>
      <c r="F15" s="827"/>
      <c r="G15" s="827"/>
      <c r="H15" s="827"/>
      <c r="I15" s="827"/>
      <c r="J15" s="827"/>
      <c r="K15" s="827"/>
      <c r="L15" s="827"/>
      <c r="M15" s="827"/>
      <c r="N15" s="827">
        <v>-1</v>
      </c>
      <c r="O15" s="832" t="s">
        <v>2359</v>
      </c>
      <c r="P15" s="827"/>
      <c r="Q15" s="827"/>
      <c r="R15" s="827"/>
      <c r="S15" s="827"/>
      <c r="T15" s="832" t="s">
        <v>2362</v>
      </c>
      <c r="U15" s="827"/>
      <c r="V15" s="827">
        <v>-1</v>
      </c>
      <c r="W15" s="827"/>
      <c r="X15" s="827"/>
      <c r="Y15" s="827"/>
      <c r="Z15" s="827" t="s">
        <v>2367</v>
      </c>
      <c r="AA15" s="827"/>
      <c r="AB15" s="827"/>
      <c r="AC15" s="827"/>
      <c r="AD15" s="827"/>
      <c r="AE15" s="827"/>
      <c r="AF15" s="827"/>
      <c r="AG15" s="827"/>
      <c r="AH15" s="827"/>
      <c r="AI15" s="827"/>
      <c r="AJ15" s="827"/>
      <c r="AK15" s="827"/>
      <c r="AL15" s="827"/>
      <c r="AM15" s="827"/>
      <c r="AN15" s="827"/>
      <c r="AO15" s="827"/>
      <c r="AP15" s="827"/>
      <c r="AQ15" s="827"/>
      <c r="AR15" s="827"/>
      <c r="AS15" s="836" t="s">
        <v>2370</v>
      </c>
      <c r="AT15" s="827" t="s">
        <v>1238</v>
      </c>
      <c r="AU15" s="833"/>
      <c r="AV15" s="834" t="s">
        <v>2369</v>
      </c>
    </row>
    <row r="16" spans="1:50" ht="18" x14ac:dyDescent="0.35">
      <c r="B16" s="824">
        <v>13</v>
      </c>
      <c r="C16" s="825" t="s">
        <v>227</v>
      </c>
      <c r="D16" s="826" t="s">
        <v>2348</v>
      </c>
      <c r="E16" s="827"/>
      <c r="F16" s="827" t="s">
        <v>2353</v>
      </c>
      <c r="G16" s="827"/>
      <c r="H16" s="827"/>
      <c r="I16" s="827" t="s">
        <v>2354</v>
      </c>
      <c r="J16" s="827"/>
      <c r="K16" s="827"/>
      <c r="L16" s="827"/>
      <c r="M16" s="827"/>
      <c r="N16" s="827">
        <v>-1</v>
      </c>
      <c r="O16" s="832" t="s">
        <v>1257</v>
      </c>
      <c r="P16" s="827"/>
      <c r="Q16" s="827"/>
      <c r="R16" s="827"/>
      <c r="S16" s="827" t="s">
        <v>2360</v>
      </c>
      <c r="T16" s="832" t="s">
        <v>2366</v>
      </c>
      <c r="U16" s="827" t="s">
        <v>2365</v>
      </c>
      <c r="V16" s="827"/>
      <c r="W16" s="827"/>
      <c r="X16" s="827"/>
      <c r="Y16" s="827"/>
      <c r="Z16" s="832" t="s">
        <v>2368</v>
      </c>
      <c r="AA16" s="827"/>
      <c r="AB16" s="827"/>
      <c r="AC16" s="827"/>
      <c r="AD16" s="827"/>
      <c r="AE16" s="827"/>
      <c r="AF16" s="827"/>
      <c r="AG16" s="827"/>
      <c r="AH16" s="827"/>
      <c r="AI16" s="827"/>
      <c r="AJ16" s="827"/>
      <c r="AK16" s="827"/>
      <c r="AL16" s="827"/>
      <c r="AM16" s="827"/>
      <c r="AN16" s="827"/>
      <c r="AO16" s="827"/>
      <c r="AP16" s="827"/>
      <c r="AQ16" s="827"/>
      <c r="AR16" s="827"/>
      <c r="AS16" s="836" t="s">
        <v>2371</v>
      </c>
      <c r="AT16" s="827" t="s">
        <v>1238</v>
      </c>
      <c r="AU16" s="833"/>
      <c r="AV16" s="834" t="s">
        <v>2369</v>
      </c>
    </row>
    <row r="17" spans="2:48" ht="18.75" x14ac:dyDescent="0.35">
      <c r="B17" s="363">
        <v>14</v>
      </c>
      <c r="C17" s="695" t="s">
        <v>228</v>
      </c>
      <c r="D17" s="696" t="s">
        <v>295</v>
      </c>
      <c r="E17" s="633">
        <v>1</v>
      </c>
      <c r="F17" s="633">
        <v>-1</v>
      </c>
      <c r="G17" s="633"/>
      <c r="H17" s="633"/>
      <c r="I17" s="633"/>
      <c r="J17" s="633"/>
      <c r="K17" s="633"/>
      <c r="L17" s="633"/>
      <c r="M17" s="633"/>
      <c r="N17" s="633"/>
      <c r="O17" s="633"/>
      <c r="P17" s="633"/>
      <c r="Q17" s="633"/>
      <c r="R17" s="634" t="s">
        <v>1280</v>
      </c>
      <c r="S17" s="634" t="s">
        <v>1279</v>
      </c>
      <c r="T17" s="634" t="s">
        <v>1281</v>
      </c>
      <c r="U17" s="634" t="s">
        <v>1282</v>
      </c>
      <c r="V17" s="633"/>
      <c r="W17" s="633"/>
      <c r="X17" s="633"/>
      <c r="Y17" s="633"/>
      <c r="Z17" s="634" t="s">
        <v>1284</v>
      </c>
      <c r="AA17" s="633"/>
      <c r="AB17" s="633"/>
      <c r="AC17" s="633"/>
      <c r="AD17" s="633"/>
      <c r="AE17" s="633"/>
      <c r="AF17" s="633"/>
      <c r="AG17" s="633"/>
      <c r="AH17" s="633"/>
      <c r="AI17" s="633"/>
      <c r="AJ17" s="633"/>
      <c r="AK17" s="633"/>
      <c r="AL17" s="633"/>
      <c r="AM17" s="633"/>
      <c r="AN17" s="633"/>
      <c r="AO17" s="633"/>
      <c r="AP17" s="633"/>
      <c r="AQ17" s="633"/>
      <c r="AR17" s="633"/>
      <c r="AS17" s="697" t="s">
        <v>2749</v>
      </c>
      <c r="AT17" s="697" t="s">
        <v>1238</v>
      </c>
      <c r="AU17" s="697"/>
      <c r="AV17" s="103"/>
    </row>
    <row r="18" spans="2:48" ht="18.75" x14ac:dyDescent="0.35">
      <c r="B18" s="363">
        <v>15</v>
      </c>
      <c r="C18" s="695" t="s">
        <v>348</v>
      </c>
      <c r="D18" s="696" t="s">
        <v>1278</v>
      </c>
      <c r="E18" s="633" t="s">
        <v>347</v>
      </c>
      <c r="F18" s="633">
        <v>-1</v>
      </c>
      <c r="G18" s="633"/>
      <c r="H18" s="633"/>
      <c r="I18" s="633"/>
      <c r="J18" s="633"/>
      <c r="K18" s="633"/>
      <c r="L18" s="633"/>
      <c r="M18" s="633"/>
      <c r="N18" s="633"/>
      <c r="O18" s="633"/>
      <c r="P18" s="633"/>
      <c r="Q18" s="633"/>
      <c r="R18" s="634" t="s">
        <v>1280</v>
      </c>
      <c r="S18" s="634" t="s">
        <v>1279</v>
      </c>
      <c r="T18" s="634" t="s">
        <v>1281</v>
      </c>
      <c r="U18" s="634" t="s">
        <v>1282</v>
      </c>
      <c r="V18" s="633"/>
      <c r="W18" s="633"/>
      <c r="X18" s="633" t="s">
        <v>346</v>
      </c>
      <c r="Y18" s="633"/>
      <c r="Z18" s="634" t="s">
        <v>1284</v>
      </c>
      <c r="AA18" s="633"/>
      <c r="AB18" s="633"/>
      <c r="AC18" s="633"/>
      <c r="AD18" s="633"/>
      <c r="AE18" s="633"/>
      <c r="AF18" s="633"/>
      <c r="AG18" s="633"/>
      <c r="AH18" s="633"/>
      <c r="AI18" s="633"/>
      <c r="AJ18" s="633"/>
      <c r="AK18" s="633"/>
      <c r="AL18" s="633"/>
      <c r="AM18" s="633"/>
      <c r="AN18" s="633"/>
      <c r="AO18" s="633"/>
      <c r="AP18" s="633"/>
      <c r="AQ18" s="633"/>
      <c r="AR18" s="633"/>
      <c r="AS18" s="697" t="s">
        <v>2750</v>
      </c>
      <c r="AT18" s="697" t="s">
        <v>1238</v>
      </c>
      <c r="AU18" s="697"/>
      <c r="AV18" s="103"/>
    </row>
    <row r="19" spans="2:48" ht="18.75" x14ac:dyDescent="0.35">
      <c r="B19" s="363">
        <v>16</v>
      </c>
      <c r="C19" s="695" t="s">
        <v>349</v>
      </c>
      <c r="D19" s="696" t="s">
        <v>229</v>
      </c>
      <c r="E19" s="633"/>
      <c r="F19" s="633"/>
      <c r="G19" s="633"/>
      <c r="H19" s="633"/>
      <c r="I19" s="633"/>
      <c r="J19" s="633"/>
      <c r="K19" s="633"/>
      <c r="L19" s="633"/>
      <c r="M19" s="633"/>
      <c r="N19" s="633"/>
      <c r="O19" s="633">
        <v>1</v>
      </c>
      <c r="P19" s="633"/>
      <c r="Q19" s="633"/>
      <c r="R19" s="633">
        <v>-1</v>
      </c>
      <c r="S19" s="633"/>
      <c r="T19" s="633"/>
      <c r="U19" s="633"/>
      <c r="V19" s="633"/>
      <c r="W19" s="633"/>
      <c r="X19" s="633"/>
      <c r="Y19" s="633"/>
      <c r="Z19" s="633" t="s">
        <v>356</v>
      </c>
      <c r="AA19" s="633"/>
      <c r="AB19" s="633"/>
      <c r="AC19" s="633"/>
      <c r="AD19" s="633"/>
      <c r="AE19" s="633"/>
      <c r="AF19" s="633"/>
      <c r="AG19" s="633"/>
      <c r="AH19" s="633"/>
      <c r="AI19" s="633"/>
      <c r="AJ19" s="633"/>
      <c r="AK19" s="633"/>
      <c r="AL19" s="633"/>
      <c r="AM19" s="633"/>
      <c r="AN19" s="633"/>
      <c r="AO19" s="633"/>
      <c r="AP19" s="633"/>
      <c r="AQ19" s="633"/>
      <c r="AR19" s="633"/>
      <c r="AS19" s="697" t="s">
        <v>2668</v>
      </c>
      <c r="AT19" s="697" t="s">
        <v>1238</v>
      </c>
      <c r="AU19" s="697"/>
      <c r="AV19" s="103"/>
    </row>
    <row r="20" spans="2:48" ht="18" x14ac:dyDescent="0.25">
      <c r="B20" s="363">
        <v>17</v>
      </c>
      <c r="C20" s="695" t="s">
        <v>350</v>
      </c>
      <c r="D20" s="696" t="s">
        <v>2298</v>
      </c>
      <c r="E20" s="633"/>
      <c r="F20" s="633">
        <v>1</v>
      </c>
      <c r="G20" s="633"/>
      <c r="H20" s="633"/>
      <c r="I20" s="633">
        <v>-1</v>
      </c>
      <c r="J20" s="633"/>
      <c r="K20" s="633"/>
      <c r="L20" s="633"/>
      <c r="M20" s="633"/>
      <c r="N20" s="633"/>
      <c r="O20" s="633"/>
      <c r="P20" s="633"/>
      <c r="Q20" s="633"/>
      <c r="R20" s="633"/>
      <c r="S20" s="789" t="s">
        <v>2315</v>
      </c>
      <c r="T20" s="633"/>
      <c r="U20" s="789" t="s">
        <v>2314</v>
      </c>
      <c r="V20" s="633"/>
      <c r="W20" s="633"/>
      <c r="X20" s="633"/>
      <c r="Y20" s="633"/>
      <c r="Z20" s="633"/>
      <c r="AA20" s="633"/>
      <c r="AB20" s="633"/>
      <c r="AC20" s="633"/>
      <c r="AD20" s="633"/>
      <c r="AE20" s="633"/>
      <c r="AF20" s="633"/>
      <c r="AG20" s="633"/>
      <c r="AH20" s="633"/>
      <c r="AI20" s="633"/>
      <c r="AJ20" s="633"/>
      <c r="AK20" s="633"/>
      <c r="AL20" s="633"/>
      <c r="AM20" s="633"/>
      <c r="AN20" s="633"/>
      <c r="AO20" s="633"/>
      <c r="AP20" s="633"/>
      <c r="AQ20" s="633"/>
      <c r="AR20" s="633"/>
      <c r="AS20" s="736" t="s">
        <v>2300</v>
      </c>
      <c r="AT20" s="697" t="s">
        <v>1238</v>
      </c>
      <c r="AU20" s="697"/>
      <c r="AV20" s="103"/>
    </row>
    <row r="21" spans="2:48" ht="18" x14ac:dyDescent="0.25">
      <c r="B21" s="437">
        <v>18</v>
      </c>
      <c r="C21" s="720" t="s">
        <v>734</v>
      </c>
      <c r="D21" s="696" t="s">
        <v>2299</v>
      </c>
      <c r="E21" s="633"/>
      <c r="F21" s="633">
        <v>1</v>
      </c>
      <c r="G21" s="633"/>
      <c r="H21" s="633">
        <v>-1</v>
      </c>
      <c r="I21" s="633"/>
      <c r="J21" s="633"/>
      <c r="K21" s="633"/>
      <c r="L21" s="633"/>
      <c r="M21" s="633"/>
      <c r="N21" s="633"/>
      <c r="O21" s="633"/>
      <c r="P21" s="633"/>
      <c r="Q21" s="633"/>
      <c r="R21" s="633"/>
      <c r="S21" s="789" t="s">
        <v>2316</v>
      </c>
      <c r="T21" s="633"/>
      <c r="U21" s="633"/>
      <c r="V21" s="633"/>
      <c r="W21" s="633"/>
      <c r="X21" s="633"/>
      <c r="Y21" s="633"/>
      <c r="Z21" s="633"/>
      <c r="AA21" s="633"/>
      <c r="AB21" s="633"/>
      <c r="AC21" s="633"/>
      <c r="AD21" s="633"/>
      <c r="AE21" s="633"/>
      <c r="AF21" s="633"/>
      <c r="AG21" s="633"/>
      <c r="AH21" s="633"/>
      <c r="AI21" s="633"/>
      <c r="AJ21" s="633"/>
      <c r="AK21" s="633"/>
      <c r="AL21" s="633"/>
      <c r="AM21" s="633"/>
      <c r="AN21" s="633"/>
      <c r="AO21" s="633"/>
      <c r="AP21" s="633"/>
      <c r="AQ21" s="633"/>
      <c r="AR21" s="633"/>
      <c r="AS21" s="736" t="s">
        <v>2321</v>
      </c>
      <c r="AT21" s="697" t="s">
        <v>1238</v>
      </c>
      <c r="AU21" s="697"/>
      <c r="AV21" s="103"/>
    </row>
    <row r="22" spans="2:48" ht="18.75" x14ac:dyDescent="0.35">
      <c r="B22" s="363">
        <v>19</v>
      </c>
      <c r="C22" s="695" t="s">
        <v>735</v>
      </c>
      <c r="D22" s="696" t="s">
        <v>1504</v>
      </c>
      <c r="E22" s="633"/>
      <c r="F22" s="633"/>
      <c r="G22" s="633"/>
      <c r="H22" s="633"/>
      <c r="I22" s="633"/>
      <c r="J22" s="721" t="s">
        <v>2669</v>
      </c>
      <c r="K22" s="721" t="s">
        <v>2670</v>
      </c>
      <c r="L22" s="721" t="s">
        <v>2671</v>
      </c>
      <c r="M22" s="721" t="s">
        <v>2672</v>
      </c>
      <c r="N22" s="721" t="s">
        <v>2673</v>
      </c>
      <c r="O22" s="789" t="s">
        <v>2674</v>
      </c>
      <c r="P22" s="633">
        <v>-1</v>
      </c>
      <c r="Q22" s="633"/>
      <c r="R22" s="633"/>
      <c r="S22" s="633"/>
      <c r="T22" s="789" t="s">
        <v>2675</v>
      </c>
      <c r="U22" s="633"/>
      <c r="V22" s="633"/>
      <c r="W22" s="633"/>
      <c r="X22" s="633"/>
      <c r="Y22" s="633"/>
      <c r="Z22" s="633" t="s">
        <v>2676</v>
      </c>
      <c r="AA22" s="633"/>
      <c r="AB22" s="633"/>
      <c r="AC22" s="633"/>
      <c r="AD22" s="633"/>
      <c r="AE22" s="633"/>
      <c r="AF22" s="633"/>
      <c r="AG22" s="633"/>
      <c r="AH22" s="633"/>
      <c r="AI22" s="633"/>
      <c r="AJ22" s="633"/>
      <c r="AK22" s="633"/>
      <c r="AL22" s="633"/>
      <c r="AM22" s="633"/>
      <c r="AN22" s="633"/>
      <c r="AO22" s="633"/>
      <c r="AP22" s="633"/>
      <c r="AQ22" s="633"/>
      <c r="AR22" s="633"/>
      <c r="AS22" s="722" t="s">
        <v>2677</v>
      </c>
      <c r="AT22" s="722" t="s">
        <v>1238</v>
      </c>
      <c r="AU22" s="722"/>
      <c r="AV22" s="103"/>
    </row>
    <row r="23" spans="2:48" ht="18.75" x14ac:dyDescent="0.35">
      <c r="B23" s="437">
        <v>20</v>
      </c>
      <c r="C23" s="720" t="s">
        <v>736</v>
      </c>
      <c r="D23" s="723" t="s">
        <v>1536</v>
      </c>
      <c r="E23" s="633"/>
      <c r="F23" s="633"/>
      <c r="G23" s="633"/>
      <c r="H23" s="633"/>
      <c r="I23" s="633"/>
      <c r="J23" s="634"/>
      <c r="K23" s="633"/>
      <c r="L23" s="633"/>
      <c r="M23" s="633"/>
      <c r="N23" s="633"/>
      <c r="O23" s="633"/>
      <c r="P23" s="633"/>
      <c r="Q23" s="633"/>
      <c r="R23" s="633"/>
      <c r="S23" s="633"/>
      <c r="T23" s="634" t="s">
        <v>1574</v>
      </c>
      <c r="U23" s="633"/>
      <c r="V23" s="633"/>
      <c r="W23" s="633"/>
      <c r="X23" s="633"/>
      <c r="Y23" s="633"/>
      <c r="Z23" s="634" t="s">
        <v>1570</v>
      </c>
      <c r="AA23" s="633">
        <v>-1</v>
      </c>
      <c r="AB23" s="633">
        <v>1</v>
      </c>
      <c r="AC23" s="633"/>
      <c r="AD23" s="633"/>
      <c r="AE23" s="633"/>
      <c r="AF23" s="633"/>
      <c r="AG23" s="633"/>
      <c r="AH23" s="633"/>
      <c r="AI23" s="633"/>
      <c r="AJ23" s="633"/>
      <c r="AK23" s="633"/>
      <c r="AL23" s="633"/>
      <c r="AM23" s="633"/>
      <c r="AN23" s="633"/>
      <c r="AO23" s="633"/>
      <c r="AP23" s="633"/>
      <c r="AQ23" s="633"/>
      <c r="AR23" s="633"/>
      <c r="AS23" s="724" t="s">
        <v>2230</v>
      </c>
      <c r="AT23" s="724" t="s">
        <v>1238</v>
      </c>
      <c r="AU23" s="724"/>
      <c r="AV23" s="103"/>
    </row>
    <row r="24" spans="2:48" ht="18.75" x14ac:dyDescent="0.35">
      <c r="B24" s="437">
        <v>21</v>
      </c>
      <c r="C24" s="720" t="s">
        <v>743</v>
      </c>
      <c r="D24" s="723" t="s">
        <v>1537</v>
      </c>
      <c r="E24" s="633"/>
      <c r="F24" s="633"/>
      <c r="G24" s="633"/>
      <c r="H24" s="633"/>
      <c r="I24" s="633"/>
      <c r="J24" s="634"/>
      <c r="K24" s="633"/>
      <c r="L24" s="633"/>
      <c r="M24" s="633"/>
      <c r="N24" s="633"/>
      <c r="O24" s="633"/>
      <c r="P24" s="633"/>
      <c r="Q24" s="633"/>
      <c r="R24" s="633"/>
      <c r="S24" s="633"/>
      <c r="T24" s="633" t="s">
        <v>1575</v>
      </c>
      <c r="U24" s="633"/>
      <c r="V24" s="633"/>
      <c r="W24" s="633"/>
      <c r="X24" s="633"/>
      <c r="Y24" s="633"/>
      <c r="Z24" s="633" t="s">
        <v>1571</v>
      </c>
      <c r="AA24" s="634">
        <v>1</v>
      </c>
      <c r="AB24" s="634">
        <v>-1</v>
      </c>
      <c r="AC24" s="634"/>
      <c r="AD24" s="634"/>
      <c r="AE24" s="634"/>
      <c r="AF24" s="634"/>
      <c r="AG24" s="634"/>
      <c r="AH24" s="634"/>
      <c r="AI24" s="634"/>
      <c r="AJ24" s="634"/>
      <c r="AK24" s="634"/>
      <c r="AL24" s="634"/>
      <c r="AM24" s="634"/>
      <c r="AN24" s="634"/>
      <c r="AO24" s="634"/>
      <c r="AP24" s="634"/>
      <c r="AQ24" s="634"/>
      <c r="AR24" s="634"/>
      <c r="AS24" s="725" t="s">
        <v>2231</v>
      </c>
      <c r="AT24" s="725" t="s">
        <v>1238</v>
      </c>
      <c r="AU24" s="725"/>
      <c r="AV24" s="103"/>
    </row>
    <row r="25" spans="2:48" ht="18.75" x14ac:dyDescent="0.35">
      <c r="B25" s="437">
        <v>22</v>
      </c>
      <c r="C25" s="720" t="s">
        <v>1807</v>
      </c>
      <c r="D25" s="723" t="s">
        <v>1538</v>
      </c>
      <c r="E25" s="633"/>
      <c r="F25" s="633"/>
      <c r="G25" s="633"/>
      <c r="H25" s="633"/>
      <c r="I25" s="633"/>
      <c r="J25" s="634"/>
      <c r="K25" s="633"/>
      <c r="L25" s="633"/>
      <c r="M25" s="633"/>
      <c r="N25" s="633"/>
      <c r="O25" s="633"/>
      <c r="P25" s="633"/>
      <c r="Q25" s="633"/>
      <c r="R25" s="633"/>
      <c r="S25" s="633"/>
      <c r="T25" s="634" t="s">
        <v>1576</v>
      </c>
      <c r="U25" s="633"/>
      <c r="V25" s="633"/>
      <c r="W25" s="633"/>
      <c r="X25" s="633"/>
      <c r="Y25" s="633"/>
      <c r="Z25" s="634" t="s">
        <v>1572</v>
      </c>
      <c r="AA25" s="633"/>
      <c r="AB25" s="633"/>
      <c r="AC25" s="633">
        <v>-1</v>
      </c>
      <c r="AD25" s="633">
        <v>1</v>
      </c>
      <c r="AE25" s="633"/>
      <c r="AF25" s="633"/>
      <c r="AG25" s="633"/>
      <c r="AH25" s="633"/>
      <c r="AI25" s="633"/>
      <c r="AJ25" s="633"/>
      <c r="AK25" s="633"/>
      <c r="AL25" s="633"/>
      <c r="AM25" s="633"/>
      <c r="AN25" s="633"/>
      <c r="AO25" s="633"/>
      <c r="AP25" s="633"/>
      <c r="AQ25" s="633"/>
      <c r="AR25" s="633"/>
      <c r="AS25" s="724" t="s">
        <v>2232</v>
      </c>
      <c r="AT25" s="724" t="s">
        <v>1238</v>
      </c>
      <c r="AU25" s="724"/>
      <c r="AV25" s="103"/>
    </row>
    <row r="26" spans="2:48" ht="18.75" x14ac:dyDescent="0.35">
      <c r="B26" s="437">
        <v>23</v>
      </c>
      <c r="C26" s="720" t="s">
        <v>1808</v>
      </c>
      <c r="D26" s="723" t="s">
        <v>1539</v>
      </c>
      <c r="E26" s="633"/>
      <c r="F26" s="633"/>
      <c r="G26" s="633"/>
      <c r="H26" s="633"/>
      <c r="I26" s="633"/>
      <c r="J26" s="634"/>
      <c r="K26" s="633"/>
      <c r="L26" s="633"/>
      <c r="M26" s="633"/>
      <c r="N26" s="633"/>
      <c r="O26" s="633"/>
      <c r="P26" s="633"/>
      <c r="Q26" s="633"/>
      <c r="R26" s="633"/>
      <c r="S26" s="633"/>
      <c r="T26" s="633" t="s">
        <v>1577</v>
      </c>
      <c r="U26" s="633"/>
      <c r="V26" s="633"/>
      <c r="W26" s="633"/>
      <c r="X26" s="633"/>
      <c r="Y26" s="633"/>
      <c r="Z26" s="633" t="s">
        <v>1573</v>
      </c>
      <c r="AA26" s="634"/>
      <c r="AB26" s="634"/>
      <c r="AC26" s="634">
        <v>1</v>
      </c>
      <c r="AD26" s="634">
        <v>-1</v>
      </c>
      <c r="AE26" s="634"/>
      <c r="AF26" s="634"/>
      <c r="AG26" s="634"/>
      <c r="AH26" s="634"/>
      <c r="AI26" s="634"/>
      <c r="AJ26" s="634"/>
      <c r="AK26" s="634"/>
      <c r="AL26" s="634"/>
      <c r="AM26" s="634"/>
      <c r="AN26" s="634"/>
      <c r="AO26" s="634"/>
      <c r="AP26" s="634"/>
      <c r="AQ26" s="634"/>
      <c r="AR26" s="634"/>
      <c r="AS26" s="725" t="s">
        <v>2233</v>
      </c>
      <c r="AT26" s="725" t="s">
        <v>1238</v>
      </c>
      <c r="AU26" s="725"/>
      <c r="AV26" s="103"/>
    </row>
    <row r="27" spans="2:48" ht="18" x14ac:dyDescent="0.25">
      <c r="B27" s="1068">
        <v>24</v>
      </c>
      <c r="C27" s="1069" t="s">
        <v>1809</v>
      </c>
      <c r="D27" s="1070" t="s">
        <v>2700</v>
      </c>
      <c r="E27" s="1071"/>
      <c r="F27" s="1071"/>
      <c r="G27" s="1071"/>
      <c r="H27" s="1071"/>
      <c r="I27" s="1071"/>
      <c r="J27" s="1072"/>
      <c r="K27" s="1071"/>
      <c r="L27" s="1071"/>
      <c r="M27" s="1071"/>
      <c r="N27" s="1071"/>
      <c r="O27" s="1071"/>
      <c r="P27" s="1071"/>
      <c r="Q27" s="1071"/>
      <c r="R27" s="1071"/>
      <c r="S27" s="1071"/>
      <c r="T27" s="1071"/>
      <c r="U27" s="1071"/>
      <c r="V27" s="1071"/>
      <c r="W27" s="1071"/>
      <c r="X27" s="1071"/>
      <c r="Y27" s="1071"/>
      <c r="Z27" s="1071"/>
      <c r="AA27" s="1072"/>
      <c r="AB27" s="1072"/>
      <c r="AC27" s="1072"/>
      <c r="AD27" s="1072"/>
      <c r="AE27" s="1072">
        <v>-1</v>
      </c>
      <c r="AF27" s="1072">
        <v>1</v>
      </c>
      <c r="AG27" s="1072"/>
      <c r="AH27" s="1072"/>
      <c r="AI27" s="1072"/>
      <c r="AJ27" s="1072"/>
      <c r="AK27" s="1072"/>
      <c r="AL27" s="1071"/>
      <c r="AM27" s="1072"/>
      <c r="AN27" s="1072"/>
      <c r="AO27" s="1072"/>
      <c r="AP27" s="1071"/>
      <c r="AQ27" s="1072"/>
      <c r="AR27" s="1072"/>
      <c r="AS27" s="1073" t="s">
        <v>2714</v>
      </c>
      <c r="AT27" s="1070" t="s">
        <v>1238</v>
      </c>
      <c r="AU27" s="1070"/>
      <c r="AV27" s="1074" t="s">
        <v>2692</v>
      </c>
    </row>
    <row r="28" spans="2:48" ht="18" x14ac:dyDescent="0.25">
      <c r="B28" s="1068">
        <v>25</v>
      </c>
      <c r="C28" s="1069" t="s">
        <v>1810</v>
      </c>
      <c r="D28" s="1070" t="s">
        <v>2701</v>
      </c>
      <c r="E28" s="1071"/>
      <c r="F28" s="1071"/>
      <c r="G28" s="1071"/>
      <c r="H28" s="1071"/>
      <c r="I28" s="1071"/>
      <c r="J28" s="1072"/>
      <c r="K28" s="1071"/>
      <c r="L28" s="1071"/>
      <c r="M28" s="1071"/>
      <c r="N28" s="1071"/>
      <c r="O28" s="1071"/>
      <c r="P28" s="1071"/>
      <c r="Q28" s="1071"/>
      <c r="R28" s="1071"/>
      <c r="S28" s="1071"/>
      <c r="T28" s="1071"/>
      <c r="U28" s="1071"/>
      <c r="V28" s="1071"/>
      <c r="W28" s="1071"/>
      <c r="X28" s="1071"/>
      <c r="Y28" s="1071"/>
      <c r="Z28" s="1071"/>
      <c r="AA28" s="1072"/>
      <c r="AB28" s="1072"/>
      <c r="AC28" s="1072"/>
      <c r="AD28" s="1072"/>
      <c r="AE28" s="1072"/>
      <c r="AF28" s="1072"/>
      <c r="AG28" s="1072">
        <v>-1</v>
      </c>
      <c r="AH28" s="1072">
        <v>1</v>
      </c>
      <c r="AI28" s="1072"/>
      <c r="AJ28" s="1072"/>
      <c r="AK28" s="1072"/>
      <c r="AL28" s="1071"/>
      <c r="AM28" s="1072"/>
      <c r="AN28" s="1072"/>
      <c r="AO28" s="1072"/>
      <c r="AP28" s="1071"/>
      <c r="AQ28" s="1072"/>
      <c r="AR28" s="1072"/>
      <c r="AS28" s="1073" t="s">
        <v>2715</v>
      </c>
      <c r="AT28" s="1070" t="s">
        <v>1238</v>
      </c>
      <c r="AU28" s="1070"/>
      <c r="AV28" s="1074" t="s">
        <v>2692</v>
      </c>
    </row>
    <row r="29" spans="2:48" ht="18" x14ac:dyDescent="0.25">
      <c r="B29" s="1038">
        <v>26</v>
      </c>
      <c r="C29" s="1039" t="s">
        <v>2184</v>
      </c>
      <c r="D29" s="1040" t="s">
        <v>2183</v>
      </c>
      <c r="E29" s="1040"/>
      <c r="F29" s="1040"/>
      <c r="G29" s="1040"/>
      <c r="H29" s="1040"/>
      <c r="I29" s="1040"/>
      <c r="J29" s="1040"/>
      <c r="K29" s="1040"/>
      <c r="L29" s="1040"/>
      <c r="M29" s="1040"/>
      <c r="N29" s="1040"/>
      <c r="O29" s="1040"/>
      <c r="P29" s="1040"/>
      <c r="Q29" s="1040"/>
      <c r="R29" s="1040"/>
      <c r="S29" s="1040"/>
      <c r="T29" s="1040"/>
      <c r="U29" s="1040"/>
      <c r="V29" s="1040"/>
      <c r="W29" s="1040"/>
      <c r="X29" s="1040"/>
      <c r="Y29" s="1040"/>
      <c r="Z29" s="1040"/>
      <c r="AA29" s="1040"/>
      <c r="AB29" s="1040"/>
      <c r="AC29" s="1040"/>
      <c r="AD29" s="1040"/>
      <c r="AE29" s="1040"/>
      <c r="AF29" s="1040"/>
      <c r="AG29" s="1040"/>
      <c r="AH29" s="1040"/>
      <c r="AI29" s="1040"/>
      <c r="AJ29" s="1041">
        <v>1</v>
      </c>
      <c r="AK29" s="1040"/>
      <c r="AL29" s="1040"/>
      <c r="AM29" s="1040"/>
      <c r="AN29" s="1040"/>
      <c r="AO29" s="1040"/>
      <c r="AP29" s="1040"/>
      <c r="AQ29" s="1040"/>
      <c r="AR29" s="1040"/>
      <c r="AS29" s="1042" t="s">
        <v>2268</v>
      </c>
      <c r="AT29" s="1043" t="s">
        <v>2185</v>
      </c>
      <c r="AU29" s="1043"/>
      <c r="AV29" s="1044"/>
    </row>
    <row r="30" spans="2:48" ht="18" x14ac:dyDescent="0.25">
      <c r="B30" s="438">
        <v>27</v>
      </c>
      <c r="C30" s="726" t="s">
        <v>2296</v>
      </c>
      <c r="D30" s="727" t="s">
        <v>1815</v>
      </c>
      <c r="E30" s="728"/>
      <c r="F30" s="728"/>
      <c r="G30" s="728"/>
      <c r="H30" s="728"/>
      <c r="I30" s="728"/>
      <c r="J30" s="635"/>
      <c r="K30" s="728"/>
      <c r="L30" s="728"/>
      <c r="M30" s="728"/>
      <c r="N30" s="728"/>
      <c r="O30" s="728"/>
      <c r="P30" s="728"/>
      <c r="Q30" s="728"/>
      <c r="R30" s="728"/>
      <c r="S30" s="728"/>
      <c r="T30" s="728"/>
      <c r="U30" s="728"/>
      <c r="V30" s="728"/>
      <c r="W30" s="728">
        <v>1</v>
      </c>
      <c r="X30" s="728"/>
      <c r="Y30" s="728"/>
      <c r="Z30" s="728"/>
      <c r="AA30" s="635"/>
      <c r="AB30" s="635"/>
      <c r="AC30" s="635"/>
      <c r="AD30" s="635"/>
      <c r="AE30" s="635"/>
      <c r="AF30" s="635"/>
      <c r="AG30" s="635"/>
      <c r="AH30" s="635"/>
      <c r="AI30" s="635"/>
      <c r="AJ30" s="635"/>
      <c r="AK30" s="635">
        <v>-1</v>
      </c>
      <c r="AL30" s="635"/>
      <c r="AM30" s="635"/>
      <c r="AN30" s="635"/>
      <c r="AO30" s="635"/>
      <c r="AP30" s="635"/>
      <c r="AQ30" s="635"/>
      <c r="AR30" s="635"/>
      <c r="AS30" s="729" t="s">
        <v>1825</v>
      </c>
      <c r="AT30" s="727" t="s">
        <v>1238</v>
      </c>
      <c r="AU30" s="727"/>
      <c r="AV30" s="105"/>
    </row>
    <row r="31" spans="2:48" ht="18" x14ac:dyDescent="0.25">
      <c r="B31" s="438">
        <v>28</v>
      </c>
      <c r="C31" s="726" t="s">
        <v>2297</v>
      </c>
      <c r="D31" s="727" t="s">
        <v>1816</v>
      </c>
      <c r="E31" s="728"/>
      <c r="F31" s="728"/>
      <c r="G31" s="728"/>
      <c r="H31" s="728"/>
      <c r="I31" s="728"/>
      <c r="J31" s="635"/>
      <c r="K31" s="728"/>
      <c r="L31" s="728"/>
      <c r="M31" s="728"/>
      <c r="N31" s="728"/>
      <c r="O31" s="728"/>
      <c r="P31" s="728"/>
      <c r="Q31" s="728"/>
      <c r="R31" s="728"/>
      <c r="S31" s="728"/>
      <c r="T31" s="728"/>
      <c r="U31" s="728"/>
      <c r="V31" s="728"/>
      <c r="W31" s="728"/>
      <c r="X31" s="728">
        <v>1</v>
      </c>
      <c r="Y31" s="728"/>
      <c r="Z31" s="728"/>
      <c r="AA31" s="635"/>
      <c r="AB31" s="635"/>
      <c r="AC31" s="635"/>
      <c r="AD31" s="635"/>
      <c r="AE31" s="635"/>
      <c r="AF31" s="635"/>
      <c r="AG31" s="635"/>
      <c r="AH31" s="635"/>
      <c r="AI31" s="635"/>
      <c r="AJ31" s="635"/>
      <c r="AK31" s="635"/>
      <c r="AL31" s="635">
        <v>-1</v>
      </c>
      <c r="AM31" s="635"/>
      <c r="AN31" s="635"/>
      <c r="AO31" s="635"/>
      <c r="AP31" s="635"/>
      <c r="AQ31" s="635"/>
      <c r="AR31" s="635"/>
      <c r="AS31" s="729" t="s">
        <v>1826</v>
      </c>
      <c r="AT31" s="727" t="s">
        <v>1238</v>
      </c>
      <c r="AU31" s="727"/>
      <c r="AV31" s="105"/>
    </row>
    <row r="32" spans="2:48" ht="18" x14ac:dyDescent="0.25">
      <c r="B32" s="438">
        <v>29</v>
      </c>
      <c r="C32" s="726" t="s">
        <v>2349</v>
      </c>
      <c r="D32" s="727" t="s">
        <v>1817</v>
      </c>
      <c r="E32" s="728"/>
      <c r="F32" s="728"/>
      <c r="G32" s="728"/>
      <c r="H32" s="728"/>
      <c r="I32" s="728"/>
      <c r="J32" s="635"/>
      <c r="K32" s="728"/>
      <c r="L32" s="728"/>
      <c r="M32" s="728"/>
      <c r="N32" s="728"/>
      <c r="O32" s="728"/>
      <c r="P32" s="728"/>
      <c r="Q32" s="728"/>
      <c r="R32" s="728"/>
      <c r="S32" s="728"/>
      <c r="T32" s="728"/>
      <c r="U32" s="728"/>
      <c r="V32" s="728">
        <v>1</v>
      </c>
      <c r="W32" s="728"/>
      <c r="X32" s="728"/>
      <c r="Y32" s="728"/>
      <c r="Z32" s="728"/>
      <c r="AA32" s="635"/>
      <c r="AB32" s="635"/>
      <c r="AC32" s="635"/>
      <c r="AD32" s="635"/>
      <c r="AE32" s="635"/>
      <c r="AF32" s="635"/>
      <c r="AG32" s="635"/>
      <c r="AH32" s="635"/>
      <c r="AI32" s="635"/>
      <c r="AJ32" s="635"/>
      <c r="AK32" s="635"/>
      <c r="AL32" s="635"/>
      <c r="AM32" s="635">
        <v>-1</v>
      </c>
      <c r="AN32" s="728"/>
      <c r="AO32" s="635"/>
      <c r="AP32" s="635"/>
      <c r="AQ32" s="635"/>
      <c r="AR32" s="728"/>
      <c r="AS32" s="729" t="s">
        <v>1827</v>
      </c>
      <c r="AT32" s="727" t="s">
        <v>1238</v>
      </c>
      <c r="AU32" s="727"/>
      <c r="AV32" s="105"/>
    </row>
    <row r="33" spans="2:48" ht="18.75" thickBot="1" x14ac:dyDescent="0.3">
      <c r="B33" s="439">
        <v>30</v>
      </c>
      <c r="C33" s="436" t="s">
        <v>2350</v>
      </c>
      <c r="D33" s="104" t="s">
        <v>1818</v>
      </c>
      <c r="E33" s="106"/>
      <c r="F33" s="106"/>
      <c r="G33" s="106"/>
      <c r="H33" s="106"/>
      <c r="I33" s="106"/>
      <c r="J33" s="107"/>
      <c r="K33" s="106"/>
      <c r="L33" s="106"/>
      <c r="M33" s="106"/>
      <c r="N33" s="106"/>
      <c r="O33" s="106"/>
      <c r="P33" s="106"/>
      <c r="Q33" s="106">
        <v>1</v>
      </c>
      <c r="R33" s="106"/>
      <c r="S33" s="106"/>
      <c r="T33" s="106"/>
      <c r="U33" s="106"/>
      <c r="V33" s="106"/>
      <c r="W33" s="106"/>
      <c r="X33" s="106"/>
      <c r="Y33" s="106"/>
      <c r="Z33" s="106"/>
      <c r="AA33" s="107"/>
      <c r="AB33" s="107"/>
      <c r="AC33" s="107"/>
      <c r="AD33" s="107"/>
      <c r="AE33" s="107"/>
      <c r="AF33" s="107"/>
      <c r="AG33" s="107"/>
      <c r="AH33" s="107"/>
      <c r="AI33" s="107"/>
      <c r="AJ33" s="107"/>
      <c r="AK33" s="107"/>
      <c r="AL33" s="106"/>
      <c r="AM33" s="107"/>
      <c r="AN33" s="107">
        <v>-1</v>
      </c>
      <c r="AO33" s="107"/>
      <c r="AP33" s="106"/>
      <c r="AQ33" s="107"/>
      <c r="AR33" s="107"/>
      <c r="AS33" s="480" t="s">
        <v>1828</v>
      </c>
      <c r="AT33" s="104" t="s">
        <v>1238</v>
      </c>
      <c r="AU33" s="104"/>
      <c r="AV33" s="108"/>
    </row>
    <row r="34" spans="2:48" ht="18" x14ac:dyDescent="0.25">
      <c r="B34" s="472">
        <v>31</v>
      </c>
      <c r="C34" s="730" t="s">
        <v>2351</v>
      </c>
      <c r="D34" s="731" t="s">
        <v>1811</v>
      </c>
      <c r="E34" s="732"/>
      <c r="F34" s="732"/>
      <c r="G34" s="732"/>
      <c r="H34" s="732"/>
      <c r="I34" s="732"/>
      <c r="J34" s="636"/>
      <c r="K34" s="732"/>
      <c r="L34" s="732"/>
      <c r="M34" s="732"/>
      <c r="N34" s="732"/>
      <c r="O34" s="732"/>
      <c r="P34" s="732"/>
      <c r="Q34" s="732"/>
      <c r="R34" s="732"/>
      <c r="S34" s="732"/>
      <c r="T34" s="732"/>
      <c r="U34" s="732"/>
      <c r="V34" s="732"/>
      <c r="W34" s="732">
        <v>1</v>
      </c>
      <c r="X34" s="732"/>
      <c r="Y34" s="732"/>
      <c r="Z34" s="732"/>
      <c r="AA34" s="636"/>
      <c r="AB34" s="636"/>
      <c r="AC34" s="636"/>
      <c r="AD34" s="636"/>
      <c r="AE34" s="636"/>
      <c r="AF34" s="636"/>
      <c r="AG34" s="636"/>
      <c r="AH34" s="636"/>
      <c r="AI34" s="636"/>
      <c r="AJ34" s="636"/>
      <c r="AK34" s="636"/>
      <c r="AL34" s="636"/>
      <c r="AM34" s="636"/>
      <c r="AN34" s="636"/>
      <c r="AO34" s="733" t="s">
        <v>1819</v>
      </c>
      <c r="AP34" s="636"/>
      <c r="AQ34" s="733"/>
      <c r="AR34" s="636"/>
      <c r="AS34" s="481" t="s">
        <v>1821</v>
      </c>
      <c r="AT34" s="731" t="s">
        <v>1238</v>
      </c>
      <c r="AU34" s="731"/>
      <c r="AV34" s="473"/>
    </row>
    <row r="35" spans="2:48" ht="18" x14ac:dyDescent="0.25">
      <c r="B35" s="472">
        <v>32</v>
      </c>
      <c r="C35" s="730" t="s">
        <v>2352</v>
      </c>
      <c r="D35" s="731" t="s">
        <v>1812</v>
      </c>
      <c r="E35" s="732"/>
      <c r="F35" s="732"/>
      <c r="G35" s="732"/>
      <c r="H35" s="732"/>
      <c r="I35" s="732"/>
      <c r="J35" s="636"/>
      <c r="K35" s="732"/>
      <c r="L35" s="732"/>
      <c r="M35" s="732"/>
      <c r="N35" s="732"/>
      <c r="O35" s="732"/>
      <c r="P35" s="732"/>
      <c r="Q35" s="732"/>
      <c r="R35" s="732"/>
      <c r="S35" s="732"/>
      <c r="T35" s="732"/>
      <c r="U35" s="732"/>
      <c r="V35" s="732"/>
      <c r="W35" s="732"/>
      <c r="X35" s="732">
        <v>1</v>
      </c>
      <c r="Y35" s="732"/>
      <c r="Z35" s="732"/>
      <c r="AA35" s="636"/>
      <c r="AB35" s="636"/>
      <c r="AC35" s="636"/>
      <c r="AD35" s="636"/>
      <c r="AE35" s="636"/>
      <c r="AF35" s="636"/>
      <c r="AG35" s="636"/>
      <c r="AH35" s="636"/>
      <c r="AI35" s="636"/>
      <c r="AJ35" s="636"/>
      <c r="AK35" s="636"/>
      <c r="AL35" s="636"/>
      <c r="AM35" s="636"/>
      <c r="AN35" s="636"/>
      <c r="AO35" s="733"/>
      <c r="AP35" s="733" t="s">
        <v>1819</v>
      </c>
      <c r="AQ35" s="636"/>
      <c r="AR35" s="636"/>
      <c r="AS35" s="734" t="s">
        <v>1822</v>
      </c>
      <c r="AT35" s="731" t="s">
        <v>1238</v>
      </c>
      <c r="AU35" s="731"/>
      <c r="AV35" s="473"/>
    </row>
    <row r="36" spans="2:48" ht="18" x14ac:dyDescent="0.25">
      <c r="B36" s="472">
        <v>33</v>
      </c>
      <c r="C36" s="730" t="s">
        <v>2693</v>
      </c>
      <c r="D36" s="731" t="s">
        <v>1813</v>
      </c>
      <c r="E36" s="732"/>
      <c r="F36" s="732"/>
      <c r="G36" s="732"/>
      <c r="H36" s="732"/>
      <c r="I36" s="732"/>
      <c r="J36" s="636"/>
      <c r="K36" s="732"/>
      <c r="L36" s="732"/>
      <c r="M36" s="732"/>
      <c r="N36" s="732"/>
      <c r="O36" s="732"/>
      <c r="P36" s="732"/>
      <c r="Q36" s="732"/>
      <c r="R36" s="732"/>
      <c r="S36" s="732"/>
      <c r="T36" s="732"/>
      <c r="U36" s="732"/>
      <c r="V36" s="732">
        <v>1</v>
      </c>
      <c r="W36" s="732"/>
      <c r="X36" s="732"/>
      <c r="Y36" s="732"/>
      <c r="Z36" s="732"/>
      <c r="AA36" s="636"/>
      <c r="AB36" s="636"/>
      <c r="AC36" s="636"/>
      <c r="AD36" s="636"/>
      <c r="AE36" s="636"/>
      <c r="AF36" s="636"/>
      <c r="AG36" s="636"/>
      <c r="AH36" s="636"/>
      <c r="AI36" s="636"/>
      <c r="AJ36" s="636"/>
      <c r="AK36" s="636"/>
      <c r="AL36" s="636"/>
      <c r="AM36" s="636"/>
      <c r="AN36" s="732"/>
      <c r="AO36" s="636"/>
      <c r="AP36" s="636"/>
      <c r="AQ36" s="733" t="s">
        <v>1819</v>
      </c>
      <c r="AR36" s="732"/>
      <c r="AS36" s="734" t="s">
        <v>1823</v>
      </c>
      <c r="AT36" s="731" t="s">
        <v>1238</v>
      </c>
      <c r="AU36" s="731"/>
      <c r="AV36" s="473"/>
    </row>
    <row r="37" spans="2:48" ht="18.75" thickBot="1" x14ac:dyDescent="0.3">
      <c r="B37" s="474">
        <v>34</v>
      </c>
      <c r="C37" s="475" t="s">
        <v>2702</v>
      </c>
      <c r="D37" s="476" t="s">
        <v>1814</v>
      </c>
      <c r="E37" s="477"/>
      <c r="F37" s="477"/>
      <c r="G37" s="477"/>
      <c r="H37" s="477"/>
      <c r="I37" s="477"/>
      <c r="J37" s="478"/>
      <c r="K37" s="477"/>
      <c r="L37" s="477"/>
      <c r="M37" s="477"/>
      <c r="N37" s="477"/>
      <c r="O37" s="477"/>
      <c r="P37" s="477"/>
      <c r="Q37" s="477">
        <v>1</v>
      </c>
      <c r="R37" s="477"/>
      <c r="S37" s="477"/>
      <c r="T37" s="477"/>
      <c r="U37" s="477"/>
      <c r="V37" s="477"/>
      <c r="W37" s="477"/>
      <c r="X37" s="477"/>
      <c r="Y37" s="477"/>
      <c r="Z37" s="477"/>
      <c r="AA37" s="478"/>
      <c r="AB37" s="478"/>
      <c r="AC37" s="478"/>
      <c r="AD37" s="478"/>
      <c r="AE37" s="478"/>
      <c r="AF37" s="478"/>
      <c r="AG37" s="478"/>
      <c r="AH37" s="478"/>
      <c r="AI37" s="478"/>
      <c r="AJ37" s="478"/>
      <c r="AK37" s="478"/>
      <c r="AL37" s="477"/>
      <c r="AM37" s="478"/>
      <c r="AN37" s="478"/>
      <c r="AO37" s="478"/>
      <c r="AP37" s="477"/>
      <c r="AQ37" s="478"/>
      <c r="AR37" s="478" t="s">
        <v>1820</v>
      </c>
      <c r="AS37" s="735" t="s">
        <v>1824</v>
      </c>
      <c r="AT37" s="476" t="s">
        <v>1238</v>
      </c>
      <c r="AU37" s="476"/>
      <c r="AV37" s="479"/>
    </row>
    <row r="38" spans="2:48" ht="15.75" thickBot="1" x14ac:dyDescent="0.3">
      <c r="AE38"/>
      <c r="AF38"/>
      <c r="AG38"/>
      <c r="AH38"/>
    </row>
    <row r="39" spans="2:48" ht="15.75" thickBot="1" x14ac:dyDescent="0.3">
      <c r="D39" s="50" t="s">
        <v>5</v>
      </c>
      <c r="E39" s="65"/>
      <c r="F39" s="65"/>
      <c r="G39" s="65"/>
      <c r="H39" s="65"/>
      <c r="I39" s="65"/>
      <c r="J39" s="65"/>
      <c r="K39" s="65"/>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c r="AQ39" s="65"/>
      <c r="AR39" s="65"/>
    </row>
    <row r="40" spans="2:48" ht="18.75" x14ac:dyDescent="0.25">
      <c r="D40" s="1037" t="s">
        <v>145</v>
      </c>
      <c r="E40" s="293">
        <v>1</v>
      </c>
      <c r="F40" s="293">
        <v>1</v>
      </c>
      <c r="G40" s="293">
        <v>1</v>
      </c>
      <c r="H40" s="293">
        <v>1</v>
      </c>
      <c r="I40" s="293">
        <v>1</v>
      </c>
      <c r="J40" s="293">
        <v>1</v>
      </c>
      <c r="K40" s="293">
        <v>1</v>
      </c>
      <c r="L40" s="293">
        <v>1</v>
      </c>
      <c r="M40" s="293">
        <v>1</v>
      </c>
      <c r="N40" s="293">
        <v>1</v>
      </c>
      <c r="O40" s="293"/>
      <c r="P40" s="294" t="s">
        <v>287</v>
      </c>
      <c r="Q40" s="294" t="s">
        <v>288</v>
      </c>
      <c r="R40" s="293"/>
      <c r="S40" s="293"/>
      <c r="T40" s="293"/>
      <c r="U40" s="293"/>
      <c r="V40" s="293">
        <v>-1</v>
      </c>
      <c r="W40" s="293">
        <v>1</v>
      </c>
      <c r="X40" s="293">
        <v>1</v>
      </c>
      <c r="Y40" s="293"/>
      <c r="Z40" s="293"/>
      <c r="AA40" s="293"/>
      <c r="AB40" s="293"/>
      <c r="AC40" s="293"/>
      <c r="AD40" s="293"/>
      <c r="AE40" s="293"/>
      <c r="AF40" s="293"/>
      <c r="AG40" s="293"/>
      <c r="AH40" s="293"/>
      <c r="AI40" s="293"/>
      <c r="AJ40" s="637"/>
      <c r="AK40" s="533" t="s">
        <v>1829</v>
      </c>
      <c r="AL40" s="296">
        <v>1</v>
      </c>
      <c r="AM40" s="295">
        <v>-1</v>
      </c>
      <c r="AN40" s="534" t="s">
        <v>1830</v>
      </c>
      <c r="AO40" s="535" t="s">
        <v>1832</v>
      </c>
      <c r="AP40" s="533" t="s">
        <v>1832</v>
      </c>
      <c r="AQ40" s="533" t="s">
        <v>1831</v>
      </c>
      <c r="AR40" s="1011" t="s">
        <v>1833</v>
      </c>
      <c r="AS40" s="1010"/>
    </row>
    <row r="41" spans="2:48" ht="18.75" x14ac:dyDescent="0.25">
      <c r="D41" s="297" t="s">
        <v>230</v>
      </c>
      <c r="E41" s="66"/>
      <c r="F41" s="66"/>
      <c r="G41" s="66" t="s">
        <v>2221</v>
      </c>
      <c r="H41" s="66" t="s">
        <v>2223</v>
      </c>
      <c r="I41" s="66" t="s">
        <v>1254</v>
      </c>
      <c r="J41" s="66" t="s">
        <v>1255</v>
      </c>
      <c r="K41" s="66" t="s">
        <v>1255</v>
      </c>
      <c r="L41" s="66" t="s">
        <v>1255</v>
      </c>
      <c r="M41" s="66" t="s">
        <v>1255</v>
      </c>
      <c r="N41" s="831" t="s">
        <v>2356</v>
      </c>
      <c r="O41" s="66">
        <v>1</v>
      </c>
      <c r="P41" s="66">
        <v>1</v>
      </c>
      <c r="Q41" s="66">
        <v>1</v>
      </c>
      <c r="R41" s="66">
        <v>1</v>
      </c>
      <c r="S41" s="66">
        <v>1</v>
      </c>
      <c r="T41" s="66"/>
      <c r="U41" s="66"/>
      <c r="V41" s="66"/>
      <c r="W41" s="66"/>
      <c r="X41" s="66"/>
      <c r="Y41" s="66"/>
      <c r="Z41" s="66"/>
      <c r="AA41" s="66"/>
      <c r="AB41" s="66"/>
      <c r="AC41" s="66"/>
      <c r="AD41" s="66"/>
      <c r="AE41" s="831"/>
      <c r="AF41" s="831"/>
      <c r="AG41" s="831"/>
      <c r="AH41" s="831"/>
      <c r="AI41" s="66"/>
      <c r="AJ41" s="638"/>
      <c r="AK41" s="66"/>
      <c r="AL41" s="66"/>
      <c r="AM41" s="66"/>
      <c r="AN41" s="298">
        <v>1</v>
      </c>
      <c r="AO41" s="66"/>
      <c r="AP41" s="66"/>
      <c r="AQ41" s="66"/>
      <c r="AR41" s="1012" t="s">
        <v>1832</v>
      </c>
      <c r="AS41" s="1010"/>
    </row>
    <row r="42" spans="2:48" ht="18" x14ac:dyDescent="0.25">
      <c r="D42" s="297" t="s">
        <v>231</v>
      </c>
      <c r="E42" s="66"/>
      <c r="F42" s="66"/>
      <c r="G42" s="66"/>
      <c r="H42" s="66"/>
      <c r="I42" s="66" t="s">
        <v>1256</v>
      </c>
      <c r="J42" s="66" t="s">
        <v>1256</v>
      </c>
      <c r="K42" s="66" t="s">
        <v>1256</v>
      </c>
      <c r="L42" s="66" t="s">
        <v>1256</v>
      </c>
      <c r="M42" s="66" t="s">
        <v>1256</v>
      </c>
      <c r="N42" s="831" t="s">
        <v>2357</v>
      </c>
      <c r="O42" s="66"/>
      <c r="P42" s="66"/>
      <c r="Q42" s="66"/>
      <c r="R42" s="66"/>
      <c r="S42" s="66"/>
      <c r="T42" s="66">
        <v>1</v>
      </c>
      <c r="U42" s="66">
        <v>1</v>
      </c>
      <c r="V42" s="66"/>
      <c r="W42" s="66"/>
      <c r="X42" s="66"/>
      <c r="Y42" s="66"/>
      <c r="Z42" s="66"/>
      <c r="AA42" s="66"/>
      <c r="AB42" s="86" t="s">
        <v>1575</v>
      </c>
      <c r="AC42" s="66"/>
      <c r="AD42" s="86" t="s">
        <v>1577</v>
      </c>
      <c r="AE42" s="639"/>
      <c r="AF42" s="639"/>
      <c r="AG42" s="639"/>
      <c r="AH42" s="639"/>
      <c r="AI42" s="86"/>
      <c r="AJ42" s="639"/>
      <c r="AK42" s="86"/>
      <c r="AL42" s="86"/>
      <c r="AM42" s="86"/>
      <c r="AN42" s="298"/>
      <c r="AO42" s="86"/>
      <c r="AP42" s="86"/>
      <c r="AQ42" s="86"/>
      <c r="AR42" s="1013"/>
      <c r="AS42" s="1010"/>
    </row>
    <row r="43" spans="2:48" x14ac:dyDescent="0.25">
      <c r="D43" s="297" t="s">
        <v>239</v>
      </c>
      <c r="E43" s="536"/>
      <c r="F43" s="536"/>
      <c r="G43" s="536"/>
      <c r="H43" s="536"/>
      <c r="I43" s="536"/>
      <c r="J43" s="536"/>
      <c r="K43" s="536"/>
      <c r="L43" s="536"/>
      <c r="M43" s="536"/>
      <c r="N43" s="828"/>
      <c r="O43" s="536"/>
      <c r="P43" s="536"/>
      <c r="Q43" s="536"/>
      <c r="R43" s="536"/>
      <c r="S43" s="536"/>
      <c r="T43" s="536"/>
      <c r="U43" s="536"/>
      <c r="V43" s="536"/>
      <c r="W43" s="536"/>
      <c r="X43" s="536"/>
      <c r="Y43" s="536"/>
      <c r="Z43" s="536"/>
      <c r="AA43" s="86">
        <v>1</v>
      </c>
      <c r="AB43" s="86">
        <v>1</v>
      </c>
      <c r="AC43" s="86"/>
      <c r="AD43" s="86"/>
      <c r="AE43" s="639"/>
      <c r="AF43" s="639"/>
      <c r="AG43" s="639"/>
      <c r="AH43" s="639"/>
      <c r="AI43" s="86"/>
      <c r="AJ43" s="639"/>
      <c r="AK43" s="86"/>
      <c r="AL43" s="86"/>
      <c r="AM43" s="86"/>
      <c r="AN43" s="298"/>
      <c r="AO43" s="86"/>
      <c r="AP43" s="86"/>
      <c r="AQ43" s="86"/>
      <c r="AR43" s="1013"/>
      <c r="AS43" s="1010"/>
    </row>
    <row r="44" spans="2:48" x14ac:dyDescent="0.25">
      <c r="D44" s="422" t="s">
        <v>240</v>
      </c>
      <c r="E44" s="537"/>
      <c r="F44" s="537"/>
      <c r="G44" s="537"/>
      <c r="H44" s="537"/>
      <c r="I44" s="537"/>
      <c r="J44" s="537"/>
      <c r="K44" s="537"/>
      <c r="L44" s="537"/>
      <c r="M44" s="537"/>
      <c r="N44" s="829"/>
      <c r="O44" s="537"/>
      <c r="P44" s="537"/>
      <c r="Q44" s="537"/>
      <c r="R44" s="537"/>
      <c r="S44" s="537"/>
      <c r="T44" s="537"/>
      <c r="U44" s="537"/>
      <c r="V44" s="537"/>
      <c r="W44" s="537"/>
      <c r="X44" s="537"/>
      <c r="Y44" s="537"/>
      <c r="Z44" s="537"/>
      <c r="AA44" s="423"/>
      <c r="AB44" s="423"/>
      <c r="AC44" s="423">
        <v>1</v>
      </c>
      <c r="AD44" s="423">
        <v>1</v>
      </c>
      <c r="AE44" s="639"/>
      <c r="AF44" s="639"/>
      <c r="AG44" s="639"/>
      <c r="AH44" s="639"/>
      <c r="AI44" s="423"/>
      <c r="AJ44" s="640"/>
      <c r="AK44" s="423"/>
      <c r="AL44" s="423"/>
      <c r="AM44" s="423"/>
      <c r="AN44" s="424"/>
      <c r="AO44" s="423"/>
      <c r="AP44" s="423"/>
      <c r="AQ44" s="423"/>
      <c r="AR44" s="1014"/>
      <c r="AS44" s="1010"/>
    </row>
    <row r="45" spans="2:48" ht="18.75" thickBot="1" x14ac:dyDescent="0.3">
      <c r="D45" s="299" t="s">
        <v>7</v>
      </c>
      <c r="E45" s="538"/>
      <c r="F45" s="538"/>
      <c r="G45" s="538"/>
      <c r="H45" s="538"/>
      <c r="I45" s="538"/>
      <c r="J45" s="538"/>
      <c r="K45" s="538"/>
      <c r="L45" s="538"/>
      <c r="M45" s="538"/>
      <c r="N45" s="538"/>
      <c r="O45" s="300" t="s">
        <v>356</v>
      </c>
      <c r="P45" s="300" t="s">
        <v>359</v>
      </c>
      <c r="Q45" s="538"/>
      <c r="R45" s="538"/>
      <c r="S45" s="538"/>
      <c r="T45" s="300" t="s">
        <v>355</v>
      </c>
      <c r="U45" s="538"/>
      <c r="V45" s="538"/>
      <c r="W45" s="538"/>
      <c r="X45" s="538"/>
      <c r="Y45" s="538"/>
      <c r="Z45" s="301">
        <v>-1</v>
      </c>
      <c r="AA45" s="300"/>
      <c r="AB45" s="300"/>
      <c r="AC45" s="300"/>
      <c r="AD45" s="300"/>
      <c r="AE45" s="300"/>
      <c r="AF45" s="300"/>
      <c r="AG45" s="300"/>
      <c r="AH45" s="300"/>
      <c r="AI45" s="300"/>
      <c r="AJ45" s="300"/>
      <c r="AK45" s="300"/>
      <c r="AL45" s="300"/>
      <c r="AM45" s="300"/>
      <c r="AN45" s="302"/>
      <c r="AO45" s="300"/>
      <c r="AP45" s="300"/>
      <c r="AQ45" s="300"/>
      <c r="AR45" s="1015"/>
      <c r="AS45" s="1010"/>
    </row>
    <row r="46" spans="2:48" x14ac:dyDescent="0.25">
      <c r="AE46"/>
      <c r="AF46"/>
      <c r="AG46"/>
      <c r="AH46"/>
    </row>
    <row r="47" spans="2:48" x14ac:dyDescent="0.25">
      <c r="AE47"/>
      <c r="AF47"/>
      <c r="AG47"/>
      <c r="AH47"/>
    </row>
    <row r="48" spans="2:48" x14ac:dyDescent="0.25">
      <c r="AE48"/>
      <c r="AF48"/>
      <c r="AG48"/>
      <c r="AH48"/>
    </row>
    <row r="50" spans="2:52" ht="15.75" thickBot="1" x14ac:dyDescent="0.3">
      <c r="AU50" t="s">
        <v>322</v>
      </c>
    </row>
    <row r="51" spans="2:52" ht="38.25" thickBot="1" x14ac:dyDescent="0.3">
      <c r="B51" s="355" t="s">
        <v>90</v>
      </c>
      <c r="C51" s="356"/>
      <c r="D51" s="356" t="s">
        <v>1</v>
      </c>
      <c r="E51" s="357" t="s">
        <v>261</v>
      </c>
      <c r="F51" s="357" t="s">
        <v>262</v>
      </c>
      <c r="G51" s="357" t="s">
        <v>263</v>
      </c>
      <c r="H51" s="357" t="s">
        <v>264</v>
      </c>
      <c r="I51" s="357" t="s">
        <v>265</v>
      </c>
      <c r="J51" s="357" t="s">
        <v>266</v>
      </c>
      <c r="K51" s="357" t="s">
        <v>274</v>
      </c>
      <c r="L51" s="357" t="s">
        <v>297</v>
      </c>
      <c r="M51" s="357" t="s">
        <v>298</v>
      </c>
      <c r="N51" s="830" t="s">
        <v>2355</v>
      </c>
      <c r="O51" s="357" t="s">
        <v>267</v>
      </c>
      <c r="P51" s="357" t="s">
        <v>765</v>
      </c>
      <c r="Q51" s="357" t="s">
        <v>268</v>
      </c>
      <c r="R51" s="357" t="s">
        <v>269</v>
      </c>
      <c r="S51" s="357" t="s">
        <v>270</v>
      </c>
      <c r="T51" s="357" t="s">
        <v>271</v>
      </c>
      <c r="U51" s="357" t="s">
        <v>272</v>
      </c>
      <c r="V51" s="357" t="s">
        <v>273</v>
      </c>
      <c r="W51" s="357" t="s">
        <v>300</v>
      </c>
      <c r="X51" s="357" t="s">
        <v>299</v>
      </c>
      <c r="Y51" s="357" t="s">
        <v>352</v>
      </c>
      <c r="Z51" s="357" t="s">
        <v>343</v>
      </c>
      <c r="AA51" s="358" t="s">
        <v>1540</v>
      </c>
      <c r="AB51" s="358" t="s">
        <v>1541</v>
      </c>
      <c r="AC51" s="358" t="s">
        <v>1542</v>
      </c>
      <c r="AD51" s="358" t="s">
        <v>1543</v>
      </c>
      <c r="AE51" s="358" t="s">
        <v>2725</v>
      </c>
      <c r="AF51" s="358" t="s">
        <v>2726</v>
      </c>
      <c r="AG51" s="358" t="s">
        <v>2727</v>
      </c>
      <c r="AH51" s="358" t="s">
        <v>2728</v>
      </c>
      <c r="AI51" s="358" t="s">
        <v>2690</v>
      </c>
      <c r="AJ51" s="628" t="s">
        <v>2182</v>
      </c>
      <c r="AK51" s="358" t="s">
        <v>738</v>
      </c>
      <c r="AL51" s="358" t="s">
        <v>739</v>
      </c>
      <c r="AM51" s="358" t="s">
        <v>737</v>
      </c>
      <c r="AN51" s="358" t="s">
        <v>742</v>
      </c>
      <c r="AO51" s="358" t="s">
        <v>1804</v>
      </c>
      <c r="AP51" s="358" t="s">
        <v>1805</v>
      </c>
      <c r="AQ51" s="358" t="s">
        <v>1803</v>
      </c>
      <c r="AR51" s="358" t="s">
        <v>1806</v>
      </c>
      <c r="AS51" s="359" t="s">
        <v>1083</v>
      </c>
      <c r="AU51" s="1211" t="s">
        <v>145</v>
      </c>
      <c r="AV51" s="1212" t="s">
        <v>230</v>
      </c>
      <c r="AW51" s="1212" t="s">
        <v>231</v>
      </c>
      <c r="AX51" s="1212" t="s">
        <v>239</v>
      </c>
      <c r="AY51" s="1212" t="s">
        <v>240</v>
      </c>
      <c r="AZ51" s="1212" t="s">
        <v>7</v>
      </c>
    </row>
    <row r="52" spans="2:52" ht="18" x14ac:dyDescent="0.35">
      <c r="B52" s="698">
        <v>1</v>
      </c>
      <c r="C52" s="699" t="s">
        <v>215</v>
      </c>
      <c r="D52" s="700" t="s">
        <v>285</v>
      </c>
      <c r="E52" s="1162">
        <f>-1/Y_OHO_SB_ox</f>
        <v>-1.4925373134328357</v>
      </c>
      <c r="F52" s="1176">
        <f>0</f>
        <v>0</v>
      </c>
      <c r="G52" s="1176">
        <f>0</f>
        <v>0</v>
      </c>
      <c r="H52" s="1176">
        <f>0</f>
        <v>0</v>
      </c>
      <c r="I52" s="1176">
        <f>0</f>
        <v>0</v>
      </c>
      <c r="J52" s="1176">
        <f>1</f>
        <v>1</v>
      </c>
      <c r="K52" s="1176">
        <f>0</f>
        <v>0</v>
      </c>
      <c r="L52" s="1176">
        <f>0</f>
        <v>0</v>
      </c>
      <c r="M52" s="1176">
        <f>0</f>
        <v>0</v>
      </c>
      <c r="N52" s="1176">
        <f>0</f>
        <v>0</v>
      </c>
      <c r="O52" s="1162">
        <f>-i_N_BIO</f>
        <v>-7.0000000000000007E-2</v>
      </c>
      <c r="P52" s="1162">
        <f>0</f>
        <v>0</v>
      </c>
      <c r="Q52" s="1176">
        <f>0</f>
        <v>0</v>
      </c>
      <c r="R52" s="1176">
        <f>0</f>
        <v>0</v>
      </c>
      <c r="S52" s="1176">
        <f>0</f>
        <v>0</v>
      </c>
      <c r="T52" s="1162">
        <f>-i_P_BIO</f>
        <v>-0.02</v>
      </c>
      <c r="U52" s="1176">
        <f>0</f>
        <v>0</v>
      </c>
      <c r="V52" s="1162">
        <f>-(1-Y_OHO_SB_ox)/Y_OHO_SB_ox</f>
        <v>-0.49253731343283574</v>
      </c>
      <c r="W52" s="1162">
        <f>0</f>
        <v>0</v>
      </c>
      <c r="X52" s="1162">
        <f>0</f>
        <v>0</v>
      </c>
      <c r="Y52" s="1162">
        <f>0</f>
        <v>0</v>
      </c>
      <c r="Z52" s="1162">
        <f>(-i_N_BIO*C_HNHx-i_P_BIO*C_HPO4)</f>
        <v>-4.0290465800957984E-6</v>
      </c>
      <c r="AA52" s="1176">
        <f>0</f>
        <v>0</v>
      </c>
      <c r="AB52" s="1176">
        <f>0</f>
        <v>0</v>
      </c>
      <c r="AC52" s="1176">
        <f>0</f>
        <v>0</v>
      </c>
      <c r="AD52" s="1176">
        <f>0</f>
        <v>0</v>
      </c>
      <c r="AE52" s="1176">
        <f>0</f>
        <v>0</v>
      </c>
      <c r="AF52" s="1176">
        <f>0</f>
        <v>0</v>
      </c>
      <c r="AG52" s="1176">
        <f>0</f>
        <v>0</v>
      </c>
      <c r="AH52" s="1176">
        <f>0</f>
        <v>0</v>
      </c>
      <c r="AI52" s="1176">
        <f>0</f>
        <v>0</v>
      </c>
      <c r="AJ52" s="1176">
        <f>0</f>
        <v>0</v>
      </c>
      <c r="AK52" s="1176">
        <f>0</f>
        <v>0</v>
      </c>
      <c r="AL52" s="1176">
        <f>0</f>
        <v>0</v>
      </c>
      <c r="AM52" s="1176">
        <f>0</f>
        <v>0</v>
      </c>
      <c r="AN52" s="1176">
        <f>0</f>
        <v>0</v>
      </c>
      <c r="AO52" s="1176">
        <f>0</f>
        <v>0</v>
      </c>
      <c r="AP52" s="1176">
        <f>0</f>
        <v>0</v>
      </c>
      <c r="AQ52" s="1176">
        <f>0</f>
        <v>0</v>
      </c>
      <c r="AR52" s="1176">
        <f>0</f>
        <v>0</v>
      </c>
      <c r="AS52" s="1195">
        <f>µ_OHO_T*M_satSB_KSB*X_OHO*M_satSO2_KO2_OHO*M_satSNHx_KNHx_BIO*M_satSPO4_KPO4_BIO*M_satSALK_KALK</f>
        <v>695.12331603480334</v>
      </c>
      <c r="AU52" s="664">
        <f>E89*E52+F89*F52+G89*G52+H89*H52+I89*I52+J89*J52+K89*K52+L89*L52+M89*M52+N89*N52+O89*O52+P89*P52+Q89*Q52+R89*R52+S89*S52+T89*T52+U89*U52+V89*V52+W89*W52+X89*X52+Y89*Y52+Z89*Z52+AA89*AA52+AB89*AB52+AC89*AC52+AD89*AD52+AE89*AE52+AF89*AF52+AG89*AG52+AH89*AH52+AI89*AI52+AJ89*AJ52+AK89*AK52+AL89*AL52+AM89*AM52+AN89*AN52+AO89*AO52+AP89*AP52+AQ89*AQ52+AR89*AR52</f>
        <v>5.5511151231257827E-17</v>
      </c>
      <c r="AV52" s="664">
        <f>E90*E52+F90*F52+G90*G52+H90*H52+I90*I52+J90*J52+K90*K52+L90*L52+M90*M52+N90*N52+O90*O52+P90*P52+Q90*Q52+R90*R52+S90*S52+T90*T52+U90*U52+V90*V52+W90*W52+X90*X52+Y90*Y52+Z90*Z52+AA90*AA52+AB90*AB52+AC90*AC52+AD90*AD52+AE90*AE52+AF90*AF52+AG90*AG52+AH90*AH52+AI90*AI52+AJ90*AJ52+AK90*AK52+AL90*AL52+AM90*AM52+AN90*AN52+AO90*AO52+AP90*AP52+AQ90*AQ52+AR90*AR52</f>
        <v>0</v>
      </c>
      <c r="AW52" s="665">
        <f>E91*E52+F91*F52+G91*G52+H91*H52+I91*I52+J91*J52+K91*K52+L91*L52+M91*M52+N91*N52+O91*O52+P91*P52+Q91*Q52+R91*R52+S91*S52+T91*T52+U91*U52+V91*V52+W91*W52+X91*X52+Y91*Y52+Z91*Z52+AA91*AA52+AB91*AB52+AC91*AC52+AD91*AD52+AE91*AE52+AF91*AF52+AG91*AG52+AH91*AH52+AI91*AI52+AJ91*AJ52+AK91*AK52+AL91*AL52+AM91*AM52+AN91*AN52+AO91*AO52+AP91*AP52+AQ91*AQ52+AR91*AR52</f>
        <v>0</v>
      </c>
      <c r="AX52" s="664">
        <f>E92*E52+F92*F52+G92*G52+H92*H52+I92*I52+J92*J52+K92*K52+L92*L52+M92*M52+N92*N52+O92*O52+P92*P52+Q92*Q52+R92*R52+S92*S52+T92*T52+U92*U52+V92*V52+W92*W52+X92*X52+Y92*Y52+Z92*Z52+AA92*AA52+AB92*AB52+AC92*AC52+AD92*AD52+AE92*AE52+AF92*AF52+AG92*AG52+AH92*AH52+AI92*AI52+AJ92*AJ52+AK92*AK52+AL92*AL52+AM92*AM52+AN92*AN52+AO92*AO52+AP92*AP52+AQ92*AQ52+AR92*AR52</f>
        <v>0</v>
      </c>
      <c r="AY52" s="664">
        <f>E93*E52+F93*F52+G93*G52+H93*H52+I93*I52+J93*J52+K93*K52+L93*L52+M93*M52+N93*N52+O93*O52+P93*P52+Q93*Q52+R93*R52+S93*S52+T93*T52+U93*U52+V93*V52+W93*W52+X93*X52+Y93*Y52+Z93*Z52+AA93*AA52+AB93*AB52+AC93*AC52+AD93*AD52+AE93*AE52+AF93*AF52+AG93*AG52+AH93*AH52+AI93*AI52+AJ93*AJ52+AK93*AK52+AL93*AL52+AM93*AM52+AN93*AN52+AO93*AO52+AP93*AP52+AQ93*AQ52+AR93*AR52</f>
        <v>0</v>
      </c>
      <c r="AZ52" s="664">
        <f>E94*E52+F94*F52+G94*G52+H94*H52+I94*I52+J94*J52+K94*K52+L94*L52+M94*M52+N94*N52+O94*O52+P94*P52+Q94*Q52+R94*R52+S94*S52+T94*T52+U94*U52+V94*V52+W94*W52+X94*X52+Y94*Y52+Z94*Z52+AA94*AA52+AB94*AB52+AC94*AC52+AD94*AD52+AE94*AE52+AF94*AF52+AG94*AG52+AH94*AH52+AI94*AI52+AJ94*AJ52+AK94*AK52+AL94*AL52+AM94*AM52+AN94*AN52+AO94*AO52+AP94*AP52+AQ94*AQ52+AR94*AR52</f>
        <v>0</v>
      </c>
    </row>
    <row r="53" spans="2:52" ht="18" x14ac:dyDescent="0.35">
      <c r="B53" s="360">
        <v>2</v>
      </c>
      <c r="C53" s="704" t="s">
        <v>216</v>
      </c>
      <c r="D53" s="705" t="s">
        <v>1520</v>
      </c>
      <c r="E53" s="1163">
        <f>-1/Y_OHO_SB_anox</f>
        <v>-1.8518518518518516</v>
      </c>
      <c r="F53" s="1164">
        <f>0</f>
        <v>0</v>
      </c>
      <c r="G53" s="1164">
        <f>0</f>
        <v>0</v>
      </c>
      <c r="H53" s="1164">
        <f>0</f>
        <v>0</v>
      </c>
      <c r="I53" s="1164">
        <f>0</f>
        <v>0</v>
      </c>
      <c r="J53" s="1164">
        <f>1</f>
        <v>1</v>
      </c>
      <c r="K53" s="1164">
        <f>0</f>
        <v>0</v>
      </c>
      <c r="L53" s="1164">
        <f>0</f>
        <v>0</v>
      </c>
      <c r="M53" s="1164">
        <f>0</f>
        <v>0</v>
      </c>
      <c r="N53" s="1164">
        <f>0</f>
        <v>0</v>
      </c>
      <c r="O53" s="1163">
        <f>-i_N_BIO</f>
        <v>-7.0000000000000007E-2</v>
      </c>
      <c r="P53" s="1163">
        <f>-(1-Y_OHO_SB_anox)/(E_EQN2_NO3*Y_OHO_SB_anox)</f>
        <v>-0.29830201965907049</v>
      </c>
      <c r="Q53" s="1163">
        <f>(1-Y_OHO_SB_anox)/(E_EQN2_NO3*Y_OHO_SB_anox)</f>
        <v>0.29830201965907049</v>
      </c>
      <c r="R53" s="1164">
        <f>0</f>
        <v>0</v>
      </c>
      <c r="S53" s="1164">
        <f>0</f>
        <v>0</v>
      </c>
      <c r="T53" s="1163">
        <f>-i_P_BIO</f>
        <v>-0.02</v>
      </c>
      <c r="U53" s="1164">
        <f>0</f>
        <v>0</v>
      </c>
      <c r="V53" s="1164">
        <f>0</f>
        <v>0</v>
      </c>
      <c r="W53" s="1164">
        <f>0</f>
        <v>0</v>
      </c>
      <c r="X53" s="1164">
        <f>0</f>
        <v>0</v>
      </c>
      <c r="Y53" s="1163">
        <f>0</f>
        <v>0</v>
      </c>
      <c r="Z53" s="1163">
        <f>(-(1-Y_OHO_SB_anox)/(E_EQN2_NO3*Y_OHO_SB_anox)*C_HNO3-i_N_BIO*C_HNHx-i_P_BIO*C_HPO4)</f>
        <v>1.7268048357260641E-5</v>
      </c>
      <c r="AA53" s="1164">
        <f>0</f>
        <v>0</v>
      </c>
      <c r="AB53" s="1164">
        <f>0</f>
        <v>0</v>
      </c>
      <c r="AC53" s="1164">
        <f>0</f>
        <v>0</v>
      </c>
      <c r="AD53" s="1164">
        <f>0</f>
        <v>0</v>
      </c>
      <c r="AE53" s="1164">
        <f>0</f>
        <v>0</v>
      </c>
      <c r="AF53" s="1164">
        <f>0</f>
        <v>0</v>
      </c>
      <c r="AG53" s="1164">
        <f>0</f>
        <v>0</v>
      </c>
      <c r="AH53" s="1164">
        <f>0</f>
        <v>0</v>
      </c>
      <c r="AI53" s="1164">
        <f>0</f>
        <v>0</v>
      </c>
      <c r="AJ53" s="1164">
        <f>0</f>
        <v>0</v>
      </c>
      <c r="AK53" s="1164">
        <f>0</f>
        <v>0</v>
      </c>
      <c r="AL53" s="1164">
        <f>0</f>
        <v>0</v>
      </c>
      <c r="AM53" s="1164">
        <f>0</f>
        <v>0</v>
      </c>
      <c r="AN53" s="1164">
        <f>0</f>
        <v>0</v>
      </c>
      <c r="AO53" s="1164">
        <f>0</f>
        <v>0</v>
      </c>
      <c r="AP53" s="1164">
        <f>0</f>
        <v>0</v>
      </c>
      <c r="AQ53" s="1164">
        <f>0</f>
        <v>0</v>
      </c>
      <c r="AR53" s="1164">
        <f>0</f>
        <v>0</v>
      </c>
      <c r="AS53" s="1196">
        <f>µ_OHO_T*η_OHO_anox*M_satSB_KSB*X_OHO*M_satSNOx_KNOx_OHO*M_inhSO2_KO2_OHO*M_satSNHx_KNHx_BIO*M_satSPO4_KPO4_BIO</f>
        <v>41.624150660766666</v>
      </c>
      <c r="AU53" s="664">
        <f>E89*E53+F89*F53+G89*G53+H89*H53+I89*I53+J89*J53+K89*K53+L89*L53+M89*M53+N89*N53+O89*O53+P89*P53+Q89*Q53+R89*R53+S89*S53+T89*T53+U89*U53+V89*V53+W89*W53+X89*X53+Y89*Y53+Z89*Z53+AA89*AA53+AB89*AB53+AC89*AC53+AD89*AD53+AE89*AE53+AF89*AF53+AG89*AG53+AH89*AH53+AI89*AI53+AJ89*AJ53+AK89*AK53+AL89*AL53+AM89*AM53+AN89*AN53+AO89*AO53+AP89*AP53+AQ89*AQ53+AR89*AR53</f>
        <v>-1.1102230246251565E-16</v>
      </c>
      <c r="AV53" s="664">
        <f>E90*E53+F90*F53+G90*G53+H90*H53+I90*I53+J90*J53+K90*K53+L90*L53+M90*M53+N90*N53+O90*O53+P90*P53+Q90*Q53+R90*R53+S90*S53+T90*T53+U90*U53+V90*V53+W90*W53+X90*X53+Y90*Y53+Z90*Z53+AA90*AA53+AB90*AB53+AC90*AC53+AD90*AD53+AE90*AE53+AF90*AF53+AG90*AG53+AH90*AH53+AI90*AI53+AJ90*AJ53+AK90*AK53+AL90*AL53+AM90*AM53+AN90*AN53+AO90*AO53+AP90*AP53+AQ90*AQ53+AR90*AR53</f>
        <v>0</v>
      </c>
      <c r="AW53" s="665">
        <f>E91*E53+F91*F53+G91*G53+H91*H53+I91*I53+J91*J53+K91*K53+L91*L53+M91*M53+N91*N53+O91*O53+P91*P53+Q91*Q53+R91*R53+S91*S53+T91*T53+U91*U53+V91*V53+W91*W53+X91*X53+Y91*Y53+Z91*Z53+AA91*AA53+AB91*AB53+AC91*AC53+AD91*AD53+AE91*AE53+AF91*AF53+AG91*AG53+AH91*AH53+AI91*AI53+AJ91*AJ53+AK91*AK53+AL91*AL53+AM91*AM53+AN91*AN53+AO91*AO53+AP91*AP53+AQ91*AQ53+AR91*AR53</f>
        <v>0</v>
      </c>
      <c r="AX53" s="664">
        <f>E92*E53+F92*F53+G92*G53+H92*H53+I92*I53+J92*J53+K92*K53+L92*L53+M92*M53+N92*N53+O92*O53+P92*P53+Q92*Q53+R92*R53+S92*S53+T92*T53+U92*U53+V92*V53+W92*W53+X92*X53+Y92*Y53+Z92*Z53+AA92*AA53+AB92*AB53+AC92*AC53+AD92*AD53+AE92*AE53+AF92*AF53+AG92*AG53+AH92*AH53+AI92*AI53+AJ92*AJ53+AK92*AK53+AL92*AL53+AM92*AM53+AN92*AN53+AO92*AO53+AP92*AP53+AQ92*AQ53+AR92*AR53</f>
        <v>0</v>
      </c>
      <c r="AY53" s="664">
        <f>E93*E53+F93*F53+G93*G53+H93*H53+I93*I53+J93*J53+K93*K53+L93*L53+M93*M53+N93*N53+O93*O53+P93*P53+Q93*Q53+R93*R53+S93*S53+T93*T53+U93*U53+V93*V53+W93*W53+X93*X53+Y93*Y53+Z93*Z53+AA93*AA53+AB93*AB53+AC93*AC53+AD93*AD53+AE93*AE53+AF93*AF53+AG93*AG53+AH93*AH53+AI93*AI53+AJ93*AJ53+AK93*AK53+AL93*AL53+AM93*AM53+AN93*AN53+AO93*AO53+AP93*AP53+AQ93*AQ53+AR93*AR53</f>
        <v>0</v>
      </c>
      <c r="AZ53" s="664">
        <f>E94*E53+F94*F53+G94*G53+H94*H53+I94*I53+J94*J53+K94*K53+L94*L53+M94*M53+N94*N53+O94*O53+P94*P53+Q94*Q53+R94*R53+S94*S53+T94*T53+U94*U53+V94*V53+W94*W53+X94*X53+Y94*Y53+Z94*Z53+AA94*AA53+AB94*AB53+AC94*AC53+AD94*AD53+AE94*AE53+AF94*AF53+AG94*AG53+AH94*AH53+AI94*AI53+AJ94*AJ53+AK94*AK53+AL94*AL53+AM94*AM53+AN94*AN53+AO94*AO53+AP94*AP53+AQ94*AQ53+AR94*AR53</f>
        <v>0</v>
      </c>
    </row>
    <row r="54" spans="2:52" ht="18" x14ac:dyDescent="0.35">
      <c r="B54" s="360">
        <v>3</v>
      </c>
      <c r="C54" s="704" t="s">
        <v>217</v>
      </c>
      <c r="D54" s="705" t="s">
        <v>290</v>
      </c>
      <c r="E54" s="1164">
        <f>0</f>
        <v>0</v>
      </c>
      <c r="F54" s="1164">
        <f>1-f_E</f>
        <v>0.92</v>
      </c>
      <c r="G54" s="1164">
        <f>0</f>
        <v>0</v>
      </c>
      <c r="H54" s="1164">
        <f>0</f>
        <v>0</v>
      </c>
      <c r="I54" s="1164">
        <f>f_E</f>
        <v>0.08</v>
      </c>
      <c r="J54" s="1164">
        <f>-1</f>
        <v>-1</v>
      </c>
      <c r="K54" s="1164">
        <f>0</f>
        <v>0</v>
      </c>
      <c r="L54" s="1164">
        <f>0</f>
        <v>0</v>
      </c>
      <c r="M54" s="1164">
        <f>0</f>
        <v>0</v>
      </c>
      <c r="N54" s="1164">
        <f>0</f>
        <v>0</v>
      </c>
      <c r="O54" s="1184">
        <f>-f_E*(i_N_XE-i_N_BIO)</f>
        <v>8.0000000000000069E-4</v>
      </c>
      <c r="P54" s="1184">
        <f>0</f>
        <v>0</v>
      </c>
      <c r="Q54" s="1164">
        <f>0</f>
        <v>0</v>
      </c>
      <c r="R54" s="1164">
        <f>0</f>
        <v>0</v>
      </c>
      <c r="S54" s="1164">
        <f>(1-f_E)*i_N_BIO</f>
        <v>6.4400000000000013E-2</v>
      </c>
      <c r="T54" s="1164">
        <f>0</f>
        <v>0</v>
      </c>
      <c r="U54" s="1164">
        <f>(1-f_E)*i_P_BIO</f>
        <v>1.84E-2</v>
      </c>
      <c r="V54" s="1164">
        <f>0</f>
        <v>0</v>
      </c>
      <c r="W54" s="1164">
        <f>0</f>
        <v>0</v>
      </c>
      <c r="X54" s="1164">
        <f>0</f>
        <v>0</v>
      </c>
      <c r="Y54" s="1163">
        <f>0</f>
        <v>0</v>
      </c>
      <c r="Z54" s="1184">
        <f>-f_E*(i_N_XE-i_N_BIO)*C_HNHx</f>
        <v>5.7115523285284942E-8</v>
      </c>
      <c r="AA54" s="1164">
        <f>0</f>
        <v>0</v>
      </c>
      <c r="AB54" s="1164">
        <f>0</f>
        <v>0</v>
      </c>
      <c r="AC54" s="1164">
        <f>0</f>
        <v>0</v>
      </c>
      <c r="AD54" s="1164">
        <f>0</f>
        <v>0</v>
      </c>
      <c r="AE54" s="1164">
        <f>0</f>
        <v>0</v>
      </c>
      <c r="AF54" s="1164">
        <f>0</f>
        <v>0</v>
      </c>
      <c r="AG54" s="1164">
        <f>0</f>
        <v>0</v>
      </c>
      <c r="AH54" s="1164">
        <f>0</f>
        <v>0</v>
      </c>
      <c r="AI54" s="1164">
        <f>0</f>
        <v>0</v>
      </c>
      <c r="AJ54" s="1164">
        <f>0</f>
        <v>0</v>
      </c>
      <c r="AK54" s="1164">
        <f>0</f>
        <v>0</v>
      </c>
      <c r="AL54" s="1164">
        <f>0</f>
        <v>0</v>
      </c>
      <c r="AM54" s="1164">
        <f>0</f>
        <v>0</v>
      </c>
      <c r="AN54" s="1164">
        <f>0</f>
        <v>0</v>
      </c>
      <c r="AO54" s="1164">
        <f>0</f>
        <v>0</v>
      </c>
      <c r="AP54" s="1164">
        <f>0</f>
        <v>0</v>
      </c>
      <c r="AQ54" s="1164">
        <f>0</f>
        <v>0</v>
      </c>
      <c r="AR54" s="1164">
        <f>0</f>
        <v>0</v>
      </c>
      <c r="AS54" s="1196">
        <f>b_OHO_T*X_OHO*(M_satSO2_KO2_OHO+η_b_anox*M_satSNOx_KNOx_OHO*M_inhSO2_KO2_OHO+η_b_ana*M_inhSNOx_KNOx_OHO*M_inhSO2_KO2_OHO)</f>
        <v>299.18604651162792</v>
      </c>
      <c r="AU54" s="664">
        <f>E89*E54+F89*F54+G89*G54+H89*H54+I89*I54+J89*J54+K89*K54+L89*L54+M89*M54+N89*N54+O89*O54+P89*P54+Q89*Q54+R89*R54+S89*S54+T89*T54+U89*U54+V89*V54+W89*W54+X89*X54+Y89*Y54+Z89*Z54+AA89*AA54+AB89*AB54+AC89*AC54+AD89*AD54+AE89*AE54+AF89*AF54+AG89*AG54+AH89*AH54+AI89*AI54+AJ89*AJ54+AK89*AK54+AL89*AL54+AM89*AM54+AN89*AN54+AO89*AO54+AP89*AP54+AQ89*AQ54+AR89*AR54</f>
        <v>0</v>
      </c>
      <c r="AV54" s="664">
        <f>E90*E54+F90*F54+G90*G54+H90*H54+I90*I54+J90*J54+K90*K54+L90*L54+M90*M54+N90*N54+O90*O54+P90*P54+Q90*Q54+R90*R54+S90*S54+T90*T54+U90*U54+V90*V54+W90*W54+X90*X54+Y90*Y54+Z90*Z54+AA90*AA54+AB90*AB54+AC90*AC54+AD90*AD54+AE90*AE54+AF90*AF54+AG90*AG54+AH90*AH54+AI90*AI54+AJ90*AJ54+AK90*AK54+AL90*AL54+AM90*AM54+AN90*AN54+AO90*AO54+AP90*AP54+AQ90*AQ54+AR90*AR54</f>
        <v>0</v>
      </c>
      <c r="AW54" s="665">
        <f>E91*E54+F91*F54+G91*G54+H91*H54+I91*I54+J91*J54+K91*K54+L91*L54+M91*M54+N91*N54+O91*O54+P91*P54+Q91*Q54+R91*R54+S91*S54+T91*T54+U91*U54+V91*V54+W91*W54+X91*X54+Y91*Y54+Z91*Z54+AA91*AA54+AB91*AB54+AC91*AC54+AD91*AD54+AE91*AE54+AF91*AF54+AG91*AG54+AH91*AH54+AI91*AI54+AJ91*AJ54+AK91*AK54+AL91*AL54+AM91*AM54+AN91*AN54+AO91*AO54+AP91*AP54+AQ91*AQ54+AR91*AR54</f>
        <v>0</v>
      </c>
      <c r="AX54" s="664">
        <f>E92*E54+F92*F54+G92*G54+H92*H54+I92*I54+J92*J54+K92*K54+L92*L54+M92*M54+N92*N54+O92*O54+P92*P54+Q92*Q54+R92*R54+S92*S54+T92*T54+U92*U54+V92*V54+W92*W54+X92*X54+Y92*Y54+Z92*Z54+AA92*AA54+AB92*AB54+AC92*AC54+AD92*AD54+AE92*AE54+AF92*AF54+AG92*AG54+AH92*AH54+AI92*AI54+AJ92*AJ54+AK92*AK54+AL92*AL54+AM92*AM54+AN92*AN54+AO92*AO54+AP92*AP54+AQ92*AQ54+AR92*AR54</f>
        <v>0</v>
      </c>
      <c r="AY54" s="664">
        <f>E93*E54+F93*F54+G93*G54+H93*H54+I93*I54+J93*J54+K93*K54+L93*L54+M93*M54+N93*N54+O93*O54+P93*P54+Q93*Q54+R93*R54+S93*S54+T93*T54+U93*U54+V93*V54+W93*W54+X93*X54+Y93*Y54+Z93*Z54+AA93*AA54+AB93*AB54+AC93*AC54+AD93*AD54+AE93*AE54+AF93*AF54+AG93*AG54+AH93*AH54+AI93*AI54+AJ93*AJ54+AK93*AK54+AL93*AL54+AM93*AM54+AN93*AN54+AO93*AO54+AP93*AP54+AQ93*AQ54+AR93*AR54</f>
        <v>0</v>
      </c>
      <c r="AZ54" s="664">
        <f>E94*E54+F94*F54+G94*G54+H94*H54+I94*I54+J94*J54+K94*K54+L94*L54+M94*M54+N94*N54+O94*O54+P94*P54+Q94*Q54+R94*R54+S94*S54+T94*T54+U94*U54+V94*V54+W94*W54+X94*X54+Y94*Y54+Z94*Z54+AA94*AA54+AB94*AB54+AC94*AC54+AD94*AD54+AE94*AE54+AF94*AF54+AG94*AG54+AH94*AH54+AI94*AI54+AJ94*AJ54+AK94*AK54+AL94*AL54+AM94*AM54+AN94*AN54+AO94*AO54+AP94*AP54+AQ94*AQ54+AR94*AR54</f>
        <v>0</v>
      </c>
    </row>
    <row r="55" spans="2:52" ht="18" x14ac:dyDescent="0.35">
      <c r="B55" s="361">
        <v>4</v>
      </c>
      <c r="C55" s="709" t="s">
        <v>218</v>
      </c>
      <c r="D55" s="710" t="s">
        <v>275</v>
      </c>
      <c r="E55" s="1165">
        <f>0</f>
        <v>0</v>
      </c>
      <c r="F55" s="1165">
        <f>0</f>
        <v>0</v>
      </c>
      <c r="G55" s="1165">
        <f>0</f>
        <v>0</v>
      </c>
      <c r="H55" s="1165">
        <f>0</f>
        <v>0</v>
      </c>
      <c r="I55" s="1165">
        <f>0</f>
        <v>0</v>
      </c>
      <c r="J55" s="1165">
        <f>0</f>
        <v>0</v>
      </c>
      <c r="K55" s="1165">
        <f>1</f>
        <v>1</v>
      </c>
      <c r="L55" s="1165">
        <f>0</f>
        <v>0</v>
      </c>
      <c r="M55" s="1165">
        <f>0</f>
        <v>0</v>
      </c>
      <c r="N55" s="1165">
        <f>0</f>
        <v>0</v>
      </c>
      <c r="O55" s="1185">
        <f>-1/Y_NITO-i_N_BIO</f>
        <v>-4.2366666666666672</v>
      </c>
      <c r="P55" s="1185">
        <f>1/Y_NITO</f>
        <v>4.166666666666667</v>
      </c>
      <c r="Q55" s="1165">
        <f>0</f>
        <v>0</v>
      </c>
      <c r="R55" s="1165">
        <f>0</f>
        <v>0</v>
      </c>
      <c r="S55" s="1165">
        <f>0</f>
        <v>0</v>
      </c>
      <c r="T55" s="1185">
        <f>-i_P_BIO</f>
        <v>-0.02</v>
      </c>
      <c r="U55" s="1165">
        <f>0</f>
        <v>0</v>
      </c>
      <c r="V55" s="1185">
        <f>-(E_EQNO3-Y_NITO)/Y_NITO</f>
        <v>-18.037793817720566</v>
      </c>
      <c r="W55" s="1185">
        <f>0</f>
        <v>0</v>
      </c>
      <c r="X55" s="1185">
        <f>0</f>
        <v>0</v>
      </c>
      <c r="Y55" s="1165">
        <f>0</f>
        <v>0</v>
      </c>
      <c r="Z55" s="1165">
        <f>((-1/Y_NITO-i_N_BIO)*C_HNHx+1/Y_NITO*C_HNO3-i_P_BIO*C_HPO4)</f>
        <v>-5.9898241413514682E-4</v>
      </c>
      <c r="AA55" s="1165">
        <f>0</f>
        <v>0</v>
      </c>
      <c r="AB55" s="1165">
        <f>0</f>
        <v>0</v>
      </c>
      <c r="AC55" s="1165">
        <f>0</f>
        <v>0</v>
      </c>
      <c r="AD55" s="1165">
        <f>0</f>
        <v>0</v>
      </c>
      <c r="AE55" s="1165">
        <f>0</f>
        <v>0</v>
      </c>
      <c r="AF55" s="1165">
        <f>0</f>
        <v>0</v>
      </c>
      <c r="AG55" s="1165">
        <f>0</f>
        <v>0</v>
      </c>
      <c r="AH55" s="1165">
        <f>0</f>
        <v>0</v>
      </c>
      <c r="AI55" s="1165">
        <f>0</f>
        <v>0</v>
      </c>
      <c r="AJ55" s="1165">
        <f>0</f>
        <v>0</v>
      </c>
      <c r="AK55" s="1165">
        <f>0</f>
        <v>0</v>
      </c>
      <c r="AL55" s="1165">
        <f>0</f>
        <v>0</v>
      </c>
      <c r="AM55" s="1165">
        <f>0</f>
        <v>0</v>
      </c>
      <c r="AN55" s="1165">
        <f>0</f>
        <v>0</v>
      </c>
      <c r="AO55" s="1165">
        <f>0</f>
        <v>0</v>
      </c>
      <c r="AP55" s="1165">
        <f>0</f>
        <v>0</v>
      </c>
      <c r="AQ55" s="1165">
        <f>0</f>
        <v>0</v>
      </c>
      <c r="AR55" s="1165">
        <f>0</f>
        <v>0</v>
      </c>
      <c r="AS55" s="1192">
        <f>µ_NITO_T*M_satSNHx_KNHx_NITO*X_NITO*M_satSO2_KO2_NITO*M_satSPO4_KPO4_BIO*M_satSALK_KALK</f>
        <v>21.84819550089011</v>
      </c>
      <c r="AU55" s="664">
        <f>E89*E55+F89*F55+G89*G55+H89*H55+I89*I55+J89*J55+K89*K55+L89*L55+M89*M55+N89*N55+O89*O55+P89*P55+Q89*Q55+R89*R55+S89*S55+T89*T55+U89*U55+V89*V55+W89*W55+X89*X55+Y89*Y55+Z89*Z55+AA89*AA55+AB89*AB55+AC89*AC55+AD89*AD55+AE89*AE55+AF89*AF55+AG89*AG55+AH89*AH55+AI89*AI55+AJ89*AJ55+AK89*AK55+AL89*AL55+AM89*AM55+AN89*AN55+AO89*AO55+AP89*AP55+AQ89*AQ55+AR89*AR55</f>
        <v>0</v>
      </c>
      <c r="AV55" s="664">
        <f>E90*E55+F90*F55+G90*G55+H90*H55+I90*I55+J90*J55+K90*K55+L90*L55+M90*M55+N90*N55+O90*O55+P90*P55+Q90*Q55+R90*R55+S90*S55+T90*T55+U90*U55+V90*V55+W90*W55+X90*X55+Y90*Y55+Z90*Z55+AA90*AA55+AB90*AB55+AC90*AC55+AD90*AD55+AE90*AE55+AF90*AF55+AG90*AG55+AH90*AH55+AI90*AI55+AJ90*AJ55+AK90*AK55+AL90*AL55+AM90*AM55+AN90*AN55+AO90*AO55+AP90*AP55+AQ90*AQ55+AR90*AR55</f>
        <v>0</v>
      </c>
      <c r="AW55" s="665">
        <f>E91*E55+F91*F55+G91*G55+H91*H55+I91*I55+J91*J55+K91*K55+L91*L55+M91*M55+N91*N55+O91*O55+P91*P55+Q91*Q55+R91*R55+S91*S55+T91*T55+U91*U55+V91*V55+W91*W55+X91*X55+Y91*Y55+Z91*Z55+AA91*AA55+AB91*AB55+AC91*AC55+AD91*AD55+AE91*AE55+AF91*AF55+AG91*AG55+AH91*AH55+AI91*AI55+AJ91*AJ55+AK91*AK55+AL91*AL55+AM91*AM55+AN91*AN55+AO91*AO55+AP91*AP55+AQ91*AQ55+AR91*AR55</f>
        <v>0</v>
      </c>
      <c r="AX55" s="664">
        <f>E92*E55+F92*F55+G92*G55+H92*H55+I92*I55+J92*J55+K92*K55+L92*L55+M92*M55+N92*N55+O92*O55+P92*P55+Q92*Q55+R92*R55+S92*S55+T92*T55+U92*U55+V92*V55+W92*W55+X92*X55+Y92*Y55+Z92*Z55+AA92*AA55+AB92*AB55+AC92*AC55+AD92*AD55+AE92*AE55+AF92*AF55+AG92*AG55+AH92*AH55+AI92*AI55+AJ92*AJ55+AK92*AK55+AL92*AL55+AM92*AM55+AN92*AN55+AO92*AO55+AP92*AP55+AQ92*AQ55+AR92*AR55</f>
        <v>0</v>
      </c>
      <c r="AY55" s="664">
        <f>E93*E55+F93*F55+G93*G55+H93*H55+I93*I55+J93*J55+K93*K55+L93*L55+M93*M55+N93*N55+O93*O55+P93*P55+Q93*Q55+R93*R55+S93*S55+T93*T55+U93*U55+V93*V55+W93*W55+X93*X55+Y93*Y55+Z93*Z55+AA93*AA55+AB93*AB55+AC93*AC55+AD93*AD55+AE93*AE55+AF93*AF55+AG93*AG55+AH93*AH55+AI93*AI55+AJ93*AJ55+AK93*AK55+AL93*AL55+AM93*AM55+AN93*AN55+AO93*AO55+AP93*AP55+AQ93*AQ55+AR93*AR55</f>
        <v>0</v>
      </c>
      <c r="AZ55" s="664">
        <f>E94*E55+F94*F55+G94*G55+H94*H55+I94*I55+J94*J55+K94*K55+L94*L55+M94*M55+N94*N55+O94*O55+P94*P55+Q94*Q55+R94*R55+S94*S55+T94*T55+U94*U55+V94*V55+W94*W55+X94*X55+Y94*Y55+Z94*Z55+AA94*AA55+AB94*AB55+AC94*AC55+AD94*AD55+AE94*AE55+AF94*AF55+AG94*AG55+AH94*AH55+AI94*AI55+AJ94*AJ55+AK94*AK55+AL94*AL55+AM94*AM55+AN94*AN55+AO94*AO55+AP94*AP55+AQ94*AQ55+AR94*AR55</f>
        <v>0</v>
      </c>
    </row>
    <row r="56" spans="2:52" ht="18" x14ac:dyDescent="0.35">
      <c r="B56" s="361">
        <v>5</v>
      </c>
      <c r="C56" s="709" t="s">
        <v>219</v>
      </c>
      <c r="D56" s="710" t="s">
        <v>294</v>
      </c>
      <c r="E56" s="1165">
        <f>0</f>
        <v>0</v>
      </c>
      <c r="F56" s="1165">
        <f>1-f_E</f>
        <v>0.92</v>
      </c>
      <c r="G56" s="1165">
        <f>0</f>
        <v>0</v>
      </c>
      <c r="H56" s="1165">
        <f>0</f>
        <v>0</v>
      </c>
      <c r="I56" s="1165">
        <f>f_E</f>
        <v>0.08</v>
      </c>
      <c r="J56" s="1165">
        <f>0</f>
        <v>0</v>
      </c>
      <c r="K56" s="1165">
        <f>-1</f>
        <v>-1</v>
      </c>
      <c r="L56" s="1165">
        <f>0</f>
        <v>0</v>
      </c>
      <c r="M56" s="1165">
        <f>0</f>
        <v>0</v>
      </c>
      <c r="N56" s="1165">
        <f>0</f>
        <v>0</v>
      </c>
      <c r="O56" s="1186">
        <f>-f_E*(i_N_XE-i_N_BIO)</f>
        <v>8.0000000000000069E-4</v>
      </c>
      <c r="P56" s="1186">
        <f>0</f>
        <v>0</v>
      </c>
      <c r="Q56" s="1165">
        <f>0</f>
        <v>0</v>
      </c>
      <c r="R56" s="1165">
        <f>0</f>
        <v>0</v>
      </c>
      <c r="S56" s="1165">
        <f>(1-f_E)*i_N_BIO</f>
        <v>6.4400000000000013E-2</v>
      </c>
      <c r="T56" s="1165">
        <f>0</f>
        <v>0</v>
      </c>
      <c r="U56" s="1165">
        <f>(1-f_E)*i_P_BIO</f>
        <v>1.84E-2</v>
      </c>
      <c r="V56" s="1165">
        <f>0</f>
        <v>0</v>
      </c>
      <c r="W56" s="1165">
        <f>0</f>
        <v>0</v>
      </c>
      <c r="X56" s="1165">
        <f>0</f>
        <v>0</v>
      </c>
      <c r="Y56" s="1185">
        <f>0</f>
        <v>0</v>
      </c>
      <c r="Z56" s="1165">
        <f>-f_E*(i_N_XE-i_N_BIO)*C_HNHx</f>
        <v>5.7115523285284942E-8</v>
      </c>
      <c r="AA56" s="1165">
        <f>0</f>
        <v>0</v>
      </c>
      <c r="AB56" s="1165">
        <f>0</f>
        <v>0</v>
      </c>
      <c r="AC56" s="1165">
        <f>0</f>
        <v>0</v>
      </c>
      <c r="AD56" s="1165">
        <f>0</f>
        <v>0</v>
      </c>
      <c r="AE56" s="1165">
        <f>0</f>
        <v>0</v>
      </c>
      <c r="AF56" s="1165">
        <f>0</f>
        <v>0</v>
      </c>
      <c r="AG56" s="1165">
        <f>0</f>
        <v>0</v>
      </c>
      <c r="AH56" s="1165">
        <f>0</f>
        <v>0</v>
      </c>
      <c r="AI56" s="1165">
        <f>0</f>
        <v>0</v>
      </c>
      <c r="AJ56" s="1165">
        <f>0</f>
        <v>0</v>
      </c>
      <c r="AK56" s="1165">
        <f>0</f>
        <v>0</v>
      </c>
      <c r="AL56" s="1165">
        <f>0</f>
        <v>0</v>
      </c>
      <c r="AM56" s="1165">
        <f>0</f>
        <v>0</v>
      </c>
      <c r="AN56" s="1165">
        <f>0</f>
        <v>0</v>
      </c>
      <c r="AO56" s="1165">
        <f>0</f>
        <v>0</v>
      </c>
      <c r="AP56" s="1165">
        <f>0</f>
        <v>0</v>
      </c>
      <c r="AQ56" s="1165">
        <f>0</f>
        <v>0</v>
      </c>
      <c r="AR56" s="1165">
        <f>0</f>
        <v>0</v>
      </c>
      <c r="AS56" s="1193">
        <f>b_NITO_T*X_NITO*(M_satSO2_KO2_NITO+η_b_anox*M_satSNOx_KNOx_NITO*M_inhSO2_KO2_NITO+η_b_ana*M_inhSNOx_KNOx_NITO*M_inhSO2_KO2_NITO+m_tox_ana)</f>
        <v>7.65</v>
      </c>
      <c r="AU56" s="664">
        <f>E89*E56+F89*F56+G89*G56+H89*H56+I89*I56+J89*J56+K89*K56+L89*L56+M89*M56+N89*N56+O89*O56+P89*P56+Q89*Q56+R89*R56+S89*S56+T89*T56+U89*U56+V89*V56+W89*W56+X89*X56+Y89*Y56+Z89*Z56+AA89*AA56+AB89*AB56+AC89*AC56+AD89*AD56+AE89*AE56+AF89*AF56+AG89*AG56+AH89*AH56+AI89*AI56+AJ89*AJ56+AK89*AK56+AL89*AL56+AM89*AM56+AN89*AN56+AO89*AO56+AP89*AP56+AQ89*AQ56+AR89*AR56</f>
        <v>0</v>
      </c>
      <c r="AV56" s="664">
        <f>E90*E56+F90*F56+G90*G56+H90*H56+I90*I56+J90*J56+K90*K56+L90*L56+M90*M56+N90*N56+O90*O56+P90*P56+Q90*Q56+R90*R56+S90*S56+T90*T56+U90*U56+V90*V56+W90*W56+X90*X56+Y90*Y56+Z90*Z56+AA90*AA56+AB90*AB56+AC90*AC56+AD90*AD56+AE90*AE56+AF90*AF56+AG90*AG56+AH90*AH56+AI90*AI56+AJ90*AJ56+AK90*AK56+AL90*AL56+AM90*AM56+AN90*AN56+AO90*AO56+AP90*AP56+AQ90*AQ56+AR90*AR56</f>
        <v>0</v>
      </c>
      <c r="AW56" s="665">
        <f>E91*E56+F91*F56+G91*G56+H91*H56+I91*I56+J91*J56+K91*K56+L91*L56+M91*M56+N91*N56+O91*O56+P91*P56+Q91*Q56+R91*R56+S91*S56+T91*T56+U91*U56+V91*V56+W91*W56+X91*X56+Y91*Y56+Z91*Z56+AA91*AA56+AB91*AB56+AC91*AC56+AD91*AD56+AE91*AE56+AF91*AF56+AG91*AG56+AH91*AH56+AI91*AI56+AJ91*AJ56+AK91*AK56+AL91*AL56+AM91*AM56+AN91*AN56+AO91*AO56+AP91*AP56+AQ91*AQ56+AR91*AR56</f>
        <v>0</v>
      </c>
      <c r="AX56" s="664">
        <f>E92*E56+F92*F56+G92*G56+H92*H56+I92*I56+J92*J56+K92*K56+L92*L56+M92*M56+N92*N56+O92*O56+P92*P56+Q92*Q56+R92*R56+S92*S56+T92*T56+U92*U56+V92*V56+W92*W56+X92*X56+Y92*Y56+Z92*Z56+AA92*AA56+AB92*AB56+AC92*AC56+AD92*AD56+AE92*AE56+AF92*AF56+AG92*AG56+AH92*AH56+AI92*AI56+AJ92*AJ56+AK92*AK56+AL92*AL56+AM92*AM56+AN92*AN56+AO92*AO56+AP92*AP56+AQ92*AQ56+AR92*AR56</f>
        <v>0</v>
      </c>
      <c r="AY56" s="664">
        <f>E93*E56+F93*F56+G93*G56+H93*H56+I93*I56+J93*J56+K93*K56+L93*L56+M93*M56+N93*N56+O93*O56+P93*P56+Q93*Q56+R93*R56+S93*S56+T93*T56+U93*U56+V93*V56+W93*W56+X93*X56+Y93*Y56+Z93*Z56+AA93*AA56+AB93*AB56+AC93*AC56+AD93*AD56+AE93*AE56+AF93*AF56+AG93*AG56+AH93*AH56+AI93*AI56+AJ93*AJ56+AK93*AK56+AL93*AL56+AM93*AM56+AN93*AN56+AO93*AO56+AP93*AP56+AQ93*AQ56+AR93*AR56</f>
        <v>0</v>
      </c>
      <c r="AZ56" s="664">
        <f>E94*E56+F94*F56+G94*G56+H94*H56+I94*I56+J94*J56+K94*K56+L94*L56+M94*M56+N94*N56+O94*O56+P94*P56+Q94*Q56+R94*R56+S94*S56+T94*T56+U94*U56+V94*V56+W94*W56+X94*X56+Y94*Y56+Z94*Z56+AA94*AA56+AB94*AB56+AC94*AC56+AD94*AD56+AE94*AE56+AF94*AF56+AG94*AG56+AH94*AH56+AI94*AI56+AJ94*AJ56+AK94*AK56+AL94*AL56+AM94*AM56+AN94*AN56+AO94*AO56+AP94*AP56+AQ94*AQ56+AR94*AR56</f>
        <v>0</v>
      </c>
    </row>
    <row r="57" spans="2:52" ht="18" x14ac:dyDescent="0.35">
      <c r="B57" s="362">
        <v>6</v>
      </c>
      <c r="C57" s="715" t="s">
        <v>220</v>
      </c>
      <c r="D57" s="716" t="s">
        <v>317</v>
      </c>
      <c r="E57" s="1166">
        <f>-1/Y_AMETO</f>
        <v>-10</v>
      </c>
      <c r="F57" s="1167">
        <f>0</f>
        <v>0</v>
      </c>
      <c r="G57" s="1167">
        <f>0</f>
        <v>0</v>
      </c>
      <c r="H57" s="1167">
        <f>0</f>
        <v>0</v>
      </c>
      <c r="I57" s="1167">
        <f>0</f>
        <v>0</v>
      </c>
      <c r="J57" s="1167">
        <f>0</f>
        <v>0</v>
      </c>
      <c r="K57" s="1167">
        <f>0</f>
        <v>0</v>
      </c>
      <c r="L57" s="1167">
        <f>1</f>
        <v>1</v>
      </c>
      <c r="M57" s="1167">
        <f>0</f>
        <v>0</v>
      </c>
      <c r="N57" s="1167">
        <f>0</f>
        <v>0</v>
      </c>
      <c r="O57" s="1166">
        <f>-i_N_BIO</f>
        <v>-7.0000000000000007E-2</v>
      </c>
      <c r="P57" s="1167">
        <f>0</f>
        <v>0</v>
      </c>
      <c r="Q57" s="1167">
        <f>0</f>
        <v>0</v>
      </c>
      <c r="R57" s="1167">
        <f>0</f>
        <v>0</v>
      </c>
      <c r="S57" s="1167">
        <f>0</f>
        <v>0</v>
      </c>
      <c r="T57" s="1166">
        <f>-i_P_BIO</f>
        <v>-0.02</v>
      </c>
      <c r="U57" s="1167">
        <f>0</f>
        <v>0</v>
      </c>
      <c r="V57" s="1167">
        <f>0</f>
        <v>0</v>
      </c>
      <c r="W57" s="1167">
        <f>(1-Y_AMETO)/Y_AMETO</f>
        <v>9</v>
      </c>
      <c r="X57" s="1167">
        <f>0</f>
        <v>0</v>
      </c>
      <c r="Y57" s="1167">
        <f>0</f>
        <v>0</v>
      </c>
      <c r="Z57" s="1166">
        <f>(-i_N_BIO*C_HNHx-i_P_BIO*C_HPO4)</f>
        <v>-4.0290465800957984E-6</v>
      </c>
      <c r="AA57" s="1167">
        <f>0</f>
        <v>0</v>
      </c>
      <c r="AB57" s="1167">
        <f>0</f>
        <v>0</v>
      </c>
      <c r="AC57" s="1167">
        <f>0</f>
        <v>0</v>
      </c>
      <c r="AD57" s="1167">
        <f>0</f>
        <v>0</v>
      </c>
      <c r="AE57" s="1167">
        <f>0</f>
        <v>0</v>
      </c>
      <c r="AF57" s="1167">
        <f>0</f>
        <v>0</v>
      </c>
      <c r="AG57" s="1167">
        <f>0</f>
        <v>0</v>
      </c>
      <c r="AH57" s="1167">
        <f>0</f>
        <v>0</v>
      </c>
      <c r="AI57" s="1167">
        <f>0</f>
        <v>0</v>
      </c>
      <c r="AJ57" s="1167">
        <f>0</f>
        <v>0</v>
      </c>
      <c r="AK57" s="1167">
        <f>0</f>
        <v>0</v>
      </c>
      <c r="AL57" s="1167">
        <f>0</f>
        <v>0</v>
      </c>
      <c r="AM57" s="1167">
        <f>0</f>
        <v>0</v>
      </c>
      <c r="AN57" s="1167">
        <f>0</f>
        <v>0</v>
      </c>
      <c r="AO57" s="1167">
        <f>0</f>
        <v>0</v>
      </c>
      <c r="AP57" s="1167">
        <f>0</f>
        <v>0</v>
      </c>
      <c r="AQ57" s="1167">
        <f>0</f>
        <v>0</v>
      </c>
      <c r="AR57" s="1167">
        <f>0</f>
        <v>0</v>
      </c>
      <c r="AS57" s="1197">
        <f>µ_AMETO_T*M_satSB_KVFA_AMETO*X_AMETO*M_inhSO2_KiO2_AMETO*M_inhSNOx_KNOx_AMETO*M_satSNHx_KNHx_BIO*M_satSPO4_KPO4_BIO*M_satSALK_KALK</f>
        <v>2.2426226481959074E-5</v>
      </c>
      <c r="AU57" s="664">
        <f>E89*E57+F89*F57+G89*G57+H89*H57+I89*I57+J89*J57+K89*K57+L89*L57+M89*M57+N89*N57+O89*O57+P89*P57+Q89*Q57+R89*R57+S89*S57+T89*T57+U89*U57+V89*V57+W89*W57+X89*X57+Y89*Y57+Z89*Z57+AA89*AA57+AB89*AB57+AC89*AC57+AD89*AD57+AE89*AE57+AF89*AF57+AG89*AG57+AH89*AH57+AI89*AI57+AJ89*AJ57+AK89*AK57+AL89*AL57+AM89*AM57+AN89*AN57+AO89*AO57+AP89*AP57+AQ89*AQ57+AR89*AR57</f>
        <v>0</v>
      </c>
      <c r="AV57" s="664">
        <f>E90*E57+F90*F57+G90*G57+H90*H57+I90*I57+J90*J57+K90*K57+L90*L57+M90*M57+N90*N57+O90*O57+P90*P57+Q90*Q57+R90*R57+S90*S57+T90*T57+U90*U57+V90*V57+W90*W57+X90*X57+Y90*Y57+Z90*Z57+AA90*AA57+AB90*AB57+AC90*AC57+AD90*AD57+AE90*AE57+AF90*AF57+AG90*AG57+AH90*AH57+AI90*AI57+AJ90*AJ57+AK90*AK57+AL90*AL57+AM90*AM57+AN90*AN57+AO90*AO57+AP90*AP57+AQ90*AQ57+AR90*AR57</f>
        <v>0</v>
      </c>
      <c r="AW57" s="665">
        <f>E91*E57+F91*F57+G91*G57+H91*H57+I91*I57+J91*J57+K91*K57+L91*L57+M91*M57+N91*N57+O91*O57+P91*P57+Q91*Q57+R91*R57+S91*S57+T91*T57+U91*U57+V91*V57+W91*W57+X91*X57+Y91*Y57+Z91*Z57+AA91*AA57+AB91*AB57+AC91*AC57+AD91*AD57+AE91*AE57+AF91*AF57+AG91*AG57+AH91*AH57+AI91*AI57+AJ91*AJ57+AK91*AK57+AL91*AL57+AM91*AM57+AN91*AN57+AO91*AO57+AP91*AP57+AQ91*AQ57+AR91*AR57</f>
        <v>0</v>
      </c>
      <c r="AX57" s="664">
        <f>E92*E57+F92*F57+G92*G57+H92*H57+I92*I57+J92*J57+K92*K57+L92*L57+M92*M57+N92*N57+O92*O57+P92*P57+Q92*Q57+R92*R57+S92*S57+T92*T57+U92*U57+V92*V57+W92*W57+X92*X57+Y92*Y57+Z92*Z57+AA92*AA57+AB92*AB57+AC92*AC57+AD92*AD57+AE92*AE57+AF92*AF57+AG92*AG57+AH92*AH57+AI92*AI57+AJ92*AJ57+AK92*AK57+AL92*AL57+AM92*AM57+AN92*AN57+AO92*AO57+AP92*AP57+AQ92*AQ57+AR92*AR57</f>
        <v>0</v>
      </c>
      <c r="AY57" s="664">
        <f>E93*E57+F93*F57+G93*G57+H93*H57+I93*I57+J93*J57+K93*K57+L93*L57+M93*M57+N93*N57+O93*O57+P93*P57+Q93*Q57+R93*R57+S93*S57+T93*T57+U93*U57+V93*V57+W93*W57+X93*X57+Y93*Y57+Z93*Z57+AA93*AA57+AB93*AB57+AC93*AC57+AD93*AD57+AE93*AE57+AF93*AF57+AG93*AG57+AH93*AH57+AI93*AI57+AJ93*AJ57+AK93*AK57+AL93*AL57+AM93*AM57+AN93*AN57+AO93*AO57+AP93*AP57+AQ93*AQ57+AR93*AR57</f>
        <v>0</v>
      </c>
      <c r="AZ57" s="664">
        <f>E94*E57+F94*F57+G94*G57+H94*H57+I94*I57+J94*J57+K94*K57+L94*L57+M94*M57+N94*N57+O94*O57+P94*P57+Q94*Q57+R94*R57+S94*S57+T94*T57+U94*U57+V94*V57+W94*W57+X94*X57+Y94*Y57+Z94*Z57+AA94*AA57+AB94*AB57+AC94*AC57+AD94*AD57+AE94*AE57+AF94*AF57+AG94*AG57+AH94*AH57+AI94*AI57+AJ94*AJ57+AK94*AK57+AL94*AL57+AM94*AM57+AN94*AN57+AO94*AO57+AP94*AP57+AQ94*AQ57+AR94*AR57</f>
        <v>0</v>
      </c>
    </row>
    <row r="58" spans="2:52" ht="18" x14ac:dyDescent="0.35">
      <c r="B58" s="362">
        <v>7</v>
      </c>
      <c r="C58" s="715" t="s">
        <v>221</v>
      </c>
      <c r="D58" s="716" t="s">
        <v>302</v>
      </c>
      <c r="E58" s="1167">
        <f>0</f>
        <v>0</v>
      </c>
      <c r="F58" s="1167">
        <f>1-f_E</f>
        <v>0.92</v>
      </c>
      <c r="G58" s="1167">
        <f>0</f>
        <v>0</v>
      </c>
      <c r="H58" s="1167">
        <f>0</f>
        <v>0</v>
      </c>
      <c r="I58" s="1167">
        <f>f_E</f>
        <v>0.08</v>
      </c>
      <c r="J58" s="1167">
        <f>0</f>
        <v>0</v>
      </c>
      <c r="K58" s="1167">
        <f>0</f>
        <v>0</v>
      </c>
      <c r="L58" s="1167">
        <f>-1</f>
        <v>-1</v>
      </c>
      <c r="M58" s="1167">
        <f>0</f>
        <v>0</v>
      </c>
      <c r="N58" s="1167">
        <f>0</f>
        <v>0</v>
      </c>
      <c r="O58" s="1187">
        <f>-f_E*(i_N_XE-i_N_BIO)</f>
        <v>8.0000000000000069E-4</v>
      </c>
      <c r="P58" s="1167">
        <f>0</f>
        <v>0</v>
      </c>
      <c r="Q58" s="1167">
        <f>0</f>
        <v>0</v>
      </c>
      <c r="R58" s="1167">
        <f>0</f>
        <v>0</v>
      </c>
      <c r="S58" s="1167">
        <f>(1-f_E)*i_N_BIO</f>
        <v>6.4400000000000013E-2</v>
      </c>
      <c r="T58" s="1166">
        <f>0</f>
        <v>0</v>
      </c>
      <c r="U58" s="1167">
        <f>(1-f_E)*i_P_BIO</f>
        <v>1.84E-2</v>
      </c>
      <c r="V58" s="1167">
        <f>0</f>
        <v>0</v>
      </c>
      <c r="W58" s="1167">
        <f>0</f>
        <v>0</v>
      </c>
      <c r="X58" s="1167">
        <f>0</f>
        <v>0</v>
      </c>
      <c r="Y58" s="1166">
        <f>0</f>
        <v>0</v>
      </c>
      <c r="Z58" s="1166">
        <f>-f_E*(i_N_XE-i_N_BIO)*C_HNHx</f>
        <v>5.7115523285284942E-8</v>
      </c>
      <c r="AA58" s="1167">
        <f>0</f>
        <v>0</v>
      </c>
      <c r="AB58" s="1167">
        <f>0</f>
        <v>0</v>
      </c>
      <c r="AC58" s="1167">
        <f>0</f>
        <v>0</v>
      </c>
      <c r="AD58" s="1167">
        <f>0</f>
        <v>0</v>
      </c>
      <c r="AE58" s="1167">
        <f>0</f>
        <v>0</v>
      </c>
      <c r="AF58" s="1167">
        <f>0</f>
        <v>0</v>
      </c>
      <c r="AG58" s="1167">
        <f>0</f>
        <v>0</v>
      </c>
      <c r="AH58" s="1167">
        <f>0</f>
        <v>0</v>
      </c>
      <c r="AI58" s="1167">
        <f>0</f>
        <v>0</v>
      </c>
      <c r="AJ58" s="1167">
        <f>0</f>
        <v>0</v>
      </c>
      <c r="AK58" s="1167">
        <f>0</f>
        <v>0</v>
      </c>
      <c r="AL58" s="1167">
        <f>0</f>
        <v>0</v>
      </c>
      <c r="AM58" s="1167">
        <f>0</f>
        <v>0</v>
      </c>
      <c r="AN58" s="1167">
        <f>0</f>
        <v>0</v>
      </c>
      <c r="AO58" s="1167">
        <f>0</f>
        <v>0</v>
      </c>
      <c r="AP58" s="1167">
        <f>0</f>
        <v>0</v>
      </c>
      <c r="AQ58" s="1167">
        <f>0</f>
        <v>0</v>
      </c>
      <c r="AR58" s="1167">
        <f>0</f>
        <v>0</v>
      </c>
      <c r="AS58" s="1197">
        <f>b_AMETO_T*X_AMETO*(M_satSO2_KiO2_AMETO+η_b_anox*M_satSNOx_KNOx_AMETO*M_inhSO2_KiO2_AMETO+η_b_ana*M_inhSNOx_KNOx_AMETO*M_inhSO2_KiO2_AMETO)</f>
        <v>9.8780487804878057</v>
      </c>
      <c r="AU58" s="664">
        <f>E89*E58+F89*F58+G89*G58+H89*H58+I89*I58+J89*J58+K89*K58+L89*L58+M89*M58+N89*N58+O89*O58+P89*P58+Q89*Q58+R89*R58+S89*S58+T89*T58+U89*U58+V89*V58+W89*W58+X89*X58+Y89*Y58+Z89*Z58+AA89*AA58+AB89*AB58+AC89*AC58+AD89*AD58+AE89*AE58+AF89*AF58+AG89*AG58+AH89*AH58+AI89*AI58+AJ89*AJ58+AK89*AK58+AL89*AL58+AM89*AM58+AN89*AN58+AO89*AO58+AP89*AP58+AQ89*AQ58+AR89*AR58</f>
        <v>0</v>
      </c>
      <c r="AV58" s="664">
        <f>E90*E58+F90*F58+G90*G58+H90*H58+I90*I58+J90*J58+K90*K58+L90*L58+M90*M58+N90*N58+O90*O58+P90*P58+Q90*Q58+R90*R58+S90*S58+T90*T58+U90*U58+V90*V58+W90*W58+X90*X58+Y90*Y58+Z90*Z58+AA90*AA58+AB90*AB58+AC90*AC58+AD90*AD58+AE90*AE58+AF90*AF58+AG90*AG58+AH90*AH58+AI90*AI58+AJ90*AJ58+AK90*AK58+AL90*AL58+AM90*AM58+AN90*AN58+AO90*AO58+AP90*AP58+AQ90*AQ58+AR90*AR58</f>
        <v>0</v>
      </c>
      <c r="AW58" s="665">
        <f>E91*E58+F91*F58+G91*G58+H91*H58+I91*I58+J91*J58+K91*K58+L91*L58+M91*M58+N91*N58+O91*O58+P91*P58+Q91*Q58+R91*R58+S91*S58+T91*T58+U91*U58+V91*V58+W91*W58+X91*X58+Y91*Y58+Z91*Z58+AA91*AA58+AB91*AB58+AC91*AC58+AD91*AD58+AE91*AE58+AF91*AF58+AG91*AG58+AH91*AH58+AI91*AI58+AJ91*AJ58+AK91*AK58+AL91*AL58+AM91*AM58+AN91*AN58+AO91*AO58+AP91*AP58+AQ91*AQ58+AR91*AR58</f>
        <v>0</v>
      </c>
      <c r="AX58" s="664">
        <f>E92*E58+F92*F58+G92*G58+H92*H58+I92*I58+J92*J58+K92*K58+L92*L58+M92*M58+N92*N58+O92*O58+P92*P58+Q92*Q58+R92*R58+S92*S58+T92*T58+U92*U58+V92*V58+W92*W58+X92*X58+Y92*Y58+Z92*Z58+AA92*AA58+AB92*AB58+AC92*AC58+AD92*AD58+AE92*AE58+AF92*AF58+AG92*AG58+AH92*AH58+AI92*AI58+AJ92*AJ58+AK92*AK58+AL92*AL58+AM92*AM58+AN92*AN58+AO92*AO58+AP92*AP58+AQ92*AQ58+AR92*AR58</f>
        <v>0</v>
      </c>
      <c r="AY58" s="664">
        <f>E93*E58+F93*F58+G93*G58+H93*H58+I93*I58+J93*J58+K93*K58+L93*L58+M93*M58+N93*N58+O93*O58+P93*P58+Q93*Q58+R93*R58+S93*S58+T93*T58+U93*U58+V93*V58+W93*W58+X93*X58+Y93*Y58+Z93*Z58+AA93*AA58+AB93*AB58+AC93*AC58+AD93*AD58+AE93*AE58+AF93*AF58+AG93*AG58+AH93*AH58+AI93*AI58+AJ93*AJ58+AK93*AK58+AL93*AL58+AM93*AM58+AN93*AN58+AO93*AO58+AP93*AP58+AQ93*AQ58+AR93*AR58</f>
        <v>0</v>
      </c>
      <c r="AZ58" s="664">
        <f>E94*E58+F94*F58+G94*G58+H94*H58+I94*I58+J94*J58+K94*K58+L94*L58+M94*M58+N94*N58+O94*O58+P94*P58+Q94*Q58+R94*R58+S94*S58+T94*T58+U94*U58+V94*V58+W94*W58+X94*X58+Y94*Y58+Z94*Z58+AA94*AA58+AB94*AB58+AC94*AC58+AD94*AD58+AE94*AE58+AF94*AF58+AG94*AG58+AH94*AH58+AI94*AI58+AJ94*AJ58+AK94*AK58+AL94*AL58+AM94*AM58+AN94*AN58+AO94*AO58+AP94*AP58+AQ94*AQ58+AR94*AR58</f>
        <v>0</v>
      </c>
    </row>
    <row r="59" spans="2:52" ht="18" x14ac:dyDescent="0.35">
      <c r="B59" s="362">
        <v>8</v>
      </c>
      <c r="C59" s="715" t="s">
        <v>222</v>
      </c>
      <c r="D59" s="716" t="s">
        <v>318</v>
      </c>
      <c r="E59" s="1167">
        <f>0</f>
        <v>0</v>
      </c>
      <c r="F59" s="1167">
        <f>0</f>
        <v>0</v>
      </c>
      <c r="G59" s="1167">
        <f>0</f>
        <v>0</v>
      </c>
      <c r="H59" s="1167">
        <f>0</f>
        <v>0</v>
      </c>
      <c r="I59" s="1167">
        <f>0</f>
        <v>0</v>
      </c>
      <c r="J59" s="1167">
        <f>0</f>
        <v>0</v>
      </c>
      <c r="K59" s="1167">
        <f>0</f>
        <v>0</v>
      </c>
      <c r="L59" s="1167">
        <f>0</f>
        <v>0</v>
      </c>
      <c r="M59" s="1167">
        <f>1</f>
        <v>1</v>
      </c>
      <c r="N59" s="1167">
        <f>0</f>
        <v>0</v>
      </c>
      <c r="O59" s="1166">
        <f>-i_N_BIO</f>
        <v>-7.0000000000000007E-2</v>
      </c>
      <c r="P59" s="1167">
        <f>0</f>
        <v>0</v>
      </c>
      <c r="Q59" s="1167">
        <f>0</f>
        <v>0</v>
      </c>
      <c r="R59" s="1167">
        <f>0</f>
        <v>0</v>
      </c>
      <c r="S59" s="1167">
        <f>0</f>
        <v>0</v>
      </c>
      <c r="T59" s="1166">
        <f>-i_P_BIO</f>
        <v>-0.02</v>
      </c>
      <c r="U59" s="1167">
        <f>0</f>
        <v>0</v>
      </c>
      <c r="V59" s="1167">
        <f>0</f>
        <v>0</v>
      </c>
      <c r="W59" s="1167">
        <f>(1-Y_HMETO)/Y_HMETO</f>
        <v>9</v>
      </c>
      <c r="X59" s="1166">
        <f>-1/Y_HMETO</f>
        <v>-10</v>
      </c>
      <c r="Y59" s="1167">
        <f>0</f>
        <v>0</v>
      </c>
      <c r="Z59" s="1166">
        <f>(-i_N_BIO*C_HNHx-i_P_BIO*C_HPO4)</f>
        <v>-4.0290465800957984E-6</v>
      </c>
      <c r="AA59" s="1167">
        <f>0</f>
        <v>0</v>
      </c>
      <c r="AB59" s="1167">
        <f>0</f>
        <v>0</v>
      </c>
      <c r="AC59" s="1167">
        <f>0</f>
        <v>0</v>
      </c>
      <c r="AD59" s="1167">
        <f>0</f>
        <v>0</v>
      </c>
      <c r="AE59" s="1167">
        <f>0</f>
        <v>0</v>
      </c>
      <c r="AF59" s="1167">
        <f>0</f>
        <v>0</v>
      </c>
      <c r="AG59" s="1167">
        <f>0</f>
        <v>0</v>
      </c>
      <c r="AH59" s="1167">
        <f>0</f>
        <v>0</v>
      </c>
      <c r="AI59" s="1167">
        <f>0</f>
        <v>0</v>
      </c>
      <c r="AJ59" s="1167">
        <f>0</f>
        <v>0</v>
      </c>
      <c r="AK59" s="1167">
        <f>0</f>
        <v>0</v>
      </c>
      <c r="AL59" s="1167">
        <f>0</f>
        <v>0</v>
      </c>
      <c r="AM59" s="1167">
        <f>0</f>
        <v>0</v>
      </c>
      <c r="AN59" s="1167">
        <f>0</f>
        <v>0</v>
      </c>
      <c r="AO59" s="1167">
        <f>0</f>
        <v>0</v>
      </c>
      <c r="AP59" s="1167">
        <f>0</f>
        <v>0</v>
      </c>
      <c r="AQ59" s="1167">
        <f>0</f>
        <v>0</v>
      </c>
      <c r="AR59" s="1167">
        <f>0</f>
        <v>0</v>
      </c>
      <c r="AS59" s="1197">
        <f>µ_HMETO_T*M_satSH2_KH2_HMETO*X_HMETO*M_inhSO2_KiO2_HMETO*M_inhSNOx_KNOx_HMETO*M_satSNHx_KNHx_BIO*M_satSPO4_KPO4_BIO*M_satSALK_KALK</f>
        <v>7.1560049956069412E-3</v>
      </c>
      <c r="AU59" s="664">
        <f>E89*E59+F89*F59+G89*G59+H89*H59+I89*I59+J89*J59+K89*K59+L89*L59+M89*M59+N89*N59+O89*O59+P89*P59+Q89*Q59+R89*R59+S89*S59+T89*T59+U89*U59+V89*V59+W89*W59+X89*X59+Y89*Y59+Z89*Z59+AA89*AA59+AB89*AB59+AC89*AC59+AD89*AD59+AE89*AE59+AF89*AF59+AG89*AG59+AH89*AH59+AI89*AI59+AJ89*AJ59+AK89*AK59+AL89*AL59+AM89*AM59+AN89*AN59+AO89*AO59+AP89*AP59+AQ89*AQ59+AR89*AR59</f>
        <v>0</v>
      </c>
      <c r="AV59" s="664">
        <f>E90*E59+F90*F59+G90*G59+H90*H59+I90*I59+J90*J59+K90*K59+L90*L59+M90*M59+N90*N59+O90*O59+P90*P59+Q90*Q59+R90*R59+S90*S59+T90*T59+U90*U59+V90*V59+W90*W59+X90*X59+Y90*Y59+Z90*Z59+AA90*AA59+AB90*AB59+AC90*AC59+AD90*AD59+AE90*AE59+AF90*AF59+AG90*AG59+AH90*AH59+AI90*AI59+AJ90*AJ59+AK90*AK59+AL90*AL59+AM90*AM59+AN90*AN59+AO90*AO59+AP90*AP59+AQ90*AQ59+AR90*AR59</f>
        <v>0</v>
      </c>
      <c r="AW59" s="665">
        <f>E91*E59+F91*F59+G91*G59+H91*H59+I91*I59+J91*J59+K91*K59+L91*L59+M91*M59+N91*N59+O91*O59+P91*P59+Q91*Q59+R91*R59+S91*S59+T91*T59+U91*U59+V91*V59+W91*W59+X91*X59+Y91*Y59+Z91*Z59+AA91*AA59+AB91*AB59+AC91*AC59+AD91*AD59+AE91*AE59+AF91*AF59+AG91*AG59+AH91*AH59+AI91*AI59+AJ91*AJ59+AK91*AK59+AL91*AL59+AM91*AM59+AN91*AN59+AO91*AO59+AP91*AP59+AQ91*AQ59+AR91*AR59</f>
        <v>0</v>
      </c>
      <c r="AX59" s="664">
        <f>E92*E59+F92*F59+G92*G59+H92*H59+I92*I59+J92*J59+K92*K59+L92*L59+M92*M59+N92*N59+O92*O59+P92*P59+Q92*Q59+R92*R59+S92*S59+T92*T59+U92*U59+V92*V59+W92*W59+X92*X59+Y92*Y59+Z92*Z59+AA92*AA59+AB92*AB59+AC92*AC59+AD92*AD59+AE92*AE59+AF92*AF59+AG92*AG59+AH92*AH59+AI92*AI59+AJ92*AJ59+AK92*AK59+AL92*AL59+AM92*AM59+AN92*AN59+AO92*AO59+AP92*AP59+AQ92*AQ59+AR92*AR59</f>
        <v>0</v>
      </c>
      <c r="AY59" s="664">
        <f>E93*E59+F93*F59+G93*G59+H93*H59+I93*I59+J93*J59+K93*K59+L93*L59+M93*M59+N93*N59+O93*O59+P93*P59+Q93*Q59+R93*R59+S93*S59+T93*T59+U93*U59+V93*V59+W93*W59+X93*X59+Y93*Y59+Z93*Z59+AA93*AA59+AB93*AB59+AC93*AC59+AD93*AD59+AE93*AE59+AF93*AF59+AG93*AG59+AH93*AH59+AI93*AI59+AJ93*AJ59+AK93*AK59+AL93*AL59+AM93*AM59+AN93*AN59+AO93*AO59+AP93*AP59+AQ93*AQ59+AR93*AR59</f>
        <v>0</v>
      </c>
      <c r="AZ59" s="664">
        <f>E94*E59+F94*F59+G94*G59+H94*H59+I94*I59+J94*J59+K94*K59+L94*L59+M94*M59+N94*N59+O94*O59+P94*P59+Q94*Q59+R94*R59+S94*S59+T94*T59+U94*U59+V94*V59+W94*W59+X94*X59+Y94*Y59+Z94*Z59+AA94*AA59+AB94*AB59+AC94*AC59+AD94*AD59+AE94*AE59+AF94*AF59+AG94*AG59+AH94*AH59+AI94*AI59+AJ94*AJ59+AK94*AK59+AL94*AL59+AM94*AM59+AN94*AN59+AO94*AO59+AP94*AP59+AQ94*AQ59+AR94*AR59</f>
        <v>0</v>
      </c>
    </row>
    <row r="60" spans="2:52" ht="18" x14ac:dyDescent="0.35">
      <c r="B60" s="362">
        <v>9</v>
      </c>
      <c r="C60" s="715" t="s">
        <v>223</v>
      </c>
      <c r="D60" s="716" t="s">
        <v>301</v>
      </c>
      <c r="E60" s="1167">
        <f>0</f>
        <v>0</v>
      </c>
      <c r="F60" s="1167">
        <f>1-f_E</f>
        <v>0.92</v>
      </c>
      <c r="G60" s="1167">
        <f>0</f>
        <v>0</v>
      </c>
      <c r="H60" s="1167">
        <f>0</f>
        <v>0</v>
      </c>
      <c r="I60" s="1167">
        <f>f_E</f>
        <v>0.08</v>
      </c>
      <c r="J60" s="1167">
        <f>0</f>
        <v>0</v>
      </c>
      <c r="K60" s="1167">
        <f>0</f>
        <v>0</v>
      </c>
      <c r="L60" s="1167">
        <f>0</f>
        <v>0</v>
      </c>
      <c r="M60" s="1167">
        <f>-1</f>
        <v>-1</v>
      </c>
      <c r="N60" s="1167">
        <f>0</f>
        <v>0</v>
      </c>
      <c r="O60" s="1187">
        <f>-f_E*(i_N_XE-i_N_BIO)</f>
        <v>8.0000000000000069E-4</v>
      </c>
      <c r="P60" s="1167">
        <f>0</f>
        <v>0</v>
      </c>
      <c r="Q60" s="1167">
        <f>0</f>
        <v>0</v>
      </c>
      <c r="R60" s="1167">
        <f>0</f>
        <v>0</v>
      </c>
      <c r="S60" s="1167">
        <f>(1-f_E)*i_N_BIO</f>
        <v>6.4400000000000013E-2</v>
      </c>
      <c r="T60" s="1167">
        <f>0</f>
        <v>0</v>
      </c>
      <c r="U60" s="1167">
        <f>(1-f_E)*i_P_BIO</f>
        <v>1.84E-2</v>
      </c>
      <c r="V60" s="1167">
        <f>0</f>
        <v>0</v>
      </c>
      <c r="W60" s="1167">
        <f>0</f>
        <v>0</v>
      </c>
      <c r="X60" s="1167">
        <f>0</f>
        <v>0</v>
      </c>
      <c r="Y60" s="1166">
        <f>0</f>
        <v>0</v>
      </c>
      <c r="Z60" s="1166">
        <f>-f_E*(i_N_XE-i_N_BIO)*C_HNHx</f>
        <v>5.7115523285284942E-8</v>
      </c>
      <c r="AA60" s="1167">
        <f>0</f>
        <v>0</v>
      </c>
      <c r="AB60" s="1167">
        <f>0</f>
        <v>0</v>
      </c>
      <c r="AC60" s="1167">
        <f>0</f>
        <v>0</v>
      </c>
      <c r="AD60" s="1167">
        <f>0</f>
        <v>0</v>
      </c>
      <c r="AE60" s="1167">
        <f>0</f>
        <v>0</v>
      </c>
      <c r="AF60" s="1167">
        <f>0</f>
        <v>0</v>
      </c>
      <c r="AG60" s="1167">
        <f>0</f>
        <v>0</v>
      </c>
      <c r="AH60" s="1167">
        <f>0</f>
        <v>0</v>
      </c>
      <c r="AI60" s="1167">
        <f>0</f>
        <v>0</v>
      </c>
      <c r="AJ60" s="1167">
        <f>0</f>
        <v>0</v>
      </c>
      <c r="AK60" s="1167">
        <f>0</f>
        <v>0</v>
      </c>
      <c r="AL60" s="1167">
        <f>0</f>
        <v>0</v>
      </c>
      <c r="AM60" s="1167">
        <f>0</f>
        <v>0</v>
      </c>
      <c r="AN60" s="1167">
        <f>0</f>
        <v>0</v>
      </c>
      <c r="AO60" s="1167">
        <f>0</f>
        <v>0</v>
      </c>
      <c r="AP60" s="1167">
        <f>0</f>
        <v>0</v>
      </c>
      <c r="AQ60" s="1167">
        <f>0</f>
        <v>0</v>
      </c>
      <c r="AR60" s="1167">
        <f>0</f>
        <v>0</v>
      </c>
      <c r="AS60" s="1197">
        <f>b_HMETO_T*X_HMETO*(M_satSO2_KiO2_HMETO+η_b_anox*M_satSNOx_KNOx_HMETO*M_inhSO2_KiO2_HMETO+η_b_ana*M_inhSNOx_KNOx_HMETO*M_inhSO2_KiO2_HMETO)</f>
        <v>29.634146341463417</v>
      </c>
      <c r="AU60" s="664">
        <f>E89*E60+F89*F60+G89*G60+H89*H60+I89*I60+J89*J60+K89*K60+L89*L60+M89*M60+N89*N60+O89*O60+P89*P60+Q89*Q60+R89*R60+S89*S60+T89*T60+U89*U60+V89*V60+W89*W60+X89*X60+Y89*Y60+Z89*Z60+AA89*AA60+AB89*AB60+AC89*AC60+AD89*AD60+AE89*AE60+AF89*AF60+AG89*AG60+AH89*AH60+AI89*AI60+AJ89*AJ60+AK89*AK60+AL89*AL60+AM89*AM60+AN89*AN60+AO89*AO60+AP89*AP60+AQ89*AQ60+AR89*AR60</f>
        <v>0</v>
      </c>
      <c r="AV60" s="664">
        <f>E90*E60+F90*F60+G90*G60+H90*H60+I90*I60+J90*J60+K90*K60+L90*L60+M90*M60+N90*N60+O90*O60+P90*P60+Q90*Q60+R90*R60+S90*S60+T90*T60+U90*U60+V90*V60+W90*W60+X90*X60+Y90*Y60+Z90*Z60+AA90*AA60+AB90*AB60+AC90*AC60+AD90*AD60+AE90*AE60+AF90*AF60+AG90*AG60+AH90*AH60+AI90*AI60+AJ90*AJ60+AK90*AK60+AL90*AL60+AM90*AM60+AN90*AN60+AO90*AO60+AP90*AP60+AQ90*AQ60+AR90*AR60</f>
        <v>0</v>
      </c>
      <c r="AW60" s="665">
        <f>E91*E60+F91*F60+G91*G60+H91*H60+I91*I60+J91*J60+K91*K60+L91*L60+M91*M60+N91*N60+O91*O60+P91*P60+Q91*Q60+R91*R60+S91*S60+T91*T60+U91*U60+V91*V60+W91*W60+X91*X60+Y91*Y60+Z91*Z60+AA91*AA60+AB91*AB60+AC91*AC60+AD91*AD60+AE91*AE60+AF91*AF60+AG91*AG60+AH91*AH60+AI91*AI60+AJ91*AJ60+AK91*AK60+AL91*AL60+AM91*AM60+AN91*AN60+AO91*AO60+AP91*AP60+AQ91*AQ60+AR91*AR60</f>
        <v>0</v>
      </c>
      <c r="AX60" s="664">
        <f>E92*E60+F92*F60+G92*G60+H92*H60+I92*I60+J92*J60+K92*K60+L92*L60+M92*M60+N92*N60+O92*O60+P92*P60+Q92*Q60+R92*R60+S92*S60+T92*T60+U92*U60+V92*V60+W92*W60+X92*X60+Y92*Y60+Z92*Z60+AA92*AA60+AB92*AB60+AC92*AC60+AD92*AD60+AE92*AE60+AF92*AF60+AG92*AG60+AH92*AH60+AI92*AI60+AJ92*AJ60+AK92*AK60+AL92*AL60+AM92*AM60+AN92*AN60+AO92*AO60+AP92*AP60+AQ92*AQ60+AR92*AR60</f>
        <v>0</v>
      </c>
      <c r="AY60" s="664">
        <f>E93*E60+F93*F60+G93*G60+H93*H60+I93*I60+J93*J60+K93*K60+L93*L60+M93*M60+N93*N60+O93*O60+P93*P60+Q93*Q60+R93*R60+S93*S60+T93*T60+U93*U60+V93*V60+W93*W60+X93*X60+Y93*Y60+Z93*Z60+AA93*AA60+AB93*AB60+AC93*AC60+AD93*AD60+AE93*AE60+AF93*AF60+AG93*AG60+AH93*AH60+AI93*AI60+AJ93*AJ60+AK93*AK60+AL93*AL60+AM93*AM60+AN93*AN60+AO93*AO60+AP93*AP60+AQ93*AQ60+AR93*AR60</f>
        <v>0</v>
      </c>
      <c r="AZ60" s="664">
        <f>E94*E60+F94*F60+G94*G60+H94*H60+I94*I60+J94*J60+K94*K60+L94*L60+M94*M60+N94*N60+O94*O60+P94*P60+Q94*Q60+R94*R60+S94*S60+T94*T60+U94*U60+V94*V60+W94*W60+X94*X60+Y94*Y60+Z94*Z60+AA94*AA60+AB94*AB60+AC94*AC60+AD94*AD60+AE94*AE60+AF94*AF60+AG94*AG60+AH94*AH60+AI94*AI60+AJ94*AJ60+AK94*AK60+AL94*AL60+AM94*AM60+AN94*AN60+AO94*AO60+AP94*AP60+AQ94*AQ60+AR94*AR60</f>
        <v>0</v>
      </c>
    </row>
    <row r="61" spans="2:52" ht="18" x14ac:dyDescent="0.35">
      <c r="B61" s="824">
        <v>10</v>
      </c>
      <c r="C61" s="825" t="s">
        <v>224</v>
      </c>
      <c r="D61" s="826" t="s">
        <v>2345</v>
      </c>
      <c r="E61" s="1168">
        <f>0</f>
        <v>0</v>
      </c>
      <c r="F61" s="1168">
        <f>0</f>
        <v>0</v>
      </c>
      <c r="G61" s="1168">
        <f>0</f>
        <v>0</v>
      </c>
      <c r="H61" s="1168">
        <f>0</f>
        <v>0</v>
      </c>
      <c r="I61" s="1168">
        <f>0</f>
        <v>0</v>
      </c>
      <c r="J61" s="1168">
        <f>0</f>
        <v>0</v>
      </c>
      <c r="K61" s="1168">
        <f>0</f>
        <v>0</v>
      </c>
      <c r="L61" s="1168">
        <f>0</f>
        <v>0</v>
      </c>
      <c r="M61" s="1168">
        <f>0</f>
        <v>0</v>
      </c>
      <c r="N61" s="1168">
        <f>1</f>
        <v>1</v>
      </c>
      <c r="O61" s="1168">
        <f>0</f>
        <v>0</v>
      </c>
      <c r="P61" s="1188">
        <f>-i_N_ALGAE</f>
        <v>-7.0000000000000007E-2</v>
      </c>
      <c r="Q61" s="1168">
        <f>0</f>
        <v>0</v>
      </c>
      <c r="R61" s="1168">
        <f>0</f>
        <v>0</v>
      </c>
      <c r="S61" s="1168">
        <f>0</f>
        <v>0</v>
      </c>
      <c r="T61" s="1188">
        <f>-i_P_ALGAE</f>
        <v>-0.02</v>
      </c>
      <c r="U61" s="1168">
        <f>0</f>
        <v>0</v>
      </c>
      <c r="V61" s="1188">
        <f>1+i_N_ALGAE*E_EQNO3</f>
        <v>1.3198349361377055</v>
      </c>
      <c r="W61" s="1168">
        <f>0</f>
        <v>0</v>
      </c>
      <c r="X61" s="1168">
        <f>0</f>
        <v>0</v>
      </c>
      <c r="Y61" s="1168">
        <f>0</f>
        <v>0</v>
      </c>
      <c r="Z61" s="1168">
        <f>(-i_N_ALGAE*C_HNO3-i_P_ALGAE*C_HPO4)</f>
        <v>5.9661699948290588E-6</v>
      </c>
      <c r="AA61" s="1168">
        <f>0</f>
        <v>0</v>
      </c>
      <c r="AB61" s="1168">
        <f>0</f>
        <v>0</v>
      </c>
      <c r="AC61" s="1168">
        <f>0</f>
        <v>0</v>
      </c>
      <c r="AD61" s="1168">
        <f>0</f>
        <v>0</v>
      </c>
      <c r="AE61" s="1168">
        <f>0</f>
        <v>0</v>
      </c>
      <c r="AF61" s="1168">
        <f>0</f>
        <v>0</v>
      </c>
      <c r="AG61" s="1168">
        <f>0</f>
        <v>0</v>
      </c>
      <c r="AH61" s="1168">
        <f>0</f>
        <v>0</v>
      </c>
      <c r="AI61" s="1168">
        <f>0</f>
        <v>0</v>
      </c>
      <c r="AJ61" s="1168">
        <f>0</f>
        <v>0</v>
      </c>
      <c r="AK61" s="1168">
        <f>0</f>
        <v>0</v>
      </c>
      <c r="AL61" s="1168">
        <f>0</f>
        <v>0</v>
      </c>
      <c r="AM61" s="1168">
        <f>0</f>
        <v>0</v>
      </c>
      <c r="AN61" s="1168">
        <f>0</f>
        <v>0</v>
      </c>
      <c r="AO61" s="1168">
        <f>0</f>
        <v>0</v>
      </c>
      <c r="AP61" s="1168">
        <f>0</f>
        <v>0</v>
      </c>
      <c r="AQ61" s="1168">
        <f>0</f>
        <v>0</v>
      </c>
      <c r="AR61" s="1168">
        <f>0</f>
        <v>0</v>
      </c>
      <c r="AS61" s="1198">
        <f>µ_ALGAE_T*X_ALGAE*M_satSPO4_KPO4_BIO*M_satSALK_KALK*L_ightSwitch*M_satSNOx_KNOx_ALGAE*M_inhSNHx_KiNHx_ALGAE</f>
        <v>0</v>
      </c>
      <c r="AU61" s="664">
        <f>E89*E61+F89*F61+G89*G61+H89*H61+I89*I61+J89*J61+K89*K61+L89*L61+M89*M61+N89*N61+O89*O61+P89*P61+Q89*Q61+R89*R61+S89*S61+T89*T61+U89*U61+V89*V61+W89*W61+X89*X61+Y89*Y61+Z89*Z61+AA89*AA61+AB89*AB61+AC89*AC61+AD89*AD61+AE89*AE61+AF89*AF61+AG89*AG61+AH89*AH61+AI89*AI61+AJ89*AJ61+AK89*AK61+AL89*AL61+AM89*AM61+AN89*AN61+AO89*AO61+AP89*AP61+AQ89*AQ61+AR89*AR61</f>
        <v>0</v>
      </c>
      <c r="AV61" s="664">
        <f>E90*E61+F90*F61+G90*G61+H90*H61+I90*I61+J90*J61+K90*K61+L90*L61+M90*M61+N90*N61+O90*O61+P90*P61+Q90*Q61+R90*R61+S90*S61+T90*T61+U90*U61+V90*V61+W90*W61+X90*X61+Y90*Y61+Z90*Z61+AA90*AA61+AB90*AB61+AC90*AC61+AD90*AD61+AE90*AE61+AF90*AF61+AG90*AG61+AH90*AH61+AI90*AI61+AJ90*AJ61+AK90*AK61+AL90*AL61+AM90*AM61+AN90*AN61+AO90*AO61+AP90*AP61+AQ90*AQ61+AR90*AR61</f>
        <v>0</v>
      </c>
      <c r="AW61" s="665">
        <f>E91*E61+F91*F61+G91*G61+H91*H61+I91*I61+J91*J61+K91*K61+L91*L61+M91*M61+N91*N61+O91*O61+P91*P61+Q91*Q61+R91*R61+S91*S61+T91*T61+U91*U61+V91*V61+W91*W61+X91*X61+Y91*Y61+Z91*Z61+AA91*AA61+AB91*AB61+AC91*AC61+AD91*AD61+AE91*AE61+AF91*AF61+AG91*AG61+AH91*AH61+AI91*AI61+AJ91*AJ61+AK91*AK61+AL91*AL61+AM91*AM61+AN91*AN61+AO91*AO61+AP91*AP61+AQ91*AQ61+AR91*AR61</f>
        <v>0</v>
      </c>
      <c r="AX61" s="664">
        <f>E92*E61+F92*F61+G92*G61+H92*H61+I92*I61+J92*J61+K92*K61+L92*L61+M92*M61+N92*N61+O92*O61+P92*P61+Q92*Q61+R92*R61+S92*S61+T92*T61+U92*U61+V92*V61+W92*W61+X92*X61+Y92*Y61+Z92*Z61+AA92*AA61+AB92*AB61+AC92*AC61+AD92*AD61+AE92*AE61+AF92*AF61+AG92*AG61+AH92*AH61+AI92*AI61+AJ92*AJ61+AK92*AK61+AL92*AL61+AM92*AM61+AN92*AN61+AO92*AO61+AP92*AP61+AQ92*AQ61+AR92*AR61</f>
        <v>0</v>
      </c>
      <c r="AY61" s="664">
        <f>E93*E61+F93*F61+G93*G61+H93*H61+I93*I61+J93*J61+K93*K61+L93*L61+M93*M61+N93*N61+O93*O61+P93*P61+Q93*Q61+R93*R61+S93*S61+T93*T61+U93*U61+V93*V61+W93*W61+X93*X61+Y93*Y61+Z93*Z61+AA93*AA61+AB93*AB61+AC93*AC61+AD93*AD61+AE93*AE61+AF93*AF61+AG93*AG61+AH93*AH61+AI93*AI61+AJ93*AJ61+AK93*AK61+AL93*AL61+AM93*AM61+AN93*AN61+AO93*AO61+AP93*AP61+AQ93*AQ61+AR93*AR61</f>
        <v>0</v>
      </c>
      <c r="AZ61" s="664">
        <f>E94*E61+F94*F61+G94*G61+H94*H61+I94*I61+J94*J61+K94*K61+L94*L61+M94*M61+N94*N61+O94*O61+P94*P61+Q94*Q61+R94*R61+S94*S61+T94*T61+U94*U61+V94*V61+W94*W61+X94*X61+Y94*Y61+Z94*Z61+AA94*AA61+AB94*AB61+AC94*AC61+AD94*AD61+AE94*AE61+AF94*AF61+AG94*AG61+AH94*AH61+AI94*AI61+AJ94*AJ61+AK94*AK61+AL94*AL61+AM94*AM61+AN94*AN61+AO94*AO61+AP94*AP61+AQ94*AQ61+AR94*AR61</f>
        <v>0</v>
      </c>
    </row>
    <row r="62" spans="2:52" ht="18" x14ac:dyDescent="0.35">
      <c r="B62" s="824">
        <v>11</v>
      </c>
      <c r="C62" s="825" t="s">
        <v>225</v>
      </c>
      <c r="D62" s="826" t="s">
        <v>2346</v>
      </c>
      <c r="E62" s="1168">
        <f>0</f>
        <v>0</v>
      </c>
      <c r="F62" s="1168">
        <f>0</f>
        <v>0</v>
      </c>
      <c r="G62" s="1168">
        <f>0</f>
        <v>0</v>
      </c>
      <c r="H62" s="1168">
        <f>0</f>
        <v>0</v>
      </c>
      <c r="I62" s="1168">
        <f>0</f>
        <v>0</v>
      </c>
      <c r="J62" s="1168">
        <f>0</f>
        <v>0</v>
      </c>
      <c r="K62" s="1168">
        <f>0</f>
        <v>0</v>
      </c>
      <c r="L62" s="1168">
        <f>0</f>
        <v>0</v>
      </c>
      <c r="M62" s="1168">
        <f>0</f>
        <v>0</v>
      </c>
      <c r="N62" s="1168">
        <f>1</f>
        <v>1</v>
      </c>
      <c r="O62" s="1188">
        <f>-i_N_ALGAE</f>
        <v>-7.0000000000000007E-2</v>
      </c>
      <c r="P62" s="1168">
        <f>0</f>
        <v>0</v>
      </c>
      <c r="Q62" s="1168">
        <f>0</f>
        <v>0</v>
      </c>
      <c r="R62" s="1168">
        <f>0</f>
        <v>0</v>
      </c>
      <c r="S62" s="1168">
        <f>0</f>
        <v>0</v>
      </c>
      <c r="T62" s="1188">
        <f>-i_P_ALGAE</f>
        <v>-0.02</v>
      </c>
      <c r="U62" s="1168">
        <f>0</f>
        <v>0</v>
      </c>
      <c r="V62" s="1168">
        <f>1</f>
        <v>1</v>
      </c>
      <c r="W62" s="1168">
        <f>0</f>
        <v>0</v>
      </c>
      <c r="X62" s="1168">
        <f>0</f>
        <v>0</v>
      </c>
      <c r="Y62" s="1168">
        <f>0</f>
        <v>0</v>
      </c>
      <c r="Z62" s="1168">
        <f>(-i_N_ALGAE*C_HNHx-i_P_ALGAE*C_HPO4)</f>
        <v>-4.0290465800957984E-6</v>
      </c>
      <c r="AA62" s="1168">
        <f>0</f>
        <v>0</v>
      </c>
      <c r="AB62" s="1168">
        <f>0</f>
        <v>0</v>
      </c>
      <c r="AC62" s="1168">
        <f>0</f>
        <v>0</v>
      </c>
      <c r="AD62" s="1168">
        <f>0</f>
        <v>0</v>
      </c>
      <c r="AE62" s="1168">
        <f>0</f>
        <v>0</v>
      </c>
      <c r="AF62" s="1168">
        <f>0</f>
        <v>0</v>
      </c>
      <c r="AG62" s="1168">
        <f>0</f>
        <v>0</v>
      </c>
      <c r="AH62" s="1168">
        <f>0</f>
        <v>0</v>
      </c>
      <c r="AI62" s="1168">
        <f>0</f>
        <v>0</v>
      </c>
      <c r="AJ62" s="1168">
        <f>0</f>
        <v>0</v>
      </c>
      <c r="AK62" s="1168">
        <f>0</f>
        <v>0</v>
      </c>
      <c r="AL62" s="1168">
        <f>0</f>
        <v>0</v>
      </c>
      <c r="AM62" s="1168">
        <f>0</f>
        <v>0</v>
      </c>
      <c r="AN62" s="1168">
        <f>0</f>
        <v>0</v>
      </c>
      <c r="AO62" s="1168">
        <f>0</f>
        <v>0</v>
      </c>
      <c r="AP62" s="1168">
        <f>0</f>
        <v>0</v>
      </c>
      <c r="AQ62" s="1168">
        <f>0</f>
        <v>0</v>
      </c>
      <c r="AR62" s="1168">
        <f>0</f>
        <v>0</v>
      </c>
      <c r="AS62" s="1198">
        <f>µ_ALGAE_T*X_ALGAE*M_satSNHx_KNHx_ALGAE*M_satSPO4_KPO4_BIO*M_satSALK_KALK*L_ightSwitch</f>
        <v>0</v>
      </c>
      <c r="AU62" s="664">
        <f>E89*E62+F89*F62+G89*G62+H89*H62+I89*I62+J89*J62+K89*K62+L89*L62+M89*M62+N89*N62+O89*O62+P89*P62+Q89*Q62+R89*R62+S89*S62+T89*T62+U89*U62+V89*V62+W89*W62+X89*X62+Y89*Y62+Z89*Z62+AA89*AA62+AB89*AB62+AC89*AC62+AD89*AD62+AE89*AE62+AF89*AF62+AG89*AG62+AH89*AH62+AI89*AI62+AJ89*AJ62+AK89*AK62+AL89*AL62+AM89*AM62+AN89*AN62+AO89*AO62+AP89*AP62+AQ89*AQ62+AR89*AR62</f>
        <v>0</v>
      </c>
      <c r="AV62" s="664">
        <f>E90*E62+F90*F62+G90*G62+H90*H62+I90*I62+J90*J62+K90*K62+L90*L62+M90*M62+N90*N62+O90*O62+P90*P62+Q90*Q62+R90*R62+S90*S62+T90*T62+U90*U62+V90*V62+W90*W62+X90*X62+Y90*Y62+Z90*Z62+AA90*AA62+AB90*AB62+AC90*AC62+AD90*AD62+AE90*AE62+AF90*AF62+AG90*AG62+AH90*AH62+AI90*AI62+AJ90*AJ62+AK90*AK62+AL90*AL62+AM90*AM62+AN90*AN62+AO90*AO62+AP90*AP62+AQ90*AQ62+AR90*AR62</f>
        <v>0</v>
      </c>
      <c r="AW62" s="665">
        <f>E91*E62+F91*F62+G91*G62+H91*H62+I91*I62+J91*J62+K91*K62+L91*L62+M91*M62+N91*N62+O91*O62+P91*P62+Q91*Q62+R91*R62+S91*S62+T91*T62+U91*U62+V91*V62+W91*W62+X91*X62+Y91*Y62+Z91*Z62+AA91*AA62+AB91*AB62+AC91*AC62+AD91*AD62+AE91*AE62+AF91*AF62+AG91*AG62+AH91*AH62+AI91*AI62+AJ91*AJ62+AK91*AK62+AL91*AL62+AM91*AM62+AN91*AN62+AO91*AO62+AP91*AP62+AQ91*AQ62+AR91*AR62</f>
        <v>0</v>
      </c>
      <c r="AX62" s="664">
        <f>E92*E62+F92*F62+G92*G62+H92*H62+I92*I62+J92*J62+K92*K62+L92*L62+M92*M62+N92*N62+O92*O62+P92*P62+Q92*Q62+R92*R62+S92*S62+T92*T62+U92*U62+V92*V62+W92*W62+X92*X62+Y92*Y62+Z92*Z62+AA92*AA62+AB92*AB62+AC92*AC62+AD92*AD62+AE92*AE62+AF92*AF62+AG92*AG62+AH92*AH62+AI92*AI62+AJ92*AJ62+AK92*AK62+AL92*AL62+AM92*AM62+AN92*AN62+AO92*AO62+AP92*AP62+AQ92*AQ62+AR92*AR62</f>
        <v>0</v>
      </c>
      <c r="AY62" s="664">
        <f>E93*E62+F93*F62+G93*G62+H93*H62+I93*I62+J93*J62+K93*K62+L93*L62+M93*M62+N93*N62+O93*O62+P93*P62+Q93*Q62+R93*R62+S93*S62+T93*T62+U93*U62+V93*V62+W93*W62+X93*X62+Y93*Y62+Z93*Z62+AA93*AA62+AB93*AB62+AC93*AC62+AD93*AD62+AE93*AE62+AF93*AF62+AG93*AG62+AH93*AH62+AI93*AI62+AJ93*AJ62+AK93*AK62+AL93*AL62+AM93*AM62+AN93*AN62+AO93*AO62+AP93*AP62+AQ93*AQ62+AR93*AR62</f>
        <v>0</v>
      </c>
      <c r="AZ62" s="664">
        <f>E94*E62+F94*F62+G94*G62+H94*H62+I94*I62+J94*J62+K94*K62+L94*L62+M94*M62+N94*N62+O94*O62+P94*P62+Q94*Q62+R94*R62+S94*S62+T94*T62+U94*U62+V94*V62+W94*W62+X94*X62+Y94*Y62+Z94*Z62+AA94*AA62+AB94*AB62+AC94*AC62+AD94*AD62+AE94*AE62+AF94*AF62+AG94*AG62+AH94*AH62+AI94*AI62+AJ94*AJ62+AK94*AK62+AL94*AL62+AM94*AM62+AN94*AN62+AO94*AO62+AP94*AP62+AQ94*AQ62+AR94*AR62</f>
        <v>0</v>
      </c>
    </row>
    <row r="63" spans="2:52" ht="18" x14ac:dyDescent="0.35">
      <c r="B63" s="824">
        <v>12</v>
      </c>
      <c r="C63" s="825" t="s">
        <v>226</v>
      </c>
      <c r="D63" s="826" t="s">
        <v>2347</v>
      </c>
      <c r="E63" s="1168">
        <f>0</f>
        <v>0</v>
      </c>
      <c r="F63" s="1168">
        <f>0</f>
        <v>0</v>
      </c>
      <c r="G63" s="1168">
        <f>0</f>
        <v>0</v>
      </c>
      <c r="H63" s="1168">
        <f>0</f>
        <v>0</v>
      </c>
      <c r="I63" s="1168">
        <f>0</f>
        <v>0</v>
      </c>
      <c r="J63" s="1168">
        <f>0</f>
        <v>0</v>
      </c>
      <c r="K63" s="1168">
        <f>0</f>
        <v>0</v>
      </c>
      <c r="L63" s="1168">
        <f>0</f>
        <v>0</v>
      </c>
      <c r="M63" s="1168">
        <f>0</f>
        <v>0</v>
      </c>
      <c r="N63" s="1168">
        <f>-1</f>
        <v>-1</v>
      </c>
      <c r="O63" s="1188">
        <f>i_N_ALGAE</f>
        <v>7.0000000000000007E-2</v>
      </c>
      <c r="P63" s="1168">
        <f>0</f>
        <v>0</v>
      </c>
      <c r="Q63" s="1168">
        <f>0</f>
        <v>0</v>
      </c>
      <c r="R63" s="1168">
        <f>0</f>
        <v>0</v>
      </c>
      <c r="S63" s="1168">
        <f>0</f>
        <v>0</v>
      </c>
      <c r="T63" s="1188">
        <f>i_P_ALGAE</f>
        <v>0.02</v>
      </c>
      <c r="U63" s="1168">
        <f>0</f>
        <v>0</v>
      </c>
      <c r="V63" s="1168">
        <f>-1</f>
        <v>-1</v>
      </c>
      <c r="W63" s="1168">
        <f>0</f>
        <v>0</v>
      </c>
      <c r="X63" s="1168">
        <f>0</f>
        <v>0</v>
      </c>
      <c r="Y63" s="1168">
        <f>0</f>
        <v>0</v>
      </c>
      <c r="Z63" s="1168">
        <f>(i_N_ALGAE*C_HNHx+i_P_ALGAE*C_HPO4)</f>
        <v>4.0290465800957984E-6</v>
      </c>
      <c r="AA63" s="1168">
        <f>0</f>
        <v>0</v>
      </c>
      <c r="AB63" s="1168">
        <f>0</f>
        <v>0</v>
      </c>
      <c r="AC63" s="1168">
        <f>0</f>
        <v>0</v>
      </c>
      <c r="AD63" s="1168">
        <f>0</f>
        <v>0</v>
      </c>
      <c r="AE63" s="1168">
        <f>0</f>
        <v>0</v>
      </c>
      <c r="AF63" s="1168">
        <f>0</f>
        <v>0</v>
      </c>
      <c r="AG63" s="1168">
        <f>0</f>
        <v>0</v>
      </c>
      <c r="AH63" s="1168">
        <f>0</f>
        <v>0</v>
      </c>
      <c r="AI63" s="1168">
        <f>0</f>
        <v>0</v>
      </c>
      <c r="AJ63" s="1168">
        <f>0</f>
        <v>0</v>
      </c>
      <c r="AK63" s="1168">
        <f>0</f>
        <v>0</v>
      </c>
      <c r="AL63" s="1168">
        <f>0</f>
        <v>0</v>
      </c>
      <c r="AM63" s="1168">
        <f>0</f>
        <v>0</v>
      </c>
      <c r="AN63" s="1168">
        <f>0</f>
        <v>0</v>
      </c>
      <c r="AO63" s="1168">
        <f>0</f>
        <v>0</v>
      </c>
      <c r="AP63" s="1168">
        <f>0</f>
        <v>0</v>
      </c>
      <c r="AQ63" s="1168">
        <f>0</f>
        <v>0</v>
      </c>
      <c r="AR63" s="1168">
        <f>0</f>
        <v>0</v>
      </c>
      <c r="AS63" s="1199">
        <f>b_ALGAE_T*X_ALGAE*M_satSO2_KO2_ALGAE</f>
        <v>0</v>
      </c>
      <c r="AU63" s="664">
        <f>E89*E63+F89*F63+G89*G63+H89*H63+I89*I63+J89*J63+K89*K63+L89*L63+M89*M63+N89*N63+O89*O63+P89*P63+Q89*Q63+R89*R63+S89*S63+T89*T63+U89*U63+V89*V63+W89*W63+X89*X63+Y89*Y63+Z89*Z63+AA89*AA63+AB89*AB63+AC89*AC63+AD89*AD63+AE89*AE63+AF89*AF63+AG89*AG63+AH89*AH63+AI89*AI63+AJ89*AJ63+AK89*AK63+AL89*AL63+AM89*AM63+AN89*AN63+AO89*AO63+AP89*AP63+AQ89*AQ63+AR89*AR63</f>
        <v>0</v>
      </c>
      <c r="AV63" s="664">
        <f>E90*E63+F90*F63+G90*G63+H90*H63+I90*I63+J90*J63+K90*K63+L90*L63+M90*M63+N90*N63+O90*O63+P90*P63+Q90*Q63+R90*R63+S90*S63+T90*T63+U90*U63+V90*V63+W90*W63+X90*X63+Y90*Y63+Z90*Z63+AA90*AA63+AB90*AB63+AC90*AC63+AD90*AD63+AE90*AE63+AF90*AF63+AG90*AG63+AH90*AH63+AI90*AI63+AJ90*AJ63+AK90*AK63+AL90*AL63+AM90*AM63+AN90*AN63+AO90*AO63+AP90*AP63+AQ90*AQ63+AR90*AR63</f>
        <v>0</v>
      </c>
      <c r="AW63" s="665">
        <f>E91*E63+F91*F63+G91*G63+H91*H63+I91*I63+J91*J63+K91*K63+L91*L63+M91*M63+N91*N63+O91*O63+P91*P63+Q91*Q63+R91*R63+S91*S63+T91*T63+U91*U63+V91*V63+W91*W63+X91*X63+Y91*Y63+Z91*Z63+AA91*AA63+AB91*AB63+AC91*AC63+AD91*AD63+AE91*AE63+AF91*AF63+AG91*AG63+AH91*AH63+AI91*AI63+AJ91*AJ63+AK91*AK63+AL91*AL63+AM91*AM63+AN91*AN63+AO91*AO63+AP91*AP63+AQ91*AQ63+AR91*AR63</f>
        <v>0</v>
      </c>
      <c r="AX63" s="664">
        <f>E92*E63+F92*F63+G92*G63+H92*H63+I92*I63+J92*J63+K92*K63+L92*L63+M92*M63+N92*N63+O92*O63+P92*P63+Q92*Q63+R92*R63+S92*S63+T92*T63+U92*U63+V92*V63+W92*W63+X92*X63+Y92*Y63+Z92*Z63+AA92*AA63+AB92*AB63+AC92*AC63+AD92*AD63+AE92*AE63+AF92*AF63+AG92*AG63+AH92*AH63+AI92*AI63+AJ92*AJ63+AK92*AK63+AL92*AL63+AM92*AM63+AN92*AN63+AO92*AO63+AP92*AP63+AQ92*AQ63+AR92*AR63</f>
        <v>0</v>
      </c>
      <c r="AY63" s="664">
        <f>E93*E63+F93*F63+G93*G63+H93*H63+I93*I63+J93*J63+K93*K63+L93*L63+M93*M63+N93*N63+O93*O63+P93*P63+Q93*Q63+R93*R63+S93*S63+T93*T63+U93*U63+V93*V63+W93*W63+X93*X63+Y93*Y63+Z93*Z63+AA93*AA63+AB93*AB63+AC93*AC63+AD93*AD63+AE93*AE63+AF93*AF63+AG93*AG63+AH93*AH63+AI93*AI63+AJ93*AJ63+AK93*AK63+AL93*AL63+AM93*AM63+AN93*AN63+AO93*AO63+AP93*AP63+AQ93*AQ63+AR93*AR63</f>
        <v>0</v>
      </c>
      <c r="AZ63" s="664">
        <f>E94*E63+F94*F63+G94*G63+H94*H63+I94*I63+J94*J63+K94*K63+L94*L63+M94*M63+N94*N63+O94*O63+P94*P63+Q94*Q63+R94*R63+S94*S63+T94*T63+U94*U63+V94*V63+W94*W63+X94*X63+Y94*Y63+Z94*Z63+AA94*AA63+AB94*AB63+AC94*AC63+AD94*AD63+AE94*AE63+AF94*AF63+AG94*AG63+AH94*AH63+AI94*AI63+AJ94*AJ63+AK94*AK63+AL94*AL63+AM94*AM63+AN94*AN63+AO94*AO63+AP94*AP63+AQ94*AQ63+AR94*AR63</f>
        <v>0</v>
      </c>
    </row>
    <row r="64" spans="2:52" ht="18" x14ac:dyDescent="0.35">
      <c r="B64" s="824">
        <v>13</v>
      </c>
      <c r="C64" s="825" t="s">
        <v>227</v>
      </c>
      <c r="D64" s="826" t="s">
        <v>2348</v>
      </c>
      <c r="E64" s="1168">
        <f>0</f>
        <v>0</v>
      </c>
      <c r="F64" s="1168">
        <f>1-f_E</f>
        <v>0.92</v>
      </c>
      <c r="G64" s="1168">
        <f>0</f>
        <v>0</v>
      </c>
      <c r="H64" s="1168">
        <f>0</f>
        <v>0</v>
      </c>
      <c r="I64" s="1168">
        <f>f_E</f>
        <v>0.08</v>
      </c>
      <c r="J64" s="1168">
        <f>0</f>
        <v>0</v>
      </c>
      <c r="K64" s="1168">
        <f>0</f>
        <v>0</v>
      </c>
      <c r="L64" s="1168">
        <f>0</f>
        <v>0</v>
      </c>
      <c r="M64" s="1168">
        <f>0</f>
        <v>0</v>
      </c>
      <c r="N64" s="1168">
        <f>-1</f>
        <v>-1</v>
      </c>
      <c r="O64" s="1188">
        <f>-f_E*(i_N_XE-i_N_BIO)</f>
        <v>8.0000000000000069E-4</v>
      </c>
      <c r="P64" s="1168">
        <f>0</f>
        <v>0</v>
      </c>
      <c r="Q64" s="1168">
        <f>0</f>
        <v>0</v>
      </c>
      <c r="R64" s="1168">
        <f>0</f>
        <v>0</v>
      </c>
      <c r="S64" s="1168">
        <f>(1-f_E)*i_N_BIO</f>
        <v>6.4400000000000013E-2</v>
      </c>
      <c r="T64" s="1188">
        <f>i_P_ALGAE-i_P_BIO</f>
        <v>0</v>
      </c>
      <c r="U64" s="1168">
        <f>(1-f_E)*i_P_BIO</f>
        <v>1.84E-2</v>
      </c>
      <c r="V64" s="1168">
        <f>0</f>
        <v>0</v>
      </c>
      <c r="W64" s="1168">
        <f>0</f>
        <v>0</v>
      </c>
      <c r="X64" s="1168">
        <f>0</f>
        <v>0</v>
      </c>
      <c r="Y64" s="1168">
        <f>0</f>
        <v>0</v>
      </c>
      <c r="Z64" s="1188">
        <f>-f_E*(i_N_XE-i_N_BIO)*C_HNHx+(i_P_ALGAE-i_P_BIO)*C_HPO4</f>
        <v>5.7115523285284942E-8</v>
      </c>
      <c r="AA64" s="1168">
        <f>0</f>
        <v>0</v>
      </c>
      <c r="AB64" s="1168">
        <f>0</f>
        <v>0</v>
      </c>
      <c r="AC64" s="1168">
        <f>0</f>
        <v>0</v>
      </c>
      <c r="AD64" s="1168">
        <f>0</f>
        <v>0</v>
      </c>
      <c r="AE64" s="1168">
        <f>0</f>
        <v>0</v>
      </c>
      <c r="AF64" s="1168">
        <f>0</f>
        <v>0</v>
      </c>
      <c r="AG64" s="1168">
        <f>0</f>
        <v>0</v>
      </c>
      <c r="AH64" s="1168">
        <f>0</f>
        <v>0</v>
      </c>
      <c r="AI64" s="1168">
        <f>0</f>
        <v>0</v>
      </c>
      <c r="AJ64" s="1168">
        <f>0</f>
        <v>0</v>
      </c>
      <c r="AK64" s="1168">
        <f>0</f>
        <v>0</v>
      </c>
      <c r="AL64" s="1168">
        <f>0</f>
        <v>0</v>
      </c>
      <c r="AM64" s="1168">
        <f>0</f>
        <v>0</v>
      </c>
      <c r="AN64" s="1168">
        <f>0</f>
        <v>0</v>
      </c>
      <c r="AO64" s="1168">
        <f>0</f>
        <v>0</v>
      </c>
      <c r="AP64" s="1168">
        <f>0</f>
        <v>0</v>
      </c>
      <c r="AQ64" s="1168">
        <f>0</f>
        <v>0</v>
      </c>
      <c r="AR64" s="1168">
        <f>0</f>
        <v>0</v>
      </c>
      <c r="AS64" s="1199">
        <f>b_ALGAE_T*X_ALGAE*M_inhSO2_KO2_ALGAE</f>
        <v>0</v>
      </c>
      <c r="AU64" s="664">
        <f>E89*E64+F89*F64+G89*G64+H89*H64+I89*I64+J89*J64+K89*K64+L89*L64+M89*M64+N89*N64+O89*O64+P89*P64+Q89*Q64+R89*R64+S89*S64+T89*T64+U89*U64+V89*V64+W89*W64+X89*X64+Y89*Y64+Z89*Z64+AA89*AA64+AB89*AB64+AC89*AC64+AD89*AD64+AE89*AE64+AF89*AF64+AG89*AG64+AH89*AH64+AI89*AI64+AJ89*AJ64+AK89*AK64+AL89*AL64+AM89*AM64+AN89*AN64+AO89*AO64+AP89*AP64+AQ89*AQ64+AR89*AR64</f>
        <v>0</v>
      </c>
      <c r="AV64" s="664">
        <f>E90*E64+F90*F64+G90*G64+H90*H64+I90*I64+J90*J64+K90*K64+L90*L64+M90*M64+N90*N64+O90*O64+P90*P64+Q90*Q64+R90*R64+S90*S64+T90*T64+U90*U64+V90*V64+W90*W64+X90*X64+Y90*Y64+Z90*Z64+AA90*AA64+AB90*AB64+AC90*AC64+AD90*AD64+AE90*AE64+AF90*AF64+AG90*AG64+AH90*AH64+AI90*AI64+AJ90*AJ64+AK90*AK64+AL90*AL64+AM90*AM64+AN90*AN64+AO90*AO64+AP90*AP64+AQ90*AQ64+AR90*AR64</f>
        <v>0</v>
      </c>
      <c r="AW64" s="665">
        <f>E91*E64+F91*F64+G91*G64+H91*H64+I91*I64+J91*J64+K91*K64+L91*L64+M91*M64+N91*N64+O91*O64+P91*P64+Q91*Q64+R91*R64+S91*S64+T91*T64+U91*U64+V91*V64+W91*W64+X91*X64+Y91*Y64+Z91*Z64+AA91*AA64+AB91*AB64+AC91*AC64+AD91*AD64+AE91*AE64+AF91*AF64+AG91*AG64+AH91*AH64+AI91*AI64+AJ91*AJ64+AK91*AK64+AL91*AL64+AM91*AM64+AN91*AN64+AO91*AO64+AP91*AP64+AQ91*AQ64+AR91*AR64</f>
        <v>0</v>
      </c>
      <c r="AX64" s="664">
        <f>E92*E64+F92*F64+G92*G64+H92*H64+I92*I64+J92*J64+K92*K64+L92*L64+M92*M64+N92*N64+O92*O64+P92*P64+Q92*Q64+R92*R64+S92*S64+T92*T64+U92*U64+V92*V64+W92*W64+X92*X64+Y92*Y64+Z92*Z64+AA92*AA64+AB92*AB64+AC92*AC64+AD92*AD64+AE92*AE64+AF92*AF64+AG92*AG64+AH92*AH64+AI92*AI64+AJ92*AJ64+AK92*AK64+AL92*AL64+AM92*AM64+AN92*AN64+AO92*AO64+AP92*AP64+AQ92*AQ64+AR92*AR64</f>
        <v>0</v>
      </c>
      <c r="AY64" s="664">
        <f>E93*E64+F93*F64+G93*G64+H93*H64+I93*I64+J93*J64+K93*K64+L93*L64+M93*M64+N93*N64+O93*O64+P93*P64+Q93*Q64+R93*R64+S93*S64+T93*T64+U93*U64+V93*V64+W93*W64+X93*X64+Y93*Y64+Z93*Z64+AA93*AA64+AB93*AB64+AC93*AC64+AD93*AD64+AE93*AE64+AF93*AF64+AG93*AG64+AH93*AH64+AI93*AI64+AJ93*AJ64+AK93*AK64+AL93*AL64+AM93*AM64+AN93*AN64+AO93*AO64+AP93*AP64+AQ93*AQ64+AR93*AR64</f>
        <v>0</v>
      </c>
      <c r="AZ64" s="664">
        <f>E94*E64+F94*F64+G94*G64+H94*H64+I94*I64+J94*J64+K94*K64+L94*L64+M94*M64+N94*N64+O94*O64+P94*P64+Q94*Q64+R94*R64+S94*S64+T94*T64+U94*U64+V94*V64+W94*W64+X94*X64+Y94*Y64+Z94*Z64+AA94*AA64+AB94*AB64+AC94*AC64+AD94*AD64+AE94*AE64+AF94*AF64+AG94*AG64+AH94*AH64+AI94*AI64+AJ94*AJ64+AK94*AK64+AL94*AL64+AM94*AM64+AN94*AN64+AO94*AO64+AP94*AP64+AQ94*AQ64+AR94*AR64</f>
        <v>0</v>
      </c>
    </row>
    <row r="65" spans="2:52" ht="18" x14ac:dyDescent="0.35">
      <c r="B65" s="363">
        <v>14</v>
      </c>
      <c r="C65" s="695" t="s">
        <v>228</v>
      </c>
      <c r="D65" s="696" t="s">
        <v>295</v>
      </c>
      <c r="E65" s="1169">
        <f>1</f>
        <v>1</v>
      </c>
      <c r="F65" s="1169">
        <f>-1</f>
        <v>-1</v>
      </c>
      <c r="G65" s="1169">
        <f>0</f>
        <v>0</v>
      </c>
      <c r="H65" s="1169">
        <f>0</f>
        <v>0</v>
      </c>
      <c r="I65" s="1169">
        <f>0</f>
        <v>0</v>
      </c>
      <c r="J65" s="1169">
        <f>0</f>
        <v>0</v>
      </c>
      <c r="K65" s="1169">
        <f>0</f>
        <v>0</v>
      </c>
      <c r="L65" s="1169">
        <f>0</f>
        <v>0</v>
      </c>
      <c r="M65" s="1169">
        <f>0</f>
        <v>0</v>
      </c>
      <c r="N65" s="1169">
        <f>0</f>
        <v>0</v>
      </c>
      <c r="O65" s="1169">
        <f>0</f>
        <v>0</v>
      </c>
      <c r="P65" s="1169">
        <f>0</f>
        <v>0</v>
      </c>
      <c r="Q65" s="1169">
        <f>0</f>
        <v>0</v>
      </c>
      <c r="R65" s="1178">
        <f>X_N_B/X_B</f>
        <v>0.08</v>
      </c>
      <c r="S65" s="1178">
        <f>-X_N_B/X_B</f>
        <v>-0.08</v>
      </c>
      <c r="T65" s="1178">
        <f>X_P_B/X_B</f>
        <v>4.0000000000000001E-3</v>
      </c>
      <c r="U65" s="1178">
        <f>-X_P_B/X_B</f>
        <v>-4.0000000000000001E-3</v>
      </c>
      <c r="V65" s="1169">
        <f>0</f>
        <v>0</v>
      </c>
      <c r="W65" s="1169">
        <f>0</f>
        <v>0</v>
      </c>
      <c r="X65" s="1169">
        <f>0</f>
        <v>0</v>
      </c>
      <c r="Y65" s="1169">
        <f>0</f>
        <v>0</v>
      </c>
      <c r="Z65" s="1178">
        <f>X_P_B/X_B*C_HPO4</f>
        <v>-1.9371234147332609E-7</v>
      </c>
      <c r="AA65" s="1169">
        <f>0</f>
        <v>0</v>
      </c>
      <c r="AB65" s="1169">
        <f>0</f>
        <v>0</v>
      </c>
      <c r="AC65" s="1169">
        <f>0</f>
        <v>0</v>
      </c>
      <c r="AD65" s="1169">
        <f>0</f>
        <v>0</v>
      </c>
      <c r="AE65" s="1169">
        <f>0</f>
        <v>0</v>
      </c>
      <c r="AF65" s="1169">
        <f>0</f>
        <v>0</v>
      </c>
      <c r="AG65" s="1169">
        <f>0</f>
        <v>0</v>
      </c>
      <c r="AH65" s="1169">
        <f>0</f>
        <v>0</v>
      </c>
      <c r="AI65" s="1169">
        <f>0</f>
        <v>0</v>
      </c>
      <c r="AJ65" s="1169">
        <f>0</f>
        <v>0</v>
      </c>
      <c r="AK65" s="1169">
        <f>0</f>
        <v>0</v>
      </c>
      <c r="AL65" s="1169">
        <f>0</f>
        <v>0</v>
      </c>
      <c r="AM65" s="1169">
        <f>0</f>
        <v>0</v>
      </c>
      <c r="AN65" s="1169">
        <f>0</f>
        <v>0</v>
      </c>
      <c r="AO65" s="1169">
        <f>0</f>
        <v>0</v>
      </c>
      <c r="AP65" s="1169">
        <f>0</f>
        <v>0</v>
      </c>
      <c r="AQ65" s="1169">
        <f>0</f>
        <v>0</v>
      </c>
      <c r="AR65" s="1169">
        <f>0</f>
        <v>0</v>
      </c>
      <c r="AS65" s="1200">
        <f>q_HYD_T*X_HET*(L_ogsatXHET_HYD_lim*M_RsatXB_XHET_KHYD+L_oginhXHET_HYD_lim*M_satXB_KXB_HYD)*(M_satSO2_KO2_OHO+η_b_anox*M_satSNOx_KNOx_OHO*M_inhSO2_KO2_OHO)*M_satSALK_KALK</f>
        <v>542.83513563341398</v>
      </c>
      <c r="AU65" s="664">
        <f>E89*E65+F89*F65+G89*G65+H89*H65+I89*I65+J89*J65+K89*K65+L89*L65+M89*M65+N89*N65+O89*O65+P89*P65+Q89*Q65+R89*R65+S89*S65+T89*T65+U89*U65+V89*V65+W89*W65+X89*X65+Y89*Y65+Z89*Z65+AA89*AA65+AB89*AB65+AC89*AC65+AD89*AD65+AE89*AE65+AF89*AF65+AG89*AG65+AH89*AH65+AI89*AI65+AJ89*AJ65+AK89*AK65+AL89*AL65+AM89*AM65+AN89*AN65+AO89*AO65+AP89*AP65+AQ89*AQ65+AR89*AR65</f>
        <v>0</v>
      </c>
      <c r="AV65" s="664">
        <f>E90*E65+F90*F65+G90*G65+H90*H65+I90*I65+J90*J65+K90*K65+L90*L65+M90*M65+N90*N65+O90*O65+P90*P65+Q90*Q65+R90*R65+S90*S65+T90*T65+U90*U65+V90*V65+W90*W65+X90*X65+Y90*Y65+Z90*Z65+AA90*AA65+AB90*AB65+AC90*AC65+AD90*AD65+AE90*AE65+AF90*AF65+AG90*AG65+AH90*AH65+AI90*AI65+AJ90*AJ65+AK90*AK65+AL90*AL65+AM90*AM65+AN90*AN65+AO90*AO65+AP90*AP65+AQ90*AQ65+AR90*AR65</f>
        <v>0</v>
      </c>
      <c r="AW65" s="665">
        <f>E91*E65+F91*F65+G91*G65+H91*H65+I91*I65+J91*J65+K91*K65+L91*L65+M91*M65+N91*N65+O91*O65+P91*P65+Q91*Q65+R91*R65+S91*S65+T91*T65+U91*U65+V91*V65+W91*W65+X91*X65+Y91*Y65+Z91*Z65+AA91*AA65+AB91*AB65+AC91*AC65+AD91*AD65+AE91*AE65+AF91*AF65+AG91*AG65+AH91*AH65+AI91*AI65+AJ91*AJ65+AK91*AK65+AL91*AL65+AM91*AM65+AN91*AN65+AO91*AO65+AP91*AP65+AQ91*AQ65+AR91*AR65</f>
        <v>0</v>
      </c>
      <c r="AX65" s="664">
        <f>E92*E65+F92*F65+G92*G65+H92*H65+I92*I65+J92*J65+K92*K65+L92*L65+M92*M65+N92*N65+O92*O65+P92*P65+Q92*Q65+R92*R65+S92*S65+T92*T65+U92*U65+V92*V65+W92*W65+X92*X65+Y92*Y65+Z92*Z65+AA92*AA65+AB92*AB65+AC92*AC65+AD92*AD65+AE92*AE65+AF92*AF65+AG92*AG65+AH92*AH65+AI92*AI65+AJ92*AJ65+AK92*AK65+AL92*AL65+AM92*AM65+AN92*AN65+AO92*AO65+AP92*AP65+AQ92*AQ65+AR92*AR65</f>
        <v>0</v>
      </c>
      <c r="AY65" s="664">
        <f>E93*E65+F93*F65+G93*G65+H93*H65+I93*I65+J93*J65+K93*K65+L93*L65+M93*M65+N93*N65+O93*O65+P93*P65+Q93*Q65+R93*R65+S93*S65+T93*T65+U93*U65+V93*V65+W93*W65+X93*X65+Y93*Y65+Z93*Z65+AA93*AA65+AB93*AB65+AC93*AC65+AD93*AD65+AE93*AE65+AF93*AF65+AG93*AG65+AH93*AH65+AI93*AI65+AJ93*AJ65+AK93*AK65+AL93*AL65+AM93*AM65+AN93*AN65+AO93*AO65+AP93*AP65+AQ93*AQ65+AR93*AR65</f>
        <v>0</v>
      </c>
      <c r="AZ65" s="664">
        <f>E94*E65+F94*F65+G94*G65+H94*H65+I94*I65+J94*J65+K94*K65+L94*L65+M94*M65+N94*N65+O94*O65+P94*P65+Q94*Q65+R94*R65+S94*S65+T94*T65+U94*U65+V94*V65+W94*W65+X94*X65+Y94*Y65+Z94*Z65+AA94*AA65+AB94*AB65+AC94*AC65+AD94*AD65+AE94*AE65+AF94*AF65+AG94*AG65+AH94*AH65+AI94*AI65+AJ94*AJ65+AK94*AK65+AL94*AL65+AM94*AM65+AN94*AN65+AO94*AO65+AP94*AP65+AQ94*AQ65+AR94*AR65</f>
        <v>0</v>
      </c>
    </row>
    <row r="66" spans="2:52" ht="18" x14ac:dyDescent="0.35">
      <c r="B66" s="363">
        <v>15</v>
      </c>
      <c r="C66" s="695" t="s">
        <v>348</v>
      </c>
      <c r="D66" s="696" t="s">
        <v>1278</v>
      </c>
      <c r="E66" s="1169">
        <f>1-f_H2</f>
        <v>0.75</v>
      </c>
      <c r="F66" s="1169">
        <f>-1</f>
        <v>-1</v>
      </c>
      <c r="G66" s="1169">
        <f>0</f>
        <v>0</v>
      </c>
      <c r="H66" s="1169">
        <f>0</f>
        <v>0</v>
      </c>
      <c r="I66" s="1169">
        <f>0</f>
        <v>0</v>
      </c>
      <c r="J66" s="1169">
        <f>0</f>
        <v>0</v>
      </c>
      <c r="K66" s="1169">
        <f>0</f>
        <v>0</v>
      </c>
      <c r="L66" s="1169">
        <f>0</f>
        <v>0</v>
      </c>
      <c r="M66" s="1169">
        <f>0</f>
        <v>0</v>
      </c>
      <c r="N66" s="1169">
        <f>0</f>
        <v>0</v>
      </c>
      <c r="O66" s="1169">
        <f>0</f>
        <v>0</v>
      </c>
      <c r="P66" s="1169">
        <f>0</f>
        <v>0</v>
      </c>
      <c r="Q66" s="1169">
        <f>0</f>
        <v>0</v>
      </c>
      <c r="R66" s="1178">
        <f>X_N_B/X_B</f>
        <v>0.08</v>
      </c>
      <c r="S66" s="1178">
        <f>-X_N_B/X_B</f>
        <v>-0.08</v>
      </c>
      <c r="T66" s="1178">
        <f>X_P_B/X_B</f>
        <v>4.0000000000000001E-3</v>
      </c>
      <c r="U66" s="1178">
        <f>-X_P_B/X_B</f>
        <v>-4.0000000000000001E-3</v>
      </c>
      <c r="V66" s="1169">
        <f>0</f>
        <v>0</v>
      </c>
      <c r="W66" s="1169">
        <f>0</f>
        <v>0</v>
      </c>
      <c r="X66" s="1169">
        <f>f_H2</f>
        <v>0.25</v>
      </c>
      <c r="Y66" s="1169">
        <f>0</f>
        <v>0</v>
      </c>
      <c r="Z66" s="1178">
        <f>X_P_B/X_B*C_HPO4</f>
        <v>-1.9371234147332609E-7</v>
      </c>
      <c r="AA66" s="1169">
        <f>0</f>
        <v>0</v>
      </c>
      <c r="AB66" s="1169">
        <f>0</f>
        <v>0</v>
      </c>
      <c r="AC66" s="1169">
        <f>0</f>
        <v>0</v>
      </c>
      <c r="AD66" s="1169">
        <f>0</f>
        <v>0</v>
      </c>
      <c r="AE66" s="1169">
        <f>0</f>
        <v>0</v>
      </c>
      <c r="AF66" s="1169">
        <f>0</f>
        <v>0</v>
      </c>
      <c r="AG66" s="1169">
        <f>0</f>
        <v>0</v>
      </c>
      <c r="AH66" s="1169">
        <f>0</f>
        <v>0</v>
      </c>
      <c r="AI66" s="1169">
        <f>0</f>
        <v>0</v>
      </c>
      <c r="AJ66" s="1169">
        <f>0</f>
        <v>0</v>
      </c>
      <c r="AK66" s="1169">
        <f>0</f>
        <v>0</v>
      </c>
      <c r="AL66" s="1169">
        <f>0</f>
        <v>0</v>
      </c>
      <c r="AM66" s="1169">
        <f>0</f>
        <v>0</v>
      </c>
      <c r="AN66" s="1169">
        <f>0</f>
        <v>0</v>
      </c>
      <c r="AO66" s="1169">
        <f>0</f>
        <v>0</v>
      </c>
      <c r="AP66" s="1169">
        <f>0</f>
        <v>0</v>
      </c>
      <c r="AQ66" s="1169">
        <f>0</f>
        <v>0</v>
      </c>
      <c r="AR66" s="1169">
        <f>0</f>
        <v>0</v>
      </c>
      <c r="AS66" s="1200">
        <f>q_HYD_T*X_HET*(L_ogsatXHET_HYD_lim*M_RsatXB_XHET_KHYD+L_oginhXHET_HYD_lim*M_satXB_KXB_HYD)*η_b_ana*M_inhSNOx_KNOx_OHO*M_inhSO2_KO2_OHO*M_satSALK_KALK</f>
        <v>3.9165594201545015E-2</v>
      </c>
      <c r="AU66" s="664">
        <f>E89*E66+F89*F66+G89*G66+H89*H66+I89*I66+J89*J66+K89*K66+L89*L66+M89*M66+N89*N66+O89*O66+P89*P66+Q89*Q66+R89*R66+S89*S66+T89*T66+U89*U66+V89*V66+W89*W66+X89*X66+Y89*Y66+Z89*Z66+AA89*AA66+AB89*AB66+AC89*AC66+AD89*AD66+AE89*AE66+AF89*AF66+AG89*AG66+AH89*AH66+AI89*AI66+AJ89*AJ66+AK89*AK66+AL89*AL66+AM89*AM66+AN89*AN66+AO89*AO66+AP89*AP66+AQ89*AQ66+AR89*AR66</f>
        <v>0</v>
      </c>
      <c r="AV66" s="664">
        <f>E90*E66+F90*F66+G90*G66+H90*H66+I90*I66+J90*J66+K90*K66+L90*L66+M90*M66+N90*N66+O90*O66+P90*P66+Q90*Q66+R90*R66+S90*S66+T90*T66+U90*U66+V90*V66+W90*W66+X90*X66+Y90*Y66+Z90*Z66+AA90*AA66+AB90*AB66+AC90*AC66+AD90*AD66+AE90*AE66+AF90*AF66+AG90*AG66+AH90*AH66+AI90*AI66+AJ90*AJ66+AK90*AK66+AL90*AL66+AM90*AM66+AN90*AN66+AO90*AO66+AP90*AP66+AQ90*AQ66+AR90*AR66</f>
        <v>0</v>
      </c>
      <c r="AW66" s="665">
        <f>E91*E66+F91*F66+G91*G66+H91*H66+I91*I66+J91*J66+K91*K66+L91*L66+M91*M66+N91*N66+O91*O66+P91*P66+Q91*Q66+R91*R66+S91*S66+T91*T66+U91*U66+V91*V66+W91*W66+X91*X66+Y91*Y66+Z91*Z66+AA91*AA66+AB91*AB66+AC91*AC66+AD91*AD66+AE91*AE66+AF91*AF66+AG91*AG66+AH91*AH66+AI91*AI66+AJ91*AJ66+AK91*AK66+AL91*AL66+AM91*AM66+AN91*AN66+AO91*AO66+AP91*AP66+AQ91*AQ66+AR91*AR66</f>
        <v>0</v>
      </c>
      <c r="AX66" s="664">
        <f>E92*E66+F92*F66+G92*G66+H92*H66+I92*I66+J92*J66+K92*K66+L92*L66+M92*M66+N92*N66+O92*O66+P92*P66+Q92*Q66+R92*R66+S92*S66+T92*T66+U92*U66+V92*V66+W92*W66+X92*X66+Y92*Y66+Z92*Z66+AA92*AA66+AB92*AB66+AC92*AC66+AD92*AD66+AE92*AE66+AF92*AF66+AG92*AG66+AH92*AH66+AI92*AI66+AJ92*AJ66+AK92*AK66+AL92*AL66+AM92*AM66+AN92*AN66+AO92*AO66+AP92*AP66+AQ92*AQ66+AR92*AR66</f>
        <v>0</v>
      </c>
      <c r="AY66" s="664">
        <f>E93*E66+F93*F66+G93*G66+H93*H66+I93*I66+J93*J66+K93*K66+L93*L66+M93*M66+N93*N66+O93*O66+P93*P66+Q93*Q66+R93*R66+S93*S66+T93*T66+U93*U66+V93*V66+W93*W66+X93*X66+Y93*Y66+Z93*Z66+AA93*AA66+AB93*AB66+AC93*AC66+AD93*AD66+AE93*AE66+AF93*AF66+AG93*AG66+AH93*AH66+AI93*AI66+AJ93*AJ66+AK93*AK66+AL93*AL66+AM93*AM66+AN93*AN66+AO93*AO66+AP93*AP66+AQ93*AQ66+AR93*AR66</f>
        <v>0</v>
      </c>
      <c r="AZ66" s="664">
        <f>E94*E66+F94*F66+G94*G66+H94*H66+I94*I66+J94*J66+K94*K66+L94*L66+M94*M66+N94*N66+O94*O66+P94*P66+Q94*Q66+R94*R66+S94*S66+T94*T66+U94*U66+V94*V66+W94*W66+X94*X66+Y94*Y66+Z94*Z66+AA94*AA66+AB94*AB66+AC94*AC66+AD94*AD66+AE94*AE66+AF94*AF66+AG94*AG66+AH94*AH66+AI94*AI66+AJ94*AJ66+AK94*AK66+AL94*AL66+AM94*AM66+AN94*AN66+AO94*AO66+AP94*AP66+AQ94*AQ66+AR94*AR66</f>
        <v>0</v>
      </c>
    </row>
    <row r="67" spans="2:52" ht="18" x14ac:dyDescent="0.35">
      <c r="B67" s="363">
        <v>16</v>
      </c>
      <c r="C67" s="695" t="s">
        <v>349</v>
      </c>
      <c r="D67" s="696" t="s">
        <v>229</v>
      </c>
      <c r="E67" s="1169">
        <f>0</f>
        <v>0</v>
      </c>
      <c r="F67" s="1169">
        <f>0</f>
        <v>0</v>
      </c>
      <c r="G67" s="1169">
        <f>0</f>
        <v>0</v>
      </c>
      <c r="H67" s="1169">
        <f>0</f>
        <v>0</v>
      </c>
      <c r="I67" s="1169">
        <f>0</f>
        <v>0</v>
      </c>
      <c r="J67" s="1169">
        <f>0</f>
        <v>0</v>
      </c>
      <c r="K67" s="1169">
        <f>0</f>
        <v>0</v>
      </c>
      <c r="L67" s="1169">
        <f>0</f>
        <v>0</v>
      </c>
      <c r="M67" s="1169">
        <f>0</f>
        <v>0</v>
      </c>
      <c r="N67" s="1169">
        <f>0</f>
        <v>0</v>
      </c>
      <c r="O67" s="1169">
        <f>1</f>
        <v>1</v>
      </c>
      <c r="P67" s="1169">
        <f>0</f>
        <v>0</v>
      </c>
      <c r="Q67" s="1169">
        <f>0</f>
        <v>0</v>
      </c>
      <c r="R67" s="1169">
        <f>-1</f>
        <v>-1</v>
      </c>
      <c r="S67" s="1169">
        <f>0</f>
        <v>0</v>
      </c>
      <c r="T67" s="1169">
        <f>0</f>
        <v>0</v>
      </c>
      <c r="U67" s="1169">
        <f>0</f>
        <v>0</v>
      </c>
      <c r="V67" s="1169">
        <f>0</f>
        <v>0</v>
      </c>
      <c r="W67" s="1169">
        <f>0</f>
        <v>0</v>
      </c>
      <c r="X67" s="1169">
        <f>0</f>
        <v>0</v>
      </c>
      <c r="Y67" s="1169">
        <f>0</f>
        <v>0</v>
      </c>
      <c r="Z67" s="1169">
        <f>C_HNHx</f>
        <v>7.1394404106606116E-5</v>
      </c>
      <c r="AA67" s="1169">
        <f>0</f>
        <v>0</v>
      </c>
      <c r="AB67" s="1169">
        <f>0</f>
        <v>0</v>
      </c>
      <c r="AC67" s="1169">
        <f>0</f>
        <v>0</v>
      </c>
      <c r="AD67" s="1169">
        <f>0</f>
        <v>0</v>
      </c>
      <c r="AE67" s="1169">
        <f>0</f>
        <v>0</v>
      </c>
      <c r="AF67" s="1169">
        <f>0</f>
        <v>0</v>
      </c>
      <c r="AG67" s="1169">
        <f>0</f>
        <v>0</v>
      </c>
      <c r="AH67" s="1169">
        <f>0</f>
        <v>0</v>
      </c>
      <c r="AI67" s="1169">
        <f>0</f>
        <v>0</v>
      </c>
      <c r="AJ67" s="1169">
        <f>0</f>
        <v>0</v>
      </c>
      <c r="AK67" s="1169">
        <f>0</f>
        <v>0</v>
      </c>
      <c r="AL67" s="1169">
        <f>0</f>
        <v>0</v>
      </c>
      <c r="AM67" s="1169">
        <f>0</f>
        <v>0</v>
      </c>
      <c r="AN67" s="1169">
        <f>0</f>
        <v>0</v>
      </c>
      <c r="AO67" s="1169">
        <f>0</f>
        <v>0</v>
      </c>
      <c r="AP67" s="1169">
        <f>0</f>
        <v>0</v>
      </c>
      <c r="AQ67" s="1169">
        <f>0</f>
        <v>0</v>
      </c>
      <c r="AR67" s="1169">
        <f>0</f>
        <v>0</v>
      </c>
      <c r="AS67" s="1200">
        <f>q_AMMON_T*S_N_B*X_HET</f>
        <v>15</v>
      </c>
      <c r="AU67" s="664">
        <f>E89*E67+F89*F67+G89*G67+H89*H67+I89*I67+J89*J67+K89*K67+L89*L67+M89*M67+N89*N67+O89*O67+P89*P67+Q89*Q67+R89*R67+S89*S67+T89*T67+U89*U67+V89*V67+W89*W67+X89*X67+Y89*Y67+Z89*Z67+AA89*AA67+AB89*AB67+AC89*AC67+AD89*AD67+AE89*AE67+AF89*AF67+AG89*AG67+AH89*AH67+AI89*AI67+AJ89*AJ67+AK89*AK67+AL89*AL67+AM89*AM67+AN89*AN67+AO89*AO67+AP89*AP67+AQ89*AQ67+AR89*AR67</f>
        <v>0</v>
      </c>
      <c r="AV67" s="664">
        <f>E90*E67+F90*F67+G90*G67+H90*H67+I90*I67+J90*J67+K90*K67+L90*L67+M90*M67+N90*N67+O90*O67+P90*P67+Q90*Q67+R90*R67+S90*S67+T90*T67+U90*U67+V90*V67+W90*W67+X90*X67+Y90*Y67+Z90*Z67+AA90*AA67+AB90*AB67+AC90*AC67+AD90*AD67+AE90*AE67+AF90*AF67+AG90*AG67+AH90*AH67+AI90*AI67+AJ90*AJ67+AK90*AK67+AL90*AL67+AM90*AM67+AN90*AN67+AO90*AO67+AP90*AP67+AQ90*AQ67+AR90*AR67</f>
        <v>0</v>
      </c>
      <c r="AW67" s="665">
        <f>E91*E67+F91*F67+G91*G67+H91*H67+I91*I67+J91*J67+K91*K67+L91*L67+M91*M67+N91*N67+O91*O67+P91*P67+Q91*Q67+R91*R67+S91*S67+T91*T67+U91*U67+V91*V67+W91*W67+X91*X67+Y91*Y67+Z91*Z67+AA91*AA67+AB91*AB67+AC91*AC67+AD91*AD67+AE91*AE67+AF91*AF67+AG91*AG67+AH91*AH67+AI91*AI67+AJ91*AJ67+AK91*AK67+AL91*AL67+AM91*AM67+AN91*AN67+AO91*AO67+AP91*AP67+AQ91*AQ67+AR91*AR67</f>
        <v>0</v>
      </c>
      <c r="AX67" s="664">
        <f>E92*E67+F92*F67+G92*G67+H92*H67+I92*I67+J92*J67+K92*K67+L92*L67+M92*M67+N92*N67+O92*O67+P92*P67+Q92*Q67+R92*R67+S92*S67+T92*T67+U92*U67+V92*V67+W92*W67+X92*X67+Y92*Y67+Z92*Z67+AA92*AA67+AB92*AB67+AC92*AC67+AD92*AD67+AE92*AE67+AF92*AF67+AG92*AG67+AH92*AH67+AI92*AI67+AJ92*AJ67+AK92*AK67+AL92*AL67+AM92*AM67+AN92*AN67+AO92*AO67+AP92*AP67+AQ92*AQ67+AR92*AR67</f>
        <v>0</v>
      </c>
      <c r="AY67" s="664">
        <f>E93*E67+F93*F67+G93*G67+H93*H67+I93*I67+J93*J67+K93*K67+L93*L67+M93*M67+N93*N67+O93*O67+P93*P67+Q93*Q67+R93*R67+S93*S67+T93*T67+U93*U67+V93*V67+W93*W67+X93*X67+Y93*Y67+Z93*Z67+AA93*AA67+AB93*AB67+AC93*AC67+AD93*AD67+AE93*AE67+AF93*AF67+AG93*AG67+AH93*AH67+AI93*AI67+AJ93*AJ67+AK93*AK67+AL93*AL67+AM93*AM67+AN93*AN67+AO93*AO67+AP93*AP67+AQ93*AQ67+AR93*AR67</f>
        <v>0</v>
      </c>
      <c r="AZ67" s="664">
        <f>E94*E67+F94*F67+G94*G67+H94*H67+I94*I67+J94*J67+K94*K67+L94*L67+M94*M67+N94*N67+O94*O67+P94*P67+Q94*Q67+R94*R67+S94*S67+T94*T67+U94*U67+V94*V67+W94*W67+X94*X67+Y94*Y67+Z94*Z67+AA94*AA67+AB94*AB67+AC94*AC67+AD94*AD67+AE94*AE67+AF94*AF67+AG94*AG67+AH94*AH67+AI94*AI67+AJ94*AJ67+AK94*AK67+AL94*AL67+AM94*AM67+AN94*AN67+AO94*AO67+AP94*AP67+AQ94*AQ67+AR94*AR67</f>
        <v>0</v>
      </c>
    </row>
    <row r="68" spans="2:52" ht="18" x14ac:dyDescent="0.25">
      <c r="B68" s="363">
        <v>17</v>
      </c>
      <c r="C68" s="695" t="s">
        <v>350</v>
      </c>
      <c r="D68" s="696" t="s">
        <v>2298</v>
      </c>
      <c r="E68" s="1169">
        <f>0</f>
        <v>0</v>
      </c>
      <c r="F68" s="1169">
        <f>1</f>
        <v>1</v>
      </c>
      <c r="G68" s="1169">
        <f>0</f>
        <v>0</v>
      </c>
      <c r="H68" s="1169">
        <f>0</f>
        <v>0</v>
      </c>
      <c r="I68" s="1169">
        <f>-1</f>
        <v>-1</v>
      </c>
      <c r="J68" s="1169">
        <f>0</f>
        <v>0</v>
      </c>
      <c r="K68" s="1169">
        <f>0</f>
        <v>0</v>
      </c>
      <c r="L68" s="1169">
        <f>0</f>
        <v>0</v>
      </c>
      <c r="M68" s="1169">
        <f>0</f>
        <v>0</v>
      </c>
      <c r="N68" s="1169">
        <f>0</f>
        <v>0</v>
      </c>
      <c r="O68" s="1169">
        <f>0</f>
        <v>0</v>
      </c>
      <c r="P68" s="1169">
        <f>0</f>
        <v>0</v>
      </c>
      <c r="Q68" s="1169">
        <f>0</f>
        <v>0</v>
      </c>
      <c r="R68" s="1169">
        <f>0</f>
        <v>0</v>
      </c>
      <c r="S68" s="1189">
        <f>i_N_XE</f>
        <v>0.06</v>
      </c>
      <c r="T68" s="1169">
        <f>0</f>
        <v>0</v>
      </c>
      <c r="U68" s="1189">
        <f>i_P_BIO</f>
        <v>0.02</v>
      </c>
      <c r="V68" s="1169">
        <f>0</f>
        <v>0</v>
      </c>
      <c r="W68" s="1169">
        <f>0</f>
        <v>0</v>
      </c>
      <c r="X68" s="1169">
        <f>0</f>
        <v>0</v>
      </c>
      <c r="Y68" s="1169">
        <f>0</f>
        <v>0</v>
      </c>
      <c r="Z68" s="1169">
        <f>0</f>
        <v>0</v>
      </c>
      <c r="AA68" s="1169">
        <f>0</f>
        <v>0</v>
      </c>
      <c r="AB68" s="1169">
        <f>0</f>
        <v>0</v>
      </c>
      <c r="AC68" s="1169">
        <f>0</f>
        <v>0</v>
      </c>
      <c r="AD68" s="1169">
        <f>0</f>
        <v>0</v>
      </c>
      <c r="AE68" s="1169">
        <f>0</f>
        <v>0</v>
      </c>
      <c r="AF68" s="1169">
        <f>0</f>
        <v>0</v>
      </c>
      <c r="AG68" s="1169">
        <f>0</f>
        <v>0</v>
      </c>
      <c r="AH68" s="1169">
        <f>0</f>
        <v>0</v>
      </c>
      <c r="AI68" s="1169">
        <f>0</f>
        <v>0</v>
      </c>
      <c r="AJ68" s="1169">
        <f>0</f>
        <v>0</v>
      </c>
      <c r="AK68" s="1169">
        <f>0</f>
        <v>0</v>
      </c>
      <c r="AL68" s="1169">
        <f>0</f>
        <v>0</v>
      </c>
      <c r="AM68" s="1169">
        <f>0</f>
        <v>0</v>
      </c>
      <c r="AN68" s="1169">
        <f>0</f>
        <v>0</v>
      </c>
      <c r="AO68" s="1169">
        <f>0</f>
        <v>0</v>
      </c>
      <c r="AP68" s="1169">
        <f>0</f>
        <v>0</v>
      </c>
      <c r="AQ68" s="1169">
        <f>0</f>
        <v>0</v>
      </c>
      <c r="AR68" s="1169">
        <f>0</f>
        <v>0</v>
      </c>
      <c r="AS68" s="1201">
        <f>q_XE_T*X_E</f>
        <v>3.5</v>
      </c>
      <c r="AU68" s="664">
        <f>E89*E68+F89*F68+G89*G68+H89*H68+I89*I68+J89*J68+K89*K68+L89*L68+M89*M68+N89*N68+O89*O68+P89*P68+Q89*Q68+R89*R68+S89*S68+T89*T68+U89*U68+V89*V68+W89*W68+X89*X68+Y89*Y68+Z89*Z68+AA89*AA68+AB89*AB68+AC89*AC68+AD89*AD68+AE89*AE68+AF89*AF68+AG89*AG68+AH89*AH68+AI89*AI68+AJ89*AJ68+AK89*AK68+AL89*AL68+AM89*AM68+AN89*AN68+AO89*AO68+AP89*AP68+AQ89*AQ68+AR89*AR68</f>
        <v>0</v>
      </c>
      <c r="AV68" s="664">
        <f>E90*E68+F90*F68+G90*G68+H90*H68+I90*I68+J90*J68+K90*K68+L90*L68+M90*M68+N90*N68+O90*O68+P90*P68+Q90*Q68+R90*R68+S90*S68+T90*T68+U90*U68+V90*V68+W90*W68+X90*X68+Y90*Y68+Z90*Z68+AA90*AA68+AB90*AB68+AC90*AC68+AD90*AD68+AE90*AE68+AF90*AF68+AG90*AG68+AH90*AH68+AI90*AI68+AJ90*AJ68+AK90*AK68+AL90*AL68+AM90*AM68+AN90*AN68+AO90*AO68+AP90*AP68+AQ90*AQ68+AR90*AR68</f>
        <v>0</v>
      </c>
      <c r="AW68" s="665">
        <f>E91*E68+F91*F68+G91*G68+H91*H68+I91*I68+J91*J68+K91*K68+L91*L68+M91*M68+N91*N68+O91*O68+P91*P68+Q91*Q68+R91*R68+S91*S68+T91*T68+U91*U68+V91*V68+W91*W68+X91*X68+Y91*Y68+Z91*Z68+AA91*AA68+AB91*AB68+AC91*AC68+AD91*AD68+AE91*AE68+AF91*AF68+AG91*AG68+AH91*AH68+AI91*AI68+AJ91*AJ68+AK91*AK68+AL91*AL68+AM91*AM68+AN91*AN68+AO91*AO68+AP91*AP68+AQ91*AQ68+AR91*AR68</f>
        <v>0</v>
      </c>
      <c r="AX68" s="664">
        <f>E92*E68+F92*F68+G92*G68+H92*H68+I92*I68+J92*J68+K92*K68+L92*L68+M92*M68+N92*N68+O92*O68+P92*P68+Q92*Q68+R92*R68+S92*S68+T92*T68+U92*U68+V92*V68+W92*W68+X92*X68+Y92*Y68+Z92*Z68+AA92*AA68+AB92*AB68+AC92*AC68+AD92*AD68+AE92*AE68+AF92*AF68+AG92*AG68+AH92*AH68+AI92*AI68+AJ92*AJ68+AK92*AK68+AL92*AL68+AM92*AM68+AN92*AN68+AO92*AO68+AP92*AP68+AQ92*AQ68+AR92*AR68</f>
        <v>0</v>
      </c>
      <c r="AY68" s="664">
        <f>E93*E68+F93*F68+G93*G68+H93*H68+I93*I68+J93*J68+K93*K68+L93*L68+M93*M68+N93*N68+O93*O68+P93*P68+Q93*Q68+R93*R68+S93*S68+T93*T68+U93*U68+V93*V68+W93*W68+X93*X68+Y93*Y68+Z93*Z68+AA93*AA68+AB93*AB68+AC93*AC68+AD93*AD68+AE93*AE68+AF93*AF68+AG93*AG68+AH93*AH68+AI93*AI68+AJ93*AJ68+AK93*AK68+AL93*AL68+AM93*AM68+AN93*AN68+AO93*AO68+AP93*AP68+AQ93*AQ68+AR93*AR68</f>
        <v>0</v>
      </c>
      <c r="AZ68" s="664">
        <f>E94*E68+F94*F68+G94*G68+H94*H68+I94*I68+J94*J68+K94*K68+L94*L68+M94*M68+N94*N68+O94*O68+P94*P68+Q94*Q68+R94*R68+S94*S68+T94*T68+U94*U68+V94*V68+W94*W68+X94*X68+Y94*Y68+Z94*Z68+AA94*AA68+AB94*AB68+AC94*AC68+AD94*AD68+AE94*AE68+AF94*AF68+AG94*AG68+AH94*AH68+AI94*AI68+AJ94*AJ68+AK94*AK68+AL94*AL68+AM94*AM68+AN94*AN68+AO94*AO68+AP94*AP68+AQ94*AQ68+AR94*AR68</f>
        <v>0</v>
      </c>
    </row>
    <row r="69" spans="2:52" ht="18" x14ac:dyDescent="0.25">
      <c r="B69" s="437">
        <v>18</v>
      </c>
      <c r="C69" s="720" t="s">
        <v>734</v>
      </c>
      <c r="D69" s="696" t="s">
        <v>2299</v>
      </c>
      <c r="E69" s="1169">
        <f>0</f>
        <v>0</v>
      </c>
      <c r="F69" s="1169">
        <f>1</f>
        <v>1</v>
      </c>
      <c r="G69" s="1169">
        <f>0</f>
        <v>0</v>
      </c>
      <c r="H69" s="1169">
        <f>-1</f>
        <v>-1</v>
      </c>
      <c r="I69" s="1169">
        <f>0</f>
        <v>0</v>
      </c>
      <c r="J69" s="1169">
        <f>0</f>
        <v>0</v>
      </c>
      <c r="K69" s="1169">
        <f>0</f>
        <v>0</v>
      </c>
      <c r="L69" s="1169">
        <f>0</f>
        <v>0</v>
      </c>
      <c r="M69" s="1169">
        <f>0</f>
        <v>0</v>
      </c>
      <c r="N69" s="1169">
        <f>0</f>
        <v>0</v>
      </c>
      <c r="O69" s="1169">
        <f>0</f>
        <v>0</v>
      </c>
      <c r="P69" s="1169">
        <f>0</f>
        <v>0</v>
      </c>
      <c r="Q69" s="1169">
        <f>0</f>
        <v>0</v>
      </c>
      <c r="R69" s="1169">
        <f>0</f>
        <v>0</v>
      </c>
      <c r="S69" s="1189">
        <f>i_N_XU</f>
        <v>0.01</v>
      </c>
      <c r="T69" s="1169">
        <f>0</f>
        <v>0</v>
      </c>
      <c r="U69" s="1169">
        <f>0</f>
        <v>0</v>
      </c>
      <c r="V69" s="1169">
        <f>0</f>
        <v>0</v>
      </c>
      <c r="W69" s="1169">
        <f>0</f>
        <v>0</v>
      </c>
      <c r="X69" s="1169">
        <f>0</f>
        <v>0</v>
      </c>
      <c r="Y69" s="1169">
        <f>0</f>
        <v>0</v>
      </c>
      <c r="Z69" s="1169">
        <f>0</f>
        <v>0</v>
      </c>
      <c r="AA69" s="1169">
        <f>0</f>
        <v>0</v>
      </c>
      <c r="AB69" s="1169">
        <f>0</f>
        <v>0</v>
      </c>
      <c r="AC69" s="1169">
        <f>0</f>
        <v>0</v>
      </c>
      <c r="AD69" s="1169">
        <f>0</f>
        <v>0</v>
      </c>
      <c r="AE69" s="1169">
        <f>0</f>
        <v>0</v>
      </c>
      <c r="AF69" s="1169">
        <f>0</f>
        <v>0</v>
      </c>
      <c r="AG69" s="1169">
        <f>0</f>
        <v>0</v>
      </c>
      <c r="AH69" s="1169">
        <f>0</f>
        <v>0</v>
      </c>
      <c r="AI69" s="1169">
        <f>0</f>
        <v>0</v>
      </c>
      <c r="AJ69" s="1169">
        <f>0</f>
        <v>0</v>
      </c>
      <c r="AK69" s="1169">
        <f>0</f>
        <v>0</v>
      </c>
      <c r="AL69" s="1169">
        <f>0</f>
        <v>0</v>
      </c>
      <c r="AM69" s="1169">
        <f>0</f>
        <v>0</v>
      </c>
      <c r="AN69" s="1169">
        <f>0</f>
        <v>0</v>
      </c>
      <c r="AO69" s="1169">
        <f>0</f>
        <v>0</v>
      </c>
      <c r="AP69" s="1169">
        <f>0</f>
        <v>0</v>
      </c>
      <c r="AQ69" s="1169">
        <f>0</f>
        <v>0</v>
      </c>
      <c r="AR69" s="1169">
        <f>0</f>
        <v>0</v>
      </c>
      <c r="AS69" s="1201">
        <f>q_XU_T*X_U*M_satXU_KXU</f>
        <v>6.901408450704225E-4</v>
      </c>
      <c r="AU69" s="664">
        <f>E89*E69+F89*F69+G89*G69+H89*H69+I89*I69+J89*J69+K89*K69+L89*L69+M89*M69+N89*N69+O89*O69+P89*P69+Q89*Q69+R89*R69+S89*S69+T89*T69+U89*U69+V89*V69+W89*W69+X89*X69+Y89*Y69+Z89*Z69+AA89*AA69+AB89*AB69+AC89*AC69+AD89*AD69+AE89*AE69+AF89*AF69+AG89*AG69+AH89*AH69+AI89*AI69+AJ89*AJ69+AK89*AK69+AL89*AL69+AM89*AM69+AN89*AN69+AO89*AO69+AP89*AP69+AQ89*AQ69+AR89*AR69</f>
        <v>0</v>
      </c>
      <c r="AV69" s="664">
        <f>E90*E69+F90*F69+G90*G69+H90*H69+I90*I69+J90*J69+K90*K69+L90*L69+M90*M69+N90*N69+O90*O69+P90*P69+Q90*Q69+R90*R69+S90*S69+T90*T69+U90*U69+V90*V69+W90*W69+X90*X69+Y90*Y69+Z90*Z69+AA90*AA69+AB90*AB69+AC90*AC69+AD90*AD69+AE90*AE69+AF90*AF69+AG90*AG69+AH90*AH69+AI90*AI69+AJ90*AJ69+AK90*AK69+AL90*AL69+AM90*AM69+AN90*AN69+AO90*AO69+AP90*AP69+AQ90*AQ69+AR90*AR69</f>
        <v>0</v>
      </c>
      <c r="AW69" s="665">
        <f>E91*E69+F91*F69+G91*G69+H91*H69+I91*I69+J91*J69+K91*K69+L91*L69+M91*M69+N91*N69+O91*O69+P91*P69+Q91*Q69+R91*R69+S91*S69+T91*T69+U91*U69+V91*V69+W91*W69+X91*X69+Y91*Y69+Z91*Z69+AA91*AA69+AB91*AB69+AC91*AC69+AD91*AD69+AE91*AE69+AF91*AF69+AG91*AG69+AH91*AH69+AI91*AI69+AJ91*AJ69+AK91*AK69+AL91*AL69+AM91*AM69+AN91*AN69+AO91*AO69+AP91*AP69+AQ91*AQ69+AR91*AR69</f>
        <v>0</v>
      </c>
      <c r="AX69" s="664">
        <f>E92*E69+F92*F69+G92*G69+H92*H69+I92*I69+J92*J69+K92*K69+L92*L69+M92*M69+N92*N69+O92*O69+P92*P69+Q92*Q69+R92*R69+S92*S69+T92*T69+U92*U69+V92*V69+W92*W69+X92*X69+Y92*Y69+Z92*Z69+AA92*AA69+AB92*AB69+AC92*AC69+AD92*AD69+AE92*AE69+AF92*AF69+AG92*AG69+AH92*AH69+AI92*AI69+AJ92*AJ69+AK92*AK69+AL92*AL69+AM92*AM69+AN92*AN69+AO92*AO69+AP92*AP69+AQ92*AQ69+AR92*AR69</f>
        <v>0</v>
      </c>
      <c r="AY69" s="664">
        <f>E93*E69+F93*F69+G93*G69+H93*H69+I93*I69+J93*J69+K93*K69+L93*L69+M93*M69+N93*N69+O93*O69+P93*P69+Q93*Q69+R93*R69+S93*S69+T93*T69+U93*U69+V93*V69+W93*W69+X93*X69+Y93*Y69+Z93*Z69+AA93*AA69+AB93*AB69+AC93*AC69+AD93*AD69+AE93*AE69+AF93*AF69+AG93*AG69+AH93*AH69+AI93*AI69+AJ93*AJ69+AK93*AK69+AL93*AL69+AM93*AM69+AN93*AN69+AO93*AO69+AP93*AP69+AQ93*AQ69+AR93*AR69</f>
        <v>0</v>
      </c>
      <c r="AZ69" s="664">
        <f>E94*E69+F94*F69+G94*G69+H94*H69+I94*I69+J94*J69+K94*K69+L94*L69+M94*M69+N94*N69+O94*O69+P94*P69+Q94*Q69+R94*R69+S94*S69+T94*T69+U94*U69+V94*V69+W94*W69+X94*X69+Y94*Y69+Z94*Z69+AA94*AA69+AB94*AB69+AC94*AC69+AD94*AD69+AE94*AE69+AF94*AF69+AG94*AG69+AH94*AH69+AI94*AI69+AJ94*AJ69+AK94*AK69+AL94*AL69+AM94*AM69+AN94*AN69+AO94*AO69+AP94*AP69+AQ94*AQ69+AR94*AR69</f>
        <v>0</v>
      </c>
    </row>
    <row r="70" spans="2:52" ht="18" x14ac:dyDescent="0.35">
      <c r="B70" s="363">
        <v>19</v>
      </c>
      <c r="C70" s="695" t="s">
        <v>735</v>
      </c>
      <c r="D70" s="696" t="s">
        <v>1504</v>
      </c>
      <c r="E70" s="1169">
        <f>0</f>
        <v>0</v>
      </c>
      <c r="F70" s="1169">
        <f>0</f>
        <v>0</v>
      </c>
      <c r="G70" s="1169">
        <f>0</f>
        <v>0</v>
      </c>
      <c r="H70" s="1169">
        <f>0</f>
        <v>0</v>
      </c>
      <c r="I70" s="1169">
        <f>0</f>
        <v>0</v>
      </c>
      <c r="J70" s="1177">
        <f>-E_EQNO3*X_OHO/X_BIO</f>
        <v>-3.0460470108352906</v>
      </c>
      <c r="K70" s="1177">
        <f>-E_EQNO3*X_NITO/X_BIO</f>
        <v>-0.30460470108352905</v>
      </c>
      <c r="L70" s="1177">
        <f>-E_EQNO3*X_AMETO/X_BIO</f>
        <v>-0.6092094021670581</v>
      </c>
      <c r="M70" s="1177">
        <f>-E_EQNO3*X_HMETO/X_BIO</f>
        <v>-0.6092094021670581</v>
      </c>
      <c r="N70" s="1177">
        <f>-E_EQNO3*X_ALGAE/X_BIO</f>
        <v>0</v>
      </c>
      <c r="O70" s="1189">
        <f>1+(i_N_BIO*E_EQNO3*(X_BIO-X_ALGAE)+i_N_ALGAE*E_EQNO3*X_ALGAE)/X_BIO</f>
        <v>1.3198349361377055</v>
      </c>
      <c r="P70" s="1169">
        <f>-1</f>
        <v>-1</v>
      </c>
      <c r="Q70" s="1169">
        <f>0</f>
        <v>0</v>
      </c>
      <c r="R70" s="1169">
        <f>0</f>
        <v>0</v>
      </c>
      <c r="S70" s="1169">
        <f>0</f>
        <v>0</v>
      </c>
      <c r="T70" s="1189">
        <f>(i_P_BIO*E_EQNO3*(X_BIO-X_ALGAE)+i_P_ALGAE*E_EQNO3*X_ALGAE)/X_BIO</f>
        <v>9.1381410325058712E-2</v>
      </c>
      <c r="U70" s="1169">
        <f>0</f>
        <v>0</v>
      </c>
      <c r="V70" s="1169">
        <f>0</f>
        <v>0</v>
      </c>
      <c r="W70" s="1169">
        <f>0</f>
        <v>0</v>
      </c>
      <c r="X70" s="1169">
        <f>0</f>
        <v>0</v>
      </c>
      <c r="Y70" s="1169">
        <f>0</f>
        <v>0</v>
      </c>
      <c r="Z70" s="1169">
        <f>(1+(i_N_BIO*E_EQNO3*(X_BIO-X_ALGAE)+i_N_ALGAE*E_EQNO3*X_ALGAE)/X_BIO)*C_HNHx-C_HNO3+(i_P_BIO*E_EQNO3*(X_BIO-X_ALGAE)+i_P_ALGAE*E_EQNO3*X_ALGAE)/X_BIO*C_HPO4</f>
        <v>1.6119780615093767E-4</v>
      </c>
      <c r="AA70" s="1169">
        <f>0</f>
        <v>0</v>
      </c>
      <c r="AB70" s="1169">
        <f>0</f>
        <v>0</v>
      </c>
      <c r="AC70" s="1169">
        <f>0</f>
        <v>0</v>
      </c>
      <c r="AD70" s="1169">
        <f>0</f>
        <v>0</v>
      </c>
      <c r="AE70" s="1169">
        <f>0</f>
        <v>0</v>
      </c>
      <c r="AF70" s="1169">
        <f>0</f>
        <v>0</v>
      </c>
      <c r="AG70" s="1169">
        <f>0</f>
        <v>0</v>
      </c>
      <c r="AH70" s="1169">
        <f>0</f>
        <v>0</v>
      </c>
      <c r="AI70" s="1169">
        <f>0</f>
        <v>0</v>
      </c>
      <c r="AJ70" s="1169">
        <f>0</f>
        <v>0</v>
      </c>
      <c r="AK70" s="1169">
        <f>0</f>
        <v>0</v>
      </c>
      <c r="AL70" s="1169">
        <f>0</f>
        <v>0</v>
      </c>
      <c r="AM70" s="1169">
        <f>0</f>
        <v>0</v>
      </c>
      <c r="AN70" s="1169">
        <f>0</f>
        <v>0</v>
      </c>
      <c r="AO70" s="1169">
        <f>0</f>
        <v>0</v>
      </c>
      <c r="AP70" s="1169">
        <f>0</f>
        <v>0</v>
      </c>
      <c r="AQ70" s="1169">
        <f>0</f>
        <v>0</v>
      </c>
      <c r="AR70" s="1169">
        <f>0</f>
        <v>0</v>
      </c>
      <c r="AS70" s="1202">
        <f>q_ASSIM_T*M_satSNOx_KNOx_ASSIM*M_inhSNHx_KiNHx_ASSIM*X_BIO</f>
        <v>0.12497083874906033</v>
      </c>
      <c r="AU70" s="664">
        <f>E89*E70+F89*F70+G89*G70+H89*H70+I89*I70+J89*J70+K89*K70+L89*L70+M89*M70+N89*N70+O89*O70+P89*P70+Q89*Q70+R89*R70+S89*S70+T89*T70+U89*U70+V89*V70+W89*W70+X89*X70+Y89*Y70+Z89*Z70+AA89*AA70+AB89*AB70+AC89*AC70+AD89*AD70+AE89*AE70+AF89*AF70+AG89*AG70+AH89*AH70+AI89*AI70+AJ89*AJ70+AK89*AK70+AL89*AL70+AM89*AM70+AN89*AN70+AO89*AO70+AP89*AP70+AQ89*AQ70+AR89*AR70</f>
        <v>0</v>
      </c>
      <c r="AV70" s="664">
        <f>E90*E70+F90*F70+G90*G70+H90*H70+I90*I70+J90*J70+K90*K70+L90*L70+M90*M70+N90*N70+O90*O70+P90*P70+Q90*Q70+R90*R70+S90*S70+T90*T70+U90*U70+V90*V70+W90*W70+X90*X70+Y90*Y70+Z90*Z70+AA90*AA70+AB90*AB70+AC90*AC70+AD90*AD70+AE90*AE70+AF90*AF70+AG90*AG70+AH90*AH70+AI90*AI70+AJ90*AJ70+AK90*AK70+AL90*AL70+AM90*AM70+AN90*AN70+AO90*AO70+AP90*AP70+AQ90*AQ70+AR90*AR70</f>
        <v>0</v>
      </c>
      <c r="AW70" s="665">
        <f>E91*E70+F91*F70+G91*G70+H91*H70+I91*I70+J91*J70+K91*K70+L91*L70+M91*M70+N91*N70+O91*O70+P91*P70+Q91*Q70+R91*R70+S91*S70+T91*T70+U91*U70+V91*V70+W91*W70+X91*X70+Y91*Y70+Z91*Z70+AA91*AA70+AB91*AB70+AC91*AC70+AD91*AD70+AE91*AE70+AF91*AF70+AG91*AG70+AH91*AH70+AI91*AI70+AJ91*AJ70+AK91*AK70+AL91*AL70+AM91*AM70+AN91*AN70+AO91*AO70+AP91*AP70+AQ91*AQ70+AR91*AR70</f>
        <v>-1.3877787807814457E-17</v>
      </c>
      <c r="AX70" s="664">
        <f>E92*E70+F92*F70+G92*G70+H92*H70+I92*I70+J92*J70+K92*K70+L92*L70+M92*M70+N92*N70+O92*O70+P92*P70+Q92*Q70+R92*R70+S92*S70+T92*T70+U92*U70+V92*V70+W92*W70+X92*X70+Y92*Y70+Z92*Z70+AA92*AA70+AB92*AB70+AC92*AC70+AD92*AD70+AE92*AE70+AF92*AF70+AG92*AG70+AH92*AH70+AI92*AI70+AJ92*AJ70+AK92*AK70+AL92*AL70+AM92*AM70+AN92*AN70+AO92*AO70+AP92*AP70+AQ92*AQ70+AR92*AR70</f>
        <v>0</v>
      </c>
      <c r="AY70" s="664">
        <f>E93*E70+F93*F70+G93*G70+H93*H70+I93*I70+J93*J70+K93*K70+L93*L70+M93*M70+N93*N70+O93*O70+P93*P70+Q93*Q70+R93*R70+S93*S70+T93*T70+U93*U70+V93*V70+W93*W70+X93*X70+Y93*Y70+Z93*Z70+AA93*AA70+AB93*AB70+AC93*AC70+AD93*AD70+AE93*AE70+AF93*AF70+AG93*AG70+AH93*AH70+AI93*AI70+AJ93*AJ70+AK93*AK70+AL93*AL70+AM93*AM70+AN93*AN70+AO93*AO70+AP93*AP70+AQ93*AQ70+AR93*AR70</f>
        <v>0</v>
      </c>
      <c r="AZ70" s="664">
        <f>E94*E70+F94*F70+G94*G70+H94*H70+I94*I70+J94*J70+K94*K70+L94*L70+M94*M70+N94*N70+O94*O70+P94*P70+Q94*Q70+R94*R70+S94*S70+T94*T70+U94*U70+V94*V70+W94*W70+X94*X70+Y94*Y70+Z94*Z70+AA94*AA70+AB94*AB70+AC94*AC70+AD94*AD70+AE94*AE70+AF94*AF70+AG94*AG70+AH94*AH70+AI94*AI70+AJ94*AJ70+AK94*AK70+AL94*AL70+AM94*AM70+AN94*AN70+AO94*AO70+AP94*AP70+AQ94*AQ70+AR94*AR70</f>
        <v>0</v>
      </c>
    </row>
    <row r="71" spans="2:52" ht="18" x14ac:dyDescent="0.35">
      <c r="B71" s="437">
        <v>20</v>
      </c>
      <c r="C71" s="720" t="s">
        <v>736</v>
      </c>
      <c r="D71" s="723" t="s">
        <v>1536</v>
      </c>
      <c r="E71" s="1169">
        <f>0</f>
        <v>0</v>
      </c>
      <c r="F71" s="1169">
        <f>0</f>
        <v>0</v>
      </c>
      <c r="G71" s="1169">
        <f>0</f>
        <v>0</v>
      </c>
      <c r="H71" s="1169">
        <f>0</f>
        <v>0</v>
      </c>
      <c r="I71" s="1169">
        <f>0</f>
        <v>0</v>
      </c>
      <c r="J71" s="1178">
        <f>0</f>
        <v>0</v>
      </c>
      <c r="K71" s="1169">
        <f>0</f>
        <v>0</v>
      </c>
      <c r="L71" s="1169">
        <f>0</f>
        <v>0</v>
      </c>
      <c r="M71" s="1169">
        <f>0</f>
        <v>0</v>
      </c>
      <c r="N71" s="1169">
        <f>0</f>
        <v>0</v>
      </c>
      <c r="O71" s="1169">
        <f>0</f>
        <v>0</v>
      </c>
      <c r="P71" s="1169">
        <f>0</f>
        <v>0</v>
      </c>
      <c r="Q71" s="1169">
        <f>0</f>
        <v>0</v>
      </c>
      <c r="R71" s="1169">
        <f>0</f>
        <v>0</v>
      </c>
      <c r="S71" s="1169">
        <f>0</f>
        <v>0</v>
      </c>
      <c r="T71" s="1178">
        <f>-f_P_Fe</f>
        <v>-0.55463805533172172</v>
      </c>
      <c r="U71" s="1169">
        <f>0</f>
        <v>0</v>
      </c>
      <c r="V71" s="1169">
        <f>0</f>
        <v>0</v>
      </c>
      <c r="W71" s="1169">
        <f>0</f>
        <v>0</v>
      </c>
      <c r="X71" s="1169">
        <f>0</f>
        <v>0</v>
      </c>
      <c r="Y71" s="1169">
        <f>0</f>
        <v>0</v>
      </c>
      <c r="Z71" s="1178">
        <f>-f_P_Fe*C_HPO4</f>
        <v>2.6860059092130003E-5</v>
      </c>
      <c r="AA71" s="1169">
        <f>-1</f>
        <v>-1</v>
      </c>
      <c r="AB71" s="1169">
        <f>1</f>
        <v>1</v>
      </c>
      <c r="AC71" s="1169">
        <f>0</f>
        <v>0</v>
      </c>
      <c r="AD71" s="1169">
        <f>0</f>
        <v>0</v>
      </c>
      <c r="AE71" s="1169">
        <f>0</f>
        <v>0</v>
      </c>
      <c r="AF71" s="1169">
        <f>0</f>
        <v>0</v>
      </c>
      <c r="AG71" s="1169">
        <f>0</f>
        <v>0</v>
      </c>
      <c r="AH71" s="1169">
        <f>0</f>
        <v>0</v>
      </c>
      <c r="AI71" s="1169">
        <f>0</f>
        <v>0</v>
      </c>
      <c r="AJ71" s="1169">
        <f>0</f>
        <v>0</v>
      </c>
      <c r="AK71" s="1169">
        <f>0</f>
        <v>0</v>
      </c>
      <c r="AL71" s="1169">
        <f>0</f>
        <v>0</v>
      </c>
      <c r="AM71" s="1169">
        <f>0</f>
        <v>0</v>
      </c>
      <c r="AN71" s="1169">
        <f>0</f>
        <v>0</v>
      </c>
      <c r="AO71" s="1169">
        <f>0</f>
        <v>0</v>
      </c>
      <c r="AP71" s="1169">
        <f>0</f>
        <v>0</v>
      </c>
      <c r="AQ71" s="1169">
        <f>0</f>
        <v>0</v>
      </c>
      <c r="AR71" s="1169">
        <f>0</f>
        <v>0</v>
      </c>
      <c r="AS71" s="1203">
        <f>q_FeOH_PREC*S_PO4*X_FeOH</f>
        <v>9.9999999999999994E-50</v>
      </c>
      <c r="AU71" s="664">
        <f>E89*E71+F89*F71+G89*G71+H89*H71+I89*I71+J89*J71+K89*K71+L89*L71+M89*M71+N89*N71+O89*O71+P89*P71+Q89*Q71+R89*R71+S89*S71+T89*T71+U89*U71+V89*V71+W89*W71+X89*X71+Y89*Y71+Z89*Z71+AA89*AA71+AB89*AB71+AC89*AC71+AD89*AD71+AE89*AE71+AF89*AF71+AG89*AG71+AH89*AH71+AI89*AI71+AJ89*AJ71+AK89*AK71+AL89*AL71+AM89*AM71+AN89*AN71+AO89*AO71+AP89*AP71+AQ89*AQ71+AR89*AR71</f>
        <v>0</v>
      </c>
      <c r="AV71" s="664">
        <f>E90*E71+F90*F71+G90*G71+H90*H71+I90*I71+J90*J71+K90*K71+L90*L71+M90*M71+N90*N71+O90*O71+P90*P71+Q90*Q71+R90*R71+S90*S71+T90*T71+U90*U71+V90*V71+W90*W71+X90*X71+Y90*Y71+Z90*Z71+AA90*AA71+AB90*AB71+AC90*AC71+AD90*AD71+AE90*AE71+AF90*AF71+AG90*AG71+AH90*AH71+AI90*AI71+AJ90*AJ71+AK90*AK71+AL90*AL71+AM90*AM71+AN90*AN71+AO90*AO71+AP90*AP71+AQ90*AQ71+AR90*AR71</f>
        <v>0</v>
      </c>
      <c r="AW71" s="665">
        <f>E91*E71+F91*F71+G91*G71+H91*H71+I91*I71+J91*J71+K91*K71+L91*L71+M91*M71+N91*N71+O91*O71+P91*P71+Q91*Q71+R91*R71+S91*S71+T91*T71+U91*U71+V91*V71+W91*W71+X91*X71+Y91*Y71+Z91*Z71+AA91*AA71+AB91*AB71+AC91*AC71+AD91*AD71+AE91*AE71+AF91*AF71+AG91*AG71+AH91*AH71+AI91*AI71+AJ91*AJ71+AK91*AK71+AL91*AL71+AM91*AM71+AN91*AN71+AO91*AO71+AP91*AP71+AQ91*AQ71+AR91*AR71</f>
        <v>0</v>
      </c>
      <c r="AX71" s="664">
        <f>E92*E71+F92*F71+G92*G71+H92*H71+I92*I71+J92*J71+K92*K71+L92*L71+M92*M71+N92*N71+O92*O71+P92*P71+Q92*Q71+R92*R71+S92*S71+T92*T71+U92*U71+V92*V71+W92*W71+X92*X71+Y92*Y71+Z92*Z71+AA92*AA71+AB92*AB71+AC92*AC71+AD92*AD71+AE92*AE71+AF92*AF71+AG92*AG71+AH92*AH71+AI92*AI71+AJ92*AJ71+AK92*AK71+AL92*AL71+AM92*AM71+AN92*AN71+AO92*AO71+AP92*AP71+AQ92*AQ71+AR92*AR71</f>
        <v>0</v>
      </c>
      <c r="AY71" s="664">
        <f>E93*E71+F93*F71+G93*G71+H93*H71+I93*I71+J93*J71+K93*K71+L93*L71+M93*M71+N93*N71+O93*O71+P93*P71+Q93*Q71+R93*R71+S93*S71+T93*T71+U93*U71+V93*V71+W93*W71+X93*X71+Y93*Y71+Z93*Z71+AA93*AA71+AB93*AB71+AC93*AC71+AD93*AD71+AE93*AE71+AF93*AF71+AG93*AG71+AH93*AH71+AI93*AI71+AJ93*AJ71+AK93*AK71+AL93*AL71+AM93*AM71+AN93*AN71+AO93*AO71+AP93*AP71+AQ93*AQ71+AR93*AR71</f>
        <v>0</v>
      </c>
      <c r="AZ71" s="664">
        <f>E94*E71+F94*F71+G94*G71+H94*H71+I94*I71+J94*J71+K94*K71+L94*L71+M94*M71+N94*N71+O94*O71+P94*P71+Q94*Q71+R94*R71+S94*S71+T94*T71+U94*U71+V94*V71+W94*W71+X94*X71+Y94*Y71+Z94*Z71+AA94*AA71+AB94*AB71+AC94*AC71+AD94*AD71+AE94*AE71+AF94*AF71+AG94*AG71+AH94*AH71+AI94*AI71+AJ94*AJ71+AK94*AK71+AL94*AL71+AM94*AM71+AN94*AN71+AO94*AO71+AP94*AP71+AQ94*AQ71+AR94*AR71</f>
        <v>0</v>
      </c>
    </row>
    <row r="72" spans="2:52" ht="18" x14ac:dyDescent="0.35">
      <c r="B72" s="437">
        <v>21</v>
      </c>
      <c r="C72" s="720" t="s">
        <v>743</v>
      </c>
      <c r="D72" s="723" t="s">
        <v>1537</v>
      </c>
      <c r="E72" s="1169">
        <f>0</f>
        <v>0</v>
      </c>
      <c r="F72" s="1169">
        <f>0</f>
        <v>0</v>
      </c>
      <c r="G72" s="1169">
        <f>0</f>
        <v>0</v>
      </c>
      <c r="H72" s="1169">
        <f>0</f>
        <v>0</v>
      </c>
      <c r="I72" s="1169">
        <f>0</f>
        <v>0</v>
      </c>
      <c r="J72" s="1178">
        <f>0</f>
        <v>0</v>
      </c>
      <c r="K72" s="1169">
        <f>0</f>
        <v>0</v>
      </c>
      <c r="L72" s="1169">
        <f>0</f>
        <v>0</v>
      </c>
      <c r="M72" s="1169">
        <f>0</f>
        <v>0</v>
      </c>
      <c r="N72" s="1169">
        <f>0</f>
        <v>0</v>
      </c>
      <c r="O72" s="1169">
        <f>0</f>
        <v>0</v>
      </c>
      <c r="P72" s="1169">
        <f>0</f>
        <v>0</v>
      </c>
      <c r="Q72" s="1169">
        <f>0</f>
        <v>0</v>
      </c>
      <c r="R72" s="1169">
        <f>0</f>
        <v>0</v>
      </c>
      <c r="S72" s="1169">
        <f>0</f>
        <v>0</v>
      </c>
      <c r="T72" s="1169">
        <f>f_P_Fe</f>
        <v>0.55463805533172172</v>
      </c>
      <c r="U72" s="1169">
        <f>0</f>
        <v>0</v>
      </c>
      <c r="V72" s="1169">
        <f>0</f>
        <v>0</v>
      </c>
      <c r="W72" s="1169">
        <f>0</f>
        <v>0</v>
      </c>
      <c r="X72" s="1169">
        <f>0</f>
        <v>0</v>
      </c>
      <c r="Y72" s="1169">
        <f>0</f>
        <v>0</v>
      </c>
      <c r="Z72" s="1169">
        <f>f_P_Fe*C_HPO4</f>
        <v>-2.6860059092130003E-5</v>
      </c>
      <c r="AA72" s="1178">
        <f>1</f>
        <v>1</v>
      </c>
      <c r="AB72" s="1178">
        <f>-1</f>
        <v>-1</v>
      </c>
      <c r="AC72" s="1178">
        <f>0</f>
        <v>0</v>
      </c>
      <c r="AD72" s="1178">
        <f>0</f>
        <v>0</v>
      </c>
      <c r="AE72" s="1178">
        <f>0</f>
        <v>0</v>
      </c>
      <c r="AF72" s="1178">
        <f>0</f>
        <v>0</v>
      </c>
      <c r="AG72" s="1178">
        <f>0</f>
        <v>0</v>
      </c>
      <c r="AH72" s="1178">
        <f>0</f>
        <v>0</v>
      </c>
      <c r="AI72" s="1178">
        <f>0</f>
        <v>0</v>
      </c>
      <c r="AJ72" s="1178">
        <f>0</f>
        <v>0</v>
      </c>
      <c r="AK72" s="1178">
        <f>0</f>
        <v>0</v>
      </c>
      <c r="AL72" s="1178">
        <f>0</f>
        <v>0</v>
      </c>
      <c r="AM72" s="1178">
        <f>0</f>
        <v>0</v>
      </c>
      <c r="AN72" s="1178">
        <f>0</f>
        <v>0</v>
      </c>
      <c r="AO72" s="1178">
        <f>0</f>
        <v>0</v>
      </c>
      <c r="AP72" s="1178">
        <f>0</f>
        <v>0</v>
      </c>
      <c r="AQ72" s="1178">
        <f>0</f>
        <v>0</v>
      </c>
      <c r="AR72" s="1178">
        <f>0</f>
        <v>0</v>
      </c>
      <c r="AS72" s="1204">
        <f>q_FeOH_DISSOL*X_FeP*M_satSALK_KALK</f>
        <v>4.4999999999999996E-50</v>
      </c>
      <c r="AU72" s="664">
        <f>E89*E72+F89*F72+G89*G72+H89*H72+I89*I72+J89*J72+K89*K72+L89*L72+M89*M72+N89*N72+O89*O72+P89*P72+Q89*Q72+R89*R72+S89*S72+T89*T72+U89*U72+V89*V72+W89*W72+X89*X72+Y89*Y72+Z89*Z72+AA89*AA72+AB89*AB72+AC89*AC72+AD89*AD72+AE89*AE72+AF89*AF72+AG89*AG72+AH89*AH72+AI89*AI72+AJ89*AJ72+AK89*AK72+AL89*AL72+AM89*AM72+AN89*AN72+AO89*AO72+AP89*AP72+AQ89*AQ72+AR89*AR72</f>
        <v>0</v>
      </c>
      <c r="AV72" s="664">
        <f>E90*E72+F90*F72+G90*G72+H90*H72+I90*I72+J90*J72+K90*K72+L90*L72+M90*M72+N90*N72+O90*O72+P90*P72+Q90*Q72+R90*R72+S90*S72+T90*T72+U90*U72+V90*V72+W90*W72+X90*X72+Y90*Y72+Z90*Z72+AA90*AA72+AB90*AB72+AC90*AC72+AD90*AD72+AE90*AE72+AF90*AF72+AG90*AG72+AH90*AH72+AI90*AI72+AJ90*AJ72+AK90*AK72+AL90*AL72+AM90*AM72+AN90*AN72+AO90*AO72+AP90*AP72+AQ90*AQ72+AR90*AR72</f>
        <v>0</v>
      </c>
      <c r="AW72" s="665">
        <f>E91*E72+F91*F72+G91*G72+H91*H72+I91*I72+J91*J72+K91*K72+L91*L72+M91*M72+N91*N72+O91*O72+P91*P72+Q91*Q72+R91*R72+S91*S72+T91*T72+U91*U72+V91*V72+W91*W72+X91*X72+Y91*Y72+Z91*Z72+AA91*AA72+AB91*AB72+AC91*AC72+AD91*AD72+AE91*AE72+AF91*AF72+AG91*AG72+AH91*AH72+AI91*AI72+AJ91*AJ72+AK91*AK72+AL91*AL72+AM91*AM72+AN91*AN72+AO91*AO72+AP91*AP72+AQ91*AQ72+AR91*AR72</f>
        <v>0</v>
      </c>
      <c r="AX72" s="664">
        <f>E92*E72+F92*F72+G92*G72+H92*H72+I92*I72+J92*J72+K92*K72+L92*L72+M92*M72+N92*N72+O92*O72+P92*P72+Q92*Q72+R92*R72+S92*S72+T92*T72+U92*U72+V92*V72+W92*W72+X92*X72+Y92*Y72+Z92*Z72+AA92*AA72+AB92*AB72+AC92*AC72+AD92*AD72+AE92*AE72+AF92*AF72+AG92*AG72+AH92*AH72+AI92*AI72+AJ92*AJ72+AK92*AK72+AL92*AL72+AM92*AM72+AN92*AN72+AO92*AO72+AP92*AP72+AQ92*AQ72+AR92*AR72</f>
        <v>0</v>
      </c>
      <c r="AY72" s="664">
        <f>E93*E72+F93*F72+G93*G72+H93*H72+I93*I72+J93*J72+K93*K72+L93*L72+M93*M72+N93*N72+O93*O72+P93*P72+Q93*Q72+R93*R72+S93*S72+T93*T72+U93*U72+V93*V72+W93*W72+X93*X72+Y93*Y72+Z93*Z72+AA93*AA72+AB93*AB72+AC93*AC72+AD93*AD72+AE93*AE72+AF93*AF72+AG93*AG72+AH93*AH72+AI93*AI72+AJ93*AJ72+AK93*AK72+AL93*AL72+AM93*AM72+AN93*AN72+AO93*AO72+AP93*AP72+AQ93*AQ72+AR93*AR72</f>
        <v>0</v>
      </c>
      <c r="AZ72" s="664">
        <f>E94*E72+F94*F72+G94*G72+H94*H72+I94*I72+J94*J72+K94*K72+L94*L72+M94*M72+N94*N72+O94*O72+P94*P72+Q94*Q72+R94*R72+S94*S72+T94*T72+U94*U72+V94*V72+W94*W72+X94*X72+Y94*Y72+Z94*Z72+AA94*AA72+AB94*AB72+AC94*AC72+AD94*AD72+AE94*AE72+AF94*AF72+AG94*AG72+AH94*AH72+AI94*AI72+AJ94*AJ72+AK94*AK72+AL94*AL72+AM94*AM72+AN94*AN72+AO94*AO72+AP94*AP72+AQ94*AQ72+AR94*AR72</f>
        <v>0</v>
      </c>
    </row>
    <row r="73" spans="2:52" ht="18" x14ac:dyDescent="0.35">
      <c r="B73" s="437">
        <v>22</v>
      </c>
      <c r="C73" s="720" t="s">
        <v>1807</v>
      </c>
      <c r="D73" s="723" t="s">
        <v>1538</v>
      </c>
      <c r="E73" s="1169">
        <f>0</f>
        <v>0</v>
      </c>
      <c r="F73" s="1169">
        <f>0</f>
        <v>0</v>
      </c>
      <c r="G73" s="1169">
        <f>0</f>
        <v>0</v>
      </c>
      <c r="H73" s="1169">
        <f>0</f>
        <v>0</v>
      </c>
      <c r="I73" s="1169">
        <f>0</f>
        <v>0</v>
      </c>
      <c r="J73" s="1178">
        <f>0</f>
        <v>0</v>
      </c>
      <c r="K73" s="1169">
        <f>0</f>
        <v>0</v>
      </c>
      <c r="L73" s="1169">
        <f>0</f>
        <v>0</v>
      </c>
      <c r="M73" s="1169">
        <f>0</f>
        <v>0</v>
      </c>
      <c r="N73" s="1169">
        <f>0</f>
        <v>0</v>
      </c>
      <c r="O73" s="1169">
        <f>0</f>
        <v>0</v>
      </c>
      <c r="P73" s="1169">
        <f>0</f>
        <v>0</v>
      </c>
      <c r="Q73" s="1169">
        <f>0</f>
        <v>0</v>
      </c>
      <c r="R73" s="1169">
        <f>0</f>
        <v>0</v>
      </c>
      <c r="S73" s="1169">
        <f>0</f>
        <v>0</v>
      </c>
      <c r="T73" s="1178">
        <f>-f_P_Al</f>
        <v>-1.1479629449808202</v>
      </c>
      <c r="U73" s="1169">
        <f>0</f>
        <v>0</v>
      </c>
      <c r="V73" s="1169">
        <f>0</f>
        <v>0</v>
      </c>
      <c r="W73" s="1169">
        <f>0</f>
        <v>0</v>
      </c>
      <c r="X73" s="1169">
        <f>0</f>
        <v>0</v>
      </c>
      <c r="Y73" s="1169">
        <f>0</f>
        <v>0</v>
      </c>
      <c r="Z73" s="1178">
        <f>-f_P_Al*C_HPO4</f>
        <v>5.5593647499212424E-5</v>
      </c>
      <c r="AA73" s="1169">
        <f>0</f>
        <v>0</v>
      </c>
      <c r="AB73" s="1169">
        <f>0</f>
        <v>0</v>
      </c>
      <c r="AC73" s="1169">
        <f>-1</f>
        <v>-1</v>
      </c>
      <c r="AD73" s="1169">
        <f>1</f>
        <v>1</v>
      </c>
      <c r="AE73" s="1169">
        <f>0</f>
        <v>0</v>
      </c>
      <c r="AF73" s="1169">
        <f>0</f>
        <v>0</v>
      </c>
      <c r="AG73" s="1169">
        <f>0</f>
        <v>0</v>
      </c>
      <c r="AH73" s="1169">
        <f>0</f>
        <v>0</v>
      </c>
      <c r="AI73" s="1169">
        <f>0</f>
        <v>0</v>
      </c>
      <c r="AJ73" s="1169">
        <f>0</f>
        <v>0</v>
      </c>
      <c r="AK73" s="1169">
        <f>0</f>
        <v>0</v>
      </c>
      <c r="AL73" s="1169">
        <f>0</f>
        <v>0</v>
      </c>
      <c r="AM73" s="1169">
        <f>0</f>
        <v>0</v>
      </c>
      <c r="AN73" s="1169">
        <f>0</f>
        <v>0</v>
      </c>
      <c r="AO73" s="1169">
        <f>0</f>
        <v>0</v>
      </c>
      <c r="AP73" s="1169">
        <f>0</f>
        <v>0</v>
      </c>
      <c r="AQ73" s="1169">
        <f>0</f>
        <v>0</v>
      </c>
      <c r="AR73" s="1169">
        <f>0</f>
        <v>0</v>
      </c>
      <c r="AS73" s="1203">
        <f>q_AlOH_PREC*S_PO4*X_AlOH</f>
        <v>4.9999999999999999E-49</v>
      </c>
      <c r="AU73" s="664">
        <f>E89*E73+F89*F73+G89*G73+H89*H73+I89*I73+J89*J73+K89*K73+L89*L73+M89*M73+N89*N73+O89*O73+P89*P73+Q89*Q73+R89*R73+S89*S73+T89*T73+U89*U73+V89*V73+W89*W73+X89*X73+Y89*Y73+Z89*Z73+AA89*AA73+AB89*AB73+AC89*AC73+AD89*AD73+AE89*AE73+AF89*AF73+AG89*AG73+AH89*AH73+AI89*AI73+AJ89*AJ73+AK89*AK73+AL89*AL73+AM89*AM73+AN89*AN73+AO89*AO73+AP89*AP73+AQ89*AQ73+AR89*AR73</f>
        <v>0</v>
      </c>
      <c r="AV73" s="664">
        <f>E90*E73+F90*F73+G90*G73+H90*H73+I90*I73+J90*J73+K90*K73+L90*L73+M90*M73+N90*N73+O90*O73+P90*P73+Q90*Q73+R90*R73+S90*S73+T90*T73+U90*U73+V90*V73+W90*W73+X90*X73+Y90*Y73+Z90*Z73+AA90*AA73+AB90*AB73+AC90*AC73+AD90*AD73+AE90*AE73+AF90*AF73+AG90*AG73+AH90*AH73+AI90*AI73+AJ90*AJ73+AK90*AK73+AL90*AL73+AM90*AM73+AN90*AN73+AO90*AO73+AP90*AP73+AQ90*AQ73+AR90*AR73</f>
        <v>0</v>
      </c>
      <c r="AW73" s="665">
        <f>E91*E73+F91*F73+G91*G73+H91*H73+I91*I73+J91*J73+K91*K73+L91*L73+M91*M73+N91*N73+O91*O73+P91*P73+Q91*Q73+R91*R73+S91*S73+T91*T73+U91*U73+V91*V73+W91*W73+X91*X73+Y91*Y73+Z91*Z73+AA91*AA73+AB91*AB73+AC91*AC73+AD91*AD73+AE91*AE73+AF91*AF73+AG91*AG73+AH91*AH73+AI91*AI73+AJ91*AJ73+AK91*AK73+AL91*AL73+AM91*AM73+AN91*AN73+AO91*AO73+AP91*AP73+AQ91*AQ73+AR91*AR73</f>
        <v>0</v>
      </c>
      <c r="AX73" s="664">
        <f>E92*E73+F92*F73+G92*G73+H92*H73+I92*I73+J92*J73+K92*K73+L92*L73+M92*M73+N92*N73+O92*O73+P92*P73+Q92*Q73+R92*R73+S92*S73+T92*T73+U92*U73+V92*V73+W92*W73+X92*X73+Y92*Y73+Z92*Z73+AA92*AA73+AB92*AB73+AC92*AC73+AD92*AD73+AE92*AE73+AF92*AF73+AG92*AG73+AH92*AH73+AI92*AI73+AJ92*AJ73+AK92*AK73+AL92*AL73+AM92*AM73+AN92*AN73+AO92*AO73+AP92*AP73+AQ92*AQ73+AR92*AR73</f>
        <v>0</v>
      </c>
      <c r="AY73" s="664">
        <f>E93*E73+F93*F73+G93*G73+H93*H73+I93*I73+J93*J73+K93*K73+L93*L73+M93*M73+N93*N73+O93*O73+P93*P73+Q93*Q73+R93*R73+S93*S73+T93*T73+U93*U73+V93*V73+W93*W73+X93*X73+Y93*Y73+Z93*Z73+AA93*AA73+AB93*AB73+AC93*AC73+AD93*AD73+AE93*AE73+AF93*AF73+AG93*AG73+AH93*AH73+AI93*AI73+AJ93*AJ73+AK93*AK73+AL93*AL73+AM93*AM73+AN93*AN73+AO93*AO73+AP93*AP73+AQ93*AQ73+AR93*AR73</f>
        <v>0</v>
      </c>
      <c r="AZ73" s="664">
        <f>E94*E73+F94*F73+G94*G73+H94*H73+I94*I73+J94*J73+K94*K73+L94*L73+M94*M73+N94*N73+O94*O73+P94*P73+Q94*Q73+R94*R73+S94*S73+T94*T73+U94*U73+V94*V73+W94*W73+X94*X73+Y94*Y73+Z94*Z73+AA94*AA73+AB94*AB73+AC94*AC73+AD94*AD73+AE94*AE73+AF94*AF73+AG94*AG73+AH94*AH73+AI94*AI73+AJ94*AJ73+AK94*AK73+AL94*AL73+AM94*AM73+AN94*AN73+AO94*AO73+AP94*AP73+AQ94*AQ73+AR94*AR73</f>
        <v>0</v>
      </c>
    </row>
    <row r="74" spans="2:52" ht="18" x14ac:dyDescent="0.35">
      <c r="B74" s="437">
        <v>23</v>
      </c>
      <c r="C74" s="720" t="s">
        <v>1808</v>
      </c>
      <c r="D74" s="723" t="s">
        <v>1539</v>
      </c>
      <c r="E74" s="1169">
        <f>0</f>
        <v>0</v>
      </c>
      <c r="F74" s="1169">
        <f>0</f>
        <v>0</v>
      </c>
      <c r="G74" s="1169">
        <f>0</f>
        <v>0</v>
      </c>
      <c r="H74" s="1169">
        <f>0</f>
        <v>0</v>
      </c>
      <c r="I74" s="1169">
        <f>0</f>
        <v>0</v>
      </c>
      <c r="J74" s="1178">
        <f>0</f>
        <v>0</v>
      </c>
      <c r="K74" s="1169">
        <f>0</f>
        <v>0</v>
      </c>
      <c r="L74" s="1169">
        <f>0</f>
        <v>0</v>
      </c>
      <c r="M74" s="1169">
        <f>0</f>
        <v>0</v>
      </c>
      <c r="N74" s="1169">
        <f>0</f>
        <v>0</v>
      </c>
      <c r="O74" s="1169">
        <f>0</f>
        <v>0</v>
      </c>
      <c r="P74" s="1169">
        <f>0</f>
        <v>0</v>
      </c>
      <c r="Q74" s="1169">
        <f>0</f>
        <v>0</v>
      </c>
      <c r="R74" s="1169">
        <f>0</f>
        <v>0</v>
      </c>
      <c r="S74" s="1169">
        <f>0</f>
        <v>0</v>
      </c>
      <c r="T74" s="1169">
        <f>f_P_Al</f>
        <v>1.1479629449808202</v>
      </c>
      <c r="U74" s="1169">
        <f>0</f>
        <v>0</v>
      </c>
      <c r="V74" s="1169">
        <f>0</f>
        <v>0</v>
      </c>
      <c r="W74" s="1169">
        <f>0</f>
        <v>0</v>
      </c>
      <c r="X74" s="1169">
        <f>0</f>
        <v>0</v>
      </c>
      <c r="Y74" s="1169">
        <f>0</f>
        <v>0</v>
      </c>
      <c r="Z74" s="1169">
        <f>f_P_Al*C_HPO4</f>
        <v>-5.5593647499212424E-5</v>
      </c>
      <c r="AA74" s="1178">
        <f>0</f>
        <v>0</v>
      </c>
      <c r="AB74" s="1178">
        <f>0</f>
        <v>0</v>
      </c>
      <c r="AC74" s="1178">
        <f>1</f>
        <v>1</v>
      </c>
      <c r="AD74" s="1178">
        <f>-1</f>
        <v>-1</v>
      </c>
      <c r="AE74" s="1178">
        <f>0</f>
        <v>0</v>
      </c>
      <c r="AF74" s="1178">
        <f>0</f>
        <v>0</v>
      </c>
      <c r="AG74" s="1178">
        <f>0</f>
        <v>0</v>
      </c>
      <c r="AH74" s="1178">
        <f>0</f>
        <v>0</v>
      </c>
      <c r="AI74" s="1178">
        <f>0</f>
        <v>0</v>
      </c>
      <c r="AJ74" s="1178">
        <f>0</f>
        <v>0</v>
      </c>
      <c r="AK74" s="1178">
        <f>0</f>
        <v>0</v>
      </c>
      <c r="AL74" s="1178">
        <f>0</f>
        <v>0</v>
      </c>
      <c r="AM74" s="1178">
        <f>0</f>
        <v>0</v>
      </c>
      <c r="AN74" s="1178">
        <f>0</f>
        <v>0</v>
      </c>
      <c r="AO74" s="1178">
        <f>0</f>
        <v>0</v>
      </c>
      <c r="AP74" s="1178">
        <f>0</f>
        <v>0</v>
      </c>
      <c r="AQ74" s="1178">
        <f>0</f>
        <v>0</v>
      </c>
      <c r="AR74" s="1178">
        <f>0</f>
        <v>0</v>
      </c>
      <c r="AS74" s="1204">
        <f>q_AlOH_DISSOL*X_AlP*M_satSALK_KALK</f>
        <v>4.4999999999999996E-50</v>
      </c>
      <c r="AU74" s="664">
        <f>E89*E74+F89*F74+G89*G74+H89*H74+I89*I74+J89*J74+K89*K74+L89*L74+M89*M74+N89*N74+O89*O74+P89*P74+Q89*Q74+R89*R74+S89*S74+T89*T74+U89*U74+V89*V74+W89*W74+X89*X74+Y89*Y74+Z89*Z74+AA89*AA74+AB89*AB74+AC89*AC74+AD89*AD74+AE89*AE74+AF89*AF74+AG89*AG74+AH89*AH74+AI89*AI74+AJ89*AJ74+AK89*AK74+AL89*AL74+AM89*AM74+AN89*AN74+AO89*AO74+AP89*AP74+AQ89*AQ74+AR89*AR74</f>
        <v>0</v>
      </c>
      <c r="AV74" s="664">
        <f>E90*E74+F90*F74+G90*G74+H90*H74+I90*I74+J90*J74+K90*K74+L90*L74+M90*M74+N90*N74+O90*O74+P90*P74+Q90*Q74+R90*R74+S90*S74+T90*T74+U90*U74+V90*V74+W90*W74+X90*X74+Y90*Y74+Z90*Z74+AA90*AA74+AB90*AB74+AC90*AC74+AD90*AD74+AE90*AE74+AF90*AF74+AG90*AG74+AH90*AH74+AI90*AI74+AJ90*AJ74+AK90*AK74+AL90*AL74+AM90*AM74+AN90*AN74+AO90*AO74+AP90*AP74+AQ90*AQ74+AR90*AR74</f>
        <v>0</v>
      </c>
      <c r="AW74" s="665">
        <f>E91*E74+F91*F74+G91*G74+H91*H74+I91*I74+J91*J74+K91*K74+L91*L74+M91*M74+N91*N74+O91*O74+P91*P74+Q91*Q74+R91*R74+S91*S74+T91*T74+U91*U74+V91*V74+W91*W74+X91*X74+Y91*Y74+Z91*Z74+AA91*AA74+AB91*AB74+AC91*AC74+AD91*AD74+AE91*AE74+AF91*AF74+AG91*AG74+AH91*AH74+AI91*AI74+AJ91*AJ74+AK91*AK74+AL91*AL74+AM91*AM74+AN91*AN74+AO91*AO74+AP91*AP74+AQ91*AQ74+AR91*AR74</f>
        <v>0</v>
      </c>
      <c r="AX74" s="664">
        <f>E92*E74+F92*F74+G92*G74+H92*H74+I92*I74+J92*J74+K92*K74+L92*L74+M92*M74+N92*N74+O92*O74+P92*P74+Q92*Q74+R92*R74+S92*S74+T92*T74+U92*U74+V92*V74+W92*W74+X92*X74+Y92*Y74+Z92*Z74+AA92*AA74+AB92*AB74+AC92*AC74+AD92*AD74+AE92*AE74+AF92*AF74+AG92*AG74+AH92*AH74+AI92*AI74+AJ92*AJ74+AK92*AK74+AL92*AL74+AM92*AM74+AN92*AN74+AO92*AO74+AP92*AP74+AQ92*AQ74+AR92*AR74</f>
        <v>0</v>
      </c>
      <c r="AY74" s="664">
        <f>E93*E74+F93*F74+G93*G74+H93*H74+I93*I74+J93*J74+K93*K74+L93*L74+M93*M74+N93*N74+O93*O74+P93*P74+Q93*Q74+R93*R74+S93*S74+T93*T74+U93*U74+V93*V74+W93*W74+X93*X74+Y93*Y74+Z93*Z74+AA93*AA74+AB93*AB74+AC93*AC74+AD93*AD74+AE93*AE74+AF93*AF74+AG93*AG74+AH93*AH74+AI93*AI74+AJ93*AJ74+AK93*AK74+AL93*AL74+AM93*AM74+AN93*AN74+AO93*AO74+AP93*AP74+AQ93*AQ74+AR93*AR74</f>
        <v>0</v>
      </c>
      <c r="AZ74" s="664">
        <f>E94*E74+F94*F74+G94*G74+H94*H74+I94*I74+J94*J74+K94*K74+L94*L74+M94*M74+N94*N74+O94*O74+P94*P74+Q94*Q74+R94*R74+S94*S74+T94*T74+U94*U74+V94*V74+W94*W74+X94*X74+Y94*Y74+Z94*Z74+AA94*AA74+AB94*AB74+AC94*AC74+AD94*AD74+AE94*AE74+AF94*AF74+AG94*AG74+AH94*AH74+AI94*AI74+AJ94*AJ74+AK94*AK74+AL94*AL74+AM94*AM74+AN94*AN74+AO94*AO74+AP94*AP74+AQ94*AQ74+AR94*AR74</f>
        <v>0</v>
      </c>
    </row>
    <row r="75" spans="2:52" ht="18" x14ac:dyDescent="0.25">
      <c r="B75" s="1068">
        <v>24</v>
      </c>
      <c r="C75" s="1069" t="s">
        <v>1809</v>
      </c>
      <c r="D75" s="1070" t="s">
        <v>2700</v>
      </c>
      <c r="E75" s="1170">
        <f>0</f>
        <v>0</v>
      </c>
      <c r="F75" s="1170">
        <f>0</f>
        <v>0</v>
      </c>
      <c r="G75" s="1170">
        <f>0</f>
        <v>0</v>
      </c>
      <c r="H75" s="1170">
        <f>0</f>
        <v>0</v>
      </c>
      <c r="I75" s="1170">
        <f>0</f>
        <v>0</v>
      </c>
      <c r="J75" s="1179">
        <f>0</f>
        <v>0</v>
      </c>
      <c r="K75" s="1170">
        <f>0</f>
        <v>0</v>
      </c>
      <c r="L75" s="1170">
        <f>0</f>
        <v>0</v>
      </c>
      <c r="M75" s="1170">
        <f>0</f>
        <v>0</v>
      </c>
      <c r="N75" s="1170">
        <f>0</f>
        <v>0</v>
      </c>
      <c r="O75" s="1170">
        <f>0</f>
        <v>0</v>
      </c>
      <c r="P75" s="1170">
        <f>0</f>
        <v>0</v>
      </c>
      <c r="Q75" s="1170">
        <f>0</f>
        <v>0</v>
      </c>
      <c r="R75" s="1170">
        <f>0</f>
        <v>0</v>
      </c>
      <c r="S75" s="1170">
        <f>0</f>
        <v>0</v>
      </c>
      <c r="T75" s="1170">
        <f>0</f>
        <v>0</v>
      </c>
      <c r="U75" s="1170">
        <f>0</f>
        <v>0</v>
      </c>
      <c r="V75" s="1170">
        <f>0</f>
        <v>0</v>
      </c>
      <c r="W75" s="1170">
        <f>0</f>
        <v>0</v>
      </c>
      <c r="X75" s="1170">
        <f>0</f>
        <v>0</v>
      </c>
      <c r="Y75" s="1170">
        <f>0</f>
        <v>0</v>
      </c>
      <c r="Z75" s="1170">
        <f>0</f>
        <v>0</v>
      </c>
      <c r="AA75" s="1179">
        <f>0</f>
        <v>0</v>
      </c>
      <c r="AB75" s="1179">
        <f>0</f>
        <v>0</v>
      </c>
      <c r="AC75" s="1179">
        <f>0</f>
        <v>0</v>
      </c>
      <c r="AD75" s="1179">
        <f>0</f>
        <v>0</v>
      </c>
      <c r="AE75" s="1179">
        <f>-1</f>
        <v>-1</v>
      </c>
      <c r="AF75" s="1179">
        <f>1</f>
        <v>1</v>
      </c>
      <c r="AG75" s="1179">
        <f>0</f>
        <v>0</v>
      </c>
      <c r="AH75" s="1179">
        <f>0</f>
        <v>0</v>
      </c>
      <c r="AI75" s="1179">
        <f>0</f>
        <v>0</v>
      </c>
      <c r="AJ75" s="1179">
        <f>0</f>
        <v>0</v>
      </c>
      <c r="AK75" s="1179">
        <f>0</f>
        <v>0</v>
      </c>
      <c r="AL75" s="1170">
        <f>0</f>
        <v>0</v>
      </c>
      <c r="AM75" s="1179">
        <f>0</f>
        <v>0</v>
      </c>
      <c r="AN75" s="1179">
        <f>0</f>
        <v>0</v>
      </c>
      <c r="AO75" s="1179">
        <f>0</f>
        <v>0</v>
      </c>
      <c r="AP75" s="1170">
        <f>0</f>
        <v>0</v>
      </c>
      <c r="AQ75" s="1179">
        <f>0</f>
        <v>0</v>
      </c>
      <c r="AR75" s="1179">
        <f>0</f>
        <v>0</v>
      </c>
      <c r="AS75" s="1205">
        <f>q_PFOA_SORP*(S_PFOA-(X_PFOA/X_VSS)*(c_g_kg*c_mg_g)/K_OC_PFOA_EQ)</f>
        <v>2.8954370955997085E-6</v>
      </c>
      <c r="AU75" s="664">
        <f>E89*E75+F89*F75+G89*G75+H89*H75+I89*I75+J89*J75+K89*K75+L89*L75+M89*M75+N89*N75+O89*O75+P89*P75+Q89*Q75+R89*R75+S89*S75+T89*T75+U89*U75+V89*V75+W89*W75+X89*X75+Y89*Y75+Z89*Z75+AA89*AA75+AB89*AB75+AC89*AC75+AD89*AD75+AE89*AE75+AF89*AF75+AG89*AG75+AH89*AH75+AI89*AI75+AJ89*AJ75+AK89*AK75+AL89*AL75+AM89*AM75+AN89*AN75+AO89*AO75+AP89*AP75+AQ89*AQ75+AR89*AR75</f>
        <v>0</v>
      </c>
      <c r="AV75" s="664">
        <f>E90*E75+F90*F75+G90*G75+H90*H75+I90*I75+J90*J75+K90*K75+L90*L75+M90*M75+N90*N75+O90*O75+P90*P75+Q90*Q75+R90*R75+S90*S75+T90*T75+U90*U75+V90*V75+W90*W75+X90*X75+Y90*Y75+Z90*Z75+AA90*AA75+AB90*AB75+AC90*AC75+AD90*AD75+AE90*AE75+AF90*AF75+AG90*AG75+AH90*AH75+AI90*AI75+AJ90*AJ75+AK90*AK75+AL90*AL75+AM90*AM75+AN90*AN75+AO90*AO75+AP90*AP75+AQ90*AQ75+AR90*AR75</f>
        <v>0</v>
      </c>
      <c r="AW75" s="665">
        <f>E91*E75+F91*F75+G91*G75+H91*H75+I91*I75+J91*J75+K91*K75+L91*L75+M91*M75+N91*N75+O91*O75+P91*P75+Q91*Q75+R91*R75+S91*S75+T91*T75+U91*U75+V91*V75+W91*W75+X91*X75+Y91*Y75+Z91*Z75+AA91*AA75+AB91*AB75+AC91*AC75+AD91*AD75+AE91*AE75+AF91*AF75+AG91*AG75+AH91*AH75+AI91*AI75+AJ91*AJ75+AK91*AK75+AL91*AL75+AM91*AM75+AN91*AN75+AO91*AO75+AP91*AP75+AQ91*AQ75+AR91*AR75</f>
        <v>0</v>
      </c>
      <c r="AX75" s="664">
        <f>E92*E75+F92*F75+G92*G75+H92*H75+I92*I75+J92*J75+K92*K75+L92*L75+M92*M75+N92*N75+O92*O75+P92*P75+Q92*Q75+R92*R75+S92*S75+T92*T75+U92*U75+V92*V75+W92*W75+X92*X75+Y92*Y75+Z92*Z75+AA92*AA75+AB92*AB75+AC92*AC75+AD92*AD75+AE92*AE75+AF92*AF75+AG92*AG75+AH92*AH75+AI92*AI75+AJ92*AJ75+AK92*AK75+AL92*AL75+AM92*AM75+AN92*AN75+AO92*AO75+AP92*AP75+AQ92*AQ75+AR92*AR75</f>
        <v>0</v>
      </c>
      <c r="AY75" s="664">
        <f>E93*E75+F93*F75+G93*G75+H93*H75+I93*I75+J93*J75+K93*K75+L93*L75+M93*M75+N93*N75+O93*O75+P93*P75+Q93*Q75+R93*R75+S93*S75+T93*T75+U93*U75+V93*V75+W93*W75+X93*X75+Y93*Y75+Z93*Z75+AA93*AA75+AB93*AB75+AC93*AC75+AD93*AD75+AE93*AE75+AF93*AF75+AG93*AG75+AH93*AH75+AI93*AI75+AJ93*AJ75+AK93*AK75+AL93*AL75+AM93*AM75+AN93*AN75+AO93*AO75+AP93*AP75+AQ93*AQ75+AR93*AR75</f>
        <v>0</v>
      </c>
      <c r="AZ75" s="664">
        <f>E94*E75+F94*F75+G94*G75+H94*H75+I94*I75+J94*J75+K94*K75+L94*L75+M94*M75+N94*N75+O94*O75+P94*P75+Q94*Q75+R94*R75+S94*S75+T94*T75+U94*U75+V94*V75+W94*W75+X94*X75+Y94*Y75+Z94*Z75+AA94*AA75+AB94*AB75+AC94*AC75+AD94*AD75+AE94*AE75+AF94*AF75+AG94*AG75+AH94*AH75+AI94*AI75+AJ94*AJ75+AK94*AK75+AL94*AL75+AM94*AM75+AN94*AN75+AO94*AO75+AP94*AP75+AQ94*AQ75+AR94*AR75</f>
        <v>0</v>
      </c>
    </row>
    <row r="76" spans="2:52" ht="18" x14ac:dyDescent="0.25">
      <c r="B76" s="1068">
        <v>25</v>
      </c>
      <c r="C76" s="1069" t="s">
        <v>1810</v>
      </c>
      <c r="D76" s="1070" t="s">
        <v>2701</v>
      </c>
      <c r="E76" s="1170">
        <f>0</f>
        <v>0</v>
      </c>
      <c r="F76" s="1170">
        <f>0</f>
        <v>0</v>
      </c>
      <c r="G76" s="1170">
        <f>0</f>
        <v>0</v>
      </c>
      <c r="H76" s="1170">
        <f>0</f>
        <v>0</v>
      </c>
      <c r="I76" s="1170">
        <f>0</f>
        <v>0</v>
      </c>
      <c r="J76" s="1179">
        <f>0</f>
        <v>0</v>
      </c>
      <c r="K76" s="1170">
        <f>0</f>
        <v>0</v>
      </c>
      <c r="L76" s="1170">
        <f>0</f>
        <v>0</v>
      </c>
      <c r="M76" s="1170">
        <f>0</f>
        <v>0</v>
      </c>
      <c r="N76" s="1170">
        <f>0</f>
        <v>0</v>
      </c>
      <c r="O76" s="1170">
        <f>0</f>
        <v>0</v>
      </c>
      <c r="P76" s="1170">
        <f>0</f>
        <v>0</v>
      </c>
      <c r="Q76" s="1170">
        <f>0</f>
        <v>0</v>
      </c>
      <c r="R76" s="1170">
        <f>0</f>
        <v>0</v>
      </c>
      <c r="S76" s="1170">
        <f>0</f>
        <v>0</v>
      </c>
      <c r="T76" s="1170">
        <f>0</f>
        <v>0</v>
      </c>
      <c r="U76" s="1170">
        <f>0</f>
        <v>0</v>
      </c>
      <c r="V76" s="1170">
        <f>0</f>
        <v>0</v>
      </c>
      <c r="W76" s="1170">
        <f>0</f>
        <v>0</v>
      </c>
      <c r="X76" s="1170">
        <f>0</f>
        <v>0</v>
      </c>
      <c r="Y76" s="1170">
        <f>0</f>
        <v>0</v>
      </c>
      <c r="Z76" s="1170">
        <f>0</f>
        <v>0</v>
      </c>
      <c r="AA76" s="1179">
        <f>0</f>
        <v>0</v>
      </c>
      <c r="AB76" s="1179">
        <f>0</f>
        <v>0</v>
      </c>
      <c r="AC76" s="1179">
        <f>0</f>
        <v>0</v>
      </c>
      <c r="AD76" s="1179">
        <f>0</f>
        <v>0</v>
      </c>
      <c r="AE76" s="1179">
        <f>0</f>
        <v>0</v>
      </c>
      <c r="AF76" s="1179">
        <f>0</f>
        <v>0</v>
      </c>
      <c r="AG76" s="1179">
        <f>-1</f>
        <v>-1</v>
      </c>
      <c r="AH76" s="1179">
        <f>1</f>
        <v>1</v>
      </c>
      <c r="AI76" s="1179">
        <f>0</f>
        <v>0</v>
      </c>
      <c r="AJ76" s="1179">
        <f>0</f>
        <v>0</v>
      </c>
      <c r="AK76" s="1179">
        <f>0</f>
        <v>0</v>
      </c>
      <c r="AL76" s="1170">
        <f>0</f>
        <v>0</v>
      </c>
      <c r="AM76" s="1179">
        <f>0</f>
        <v>0</v>
      </c>
      <c r="AN76" s="1179">
        <f>0</f>
        <v>0</v>
      </c>
      <c r="AO76" s="1179">
        <f>0</f>
        <v>0</v>
      </c>
      <c r="AP76" s="1170">
        <f>0</f>
        <v>0</v>
      </c>
      <c r="AQ76" s="1179">
        <f>0</f>
        <v>0</v>
      </c>
      <c r="AR76" s="1179">
        <f>0</f>
        <v>0</v>
      </c>
      <c r="AS76" s="1205">
        <f>q_PFOS_SORP*(S_PFOS-(X_PFOS/X_VSS)*(c_g_kg*c_mg_g)/K_OC_PFOS_EQ)</f>
        <v>3.2438592738999267E-6</v>
      </c>
      <c r="AU76" s="664">
        <f>E89*E76+F89*F76+G89*G76+H89*H76+I89*I76+J89*J76+K89*K76+L89*L76+M89*M76+N89*N76+O89*O76+P89*P76+Q89*Q76+R89*R76+S89*S76+T89*T76+U89*U76+V89*V76+W89*W76+X89*X76+Y89*Y76+Z89*Z76+AA89*AA76+AB89*AB76+AC89*AC76+AD89*AD76+AE89*AE76+AF89*AF76+AG89*AG76+AH89*AH76+AI89*AI76+AJ89*AJ76+AK89*AK76+AL89*AL76+AM89*AM76+AN89*AN76+AO89*AO76+AP89*AP76+AQ89*AQ76+AR89*AR76</f>
        <v>0</v>
      </c>
      <c r="AV76" s="664">
        <f>E90*E76+F90*F76+G90*G76+H90*H76+I90*I76+J90*J76+K90*K76+L90*L76+M90*M76+N90*N76+O90*O76+P90*P76+Q90*Q76+R90*R76+S90*S76+T90*T76+U90*U76+V90*V76+W90*W76+X90*X76+Y90*Y76+Z90*Z76+AA90*AA76+AB90*AB76+AC90*AC76+AD90*AD76+AE90*AE76+AF90*AF76+AG90*AG76+AH90*AH76+AI90*AI76+AJ90*AJ76+AK90*AK76+AL90*AL76+AM90*AM76+AN90*AN76+AO90*AO76+AP90*AP76+AQ90*AQ76+AR90*AR76</f>
        <v>0</v>
      </c>
      <c r="AW76" s="665">
        <f>E91*E76+F91*F76+G91*G76+H91*H76+I91*I76+J91*J76+K91*K76+L91*L76+M91*M76+N91*N76+O91*O76+P91*P76+Q91*Q76+R91*R76+S91*S76+T91*T76+U91*U76+V91*V76+W91*W76+X91*X76+Y91*Y76+Z91*Z76+AA91*AA76+AB91*AB76+AC91*AC76+AD91*AD76+AE91*AE76+AF91*AF76+AG91*AG76+AH91*AH76+AI91*AI76+AJ91*AJ76+AK91*AK76+AL91*AL76+AM91*AM76+AN91*AN76+AO91*AO76+AP91*AP76+AQ91*AQ76+AR91*AR76</f>
        <v>0</v>
      </c>
      <c r="AX76" s="664">
        <f>E92*E76+F92*F76+G92*G76+H92*H76+I92*I76+J92*J76+K92*K76+L92*L76+M92*M76+N92*N76+O92*O76+P92*P76+Q92*Q76+R92*R76+S92*S76+T92*T76+U92*U76+V92*V76+W92*W76+X92*X76+Y92*Y76+Z92*Z76+AA92*AA76+AB92*AB76+AC92*AC76+AD92*AD76+AE92*AE76+AF92*AF76+AG92*AG76+AH92*AH76+AI92*AI76+AJ92*AJ76+AK92*AK76+AL92*AL76+AM92*AM76+AN92*AN76+AO92*AO76+AP92*AP76+AQ92*AQ76+AR92*AR76</f>
        <v>0</v>
      </c>
      <c r="AY76" s="664">
        <f>E93*E76+F93*F76+G93*G76+H93*H76+I93*I76+J93*J76+K93*K76+L93*L76+M93*M76+N93*N76+O93*O76+P93*P76+Q93*Q76+R93*R76+S93*S76+T93*T76+U93*U76+V93*V76+W93*W76+X93*X76+Y93*Y76+Z93*Z76+AA93*AA76+AB93*AB76+AC93*AC76+AD93*AD76+AE93*AE76+AF93*AF76+AG93*AG76+AH93*AH76+AI93*AI76+AJ93*AJ76+AK93*AK76+AL93*AL76+AM93*AM76+AN93*AN76+AO93*AO76+AP93*AP76+AQ93*AQ76+AR93*AR76</f>
        <v>0</v>
      </c>
      <c r="AZ76" s="664">
        <f>E94*E76+F94*F76+G94*G76+H94*H76+I94*I76+J94*J76+K94*K76+L94*L76+M94*M76+N94*N76+O94*O76+P94*P76+Q94*Q76+R94*R76+S94*S76+T94*T76+U94*U76+V94*V76+W94*W76+X94*X76+Y94*Y76+Z94*Z76+AA94*AA76+AB94*AB76+AC94*AC76+AD94*AD76+AE94*AE76+AF94*AF76+AG94*AG76+AH94*AH76+AI94*AI76+AJ94*AJ76+AK94*AK76+AL94*AL76+AM94*AM76+AN94*AN76+AO94*AO76+AP94*AP76+AQ94*AQ76+AR94*AR76</f>
        <v>0</v>
      </c>
    </row>
    <row r="77" spans="2:52" ht="18" x14ac:dyDescent="0.25">
      <c r="B77" s="1038">
        <v>26</v>
      </c>
      <c r="C77" s="1039" t="s">
        <v>2184</v>
      </c>
      <c r="D77" s="1040" t="s">
        <v>2183</v>
      </c>
      <c r="E77" s="1171">
        <f>0</f>
        <v>0</v>
      </c>
      <c r="F77" s="1171">
        <f>0</f>
        <v>0</v>
      </c>
      <c r="G77" s="1171">
        <f>0</f>
        <v>0</v>
      </c>
      <c r="H77" s="1171">
        <f>0</f>
        <v>0</v>
      </c>
      <c r="I77" s="1171">
        <f>0</f>
        <v>0</v>
      </c>
      <c r="J77" s="1171">
        <f>0</f>
        <v>0</v>
      </c>
      <c r="K77" s="1171">
        <f>0</f>
        <v>0</v>
      </c>
      <c r="L77" s="1171">
        <f>0</f>
        <v>0</v>
      </c>
      <c r="M77" s="1171">
        <f>0</f>
        <v>0</v>
      </c>
      <c r="N77" s="1171">
        <f>0</f>
        <v>0</v>
      </c>
      <c r="O77" s="1171">
        <f>0</f>
        <v>0</v>
      </c>
      <c r="P77" s="1171">
        <f>0</f>
        <v>0</v>
      </c>
      <c r="Q77" s="1171">
        <f>0</f>
        <v>0</v>
      </c>
      <c r="R77" s="1171">
        <f>0</f>
        <v>0</v>
      </c>
      <c r="S77" s="1171">
        <f>0</f>
        <v>0</v>
      </c>
      <c r="T77" s="1171">
        <f>0</f>
        <v>0</v>
      </c>
      <c r="U77" s="1171">
        <f>0</f>
        <v>0</v>
      </c>
      <c r="V77" s="1171">
        <f>0</f>
        <v>0</v>
      </c>
      <c r="W77" s="1171">
        <f>0</f>
        <v>0</v>
      </c>
      <c r="X77" s="1171">
        <f>0</f>
        <v>0</v>
      </c>
      <c r="Y77" s="1171">
        <f>0</f>
        <v>0</v>
      </c>
      <c r="Z77" s="1171">
        <f>0</f>
        <v>0</v>
      </c>
      <c r="AA77" s="1171">
        <f>0</f>
        <v>0</v>
      </c>
      <c r="AB77" s="1171">
        <f>0</f>
        <v>0</v>
      </c>
      <c r="AC77" s="1171">
        <f>0</f>
        <v>0</v>
      </c>
      <c r="AD77" s="1171">
        <f>0</f>
        <v>0</v>
      </c>
      <c r="AE77" s="1171">
        <f>0</f>
        <v>0</v>
      </c>
      <c r="AF77" s="1171">
        <f>0</f>
        <v>0</v>
      </c>
      <c r="AG77" s="1171">
        <f>0</f>
        <v>0</v>
      </c>
      <c r="AH77" s="1171">
        <f>0</f>
        <v>0</v>
      </c>
      <c r="AI77" s="1171">
        <f>0</f>
        <v>0</v>
      </c>
      <c r="AJ77" s="1190">
        <f>1</f>
        <v>1</v>
      </c>
      <c r="AK77" s="1171">
        <f>0</f>
        <v>0</v>
      </c>
      <c r="AL77" s="1171">
        <f>0</f>
        <v>0</v>
      </c>
      <c r="AM77" s="1171">
        <f>0</f>
        <v>0</v>
      </c>
      <c r="AN77" s="1171">
        <f>0</f>
        <v>0</v>
      </c>
      <c r="AO77" s="1171">
        <f>0</f>
        <v>0</v>
      </c>
      <c r="AP77" s="1171">
        <f>0</f>
        <v>0</v>
      </c>
      <c r="AQ77" s="1171">
        <f>0</f>
        <v>0</v>
      </c>
      <c r="AR77" s="1171">
        <f>0</f>
        <v>0</v>
      </c>
      <c r="AS77" s="1194">
        <f>q_ALPHA_O2*X_VSS*d_ampALPHA*(S_ALPHA_sat-S_ALPHA)</f>
        <v>1.0775839871407114</v>
      </c>
      <c r="AU77" s="664">
        <f>E89*E77+F89*F77+G89*G77+H89*H77+I89*I77+J89*J77+K89*K77+L89*L77+M89*M77+N89*N77+O89*O77+P89*P77+Q89*Q77+R89*R77+S89*S77+T89*T77+U89*U77+V89*V77+W89*W77+X89*X77+Y89*Y77+Z89*Z77+AA89*AA77+AB89*AB77+AC89*AC77+AD89*AD77+AE89*AE77+AF89*AF77+AG89*AG77+AH89*AH77+AI89*AI77+AJ89*AJ77+AK89*AK77+AL89*AL77+AM89*AM77+AN89*AN77+AO89*AO77+AP89*AP77+AQ89*AQ77+AR89*AR77</f>
        <v>0</v>
      </c>
      <c r="AV77" s="664">
        <f>E90*E77+F90*F77+G90*G77+H90*H77+I90*I77+J90*J77+K90*K77+L90*L77+M90*M77+N90*N77+O90*O77+P90*P77+Q90*Q77+R90*R77+S90*S77+T90*T77+U90*U77+V90*V77+W90*W77+X90*X77+Y90*Y77+Z90*Z77+AA90*AA77+AB90*AB77+AC90*AC77+AD90*AD77+AE90*AE77+AF90*AF77+AG90*AG77+AH90*AH77+AI90*AI77+AJ90*AJ77+AK90*AK77+AL90*AL77+AM90*AM77+AN90*AN77+AO90*AO77+AP90*AP77+AQ90*AQ77+AR90*AR77</f>
        <v>0</v>
      </c>
      <c r="AW77" s="665">
        <f>E91*E77+F91*F77+G91*G77+H91*H77+I91*I77+J91*J77+K91*K77+L91*L77+M91*M77+N91*N77+O91*O77+P91*P77+Q91*Q77+R91*R77+S91*S77+T91*T77+U91*U77+V91*V77+W91*W77+X91*X77+Y91*Y77+Z91*Z77+AA91*AA77+AB91*AB77+AC91*AC77+AD91*AD77+AE91*AE77+AF91*AF77+AG91*AG77+AH91*AH77+AI91*AI77+AJ91*AJ77+AK91*AK77+AL91*AL77+AM91*AM77+AN91*AN77+AO91*AO77+AP91*AP77+AQ91*AQ77+AR91*AR77</f>
        <v>0</v>
      </c>
      <c r="AX77" s="664">
        <f>E92*E77+F92*F77+G92*G77+H92*H77+I92*I77+J92*J77+K92*K77+L92*L77+M92*M77+N92*N77+O92*O77+P92*P77+Q92*Q77+R92*R77+S92*S77+T92*T77+U92*U77+V92*V77+W92*W77+X92*X77+Y92*Y77+Z92*Z77+AA92*AA77+AB92*AB77+AC92*AC77+AD92*AD77+AE92*AE77+AF92*AF77+AG92*AG77+AH92*AH77+AI92*AI77+AJ92*AJ77+AK92*AK77+AL92*AL77+AM92*AM77+AN92*AN77+AO92*AO77+AP92*AP77+AQ92*AQ77+AR92*AR77</f>
        <v>0</v>
      </c>
      <c r="AY77" s="664">
        <f>E93*E77+F93*F77+G93*G77+H93*H77+I93*I77+J93*J77+K93*K77+L93*L77+M93*M77+N93*N77+O93*O77+P93*P77+Q93*Q77+R93*R77+S93*S77+T93*T77+U93*U77+V93*V77+W93*W77+X93*X77+Y93*Y77+Z93*Z77+AA93*AA77+AB93*AB77+AC93*AC77+AD93*AD77+AE93*AE77+AF93*AF77+AG93*AG77+AH93*AH77+AI93*AI77+AJ93*AJ77+AK93*AK77+AL93*AL77+AM93*AM77+AN93*AN77+AO93*AO77+AP93*AP77+AQ93*AQ77+AR93*AR77</f>
        <v>0</v>
      </c>
      <c r="AZ77" s="664">
        <f>E94*E77+F94*F77+G94*G77+H94*H77+I94*I77+J94*J77+K94*K77+L94*L77+M94*M77+N94*N77+O94*O77+P94*P77+Q94*Q77+R94*R77+S94*S77+T94*T77+U94*U77+V94*V77+W94*W77+X94*X77+Y94*Y77+Z94*Z77+AA94*AA77+AB94*AB77+AC94*AC77+AD94*AD77+AE94*AE77+AF94*AF77+AG94*AG77+AH94*AH77+AI94*AI77+AJ94*AJ77+AK94*AK77+AL94*AL77+AM94*AM77+AN94*AN77+AO94*AO77+AP94*AP77+AQ94*AQ77+AR94*AR77</f>
        <v>0</v>
      </c>
    </row>
    <row r="78" spans="2:52" ht="18" x14ac:dyDescent="0.25">
      <c r="B78" s="438">
        <v>27</v>
      </c>
      <c r="C78" s="726" t="s">
        <v>2296</v>
      </c>
      <c r="D78" s="727" t="s">
        <v>1815</v>
      </c>
      <c r="E78" s="1172">
        <f>0</f>
        <v>0</v>
      </c>
      <c r="F78" s="1172">
        <f>0</f>
        <v>0</v>
      </c>
      <c r="G78" s="1172">
        <f>0</f>
        <v>0</v>
      </c>
      <c r="H78" s="1172">
        <f>0</f>
        <v>0</v>
      </c>
      <c r="I78" s="1172">
        <f>0</f>
        <v>0</v>
      </c>
      <c r="J78" s="1180">
        <f>0</f>
        <v>0</v>
      </c>
      <c r="K78" s="1172">
        <f>0</f>
        <v>0</v>
      </c>
      <c r="L78" s="1172">
        <f>0</f>
        <v>0</v>
      </c>
      <c r="M78" s="1172">
        <f>0</f>
        <v>0</v>
      </c>
      <c r="N78" s="1172">
        <f>0</f>
        <v>0</v>
      </c>
      <c r="O78" s="1172">
        <f>0</f>
        <v>0</v>
      </c>
      <c r="P78" s="1172">
        <f>0</f>
        <v>0</v>
      </c>
      <c r="Q78" s="1172">
        <f>0</f>
        <v>0</v>
      </c>
      <c r="R78" s="1172">
        <f>0</f>
        <v>0</v>
      </c>
      <c r="S78" s="1172">
        <f>0</f>
        <v>0</v>
      </c>
      <c r="T78" s="1172">
        <f>0</f>
        <v>0</v>
      </c>
      <c r="U78" s="1172">
        <f>0</f>
        <v>0</v>
      </c>
      <c r="V78" s="1172">
        <f>0</f>
        <v>0</v>
      </c>
      <c r="W78" s="1172">
        <f>1</f>
        <v>1</v>
      </c>
      <c r="X78" s="1172">
        <f>0</f>
        <v>0</v>
      </c>
      <c r="Y78" s="1172">
        <f>0</f>
        <v>0</v>
      </c>
      <c r="Z78" s="1172">
        <f>0</f>
        <v>0</v>
      </c>
      <c r="AA78" s="1180">
        <f>0</f>
        <v>0</v>
      </c>
      <c r="AB78" s="1180">
        <f>0</f>
        <v>0</v>
      </c>
      <c r="AC78" s="1180">
        <f>0</f>
        <v>0</v>
      </c>
      <c r="AD78" s="1180">
        <f>0</f>
        <v>0</v>
      </c>
      <c r="AE78" s="1180">
        <f>0</f>
        <v>0</v>
      </c>
      <c r="AF78" s="1180">
        <f>0</f>
        <v>0</v>
      </c>
      <c r="AG78" s="1180">
        <f>0</f>
        <v>0</v>
      </c>
      <c r="AH78" s="1180">
        <f>0</f>
        <v>0</v>
      </c>
      <c r="AI78" s="1180">
        <f>0</f>
        <v>0</v>
      </c>
      <c r="AJ78" s="1180">
        <f>0</f>
        <v>0</v>
      </c>
      <c r="AK78" s="1180">
        <f>-1</f>
        <v>-1</v>
      </c>
      <c r="AL78" s="1180">
        <f>0</f>
        <v>0</v>
      </c>
      <c r="AM78" s="1180">
        <f>0</f>
        <v>0</v>
      </c>
      <c r="AN78" s="1180">
        <f>0</f>
        <v>0</v>
      </c>
      <c r="AO78" s="1180">
        <f>0</f>
        <v>0</v>
      </c>
      <c r="AP78" s="1180">
        <f>0</f>
        <v>0</v>
      </c>
      <c r="AQ78" s="1180">
        <f>0</f>
        <v>0</v>
      </c>
      <c r="AR78" s="1180">
        <f>0</f>
        <v>0</v>
      </c>
      <c r="AS78" s="1206">
        <f>k_LaGCH4_bub*(S_GCH4_bub_sat-S_CH4)</f>
        <v>-84.435000000000002</v>
      </c>
      <c r="AU78" s="664">
        <f>E89*E78+F89*F78+G89*G78+H89*H78+I89*I78+J89*J78+K89*K78+L89*L78+M89*M78+N89*N78+O89*O78+P89*P78+Q89*Q78+R89*R78+S89*S78+T89*T78+U89*U78+V89*V78+W89*W78+X89*X78+Y89*Y78+Z89*Z78+AA89*AA78+AB89*AB78+AC89*AC78+AD89*AD78+AE89*AE78+AF89*AF78+AG89*AG78+AH89*AH78+AI89*AI78+AJ89*AJ78+AK89*AK78+AL89*AL78+AM89*AM78+AN89*AN78+AO89*AO78+AP89*AP78+AQ89*AQ78+AR89*AR78</f>
        <v>0</v>
      </c>
      <c r="AV78" s="664">
        <f>E90*E78+F90*F78+G90*G78+H90*H78+I90*I78+J90*J78+K90*K78+L90*L78+M90*M78+N90*N78+O90*O78+P90*P78+Q90*Q78+R90*R78+S90*S78+T90*T78+U90*U78+V90*V78+W90*W78+X90*X78+Y90*Y78+Z90*Z78+AA90*AA78+AB90*AB78+AC90*AC78+AD90*AD78+AE90*AE78+AF90*AF78+AG90*AG78+AH90*AH78+AI90*AI78+AJ90*AJ78+AK90*AK78+AL90*AL78+AM90*AM78+AN90*AN78+AO90*AO78+AP90*AP78+AQ90*AQ78+AR90*AR78</f>
        <v>0</v>
      </c>
      <c r="AW78" s="665">
        <f>E91*E78+F91*F78+G91*G78+H91*H78+I91*I78+J91*J78+K91*K78+L91*L78+M91*M78+N91*N78+O91*O78+P91*P78+Q91*Q78+R91*R78+S91*S78+T91*T78+U91*U78+V91*V78+W91*W78+X91*X78+Y91*Y78+Z91*Z78+AA91*AA78+AB91*AB78+AC91*AC78+AD91*AD78+AE91*AE78+AF91*AF78+AG91*AG78+AH91*AH78+AI91*AI78+AJ91*AJ78+AK91*AK78+AL91*AL78+AM91*AM78+AN91*AN78+AO91*AO78+AP91*AP78+AQ91*AQ78+AR91*AR78</f>
        <v>0</v>
      </c>
      <c r="AX78" s="664">
        <f>E92*E78+F92*F78+G92*G78+H92*H78+I92*I78+J92*J78+K92*K78+L92*L78+M92*M78+N92*N78+O92*O78+P92*P78+Q92*Q78+R92*R78+S92*S78+T92*T78+U92*U78+V92*V78+W92*W78+X92*X78+Y92*Y78+Z92*Z78+AA92*AA78+AB92*AB78+AC92*AC78+AD92*AD78+AE92*AE78+AF92*AF78+AG92*AG78+AH92*AH78+AI92*AI78+AJ92*AJ78+AK92*AK78+AL92*AL78+AM92*AM78+AN92*AN78+AO92*AO78+AP92*AP78+AQ92*AQ78+AR92*AR78</f>
        <v>0</v>
      </c>
      <c r="AY78" s="664">
        <f>E93*E78+F93*F78+G93*G78+H93*H78+I93*I78+J93*J78+K93*K78+L93*L78+M93*M78+N93*N78+O93*O78+P93*P78+Q93*Q78+R93*R78+S93*S78+T93*T78+U93*U78+V93*V78+W93*W78+X93*X78+Y93*Y78+Z93*Z78+AA93*AA78+AB93*AB78+AC93*AC78+AD93*AD78+AE93*AE78+AF93*AF78+AG93*AG78+AH93*AH78+AI93*AI78+AJ93*AJ78+AK93*AK78+AL93*AL78+AM93*AM78+AN93*AN78+AO93*AO78+AP93*AP78+AQ93*AQ78+AR93*AR78</f>
        <v>0</v>
      </c>
      <c r="AZ78" s="664">
        <f>E94*E78+F94*F78+G94*G78+H94*H78+I94*I78+J94*J78+K94*K78+L94*L78+M94*M78+N94*N78+O94*O78+P94*P78+Q94*Q78+R94*R78+S94*S78+T94*T78+U94*U78+V94*V78+W94*W78+X94*X78+Y94*Y78+Z94*Z78+AA94*AA78+AB94*AB78+AC94*AC78+AD94*AD78+AE94*AE78+AF94*AF78+AG94*AG78+AH94*AH78+AI94*AI78+AJ94*AJ78+AK94*AK78+AL94*AL78+AM94*AM78+AN94*AN78+AO94*AO78+AP94*AP78+AQ94*AQ78+AR94*AR78</f>
        <v>0</v>
      </c>
    </row>
    <row r="79" spans="2:52" ht="18" x14ac:dyDescent="0.25">
      <c r="B79" s="438">
        <v>28</v>
      </c>
      <c r="C79" s="726" t="s">
        <v>2297</v>
      </c>
      <c r="D79" s="727" t="s">
        <v>1816</v>
      </c>
      <c r="E79" s="1172">
        <f>0</f>
        <v>0</v>
      </c>
      <c r="F79" s="1172">
        <f>0</f>
        <v>0</v>
      </c>
      <c r="G79" s="1172">
        <f>0</f>
        <v>0</v>
      </c>
      <c r="H79" s="1172">
        <f>0</f>
        <v>0</v>
      </c>
      <c r="I79" s="1172">
        <f>0</f>
        <v>0</v>
      </c>
      <c r="J79" s="1180">
        <f>0</f>
        <v>0</v>
      </c>
      <c r="K79" s="1172">
        <f>0</f>
        <v>0</v>
      </c>
      <c r="L79" s="1172">
        <f>0</f>
        <v>0</v>
      </c>
      <c r="M79" s="1172">
        <f>0</f>
        <v>0</v>
      </c>
      <c r="N79" s="1172">
        <f>0</f>
        <v>0</v>
      </c>
      <c r="O79" s="1172">
        <f>0</f>
        <v>0</v>
      </c>
      <c r="P79" s="1172">
        <f>0</f>
        <v>0</v>
      </c>
      <c r="Q79" s="1172">
        <f>0</f>
        <v>0</v>
      </c>
      <c r="R79" s="1172">
        <f>0</f>
        <v>0</v>
      </c>
      <c r="S79" s="1172">
        <f>0</f>
        <v>0</v>
      </c>
      <c r="T79" s="1172">
        <f>0</f>
        <v>0</v>
      </c>
      <c r="U79" s="1172">
        <f>0</f>
        <v>0</v>
      </c>
      <c r="V79" s="1172">
        <f>0</f>
        <v>0</v>
      </c>
      <c r="W79" s="1172">
        <f>0</f>
        <v>0</v>
      </c>
      <c r="X79" s="1172">
        <f>1</f>
        <v>1</v>
      </c>
      <c r="Y79" s="1172">
        <f>0</f>
        <v>0</v>
      </c>
      <c r="Z79" s="1172">
        <f>0</f>
        <v>0</v>
      </c>
      <c r="AA79" s="1180">
        <f>0</f>
        <v>0</v>
      </c>
      <c r="AB79" s="1180">
        <f>0</f>
        <v>0</v>
      </c>
      <c r="AC79" s="1180">
        <f>0</f>
        <v>0</v>
      </c>
      <c r="AD79" s="1180">
        <f>0</f>
        <v>0</v>
      </c>
      <c r="AE79" s="1180">
        <f>0</f>
        <v>0</v>
      </c>
      <c r="AF79" s="1180">
        <f>0</f>
        <v>0</v>
      </c>
      <c r="AG79" s="1180">
        <f>0</f>
        <v>0</v>
      </c>
      <c r="AH79" s="1180">
        <f>0</f>
        <v>0</v>
      </c>
      <c r="AI79" s="1180">
        <f>0</f>
        <v>0</v>
      </c>
      <c r="AJ79" s="1180">
        <f>0</f>
        <v>0</v>
      </c>
      <c r="AK79" s="1180">
        <f>0</f>
        <v>0</v>
      </c>
      <c r="AL79" s="1180">
        <f>-1</f>
        <v>-1</v>
      </c>
      <c r="AM79" s="1180">
        <f>0</f>
        <v>0</v>
      </c>
      <c r="AN79" s="1180">
        <f>0</f>
        <v>0</v>
      </c>
      <c r="AO79" s="1180">
        <f>0</f>
        <v>0</v>
      </c>
      <c r="AP79" s="1180">
        <f>0</f>
        <v>0</v>
      </c>
      <c r="AQ79" s="1180">
        <f>0</f>
        <v>0</v>
      </c>
      <c r="AR79" s="1180">
        <f>0</f>
        <v>0</v>
      </c>
      <c r="AS79" s="1206">
        <f>k_LaGH2_bub*(S_GH2_bub_sat-S_H2)</f>
        <v>-146.73500000000001</v>
      </c>
      <c r="AU79" s="664">
        <f>E89*E79+F89*F79+G89*G79+H89*H79+I89*I79+J89*J79+K89*K79+L89*L79+M89*M79+N89*N79+O89*O79+P89*P79+Q89*Q79+R89*R79+S89*S79+T89*T79+U89*U79+V89*V79+W89*W79+X89*X79+Y89*Y79+Z89*Z79+AA89*AA79+AB89*AB79+AC89*AC79+AD89*AD79+AE89*AE79+AF89*AF79+AG89*AG79+AH89*AH79+AI89*AI79+AJ89*AJ79+AK89*AK79+AL89*AL79+AM89*AM79+AN89*AN79+AO89*AO79+AP89*AP79+AQ89*AQ79+AR89*AR79</f>
        <v>0</v>
      </c>
      <c r="AV79" s="664">
        <f>E90*E79+F90*F79+G90*G79+H90*H79+I90*I79+J90*J79+K90*K79+L90*L79+M90*M79+N90*N79+O90*O79+P90*P79+Q90*Q79+R90*R79+S90*S79+T90*T79+U90*U79+V90*V79+W90*W79+X90*X79+Y90*Y79+Z90*Z79+AA90*AA79+AB90*AB79+AC90*AC79+AD90*AD79+AE90*AE79+AF90*AF79+AG90*AG79+AH90*AH79+AI90*AI79+AJ90*AJ79+AK90*AK79+AL90*AL79+AM90*AM79+AN90*AN79+AO90*AO79+AP90*AP79+AQ90*AQ79+AR90*AR79</f>
        <v>0</v>
      </c>
      <c r="AW79" s="665">
        <f>E91*E79+F91*F79+G91*G79+H91*H79+I91*I79+J91*J79+K91*K79+L91*L79+M91*M79+N91*N79+O91*O79+P91*P79+Q91*Q79+R91*R79+S91*S79+T91*T79+U91*U79+V91*V79+W91*W79+X91*X79+Y91*Y79+Z91*Z79+AA91*AA79+AB91*AB79+AC91*AC79+AD91*AD79+AE91*AE79+AF91*AF79+AG91*AG79+AH91*AH79+AI91*AI79+AJ91*AJ79+AK91*AK79+AL91*AL79+AM91*AM79+AN91*AN79+AO91*AO79+AP91*AP79+AQ91*AQ79+AR91*AR79</f>
        <v>0</v>
      </c>
      <c r="AX79" s="664">
        <f>E92*E79+F92*F79+G92*G79+H92*H79+I92*I79+J92*J79+K92*K79+L92*L79+M92*M79+N92*N79+O92*O79+P92*P79+Q92*Q79+R92*R79+S92*S79+T92*T79+U92*U79+V92*V79+W92*W79+X92*X79+Y92*Y79+Z92*Z79+AA92*AA79+AB92*AB79+AC92*AC79+AD92*AD79+AE92*AE79+AF92*AF79+AG92*AG79+AH92*AH79+AI92*AI79+AJ92*AJ79+AK92*AK79+AL92*AL79+AM92*AM79+AN92*AN79+AO92*AO79+AP92*AP79+AQ92*AQ79+AR92*AR79</f>
        <v>0</v>
      </c>
      <c r="AY79" s="664">
        <f>E93*E79+F93*F79+G93*G79+H93*H79+I93*I79+J93*J79+K93*K79+L93*L79+M93*M79+N93*N79+O93*O79+P93*P79+Q93*Q79+R93*R79+S93*S79+T93*T79+U93*U79+V93*V79+W93*W79+X93*X79+Y93*Y79+Z93*Z79+AA93*AA79+AB93*AB79+AC93*AC79+AD93*AD79+AE93*AE79+AF93*AF79+AG93*AG79+AH93*AH79+AI93*AI79+AJ93*AJ79+AK93*AK79+AL93*AL79+AM93*AM79+AN93*AN79+AO93*AO79+AP93*AP79+AQ93*AQ79+AR93*AR79</f>
        <v>0</v>
      </c>
      <c r="AZ79" s="664">
        <f>E94*E79+F94*F79+G94*G79+H94*H79+I94*I79+J94*J79+K94*K79+L94*L79+M94*M79+N94*N79+O94*O79+P94*P79+Q94*Q79+R94*R79+S94*S79+T94*T79+U94*U79+V94*V79+W94*W79+X94*X79+Y94*Y79+Z94*Z79+AA94*AA79+AB94*AB79+AC94*AC79+AD94*AD79+AE94*AE79+AF94*AF79+AG94*AG79+AH94*AH79+AI94*AI79+AJ94*AJ79+AK94*AK79+AL94*AL79+AM94*AM79+AN94*AN79+AO94*AO79+AP94*AP79+AQ94*AQ79+AR94*AR79</f>
        <v>0</v>
      </c>
    </row>
    <row r="80" spans="2:52" ht="18" x14ac:dyDescent="0.25">
      <c r="B80" s="438">
        <v>29</v>
      </c>
      <c r="C80" s="726" t="s">
        <v>2349</v>
      </c>
      <c r="D80" s="727" t="s">
        <v>1817</v>
      </c>
      <c r="E80" s="1172">
        <f>0</f>
        <v>0</v>
      </c>
      <c r="F80" s="1172">
        <f>0</f>
        <v>0</v>
      </c>
      <c r="G80" s="1172">
        <f>0</f>
        <v>0</v>
      </c>
      <c r="H80" s="1172">
        <f>0</f>
        <v>0</v>
      </c>
      <c r="I80" s="1172">
        <f>0</f>
        <v>0</v>
      </c>
      <c r="J80" s="1180">
        <f>0</f>
        <v>0</v>
      </c>
      <c r="K80" s="1172">
        <f>0</f>
        <v>0</v>
      </c>
      <c r="L80" s="1172">
        <f>0</f>
        <v>0</v>
      </c>
      <c r="M80" s="1172">
        <f>0</f>
        <v>0</v>
      </c>
      <c r="N80" s="1172">
        <f>0</f>
        <v>0</v>
      </c>
      <c r="O80" s="1172">
        <f>0</f>
        <v>0</v>
      </c>
      <c r="P80" s="1172">
        <f>0</f>
        <v>0</v>
      </c>
      <c r="Q80" s="1172">
        <f>0</f>
        <v>0</v>
      </c>
      <c r="R80" s="1172">
        <f>0</f>
        <v>0</v>
      </c>
      <c r="S80" s="1172">
        <f>0</f>
        <v>0</v>
      </c>
      <c r="T80" s="1172">
        <f>0</f>
        <v>0</v>
      </c>
      <c r="U80" s="1172">
        <f>0</f>
        <v>0</v>
      </c>
      <c r="V80" s="1172">
        <f>1</f>
        <v>1</v>
      </c>
      <c r="W80" s="1172">
        <f>0</f>
        <v>0</v>
      </c>
      <c r="X80" s="1172">
        <f>0</f>
        <v>0</v>
      </c>
      <c r="Y80" s="1172">
        <f>0</f>
        <v>0</v>
      </c>
      <c r="Z80" s="1172">
        <f>0</f>
        <v>0</v>
      </c>
      <c r="AA80" s="1180">
        <f>0</f>
        <v>0</v>
      </c>
      <c r="AB80" s="1180">
        <f>0</f>
        <v>0</v>
      </c>
      <c r="AC80" s="1180">
        <f>0</f>
        <v>0</v>
      </c>
      <c r="AD80" s="1180">
        <f>0</f>
        <v>0</v>
      </c>
      <c r="AE80" s="1180">
        <f>0</f>
        <v>0</v>
      </c>
      <c r="AF80" s="1180">
        <f>0</f>
        <v>0</v>
      </c>
      <c r="AG80" s="1180">
        <f>0</f>
        <v>0</v>
      </c>
      <c r="AH80" s="1180">
        <f>0</f>
        <v>0</v>
      </c>
      <c r="AI80" s="1180">
        <f>0</f>
        <v>0</v>
      </c>
      <c r="AJ80" s="1180">
        <f>0</f>
        <v>0</v>
      </c>
      <c r="AK80" s="1180">
        <f>0</f>
        <v>0</v>
      </c>
      <c r="AL80" s="1180">
        <f>0</f>
        <v>0</v>
      </c>
      <c r="AM80" s="1180">
        <f>-1</f>
        <v>-1</v>
      </c>
      <c r="AN80" s="1172">
        <f>0</f>
        <v>0</v>
      </c>
      <c r="AO80" s="1180">
        <f>0</f>
        <v>0</v>
      </c>
      <c r="AP80" s="1180">
        <f>0</f>
        <v>0</v>
      </c>
      <c r="AQ80" s="1180">
        <f>0</f>
        <v>0</v>
      </c>
      <c r="AR80" s="1172">
        <f>0</f>
        <v>0</v>
      </c>
      <c r="AS80" s="1206">
        <f>k_LaGO2_bub*(S_GO2_bub_sat-S_O2)</f>
        <v>800</v>
      </c>
      <c r="AU80" s="664">
        <f>E89*E80+F89*F80+G89*G80+H89*H80+I89*I80+J89*J80+K89*K80+L89*L80+M89*M80+N89*N80+O89*O80+P89*P80+Q89*Q80+R89*R80+S89*S80+T89*T80+U89*U80+V89*V80+W89*W80+X89*X80+Y89*Y80+Z89*Z80+AA89*AA80+AB89*AB80+AC89*AC80+AD89*AD80+AE89*AE80+AF89*AF80+AG89*AG80+AH89*AH80+AI89*AI80+AJ89*AJ80+AK89*AK80+AL89*AL80+AM89*AM80+AN89*AN80+AO89*AO80+AP89*AP80+AQ89*AQ80+AR89*AR80</f>
        <v>0</v>
      </c>
      <c r="AV80" s="664">
        <f>E90*E80+F90*F80+G90*G80+H90*H80+I90*I80+J90*J80+K90*K80+L90*L80+M90*M80+N90*N80+O90*O80+P90*P80+Q90*Q80+R90*R80+S90*S80+T90*T80+U90*U80+V90*V80+W90*W80+X90*X80+Y90*Y80+Z90*Z80+AA90*AA80+AB90*AB80+AC90*AC80+AD90*AD80+AE90*AE80+AF90*AF80+AG90*AG80+AH90*AH80+AI90*AI80+AJ90*AJ80+AK90*AK80+AL90*AL80+AM90*AM80+AN90*AN80+AO90*AO80+AP90*AP80+AQ90*AQ80+AR90*AR80</f>
        <v>0</v>
      </c>
      <c r="AW80" s="665">
        <f>E91*E80+F91*F80+G91*G80+H91*H80+I91*I80+J91*J80+K91*K80+L91*L80+M91*M80+N91*N80+O91*O80+P91*P80+Q91*Q80+R91*R80+S91*S80+T91*T80+U91*U80+V91*V80+W91*W80+X91*X80+Y91*Y80+Z91*Z80+AA91*AA80+AB91*AB80+AC91*AC80+AD91*AD80+AE91*AE80+AF91*AF80+AG91*AG80+AH91*AH80+AI91*AI80+AJ91*AJ80+AK91*AK80+AL91*AL80+AM91*AM80+AN91*AN80+AO91*AO80+AP91*AP80+AQ91*AQ80+AR91*AR80</f>
        <v>0</v>
      </c>
      <c r="AX80" s="664">
        <f>E92*E80+F92*F80+G92*G80+H92*H80+I92*I80+J92*J80+K92*K80+L92*L80+M92*M80+N92*N80+O92*O80+P92*P80+Q92*Q80+R92*R80+S92*S80+T92*T80+U92*U80+V92*V80+W92*W80+X92*X80+Y92*Y80+Z92*Z80+AA92*AA80+AB92*AB80+AC92*AC80+AD92*AD80+AE92*AE80+AF92*AF80+AG92*AG80+AH92*AH80+AI92*AI80+AJ92*AJ80+AK92*AK80+AL92*AL80+AM92*AM80+AN92*AN80+AO92*AO80+AP92*AP80+AQ92*AQ80+AR92*AR80</f>
        <v>0</v>
      </c>
      <c r="AY80" s="664">
        <f>E93*E80+F93*F80+G93*G80+H93*H80+I93*I80+J93*J80+K93*K80+L93*L80+M93*M80+N93*N80+O93*O80+P93*P80+Q93*Q80+R93*R80+S93*S80+T93*T80+U93*U80+V93*V80+W93*W80+X93*X80+Y93*Y80+Z93*Z80+AA93*AA80+AB93*AB80+AC93*AC80+AD93*AD80+AE93*AE80+AF93*AF80+AG93*AG80+AH93*AH80+AI93*AI80+AJ93*AJ80+AK93*AK80+AL93*AL80+AM93*AM80+AN93*AN80+AO93*AO80+AP93*AP80+AQ93*AQ80+AR93*AR80</f>
        <v>0</v>
      </c>
      <c r="AZ80" s="664">
        <f>E94*E80+F94*F80+G94*G80+H94*H80+I94*I80+J94*J80+K94*K80+L94*L80+M94*M80+N94*N80+O94*O80+P94*P80+Q94*Q80+R94*R80+S94*S80+T94*T80+U94*U80+V94*V80+W94*W80+X94*X80+Y94*Y80+Z94*Z80+AA94*AA80+AB94*AB80+AC94*AC80+AD94*AD80+AE94*AE80+AF94*AF80+AG94*AG80+AH94*AH80+AI94*AI80+AJ94*AJ80+AK94*AK80+AL94*AL80+AM94*AM80+AN94*AN80+AO94*AO80+AP94*AP80+AQ94*AQ80+AR94*AR80</f>
        <v>0</v>
      </c>
    </row>
    <row r="81" spans="2:52" ht="18.75" thickBot="1" x14ac:dyDescent="0.3">
      <c r="B81" s="439">
        <v>30</v>
      </c>
      <c r="C81" s="436" t="s">
        <v>2350</v>
      </c>
      <c r="D81" s="104" t="s">
        <v>1818</v>
      </c>
      <c r="E81" s="1173">
        <f>0</f>
        <v>0</v>
      </c>
      <c r="F81" s="1173">
        <f>0</f>
        <v>0</v>
      </c>
      <c r="G81" s="1173">
        <f>0</f>
        <v>0</v>
      </c>
      <c r="H81" s="1173">
        <f>0</f>
        <v>0</v>
      </c>
      <c r="I81" s="1173">
        <f>0</f>
        <v>0</v>
      </c>
      <c r="J81" s="1181">
        <f>0</f>
        <v>0</v>
      </c>
      <c r="K81" s="1173">
        <f>0</f>
        <v>0</v>
      </c>
      <c r="L81" s="1173">
        <f>0</f>
        <v>0</v>
      </c>
      <c r="M81" s="1173">
        <f>0</f>
        <v>0</v>
      </c>
      <c r="N81" s="1173">
        <f>0</f>
        <v>0</v>
      </c>
      <c r="O81" s="1173">
        <f>0</f>
        <v>0</v>
      </c>
      <c r="P81" s="1173">
        <f>0</f>
        <v>0</v>
      </c>
      <c r="Q81" s="1173">
        <f>1</f>
        <v>1</v>
      </c>
      <c r="R81" s="1173">
        <f>0</f>
        <v>0</v>
      </c>
      <c r="S81" s="1173">
        <f>0</f>
        <v>0</v>
      </c>
      <c r="T81" s="1173">
        <f>0</f>
        <v>0</v>
      </c>
      <c r="U81" s="1173">
        <f>0</f>
        <v>0</v>
      </c>
      <c r="V81" s="1173">
        <f>0</f>
        <v>0</v>
      </c>
      <c r="W81" s="1173">
        <f>0</f>
        <v>0</v>
      </c>
      <c r="X81" s="1173">
        <f>0</f>
        <v>0</v>
      </c>
      <c r="Y81" s="1173">
        <f>0</f>
        <v>0</v>
      </c>
      <c r="Z81" s="1173">
        <f>0</f>
        <v>0</v>
      </c>
      <c r="AA81" s="1181">
        <f>0</f>
        <v>0</v>
      </c>
      <c r="AB81" s="1181">
        <f>0</f>
        <v>0</v>
      </c>
      <c r="AC81" s="1181">
        <f>0</f>
        <v>0</v>
      </c>
      <c r="AD81" s="1181">
        <f>0</f>
        <v>0</v>
      </c>
      <c r="AE81" s="1181">
        <f>0</f>
        <v>0</v>
      </c>
      <c r="AF81" s="1181">
        <f>0</f>
        <v>0</v>
      </c>
      <c r="AG81" s="1181">
        <f>0</f>
        <v>0</v>
      </c>
      <c r="AH81" s="1181">
        <f>0</f>
        <v>0</v>
      </c>
      <c r="AI81" s="1181">
        <f>0</f>
        <v>0</v>
      </c>
      <c r="AJ81" s="1181">
        <f>0</f>
        <v>0</v>
      </c>
      <c r="AK81" s="1181">
        <f>0</f>
        <v>0</v>
      </c>
      <c r="AL81" s="1173">
        <f>0</f>
        <v>0</v>
      </c>
      <c r="AM81" s="1181">
        <f>0</f>
        <v>0</v>
      </c>
      <c r="AN81" s="1181">
        <f>-1</f>
        <v>-1</v>
      </c>
      <c r="AO81" s="1181">
        <f>0</f>
        <v>0</v>
      </c>
      <c r="AP81" s="1173">
        <f>0</f>
        <v>0</v>
      </c>
      <c r="AQ81" s="1181">
        <f>0</f>
        <v>0</v>
      </c>
      <c r="AR81" s="1181">
        <f>0</f>
        <v>0</v>
      </c>
      <c r="AS81" s="1207">
        <f>k_LaGN2_bub*(S_GN2_bub_sat-S_N2)</f>
        <v>-90.980999999999995</v>
      </c>
      <c r="AU81" s="664">
        <f>E89*E81+F89*F81+G89*G81+H89*H81+I89*I81+J89*J81+K89*K81+L89*L81+M89*M81+N89*N81+O89*O81+P89*P81+Q89*Q81+R89*R81+S89*S81+T89*T81+U89*U81+V89*V81+W89*W81+X89*X81+Y89*Y81+Z89*Z81+AA89*AA81+AB89*AB81+AC89*AC81+AD89*AD81+AE89*AE81+AF89*AF81+AG89*AG81+AH89*AH81+AI89*AI81+AJ89*AJ81+AK89*AK81+AL89*AL81+AM89*AM81+AN89*AN81+AO89*AO81+AP89*AP81+AQ89*AQ81+AR89*AR81</f>
        <v>0</v>
      </c>
      <c r="AV81" s="664">
        <f>E90*E81+F90*F81+G90*G81+H90*H81+I90*I81+J90*J81+K90*K81+L90*L81+M90*M81+N90*N81+O90*O81+P90*P81+Q90*Q81+R90*R81+S90*S81+T90*T81+U90*U81+V90*V81+W90*W81+X90*X81+Y90*Y81+Z90*Z81+AA90*AA81+AB90*AB81+AC90*AC81+AD90*AD81+AE90*AE81+AF90*AF81+AG90*AG81+AH90*AH81+AI90*AI81+AJ90*AJ81+AK90*AK81+AL90*AL81+AM90*AM81+AN90*AN81+AO90*AO81+AP90*AP81+AQ90*AQ81+AR90*AR81</f>
        <v>0</v>
      </c>
      <c r="AW81" s="665">
        <f>E91*E81+F91*F81+G91*G81+H91*H81+I91*I81+J91*J81+K91*K81+L91*L81+M91*M81+N91*N81+O91*O81+P91*P81+Q91*Q81+R91*R81+S91*S81+T91*T81+U91*U81+V91*V81+W91*W81+X91*X81+Y91*Y81+Z91*Z81+AA91*AA81+AB91*AB81+AC91*AC81+AD91*AD81+AE91*AE81+AF91*AF81+AG91*AG81+AH91*AH81+AI91*AI81+AJ91*AJ81+AK91*AK81+AL91*AL81+AM91*AM81+AN91*AN81+AO91*AO81+AP91*AP81+AQ91*AQ81+AR91*AR81</f>
        <v>0</v>
      </c>
      <c r="AX81" s="664">
        <f>E92*E81+F92*F81+G92*G81+H92*H81+I92*I81+J92*J81+K92*K81+L92*L81+M92*M81+N92*N81+O92*O81+P92*P81+Q92*Q81+R92*R81+S92*S81+T92*T81+U92*U81+V92*V81+W92*W81+X92*X81+Y92*Y81+Z92*Z81+AA92*AA81+AB92*AB81+AC92*AC81+AD92*AD81+AE92*AE81+AF92*AF81+AG92*AG81+AH92*AH81+AI92*AI81+AJ92*AJ81+AK92*AK81+AL92*AL81+AM92*AM81+AN92*AN81+AO92*AO81+AP92*AP81+AQ92*AQ81+AR92*AR81</f>
        <v>0</v>
      </c>
      <c r="AY81" s="664">
        <f>E93*E81+F93*F81+G93*G81+H93*H81+I93*I81+J93*J81+K93*K81+L93*L81+M93*M81+N93*N81+O93*O81+P93*P81+Q93*Q81+R93*R81+S93*S81+T93*T81+U93*U81+V93*V81+W93*W81+X93*X81+Y93*Y81+Z93*Z81+AA93*AA81+AB93*AB81+AC93*AC81+AD93*AD81+AE93*AE81+AF93*AF81+AG93*AG81+AH93*AH81+AI93*AI81+AJ93*AJ81+AK93*AK81+AL93*AL81+AM93*AM81+AN93*AN81+AO93*AO81+AP93*AP81+AQ93*AQ81+AR93*AR81</f>
        <v>0</v>
      </c>
      <c r="AZ81" s="664">
        <f>E94*E81+F94*F81+G94*G81+H94*H81+I94*I81+J94*J81+K94*K81+L94*L81+M94*M81+N94*N81+O94*O81+P94*P81+Q94*Q81+R94*R81+S94*S81+T94*T81+U94*U81+V94*V81+W94*W81+X94*X81+Y94*Y81+Z94*Z81+AA94*AA81+AB94*AB81+AC94*AC81+AD94*AD81+AE94*AE81+AF94*AF81+AG94*AG81+AH94*AH81+AI94*AI81+AJ94*AJ81+AK94*AK81+AL94*AL81+AM94*AM81+AN94*AN81+AO94*AO81+AP94*AP81+AQ94*AQ81+AR94*AR81</f>
        <v>0</v>
      </c>
    </row>
    <row r="82" spans="2:52" ht="18" x14ac:dyDescent="0.25">
      <c r="B82" s="472">
        <v>31</v>
      </c>
      <c r="C82" s="730" t="s">
        <v>2351</v>
      </c>
      <c r="D82" s="731" t="s">
        <v>1811</v>
      </c>
      <c r="E82" s="1174">
        <f>0</f>
        <v>0</v>
      </c>
      <c r="F82" s="1174">
        <f>0</f>
        <v>0</v>
      </c>
      <c r="G82" s="1174">
        <f>0</f>
        <v>0</v>
      </c>
      <c r="H82" s="1174">
        <f>0</f>
        <v>0</v>
      </c>
      <c r="I82" s="1174">
        <f>0</f>
        <v>0</v>
      </c>
      <c r="J82" s="1182">
        <f>0</f>
        <v>0</v>
      </c>
      <c r="K82" s="1174">
        <f>0</f>
        <v>0</v>
      </c>
      <c r="L82" s="1174">
        <f>0</f>
        <v>0</v>
      </c>
      <c r="M82" s="1174">
        <f>0</f>
        <v>0</v>
      </c>
      <c r="N82" s="1174">
        <f>0</f>
        <v>0</v>
      </c>
      <c r="O82" s="1174">
        <f>0</f>
        <v>0</v>
      </c>
      <c r="P82" s="1174">
        <f>0</f>
        <v>0</v>
      </c>
      <c r="Q82" s="1174">
        <f>0</f>
        <v>0</v>
      </c>
      <c r="R82" s="1174">
        <f>0</f>
        <v>0</v>
      </c>
      <c r="S82" s="1174">
        <f>0</f>
        <v>0</v>
      </c>
      <c r="T82" s="1174">
        <f>0</f>
        <v>0</v>
      </c>
      <c r="U82" s="1174">
        <f>0</f>
        <v>0</v>
      </c>
      <c r="V82" s="1174">
        <f>0</f>
        <v>0</v>
      </c>
      <c r="W82" s="1174">
        <f>1</f>
        <v>1</v>
      </c>
      <c r="X82" s="1174">
        <f>0</f>
        <v>0</v>
      </c>
      <c r="Y82" s="1174">
        <f>0</f>
        <v>0</v>
      </c>
      <c r="Z82" s="1174">
        <f>0</f>
        <v>0</v>
      </c>
      <c r="AA82" s="1182">
        <f>0</f>
        <v>0</v>
      </c>
      <c r="AB82" s="1182">
        <f>0</f>
        <v>0</v>
      </c>
      <c r="AC82" s="1182">
        <f>0</f>
        <v>0</v>
      </c>
      <c r="AD82" s="1182">
        <f>0</f>
        <v>0</v>
      </c>
      <c r="AE82" s="1182">
        <f>0</f>
        <v>0</v>
      </c>
      <c r="AF82" s="1182">
        <f>0</f>
        <v>0</v>
      </c>
      <c r="AG82" s="1182">
        <f>0</f>
        <v>0</v>
      </c>
      <c r="AH82" s="1182">
        <f>0</f>
        <v>0</v>
      </c>
      <c r="AI82" s="1182">
        <f>0</f>
        <v>0</v>
      </c>
      <c r="AJ82" s="1182">
        <f>0</f>
        <v>0</v>
      </c>
      <c r="AK82" s="1182">
        <f>0</f>
        <v>0</v>
      </c>
      <c r="AL82" s="1182">
        <f>0</f>
        <v>0</v>
      </c>
      <c r="AM82" s="1182">
        <f>0</f>
        <v>0</v>
      </c>
      <c r="AN82" s="1182">
        <f>0</f>
        <v>0</v>
      </c>
      <c r="AO82" s="1191">
        <f>-Δ_atm</f>
        <v>-1</v>
      </c>
      <c r="AP82" s="1182">
        <f>0</f>
        <v>0</v>
      </c>
      <c r="AQ82" s="1191">
        <f>0</f>
        <v>0</v>
      </c>
      <c r="AR82" s="1182">
        <f>0</f>
        <v>0</v>
      </c>
      <c r="AS82" s="1208">
        <f>k_LaGCH4_sur*(S_GCH4_sur_sat-S_CH4)</f>
        <v>-2.5329999999999999</v>
      </c>
      <c r="AU82" s="664">
        <f>E89*E82+F89*F82+G89*G82+H89*H82+I89*I82+J89*J82+K89*K82+L89*L82+M89*M82+N89*N82+O89*O82+P89*P82+Q89*Q82+R89*R82+S89*S82+T89*T82+U89*U82+V89*V82+W89*W82+X89*X82+Y89*Y82+Z89*Z82+AA89*AA82+AB89*AB82+AC89*AC82+AD89*AD82+AE89*AE82+AF89*AF82+AG89*AG82+AH89*AH82+AI89*AI82+AJ89*AJ82+AK89*AK82+AL89*AL82+AM89*AM82+AN89*AN82+AO89*AO82+AP89*AP82+AQ89*AQ82+AR89*AR82</f>
        <v>0</v>
      </c>
      <c r="AV82" s="664">
        <f>E90*E82+F90*F82+G90*G82+H90*H82+I90*I82+J90*J82+K90*K82+L90*L82+M90*M82+N90*N82+O90*O82+P90*P82+Q90*Q82+R90*R82+S90*S82+T90*T82+U90*U82+V90*V82+W90*W82+X90*X82+Y90*Y82+Z90*Z82+AA90*AA82+AB90*AB82+AC90*AC82+AD90*AD82+AE90*AE82+AF90*AF82+AG90*AG82+AH90*AH82+AI90*AI82+AJ90*AJ82+AK90*AK82+AL90*AL82+AM90*AM82+AN90*AN82+AO90*AO82+AP90*AP82+AQ90*AQ82+AR90*AR82</f>
        <v>0</v>
      </c>
      <c r="AW82" s="665">
        <f>E91*E82+F91*F82+G91*G82+H91*H82+I91*I82+J91*J82+K91*K82+L91*L82+M91*M82+N91*N82+O91*O82+P91*P82+Q91*Q82+R91*R82+S91*S82+T91*T82+U91*U82+V91*V82+W91*W82+X91*X82+Y91*Y82+Z91*Z82+AA91*AA82+AB91*AB82+AC91*AC82+AD91*AD82+AE91*AE82+AF91*AF82+AG91*AG82+AH91*AH82+AI91*AI82+AJ91*AJ82+AK91*AK82+AL91*AL82+AM91*AM82+AN91*AN82+AO91*AO82+AP91*AP82+AQ91*AQ82+AR91*AR82</f>
        <v>0</v>
      </c>
      <c r="AX82" s="664">
        <f>E92*E82+F92*F82+G92*G82+H92*H82+I92*I82+J92*J82+K92*K82+L92*L82+M92*M82+N92*N82+O92*O82+P92*P82+Q92*Q82+R92*R82+S92*S82+T92*T82+U92*U82+V92*V82+W92*W82+X92*X82+Y92*Y82+Z92*Z82+AA92*AA82+AB92*AB82+AC92*AC82+AD92*AD82+AE92*AE82+AF92*AF82+AG92*AG82+AH92*AH82+AI92*AI82+AJ92*AJ82+AK92*AK82+AL92*AL82+AM92*AM82+AN92*AN82+AO92*AO82+AP92*AP82+AQ92*AQ82+AR92*AR82</f>
        <v>0</v>
      </c>
      <c r="AY82" s="664">
        <f>E93*E82+F93*F82+G93*G82+H93*H82+I93*I82+J93*J82+K93*K82+L93*L82+M93*M82+N93*N82+O93*O82+P93*P82+Q93*Q82+R93*R82+S93*S82+T93*T82+U93*U82+V93*V82+W93*W82+X93*X82+Y93*Y82+Z93*Z82+AA93*AA82+AB93*AB82+AC93*AC82+AD93*AD82+AE93*AE82+AF93*AF82+AG93*AG82+AH93*AH82+AI93*AI82+AJ93*AJ82+AK93*AK82+AL93*AL82+AM93*AM82+AN93*AN82+AO93*AO82+AP93*AP82+AQ93*AQ82+AR93*AR82</f>
        <v>0</v>
      </c>
      <c r="AZ82" s="664">
        <f>E94*E82+F94*F82+G94*G82+H94*H82+I94*I82+J94*J82+K94*K82+L94*L82+M94*M82+N94*N82+O94*O82+P94*P82+Q94*Q82+R94*R82+S94*S82+T94*T82+U94*U82+V94*V82+W94*W82+X94*X82+Y94*Y82+Z94*Z82+AA94*AA82+AB94*AB82+AC94*AC82+AD94*AD82+AE94*AE82+AF94*AF82+AG94*AG82+AH94*AH82+AI94*AI82+AJ94*AJ82+AK94*AK82+AL94*AL82+AM94*AM82+AN94*AN82+AO94*AO82+AP94*AP82+AQ94*AQ82+AR94*AR82</f>
        <v>0</v>
      </c>
    </row>
    <row r="83" spans="2:52" ht="18" x14ac:dyDescent="0.25">
      <c r="B83" s="472">
        <v>32</v>
      </c>
      <c r="C83" s="730" t="s">
        <v>2352</v>
      </c>
      <c r="D83" s="731" t="s">
        <v>1812</v>
      </c>
      <c r="E83" s="1174">
        <f>0</f>
        <v>0</v>
      </c>
      <c r="F83" s="1174">
        <f>0</f>
        <v>0</v>
      </c>
      <c r="G83" s="1174">
        <f>0</f>
        <v>0</v>
      </c>
      <c r="H83" s="1174">
        <f>0</f>
        <v>0</v>
      </c>
      <c r="I83" s="1174">
        <f>0</f>
        <v>0</v>
      </c>
      <c r="J83" s="1182">
        <f>0</f>
        <v>0</v>
      </c>
      <c r="K83" s="1174">
        <f>0</f>
        <v>0</v>
      </c>
      <c r="L83" s="1174">
        <f>0</f>
        <v>0</v>
      </c>
      <c r="M83" s="1174">
        <f>0</f>
        <v>0</v>
      </c>
      <c r="N83" s="1174">
        <f>0</f>
        <v>0</v>
      </c>
      <c r="O83" s="1174">
        <f>0</f>
        <v>0</v>
      </c>
      <c r="P83" s="1174">
        <f>0</f>
        <v>0</v>
      </c>
      <c r="Q83" s="1174">
        <f>0</f>
        <v>0</v>
      </c>
      <c r="R83" s="1174">
        <f>0</f>
        <v>0</v>
      </c>
      <c r="S83" s="1174">
        <f>0</f>
        <v>0</v>
      </c>
      <c r="T83" s="1174">
        <f>0</f>
        <v>0</v>
      </c>
      <c r="U83" s="1174">
        <f>0</f>
        <v>0</v>
      </c>
      <c r="V83" s="1174">
        <f>0</f>
        <v>0</v>
      </c>
      <c r="W83" s="1174">
        <f>0</f>
        <v>0</v>
      </c>
      <c r="X83" s="1174">
        <f>1</f>
        <v>1</v>
      </c>
      <c r="Y83" s="1174">
        <f>0</f>
        <v>0</v>
      </c>
      <c r="Z83" s="1174">
        <f>0</f>
        <v>0</v>
      </c>
      <c r="AA83" s="1182">
        <f>0</f>
        <v>0</v>
      </c>
      <c r="AB83" s="1182">
        <f>0</f>
        <v>0</v>
      </c>
      <c r="AC83" s="1182">
        <f>0</f>
        <v>0</v>
      </c>
      <c r="AD83" s="1182">
        <f>0</f>
        <v>0</v>
      </c>
      <c r="AE83" s="1182">
        <f>0</f>
        <v>0</v>
      </c>
      <c r="AF83" s="1182">
        <f>0</f>
        <v>0</v>
      </c>
      <c r="AG83" s="1182">
        <f>0</f>
        <v>0</v>
      </c>
      <c r="AH83" s="1182">
        <f>0</f>
        <v>0</v>
      </c>
      <c r="AI83" s="1182">
        <f>0</f>
        <v>0</v>
      </c>
      <c r="AJ83" s="1182">
        <f>0</f>
        <v>0</v>
      </c>
      <c r="AK83" s="1182">
        <f>0</f>
        <v>0</v>
      </c>
      <c r="AL83" s="1182">
        <f>0</f>
        <v>0</v>
      </c>
      <c r="AM83" s="1182">
        <f>0</f>
        <v>0</v>
      </c>
      <c r="AN83" s="1182">
        <f>0</f>
        <v>0</v>
      </c>
      <c r="AO83" s="1191">
        <f>0</f>
        <v>0</v>
      </c>
      <c r="AP83" s="1191">
        <f>-Δ_atm</f>
        <v>-1</v>
      </c>
      <c r="AQ83" s="1182">
        <f>0</f>
        <v>0</v>
      </c>
      <c r="AR83" s="1182">
        <f>0</f>
        <v>0</v>
      </c>
      <c r="AS83" s="1209">
        <f>k_LaGH2_sur*(S_GH2_sur_sat-S_H2)</f>
        <v>-4.4020000000000001</v>
      </c>
      <c r="AU83" s="664">
        <f>E89*E83+F89*F83+G89*G83+H89*H83+I89*I83+J89*J83+K89*K83+L89*L83+M89*M83+N89*N83+O89*O83+P89*P83+Q89*Q83+R89*R83+S89*S83+T89*T83+U89*U83+V89*V83+W89*W83+X89*X83+Y89*Y83+Z89*Z83+AA89*AA83+AB89*AB83+AC89*AC83+AD89*AD83+AE89*AE83+AF89*AF83+AG89*AG83+AH89*AH83+AI89*AI83+AJ89*AJ83+AK89*AK83+AL89*AL83+AM89*AM83+AN89*AN83+AO89*AO83+AP89*AP83+AQ89*AQ83+AR89*AR83</f>
        <v>0</v>
      </c>
      <c r="AV83" s="664">
        <f>E90*E83+F90*F83+G90*G83+H90*H83+I90*I83+J90*J83+K90*K83+L90*L83+M90*M83+N90*N83+O90*O83+P90*P83+Q90*Q83+R90*R83+S90*S83+T90*T83+U90*U83+V90*V83+W90*W83+X90*X83+Y90*Y83+Z90*Z83+AA90*AA83+AB90*AB83+AC90*AC83+AD90*AD83+AE90*AE83+AF90*AF83+AG90*AG83+AH90*AH83+AI90*AI83+AJ90*AJ83+AK90*AK83+AL90*AL83+AM90*AM83+AN90*AN83+AO90*AO83+AP90*AP83+AQ90*AQ83+AR90*AR83</f>
        <v>0</v>
      </c>
      <c r="AW83" s="665">
        <f>E91*E83+F91*F83+G91*G83+H91*H83+I91*I83+J91*J83+K91*K83+L91*L83+M91*M83+N91*N83+O91*O83+P91*P83+Q91*Q83+R91*R83+S91*S83+T91*T83+U91*U83+V91*V83+W91*W83+X91*X83+Y91*Y83+Z91*Z83+AA91*AA83+AB91*AB83+AC91*AC83+AD91*AD83+AE91*AE83+AF91*AF83+AG91*AG83+AH91*AH83+AI91*AI83+AJ91*AJ83+AK91*AK83+AL91*AL83+AM91*AM83+AN91*AN83+AO91*AO83+AP91*AP83+AQ91*AQ83+AR91*AR83</f>
        <v>0</v>
      </c>
      <c r="AX83" s="664">
        <f>E92*E83+F92*F83+G92*G83+H92*H83+I92*I83+J92*J83+K92*K83+L92*L83+M92*M83+N92*N83+O92*O83+P92*P83+Q92*Q83+R92*R83+S92*S83+T92*T83+U92*U83+V92*V83+W92*W83+X92*X83+Y92*Y83+Z92*Z83+AA92*AA83+AB92*AB83+AC92*AC83+AD92*AD83+AE92*AE83+AF92*AF83+AG92*AG83+AH92*AH83+AI92*AI83+AJ92*AJ83+AK92*AK83+AL92*AL83+AM92*AM83+AN92*AN83+AO92*AO83+AP92*AP83+AQ92*AQ83+AR92*AR83</f>
        <v>0</v>
      </c>
      <c r="AY83" s="664">
        <f>E93*E83+F93*F83+G93*G83+H93*H83+I93*I83+J93*J83+K93*K83+L93*L83+M93*M83+N93*N83+O93*O83+P93*P83+Q93*Q83+R93*R83+S93*S83+T93*T83+U93*U83+V93*V83+W93*W83+X93*X83+Y93*Y83+Z93*Z83+AA93*AA83+AB93*AB83+AC93*AC83+AD93*AD83+AE93*AE83+AF93*AF83+AG93*AG83+AH93*AH83+AI93*AI83+AJ93*AJ83+AK93*AK83+AL93*AL83+AM93*AM83+AN93*AN83+AO93*AO83+AP93*AP83+AQ93*AQ83+AR93*AR83</f>
        <v>0</v>
      </c>
      <c r="AZ83" s="664">
        <f>E94*E83+F94*F83+G94*G83+H94*H83+I94*I83+J94*J83+K94*K83+L94*L83+M94*M83+N94*N83+O94*O83+P94*P83+Q94*Q83+R94*R83+S94*S83+T94*T83+U94*U83+V94*V83+W94*W83+X94*X83+Y94*Y83+Z94*Z83+AA94*AA83+AB94*AB83+AC94*AC83+AD94*AD83+AE94*AE83+AF94*AF83+AG94*AG83+AH94*AH83+AI94*AI83+AJ94*AJ83+AK94*AK83+AL94*AL83+AM94*AM83+AN94*AN83+AO94*AO83+AP94*AP83+AQ94*AQ83+AR94*AR83</f>
        <v>0</v>
      </c>
    </row>
    <row r="84" spans="2:52" ht="18" x14ac:dyDescent="0.25">
      <c r="B84" s="472">
        <v>33</v>
      </c>
      <c r="C84" s="730" t="s">
        <v>2693</v>
      </c>
      <c r="D84" s="731" t="s">
        <v>1813</v>
      </c>
      <c r="E84" s="1174">
        <f>0</f>
        <v>0</v>
      </c>
      <c r="F84" s="1174">
        <f>0</f>
        <v>0</v>
      </c>
      <c r="G84" s="1174">
        <f>0</f>
        <v>0</v>
      </c>
      <c r="H84" s="1174">
        <f>0</f>
        <v>0</v>
      </c>
      <c r="I84" s="1174">
        <f>0</f>
        <v>0</v>
      </c>
      <c r="J84" s="1182">
        <f>0</f>
        <v>0</v>
      </c>
      <c r="K84" s="1174">
        <f>0</f>
        <v>0</v>
      </c>
      <c r="L84" s="1174">
        <f>0</f>
        <v>0</v>
      </c>
      <c r="M84" s="1174">
        <f>0</f>
        <v>0</v>
      </c>
      <c r="N84" s="1174">
        <f>0</f>
        <v>0</v>
      </c>
      <c r="O84" s="1174">
        <f>0</f>
        <v>0</v>
      </c>
      <c r="P84" s="1174">
        <f>0</f>
        <v>0</v>
      </c>
      <c r="Q84" s="1174">
        <f>0</f>
        <v>0</v>
      </c>
      <c r="R84" s="1174">
        <f>0</f>
        <v>0</v>
      </c>
      <c r="S84" s="1174">
        <f>0</f>
        <v>0</v>
      </c>
      <c r="T84" s="1174">
        <f>0</f>
        <v>0</v>
      </c>
      <c r="U84" s="1174">
        <f>0</f>
        <v>0</v>
      </c>
      <c r="V84" s="1174">
        <f>1</f>
        <v>1</v>
      </c>
      <c r="W84" s="1174">
        <f>0</f>
        <v>0</v>
      </c>
      <c r="X84" s="1174">
        <f>0</f>
        <v>0</v>
      </c>
      <c r="Y84" s="1174">
        <f>0</f>
        <v>0</v>
      </c>
      <c r="Z84" s="1174">
        <f>0</f>
        <v>0</v>
      </c>
      <c r="AA84" s="1182">
        <f>0</f>
        <v>0</v>
      </c>
      <c r="AB84" s="1182">
        <f>0</f>
        <v>0</v>
      </c>
      <c r="AC84" s="1182">
        <f>0</f>
        <v>0</v>
      </c>
      <c r="AD84" s="1182">
        <f>0</f>
        <v>0</v>
      </c>
      <c r="AE84" s="1182">
        <f>0</f>
        <v>0</v>
      </c>
      <c r="AF84" s="1182">
        <f>0</f>
        <v>0</v>
      </c>
      <c r="AG84" s="1182">
        <f>0</f>
        <v>0</v>
      </c>
      <c r="AH84" s="1182">
        <f>0</f>
        <v>0</v>
      </c>
      <c r="AI84" s="1182">
        <f>0</f>
        <v>0</v>
      </c>
      <c r="AJ84" s="1182">
        <f>0</f>
        <v>0</v>
      </c>
      <c r="AK84" s="1182">
        <f>0</f>
        <v>0</v>
      </c>
      <c r="AL84" s="1182">
        <f>0</f>
        <v>0</v>
      </c>
      <c r="AM84" s="1182">
        <f>0</f>
        <v>0</v>
      </c>
      <c r="AN84" s="1174">
        <f>0</f>
        <v>0</v>
      </c>
      <c r="AO84" s="1182">
        <f>0</f>
        <v>0</v>
      </c>
      <c r="AP84" s="1182">
        <f>0</f>
        <v>0</v>
      </c>
      <c r="AQ84" s="1191">
        <f>-Δ_atm</f>
        <v>-1</v>
      </c>
      <c r="AR84" s="1174">
        <f>0</f>
        <v>0</v>
      </c>
      <c r="AS84" s="1209">
        <f>k_LaGO2_sur*(S_GO2_sur_sat-S_O2)</f>
        <v>24</v>
      </c>
      <c r="AU84" s="664">
        <f>E89*E84+F89*F84+G89*G84+H89*H84+I89*I84+J89*J84+K89*K84+L89*L84+M89*M84+N89*N84+O89*O84+P89*P84+Q89*Q84+R89*R84+S89*S84+T89*T84+U89*U84+V89*V84+W89*W84+X89*X84+Y89*Y84+Z89*Z84+AA89*AA84+AB89*AB84+AC89*AC84+AD89*AD84+AE89*AE84+AF89*AF84+AG89*AG84+AH89*AH84+AI89*AI84+AJ89*AJ84+AK89*AK84+AL89*AL84+AM89*AM84+AN89*AN84+AO89*AO84+AP89*AP84+AQ89*AQ84+AR89*AR84</f>
        <v>0</v>
      </c>
      <c r="AV84" s="664">
        <f>E90*E84+F90*F84+G90*G84+H90*H84+I90*I84+J90*J84+K90*K84+L90*L84+M90*M84+N90*N84+O90*O84+P90*P84+Q90*Q84+R90*R84+S90*S84+T90*T84+U90*U84+V90*V84+W90*W84+X90*X84+Y90*Y84+Z90*Z84+AA90*AA84+AB90*AB84+AC90*AC84+AD90*AD84+AE90*AE84+AF90*AF84+AG90*AG84+AH90*AH84+AI90*AI84+AJ90*AJ84+AK90*AK84+AL90*AL84+AM90*AM84+AN90*AN84+AO90*AO84+AP90*AP84+AQ90*AQ84+AR90*AR84</f>
        <v>0</v>
      </c>
      <c r="AW84" s="665">
        <f>E91*E84+F91*F84+G91*G84+H91*H84+I91*I84+J91*J84+K91*K84+L91*L84+M91*M84+N91*N84+O91*O84+P91*P84+Q91*Q84+R91*R84+S91*S84+T91*T84+U91*U84+V91*V84+W91*W84+X91*X84+Y91*Y84+Z91*Z84+AA91*AA84+AB91*AB84+AC91*AC84+AD91*AD84+AE91*AE84+AF91*AF84+AG91*AG84+AH91*AH84+AI91*AI84+AJ91*AJ84+AK91*AK84+AL91*AL84+AM91*AM84+AN91*AN84+AO91*AO84+AP91*AP84+AQ91*AQ84+AR91*AR84</f>
        <v>0</v>
      </c>
      <c r="AX84" s="664">
        <f>E92*E84+F92*F84+G92*G84+H92*H84+I92*I84+J92*J84+K92*K84+L92*L84+M92*M84+N92*N84+O92*O84+P92*P84+Q92*Q84+R92*R84+S92*S84+T92*T84+U92*U84+V92*V84+W92*W84+X92*X84+Y92*Y84+Z92*Z84+AA92*AA84+AB92*AB84+AC92*AC84+AD92*AD84+AE92*AE84+AF92*AF84+AG92*AG84+AH92*AH84+AI92*AI84+AJ92*AJ84+AK92*AK84+AL92*AL84+AM92*AM84+AN92*AN84+AO92*AO84+AP92*AP84+AQ92*AQ84+AR92*AR84</f>
        <v>0</v>
      </c>
      <c r="AY84" s="664">
        <f>E93*E84+F93*F84+G93*G84+H93*H84+I93*I84+J93*J84+K93*K84+L93*L84+M93*M84+N93*N84+O93*O84+P93*P84+Q93*Q84+R93*R84+S93*S84+T93*T84+U93*U84+V93*V84+W93*W84+X93*X84+Y93*Y84+Z93*Z84+AA93*AA84+AB93*AB84+AC93*AC84+AD93*AD84+AE93*AE84+AF93*AF84+AG93*AG84+AH93*AH84+AI93*AI84+AJ93*AJ84+AK93*AK84+AL93*AL84+AM93*AM84+AN93*AN84+AO93*AO84+AP93*AP84+AQ93*AQ84+AR93*AR84</f>
        <v>0</v>
      </c>
      <c r="AZ84" s="664">
        <f>E94*E84+F94*F84+G94*G84+H94*H84+I94*I84+J94*J84+K94*K84+L94*L84+M94*M84+N94*N84+O94*O84+P94*P84+Q94*Q84+R94*R84+S94*S84+T94*T84+U94*U84+V94*V84+W94*W84+X94*X84+Y94*Y84+Z94*Z84+AA94*AA84+AB94*AB84+AC94*AC84+AD94*AD84+AE94*AE84+AF94*AF84+AG94*AG84+AH94*AH84+AI94*AI84+AJ94*AJ84+AK94*AK84+AL94*AL84+AM94*AM84+AN94*AN84+AO94*AO84+AP94*AP84+AQ94*AQ84+AR94*AR84</f>
        <v>0</v>
      </c>
    </row>
    <row r="85" spans="2:52" ht="18.75" thickBot="1" x14ac:dyDescent="0.3">
      <c r="B85" s="474">
        <v>34</v>
      </c>
      <c r="C85" s="475" t="s">
        <v>2702</v>
      </c>
      <c r="D85" s="476" t="s">
        <v>1814</v>
      </c>
      <c r="E85" s="1175">
        <f>0</f>
        <v>0</v>
      </c>
      <c r="F85" s="1175">
        <f>0</f>
        <v>0</v>
      </c>
      <c r="G85" s="1175">
        <f>0</f>
        <v>0</v>
      </c>
      <c r="H85" s="1175">
        <f>0</f>
        <v>0</v>
      </c>
      <c r="I85" s="1175">
        <f>0</f>
        <v>0</v>
      </c>
      <c r="J85" s="1183">
        <f>0</f>
        <v>0</v>
      </c>
      <c r="K85" s="1175">
        <f>0</f>
        <v>0</v>
      </c>
      <c r="L85" s="1175">
        <f>0</f>
        <v>0</v>
      </c>
      <c r="M85" s="1175">
        <f>0</f>
        <v>0</v>
      </c>
      <c r="N85" s="1175">
        <f>0</f>
        <v>0</v>
      </c>
      <c r="O85" s="1175">
        <f>0</f>
        <v>0</v>
      </c>
      <c r="P85" s="1175">
        <f>0</f>
        <v>0</v>
      </c>
      <c r="Q85" s="1175">
        <f>1</f>
        <v>1</v>
      </c>
      <c r="R85" s="1175">
        <f>0</f>
        <v>0</v>
      </c>
      <c r="S85" s="1175">
        <f>0</f>
        <v>0</v>
      </c>
      <c r="T85" s="1175">
        <f>0</f>
        <v>0</v>
      </c>
      <c r="U85" s="1175">
        <f>0</f>
        <v>0</v>
      </c>
      <c r="V85" s="1175">
        <f>0</f>
        <v>0</v>
      </c>
      <c r="W85" s="1175">
        <f>0</f>
        <v>0</v>
      </c>
      <c r="X85" s="1175">
        <f>0</f>
        <v>0</v>
      </c>
      <c r="Y85" s="1175">
        <f>0</f>
        <v>0</v>
      </c>
      <c r="Z85" s="1175">
        <f>0</f>
        <v>0</v>
      </c>
      <c r="AA85" s="1183">
        <f>0</f>
        <v>0</v>
      </c>
      <c r="AB85" s="1183">
        <f>0</f>
        <v>0</v>
      </c>
      <c r="AC85" s="1183">
        <f>0</f>
        <v>0</v>
      </c>
      <c r="AD85" s="1183">
        <f>0</f>
        <v>0</v>
      </c>
      <c r="AE85" s="1183">
        <f>0</f>
        <v>0</v>
      </c>
      <c r="AF85" s="1183">
        <f>0</f>
        <v>0</v>
      </c>
      <c r="AG85" s="1183">
        <f>0</f>
        <v>0</v>
      </c>
      <c r="AH85" s="1183">
        <f>0</f>
        <v>0</v>
      </c>
      <c r="AI85" s="1183">
        <f>0</f>
        <v>0</v>
      </c>
      <c r="AJ85" s="1183">
        <f>0</f>
        <v>0</v>
      </c>
      <c r="AK85" s="1183">
        <f>0</f>
        <v>0</v>
      </c>
      <c r="AL85" s="1175">
        <f>0</f>
        <v>0</v>
      </c>
      <c r="AM85" s="1183">
        <f>0</f>
        <v>0</v>
      </c>
      <c r="AN85" s="1183">
        <f>0</f>
        <v>0</v>
      </c>
      <c r="AO85" s="1183">
        <f>0</f>
        <v>0</v>
      </c>
      <c r="AP85" s="1175">
        <f>0</f>
        <v>0</v>
      </c>
      <c r="AQ85" s="1183">
        <f>0</f>
        <v>0</v>
      </c>
      <c r="AR85" s="1183">
        <f>-Δ_atm</f>
        <v>-1</v>
      </c>
      <c r="AS85" s="1210">
        <f>k_LaGN2_sur*(S_GN2_sur_sat-S_N2)</f>
        <v>-2.73</v>
      </c>
      <c r="AU85" s="664">
        <f>E89*E85+F89*F85+G89*G85+H89*H85+I89*I85+J89*J85+K89*K85+L89*L85+M89*M85+N89*N85+O89*O85+P89*P85+Q89*Q85+R89*R85+S89*S85+T89*T85+U89*U85+V89*V85+W89*W85+X89*X85+Y89*Y85+Z89*Z85+AA89*AA85+AB89*AB85+AC89*AC85+AD89*AD85+AE89*AE85+AF89*AF85+AG89*AG85+AH89*AH85+AI89*AI85+AJ89*AJ85+AK89*AK85+AL89*AL85+AM89*AM85+AN89*AN85+AO89*AO85+AP89*AP85+AQ89*AQ85+AR89*AR85</f>
        <v>0</v>
      </c>
      <c r="AV85" s="664">
        <f>E90*E85+F90*F85+G90*G85+H90*H85+I90*I85+J90*J85+K90*K85+L90*L85+M90*M85+N90*N85+O90*O85+P90*P85+Q90*Q85+R90*R85+S90*S85+T90*T85+U90*U85+V90*V85+W90*W85+X90*X85+Y90*Y85+Z90*Z85+AA90*AA85+AB90*AB85+AC90*AC85+AD90*AD85+AE90*AE85+AF90*AF85+AG90*AG85+AH90*AH85+AI90*AI85+AJ90*AJ85+AK90*AK85+AL90*AL85+AM90*AM85+AN90*AN85+AO90*AO85+AP90*AP85+AQ90*AQ85+AR90*AR85</f>
        <v>0</v>
      </c>
      <c r="AW85" s="665">
        <f>E91*E85+F91*F85+G91*G85+H91*H85+I91*I85+J91*J85+K91*K85+L91*L85+M91*M85+N91*N85+O91*O85+P91*P85+Q91*Q85+R91*R85+S91*S85+T91*T85+U91*U85+V91*V85+W91*W85+X91*X85+Y91*Y85+Z91*Z85+AA91*AA85+AB91*AB85+AC91*AC85+AD91*AD85+AE91*AE85+AF91*AF85+AG91*AG85+AH91*AH85+AI91*AI85+AJ91*AJ85+AK91*AK85+AL91*AL85+AM91*AM85+AN91*AN85+AO91*AO85+AP91*AP85+AQ91*AQ85+AR91*AR85</f>
        <v>0</v>
      </c>
      <c r="AX85" s="664">
        <f>E92*E85+F92*F85+G92*G85+H92*H85+I92*I85+J92*J85+K92*K85+L92*L85+M92*M85+N92*N85+O92*O85+P92*P85+Q92*Q85+R92*R85+S92*S85+T92*T85+U92*U85+V92*V85+W92*W85+X92*X85+Y92*Y85+Z92*Z85+AA92*AA85+AB92*AB85+AC92*AC85+AD92*AD85+AE92*AE85+AF92*AF85+AG92*AG85+AH92*AH85+AI92*AI85+AJ92*AJ85+AK92*AK85+AL92*AL85+AM92*AM85+AN92*AN85+AO92*AO85+AP92*AP85+AQ92*AQ85+AR92*AR85</f>
        <v>0</v>
      </c>
      <c r="AY85" s="664">
        <f>E93*E85+F93*F85+G93*G85+H93*H85+I93*I85+J93*J85+K93*K85+L93*L85+M93*M85+N93*N85+O93*O85+P93*P85+Q93*Q85+R93*R85+S93*S85+T93*T85+U93*U85+V93*V85+W93*W85+X93*X85+Y93*Y85+Z93*Z85+AA93*AA85+AB93*AB85+AC93*AC85+AD93*AD85+AE93*AE85+AF93*AF85+AG93*AG85+AH93*AH85+AI93*AI85+AJ93*AJ85+AK93*AK85+AL93*AL85+AM93*AM85+AN93*AN85+AO93*AO85+AP93*AP85+AQ93*AQ85+AR93*AR85</f>
        <v>0</v>
      </c>
      <c r="AZ85" s="664">
        <f>E94*E85+F94*F85+G94*G85+H94*H85+I94*I85+J94*J85+K94*K85+L94*L85+M94*M85+N94*N85+O94*O85+P94*P85+Q94*Q85+R94*R85+S94*S85+T94*T85+U94*U85+V94*V85+W94*W85+X94*X85+Y94*Y85+Z94*Z85+AA94*AA85+AB94*AB85+AC94*AC85+AD94*AD85+AE94*AE85+AF94*AF85+AG94*AG85+AH94*AH85+AI94*AI85+AJ94*AJ85+AK94*AK85+AL94*AL85+AM94*AM85+AN94*AN85+AO94*AO85+AP94*AP85+AQ94*AQ85+AR94*AR85</f>
        <v>0</v>
      </c>
    </row>
    <row r="87" spans="2:52" ht="15.75" thickBot="1" x14ac:dyDescent="0.3"/>
    <row r="88" spans="2:52" ht="15.75" thickBot="1" x14ac:dyDescent="0.3">
      <c r="D88" s="50" t="s">
        <v>5</v>
      </c>
      <c r="E88" s="65"/>
      <c r="F88" s="65"/>
      <c r="G88" s="65"/>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65"/>
      <c r="AI88" s="65"/>
      <c r="AJ88" s="65"/>
      <c r="AK88" s="65"/>
      <c r="AL88" s="65"/>
      <c r="AM88" s="65"/>
      <c r="AN88" s="65"/>
      <c r="AO88" s="65"/>
      <c r="AP88" s="65"/>
      <c r="AQ88" s="65"/>
      <c r="AR88" s="65"/>
    </row>
    <row r="89" spans="2:52" ht="18.75" x14ac:dyDescent="0.25">
      <c r="D89" s="1037" t="s">
        <v>145</v>
      </c>
      <c r="E89" s="293">
        <v>1</v>
      </c>
      <c r="F89" s="293">
        <v>1</v>
      </c>
      <c r="G89" s="293">
        <v>1</v>
      </c>
      <c r="H89" s="293">
        <v>1</v>
      </c>
      <c r="I89" s="293">
        <v>1</v>
      </c>
      <c r="J89" s="293">
        <v>1</v>
      </c>
      <c r="K89" s="293">
        <v>1</v>
      </c>
      <c r="L89" s="293">
        <v>1</v>
      </c>
      <c r="M89" s="293">
        <v>1</v>
      </c>
      <c r="N89" s="293">
        <v>1</v>
      </c>
      <c r="O89" s="293"/>
      <c r="P89" s="294">
        <f>-E_EQNO3</f>
        <v>-4.5690705162529355</v>
      </c>
      <c r="Q89" s="294">
        <f>-E_EQN2</f>
        <v>-1.7134014435948508</v>
      </c>
      <c r="R89" s="293"/>
      <c r="S89" s="293"/>
      <c r="T89" s="293"/>
      <c r="U89" s="293"/>
      <c r="V89" s="293">
        <v>-1</v>
      </c>
      <c r="W89" s="293">
        <v>1</v>
      </c>
      <c r="X89" s="293">
        <v>1</v>
      </c>
      <c r="Y89" s="293"/>
      <c r="Z89" s="293"/>
      <c r="AA89" s="293"/>
      <c r="AB89" s="293"/>
      <c r="AC89" s="293"/>
      <c r="AD89" s="293"/>
      <c r="AE89" s="293"/>
      <c r="AF89" s="293"/>
      <c r="AG89" s="293"/>
      <c r="AH89" s="293"/>
      <c r="AI89" s="293"/>
      <c r="AJ89" s="637"/>
      <c r="AK89" s="533" t="s">
        <v>1829</v>
      </c>
      <c r="AL89" s="296">
        <v>1</v>
      </c>
      <c r="AM89" s="295">
        <v>-1</v>
      </c>
      <c r="AN89" s="534">
        <f>-E_EQN2</f>
        <v>-1.7134014435948508</v>
      </c>
      <c r="AO89" s="535">
        <f>1/Δ_atm</f>
        <v>1</v>
      </c>
      <c r="AP89" s="533">
        <f>1/Δ_atm</f>
        <v>1</v>
      </c>
      <c r="AQ89" s="533">
        <f>-1/Δ_atm</f>
        <v>-1</v>
      </c>
      <c r="AR89" s="1011">
        <f>-E_EQN2/Δ_atm</f>
        <v>-1.7134014435948508</v>
      </c>
    </row>
    <row r="90" spans="2:52" ht="18.75" x14ac:dyDescent="0.25">
      <c r="D90" s="297" t="s">
        <v>230</v>
      </c>
      <c r="E90" s="66"/>
      <c r="F90" s="66"/>
      <c r="G90" s="66">
        <f>i_N_SU</f>
        <v>0.01</v>
      </c>
      <c r="H90" s="66">
        <f>i_N_XU</f>
        <v>0.01</v>
      </c>
      <c r="I90" s="66">
        <f>i_N_XE</f>
        <v>0.06</v>
      </c>
      <c r="J90" s="66">
        <f>i_N_BIO</f>
        <v>7.0000000000000007E-2</v>
      </c>
      <c r="K90" s="66">
        <f>i_N_BIO</f>
        <v>7.0000000000000007E-2</v>
      </c>
      <c r="L90" s="66">
        <f>i_N_BIO</f>
        <v>7.0000000000000007E-2</v>
      </c>
      <c r="M90" s="66">
        <f>i_N_BIO</f>
        <v>7.0000000000000007E-2</v>
      </c>
      <c r="N90" s="831">
        <f>i_N_ALGAE</f>
        <v>7.0000000000000007E-2</v>
      </c>
      <c r="O90" s="66">
        <v>1</v>
      </c>
      <c r="P90" s="66">
        <v>1</v>
      </c>
      <c r="Q90" s="66">
        <v>1</v>
      </c>
      <c r="R90" s="66">
        <v>1</v>
      </c>
      <c r="S90" s="66">
        <v>1</v>
      </c>
      <c r="T90" s="66"/>
      <c r="U90" s="66"/>
      <c r="V90" s="66"/>
      <c r="W90" s="66"/>
      <c r="X90" s="66"/>
      <c r="Y90" s="66"/>
      <c r="Z90" s="66"/>
      <c r="AA90" s="66"/>
      <c r="AB90" s="66"/>
      <c r="AC90" s="66"/>
      <c r="AD90" s="66"/>
      <c r="AE90" s="831"/>
      <c r="AF90" s="831"/>
      <c r="AG90" s="831"/>
      <c r="AH90" s="831"/>
      <c r="AI90" s="66"/>
      <c r="AJ90" s="638"/>
      <c r="AK90" s="66"/>
      <c r="AL90" s="66"/>
      <c r="AM90" s="66"/>
      <c r="AN90" s="298">
        <v>1</v>
      </c>
      <c r="AO90" s="66"/>
      <c r="AP90" s="66"/>
      <c r="AQ90" s="66"/>
      <c r="AR90" s="1012">
        <f>1/Δ_atm</f>
        <v>1</v>
      </c>
    </row>
    <row r="91" spans="2:52" ht="18" x14ac:dyDescent="0.25">
      <c r="D91" s="297" t="s">
        <v>231</v>
      </c>
      <c r="E91" s="66"/>
      <c r="F91" s="66"/>
      <c r="G91" s="66"/>
      <c r="H91" s="66"/>
      <c r="I91" s="66">
        <f>i_P_BIO</f>
        <v>0.02</v>
      </c>
      <c r="J91" s="66">
        <f>i_P_BIO</f>
        <v>0.02</v>
      </c>
      <c r="K91" s="66">
        <f>i_P_BIO</f>
        <v>0.02</v>
      </c>
      <c r="L91" s="66">
        <f>i_P_BIO</f>
        <v>0.02</v>
      </c>
      <c r="M91" s="66">
        <f>i_P_BIO</f>
        <v>0.02</v>
      </c>
      <c r="N91" s="831">
        <f>i_P_ALGAE</f>
        <v>0.02</v>
      </c>
      <c r="O91" s="66"/>
      <c r="P91" s="66"/>
      <c r="Q91" s="66"/>
      <c r="R91" s="66"/>
      <c r="S91" s="66"/>
      <c r="T91" s="66">
        <v>1</v>
      </c>
      <c r="U91" s="66">
        <v>1</v>
      </c>
      <c r="V91" s="66"/>
      <c r="W91" s="66"/>
      <c r="X91" s="66"/>
      <c r="Y91" s="66"/>
      <c r="Z91" s="66"/>
      <c r="AA91" s="66"/>
      <c r="AB91" s="86">
        <f>f_P_Fe</f>
        <v>0.55463805533172172</v>
      </c>
      <c r="AC91" s="66"/>
      <c r="AD91" s="86">
        <f>f_P_Al</f>
        <v>1.1479629449808202</v>
      </c>
      <c r="AE91" s="639"/>
      <c r="AF91" s="639"/>
      <c r="AG91" s="639"/>
      <c r="AH91" s="639"/>
      <c r="AI91" s="86"/>
      <c r="AJ91" s="639"/>
      <c r="AK91" s="86"/>
      <c r="AL91" s="86"/>
      <c r="AM91" s="86"/>
      <c r="AN91" s="298"/>
      <c r="AO91" s="86"/>
      <c r="AP91" s="86"/>
      <c r="AQ91" s="86"/>
      <c r="AR91" s="1013"/>
    </row>
    <row r="92" spans="2:52" x14ac:dyDescent="0.25">
      <c r="D92" s="297" t="s">
        <v>239</v>
      </c>
      <c r="E92" s="536"/>
      <c r="F92" s="536"/>
      <c r="G92" s="536"/>
      <c r="H92" s="536"/>
      <c r="I92" s="536"/>
      <c r="J92" s="536"/>
      <c r="K92" s="536"/>
      <c r="L92" s="536"/>
      <c r="M92" s="536"/>
      <c r="N92" s="828"/>
      <c r="O92" s="536"/>
      <c r="P92" s="536"/>
      <c r="Q92" s="536"/>
      <c r="R92" s="536"/>
      <c r="S92" s="536"/>
      <c r="T92" s="536"/>
      <c r="U92" s="536"/>
      <c r="V92" s="536"/>
      <c r="W92" s="536"/>
      <c r="X92" s="536"/>
      <c r="Y92" s="536"/>
      <c r="Z92" s="536"/>
      <c r="AA92" s="86">
        <v>1</v>
      </c>
      <c r="AB92" s="86">
        <v>1</v>
      </c>
      <c r="AC92" s="86"/>
      <c r="AD92" s="86"/>
      <c r="AE92" s="639"/>
      <c r="AF92" s="639"/>
      <c r="AG92" s="639"/>
      <c r="AH92" s="639"/>
      <c r="AI92" s="86"/>
      <c r="AJ92" s="639"/>
      <c r="AK92" s="86"/>
      <c r="AL92" s="86"/>
      <c r="AM92" s="86"/>
      <c r="AN92" s="298"/>
      <c r="AO92" s="86"/>
      <c r="AP92" s="86"/>
      <c r="AQ92" s="86"/>
      <c r="AR92" s="1013"/>
    </row>
    <row r="93" spans="2:52" x14ac:dyDescent="0.25">
      <c r="D93" s="422" t="s">
        <v>240</v>
      </c>
      <c r="E93" s="537"/>
      <c r="F93" s="537"/>
      <c r="G93" s="537"/>
      <c r="H93" s="537"/>
      <c r="I93" s="537"/>
      <c r="J93" s="537"/>
      <c r="K93" s="537"/>
      <c r="L93" s="537"/>
      <c r="M93" s="537"/>
      <c r="N93" s="829"/>
      <c r="O93" s="537"/>
      <c r="P93" s="537"/>
      <c r="Q93" s="537"/>
      <c r="R93" s="537"/>
      <c r="S93" s="537"/>
      <c r="T93" s="537"/>
      <c r="U93" s="537"/>
      <c r="V93" s="537"/>
      <c r="W93" s="537"/>
      <c r="X93" s="537"/>
      <c r="Y93" s="537"/>
      <c r="Z93" s="537"/>
      <c r="AA93" s="423"/>
      <c r="AB93" s="423"/>
      <c r="AC93" s="423">
        <v>1</v>
      </c>
      <c r="AD93" s="423">
        <v>1</v>
      </c>
      <c r="AE93" s="639"/>
      <c r="AF93" s="639"/>
      <c r="AG93" s="639"/>
      <c r="AH93" s="639"/>
      <c r="AI93" s="423"/>
      <c r="AJ93" s="640"/>
      <c r="AK93" s="423"/>
      <c r="AL93" s="423"/>
      <c r="AM93" s="423"/>
      <c r="AN93" s="424"/>
      <c r="AO93" s="423"/>
      <c r="AP93" s="423"/>
      <c r="AQ93" s="423"/>
      <c r="AR93" s="1014"/>
    </row>
    <row r="94" spans="2:52" ht="18.75" thickBot="1" x14ac:dyDescent="0.3">
      <c r="D94" s="299" t="s">
        <v>7</v>
      </c>
      <c r="E94" s="538"/>
      <c r="F94" s="538"/>
      <c r="G94" s="538"/>
      <c r="H94" s="538"/>
      <c r="I94" s="538"/>
      <c r="J94" s="538"/>
      <c r="K94" s="538"/>
      <c r="L94" s="538"/>
      <c r="M94" s="538"/>
      <c r="N94" s="538"/>
      <c r="O94" s="300">
        <f>C_HNHx</f>
        <v>7.1394404106606116E-5</v>
      </c>
      <c r="P94" s="300">
        <f>C_HNO3</f>
        <v>-7.1394404106606116E-5</v>
      </c>
      <c r="Q94" s="538"/>
      <c r="R94" s="538"/>
      <c r="S94" s="538"/>
      <c r="T94" s="300">
        <f>C_HPO4</f>
        <v>-4.8428085368331522E-5</v>
      </c>
      <c r="U94" s="538"/>
      <c r="V94" s="538"/>
      <c r="W94" s="538"/>
      <c r="X94" s="538"/>
      <c r="Y94" s="538"/>
      <c r="Z94" s="301">
        <v>-1</v>
      </c>
      <c r="AA94" s="300"/>
      <c r="AB94" s="300"/>
      <c r="AC94" s="300"/>
      <c r="AD94" s="300"/>
      <c r="AE94" s="300"/>
      <c r="AF94" s="300"/>
      <c r="AG94" s="300"/>
      <c r="AH94" s="300"/>
      <c r="AI94" s="300"/>
      <c r="AJ94" s="300"/>
      <c r="AK94" s="300"/>
      <c r="AL94" s="300"/>
      <c r="AM94" s="300"/>
      <c r="AN94" s="302"/>
      <c r="AO94" s="300"/>
      <c r="AP94" s="300"/>
      <c r="AQ94" s="300"/>
      <c r="AR94" s="1015"/>
    </row>
  </sheetData>
  <phoneticPr fontId="21" type="noConversion"/>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unka4"/>
  <dimension ref="A1:J7"/>
  <sheetViews>
    <sheetView showGridLines="0" zoomScale="80" zoomScaleNormal="80" workbookViewId="0">
      <pane xSplit="4" ySplit="1" topLeftCell="E2" activePane="bottomRight" state="frozen"/>
      <selection pane="topRight" activeCell="E1" sqref="E1"/>
      <selection pane="bottomLeft" activeCell="A4" sqref="A4"/>
      <selection pane="bottomRight" activeCell="B10" sqref="B10"/>
    </sheetView>
  </sheetViews>
  <sheetFormatPr baseColWidth="10" defaultColWidth="9.140625" defaultRowHeight="15" x14ac:dyDescent="0.25"/>
  <cols>
    <col min="1" max="1" width="17.7109375" customWidth="1"/>
    <col min="2" max="2" width="19.5703125" bestFit="1" customWidth="1"/>
    <col min="3" max="3" width="24.28515625" customWidth="1"/>
    <col min="4" max="4" width="29.5703125" customWidth="1"/>
    <col min="5" max="5" width="13" bestFit="1" customWidth="1"/>
  </cols>
  <sheetData>
    <row r="1" spans="1:10" s="42" customFormat="1" ht="48" customHeight="1" x14ac:dyDescent="0.25">
      <c r="A1" s="44"/>
    </row>
    <row r="2" spans="1:10" x14ac:dyDescent="0.25">
      <c r="C2" s="13"/>
    </row>
    <row r="3" spans="1:10" x14ac:dyDescent="0.25">
      <c r="B3" s="137"/>
      <c r="C3" s="137"/>
      <c r="D3" s="137"/>
      <c r="E3" s="137"/>
      <c r="F3" s="138"/>
      <c r="G3" s="138"/>
      <c r="H3" s="138"/>
      <c r="I3" s="138"/>
      <c r="J3" s="138"/>
    </row>
    <row r="6" spans="1:10" x14ac:dyDescent="0.25">
      <c r="B6" s="3"/>
      <c r="C6" s="139"/>
    </row>
    <row r="7" spans="1:10" x14ac:dyDescent="0.25">
      <c r="B7" s="137"/>
      <c r="C7" s="137"/>
    </row>
  </sheetData>
  <phoneticPr fontId="2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unka13"/>
  <dimension ref="B1:I13"/>
  <sheetViews>
    <sheetView showGridLines="0" workbookViewId="0">
      <selection activeCell="L12" sqref="L12"/>
    </sheetView>
  </sheetViews>
  <sheetFormatPr baseColWidth="10" defaultColWidth="9.140625" defaultRowHeight="15" x14ac:dyDescent="0.25"/>
  <cols>
    <col min="1" max="1" width="4" style="20" customWidth="1"/>
    <col min="2" max="2" width="22" style="19" customWidth="1"/>
    <col min="3" max="3" width="9.7109375" style="20" customWidth="1"/>
    <col min="4" max="16384" width="9.140625" style="20"/>
  </cols>
  <sheetData>
    <row r="1" spans="2:9" ht="56.25" customHeight="1" thickBot="1" x14ac:dyDescent="0.3"/>
    <row r="2" spans="2:9" s="19" customFormat="1" ht="15.75" thickBot="1" x14ac:dyDescent="0.3">
      <c r="B2" s="21" t="s">
        <v>131</v>
      </c>
      <c r="C2" s="22" t="s">
        <v>132</v>
      </c>
      <c r="D2" s="22" t="s">
        <v>133</v>
      </c>
      <c r="E2" s="22" t="s">
        <v>134</v>
      </c>
      <c r="F2" s="22" t="s">
        <v>135</v>
      </c>
      <c r="G2" s="22" t="s">
        <v>136</v>
      </c>
      <c r="H2" s="22" t="s">
        <v>137</v>
      </c>
      <c r="I2" s="23" t="s">
        <v>138</v>
      </c>
    </row>
    <row r="3" spans="2:9" ht="15.75" thickBot="1" x14ac:dyDescent="0.3">
      <c r="B3" s="24" t="s">
        <v>7</v>
      </c>
      <c r="C3" s="25">
        <v>1</v>
      </c>
      <c r="D3" s="25">
        <v>0</v>
      </c>
      <c r="E3" s="25">
        <v>-1</v>
      </c>
      <c r="F3" s="25">
        <v>-1</v>
      </c>
      <c r="G3" s="25">
        <v>1</v>
      </c>
      <c r="H3" s="26">
        <v>-1</v>
      </c>
      <c r="I3" s="27"/>
    </row>
    <row r="4" spans="2:9" x14ac:dyDescent="0.25">
      <c r="B4" s="28" t="s">
        <v>132</v>
      </c>
      <c r="C4" s="29">
        <v>1</v>
      </c>
      <c r="D4" s="29"/>
      <c r="E4" s="29"/>
      <c r="F4" s="29"/>
      <c r="G4" s="29"/>
      <c r="H4" s="30"/>
      <c r="I4" s="27"/>
    </row>
    <row r="5" spans="2:9" x14ac:dyDescent="0.25">
      <c r="B5" s="28" t="s">
        <v>133</v>
      </c>
      <c r="C5" s="29"/>
      <c r="D5" s="29">
        <v>1</v>
      </c>
      <c r="E5" s="29"/>
      <c r="F5" s="29"/>
      <c r="G5" s="29"/>
      <c r="H5" s="30"/>
      <c r="I5" s="27"/>
    </row>
    <row r="6" spans="2:9" x14ac:dyDescent="0.25">
      <c r="B6" s="28" t="s">
        <v>139</v>
      </c>
      <c r="C6" s="29"/>
      <c r="D6" s="29"/>
      <c r="E6" s="29">
        <v>1</v>
      </c>
      <c r="F6" s="29"/>
      <c r="G6" s="29"/>
      <c r="H6" s="30"/>
      <c r="I6" s="27"/>
    </row>
    <row r="7" spans="2:9" x14ac:dyDescent="0.25">
      <c r="B7" s="28" t="s">
        <v>140</v>
      </c>
      <c r="C7" s="29"/>
      <c r="D7" s="29"/>
      <c r="E7" s="29"/>
      <c r="F7" s="29">
        <v>1</v>
      </c>
      <c r="G7" s="29"/>
      <c r="H7" s="30"/>
      <c r="I7" s="27"/>
    </row>
    <row r="8" spans="2:9" x14ac:dyDescent="0.25">
      <c r="B8" s="28" t="s">
        <v>136</v>
      </c>
      <c r="C8" s="29"/>
      <c r="D8" s="29"/>
      <c r="E8" s="29"/>
      <c r="F8" s="29"/>
      <c r="G8" s="29">
        <v>1</v>
      </c>
      <c r="H8" s="30"/>
      <c r="I8" s="27"/>
    </row>
    <row r="9" spans="2:9" ht="15.75" thickBot="1" x14ac:dyDescent="0.3">
      <c r="B9" s="31" t="s">
        <v>137</v>
      </c>
      <c r="C9" s="32"/>
      <c r="D9" s="32"/>
      <c r="E9" s="32"/>
      <c r="F9" s="32"/>
      <c r="G9" s="32"/>
      <c r="H9" s="33">
        <v>1</v>
      </c>
    </row>
    <row r="10" spans="2:9" x14ac:dyDescent="0.25">
      <c r="B10" s="28" t="s">
        <v>141</v>
      </c>
      <c r="C10" s="29">
        <v>-1</v>
      </c>
      <c r="D10" s="29">
        <v>0</v>
      </c>
      <c r="E10" s="29">
        <v>0</v>
      </c>
      <c r="F10" s="29">
        <v>0</v>
      </c>
      <c r="G10" s="29">
        <v>0</v>
      </c>
      <c r="H10" s="29">
        <v>0</v>
      </c>
      <c r="I10" s="34">
        <v>-14.163232949999999</v>
      </c>
    </row>
    <row r="11" spans="2:9" ht="15.75" thickBot="1" x14ac:dyDescent="0.3">
      <c r="B11" s="28" t="s">
        <v>142</v>
      </c>
      <c r="C11" s="29">
        <v>1</v>
      </c>
      <c r="D11" s="29">
        <v>1</v>
      </c>
      <c r="E11" s="29">
        <v>0</v>
      </c>
      <c r="F11" s="29">
        <v>0</v>
      </c>
      <c r="G11" s="29">
        <v>0</v>
      </c>
      <c r="H11" s="29">
        <v>0</v>
      </c>
      <c r="I11" s="35">
        <v>9.4016472899999997</v>
      </c>
    </row>
    <row r="12" spans="2:9" x14ac:dyDescent="0.25">
      <c r="B12" s="36" t="s">
        <v>143</v>
      </c>
      <c r="C12" s="39"/>
      <c r="D12" s="39">
        <v>1E-3</v>
      </c>
      <c r="E12" s="39">
        <v>1E-3</v>
      </c>
      <c r="F12" s="39">
        <v>1E-3</v>
      </c>
      <c r="G12" s="39">
        <v>1E-3</v>
      </c>
      <c r="H12" s="37">
        <v>1E-3</v>
      </c>
      <c r="I12" s="27"/>
    </row>
    <row r="13" spans="2:9" ht="15.75" thickBot="1" x14ac:dyDescent="0.3">
      <c r="B13" s="31" t="s">
        <v>144</v>
      </c>
      <c r="C13" s="38">
        <v>9.9999999999999995E-8</v>
      </c>
      <c r="D13" s="38">
        <v>1E-4</v>
      </c>
      <c r="E13" s="32">
        <v>1E-3</v>
      </c>
      <c r="F13" s="32">
        <v>1E-3</v>
      </c>
      <c r="G13" s="32">
        <v>1E-3</v>
      </c>
      <c r="H13" s="33">
        <v>1E-3</v>
      </c>
      <c r="I13" s="2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unka7"/>
  <dimension ref="A1:Y43"/>
  <sheetViews>
    <sheetView showGridLines="0" zoomScaleNormal="100" workbookViewId="0">
      <selection activeCell="B43" sqref="B43:E43"/>
    </sheetView>
  </sheetViews>
  <sheetFormatPr baseColWidth="10" defaultColWidth="9.140625" defaultRowHeight="15" x14ac:dyDescent="0.25"/>
  <cols>
    <col min="1" max="1" width="8.140625" customWidth="1"/>
    <col min="2" max="2" width="11" customWidth="1"/>
    <col min="3" max="3" width="45.28515625" style="59" customWidth="1"/>
    <col min="4" max="4" width="13.28515625" bestFit="1" customWidth="1"/>
    <col min="5" max="9" width="19.140625" bestFit="1" customWidth="1"/>
    <col min="10" max="15" width="19.140625" customWidth="1"/>
    <col min="16" max="16" width="10.28515625" bestFit="1" customWidth="1"/>
    <col min="17" max="17" width="9" bestFit="1" customWidth="1"/>
    <col min="18" max="18" width="10.140625" customWidth="1"/>
    <col min="19" max="19" width="13.5703125" customWidth="1"/>
    <col min="20" max="20" width="10.28515625" bestFit="1" customWidth="1"/>
    <col min="21" max="21" width="13" style="282" customWidth="1"/>
    <col min="22" max="22" width="10.85546875" bestFit="1" customWidth="1"/>
    <col min="23" max="23" width="74.140625" bestFit="1" customWidth="1"/>
  </cols>
  <sheetData>
    <row r="1" spans="1:25" s="42" customFormat="1" ht="48" customHeight="1" thickBot="1" x14ac:dyDescent="0.3">
      <c r="A1" s="45"/>
      <c r="B1" s="46"/>
      <c r="C1" s="67"/>
      <c r="U1" s="281"/>
    </row>
    <row r="2" spans="1:25" ht="19.5" customHeight="1" thickBot="1" x14ac:dyDescent="0.3">
      <c r="A2" s="3"/>
      <c r="B2" s="4"/>
      <c r="C2" s="50" t="s">
        <v>774</v>
      </c>
      <c r="D2" s="3"/>
      <c r="E2" s="3"/>
      <c r="F2" s="3"/>
      <c r="G2" s="3"/>
      <c r="H2" s="3"/>
      <c r="I2" s="3"/>
      <c r="J2" s="3"/>
      <c r="K2" s="3"/>
      <c r="L2" s="3"/>
      <c r="M2" s="3"/>
      <c r="N2" s="3"/>
      <c r="O2" s="3"/>
      <c r="P2" s="3"/>
      <c r="Q2" s="3"/>
    </row>
    <row r="3" spans="1:25" s="3" customFormat="1" ht="15.75" thickBot="1" x14ac:dyDescent="0.3">
      <c r="A3" s="5"/>
      <c r="B3" s="440" t="s">
        <v>0</v>
      </c>
      <c r="C3" s="441" t="s">
        <v>1</v>
      </c>
      <c r="D3" s="441" t="s">
        <v>10</v>
      </c>
      <c r="E3" s="442" t="s">
        <v>11</v>
      </c>
      <c r="F3" s="442" t="s">
        <v>2295</v>
      </c>
      <c r="G3" s="442" t="s">
        <v>1228</v>
      </c>
      <c r="H3" s="442" t="s">
        <v>1056</v>
      </c>
      <c r="I3" s="442" t="s">
        <v>1059</v>
      </c>
      <c r="J3" s="442" t="s">
        <v>1304</v>
      </c>
      <c r="K3" s="442" t="s">
        <v>1793</v>
      </c>
      <c r="L3" s="675" t="s">
        <v>2234</v>
      </c>
      <c r="M3" s="675" t="s">
        <v>2235</v>
      </c>
      <c r="N3" s="452" t="s">
        <v>385</v>
      </c>
      <c r="O3" s="452" t="s">
        <v>386</v>
      </c>
      <c r="P3" s="441" t="s">
        <v>2</v>
      </c>
      <c r="Q3" s="441" t="s">
        <v>309</v>
      </c>
      <c r="R3" s="441" t="s">
        <v>12</v>
      </c>
      <c r="S3" s="441" t="s">
        <v>776</v>
      </c>
      <c r="T3" s="441" t="s">
        <v>3</v>
      </c>
      <c r="U3" s="667" t="s">
        <v>2215</v>
      </c>
      <c r="V3" s="441" t="s">
        <v>113</v>
      </c>
      <c r="W3" s="443" t="s">
        <v>6</v>
      </c>
    </row>
    <row r="4" spans="1:25" ht="18" x14ac:dyDescent="0.25">
      <c r="A4" s="74"/>
      <c r="B4" s="93" t="s">
        <v>710</v>
      </c>
      <c r="C4" s="420" t="s">
        <v>1287</v>
      </c>
      <c r="D4" s="94">
        <v>150</v>
      </c>
      <c r="E4" s="94">
        <v>5</v>
      </c>
      <c r="F4" s="94">
        <v>150</v>
      </c>
      <c r="G4" s="94">
        <v>5</v>
      </c>
      <c r="H4" s="94">
        <v>5</v>
      </c>
      <c r="I4" s="94">
        <v>5</v>
      </c>
      <c r="J4" s="94">
        <v>5</v>
      </c>
      <c r="K4" s="94">
        <v>5</v>
      </c>
      <c r="L4" s="676">
        <v>8.6656600000000008</v>
      </c>
      <c r="M4" s="676">
        <v>92.281400000000005</v>
      </c>
      <c r="N4" s="95" t="s">
        <v>1791</v>
      </c>
      <c r="O4" s="95" t="s">
        <v>1792</v>
      </c>
      <c r="P4" s="95" t="s">
        <v>328</v>
      </c>
      <c r="Q4" s="95">
        <v>1</v>
      </c>
      <c r="R4" s="95" t="s">
        <v>232</v>
      </c>
      <c r="S4" s="95" t="s">
        <v>233</v>
      </c>
      <c r="T4" s="95" t="s">
        <v>235</v>
      </c>
      <c r="U4" s="661" t="s">
        <v>145</v>
      </c>
      <c r="V4" s="95"/>
      <c r="W4" s="96"/>
    </row>
    <row r="5" spans="1:25" ht="18" x14ac:dyDescent="0.25">
      <c r="A5" s="74"/>
      <c r="B5" s="97" t="s">
        <v>711</v>
      </c>
      <c r="C5" s="421" t="s">
        <v>211</v>
      </c>
      <c r="D5" s="91">
        <v>153.1</v>
      </c>
      <c r="E5" s="91">
        <v>50</v>
      </c>
      <c r="F5" s="91">
        <v>65.828236093341502</v>
      </c>
      <c r="G5" s="91">
        <v>50</v>
      </c>
      <c r="H5" s="91">
        <v>50</v>
      </c>
      <c r="I5" s="91">
        <v>50</v>
      </c>
      <c r="J5" s="91">
        <v>50</v>
      </c>
      <c r="K5" s="94">
        <v>20</v>
      </c>
      <c r="L5" s="676">
        <v>11.584099999999999</v>
      </c>
      <c r="M5" s="676">
        <v>18.724419999999999</v>
      </c>
      <c r="N5" s="81" t="s">
        <v>1791</v>
      </c>
      <c r="O5" s="81" t="s">
        <v>1792</v>
      </c>
      <c r="P5" s="81" t="s">
        <v>328</v>
      </c>
      <c r="Q5" s="81">
        <v>1</v>
      </c>
      <c r="R5" s="81" t="s">
        <v>232</v>
      </c>
      <c r="S5" s="81" t="s">
        <v>234</v>
      </c>
      <c r="T5" s="81" t="s">
        <v>235</v>
      </c>
      <c r="U5" s="661" t="s">
        <v>145</v>
      </c>
      <c r="V5" s="81" t="s">
        <v>1285</v>
      </c>
      <c r="W5" s="98"/>
    </row>
    <row r="6" spans="1:25" ht="18" x14ac:dyDescent="0.25">
      <c r="A6" s="74"/>
      <c r="B6" s="97" t="s">
        <v>712</v>
      </c>
      <c r="C6" s="421" t="s">
        <v>212</v>
      </c>
      <c r="D6" s="91">
        <v>20</v>
      </c>
      <c r="E6" s="91">
        <v>25</v>
      </c>
      <c r="F6" s="91">
        <v>19.999999999999901</v>
      </c>
      <c r="G6" s="91">
        <v>25</v>
      </c>
      <c r="H6" s="91">
        <v>300</v>
      </c>
      <c r="I6" s="91">
        <v>25</v>
      </c>
      <c r="J6" s="91">
        <v>25</v>
      </c>
      <c r="K6" s="94">
        <v>25</v>
      </c>
      <c r="L6" s="676">
        <v>20</v>
      </c>
      <c r="M6" s="676">
        <v>20</v>
      </c>
      <c r="N6" s="81" t="s">
        <v>1791</v>
      </c>
      <c r="O6" s="81" t="s">
        <v>1792</v>
      </c>
      <c r="P6" s="81" t="s">
        <v>328</v>
      </c>
      <c r="Q6" s="81">
        <v>1</v>
      </c>
      <c r="R6" s="81" t="s">
        <v>232</v>
      </c>
      <c r="S6" s="81" t="s">
        <v>233</v>
      </c>
      <c r="T6" s="81" t="s">
        <v>235</v>
      </c>
      <c r="U6" s="661" t="s">
        <v>145</v>
      </c>
      <c r="V6" s="81"/>
      <c r="W6" s="98"/>
    </row>
    <row r="7" spans="1:25" ht="18" x14ac:dyDescent="0.25">
      <c r="A7" s="74"/>
      <c r="B7" s="97" t="s">
        <v>713</v>
      </c>
      <c r="C7" s="421" t="s">
        <v>213</v>
      </c>
      <c r="D7" s="91">
        <v>75.599999999999994</v>
      </c>
      <c r="E7" s="91">
        <v>700</v>
      </c>
      <c r="F7" s="91">
        <v>32.5</v>
      </c>
      <c r="G7" s="91">
        <v>700</v>
      </c>
      <c r="H7" s="91">
        <v>700</v>
      </c>
      <c r="I7" s="91">
        <v>700</v>
      </c>
      <c r="J7" s="91">
        <v>700</v>
      </c>
      <c r="K7" s="94">
        <v>280</v>
      </c>
      <c r="L7" s="676">
        <v>68.474000000000004</v>
      </c>
      <c r="M7" s="676">
        <v>92792.375</v>
      </c>
      <c r="N7" s="81" t="s">
        <v>1791</v>
      </c>
      <c r="O7" s="81" t="s">
        <v>1792</v>
      </c>
      <c r="P7" s="81" t="s">
        <v>328</v>
      </c>
      <c r="Q7" s="81">
        <v>1</v>
      </c>
      <c r="R7" s="81" t="s">
        <v>232</v>
      </c>
      <c r="S7" s="81" t="s">
        <v>234</v>
      </c>
      <c r="T7" s="81" t="s">
        <v>235</v>
      </c>
      <c r="U7" s="661" t="s">
        <v>145</v>
      </c>
      <c r="V7" s="81"/>
      <c r="W7" s="98"/>
    </row>
    <row r="8" spans="1:25" ht="18" x14ac:dyDescent="0.25">
      <c r="A8" s="74"/>
      <c r="B8" s="97" t="s">
        <v>714</v>
      </c>
      <c r="C8" s="421" t="s">
        <v>214</v>
      </c>
      <c r="D8" s="91" t="s">
        <v>1082</v>
      </c>
      <c r="E8" s="91">
        <v>500</v>
      </c>
      <c r="F8" s="91" t="s">
        <v>1082</v>
      </c>
      <c r="G8" s="91">
        <v>500</v>
      </c>
      <c r="H8" s="91">
        <v>500</v>
      </c>
      <c r="I8" s="91">
        <v>500</v>
      </c>
      <c r="J8" s="91">
        <v>500</v>
      </c>
      <c r="K8" s="94">
        <v>200</v>
      </c>
      <c r="L8" s="676">
        <v>10.8924</v>
      </c>
      <c r="M8" s="676">
        <v>25977.9</v>
      </c>
      <c r="N8" s="81" t="s">
        <v>1791</v>
      </c>
      <c r="O8" s="81" t="s">
        <v>1792</v>
      </c>
      <c r="P8" s="81" t="s">
        <v>328</v>
      </c>
      <c r="Q8" s="81">
        <v>1</v>
      </c>
      <c r="R8" s="81" t="s">
        <v>232</v>
      </c>
      <c r="S8" s="81" t="s">
        <v>234</v>
      </c>
      <c r="T8" s="81" t="s">
        <v>235</v>
      </c>
      <c r="U8" s="661" t="s">
        <v>145</v>
      </c>
      <c r="V8" s="81"/>
      <c r="W8" s="98"/>
    </row>
    <row r="9" spans="1:25" ht="18" x14ac:dyDescent="0.25">
      <c r="A9" s="74"/>
      <c r="B9" s="97" t="s">
        <v>715</v>
      </c>
      <c r="C9" s="421" t="s">
        <v>1507</v>
      </c>
      <c r="D9" s="91">
        <v>21</v>
      </c>
      <c r="E9" s="91">
        <v>500</v>
      </c>
      <c r="F9" s="91">
        <v>9</v>
      </c>
      <c r="G9" s="91">
        <v>500</v>
      </c>
      <c r="H9" s="91">
        <v>500</v>
      </c>
      <c r="I9" s="91">
        <v>500</v>
      </c>
      <c r="J9" s="91">
        <v>500</v>
      </c>
      <c r="K9" s="94">
        <v>200</v>
      </c>
      <c r="L9" s="676">
        <v>121.511</v>
      </c>
      <c r="M9" s="676">
        <v>729.18624999999997</v>
      </c>
      <c r="N9" s="81" t="s">
        <v>1791</v>
      </c>
      <c r="O9" s="81" t="s">
        <v>1792</v>
      </c>
      <c r="P9" s="81" t="s">
        <v>328</v>
      </c>
      <c r="Q9" s="81">
        <v>1</v>
      </c>
      <c r="R9" s="81" t="s">
        <v>232</v>
      </c>
      <c r="S9" s="81" t="s">
        <v>234</v>
      </c>
      <c r="T9" s="81" t="s">
        <v>235</v>
      </c>
      <c r="U9" s="661" t="s">
        <v>2216</v>
      </c>
      <c r="V9" s="81"/>
      <c r="W9" s="98"/>
    </row>
    <row r="10" spans="1:25" ht="18" x14ac:dyDescent="0.25">
      <c r="A10" s="74"/>
      <c r="B10" s="97" t="s">
        <v>716</v>
      </c>
      <c r="C10" s="421" t="s">
        <v>1508</v>
      </c>
      <c r="D10" s="91">
        <v>0.1</v>
      </c>
      <c r="E10" s="91">
        <v>50</v>
      </c>
      <c r="F10" s="91">
        <v>4.2999999999999997E-2</v>
      </c>
      <c r="G10" s="91">
        <v>50</v>
      </c>
      <c r="H10" s="91">
        <v>50</v>
      </c>
      <c r="I10" s="91">
        <v>50</v>
      </c>
      <c r="J10" s="91">
        <v>50</v>
      </c>
      <c r="K10" s="94">
        <v>20</v>
      </c>
      <c r="L10" s="676">
        <v>0.110667</v>
      </c>
      <c r="M10" s="676">
        <v>2.4075479999999998</v>
      </c>
      <c r="N10" s="81" t="s">
        <v>1791</v>
      </c>
      <c r="O10" s="81" t="s">
        <v>1792</v>
      </c>
      <c r="P10" s="81" t="s">
        <v>328</v>
      </c>
      <c r="Q10" s="81">
        <v>1</v>
      </c>
      <c r="R10" s="81" t="s">
        <v>232</v>
      </c>
      <c r="S10" s="81" t="s">
        <v>234</v>
      </c>
      <c r="T10" s="81" t="s">
        <v>235</v>
      </c>
      <c r="U10" s="661" t="s">
        <v>2216</v>
      </c>
      <c r="V10" s="81"/>
      <c r="W10" s="98"/>
    </row>
    <row r="11" spans="1:25" ht="18" x14ac:dyDescent="0.25">
      <c r="A11" s="74"/>
      <c r="B11" s="97" t="s">
        <v>717</v>
      </c>
      <c r="C11" s="421" t="s">
        <v>1509</v>
      </c>
      <c r="D11" s="91">
        <v>0.1</v>
      </c>
      <c r="E11" s="91">
        <v>100</v>
      </c>
      <c r="F11" s="91">
        <v>4.2999999999999997E-2</v>
      </c>
      <c r="G11" s="91">
        <v>100</v>
      </c>
      <c r="H11" s="91">
        <v>500</v>
      </c>
      <c r="I11" s="91">
        <v>100</v>
      </c>
      <c r="J11" s="91">
        <v>100</v>
      </c>
      <c r="K11" s="94">
        <v>40</v>
      </c>
      <c r="L11" s="676">
        <v>7.4814199999999997E-2</v>
      </c>
      <c r="M11" s="676">
        <v>319.114575</v>
      </c>
      <c r="N11" s="81" t="s">
        <v>1791</v>
      </c>
      <c r="O11" s="81" t="s">
        <v>1792</v>
      </c>
      <c r="P11" s="81" t="s">
        <v>328</v>
      </c>
      <c r="Q11" s="81">
        <v>1</v>
      </c>
      <c r="R11" s="81" t="s">
        <v>232</v>
      </c>
      <c r="S11" s="81" t="s">
        <v>234</v>
      </c>
      <c r="T11" s="81" t="s">
        <v>235</v>
      </c>
      <c r="U11" s="661" t="s">
        <v>2216</v>
      </c>
      <c r="V11" s="81"/>
      <c r="W11" s="98"/>
    </row>
    <row r="12" spans="1:25" ht="18" x14ac:dyDescent="0.25">
      <c r="A12" s="74"/>
      <c r="B12" s="97" t="s">
        <v>718</v>
      </c>
      <c r="C12" s="421" t="s">
        <v>1510</v>
      </c>
      <c r="D12" s="91">
        <v>0.1</v>
      </c>
      <c r="E12" s="91">
        <v>100</v>
      </c>
      <c r="F12" s="91">
        <v>4.2999999999999997E-2</v>
      </c>
      <c r="G12" s="91">
        <v>100</v>
      </c>
      <c r="H12" s="91">
        <v>500</v>
      </c>
      <c r="I12" s="91">
        <v>100</v>
      </c>
      <c r="J12" s="91">
        <v>100</v>
      </c>
      <c r="K12" s="94">
        <v>40</v>
      </c>
      <c r="L12" s="676">
        <v>7.21141E-2</v>
      </c>
      <c r="M12" s="676">
        <v>46.350850000000001</v>
      </c>
      <c r="N12" s="81" t="s">
        <v>1791</v>
      </c>
      <c r="O12" s="81" t="s">
        <v>1792</v>
      </c>
      <c r="P12" s="81" t="s">
        <v>328</v>
      </c>
      <c r="Q12" s="81">
        <v>1</v>
      </c>
      <c r="R12" s="81" t="s">
        <v>232</v>
      </c>
      <c r="S12" s="81" t="s">
        <v>234</v>
      </c>
      <c r="T12" s="81" t="s">
        <v>235</v>
      </c>
      <c r="U12" s="661" t="s">
        <v>2216</v>
      </c>
      <c r="V12" s="81"/>
      <c r="W12" s="98"/>
    </row>
    <row r="13" spans="1:25" s="59" customFormat="1" ht="18" x14ac:dyDescent="0.25">
      <c r="A13" s="791"/>
      <c r="B13" s="792" t="s">
        <v>2323</v>
      </c>
      <c r="C13" s="793" t="s">
        <v>2324</v>
      </c>
      <c r="D13" s="794">
        <v>0</v>
      </c>
      <c r="E13" s="794">
        <v>0</v>
      </c>
      <c r="F13" s="794" t="s">
        <v>1082</v>
      </c>
      <c r="G13" s="794" t="s">
        <v>1082</v>
      </c>
      <c r="H13" s="794" t="s">
        <v>1082</v>
      </c>
      <c r="I13" s="794" t="s">
        <v>1082</v>
      </c>
      <c r="J13" s="794" t="s">
        <v>1082</v>
      </c>
      <c r="K13" s="794" t="s">
        <v>1082</v>
      </c>
      <c r="L13" s="676">
        <v>0.131192</v>
      </c>
      <c r="M13" s="794">
        <v>198.26332500000001</v>
      </c>
      <c r="N13" s="668" t="s">
        <v>1791</v>
      </c>
      <c r="O13" s="668" t="s">
        <v>1792</v>
      </c>
      <c r="P13" s="668" t="s">
        <v>328</v>
      </c>
      <c r="Q13" s="668">
        <v>1</v>
      </c>
      <c r="R13" s="668" t="s">
        <v>232</v>
      </c>
      <c r="S13" s="668" t="s">
        <v>234</v>
      </c>
      <c r="T13" s="668" t="s">
        <v>235</v>
      </c>
      <c r="U13" s="661" t="s">
        <v>2216</v>
      </c>
      <c r="V13" s="668" t="s">
        <v>2325</v>
      </c>
      <c r="W13" s="98"/>
      <c r="Y13" s="795"/>
    </row>
    <row r="14" spans="1:25" ht="18" x14ac:dyDescent="0.25">
      <c r="A14" s="74"/>
      <c r="B14" s="97" t="s">
        <v>719</v>
      </c>
      <c r="C14" s="793" t="s">
        <v>1511</v>
      </c>
      <c r="D14" s="794">
        <v>24</v>
      </c>
      <c r="E14" s="794">
        <v>3</v>
      </c>
      <c r="F14" s="794">
        <v>24</v>
      </c>
      <c r="G14" s="794">
        <v>3</v>
      </c>
      <c r="H14" s="794">
        <v>3</v>
      </c>
      <c r="I14" s="794">
        <v>3</v>
      </c>
      <c r="J14" s="794">
        <v>3</v>
      </c>
      <c r="K14" s="94">
        <v>3</v>
      </c>
      <c r="L14" s="94">
        <v>24.291899999999998</v>
      </c>
      <c r="M14" s="94">
        <v>72.352000000000004</v>
      </c>
      <c r="N14" s="668" t="s">
        <v>1791</v>
      </c>
      <c r="O14" s="668" t="s">
        <v>1792</v>
      </c>
      <c r="P14" s="668" t="s">
        <v>337</v>
      </c>
      <c r="Q14" s="668">
        <v>1</v>
      </c>
      <c r="R14" s="668" t="s">
        <v>232</v>
      </c>
      <c r="S14" s="668" t="s">
        <v>233</v>
      </c>
      <c r="T14" s="668" t="s">
        <v>235</v>
      </c>
      <c r="U14" s="668" t="s">
        <v>230</v>
      </c>
      <c r="V14" s="668"/>
      <c r="W14" s="98"/>
    </row>
    <row r="15" spans="1:25" ht="18" x14ac:dyDescent="0.35">
      <c r="A15" s="74"/>
      <c r="B15" s="97" t="s">
        <v>766</v>
      </c>
      <c r="C15" t="s">
        <v>1522</v>
      </c>
      <c r="D15" s="91" t="s">
        <v>1082</v>
      </c>
      <c r="E15" s="91">
        <v>15</v>
      </c>
      <c r="F15" s="91" t="s">
        <v>1082</v>
      </c>
      <c r="G15" s="91">
        <v>15</v>
      </c>
      <c r="H15" s="91">
        <v>15</v>
      </c>
      <c r="I15" s="91">
        <v>15</v>
      </c>
      <c r="J15" s="91">
        <v>15</v>
      </c>
      <c r="K15" s="94">
        <v>15</v>
      </c>
      <c r="L15" s="676" t="s">
        <v>1082</v>
      </c>
      <c r="M15" s="676" t="s">
        <v>1082</v>
      </c>
      <c r="N15" s="81" t="s">
        <v>1791</v>
      </c>
      <c r="O15" s="81" t="s">
        <v>1792</v>
      </c>
      <c r="P15" s="81" t="s">
        <v>337</v>
      </c>
      <c r="Q15" s="81">
        <v>1</v>
      </c>
      <c r="R15" s="81" t="s">
        <v>232</v>
      </c>
      <c r="S15" s="81" t="s">
        <v>233</v>
      </c>
      <c r="T15" s="81" t="s">
        <v>235</v>
      </c>
      <c r="U15" s="668" t="s">
        <v>230</v>
      </c>
      <c r="V15" s="81"/>
      <c r="W15" s="98"/>
    </row>
    <row r="16" spans="1:25" ht="18" x14ac:dyDescent="0.25">
      <c r="A16" s="74"/>
      <c r="B16" s="97" t="s">
        <v>720</v>
      </c>
      <c r="C16" s="421" t="s">
        <v>1512</v>
      </c>
      <c r="D16" s="91">
        <v>16</v>
      </c>
      <c r="E16" s="91">
        <v>16</v>
      </c>
      <c r="F16" s="91">
        <v>16</v>
      </c>
      <c r="G16" s="91">
        <v>18</v>
      </c>
      <c r="H16" s="91">
        <v>16</v>
      </c>
      <c r="I16" s="91">
        <v>16</v>
      </c>
      <c r="J16" s="91">
        <v>16</v>
      </c>
      <c r="K16" s="94">
        <v>16</v>
      </c>
      <c r="L16" s="676">
        <v>16.923400000000001</v>
      </c>
      <c r="M16" s="676">
        <v>18.938199999999998</v>
      </c>
      <c r="N16" s="81" t="s">
        <v>1791</v>
      </c>
      <c r="O16" s="81" t="s">
        <v>1792</v>
      </c>
      <c r="P16" s="81" t="s">
        <v>337</v>
      </c>
      <c r="Q16" s="81">
        <v>1</v>
      </c>
      <c r="R16" s="81" t="s">
        <v>232</v>
      </c>
      <c r="S16" s="81" t="s">
        <v>233</v>
      </c>
      <c r="T16" s="81" t="s">
        <v>235</v>
      </c>
      <c r="U16" s="668" t="s">
        <v>230</v>
      </c>
      <c r="V16" s="81"/>
      <c r="W16" s="98"/>
    </row>
    <row r="17" spans="1:23" ht="18" x14ac:dyDescent="0.25">
      <c r="A17" s="74"/>
      <c r="B17" s="97" t="s">
        <v>721</v>
      </c>
      <c r="C17" s="421" t="s">
        <v>1239</v>
      </c>
      <c r="D17" s="91">
        <v>4.4000000000000004</v>
      </c>
      <c r="E17" s="91">
        <v>0.5</v>
      </c>
      <c r="F17" s="91">
        <v>4.4000000000000004</v>
      </c>
      <c r="G17" s="91">
        <v>0.5</v>
      </c>
      <c r="H17" s="91">
        <v>0.5</v>
      </c>
      <c r="I17" s="91">
        <v>0.5</v>
      </c>
      <c r="J17" s="91">
        <v>0.5</v>
      </c>
      <c r="K17" s="94">
        <v>0.5</v>
      </c>
      <c r="L17" s="676">
        <v>0.76735600000000004</v>
      </c>
      <c r="M17" s="676">
        <v>0.310394</v>
      </c>
      <c r="N17" s="81" t="s">
        <v>1791</v>
      </c>
      <c r="O17" s="81" t="s">
        <v>1792</v>
      </c>
      <c r="P17" s="81" t="s">
        <v>337</v>
      </c>
      <c r="Q17" s="81">
        <v>1</v>
      </c>
      <c r="R17" s="81" t="s">
        <v>232</v>
      </c>
      <c r="S17" s="81" t="s">
        <v>233</v>
      </c>
      <c r="T17" s="81" t="s">
        <v>235</v>
      </c>
      <c r="U17" s="668" t="s">
        <v>230</v>
      </c>
      <c r="V17" s="81"/>
      <c r="W17" s="98"/>
    </row>
    <row r="18" spans="1:23" ht="18" x14ac:dyDescent="0.25">
      <c r="A18" s="74"/>
      <c r="B18" s="97" t="s">
        <v>722</v>
      </c>
      <c r="C18" s="421" t="s">
        <v>1513</v>
      </c>
      <c r="D18" s="91">
        <v>3.5</v>
      </c>
      <c r="E18" s="91">
        <v>4</v>
      </c>
      <c r="F18" s="91">
        <v>0.55000000000000004</v>
      </c>
      <c r="G18" s="91">
        <v>4</v>
      </c>
      <c r="H18" s="91">
        <v>4</v>
      </c>
      <c r="I18" s="91">
        <v>4</v>
      </c>
      <c r="J18" s="91">
        <v>4</v>
      </c>
      <c r="K18" s="94">
        <v>1.6</v>
      </c>
      <c r="L18" s="676">
        <v>0.43535299999999999</v>
      </c>
      <c r="M18" s="676">
        <v>1.2475905</v>
      </c>
      <c r="N18" s="81" t="s">
        <v>1791</v>
      </c>
      <c r="O18" s="81" t="s">
        <v>1792</v>
      </c>
      <c r="P18" s="81" t="s">
        <v>337</v>
      </c>
      <c r="Q18" s="81">
        <v>1</v>
      </c>
      <c r="R18" s="81" t="s">
        <v>232</v>
      </c>
      <c r="S18" s="81" t="s">
        <v>234</v>
      </c>
      <c r="T18" s="81" t="s">
        <v>235</v>
      </c>
      <c r="U18" s="668" t="s">
        <v>230</v>
      </c>
      <c r="V18" s="81" t="s">
        <v>1286</v>
      </c>
      <c r="W18" s="98"/>
    </row>
    <row r="19" spans="1:23" ht="18" x14ac:dyDescent="0.25">
      <c r="A19" s="74"/>
      <c r="B19" s="97" t="s">
        <v>723</v>
      </c>
      <c r="C19" s="421" t="s">
        <v>1514</v>
      </c>
      <c r="D19" s="91">
        <v>2.5</v>
      </c>
      <c r="E19" s="91">
        <v>1</v>
      </c>
      <c r="F19" s="91">
        <v>2.5</v>
      </c>
      <c r="G19" s="91">
        <v>1</v>
      </c>
      <c r="H19" s="91">
        <v>1</v>
      </c>
      <c r="I19" s="91">
        <v>1</v>
      </c>
      <c r="J19" s="91">
        <v>1</v>
      </c>
      <c r="K19" s="94">
        <v>1</v>
      </c>
      <c r="L19" s="676">
        <v>2.5466000000000002</v>
      </c>
      <c r="M19" s="676">
        <v>16.253900000000002</v>
      </c>
      <c r="N19" s="81" t="s">
        <v>1791</v>
      </c>
      <c r="O19" s="81" t="s">
        <v>1792</v>
      </c>
      <c r="P19" s="81" t="s">
        <v>724</v>
      </c>
      <c r="Q19" s="81">
        <v>1</v>
      </c>
      <c r="R19" s="81" t="s">
        <v>232</v>
      </c>
      <c r="S19" s="81" t="s">
        <v>233</v>
      </c>
      <c r="T19" s="81" t="s">
        <v>235</v>
      </c>
      <c r="U19" s="668" t="s">
        <v>231</v>
      </c>
      <c r="V19" s="81"/>
      <c r="W19" s="98"/>
    </row>
    <row r="20" spans="1:23" ht="18" x14ac:dyDescent="0.25">
      <c r="A20" s="74"/>
      <c r="B20" s="97" t="s">
        <v>725</v>
      </c>
      <c r="C20" s="421" t="s">
        <v>1515</v>
      </c>
      <c r="D20" s="91">
        <v>1.4</v>
      </c>
      <c r="E20" s="91">
        <v>0.2</v>
      </c>
      <c r="F20" s="91">
        <v>0.59</v>
      </c>
      <c r="G20" s="91">
        <v>0.2</v>
      </c>
      <c r="H20" s="91">
        <v>0.2</v>
      </c>
      <c r="I20" s="91">
        <v>0.2</v>
      </c>
      <c r="J20" s="91">
        <v>0.2</v>
      </c>
      <c r="K20" s="94">
        <v>8.0000000000000016E-2</v>
      </c>
      <c r="L20" s="676">
        <v>0.16464599999999999</v>
      </c>
      <c r="M20" s="676">
        <v>0.36321999999999999</v>
      </c>
      <c r="N20" s="81" t="s">
        <v>1791</v>
      </c>
      <c r="O20" s="81" t="s">
        <v>1792</v>
      </c>
      <c r="P20" s="81" t="s">
        <v>724</v>
      </c>
      <c r="Q20" s="81">
        <v>1</v>
      </c>
      <c r="R20" s="81" t="s">
        <v>232</v>
      </c>
      <c r="S20" s="81" t="s">
        <v>234</v>
      </c>
      <c r="T20" s="81" t="s">
        <v>235</v>
      </c>
      <c r="U20" s="668" t="s">
        <v>231</v>
      </c>
      <c r="V20" s="81" t="s">
        <v>1286</v>
      </c>
      <c r="W20" s="98"/>
    </row>
    <row r="21" spans="1:23" ht="18" x14ac:dyDescent="0.25">
      <c r="A21" s="74"/>
      <c r="B21" s="97" t="s">
        <v>726</v>
      </c>
      <c r="C21" s="421" t="s">
        <v>1516</v>
      </c>
      <c r="D21" s="91" t="s">
        <v>1082</v>
      </c>
      <c r="E21" s="91">
        <v>2</v>
      </c>
      <c r="F21" s="91" t="s">
        <v>1082</v>
      </c>
      <c r="G21" s="91">
        <v>2</v>
      </c>
      <c r="H21" s="91" t="s">
        <v>1082</v>
      </c>
      <c r="I21" s="91">
        <v>2</v>
      </c>
      <c r="J21" s="91">
        <v>2</v>
      </c>
      <c r="K21" s="91" t="s">
        <v>1082</v>
      </c>
      <c r="L21" s="676">
        <v>7.1667999999999996E-2</v>
      </c>
      <c r="M21" s="676" t="s">
        <v>1082</v>
      </c>
      <c r="N21" s="81" t="s">
        <v>1791</v>
      </c>
      <c r="O21" s="81" t="s">
        <v>1792</v>
      </c>
      <c r="P21" s="81" t="s">
        <v>727</v>
      </c>
      <c r="Q21" s="81">
        <v>1</v>
      </c>
      <c r="R21" s="81" t="s">
        <v>232</v>
      </c>
      <c r="S21" s="81" t="s">
        <v>233</v>
      </c>
      <c r="T21" s="81" t="s">
        <v>764</v>
      </c>
      <c r="U21" s="668" t="s">
        <v>2217</v>
      </c>
      <c r="V21" s="81"/>
      <c r="W21" s="98"/>
    </row>
    <row r="22" spans="1:23" ht="18" x14ac:dyDescent="0.25">
      <c r="A22" s="74"/>
      <c r="B22" s="97" t="s">
        <v>728</v>
      </c>
      <c r="C22" s="421" t="s">
        <v>1517</v>
      </c>
      <c r="D22" s="91" t="s">
        <v>1082</v>
      </c>
      <c r="E22" s="91">
        <v>1</v>
      </c>
      <c r="F22" s="91" t="s">
        <v>1082</v>
      </c>
      <c r="G22" s="91">
        <v>0.01</v>
      </c>
      <c r="H22" s="91">
        <v>1</v>
      </c>
      <c r="I22" s="91">
        <v>1</v>
      </c>
      <c r="J22" s="91">
        <v>1</v>
      </c>
      <c r="K22" s="94">
        <v>1</v>
      </c>
      <c r="L22" s="676">
        <v>3.9731000000000002E-3</v>
      </c>
      <c r="M22" s="676">
        <v>15.2227</v>
      </c>
      <c r="N22" s="81" t="s">
        <v>1791</v>
      </c>
      <c r="O22" s="81" t="s">
        <v>1792</v>
      </c>
      <c r="P22" s="81" t="s">
        <v>328</v>
      </c>
      <c r="Q22" s="81">
        <v>1</v>
      </c>
      <c r="R22" s="81" t="s">
        <v>232</v>
      </c>
      <c r="S22" s="81" t="s">
        <v>233</v>
      </c>
      <c r="T22" s="81" t="s">
        <v>235</v>
      </c>
      <c r="U22" s="668" t="s">
        <v>145</v>
      </c>
      <c r="V22" s="81"/>
      <c r="W22" s="98"/>
    </row>
    <row r="23" spans="1:23" ht="18" x14ac:dyDescent="0.25">
      <c r="A23" s="74"/>
      <c r="B23" s="97" t="s">
        <v>729</v>
      </c>
      <c r="C23" s="421" t="s">
        <v>1518</v>
      </c>
      <c r="D23" s="91" t="s">
        <v>1082</v>
      </c>
      <c r="E23" s="91">
        <v>1</v>
      </c>
      <c r="F23" s="91" t="s">
        <v>1082</v>
      </c>
      <c r="G23" s="91">
        <v>0.01</v>
      </c>
      <c r="H23" s="91">
        <v>1</v>
      </c>
      <c r="I23" s="91">
        <v>1</v>
      </c>
      <c r="J23" s="91">
        <v>1</v>
      </c>
      <c r="K23" s="94">
        <v>1</v>
      </c>
      <c r="L23" s="676">
        <v>4.49045E-2</v>
      </c>
      <c r="M23" s="676">
        <v>1.4410299999999999E-2</v>
      </c>
      <c r="N23" s="81" t="s">
        <v>1791</v>
      </c>
      <c r="O23" s="81" t="s">
        <v>1792</v>
      </c>
      <c r="P23" s="81" t="s">
        <v>328</v>
      </c>
      <c r="Q23" s="81">
        <v>1</v>
      </c>
      <c r="R23" s="81" t="s">
        <v>232</v>
      </c>
      <c r="S23" s="81" t="s">
        <v>233</v>
      </c>
      <c r="T23" s="81" t="s">
        <v>235</v>
      </c>
      <c r="U23" s="668" t="s">
        <v>145</v>
      </c>
      <c r="V23" s="81"/>
      <c r="W23" s="98"/>
    </row>
    <row r="24" spans="1:23" ht="18" x14ac:dyDescent="0.25">
      <c r="A24" s="74"/>
      <c r="B24" s="97" t="s">
        <v>730</v>
      </c>
      <c r="C24" s="421" t="s">
        <v>1351</v>
      </c>
      <c r="D24" s="91">
        <v>35</v>
      </c>
      <c r="E24" s="91">
        <v>500</v>
      </c>
      <c r="F24" s="91">
        <v>11.1</v>
      </c>
      <c r="G24" s="91">
        <v>500</v>
      </c>
      <c r="H24" s="91">
        <v>500</v>
      </c>
      <c r="I24" s="91">
        <v>500</v>
      </c>
      <c r="J24" s="91">
        <v>500</v>
      </c>
      <c r="K24" s="94">
        <v>200</v>
      </c>
      <c r="L24" s="676">
        <v>31.700900000000001</v>
      </c>
      <c r="M24" s="676">
        <v>38794.275000000001</v>
      </c>
      <c r="N24" s="81" t="s">
        <v>1791</v>
      </c>
      <c r="O24" s="81" t="s">
        <v>1792</v>
      </c>
      <c r="P24" s="81" t="s">
        <v>731</v>
      </c>
      <c r="Q24" s="81">
        <v>1</v>
      </c>
      <c r="R24" s="81" t="s">
        <v>232</v>
      </c>
      <c r="S24" s="81" t="s">
        <v>234</v>
      </c>
      <c r="T24" s="81" t="s">
        <v>235</v>
      </c>
      <c r="U24" s="668" t="s">
        <v>2218</v>
      </c>
      <c r="V24" s="81"/>
      <c r="W24" s="98"/>
    </row>
    <row r="25" spans="1:23" s="85" customFormat="1" ht="18" x14ac:dyDescent="0.25">
      <c r="B25" s="97" t="s">
        <v>732</v>
      </c>
      <c r="C25" s="80" t="s">
        <v>1519</v>
      </c>
      <c r="D25" s="82">
        <v>7.0000000000000001E-3</v>
      </c>
      <c r="E25" s="82">
        <v>3.0000000000000001E-3</v>
      </c>
      <c r="F25" s="82">
        <v>350</v>
      </c>
      <c r="G25" s="82">
        <v>3.0000000000000001E-3</v>
      </c>
      <c r="H25" s="82">
        <v>3.0000000000000001E-3</v>
      </c>
      <c r="I25" s="82">
        <v>3.0000000000000001E-3</v>
      </c>
      <c r="J25" s="82">
        <v>3.0000000000000001E-3</v>
      </c>
      <c r="K25" s="94">
        <v>3.0000000000000001E-3</v>
      </c>
      <c r="L25" s="676">
        <v>7.01769E-3</v>
      </c>
      <c r="M25" s="676">
        <v>9.7850799999999998E-3</v>
      </c>
      <c r="N25" s="81" t="s">
        <v>1791</v>
      </c>
      <c r="O25" s="81" t="s">
        <v>1792</v>
      </c>
      <c r="P25" s="292" t="s">
        <v>1291</v>
      </c>
      <c r="Q25" s="82">
        <v>4</v>
      </c>
      <c r="R25" s="81" t="s">
        <v>232</v>
      </c>
      <c r="S25" s="81" t="s">
        <v>233</v>
      </c>
      <c r="T25" s="81" t="s">
        <v>235</v>
      </c>
      <c r="U25" s="668" t="s">
        <v>2220</v>
      </c>
      <c r="V25" s="81"/>
      <c r="W25" s="98"/>
    </row>
    <row r="26" spans="1:23" ht="18.75" x14ac:dyDescent="0.25">
      <c r="B26" s="92" t="s">
        <v>1540</v>
      </c>
      <c r="C26" s="421" t="s">
        <v>1544</v>
      </c>
      <c r="D26" s="468" t="s">
        <v>1082</v>
      </c>
      <c r="E26" s="546">
        <v>9.9999999999999994E-50</v>
      </c>
      <c r="F26" s="546" t="s">
        <v>1082</v>
      </c>
      <c r="G26" s="468" t="s">
        <v>1082</v>
      </c>
      <c r="H26" s="468" t="s">
        <v>1082</v>
      </c>
      <c r="I26" s="468" t="s">
        <v>1082</v>
      </c>
      <c r="J26" s="468" t="s">
        <v>1082</v>
      </c>
      <c r="K26" s="468" t="s">
        <v>1082</v>
      </c>
      <c r="L26" s="676" t="s">
        <v>1082</v>
      </c>
      <c r="M26" s="676" t="s">
        <v>1082</v>
      </c>
      <c r="N26" s="81" t="s">
        <v>1791</v>
      </c>
      <c r="O26" s="81" t="s">
        <v>1792</v>
      </c>
      <c r="P26" s="81" t="s">
        <v>1548</v>
      </c>
      <c r="Q26" s="81">
        <v>1</v>
      </c>
      <c r="R26" s="81" t="s">
        <v>232</v>
      </c>
      <c r="S26" s="81" t="s">
        <v>234</v>
      </c>
      <c r="T26" s="81" t="s">
        <v>235</v>
      </c>
      <c r="U26" s="668" t="s">
        <v>239</v>
      </c>
      <c r="V26" s="81"/>
      <c r="W26" s="98"/>
    </row>
    <row r="27" spans="1:23" ht="18.75" x14ac:dyDescent="0.25">
      <c r="B27" s="92" t="s">
        <v>1541</v>
      </c>
      <c r="C27" s="421" t="s">
        <v>1545</v>
      </c>
      <c r="D27" s="468" t="s">
        <v>1082</v>
      </c>
      <c r="E27" s="546">
        <v>9.9999999999999994E-50</v>
      </c>
      <c r="F27" s="546" t="s">
        <v>1082</v>
      </c>
      <c r="G27" s="468" t="s">
        <v>1082</v>
      </c>
      <c r="H27" s="468" t="s">
        <v>1082</v>
      </c>
      <c r="I27" s="468" t="s">
        <v>1082</v>
      </c>
      <c r="J27" s="468" t="s">
        <v>1082</v>
      </c>
      <c r="K27" s="468" t="s">
        <v>1082</v>
      </c>
      <c r="L27" s="676" t="s">
        <v>1082</v>
      </c>
      <c r="M27" s="676" t="s">
        <v>1082</v>
      </c>
      <c r="N27" s="81" t="s">
        <v>1791</v>
      </c>
      <c r="O27" s="81" t="s">
        <v>1792</v>
      </c>
      <c r="P27" s="81" t="s">
        <v>1548</v>
      </c>
      <c r="Q27" s="81">
        <v>1</v>
      </c>
      <c r="R27" s="81" t="s">
        <v>232</v>
      </c>
      <c r="S27" s="81" t="s">
        <v>234</v>
      </c>
      <c r="T27" s="81" t="s">
        <v>235</v>
      </c>
      <c r="U27" s="668" t="s">
        <v>239</v>
      </c>
      <c r="V27" s="81"/>
      <c r="W27" s="98"/>
    </row>
    <row r="28" spans="1:23" ht="18.75" x14ac:dyDescent="0.25">
      <c r="B28" s="92" t="s">
        <v>1542</v>
      </c>
      <c r="C28" s="421" t="s">
        <v>1546</v>
      </c>
      <c r="D28" s="468" t="s">
        <v>1082</v>
      </c>
      <c r="E28" s="546">
        <v>9.9999999999999994E-50</v>
      </c>
      <c r="F28" s="546" t="s">
        <v>1082</v>
      </c>
      <c r="G28" s="468" t="s">
        <v>1082</v>
      </c>
      <c r="H28" s="468" t="s">
        <v>1082</v>
      </c>
      <c r="I28" s="468" t="s">
        <v>1082</v>
      </c>
      <c r="J28" s="468" t="s">
        <v>1082</v>
      </c>
      <c r="K28" s="468" t="s">
        <v>1082</v>
      </c>
      <c r="L28" s="676" t="s">
        <v>1082</v>
      </c>
      <c r="M28" s="676">
        <v>0.65798524999999997</v>
      </c>
      <c r="N28" s="81" t="s">
        <v>1791</v>
      </c>
      <c r="O28" s="81" t="s">
        <v>1792</v>
      </c>
      <c r="P28" s="81" t="s">
        <v>1549</v>
      </c>
      <c r="Q28" s="81">
        <v>1</v>
      </c>
      <c r="R28" s="81" t="s">
        <v>232</v>
      </c>
      <c r="S28" s="81" t="s">
        <v>234</v>
      </c>
      <c r="T28" s="81" t="s">
        <v>235</v>
      </c>
      <c r="U28" s="668" t="s">
        <v>240</v>
      </c>
      <c r="V28" s="81"/>
      <c r="W28" s="98"/>
    </row>
    <row r="29" spans="1:23" ht="18.75" x14ac:dyDescent="0.25">
      <c r="B29" s="92" t="s">
        <v>1543</v>
      </c>
      <c r="C29" s="421" t="s">
        <v>1547</v>
      </c>
      <c r="D29" s="468" t="s">
        <v>1082</v>
      </c>
      <c r="E29" s="546">
        <v>9.9999999999999994E-50</v>
      </c>
      <c r="F29" s="546" t="s">
        <v>1082</v>
      </c>
      <c r="G29" s="468" t="s">
        <v>1082</v>
      </c>
      <c r="H29" s="468" t="s">
        <v>1082</v>
      </c>
      <c r="I29" s="468" t="s">
        <v>1082</v>
      </c>
      <c r="J29" s="468" t="s">
        <v>1082</v>
      </c>
      <c r="K29" s="468" t="s">
        <v>1082</v>
      </c>
      <c r="L29" s="676" t="s">
        <v>1082</v>
      </c>
      <c r="M29" s="676">
        <v>98.231899999999996</v>
      </c>
      <c r="N29" s="81" t="s">
        <v>1791</v>
      </c>
      <c r="O29" s="81" t="s">
        <v>1792</v>
      </c>
      <c r="P29" s="81" t="s">
        <v>1549</v>
      </c>
      <c r="Q29" s="81">
        <v>1</v>
      </c>
      <c r="R29" s="81" t="s">
        <v>232</v>
      </c>
      <c r="S29" s="81" t="s">
        <v>234</v>
      </c>
      <c r="T29" s="81" t="s">
        <v>235</v>
      </c>
      <c r="U29" s="668" t="s">
        <v>240</v>
      </c>
      <c r="V29" s="81"/>
      <c r="W29" s="98"/>
    </row>
    <row r="30" spans="1:23" ht="18.75" x14ac:dyDescent="0.35">
      <c r="B30" s="466" t="s">
        <v>2716</v>
      </c>
      <c r="C30" s="1059" t="s">
        <v>2721</v>
      </c>
      <c r="D30" s="1060">
        <v>9.9999999999999995E-7</v>
      </c>
      <c r="E30" s="1060">
        <v>9.9999999999999995E-7</v>
      </c>
      <c r="F30" s="1060">
        <v>9.9999999999999995E-7</v>
      </c>
      <c r="G30" s="1060">
        <v>9.9999999999999995E-7</v>
      </c>
      <c r="H30" s="1060">
        <v>9.9999999999999995E-7</v>
      </c>
      <c r="I30" s="1060">
        <v>9.9999999999999995E-7</v>
      </c>
      <c r="J30" s="1060">
        <v>9.9999999999999995E-7</v>
      </c>
      <c r="K30" s="1060">
        <v>9.9999999999999995E-7</v>
      </c>
      <c r="L30" s="1060">
        <v>9.9999999999999995E-7</v>
      </c>
      <c r="M30" s="1060">
        <v>9.9999999999999995E-7</v>
      </c>
      <c r="N30" s="668" t="s">
        <v>1791</v>
      </c>
      <c r="O30" s="668" t="s">
        <v>1792</v>
      </c>
      <c r="P30" s="1061" t="s">
        <v>2720</v>
      </c>
      <c r="Q30" s="1062">
        <v>4</v>
      </c>
      <c r="R30" s="1062" t="s">
        <v>232</v>
      </c>
      <c r="S30" s="1062" t="s">
        <v>233</v>
      </c>
      <c r="T30" s="1062" t="s">
        <v>235</v>
      </c>
      <c r="U30" s="1063" t="s">
        <v>2692</v>
      </c>
      <c r="V30" s="1063" t="s">
        <v>2692</v>
      </c>
      <c r="W30" s="1064"/>
    </row>
    <row r="31" spans="1:23" ht="18.75" x14ac:dyDescent="0.35">
      <c r="B31" s="466" t="s">
        <v>2718</v>
      </c>
      <c r="C31" s="1059" t="s">
        <v>2722</v>
      </c>
      <c r="D31" s="1060">
        <v>9.9999999999999995E-7</v>
      </c>
      <c r="E31" s="1060">
        <v>9.9999999999999995E-7</v>
      </c>
      <c r="F31" s="1060">
        <v>9.9999999999999995E-7</v>
      </c>
      <c r="G31" s="1060">
        <v>9.9999999999999995E-7</v>
      </c>
      <c r="H31" s="1060">
        <v>9.9999999999999995E-7</v>
      </c>
      <c r="I31" s="1060">
        <v>9.9999999999999995E-7</v>
      </c>
      <c r="J31" s="1060">
        <v>9.9999999999999995E-7</v>
      </c>
      <c r="K31" s="1060">
        <v>9.9999999999999995E-7</v>
      </c>
      <c r="L31" s="1060">
        <v>9.9999999999999995E-7</v>
      </c>
      <c r="M31" s="1060">
        <v>9.9999999999999995E-7</v>
      </c>
      <c r="N31" s="668" t="s">
        <v>1791</v>
      </c>
      <c r="O31" s="668" t="s">
        <v>1792</v>
      </c>
      <c r="P31" s="1061" t="s">
        <v>2720</v>
      </c>
      <c r="Q31" s="1062">
        <v>4</v>
      </c>
      <c r="R31" s="1062" t="s">
        <v>232</v>
      </c>
      <c r="S31" s="1062" t="s">
        <v>234</v>
      </c>
      <c r="T31" s="1062" t="s">
        <v>235</v>
      </c>
      <c r="U31" s="1063" t="s">
        <v>2692</v>
      </c>
      <c r="V31" s="1063" t="s">
        <v>2692</v>
      </c>
      <c r="W31" s="1064"/>
    </row>
    <row r="32" spans="1:23" ht="18.75" x14ac:dyDescent="0.35">
      <c r="B32" s="466" t="s">
        <v>2717</v>
      </c>
      <c r="C32" s="1059" t="s">
        <v>2723</v>
      </c>
      <c r="D32" s="1060">
        <v>9.9999999999999995E-7</v>
      </c>
      <c r="E32" s="1060">
        <v>9.9999999999999995E-7</v>
      </c>
      <c r="F32" s="1060">
        <v>9.9999999999999995E-7</v>
      </c>
      <c r="G32" s="1060">
        <v>9.9999999999999995E-7</v>
      </c>
      <c r="H32" s="1060">
        <v>9.9999999999999995E-7</v>
      </c>
      <c r="I32" s="1060">
        <v>9.9999999999999995E-7</v>
      </c>
      <c r="J32" s="1060">
        <v>9.9999999999999995E-7</v>
      </c>
      <c r="K32" s="1060">
        <v>9.9999999999999995E-7</v>
      </c>
      <c r="L32" s="1060">
        <v>9.9999999999999995E-7</v>
      </c>
      <c r="M32" s="1060">
        <v>9.9999999999999995E-7</v>
      </c>
      <c r="N32" s="668" t="s">
        <v>1791</v>
      </c>
      <c r="O32" s="668" t="s">
        <v>1792</v>
      </c>
      <c r="P32" s="1061" t="s">
        <v>2720</v>
      </c>
      <c r="Q32" s="1062">
        <v>4</v>
      </c>
      <c r="R32" s="1062" t="s">
        <v>232</v>
      </c>
      <c r="S32" s="1062" t="s">
        <v>233</v>
      </c>
      <c r="T32" s="1062" t="s">
        <v>235</v>
      </c>
      <c r="U32" s="1063" t="s">
        <v>2692</v>
      </c>
      <c r="V32" s="1063" t="s">
        <v>2692</v>
      </c>
      <c r="W32" s="1064"/>
    </row>
    <row r="33" spans="2:23" ht="18.75" x14ac:dyDescent="0.35">
      <c r="B33" s="466" t="s">
        <v>2719</v>
      </c>
      <c r="C33" s="1059" t="s">
        <v>2724</v>
      </c>
      <c r="D33" s="1060">
        <v>9.9999999999999995E-7</v>
      </c>
      <c r="E33" s="1060">
        <v>9.9999999999999995E-7</v>
      </c>
      <c r="F33" s="1060">
        <v>9.9999999999999995E-7</v>
      </c>
      <c r="G33" s="1060">
        <v>9.9999999999999995E-7</v>
      </c>
      <c r="H33" s="1060">
        <v>9.9999999999999995E-7</v>
      </c>
      <c r="I33" s="1060">
        <v>9.9999999999999995E-7</v>
      </c>
      <c r="J33" s="1060">
        <v>9.9999999999999995E-7</v>
      </c>
      <c r="K33" s="1060">
        <v>9.9999999999999995E-7</v>
      </c>
      <c r="L33" s="1060">
        <v>9.9999999999999995E-7</v>
      </c>
      <c r="M33" s="1060">
        <v>9.9999999999999995E-7</v>
      </c>
      <c r="N33" s="668" t="s">
        <v>1791</v>
      </c>
      <c r="O33" s="668" t="s">
        <v>1792</v>
      </c>
      <c r="P33" s="1061" t="s">
        <v>2720</v>
      </c>
      <c r="Q33" s="1062">
        <v>4</v>
      </c>
      <c r="R33" s="1062" t="s">
        <v>232</v>
      </c>
      <c r="S33" s="1062" t="s">
        <v>234</v>
      </c>
      <c r="T33" s="1062" t="s">
        <v>235</v>
      </c>
      <c r="U33" s="1063" t="s">
        <v>2692</v>
      </c>
      <c r="V33" s="1063" t="s">
        <v>2692</v>
      </c>
      <c r="W33" s="1064"/>
    </row>
    <row r="34" spans="2:23" ht="18.75" x14ac:dyDescent="0.25">
      <c r="B34" s="92" t="s">
        <v>2690</v>
      </c>
      <c r="C34" s="421" t="s">
        <v>1047</v>
      </c>
      <c r="D34" s="91">
        <v>83.626000000000005</v>
      </c>
      <c r="E34" s="91">
        <v>83.626000000000005</v>
      </c>
      <c r="F34" s="91">
        <v>83.626000000000005</v>
      </c>
      <c r="G34" s="91">
        <v>83.626000000000005</v>
      </c>
      <c r="H34" s="91">
        <v>146.34549999999999</v>
      </c>
      <c r="I34" s="91">
        <v>83.626000000000005</v>
      </c>
      <c r="J34" s="91">
        <v>83.626000000000005</v>
      </c>
      <c r="K34" s="94">
        <v>83.626000000000005</v>
      </c>
      <c r="L34" s="676">
        <v>83.626000000000005</v>
      </c>
      <c r="M34" s="676">
        <v>83.626000000000005</v>
      </c>
      <c r="N34" s="81" t="s">
        <v>1791</v>
      </c>
      <c r="O34" s="81" t="s">
        <v>1792</v>
      </c>
      <c r="P34" s="81" t="s">
        <v>2003</v>
      </c>
      <c r="Q34" s="81">
        <v>1</v>
      </c>
      <c r="R34" s="81" t="s">
        <v>232</v>
      </c>
      <c r="S34" s="81" t="s">
        <v>233</v>
      </c>
      <c r="T34" s="81" t="s">
        <v>235</v>
      </c>
      <c r="U34" s="668" t="s">
        <v>2691</v>
      </c>
      <c r="V34" s="81"/>
      <c r="W34" s="223" t="s">
        <v>1048</v>
      </c>
    </row>
    <row r="35" spans="2:23" ht="18" x14ac:dyDescent="0.25">
      <c r="B35" s="97" t="s">
        <v>2205</v>
      </c>
      <c r="C35" s="659" t="s">
        <v>2206</v>
      </c>
      <c r="D35" s="660">
        <v>0.18</v>
      </c>
      <c r="E35" s="660">
        <v>0.5</v>
      </c>
      <c r="F35" s="660">
        <v>0.18</v>
      </c>
      <c r="G35" s="660">
        <v>0.5</v>
      </c>
      <c r="H35" s="660">
        <v>0.5</v>
      </c>
      <c r="I35" s="660">
        <v>0.5</v>
      </c>
      <c r="J35" s="660">
        <v>0.5</v>
      </c>
      <c r="K35" s="660">
        <v>0.5</v>
      </c>
      <c r="L35" s="676">
        <v>0.66826300000000005</v>
      </c>
      <c r="M35" s="676">
        <v>0.99992999999999999</v>
      </c>
      <c r="N35" s="545">
        <v>0</v>
      </c>
      <c r="O35" s="545">
        <v>1</v>
      </c>
      <c r="P35" s="545" t="s">
        <v>1229</v>
      </c>
      <c r="Q35" s="545">
        <v>2</v>
      </c>
      <c r="R35" s="545" t="s">
        <v>232</v>
      </c>
      <c r="S35" s="545" t="s">
        <v>233</v>
      </c>
      <c r="T35" s="545" t="s">
        <v>235</v>
      </c>
      <c r="U35" s="668" t="s">
        <v>2219</v>
      </c>
      <c r="V35" s="545"/>
      <c r="W35" s="98"/>
    </row>
    <row r="36" spans="2:23" s="59" customFormat="1" ht="18.75" x14ac:dyDescent="0.35">
      <c r="B36" s="466" t="s">
        <v>1996</v>
      </c>
      <c r="C36" s="421" t="s">
        <v>1796</v>
      </c>
      <c r="D36" s="603">
        <v>1.7299999999999999E-2</v>
      </c>
      <c r="E36" s="603">
        <v>1.7299999999999999E-2</v>
      </c>
      <c r="F36" s="603">
        <v>1.7299999999999999E-2</v>
      </c>
      <c r="G36" s="603">
        <v>1.7299999999999999E-2</v>
      </c>
      <c r="H36" s="603">
        <v>278.33999999999997</v>
      </c>
      <c r="I36" s="603">
        <v>1.7299999999999999E-2</v>
      </c>
      <c r="J36" s="603">
        <v>1.7299999999999999E-2</v>
      </c>
      <c r="K36" s="603">
        <v>1.7299999999999999E-2</v>
      </c>
      <c r="L36" s="603">
        <v>1.7299999999999999E-2</v>
      </c>
      <c r="M36" s="603">
        <v>1.7299999999999999E-2</v>
      </c>
      <c r="N36" s="81" t="s">
        <v>1791</v>
      </c>
      <c r="O36" s="81" t="s">
        <v>1792</v>
      </c>
      <c r="P36" s="387" t="s">
        <v>1997</v>
      </c>
      <c r="Q36" s="117">
        <v>1</v>
      </c>
      <c r="R36" s="117" t="s">
        <v>733</v>
      </c>
      <c r="S36" s="117" t="s">
        <v>233</v>
      </c>
      <c r="T36" s="117" t="s">
        <v>764</v>
      </c>
      <c r="U36" s="668" t="s">
        <v>145</v>
      </c>
      <c r="V36" s="81"/>
      <c r="W36" s="224"/>
    </row>
    <row r="37" spans="2:23" s="59" customFormat="1" ht="18.75" x14ac:dyDescent="0.35">
      <c r="B37" s="466" t="s">
        <v>1998</v>
      </c>
      <c r="C37" s="421" t="s">
        <v>1798</v>
      </c>
      <c r="D37" s="603">
        <v>7.9000000000000008E-3</v>
      </c>
      <c r="E37" s="603">
        <v>7.9000000000000008E-3</v>
      </c>
      <c r="F37" s="603">
        <v>7.9000000000000008E-3</v>
      </c>
      <c r="G37" s="603">
        <v>7.9000000000000008E-3</v>
      </c>
      <c r="H37" s="603">
        <v>0.1532</v>
      </c>
      <c r="I37" s="603">
        <v>7.9000000000000008E-3</v>
      </c>
      <c r="J37" s="603">
        <v>7.9000000000000008E-3</v>
      </c>
      <c r="K37" s="603">
        <v>7.9000000000000008E-3</v>
      </c>
      <c r="L37" s="603">
        <v>7.9000000000000008E-3</v>
      </c>
      <c r="M37" s="603">
        <v>7.9000000000000008E-3</v>
      </c>
      <c r="N37" s="81" t="s">
        <v>1791</v>
      </c>
      <c r="O37" s="81" t="s">
        <v>1792</v>
      </c>
      <c r="P37" s="539" t="s">
        <v>1997</v>
      </c>
      <c r="Q37" s="117">
        <v>1</v>
      </c>
      <c r="R37" s="117" t="s">
        <v>733</v>
      </c>
      <c r="S37" s="117" t="s">
        <v>233</v>
      </c>
      <c r="T37" s="117" t="s">
        <v>764</v>
      </c>
      <c r="U37" s="668" t="s">
        <v>145</v>
      </c>
      <c r="V37" s="81"/>
      <c r="W37" s="224"/>
    </row>
    <row r="38" spans="2:23" s="59" customFormat="1" ht="18.75" x14ac:dyDescent="0.35">
      <c r="B38" s="466" t="s">
        <v>1999</v>
      </c>
      <c r="C38" s="83" t="s">
        <v>1800</v>
      </c>
      <c r="D38" s="603">
        <v>2.9916999999999998</v>
      </c>
      <c r="E38" s="603">
        <v>2.9916999999999998</v>
      </c>
      <c r="F38" s="603">
        <v>2.9916999999999998</v>
      </c>
      <c r="G38" s="603">
        <v>2.9916999999999998</v>
      </c>
      <c r="H38" s="603" t="s">
        <v>1082</v>
      </c>
      <c r="I38" s="603">
        <v>2.9916999999999998</v>
      </c>
      <c r="J38" s="603">
        <v>2.9916999999999998</v>
      </c>
      <c r="K38" s="603">
        <v>2.9916999999999998</v>
      </c>
      <c r="L38" s="603">
        <v>2.9916999999999998</v>
      </c>
      <c r="M38" s="603">
        <v>2.9916999999999998</v>
      </c>
      <c r="N38" s="81" t="s">
        <v>1791</v>
      </c>
      <c r="O38" s="81" t="s">
        <v>1792</v>
      </c>
      <c r="P38" s="540" t="s">
        <v>2000</v>
      </c>
      <c r="Q38" s="470">
        <v>1</v>
      </c>
      <c r="R38" s="470" t="s">
        <v>733</v>
      </c>
      <c r="S38" s="470" t="s">
        <v>233</v>
      </c>
      <c r="T38" s="470" t="s">
        <v>764</v>
      </c>
      <c r="U38" s="669" t="s">
        <v>2217</v>
      </c>
      <c r="V38" s="81"/>
      <c r="W38" s="224"/>
    </row>
    <row r="39" spans="2:23" s="59" customFormat="1" ht="19.5" thickBot="1" x14ac:dyDescent="0.4">
      <c r="B39" s="467" t="s">
        <v>2001</v>
      </c>
      <c r="C39" s="221" t="s">
        <v>1802</v>
      </c>
      <c r="D39" s="471">
        <v>11.854799999999999</v>
      </c>
      <c r="E39" s="471">
        <v>11.854799999999999</v>
      </c>
      <c r="F39" s="471">
        <v>11.854799999999999</v>
      </c>
      <c r="G39" s="471">
        <v>11.854799999999999</v>
      </c>
      <c r="H39" s="471">
        <v>0.2278</v>
      </c>
      <c r="I39" s="471">
        <v>11.854799999999999</v>
      </c>
      <c r="J39" s="471">
        <v>11.854799999999999</v>
      </c>
      <c r="K39" s="471">
        <v>11.854799999999999</v>
      </c>
      <c r="L39" s="471">
        <v>11.854799999999999</v>
      </c>
      <c r="M39" s="471">
        <v>11.854799999999999</v>
      </c>
      <c r="N39" s="99" t="s">
        <v>1791</v>
      </c>
      <c r="O39" s="99" t="s">
        <v>1792</v>
      </c>
      <c r="P39" s="541" t="s">
        <v>2002</v>
      </c>
      <c r="Q39" s="118">
        <v>1</v>
      </c>
      <c r="R39" s="118" t="s">
        <v>733</v>
      </c>
      <c r="S39" s="118" t="s">
        <v>233</v>
      </c>
      <c r="T39" s="118" t="s">
        <v>764</v>
      </c>
      <c r="U39" s="99" t="s">
        <v>230</v>
      </c>
      <c r="V39" s="118"/>
      <c r="W39" s="222"/>
    </row>
    <row r="40" spans="2:23" s="59" customFormat="1" ht="18" x14ac:dyDescent="0.35">
      <c r="B40" s="466" t="s">
        <v>1795</v>
      </c>
      <c r="C40" s="421" t="s">
        <v>1796</v>
      </c>
      <c r="D40" s="468" t="s">
        <v>1082</v>
      </c>
      <c r="E40" s="546">
        <v>9.9999999999999994E-50</v>
      </c>
      <c r="F40" s="546" t="s">
        <v>1082</v>
      </c>
      <c r="G40" s="468" t="s">
        <v>1082</v>
      </c>
      <c r="H40" s="468" t="s">
        <v>1082</v>
      </c>
      <c r="I40" s="468" t="s">
        <v>1082</v>
      </c>
      <c r="J40" s="468" t="s">
        <v>1082</v>
      </c>
      <c r="K40" s="468" t="s">
        <v>1082</v>
      </c>
      <c r="L40" s="468" t="s">
        <v>1082</v>
      </c>
      <c r="M40" s="468" t="s">
        <v>1082</v>
      </c>
      <c r="N40" s="81">
        <v>0</v>
      </c>
      <c r="O40" s="81">
        <v>100</v>
      </c>
      <c r="P40" s="469" t="s">
        <v>1102</v>
      </c>
      <c r="Q40" s="117">
        <v>2</v>
      </c>
      <c r="R40" s="117" t="s">
        <v>25</v>
      </c>
      <c r="S40" s="117" t="s">
        <v>233</v>
      </c>
      <c r="T40" s="117" t="s">
        <v>1794</v>
      </c>
      <c r="U40" s="668" t="s">
        <v>145</v>
      </c>
      <c r="V40" s="117"/>
      <c r="W40" s="224"/>
    </row>
    <row r="41" spans="2:23" s="59" customFormat="1" ht="18" x14ac:dyDescent="0.35">
      <c r="B41" s="466" t="s">
        <v>1797</v>
      </c>
      <c r="C41" s="421" t="s">
        <v>1798</v>
      </c>
      <c r="D41" s="468" t="s">
        <v>1082</v>
      </c>
      <c r="E41" s="546">
        <v>9.9999999999999994E-50</v>
      </c>
      <c r="F41" s="546" t="s">
        <v>1082</v>
      </c>
      <c r="G41" s="468" t="s">
        <v>1082</v>
      </c>
      <c r="H41" s="468" t="s">
        <v>1082</v>
      </c>
      <c r="I41" s="468" t="s">
        <v>1082</v>
      </c>
      <c r="J41" s="468" t="s">
        <v>1082</v>
      </c>
      <c r="K41" s="468" t="s">
        <v>1082</v>
      </c>
      <c r="L41" s="468" t="s">
        <v>1082</v>
      </c>
      <c r="M41" s="468" t="s">
        <v>1082</v>
      </c>
      <c r="N41" s="81">
        <v>0</v>
      </c>
      <c r="O41" s="81">
        <v>100</v>
      </c>
      <c r="P41" s="469" t="s">
        <v>1102</v>
      </c>
      <c r="Q41" s="117">
        <v>2</v>
      </c>
      <c r="R41" s="117" t="s">
        <v>25</v>
      </c>
      <c r="S41" s="117" t="s">
        <v>233</v>
      </c>
      <c r="T41" s="117" t="s">
        <v>1794</v>
      </c>
      <c r="U41" s="668" t="s">
        <v>145</v>
      </c>
      <c r="V41" s="117"/>
      <c r="W41" s="224"/>
    </row>
    <row r="42" spans="2:23" s="59" customFormat="1" ht="18" x14ac:dyDescent="0.35">
      <c r="B42" s="466" t="s">
        <v>1799</v>
      </c>
      <c r="C42" s="83" t="s">
        <v>1800</v>
      </c>
      <c r="D42" s="468">
        <v>20.95</v>
      </c>
      <c r="E42" s="468">
        <v>20.95</v>
      </c>
      <c r="F42" s="468">
        <v>20.95</v>
      </c>
      <c r="G42" s="468">
        <v>20.95</v>
      </c>
      <c r="H42" s="468">
        <v>20.95</v>
      </c>
      <c r="I42" s="468">
        <v>20.95</v>
      </c>
      <c r="J42" s="468">
        <v>20.95</v>
      </c>
      <c r="K42" s="468">
        <v>20.95</v>
      </c>
      <c r="L42" s="468">
        <v>20.95</v>
      </c>
      <c r="M42" s="468">
        <v>20.95</v>
      </c>
      <c r="N42" s="81">
        <v>0</v>
      </c>
      <c r="O42" s="81">
        <v>100</v>
      </c>
      <c r="P42" s="469" t="s">
        <v>1102</v>
      </c>
      <c r="Q42" s="117">
        <v>2</v>
      </c>
      <c r="R42" s="470" t="s">
        <v>25</v>
      </c>
      <c r="S42" s="470" t="s">
        <v>233</v>
      </c>
      <c r="T42" s="470" t="s">
        <v>1794</v>
      </c>
      <c r="U42" s="669" t="s">
        <v>2217</v>
      </c>
      <c r="V42" s="117"/>
      <c r="W42" s="224"/>
    </row>
    <row r="43" spans="2:23" s="59" customFormat="1" ht="18.75" thickBot="1" x14ac:dyDescent="0.4">
      <c r="B43" s="467" t="s">
        <v>1801</v>
      </c>
      <c r="C43" s="221" t="s">
        <v>1802</v>
      </c>
      <c r="D43" s="471">
        <v>79.010000000000005</v>
      </c>
      <c r="E43" s="471">
        <v>79.010000000000005</v>
      </c>
      <c r="F43" s="471">
        <v>79.010000000000005</v>
      </c>
      <c r="G43" s="471">
        <v>79.010000000000005</v>
      </c>
      <c r="H43" s="471">
        <v>79.010000000000005</v>
      </c>
      <c r="I43" s="471">
        <v>79.010000000000005</v>
      </c>
      <c r="J43" s="471">
        <v>79.010000000000005</v>
      </c>
      <c r="K43" s="471">
        <v>79.010000000000005</v>
      </c>
      <c r="L43" s="471">
        <v>79.010000000000005</v>
      </c>
      <c r="M43" s="471">
        <v>79.010000000000005</v>
      </c>
      <c r="N43" s="99">
        <v>0</v>
      </c>
      <c r="O43" s="99">
        <v>100</v>
      </c>
      <c r="P43" s="1036" t="s">
        <v>1102</v>
      </c>
      <c r="Q43" s="118">
        <v>2</v>
      </c>
      <c r="R43" s="118" t="s">
        <v>25</v>
      </c>
      <c r="S43" s="118" t="s">
        <v>233</v>
      </c>
      <c r="T43" s="118" t="s">
        <v>1794</v>
      </c>
      <c r="U43" s="99" t="s">
        <v>230</v>
      </c>
      <c r="V43" s="118"/>
      <c r="W43" s="222"/>
    </row>
  </sheetData>
  <phoneticPr fontId="21" type="noConversion"/>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unka5"/>
  <dimension ref="B1:G4"/>
  <sheetViews>
    <sheetView showGridLines="0" workbookViewId="0">
      <selection activeCell="D23" sqref="D23"/>
    </sheetView>
  </sheetViews>
  <sheetFormatPr baseColWidth="10" defaultColWidth="9.140625" defaultRowHeight="15" x14ac:dyDescent="0.25"/>
  <cols>
    <col min="1" max="1" width="16.85546875" customWidth="1"/>
    <col min="2" max="2" width="7.5703125" bestFit="1" customWidth="1"/>
    <col min="3" max="3" width="19.28515625" customWidth="1"/>
    <col min="4" max="4" width="51.85546875" customWidth="1"/>
    <col min="5" max="5" width="4.85546875" bestFit="1" customWidth="1"/>
    <col min="6" max="6" width="5" bestFit="1" customWidth="1"/>
    <col min="7" max="7" width="22.28515625" customWidth="1"/>
  </cols>
  <sheetData>
    <row r="1" spans="2:7" s="42" customFormat="1" ht="57.75" customHeight="1" thickBot="1" x14ac:dyDescent="0.3"/>
    <row r="2" spans="2:7" ht="15.75" thickBot="1" x14ac:dyDescent="0.3">
      <c r="B2" s="4"/>
      <c r="C2" s="56" t="s">
        <v>112</v>
      </c>
      <c r="D2" s="57" t="s">
        <v>115</v>
      </c>
      <c r="E2" s="4"/>
      <c r="F2" s="4"/>
      <c r="G2" s="4"/>
    </row>
    <row r="3" spans="2:7" x14ac:dyDescent="0.25">
      <c r="B3" s="51" t="s">
        <v>0</v>
      </c>
      <c r="C3" s="52" t="s">
        <v>1</v>
      </c>
      <c r="D3" s="52" t="s">
        <v>4</v>
      </c>
      <c r="E3" s="53" t="s">
        <v>2</v>
      </c>
      <c r="F3" s="54" t="s">
        <v>113</v>
      </c>
      <c r="G3" s="55" t="s">
        <v>114</v>
      </c>
    </row>
    <row r="4" spans="2:7" x14ac:dyDescent="0.25">
      <c r="B4" s="6"/>
      <c r="C4" s="6"/>
      <c r="D4" s="6"/>
      <c r="E4" s="6"/>
      <c r="F4" s="6"/>
      <c r="G4" s="6"/>
    </row>
  </sheetData>
  <phoneticPr fontId="21"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unka6"/>
  <dimension ref="B1:G4"/>
  <sheetViews>
    <sheetView showGridLines="0" workbookViewId="0">
      <selection activeCell="C2" sqref="C2"/>
    </sheetView>
  </sheetViews>
  <sheetFormatPr baseColWidth="10" defaultColWidth="9.140625" defaultRowHeight="15" x14ac:dyDescent="0.25"/>
  <cols>
    <col min="2" max="2" width="15.140625" customWidth="1"/>
    <col min="3" max="3" width="24.85546875" customWidth="1"/>
    <col min="4" max="4" width="20.85546875" customWidth="1"/>
    <col min="7" max="7" width="23.28515625" customWidth="1"/>
  </cols>
  <sheetData>
    <row r="1" spans="2:7" s="42" customFormat="1" ht="43.5" customHeight="1" thickBot="1" x14ac:dyDescent="0.3"/>
    <row r="2" spans="2:7" ht="15.75" thickBot="1" x14ac:dyDescent="0.3">
      <c r="B2" s="4"/>
      <c r="C2" s="2" t="s">
        <v>112</v>
      </c>
      <c r="D2" s="12"/>
      <c r="E2" s="4"/>
      <c r="F2" s="4"/>
      <c r="G2" s="4"/>
    </row>
    <row r="3" spans="2:7" x14ac:dyDescent="0.25">
      <c r="B3" s="14" t="s">
        <v>0</v>
      </c>
      <c r="C3" s="15" t="s">
        <v>1</v>
      </c>
      <c r="D3" s="15" t="s">
        <v>4</v>
      </c>
      <c r="E3" s="16" t="s">
        <v>2</v>
      </c>
      <c r="F3" s="17" t="s">
        <v>113</v>
      </c>
      <c r="G3" s="18" t="s">
        <v>114</v>
      </c>
    </row>
    <row r="4" spans="2:7" x14ac:dyDescent="0.25">
      <c r="B4" s="6"/>
      <c r="C4" s="6"/>
      <c r="D4" s="6"/>
      <c r="E4" s="6"/>
      <c r="F4" s="6"/>
      <c r="G4" s="6"/>
    </row>
  </sheetData>
  <phoneticPr fontId="2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unka9"/>
  <dimension ref="A1:J294"/>
  <sheetViews>
    <sheetView showGridLines="0" zoomScaleNormal="100" workbookViewId="0"/>
  </sheetViews>
  <sheetFormatPr baseColWidth="10" defaultColWidth="9.140625" defaultRowHeight="15" outlineLevelRow="1" x14ac:dyDescent="0.25"/>
  <cols>
    <col min="1" max="1" width="3.7109375" style="887" customWidth="1"/>
    <col min="2" max="2" width="27.7109375" style="4" bestFit="1" customWidth="1"/>
    <col min="3" max="3" width="62.85546875" style="4" bestFit="1" customWidth="1"/>
    <col min="4" max="4" width="74.85546875" style="462" customWidth="1"/>
    <col min="5" max="5" width="12.85546875" style="61" bestFit="1" customWidth="1"/>
    <col min="6" max="7" width="12.28515625" style="3" customWidth="1"/>
    <col min="8" max="8" width="28.5703125" style="977" bestFit="1" customWidth="1"/>
    <col min="9" max="9" width="33" style="887" bestFit="1" customWidth="1"/>
    <col min="10" max="16384" width="9.140625" style="887"/>
  </cols>
  <sheetData>
    <row r="1" spans="1:9" s="883" customFormat="1" ht="56.1" customHeight="1" thickBot="1" x14ac:dyDescent="0.3">
      <c r="A1" s="883" t="s">
        <v>248</v>
      </c>
      <c r="B1" s="884"/>
      <c r="C1" s="884"/>
      <c r="D1" s="978"/>
      <c r="E1" s="885"/>
      <c r="F1" s="886"/>
      <c r="G1" s="886"/>
      <c r="H1" s="950"/>
    </row>
    <row r="2" spans="1:9" ht="15.75" thickBot="1" x14ac:dyDescent="0.3">
      <c r="C2" s="283" t="s">
        <v>327</v>
      </c>
      <c r="D2" s="979" t="s">
        <v>325</v>
      </c>
      <c r="E2" s="60"/>
      <c r="H2" s="465"/>
      <c r="I2" s="3"/>
    </row>
    <row r="3" spans="1:9" ht="15.75" thickBot="1" x14ac:dyDescent="0.3">
      <c r="B3" s="1018" t="s">
        <v>0</v>
      </c>
      <c r="C3" s="1019" t="s">
        <v>1</v>
      </c>
      <c r="D3" s="1020" t="s">
        <v>4</v>
      </c>
      <c r="E3" s="1021" t="s">
        <v>149</v>
      </c>
      <c r="F3" s="1022" t="s">
        <v>2</v>
      </c>
      <c r="G3" s="1022" t="s">
        <v>309</v>
      </c>
      <c r="H3" s="1023" t="s">
        <v>113</v>
      </c>
      <c r="I3" s="1024" t="s">
        <v>114</v>
      </c>
    </row>
    <row r="4" spans="1:9" ht="18" x14ac:dyDescent="0.25">
      <c r="B4" s="1027" t="s">
        <v>767</v>
      </c>
      <c r="C4" s="1028" t="s">
        <v>257</v>
      </c>
      <c r="D4" s="1029" t="s">
        <v>2646</v>
      </c>
      <c r="E4" s="1030">
        <f>X_OHO+X_NITO+X_AMETO+X_HMETO+X_ALGAE</f>
        <v>750</v>
      </c>
      <c r="F4" s="1031" t="s">
        <v>328</v>
      </c>
      <c r="G4" s="1031">
        <v>1</v>
      </c>
      <c r="H4" s="1032"/>
      <c r="I4" s="1033"/>
    </row>
    <row r="5" spans="1:9" s="109" customFormat="1" ht="18" x14ac:dyDescent="0.25">
      <c r="B5" s="279" t="s">
        <v>2663</v>
      </c>
      <c r="C5" s="560" t="s">
        <v>2664</v>
      </c>
      <c r="D5" s="560" t="s">
        <v>2665</v>
      </c>
      <c r="E5" s="662">
        <f>X_OHO+X_AMETO</f>
        <v>600</v>
      </c>
      <c r="F5" s="602" t="s">
        <v>799</v>
      </c>
      <c r="G5" s="602">
        <v>1</v>
      </c>
      <c r="H5" s="560"/>
      <c r="I5" s="280"/>
    </row>
    <row r="6" spans="1:9" ht="18" x14ac:dyDescent="0.25">
      <c r="B6" s="134" t="s">
        <v>768</v>
      </c>
      <c r="C6" s="674" t="s">
        <v>1393</v>
      </c>
      <c r="D6" s="980" t="s">
        <v>769</v>
      </c>
      <c r="E6" s="1025">
        <f>X_BIO+X_B+X_U+X_E</f>
        <v>2000</v>
      </c>
      <c r="F6" s="668" t="s">
        <v>328</v>
      </c>
      <c r="G6" s="668">
        <v>1</v>
      </c>
      <c r="H6" s="669"/>
      <c r="I6" s="889"/>
    </row>
    <row r="7" spans="1:9" ht="18" x14ac:dyDescent="0.25">
      <c r="B7" s="134" t="s">
        <v>1584</v>
      </c>
      <c r="C7" s="674" t="s">
        <v>1586</v>
      </c>
      <c r="D7" s="980" t="s">
        <v>1588</v>
      </c>
      <c r="E7" s="1025">
        <f>S_B</f>
        <v>5</v>
      </c>
      <c r="F7" s="668" t="s">
        <v>328</v>
      </c>
      <c r="G7" s="668">
        <v>1</v>
      </c>
      <c r="H7" s="669"/>
      <c r="I7" s="889"/>
    </row>
    <row r="8" spans="1:9" ht="18" x14ac:dyDescent="0.25">
      <c r="B8" s="134" t="s">
        <v>1585</v>
      </c>
      <c r="C8" s="674" t="s">
        <v>1587</v>
      </c>
      <c r="D8" s="980" t="s">
        <v>1589</v>
      </c>
      <c r="E8" s="1025">
        <f>X_B</f>
        <v>50</v>
      </c>
      <c r="F8" s="668" t="s">
        <v>328</v>
      </c>
      <c r="G8" s="668">
        <v>1</v>
      </c>
      <c r="H8" s="669"/>
      <c r="I8" s="889"/>
    </row>
    <row r="9" spans="1:9" ht="18" x14ac:dyDescent="0.25">
      <c r="B9" s="134" t="s">
        <v>770</v>
      </c>
      <c r="C9" s="1026" t="s">
        <v>1394</v>
      </c>
      <c r="D9" s="980" t="s">
        <v>771</v>
      </c>
      <c r="E9" s="1025">
        <f>X_BIO/i_CV_BIO</f>
        <v>528.16901408450713</v>
      </c>
      <c r="F9" s="668" t="s">
        <v>772</v>
      </c>
      <c r="G9" s="668">
        <v>1</v>
      </c>
      <c r="H9" s="669"/>
      <c r="I9" s="889"/>
    </row>
    <row r="10" spans="1:9" ht="18" x14ac:dyDescent="0.25">
      <c r="B10" s="134" t="s">
        <v>773</v>
      </c>
      <c r="C10" s="674" t="s">
        <v>1288</v>
      </c>
      <c r="D10" s="980" t="s">
        <v>2290</v>
      </c>
      <c r="E10" s="1025">
        <f>X_VSS_BIO+X_B/i_CV_XB+X_U/i_CV_XU+X_E/i_CV_XE+X_Me_H2O_VSS</f>
        <v>1446.5210063801615</v>
      </c>
      <c r="F10" s="668" t="s">
        <v>772</v>
      </c>
      <c r="G10" s="668">
        <v>1</v>
      </c>
      <c r="H10" s="669"/>
      <c r="I10" s="889"/>
    </row>
    <row r="11" spans="1:9" s="4" customFormat="1" ht="18" x14ac:dyDescent="0.25">
      <c r="B11" s="134" t="s">
        <v>1049</v>
      </c>
      <c r="C11" s="674" t="s">
        <v>1289</v>
      </c>
      <c r="D11" s="980" t="s">
        <v>1052</v>
      </c>
      <c r="E11" s="1025">
        <f>X_VSS+S_U/i_CV_SU+S_B/i_CV_SB</f>
        <v>1478.2092780726475</v>
      </c>
      <c r="F11" s="668" t="s">
        <v>2132</v>
      </c>
      <c r="G11" s="668">
        <v>1</v>
      </c>
      <c r="H11" s="980"/>
      <c r="I11" s="223"/>
    </row>
    <row r="12" spans="1:9" s="4" customFormat="1" ht="18" x14ac:dyDescent="0.25">
      <c r="B12" s="279" t="s">
        <v>1247</v>
      </c>
      <c r="C12" s="1026" t="s">
        <v>1395</v>
      </c>
      <c r="D12" s="980" t="s">
        <v>1498</v>
      </c>
      <c r="E12" s="1025">
        <f>X_U/i_CV_XU+S_U/i_CV_SU</f>
        <v>565.45937863432459</v>
      </c>
      <c r="F12" s="668" t="s">
        <v>2132</v>
      </c>
      <c r="G12" s="668">
        <v>1</v>
      </c>
      <c r="H12" s="980"/>
      <c r="I12" s="223"/>
    </row>
    <row r="13" spans="1:9" s="121" customFormat="1" ht="18" x14ac:dyDescent="0.25">
      <c r="B13" s="279" t="s">
        <v>2273</v>
      </c>
      <c r="C13" s="559" t="s">
        <v>2276</v>
      </c>
      <c r="D13" s="980" t="s">
        <v>2279</v>
      </c>
      <c r="E13" s="662">
        <f>(1-f_H2O_FeOH_VSS)*(X_FeOH+X_FeP)*M_MFeOH3/A_MFe+X_FeP*f_P_Fe*M_MPO4/A_MFe</f>
        <v>3.8027205952692741E-49</v>
      </c>
      <c r="F13" s="602" t="s">
        <v>1231</v>
      </c>
      <c r="G13" s="602">
        <v>1</v>
      </c>
      <c r="H13" s="677"/>
      <c r="I13" s="116"/>
    </row>
    <row r="14" spans="1:9" s="121" customFormat="1" ht="18" x14ac:dyDescent="0.25">
      <c r="B14" s="279" t="s">
        <v>2274</v>
      </c>
      <c r="C14" s="559" t="s">
        <v>2277</v>
      </c>
      <c r="D14" s="980" t="s">
        <v>2280</v>
      </c>
      <c r="E14" s="662">
        <f>(1-f_H2O_AlOH_VSS)*(X_AlOH+X_AlP)*M_MAlOH3/A_MAl+X_AlP*f_P_Al*M_MPO4/A_MAl</f>
        <v>7.8196099045624637E-49</v>
      </c>
      <c r="F14" s="602" t="s">
        <v>1231</v>
      </c>
      <c r="G14" s="602">
        <v>1</v>
      </c>
      <c r="H14" s="677"/>
      <c r="I14" s="116"/>
    </row>
    <row r="15" spans="1:9" s="121" customFormat="1" ht="18" x14ac:dyDescent="0.25">
      <c r="B15" s="279" t="s">
        <v>2275</v>
      </c>
      <c r="C15" s="559" t="s">
        <v>2278</v>
      </c>
      <c r="D15" s="560" t="s">
        <v>2281</v>
      </c>
      <c r="E15" s="662">
        <f>X_Fe_ISS+X_Al_ISS</f>
        <v>1.1622330499831738E-48</v>
      </c>
      <c r="F15" s="602" t="s">
        <v>1231</v>
      </c>
      <c r="G15" s="602">
        <v>1</v>
      </c>
      <c r="H15" s="677"/>
      <c r="I15" s="116"/>
    </row>
    <row r="16" spans="1:9" s="121" customFormat="1" ht="36" x14ac:dyDescent="0.25">
      <c r="B16" s="279" t="s">
        <v>2287</v>
      </c>
      <c r="C16" s="559" t="s">
        <v>2286</v>
      </c>
      <c r="D16" s="560" t="s">
        <v>2293</v>
      </c>
      <c r="E16" s="662">
        <f>(f_H2O_FeOH_VSS-f_H2O_FeOH_TSS)*(X_FeOH+X_FeP)*M_MFeOH3/A_MFe+(f_H2O_AlOH_VSS-f_H2O_AlOH_TSS)*(X_AlOH+X_AlP)*M_MAlOH3/A_MAl</f>
        <v>1.9973152921218347E-49</v>
      </c>
      <c r="F16" s="602" t="s">
        <v>2288</v>
      </c>
      <c r="G16" s="602">
        <v>1</v>
      </c>
      <c r="H16" s="677"/>
      <c r="I16" s="116"/>
    </row>
    <row r="17" spans="2:9" s="121" customFormat="1" ht="18" x14ac:dyDescent="0.25">
      <c r="B17" s="279" t="s">
        <v>1578</v>
      </c>
      <c r="C17" s="559" t="s">
        <v>1580</v>
      </c>
      <c r="D17" s="980" t="s">
        <v>1599</v>
      </c>
      <c r="E17" s="662">
        <f>(1-f_H2O_FeOH_TSS)*(X_FeOH+X_FeP)*M_MFeOH3/A_MFe+X_FeP*f_P_Fe*M_MPO4/A_MFe</f>
        <v>4.4532226649979868E-49</v>
      </c>
      <c r="F17" s="602" t="s">
        <v>1231</v>
      </c>
      <c r="G17" s="602">
        <v>1</v>
      </c>
      <c r="H17" s="677"/>
      <c r="I17" s="116"/>
    </row>
    <row r="18" spans="2:9" s="121" customFormat="1" ht="18" x14ac:dyDescent="0.25">
      <c r="B18" s="279" t="s">
        <v>1579</v>
      </c>
      <c r="C18" s="559" t="s">
        <v>1581</v>
      </c>
      <c r="D18" s="980" t="s">
        <v>1598</v>
      </c>
      <c r="E18" s="662">
        <f>(1-f_H2O_AlOH_TSS)*(X_AlOH+X_AlP)*M_MAlOH3/A_MAl+X_AlP*f_P_Al*M_MPO4/A_MAl</f>
        <v>9.1664231269555849E-49</v>
      </c>
      <c r="F18" s="602" t="s">
        <v>1231</v>
      </c>
      <c r="G18" s="602">
        <v>1</v>
      </c>
      <c r="H18" s="677"/>
      <c r="I18" s="116"/>
    </row>
    <row r="19" spans="2:9" s="121" customFormat="1" ht="18" x14ac:dyDescent="0.25">
      <c r="B19" s="279" t="s">
        <v>1236</v>
      </c>
      <c r="C19" s="559" t="s">
        <v>1396</v>
      </c>
      <c r="D19" s="560" t="s">
        <v>1582</v>
      </c>
      <c r="E19" s="662">
        <f>X_Fe_TSS+X_Al_TSS</f>
        <v>1.3619645791953572E-48</v>
      </c>
      <c r="F19" s="602" t="s">
        <v>1231</v>
      </c>
      <c r="G19" s="602">
        <v>1</v>
      </c>
      <c r="H19" s="677"/>
      <c r="I19" s="116"/>
    </row>
    <row r="20" spans="2:9" s="121" customFormat="1" ht="18" x14ac:dyDescent="0.25">
      <c r="B20" s="279" t="s">
        <v>2282</v>
      </c>
      <c r="C20" s="559" t="s">
        <v>2283</v>
      </c>
      <c r="D20" s="560" t="s">
        <v>2289</v>
      </c>
      <c r="E20" s="662">
        <f>f_H2O_FeOH_TSS*(X_FeOH+X_FeP)*M_MFeOH3/A_MFe+f_H2O_AlOH_TSS*(X_AlOH+X_AlP)*M_MAlOH3/A_MAl</f>
        <v>9.7353793043992405E-50</v>
      </c>
      <c r="F20" s="602" t="s">
        <v>1231</v>
      </c>
      <c r="G20" s="602">
        <v>1</v>
      </c>
      <c r="H20" s="677"/>
      <c r="I20" s="116"/>
    </row>
    <row r="21" spans="2:9" s="121" customFormat="1" ht="18" x14ac:dyDescent="0.25">
      <c r="B21" s="279" t="s">
        <v>2010</v>
      </c>
      <c r="C21" s="559" t="s">
        <v>2011</v>
      </c>
      <c r="D21" s="560" t="s">
        <v>2012</v>
      </c>
      <c r="E21" s="662">
        <f>f_P_Fe*X_FeP+f_P_Al*X_AlP</f>
        <v>1.7026010003125419E-49</v>
      </c>
      <c r="F21" s="602" t="s">
        <v>793</v>
      </c>
      <c r="G21" s="602">
        <v>1</v>
      </c>
      <c r="H21" s="677"/>
      <c r="I21" s="116"/>
    </row>
    <row r="22" spans="2:9" s="121" customFormat="1" ht="18" x14ac:dyDescent="0.25">
      <c r="B22" s="279" t="s">
        <v>1232</v>
      </c>
      <c r="C22" s="559" t="s">
        <v>1397</v>
      </c>
      <c r="D22" s="560" t="s">
        <v>2284</v>
      </c>
      <c r="E22" s="662">
        <f>X_Me_ISS+X_INORG</f>
        <v>500</v>
      </c>
      <c r="F22" s="602" t="s">
        <v>1231</v>
      </c>
      <c r="G22" s="602">
        <v>1</v>
      </c>
      <c r="H22" s="677"/>
      <c r="I22" s="116"/>
    </row>
    <row r="23" spans="2:9" s="121" customFormat="1" ht="18" x14ac:dyDescent="0.25">
      <c r="B23" s="279" t="s">
        <v>1233</v>
      </c>
      <c r="C23" s="559" t="s">
        <v>1398</v>
      </c>
      <c r="D23" s="560" t="s">
        <v>2285</v>
      </c>
      <c r="E23" s="662">
        <f>X_VSS+X_ISS-X_Me_H2O_TSS</f>
        <v>1946.5210063801615</v>
      </c>
      <c r="F23" s="602" t="s">
        <v>1231</v>
      </c>
      <c r="G23" s="602">
        <v>1</v>
      </c>
      <c r="H23" s="677"/>
      <c r="I23" s="116"/>
    </row>
    <row r="24" spans="2:9" s="121" customFormat="1" ht="18" x14ac:dyDescent="0.25">
      <c r="B24" s="279" t="s">
        <v>1234</v>
      </c>
      <c r="C24" s="559" t="s">
        <v>1235</v>
      </c>
      <c r="D24" s="560" t="s">
        <v>1237</v>
      </c>
      <c r="E24" s="662">
        <f>X_TSS+S_U/i_CV_SU+S_B/i_CV_SB+S_NHx*M_MNH4/A_MN+S_NOx*M_MNO3/A_MN+S_PO4*M_MPO4/A_MP</f>
        <v>2051.5410441793742</v>
      </c>
      <c r="F24" s="602" t="s">
        <v>2133</v>
      </c>
      <c r="G24" s="602">
        <v>1</v>
      </c>
      <c r="H24" s="677"/>
      <c r="I24" s="116"/>
    </row>
    <row r="25" spans="2:9" ht="18" x14ac:dyDescent="0.25">
      <c r="B25" s="279" t="s">
        <v>1241</v>
      </c>
      <c r="C25" s="559" t="s">
        <v>1399</v>
      </c>
      <c r="D25" s="560" t="s">
        <v>1244</v>
      </c>
      <c r="E25" s="602">
        <f>Y_BOD_ult*S_B</f>
        <v>4.75</v>
      </c>
      <c r="F25" s="602" t="s">
        <v>1077</v>
      </c>
      <c r="G25" s="602">
        <v>1</v>
      </c>
      <c r="H25" s="677"/>
      <c r="I25" s="889"/>
    </row>
    <row r="26" spans="2:9" ht="18" x14ac:dyDescent="0.25">
      <c r="B26" s="279" t="s">
        <v>1242</v>
      </c>
      <c r="C26" s="559" t="s">
        <v>329</v>
      </c>
      <c r="D26" s="980" t="s">
        <v>1245</v>
      </c>
      <c r="E26" s="602">
        <f>Y_BOD_ult*(X_BIO+X_B)</f>
        <v>760</v>
      </c>
      <c r="F26" s="602" t="s">
        <v>1077</v>
      </c>
      <c r="G26" s="602">
        <v>1</v>
      </c>
      <c r="H26" s="677"/>
      <c r="I26" s="889"/>
    </row>
    <row r="27" spans="2:9" ht="18" x14ac:dyDescent="0.25">
      <c r="B27" s="279" t="s">
        <v>1243</v>
      </c>
      <c r="C27" s="559" t="s">
        <v>330</v>
      </c>
      <c r="D27" s="980" t="s">
        <v>1246</v>
      </c>
      <c r="E27" s="602">
        <f>S_BOD_ult+X_BOD_ult</f>
        <v>764.75</v>
      </c>
      <c r="F27" s="602" t="s">
        <v>1077</v>
      </c>
      <c r="G27" s="602">
        <v>1</v>
      </c>
      <c r="H27" s="677"/>
      <c r="I27" s="889"/>
    </row>
    <row r="28" spans="2:9" ht="18" x14ac:dyDescent="0.25">
      <c r="B28" s="279" t="s">
        <v>331</v>
      </c>
      <c r="C28" s="559" t="s">
        <v>1400</v>
      </c>
      <c r="D28" s="560" t="s">
        <v>1533</v>
      </c>
      <c r="E28" s="602">
        <f>S_BOD_ult*f_S_BOD5_BODult</f>
        <v>4.2750000000000004</v>
      </c>
      <c r="F28" s="602" t="s">
        <v>1077</v>
      </c>
      <c r="G28" s="602">
        <v>1</v>
      </c>
      <c r="H28" s="677"/>
      <c r="I28" s="889"/>
    </row>
    <row r="29" spans="2:9" ht="18" x14ac:dyDescent="0.25">
      <c r="B29" s="279" t="s">
        <v>332</v>
      </c>
      <c r="C29" s="559" t="s">
        <v>341</v>
      </c>
      <c r="D29" s="560" t="s">
        <v>1534</v>
      </c>
      <c r="E29" s="602">
        <f>X_BOD_ult*f_X_BOD5_BODult</f>
        <v>380</v>
      </c>
      <c r="F29" s="602" t="s">
        <v>1077</v>
      </c>
      <c r="G29" s="602">
        <v>1</v>
      </c>
      <c r="H29" s="677"/>
      <c r="I29" s="889"/>
    </row>
    <row r="30" spans="2:9" ht="18" x14ac:dyDescent="0.25">
      <c r="B30" s="279" t="s">
        <v>333</v>
      </c>
      <c r="C30" s="559" t="s">
        <v>342</v>
      </c>
      <c r="D30" s="560" t="s">
        <v>1535</v>
      </c>
      <c r="E30" s="602">
        <f>S_BOD_5+X_BOD_5</f>
        <v>384.27499999999998</v>
      </c>
      <c r="F30" s="602" t="s">
        <v>1077</v>
      </c>
      <c r="G30" s="602">
        <v>1</v>
      </c>
      <c r="H30" s="677"/>
      <c r="I30" s="889"/>
    </row>
    <row r="31" spans="2:9" ht="18" x14ac:dyDescent="0.25">
      <c r="B31" s="279" t="s">
        <v>2134</v>
      </c>
      <c r="C31" s="559" t="s">
        <v>2135</v>
      </c>
      <c r="D31" s="560" t="s">
        <v>863</v>
      </c>
      <c r="E31" s="602">
        <f>S_U+S_B</f>
        <v>30</v>
      </c>
      <c r="F31" s="602" t="s">
        <v>328</v>
      </c>
      <c r="G31" s="602">
        <v>1</v>
      </c>
      <c r="H31" s="677"/>
      <c r="I31" s="889"/>
    </row>
    <row r="32" spans="2:9" ht="18" x14ac:dyDescent="0.25">
      <c r="B32" s="134" t="s">
        <v>334</v>
      </c>
      <c r="C32" s="674" t="s">
        <v>335</v>
      </c>
      <c r="D32" s="980" t="s">
        <v>2136</v>
      </c>
      <c r="E32" s="1025">
        <f>S_CCOD+X_COD</f>
        <v>2030</v>
      </c>
      <c r="F32" s="668" t="s">
        <v>328</v>
      </c>
      <c r="G32" s="668">
        <v>1</v>
      </c>
      <c r="H32" s="669"/>
      <c r="I32" s="889"/>
    </row>
    <row r="33" spans="2:9" s="109" customFormat="1" ht="18" x14ac:dyDescent="0.25">
      <c r="B33" s="279" t="s">
        <v>1341</v>
      </c>
      <c r="C33" s="674" t="s">
        <v>1342</v>
      </c>
      <c r="D33" s="560" t="s">
        <v>1401</v>
      </c>
      <c r="E33" s="662">
        <f>T_COD+S_H2+S_CH4-E_EQNO3*S_NOx-E_EQN2*S_N2-S_O2</f>
        <v>1934.0495191586883</v>
      </c>
      <c r="F33" s="602" t="s">
        <v>799</v>
      </c>
      <c r="G33" s="602">
        <v>1</v>
      </c>
      <c r="H33" s="560"/>
      <c r="I33" s="280"/>
    </row>
    <row r="34" spans="2:9" ht="18" x14ac:dyDescent="0.25">
      <c r="B34" s="134" t="s">
        <v>825</v>
      </c>
      <c r="C34" s="559" t="s">
        <v>336</v>
      </c>
      <c r="D34" s="980" t="s">
        <v>2225</v>
      </c>
      <c r="E34" s="1025">
        <f>S_NHx+S_N_B+S_U*i_N_SU+X_U*i_N_XU+X_N_B+i_N_BIO*X_BIO+i_N_XE*X_E</f>
        <v>97.25</v>
      </c>
      <c r="F34" s="668" t="s">
        <v>337</v>
      </c>
      <c r="G34" s="668">
        <v>1</v>
      </c>
      <c r="H34" s="669"/>
      <c r="I34" s="889"/>
    </row>
    <row r="35" spans="2:9" ht="18" x14ac:dyDescent="0.25">
      <c r="B35" s="134" t="s">
        <v>2211</v>
      </c>
      <c r="C35" s="674" t="s">
        <v>2210</v>
      </c>
      <c r="D35" s="980" t="s">
        <v>2212</v>
      </c>
      <c r="E35" s="1025">
        <f>S_NHx+S_NOx</f>
        <v>18</v>
      </c>
      <c r="F35" s="668" t="s">
        <v>337</v>
      </c>
      <c r="G35" s="668">
        <v>1</v>
      </c>
      <c r="H35" s="669"/>
      <c r="I35" s="889"/>
    </row>
    <row r="36" spans="2:9" ht="18" x14ac:dyDescent="0.25">
      <c r="B36" s="134" t="s">
        <v>338</v>
      </c>
      <c r="C36" s="674" t="s">
        <v>339</v>
      </c>
      <c r="D36" s="980" t="s">
        <v>2213</v>
      </c>
      <c r="E36" s="1025">
        <f>T_KN+S_NOx</f>
        <v>112.25</v>
      </c>
      <c r="F36" s="668" t="s">
        <v>337</v>
      </c>
      <c r="G36" s="668">
        <v>1</v>
      </c>
      <c r="H36" s="669"/>
      <c r="I36" s="889"/>
    </row>
    <row r="37" spans="2:9" ht="18" x14ac:dyDescent="0.25">
      <c r="B37" s="134" t="s">
        <v>2736</v>
      </c>
      <c r="C37" s="674" t="s">
        <v>2697</v>
      </c>
      <c r="D37" s="980" t="s">
        <v>2698</v>
      </c>
      <c r="E37" s="1025">
        <f>T_KN-S_KN</f>
        <v>93.75</v>
      </c>
      <c r="F37" s="668" t="s">
        <v>791</v>
      </c>
      <c r="G37" s="668">
        <v>1</v>
      </c>
      <c r="H37" s="669"/>
      <c r="I37" s="889"/>
    </row>
    <row r="38" spans="2:9" ht="18" x14ac:dyDescent="0.25">
      <c r="B38" s="134" t="s">
        <v>2058</v>
      </c>
      <c r="C38" s="674" t="s">
        <v>2059</v>
      </c>
      <c r="D38" s="980" t="s">
        <v>2062</v>
      </c>
      <c r="E38" s="1025">
        <f>S_NHx+S_N_B</f>
        <v>3.5</v>
      </c>
      <c r="F38" s="668" t="s">
        <v>791</v>
      </c>
      <c r="G38" s="668">
        <v>1</v>
      </c>
      <c r="H38" s="669"/>
      <c r="I38" s="889"/>
    </row>
    <row r="39" spans="2:9" ht="18" x14ac:dyDescent="0.25">
      <c r="B39" s="134" t="s">
        <v>2229</v>
      </c>
      <c r="C39" s="674" t="s">
        <v>2226</v>
      </c>
      <c r="D39" s="980" t="s">
        <v>2227</v>
      </c>
      <c r="E39" s="1025">
        <f>S_U*i_N_SU</f>
        <v>0.25</v>
      </c>
      <c r="F39" s="668" t="s">
        <v>791</v>
      </c>
      <c r="G39" s="668">
        <v>1</v>
      </c>
      <c r="H39" s="980" t="s">
        <v>2228</v>
      </c>
      <c r="I39" s="889"/>
    </row>
    <row r="40" spans="2:9" ht="18" x14ac:dyDescent="0.25">
      <c r="B40" s="134" t="s">
        <v>2004</v>
      </c>
      <c r="C40" s="674" t="s">
        <v>2005</v>
      </c>
      <c r="D40" s="980" t="s">
        <v>2013</v>
      </c>
      <c r="E40" s="1025">
        <f>i_P_BIO*(X_BIO+X_E)+S_PO4+X_P_B+X_Me_P</f>
        <v>26.2</v>
      </c>
      <c r="F40" s="668" t="s">
        <v>793</v>
      </c>
      <c r="G40" s="668">
        <v>1</v>
      </c>
      <c r="H40" s="669"/>
      <c r="I40" s="889"/>
    </row>
    <row r="41" spans="2:9" ht="18" x14ac:dyDescent="0.25">
      <c r="B41" s="134" t="s">
        <v>2694</v>
      </c>
      <c r="C41" s="674" t="s">
        <v>2695</v>
      </c>
      <c r="D41" s="980" t="s">
        <v>2696</v>
      </c>
      <c r="E41" s="1025">
        <f>T_P-S_P</f>
        <v>25.2</v>
      </c>
      <c r="F41" s="668" t="s">
        <v>793</v>
      </c>
      <c r="G41" s="668">
        <v>1</v>
      </c>
      <c r="H41" s="669"/>
      <c r="I41" s="889"/>
    </row>
    <row r="42" spans="2:9" ht="18" x14ac:dyDescent="0.25">
      <c r="B42" s="134" t="s">
        <v>2060</v>
      </c>
      <c r="C42" s="674" t="s">
        <v>2061</v>
      </c>
      <c r="D42" s="980" t="s">
        <v>2063</v>
      </c>
      <c r="E42" s="1025">
        <f>S_PO4</f>
        <v>1</v>
      </c>
      <c r="F42" s="668" t="s">
        <v>793</v>
      </c>
      <c r="G42" s="668">
        <v>1</v>
      </c>
      <c r="H42" s="669"/>
      <c r="I42" s="889"/>
    </row>
    <row r="43" spans="2:9" ht="18" x14ac:dyDescent="0.25">
      <c r="B43" s="134" t="s">
        <v>2129</v>
      </c>
      <c r="C43" s="674" t="s">
        <v>2130</v>
      </c>
      <c r="D43" s="980" t="s">
        <v>2131</v>
      </c>
      <c r="E43" s="1025">
        <f>S_NHx-S_NOx</f>
        <v>-12</v>
      </c>
      <c r="F43" s="668" t="s">
        <v>791</v>
      </c>
      <c r="G43" s="668">
        <v>1</v>
      </c>
      <c r="H43" s="669"/>
      <c r="I43" s="889"/>
    </row>
    <row r="44" spans="2:9" ht="18" x14ac:dyDescent="0.25">
      <c r="B44" s="134" t="s">
        <v>2006</v>
      </c>
      <c r="C44" s="674" t="s">
        <v>2007</v>
      </c>
      <c r="D44" s="980" t="s">
        <v>2008</v>
      </c>
      <c r="E44" s="1025">
        <f>X_VSS/X_TSS</f>
        <v>0.74313146461757296</v>
      </c>
      <c r="F44" s="668" t="s">
        <v>2009</v>
      </c>
      <c r="G44" s="668">
        <v>2</v>
      </c>
      <c r="H44" s="669"/>
      <c r="I44" s="889"/>
    </row>
    <row r="45" spans="2:9" s="465" customFormat="1" ht="36" x14ac:dyDescent="0.25">
      <c r="B45" s="1034" t="s">
        <v>2180</v>
      </c>
      <c r="C45" s="980" t="s">
        <v>2179</v>
      </c>
      <c r="D45" s="1016" t="s">
        <v>2236</v>
      </c>
      <c r="E45" s="1017">
        <f>(X_VSS_BIO*(i_vw_BIO+i_iw_BIO+i_wh_BIO)+X_VSS_BIO*(i_vw_EPS+i_wh_EPS)+X_E/i_CV_XE*(i_vw_XE+i_wh_XE)+X_E/i_CV_XE*(i_vw_EPS+i_wh_EPS)+X_B/i_CV_XB*(i_vw_XB+i_wh_XB)+X_U/i_CV_XU*(i_vw_XU+i_wh_XU))/X_VSS</f>
        <v>1.8549886611879747</v>
      </c>
      <c r="F45" s="669" t="s">
        <v>2153</v>
      </c>
      <c r="G45" s="669">
        <v>1</v>
      </c>
      <c r="H45" s="980"/>
      <c r="I45" s="1035"/>
    </row>
    <row r="46" spans="2:9" s="465" customFormat="1" ht="18" x14ac:dyDescent="0.25">
      <c r="B46" s="1034" t="s">
        <v>2729</v>
      </c>
      <c r="C46" s="980" t="s">
        <v>2732</v>
      </c>
      <c r="D46" s="1016" t="s">
        <v>2734</v>
      </c>
      <c r="E46" s="1017">
        <f>S_PFOA+X_PFOA</f>
        <v>1.9999999999999999E-6</v>
      </c>
      <c r="F46" s="602" t="s">
        <v>2733</v>
      </c>
      <c r="G46" s="669">
        <v>4</v>
      </c>
      <c r="H46" s="980" t="s">
        <v>2692</v>
      </c>
      <c r="I46" s="1035"/>
    </row>
    <row r="47" spans="2:9" s="465" customFormat="1" ht="18.75" thickBot="1" x14ac:dyDescent="0.3">
      <c r="B47" s="1065" t="s">
        <v>2730</v>
      </c>
      <c r="C47" s="952" t="s">
        <v>2731</v>
      </c>
      <c r="D47" s="981" t="s">
        <v>2735</v>
      </c>
      <c r="E47" s="1066">
        <f>S_PFOS+X_PFOS</f>
        <v>1.9999999999999999E-6</v>
      </c>
      <c r="F47" s="127" t="s">
        <v>2733</v>
      </c>
      <c r="G47" s="955">
        <v>4</v>
      </c>
      <c r="H47" s="952" t="s">
        <v>2692</v>
      </c>
      <c r="I47" s="1067"/>
    </row>
    <row r="48" spans="2:9" s="3" customFormat="1" ht="15.75" thickBot="1" x14ac:dyDescent="0.3">
      <c r="B48" s="88"/>
      <c r="C48" s="88"/>
      <c r="D48" s="982"/>
      <c r="E48" s="89"/>
      <c r="F48" s="90"/>
      <c r="G48" s="90"/>
      <c r="H48" s="953"/>
      <c r="I48" s="90"/>
    </row>
    <row r="49" spans="1:9" s="3" customFormat="1" ht="15.75" thickBot="1" x14ac:dyDescent="0.3">
      <c r="B49" s="121"/>
      <c r="C49" s="461" t="s">
        <v>1343</v>
      </c>
      <c r="D49" s="463" t="s">
        <v>310</v>
      </c>
      <c r="E49" s="207"/>
      <c r="F49" s="121"/>
      <c r="G49" s="121"/>
      <c r="H49" s="162"/>
      <c r="I49" s="121"/>
    </row>
    <row r="50" spans="1:9" s="3" customFormat="1" ht="15.75" thickBot="1" x14ac:dyDescent="0.3">
      <c r="B50" s="407" t="s">
        <v>0</v>
      </c>
      <c r="C50" s="285" t="s">
        <v>1</v>
      </c>
      <c r="D50" s="455" t="s">
        <v>4</v>
      </c>
      <c r="E50" s="408" t="s">
        <v>149</v>
      </c>
      <c r="F50" s="408" t="s">
        <v>2</v>
      </c>
      <c r="G50" s="408" t="s">
        <v>309</v>
      </c>
      <c r="H50" s="954" t="s">
        <v>113</v>
      </c>
      <c r="I50" s="409" t="s">
        <v>114</v>
      </c>
    </row>
    <row r="51" spans="1:9" s="3" customFormat="1" ht="18" x14ac:dyDescent="0.25">
      <c r="B51" s="410" t="s">
        <v>1344</v>
      </c>
      <c r="C51" s="133" t="s">
        <v>1345</v>
      </c>
      <c r="D51" s="983" t="s">
        <v>1346</v>
      </c>
      <c r="E51" s="135">
        <f>O_RPbase+(O_RPmax_SO2-O_RPbase)*S_O2/(K_ORP_SO2+S_O2)</f>
        <v>285.36585365853659</v>
      </c>
      <c r="F51" s="115" t="s">
        <v>1331</v>
      </c>
      <c r="G51" s="115">
        <v>1</v>
      </c>
      <c r="H51" s="188"/>
      <c r="I51" s="411"/>
    </row>
    <row r="52" spans="1:9" s="3" customFormat="1" ht="18" x14ac:dyDescent="0.25">
      <c r="B52" s="134" t="s">
        <v>1347</v>
      </c>
      <c r="C52" s="83" t="s">
        <v>1348</v>
      </c>
      <c r="D52" s="983" t="s">
        <v>1349</v>
      </c>
      <c r="E52" s="84">
        <f>O_RPbase+(O_RPmax_SNOx-O_RPbase)*S_NOx/(K_ORP_SNOx+S_NOx)</f>
        <v>67.549668874172198</v>
      </c>
      <c r="F52" s="81" t="s">
        <v>1331</v>
      </c>
      <c r="G52" s="81">
        <v>1</v>
      </c>
      <c r="H52" s="470"/>
      <c r="I52" s="412"/>
    </row>
    <row r="53" spans="1:9" s="3" customFormat="1" ht="18" outlineLevel="1" x14ac:dyDescent="0.25">
      <c r="A53" s="4"/>
      <c r="B53" s="134" t="s">
        <v>2942</v>
      </c>
      <c r="C53" s="980" t="s">
        <v>2928</v>
      </c>
      <c r="D53" s="1140" t="s">
        <v>2929</v>
      </c>
      <c r="E53" s="1141">
        <f>A_AR/r_bCODDR</f>
        <v>6.6746846932506373E-5</v>
      </c>
      <c r="F53" s="559" t="s">
        <v>258</v>
      </c>
      <c r="G53" s="674">
        <v>1</v>
      </c>
      <c r="H53" s="674"/>
      <c r="I53" s="223"/>
    </row>
    <row r="54" spans="1:9" s="3" customFormat="1" ht="18" outlineLevel="1" x14ac:dyDescent="0.25">
      <c r="A54" s="4"/>
      <c r="B54" s="134" t="s">
        <v>2930</v>
      </c>
      <c r="C54" s="980" t="s">
        <v>2931</v>
      </c>
      <c r="D54" s="1140" t="s">
        <v>2943</v>
      </c>
      <c r="E54" s="1141">
        <f>O_RPbase*(r_atioAAR_rbCODDR)/(K_ORP_ana+r_atioAAR_rbCODDR)</f>
        <v>-0.39994717733450552</v>
      </c>
      <c r="F54" s="674" t="s">
        <v>1331</v>
      </c>
      <c r="G54" s="674">
        <v>1</v>
      </c>
      <c r="H54" s="674"/>
      <c r="I54" s="223"/>
    </row>
    <row r="55" spans="1:9" s="3" customFormat="1" ht="18.75" outlineLevel="1" thickBot="1" x14ac:dyDescent="0.3">
      <c r="A55" s="4"/>
      <c r="B55" s="136" t="s">
        <v>1350</v>
      </c>
      <c r="C55" s="952" t="s">
        <v>1343</v>
      </c>
      <c r="D55" s="981" t="s">
        <v>2932</v>
      </c>
      <c r="E55" s="1142">
        <f>MAX(O_RPO2,O_RPNOx,O_RPana)</f>
        <v>285.36585365853659</v>
      </c>
      <c r="F55" s="128" t="s">
        <v>1331</v>
      </c>
      <c r="G55" s="128">
        <v>1</v>
      </c>
      <c r="H55" s="128"/>
      <c r="I55" s="897"/>
    </row>
    <row r="56" spans="1:9" ht="15.75" thickBot="1" x14ac:dyDescent="0.3">
      <c r="E56" s="78"/>
      <c r="G56" s="79"/>
      <c r="H56" s="465"/>
    </row>
    <row r="57" spans="1:9" ht="15.75" thickBot="1" x14ac:dyDescent="0.3">
      <c r="C57" s="837" t="s">
        <v>2372</v>
      </c>
      <c r="D57" s="463" t="s">
        <v>310</v>
      </c>
      <c r="E57" s="62"/>
      <c r="H57" s="465"/>
      <c r="I57" s="4"/>
    </row>
    <row r="58" spans="1:9" ht="15.75" thickBot="1" x14ac:dyDescent="0.3">
      <c r="B58" s="838" t="s">
        <v>0</v>
      </c>
      <c r="C58" s="839" t="s">
        <v>1</v>
      </c>
      <c r="D58" s="984" t="s">
        <v>4</v>
      </c>
      <c r="E58" s="840" t="s">
        <v>149</v>
      </c>
      <c r="F58" s="841" t="s">
        <v>2</v>
      </c>
      <c r="G58" s="841" t="s">
        <v>309</v>
      </c>
      <c r="H58" s="956" t="s">
        <v>113</v>
      </c>
      <c r="I58" s="842" t="s">
        <v>114</v>
      </c>
    </row>
    <row r="59" spans="1:9" ht="36.75" thickBot="1" x14ac:dyDescent="0.3">
      <c r="B59" s="890" t="s">
        <v>2373</v>
      </c>
      <c r="C59" s="891" t="s">
        <v>2374</v>
      </c>
      <c r="D59" s="985" t="s">
        <v>2678</v>
      </c>
      <c r="E59" s="892">
        <f>(1/(1+EXP(((X_TSS/K_XTSS_lightextinction)-(1))*(100))))*(1/(1+EXP(((1)-(J_photosynt_solar/J_photosynt_solar_opt))*(100))))</f>
        <v>7.8183479115790095E-42</v>
      </c>
      <c r="F59" s="1004" t="s">
        <v>258</v>
      </c>
      <c r="G59" s="892">
        <v>2</v>
      </c>
      <c r="H59" s="957" t="s">
        <v>2369</v>
      </c>
      <c r="I59" s="893"/>
    </row>
    <row r="60" spans="1:9" ht="15.75" thickBot="1" x14ac:dyDescent="0.3">
      <c r="B60" s="88"/>
      <c r="C60" s="88"/>
      <c r="D60" s="953"/>
      <c r="E60" s="89"/>
      <c r="F60" s="90"/>
      <c r="G60" s="90"/>
      <c r="H60" s="681"/>
      <c r="I60" s="894"/>
    </row>
    <row r="61" spans="1:9" ht="15.75" thickBot="1" x14ac:dyDescent="0.3">
      <c r="C61" s="366" t="s">
        <v>1301</v>
      </c>
      <c r="D61" s="979" t="s">
        <v>310</v>
      </c>
      <c r="E61" s="60"/>
      <c r="H61" s="465"/>
      <c r="I61" s="3"/>
    </row>
    <row r="62" spans="1:9" ht="15.75" thickBot="1" x14ac:dyDescent="0.3">
      <c r="B62" s="284" t="s">
        <v>0</v>
      </c>
      <c r="C62" s="285" t="s">
        <v>1</v>
      </c>
      <c r="D62" s="455" t="s">
        <v>4</v>
      </c>
      <c r="E62" s="131" t="s">
        <v>149</v>
      </c>
      <c r="F62" s="130" t="s">
        <v>2</v>
      </c>
      <c r="G62" s="130" t="s">
        <v>309</v>
      </c>
      <c r="H62" s="140" t="s">
        <v>113</v>
      </c>
      <c r="I62" s="132" t="s">
        <v>114</v>
      </c>
    </row>
    <row r="63" spans="1:9" ht="18" x14ac:dyDescent="0.25">
      <c r="B63" s="410" t="s">
        <v>360</v>
      </c>
      <c r="C63" s="133" t="s">
        <v>1583</v>
      </c>
      <c r="D63" s="986" t="s">
        <v>1044</v>
      </c>
      <c r="E63" s="135">
        <f>-(v_1_SO2*r_1+v_4_SO2*r_4)</f>
        <v>736.46741631861198</v>
      </c>
      <c r="F63" s="95" t="s">
        <v>1043</v>
      </c>
      <c r="G63" s="115">
        <v>1</v>
      </c>
      <c r="H63" s="1146" t="s">
        <v>1251</v>
      </c>
      <c r="I63" s="888"/>
    </row>
    <row r="64" spans="1:9" ht="18" x14ac:dyDescent="0.25">
      <c r="B64" s="134" t="s">
        <v>362</v>
      </c>
      <c r="C64" s="83" t="s">
        <v>363</v>
      </c>
      <c r="D64" s="987" t="s">
        <v>2658</v>
      </c>
      <c r="E64" s="84">
        <f>-(v_2_SNOx*r_2+v_19_SNOx*r_19)</f>
        <v>12.541539047449191</v>
      </c>
      <c r="F64" s="81" t="s">
        <v>364</v>
      </c>
      <c r="G64" s="81">
        <v>1</v>
      </c>
      <c r="H64" s="559" t="s">
        <v>1251</v>
      </c>
      <c r="I64" s="889"/>
    </row>
    <row r="65" spans="1:10" ht="18" x14ac:dyDescent="0.25">
      <c r="B65" s="134" t="s">
        <v>365</v>
      </c>
      <c r="C65" s="83" t="s">
        <v>366</v>
      </c>
      <c r="D65" s="987" t="s">
        <v>2659</v>
      </c>
      <c r="E65" s="84">
        <f>-(i_N_BIO*(r_1+r_2+r_6+r_8)+v_4_SNHx*r_4+v_16_SNHx*r_16+v_19_SNHx*r_19)</f>
        <v>25.825755567582892</v>
      </c>
      <c r="F65" s="81" t="s">
        <v>364</v>
      </c>
      <c r="G65" s="81">
        <v>1</v>
      </c>
      <c r="H65" s="559" t="s">
        <v>1251</v>
      </c>
      <c r="I65" s="889"/>
    </row>
    <row r="66" spans="1:10" s="109" customFormat="1" ht="18" outlineLevel="1" x14ac:dyDescent="0.25">
      <c r="A66" s="4"/>
      <c r="B66" s="279" t="s">
        <v>2933</v>
      </c>
      <c r="C66" s="560" t="s">
        <v>2934</v>
      </c>
      <c r="D66" s="1143" t="s">
        <v>2938</v>
      </c>
      <c r="E66" s="1144">
        <f>-(v_1_SB*r_1+v_2_SB*r_2+v_6_SB*r_6+v_15_XB*r_15)</f>
        <v>1114.6186369584768</v>
      </c>
      <c r="F66" s="559" t="s">
        <v>2935</v>
      </c>
      <c r="G66" s="559">
        <v>1</v>
      </c>
      <c r="H66" s="559"/>
      <c r="I66" s="1145"/>
      <c r="J66" s="887"/>
    </row>
    <row r="67" spans="1:10" s="109" customFormat="1" ht="18" outlineLevel="1" x14ac:dyDescent="0.25">
      <c r="A67" s="4"/>
      <c r="B67" s="279" t="s">
        <v>2936</v>
      </c>
      <c r="C67" s="560" t="s">
        <v>2937</v>
      </c>
      <c r="D67" s="1143" t="s">
        <v>2939</v>
      </c>
      <c r="E67" s="1144">
        <f>v_15_SH2*r_15+v_6_SCH4*r_6+v_8_SCH4*r_8</f>
        <v>7.4397279549186346E-2</v>
      </c>
      <c r="F67" s="559" t="s">
        <v>2935</v>
      </c>
      <c r="G67" s="559">
        <v>1</v>
      </c>
      <c r="H67" s="559"/>
      <c r="I67" s="1145"/>
      <c r="J67" s="887"/>
    </row>
    <row r="68" spans="1:10" s="109" customFormat="1" ht="15.75" thickBot="1" x14ac:dyDescent="0.3">
      <c r="D68" s="160"/>
      <c r="E68" s="502"/>
      <c r="F68" s="121"/>
      <c r="G68" s="121"/>
      <c r="H68" s="160"/>
    </row>
    <row r="69" spans="1:10" s="109" customFormat="1" ht="15.75" thickBot="1" x14ac:dyDescent="0.3">
      <c r="C69" s="366" t="s">
        <v>1302</v>
      </c>
      <c r="D69" s="463" t="s">
        <v>310</v>
      </c>
      <c r="E69" s="138"/>
      <c r="F69" s="121"/>
      <c r="G69" s="121"/>
      <c r="H69" s="160"/>
    </row>
    <row r="70" spans="1:10" s="109" customFormat="1" ht="15.75" thickBot="1" x14ac:dyDescent="0.3">
      <c r="B70" s="367" t="s">
        <v>0</v>
      </c>
      <c r="C70" s="368" t="s">
        <v>1</v>
      </c>
      <c r="D70" s="958" t="s">
        <v>4</v>
      </c>
      <c r="E70" s="408" t="s">
        <v>149</v>
      </c>
      <c r="F70" s="408" t="s">
        <v>2</v>
      </c>
      <c r="G70" s="408" t="s">
        <v>309</v>
      </c>
      <c r="H70" s="958" t="s">
        <v>113</v>
      </c>
      <c r="I70" s="369" t="s">
        <v>114</v>
      </c>
    </row>
    <row r="71" spans="1:10" s="145" customFormat="1" ht="18" x14ac:dyDescent="0.25">
      <c r="B71" s="370" t="s">
        <v>1249</v>
      </c>
      <c r="C71" s="371" t="s">
        <v>1402</v>
      </c>
      <c r="D71" s="187" t="s">
        <v>1250</v>
      </c>
      <c r="E71" s="372">
        <f>m_tox_ana_max</f>
        <v>10</v>
      </c>
      <c r="F71" s="373" t="s">
        <v>1229</v>
      </c>
      <c r="G71" s="373">
        <v>1</v>
      </c>
      <c r="H71" s="372" t="s">
        <v>1056</v>
      </c>
      <c r="I71" s="374"/>
      <c r="J71" s="375"/>
    </row>
    <row r="72" spans="1:10" s="145" customFormat="1" ht="30.75" thickBot="1" x14ac:dyDescent="0.3">
      <c r="B72" s="376" t="s">
        <v>1249</v>
      </c>
      <c r="C72" s="196" t="s">
        <v>1403</v>
      </c>
      <c r="D72" s="196">
        <v>0</v>
      </c>
      <c r="E72" s="198">
        <f>0</f>
        <v>0</v>
      </c>
      <c r="F72" s="199" t="s">
        <v>1229</v>
      </c>
      <c r="G72" s="199">
        <v>1</v>
      </c>
      <c r="H72" s="198" t="s">
        <v>1251</v>
      </c>
      <c r="I72" s="200"/>
      <c r="J72" s="375"/>
    </row>
    <row r="73" spans="1:10" s="4" customFormat="1" ht="15.75" thickBot="1" x14ac:dyDescent="0.3">
      <c r="B73" s="88"/>
      <c r="C73" s="88"/>
      <c r="D73" s="953"/>
      <c r="E73" s="89"/>
      <c r="F73" s="90"/>
      <c r="G73" s="90"/>
      <c r="H73" s="953"/>
      <c r="I73" s="88"/>
    </row>
    <row r="74" spans="1:10" ht="15.75" thickBot="1" x14ac:dyDescent="0.3">
      <c r="C74" s="366" t="s">
        <v>1404</v>
      </c>
      <c r="D74" s="979" t="s">
        <v>310</v>
      </c>
      <c r="E74" s="60"/>
      <c r="H74" s="465"/>
      <c r="I74" s="3"/>
    </row>
    <row r="75" spans="1:10" ht="15.75" thickBot="1" x14ac:dyDescent="0.3">
      <c r="B75" s="225" t="s">
        <v>0</v>
      </c>
      <c r="C75" s="226" t="s">
        <v>1</v>
      </c>
      <c r="D75" s="960" t="s">
        <v>4</v>
      </c>
      <c r="E75" s="257" t="s">
        <v>149</v>
      </c>
      <c r="F75" s="256" t="s">
        <v>2</v>
      </c>
      <c r="G75" s="256" t="s">
        <v>309</v>
      </c>
      <c r="H75" s="959" t="s">
        <v>113</v>
      </c>
      <c r="I75" s="258" t="s">
        <v>114</v>
      </c>
    </row>
    <row r="76" spans="1:10" s="4" customFormat="1" ht="18" x14ac:dyDescent="0.25">
      <c r="B76" s="410" t="s">
        <v>1075</v>
      </c>
      <c r="C76" s="261" t="s">
        <v>1405</v>
      </c>
      <c r="D76" s="187" t="s">
        <v>1268</v>
      </c>
      <c r="E76" s="115">
        <f>K_SB_AS</f>
        <v>5</v>
      </c>
      <c r="F76" s="188" t="s">
        <v>799</v>
      </c>
      <c r="G76" s="115">
        <v>2</v>
      </c>
      <c r="H76" s="187" t="s">
        <v>1086</v>
      </c>
      <c r="I76" s="262"/>
    </row>
    <row r="77" spans="1:10" s="4" customFormat="1" ht="18" x14ac:dyDescent="0.25">
      <c r="B77" s="279" t="s">
        <v>1075</v>
      </c>
      <c r="C77" s="80" t="s">
        <v>1405</v>
      </c>
      <c r="D77" s="190" t="s">
        <v>2040</v>
      </c>
      <c r="E77" s="82">
        <f>K_SB_AS*f_KS_biofilm</f>
        <v>0.5</v>
      </c>
      <c r="F77" s="192" t="s">
        <v>799</v>
      </c>
      <c r="G77" s="82">
        <v>2</v>
      </c>
      <c r="H77" s="190" t="s">
        <v>1059</v>
      </c>
      <c r="I77" s="280" t="s">
        <v>2056</v>
      </c>
    </row>
    <row r="78" spans="1:10" s="4" customFormat="1" ht="18.75" x14ac:dyDescent="0.25">
      <c r="B78" s="279" t="s">
        <v>1076</v>
      </c>
      <c r="C78" s="80" t="s">
        <v>1406</v>
      </c>
      <c r="D78" s="190" t="s">
        <v>1269</v>
      </c>
      <c r="E78" s="82">
        <f>K_O2_OHO_AS</f>
        <v>0.15</v>
      </c>
      <c r="F78" s="192" t="s">
        <v>1077</v>
      </c>
      <c r="G78" s="82">
        <v>2</v>
      </c>
      <c r="H78" s="187" t="s">
        <v>1086</v>
      </c>
      <c r="I78" s="263"/>
    </row>
    <row r="79" spans="1:10" s="4" customFormat="1" ht="18.75" x14ac:dyDescent="0.25">
      <c r="B79" s="279" t="s">
        <v>1076</v>
      </c>
      <c r="C79" s="80" t="s">
        <v>1406</v>
      </c>
      <c r="D79" s="190" t="s">
        <v>2041</v>
      </c>
      <c r="E79" s="82">
        <f>K_O2_OHO_AS*f_KS_biofilm</f>
        <v>1.4999999999999999E-2</v>
      </c>
      <c r="F79" s="192" t="s">
        <v>1077</v>
      </c>
      <c r="G79" s="82">
        <v>3</v>
      </c>
      <c r="H79" s="190" t="s">
        <v>1059</v>
      </c>
      <c r="I79" s="280" t="s">
        <v>2056</v>
      </c>
    </row>
    <row r="80" spans="1:10" s="4" customFormat="1" ht="18" x14ac:dyDescent="0.25">
      <c r="B80" s="279" t="s">
        <v>1464</v>
      </c>
      <c r="C80" s="80" t="s">
        <v>1407</v>
      </c>
      <c r="D80" s="190" t="s">
        <v>1465</v>
      </c>
      <c r="E80" s="82">
        <f>K_NOx_OHO_AS</f>
        <v>0.03</v>
      </c>
      <c r="F80" s="192" t="s">
        <v>791</v>
      </c>
      <c r="G80" s="82">
        <v>2</v>
      </c>
      <c r="H80" s="187" t="s">
        <v>1086</v>
      </c>
      <c r="I80" s="280"/>
    </row>
    <row r="81" spans="2:9" s="4" customFormat="1" ht="18.75" thickBot="1" x14ac:dyDescent="0.3">
      <c r="B81" s="380" t="s">
        <v>1464</v>
      </c>
      <c r="C81" s="264" t="s">
        <v>1407</v>
      </c>
      <c r="D81" s="196" t="s">
        <v>2042</v>
      </c>
      <c r="E81" s="127">
        <f>K_NOx_OHO_AS*f_KS_biofilm</f>
        <v>3.0000000000000001E-3</v>
      </c>
      <c r="F81" s="198" t="s">
        <v>791</v>
      </c>
      <c r="G81" s="127">
        <v>3</v>
      </c>
      <c r="H81" s="196" t="s">
        <v>1059</v>
      </c>
      <c r="I81" s="542" t="s">
        <v>2056</v>
      </c>
    </row>
    <row r="82" spans="2:9" s="4" customFormat="1" ht="15.75" thickBot="1" x14ac:dyDescent="0.3">
      <c r="B82" s="88"/>
      <c r="C82" s="88"/>
      <c r="D82" s="953"/>
      <c r="E82" s="89"/>
      <c r="F82" s="90"/>
      <c r="G82" s="90"/>
      <c r="H82" s="953"/>
      <c r="I82" s="88"/>
    </row>
    <row r="83" spans="2:9" s="462" customFormat="1" ht="15.75" thickBot="1" x14ac:dyDescent="0.3">
      <c r="C83" s="418" t="s">
        <v>1408</v>
      </c>
      <c r="D83" s="463" t="s">
        <v>310</v>
      </c>
      <c r="E83" s="464"/>
      <c r="F83" s="465"/>
      <c r="G83" s="465"/>
    </row>
    <row r="84" spans="2:9" s="4" customFormat="1" ht="15.75" thickBot="1" x14ac:dyDescent="0.3">
      <c r="B84" s="225" t="s">
        <v>0</v>
      </c>
      <c r="C84" s="226" t="s">
        <v>1</v>
      </c>
      <c r="D84" s="960" t="s">
        <v>4</v>
      </c>
      <c r="E84" s="256" t="s">
        <v>149</v>
      </c>
      <c r="F84" s="256" t="s">
        <v>2</v>
      </c>
      <c r="G84" s="256" t="s">
        <v>309</v>
      </c>
      <c r="H84" s="960" t="s">
        <v>113</v>
      </c>
      <c r="I84" s="227" t="s">
        <v>114</v>
      </c>
    </row>
    <row r="85" spans="2:9" s="896" customFormat="1" ht="18" x14ac:dyDescent="0.25">
      <c r="B85" s="265" t="s">
        <v>1078</v>
      </c>
      <c r="C85" s="266" t="s">
        <v>1409</v>
      </c>
      <c r="D85" s="988" t="s">
        <v>1270</v>
      </c>
      <c r="E85" s="115">
        <f>K_NHx_NITO_AS</f>
        <v>0.7</v>
      </c>
      <c r="F85" s="259" t="s">
        <v>337</v>
      </c>
      <c r="G85" s="259">
        <v>2</v>
      </c>
      <c r="H85" s="961" t="s">
        <v>1086</v>
      </c>
      <c r="I85" s="895"/>
    </row>
    <row r="86" spans="2:9" s="896" customFormat="1" ht="18" x14ac:dyDescent="0.25">
      <c r="B86" s="267" t="s">
        <v>1078</v>
      </c>
      <c r="C86" s="268" t="s">
        <v>1409</v>
      </c>
      <c r="D86" s="987" t="s">
        <v>2043</v>
      </c>
      <c r="E86" s="82">
        <f>K_NHx_NITO_AS*f_KS_biofilm</f>
        <v>6.9999999999999993E-2</v>
      </c>
      <c r="F86" s="87" t="s">
        <v>337</v>
      </c>
      <c r="G86" s="87">
        <v>3</v>
      </c>
      <c r="H86" s="951" t="s">
        <v>1059</v>
      </c>
      <c r="I86" s="223" t="s">
        <v>2056</v>
      </c>
    </row>
    <row r="87" spans="2:9" s="896" customFormat="1" ht="18.75" x14ac:dyDescent="0.25">
      <c r="B87" s="267" t="s">
        <v>1079</v>
      </c>
      <c r="C87" s="268" t="s">
        <v>1410</v>
      </c>
      <c r="D87" s="987" t="s">
        <v>1271</v>
      </c>
      <c r="E87" s="82">
        <f>K_O2_NITO_AS</f>
        <v>0.5</v>
      </c>
      <c r="F87" s="192" t="s">
        <v>1077</v>
      </c>
      <c r="G87" s="87">
        <v>2</v>
      </c>
      <c r="H87" s="951" t="s">
        <v>1086</v>
      </c>
      <c r="I87" s="223"/>
    </row>
    <row r="88" spans="2:9" s="896" customFormat="1" ht="18.75" x14ac:dyDescent="0.25">
      <c r="B88" s="267" t="s">
        <v>1079</v>
      </c>
      <c r="C88" s="268" t="s">
        <v>1410</v>
      </c>
      <c r="D88" s="987" t="s">
        <v>2044</v>
      </c>
      <c r="E88" s="82">
        <f>K_O2_NITO_AS*f_KS_biofilm</f>
        <v>0.05</v>
      </c>
      <c r="F88" s="192" t="s">
        <v>1077</v>
      </c>
      <c r="G88" s="87">
        <v>3</v>
      </c>
      <c r="H88" s="951" t="s">
        <v>1059</v>
      </c>
      <c r="I88" s="223" t="s">
        <v>2056</v>
      </c>
    </row>
    <row r="89" spans="2:9" s="896" customFormat="1" ht="18" x14ac:dyDescent="0.25">
      <c r="B89" s="267" t="s">
        <v>1466</v>
      </c>
      <c r="C89" s="268" t="s">
        <v>1411</v>
      </c>
      <c r="D89" s="987" t="s">
        <v>1467</v>
      </c>
      <c r="E89" s="269">
        <f>K_NOx_NITO_AS</f>
        <v>0.03</v>
      </c>
      <c r="F89" s="192" t="s">
        <v>791</v>
      </c>
      <c r="G89" s="87">
        <v>2</v>
      </c>
      <c r="H89" s="951" t="s">
        <v>1086</v>
      </c>
      <c r="I89" s="223"/>
    </row>
    <row r="90" spans="2:9" s="896" customFormat="1" ht="18.75" thickBot="1" x14ac:dyDescent="0.3">
      <c r="B90" s="270" t="s">
        <v>1466</v>
      </c>
      <c r="C90" s="271" t="s">
        <v>1411</v>
      </c>
      <c r="D90" s="989" t="s">
        <v>2045</v>
      </c>
      <c r="E90" s="272">
        <f>K_NOx_NITO_AS*f_KS_biofilm</f>
        <v>3.0000000000000001E-3</v>
      </c>
      <c r="F90" s="198" t="s">
        <v>791</v>
      </c>
      <c r="G90" s="260">
        <v>3</v>
      </c>
      <c r="H90" s="952" t="s">
        <v>1059</v>
      </c>
      <c r="I90" s="897" t="s">
        <v>2056</v>
      </c>
    </row>
    <row r="91" spans="2:9" s="4" customFormat="1" ht="15.75" thickBot="1" x14ac:dyDescent="0.3">
      <c r="B91" s="88"/>
      <c r="C91" s="88"/>
      <c r="D91" s="953"/>
      <c r="E91" s="89"/>
      <c r="F91" s="90"/>
      <c r="G91" s="90"/>
      <c r="H91" s="953"/>
      <c r="I91" s="88"/>
    </row>
    <row r="92" spans="2:9" s="4" customFormat="1" ht="15.75" thickBot="1" x14ac:dyDescent="0.3">
      <c r="C92" s="366" t="s">
        <v>1412</v>
      </c>
      <c r="D92" s="463" t="s">
        <v>310</v>
      </c>
      <c r="E92" s="207"/>
      <c r="F92" s="3"/>
      <c r="G92" s="3"/>
      <c r="H92" s="462"/>
    </row>
    <row r="93" spans="2:9" s="4" customFormat="1" ht="15.75" thickBot="1" x14ac:dyDescent="0.3">
      <c r="B93" s="225" t="s">
        <v>0</v>
      </c>
      <c r="C93" s="226" t="s">
        <v>1</v>
      </c>
      <c r="D93" s="960" t="s">
        <v>4</v>
      </c>
      <c r="E93" s="256" t="s">
        <v>149</v>
      </c>
      <c r="F93" s="256" t="s">
        <v>2</v>
      </c>
      <c r="G93" s="256" t="s">
        <v>309</v>
      </c>
      <c r="H93" s="960" t="s">
        <v>113</v>
      </c>
      <c r="I93" s="227" t="s">
        <v>114</v>
      </c>
    </row>
    <row r="94" spans="2:9" s="896" customFormat="1" ht="18" x14ac:dyDescent="0.25">
      <c r="B94" s="265" t="s">
        <v>1080</v>
      </c>
      <c r="C94" s="266" t="s">
        <v>1415</v>
      </c>
      <c r="D94" s="988" t="s">
        <v>1272</v>
      </c>
      <c r="E94" s="115">
        <f>K_VFA_AMETO_AS</f>
        <v>400</v>
      </c>
      <c r="F94" s="188" t="s">
        <v>799</v>
      </c>
      <c r="G94" s="259">
        <v>1</v>
      </c>
      <c r="H94" s="961" t="s">
        <v>1086</v>
      </c>
      <c r="I94" s="895"/>
    </row>
    <row r="95" spans="2:9" s="896" customFormat="1" ht="18" x14ac:dyDescent="0.25">
      <c r="B95" s="265" t="s">
        <v>1080</v>
      </c>
      <c r="C95" s="266" t="s">
        <v>1415</v>
      </c>
      <c r="D95" s="988" t="s">
        <v>2046</v>
      </c>
      <c r="E95" s="82">
        <f>K_VFA_AMETO_AS*f_KS_biofilm</f>
        <v>40</v>
      </c>
      <c r="F95" s="192" t="s">
        <v>799</v>
      </c>
      <c r="G95" s="87">
        <v>1</v>
      </c>
      <c r="H95" s="951" t="s">
        <v>1059</v>
      </c>
      <c r="I95" s="223" t="s">
        <v>2056</v>
      </c>
    </row>
    <row r="96" spans="2:9" s="896" customFormat="1" ht="18.75" x14ac:dyDescent="0.25">
      <c r="B96" s="267" t="s">
        <v>2068</v>
      </c>
      <c r="C96" s="268" t="s">
        <v>2070</v>
      </c>
      <c r="D96" s="987" t="s">
        <v>2085</v>
      </c>
      <c r="E96" s="82">
        <f>K_iO2_AMETO_AS</f>
        <v>0.05</v>
      </c>
      <c r="F96" s="192" t="s">
        <v>1077</v>
      </c>
      <c r="G96" s="87">
        <v>2</v>
      </c>
      <c r="H96" s="951" t="s">
        <v>1086</v>
      </c>
      <c r="I96" s="223"/>
    </row>
    <row r="97" spans="2:9" s="896" customFormat="1" ht="18.75" x14ac:dyDescent="0.25">
      <c r="B97" s="267" t="s">
        <v>2068</v>
      </c>
      <c r="C97" s="268" t="s">
        <v>2070</v>
      </c>
      <c r="D97" s="987" t="s">
        <v>2086</v>
      </c>
      <c r="E97" s="82">
        <f>K_iO2_AMETO_AS*f_KS</f>
        <v>5.000000000000001E-3</v>
      </c>
      <c r="F97" s="192" t="s">
        <v>1077</v>
      </c>
      <c r="G97" s="87">
        <v>3</v>
      </c>
      <c r="H97" s="951" t="s">
        <v>1059</v>
      </c>
      <c r="I97" s="223" t="s">
        <v>2056</v>
      </c>
    </row>
    <row r="98" spans="2:9" s="896" customFormat="1" ht="18" x14ac:dyDescent="0.25">
      <c r="B98" s="267" t="s">
        <v>1468</v>
      </c>
      <c r="C98" s="268" t="s">
        <v>1524</v>
      </c>
      <c r="D98" s="987" t="s">
        <v>1469</v>
      </c>
      <c r="E98" s="82">
        <f>K_NOx_AMETO_AS</f>
        <v>0.05</v>
      </c>
      <c r="F98" s="192" t="s">
        <v>791</v>
      </c>
      <c r="G98" s="87">
        <v>2</v>
      </c>
      <c r="H98" s="951" t="s">
        <v>1086</v>
      </c>
      <c r="I98" s="223"/>
    </row>
    <row r="99" spans="2:9" s="896" customFormat="1" ht="18.75" thickBot="1" x14ac:dyDescent="0.3">
      <c r="B99" s="270" t="s">
        <v>1468</v>
      </c>
      <c r="C99" s="271" t="s">
        <v>1524</v>
      </c>
      <c r="D99" s="989" t="s">
        <v>2047</v>
      </c>
      <c r="E99" s="127">
        <f>K_NOx_AMETO_AS*f_KS_biofilm</f>
        <v>5.000000000000001E-3</v>
      </c>
      <c r="F99" s="198" t="s">
        <v>791</v>
      </c>
      <c r="G99" s="260">
        <v>3</v>
      </c>
      <c r="H99" s="952" t="s">
        <v>1059</v>
      </c>
      <c r="I99" s="897" t="s">
        <v>2056</v>
      </c>
    </row>
    <row r="100" spans="2:9" s="4" customFormat="1" ht="15.75" thickBot="1" x14ac:dyDescent="0.3">
      <c r="B100" s="88"/>
      <c r="C100" s="88"/>
      <c r="D100" s="953"/>
      <c r="E100" s="89"/>
      <c r="F100" s="90"/>
      <c r="G100" s="90"/>
      <c r="H100" s="953"/>
      <c r="I100" s="88"/>
    </row>
    <row r="101" spans="2:9" s="4" customFormat="1" ht="15.75" thickBot="1" x14ac:dyDescent="0.3">
      <c r="C101" s="366" t="s">
        <v>1413</v>
      </c>
      <c r="D101" s="463" t="s">
        <v>310</v>
      </c>
      <c r="E101" s="207"/>
      <c r="F101" s="3"/>
      <c r="G101" s="3"/>
      <c r="H101" s="462"/>
    </row>
    <row r="102" spans="2:9" s="4" customFormat="1" ht="15.75" thickBot="1" x14ac:dyDescent="0.3">
      <c r="B102" s="273" t="s">
        <v>0</v>
      </c>
      <c r="C102" s="274" t="s">
        <v>1</v>
      </c>
      <c r="D102" s="962" t="s">
        <v>4</v>
      </c>
      <c r="E102" s="275" t="s">
        <v>149</v>
      </c>
      <c r="F102" s="275" t="s">
        <v>2</v>
      </c>
      <c r="G102" s="275" t="s">
        <v>309</v>
      </c>
      <c r="H102" s="962" t="s">
        <v>113</v>
      </c>
      <c r="I102" s="276" t="s">
        <v>114</v>
      </c>
    </row>
    <row r="103" spans="2:9" s="896" customFormat="1" ht="18" x14ac:dyDescent="0.25">
      <c r="B103" s="265" t="s">
        <v>1081</v>
      </c>
      <c r="C103" s="266" t="s">
        <v>1416</v>
      </c>
      <c r="D103" s="988" t="s">
        <v>1273</v>
      </c>
      <c r="E103" s="115">
        <f>K_H2_HMETO_AS</f>
        <v>0.1</v>
      </c>
      <c r="F103" s="188" t="s">
        <v>799</v>
      </c>
      <c r="G103" s="259">
        <v>2</v>
      </c>
      <c r="H103" s="961" t="s">
        <v>1086</v>
      </c>
      <c r="I103" s="895"/>
    </row>
    <row r="104" spans="2:9" s="896" customFormat="1" ht="18" x14ac:dyDescent="0.25">
      <c r="B104" s="265" t="s">
        <v>1081</v>
      </c>
      <c r="C104" s="266" t="s">
        <v>1416</v>
      </c>
      <c r="D104" s="988" t="s">
        <v>2048</v>
      </c>
      <c r="E104" s="82">
        <f>K_H2_HMETO_AS*f_KS_biofilm</f>
        <v>1.0000000000000002E-2</v>
      </c>
      <c r="F104" s="192" t="s">
        <v>799</v>
      </c>
      <c r="G104" s="87">
        <v>3</v>
      </c>
      <c r="H104" s="951" t="s">
        <v>1059</v>
      </c>
      <c r="I104" s="223" t="s">
        <v>2056</v>
      </c>
    </row>
    <row r="105" spans="2:9" s="896" customFormat="1" ht="18.75" x14ac:dyDescent="0.25">
      <c r="B105" s="267" t="s">
        <v>2069</v>
      </c>
      <c r="C105" s="268" t="s">
        <v>2071</v>
      </c>
      <c r="D105" s="987" t="s">
        <v>2087</v>
      </c>
      <c r="E105" s="82">
        <f>K_iO2_HMETO_AS</f>
        <v>0.05</v>
      </c>
      <c r="F105" s="192" t="s">
        <v>1077</v>
      </c>
      <c r="G105" s="87">
        <v>2</v>
      </c>
      <c r="H105" s="951" t="s">
        <v>1086</v>
      </c>
      <c r="I105" s="223"/>
    </row>
    <row r="106" spans="2:9" s="896" customFormat="1" ht="18.75" x14ac:dyDescent="0.25">
      <c r="B106" s="267" t="s">
        <v>2069</v>
      </c>
      <c r="C106" s="268" t="s">
        <v>2071</v>
      </c>
      <c r="D106" s="987" t="s">
        <v>2088</v>
      </c>
      <c r="E106" s="82">
        <f>K_iO2_HMETO_AS*f_KS_biofilm</f>
        <v>5.000000000000001E-3</v>
      </c>
      <c r="F106" s="192" t="s">
        <v>1077</v>
      </c>
      <c r="G106" s="87">
        <v>3</v>
      </c>
      <c r="H106" s="951" t="s">
        <v>1059</v>
      </c>
      <c r="I106" s="223" t="s">
        <v>2056</v>
      </c>
    </row>
    <row r="107" spans="2:9" s="896" customFormat="1" ht="18" x14ac:dyDescent="0.25">
      <c r="B107" s="267" t="s">
        <v>1470</v>
      </c>
      <c r="C107" s="268" t="s">
        <v>1417</v>
      </c>
      <c r="D107" s="987" t="s">
        <v>1471</v>
      </c>
      <c r="E107" s="82">
        <f>K_NOx_HMETO_AS</f>
        <v>0.05</v>
      </c>
      <c r="F107" s="192" t="s">
        <v>791</v>
      </c>
      <c r="G107" s="87">
        <v>2</v>
      </c>
      <c r="H107" s="951" t="s">
        <v>1086</v>
      </c>
      <c r="I107" s="223"/>
    </row>
    <row r="108" spans="2:9" s="896" customFormat="1" ht="18.75" thickBot="1" x14ac:dyDescent="0.3">
      <c r="B108" s="270" t="s">
        <v>1470</v>
      </c>
      <c r="C108" s="271" t="s">
        <v>1417</v>
      </c>
      <c r="D108" s="989" t="s">
        <v>2049</v>
      </c>
      <c r="E108" s="127">
        <f>K_NOx_HMETO_AS*f_KS_biofilm</f>
        <v>5.000000000000001E-3</v>
      </c>
      <c r="F108" s="198" t="s">
        <v>791</v>
      </c>
      <c r="G108" s="260">
        <v>3</v>
      </c>
      <c r="H108" s="952" t="s">
        <v>1059</v>
      </c>
      <c r="I108" s="897" t="s">
        <v>2056</v>
      </c>
    </row>
    <row r="109" spans="2:9" s="4" customFormat="1" ht="15.75" thickBot="1" x14ac:dyDescent="0.3">
      <c r="B109" s="88"/>
      <c r="C109" s="88"/>
      <c r="D109" s="953"/>
      <c r="E109" s="89"/>
      <c r="F109" s="90"/>
      <c r="G109" s="90"/>
      <c r="H109" s="953"/>
      <c r="I109" s="88"/>
    </row>
    <row r="110" spans="2:9" s="4" customFormat="1" ht="15.75" thickBot="1" x14ac:dyDescent="0.3">
      <c r="C110" s="392" t="s">
        <v>1414</v>
      </c>
      <c r="D110" s="463" t="s">
        <v>310</v>
      </c>
      <c r="E110" s="207"/>
      <c r="F110" s="3"/>
      <c r="G110" s="3"/>
      <c r="H110" s="462"/>
    </row>
    <row r="111" spans="2:9" s="4" customFormat="1" ht="15.75" thickBot="1" x14ac:dyDescent="0.3">
      <c r="B111" s="273" t="s">
        <v>0</v>
      </c>
      <c r="C111" s="274" t="s">
        <v>1</v>
      </c>
      <c r="D111" s="962" t="s">
        <v>4</v>
      </c>
      <c r="E111" s="275" t="s">
        <v>149</v>
      </c>
      <c r="F111" s="275" t="s">
        <v>2</v>
      </c>
      <c r="G111" s="275" t="s">
        <v>309</v>
      </c>
      <c r="H111" s="962" t="s">
        <v>113</v>
      </c>
      <c r="I111" s="276" t="s">
        <v>114</v>
      </c>
    </row>
    <row r="112" spans="2:9" s="896" customFormat="1" ht="18" x14ac:dyDescent="0.25">
      <c r="B112" s="382" t="s">
        <v>790</v>
      </c>
      <c r="C112" s="383" t="s">
        <v>1418</v>
      </c>
      <c r="D112" s="371" t="s">
        <v>1265</v>
      </c>
      <c r="E112" s="384">
        <f>K_NHx_BIO_AS</f>
        <v>5.0000000000000001E-3</v>
      </c>
      <c r="F112" s="372" t="s">
        <v>791</v>
      </c>
      <c r="G112" s="390">
        <v>3</v>
      </c>
      <c r="H112" s="963" t="s">
        <v>1086</v>
      </c>
      <c r="I112" s="898"/>
    </row>
    <row r="113" spans="2:9" s="896" customFormat="1" ht="18" x14ac:dyDescent="0.25">
      <c r="B113" s="279" t="s">
        <v>790</v>
      </c>
      <c r="C113" s="80" t="s">
        <v>1418</v>
      </c>
      <c r="D113" s="190" t="s">
        <v>2050</v>
      </c>
      <c r="E113" s="82">
        <f>K_NHx_BIO_AS*f_KS_biofilm</f>
        <v>5.0000000000000001E-4</v>
      </c>
      <c r="F113" s="192" t="s">
        <v>791</v>
      </c>
      <c r="G113" s="87">
        <v>4</v>
      </c>
      <c r="H113" s="951" t="s">
        <v>1059</v>
      </c>
      <c r="I113" s="223" t="s">
        <v>2056</v>
      </c>
    </row>
    <row r="114" spans="2:9" s="896" customFormat="1" ht="18" x14ac:dyDescent="0.25">
      <c r="B114" s="279" t="s">
        <v>792</v>
      </c>
      <c r="C114" s="80" t="s">
        <v>1419</v>
      </c>
      <c r="D114" s="190" t="s">
        <v>1266</v>
      </c>
      <c r="E114" s="82">
        <f>K_PO4_BIO_AS</f>
        <v>2E-3</v>
      </c>
      <c r="F114" s="192" t="s">
        <v>793</v>
      </c>
      <c r="G114" s="87">
        <v>3</v>
      </c>
      <c r="H114" s="951" t="s">
        <v>1086</v>
      </c>
      <c r="I114" s="223"/>
    </row>
    <row r="115" spans="2:9" s="896" customFormat="1" ht="18" x14ac:dyDescent="0.25">
      <c r="B115" s="279" t="s">
        <v>792</v>
      </c>
      <c r="C115" s="80" t="s">
        <v>1419</v>
      </c>
      <c r="D115" s="190" t="s">
        <v>2051</v>
      </c>
      <c r="E115" s="82">
        <f>K_PO4_BIO_AS*f_KS_biofilm</f>
        <v>2.0000000000000001E-4</v>
      </c>
      <c r="F115" s="192" t="s">
        <v>1290</v>
      </c>
      <c r="G115" s="87">
        <v>4</v>
      </c>
      <c r="H115" s="951" t="s">
        <v>1059</v>
      </c>
      <c r="I115" s="223" t="s">
        <v>2056</v>
      </c>
    </row>
    <row r="116" spans="2:9" s="4" customFormat="1" ht="18" x14ac:dyDescent="0.25">
      <c r="B116" s="279" t="s">
        <v>794</v>
      </c>
      <c r="C116" s="80" t="s">
        <v>1420</v>
      </c>
      <c r="D116" s="190" t="s">
        <v>1267</v>
      </c>
      <c r="E116" s="82">
        <f>K_ALK_AS</f>
        <v>1E-3</v>
      </c>
      <c r="F116" s="292" t="s">
        <v>1291</v>
      </c>
      <c r="G116" s="82">
        <v>4</v>
      </c>
      <c r="H116" s="951" t="s">
        <v>1086</v>
      </c>
      <c r="I116" s="280"/>
    </row>
    <row r="117" spans="2:9" s="4" customFormat="1" ht="18" x14ac:dyDescent="0.25">
      <c r="B117" s="279" t="s">
        <v>794</v>
      </c>
      <c r="C117" s="80" t="s">
        <v>1420</v>
      </c>
      <c r="D117" s="190" t="s">
        <v>2052</v>
      </c>
      <c r="E117" s="82">
        <f>K_ALK_AS*f_KS_biofilm</f>
        <v>1E-4</v>
      </c>
      <c r="F117" s="292" t="s">
        <v>1291</v>
      </c>
      <c r="G117" s="82">
        <v>4</v>
      </c>
      <c r="H117" s="951" t="s">
        <v>1059</v>
      </c>
      <c r="I117" s="280" t="s">
        <v>2056</v>
      </c>
    </row>
    <row r="118" spans="2:9" s="896" customFormat="1" ht="18" x14ac:dyDescent="0.25">
      <c r="B118" s="278" t="s">
        <v>796</v>
      </c>
      <c r="C118" s="190" t="s">
        <v>1421</v>
      </c>
      <c r="D118" s="190" t="s">
        <v>1274</v>
      </c>
      <c r="E118" s="82">
        <f>K_HYD_AS</f>
        <v>0.05</v>
      </c>
      <c r="F118" s="292" t="s">
        <v>1318</v>
      </c>
      <c r="G118" s="388">
        <v>2</v>
      </c>
      <c r="H118" s="951" t="s">
        <v>1086</v>
      </c>
      <c r="I118" s="223"/>
    </row>
    <row r="119" spans="2:9" s="896" customFormat="1" ht="18" x14ac:dyDescent="0.25">
      <c r="B119" s="278" t="s">
        <v>796</v>
      </c>
      <c r="C119" s="190" t="s">
        <v>1421</v>
      </c>
      <c r="D119" s="190" t="s">
        <v>2053</v>
      </c>
      <c r="E119" s="82">
        <f>K_HYD_AS*f_KS_biofilm</f>
        <v>5.000000000000001E-3</v>
      </c>
      <c r="F119" s="292" t="s">
        <v>1318</v>
      </c>
      <c r="G119" s="388">
        <v>3</v>
      </c>
      <c r="H119" s="951" t="s">
        <v>1059</v>
      </c>
      <c r="I119" s="223" t="s">
        <v>2056</v>
      </c>
    </row>
    <row r="120" spans="2:9" s="896" customFormat="1" ht="18" x14ac:dyDescent="0.25">
      <c r="B120" s="278" t="s">
        <v>1473</v>
      </c>
      <c r="C120" s="190" t="s">
        <v>1505</v>
      </c>
      <c r="D120" s="190" t="s">
        <v>1462</v>
      </c>
      <c r="E120" s="82">
        <f>K_iNHx_ASSIM_AS</f>
        <v>5.0000000000000001E-4</v>
      </c>
      <c r="F120" s="192" t="s">
        <v>791</v>
      </c>
      <c r="G120" s="87">
        <v>4</v>
      </c>
      <c r="H120" s="951" t="s">
        <v>1086</v>
      </c>
      <c r="I120" s="223"/>
    </row>
    <row r="121" spans="2:9" s="896" customFormat="1" ht="18" x14ac:dyDescent="0.25">
      <c r="B121" s="278" t="s">
        <v>1473</v>
      </c>
      <c r="C121" s="190" t="s">
        <v>1505</v>
      </c>
      <c r="D121" s="190" t="s">
        <v>2054</v>
      </c>
      <c r="E121" s="82">
        <f>K_iNHx_ASSIM_AS*f_KS_biofilm</f>
        <v>5.0000000000000002E-5</v>
      </c>
      <c r="F121" s="192" t="s">
        <v>791</v>
      </c>
      <c r="G121" s="87">
        <v>5</v>
      </c>
      <c r="H121" s="951" t="s">
        <v>1059</v>
      </c>
      <c r="I121" s="223" t="s">
        <v>2056</v>
      </c>
    </row>
    <row r="122" spans="2:9" s="896" customFormat="1" ht="18" x14ac:dyDescent="0.25">
      <c r="B122" s="278" t="s">
        <v>1472</v>
      </c>
      <c r="C122" s="190" t="s">
        <v>1523</v>
      </c>
      <c r="D122" s="190" t="s">
        <v>1463</v>
      </c>
      <c r="E122" s="82">
        <f>K_NOx_ASSIM_AS</f>
        <v>1E-3</v>
      </c>
      <c r="F122" s="192" t="s">
        <v>791</v>
      </c>
      <c r="G122" s="87">
        <v>3</v>
      </c>
      <c r="H122" s="951" t="s">
        <v>1086</v>
      </c>
      <c r="I122" s="223"/>
    </row>
    <row r="123" spans="2:9" s="896" customFormat="1" ht="18.75" thickBot="1" x14ac:dyDescent="0.3">
      <c r="B123" s="394" t="s">
        <v>1472</v>
      </c>
      <c r="C123" s="196" t="s">
        <v>1523</v>
      </c>
      <c r="D123" s="196" t="s">
        <v>2055</v>
      </c>
      <c r="E123" s="127">
        <f>K_NOx_ASSIM_AS*f_KS_biofilm</f>
        <v>1E-4</v>
      </c>
      <c r="F123" s="198" t="s">
        <v>791</v>
      </c>
      <c r="G123" s="260">
        <v>4</v>
      </c>
      <c r="H123" s="952" t="s">
        <v>1059</v>
      </c>
      <c r="I123" s="897" t="s">
        <v>2056</v>
      </c>
    </row>
    <row r="124" spans="2:9" ht="15.75" thickBot="1" x14ac:dyDescent="0.3">
      <c r="B124" s="88"/>
      <c r="C124" s="88"/>
      <c r="D124" s="953"/>
      <c r="E124" s="89"/>
      <c r="F124" s="90"/>
      <c r="G124" s="90"/>
      <c r="H124" s="681"/>
      <c r="I124" s="894"/>
    </row>
    <row r="125" spans="2:9" ht="15.75" thickBot="1" x14ac:dyDescent="0.3">
      <c r="C125" s="214" t="s">
        <v>826</v>
      </c>
      <c r="D125" s="463" t="s">
        <v>310</v>
      </c>
      <c r="E125" s="207"/>
      <c r="H125" s="465"/>
      <c r="I125" s="3"/>
    </row>
    <row r="126" spans="2:9" ht="15.75" thickBot="1" x14ac:dyDescent="0.3">
      <c r="B126" s="430" t="s">
        <v>0</v>
      </c>
      <c r="C126" s="419" t="s">
        <v>1</v>
      </c>
      <c r="D126" s="990" t="s">
        <v>4</v>
      </c>
      <c r="E126" s="431" t="s">
        <v>149</v>
      </c>
      <c r="F126" s="431" t="s">
        <v>2</v>
      </c>
      <c r="G126" s="431" t="s">
        <v>309</v>
      </c>
      <c r="H126" s="964" t="s">
        <v>113</v>
      </c>
      <c r="I126" s="432" t="s">
        <v>114</v>
      </c>
    </row>
    <row r="127" spans="2:9" ht="18" x14ac:dyDescent="0.25">
      <c r="B127" s="765" t="s">
        <v>827</v>
      </c>
      <c r="C127" s="899" t="s">
        <v>1422</v>
      </c>
      <c r="D127" s="414" t="s">
        <v>828</v>
      </c>
      <c r="E127" s="405">
        <f>(MAX((S_B)-S_umo__MSatMin,0)/((K_SB)+(S_B)))</f>
        <v>0.5</v>
      </c>
      <c r="F127" s="405" t="s">
        <v>258</v>
      </c>
      <c r="G127" s="405">
        <v>2</v>
      </c>
      <c r="H127" s="415"/>
      <c r="I127" s="406"/>
    </row>
    <row r="128" spans="2:9" ht="18" x14ac:dyDescent="0.25">
      <c r="B128" s="279" t="s">
        <v>829</v>
      </c>
      <c r="C128" s="900" t="s">
        <v>1423</v>
      </c>
      <c r="D128" s="951" t="s">
        <v>830</v>
      </c>
      <c r="E128" s="84">
        <f>(MAX((S_O2)-S_umo__MSatMin,0)/((K_O2_OHO)+(S_O2)))</f>
        <v>0.93023255813953487</v>
      </c>
      <c r="F128" s="81" t="s">
        <v>258</v>
      </c>
      <c r="G128" s="81">
        <v>2</v>
      </c>
      <c r="H128" s="470"/>
      <c r="I128" s="889"/>
    </row>
    <row r="129" spans="2:9" ht="18" x14ac:dyDescent="0.25">
      <c r="B129" s="279" t="s">
        <v>831</v>
      </c>
      <c r="C129" s="900" t="s">
        <v>1424</v>
      </c>
      <c r="D129" s="951" t="s">
        <v>832</v>
      </c>
      <c r="E129" s="84">
        <f>(MAX((S_NHx)-S_umo__MSatMin,0)/((K_NHx_BIO)+(S_NHx)))</f>
        <v>0.99833610648918469</v>
      </c>
      <c r="F129" s="81" t="s">
        <v>258</v>
      </c>
      <c r="G129" s="81">
        <v>2</v>
      </c>
      <c r="H129" s="470"/>
      <c r="I129" s="889"/>
    </row>
    <row r="130" spans="2:9" ht="18" x14ac:dyDescent="0.25">
      <c r="B130" s="279" t="s">
        <v>833</v>
      </c>
      <c r="C130" s="900" t="s">
        <v>1425</v>
      </c>
      <c r="D130" s="951" t="s">
        <v>834</v>
      </c>
      <c r="E130" s="84">
        <f>(MAX((S_PO4)-S_umo__MSatMin,0)/((K_PO4_BIO)+(S_PO4)))</f>
        <v>0.99800399201596801</v>
      </c>
      <c r="F130" s="81" t="s">
        <v>258</v>
      </c>
      <c r="G130" s="81">
        <v>2</v>
      </c>
      <c r="H130" s="470"/>
      <c r="I130" s="889"/>
    </row>
    <row r="131" spans="2:9" ht="18" x14ac:dyDescent="0.25">
      <c r="B131" s="279" t="s">
        <v>1474</v>
      </c>
      <c r="C131" s="900" t="s">
        <v>1426</v>
      </c>
      <c r="D131" s="951" t="s">
        <v>1475</v>
      </c>
      <c r="E131" s="84">
        <f>(MAX((S_NOx)-S_umo__MSatMin,0)/((K_NOx_OHO)+(S_NOx)))</f>
        <v>0.99800399201596812</v>
      </c>
      <c r="F131" s="81" t="s">
        <v>258</v>
      </c>
      <c r="G131" s="81">
        <v>2</v>
      </c>
      <c r="H131" s="470"/>
      <c r="I131" s="889"/>
    </row>
    <row r="132" spans="2:9" ht="18" x14ac:dyDescent="0.25">
      <c r="B132" s="279" t="s">
        <v>835</v>
      </c>
      <c r="C132" s="900" t="s">
        <v>1427</v>
      </c>
      <c r="D132" s="951" t="s">
        <v>836</v>
      </c>
      <c r="E132" s="84">
        <f>(MAX((S_ALK)-S_umo__MSatMin,0)/((K_ALK)+(S_ALK)))</f>
        <v>0.75</v>
      </c>
      <c r="F132" s="81" t="s">
        <v>258</v>
      </c>
      <c r="G132" s="81">
        <v>2</v>
      </c>
      <c r="H132" s="470"/>
      <c r="I132" s="889"/>
    </row>
    <row r="133" spans="2:9" ht="18" x14ac:dyDescent="0.25">
      <c r="B133" s="279" t="s">
        <v>837</v>
      </c>
      <c r="C133" s="900" t="s">
        <v>1428</v>
      </c>
      <c r="D133" s="951" t="s">
        <v>838</v>
      </c>
      <c r="E133" s="84">
        <f>(MAX((S_O2)-S_umo__MSatMin,0)/((K_O2_NITO)+(S_O2)))</f>
        <v>0.8</v>
      </c>
      <c r="F133" s="81" t="s">
        <v>258</v>
      </c>
      <c r="G133" s="81">
        <v>2</v>
      </c>
      <c r="H133" s="470"/>
      <c r="I133" s="889"/>
    </row>
    <row r="134" spans="2:9" ht="18" x14ac:dyDescent="0.25">
      <c r="B134" s="279" t="s">
        <v>844</v>
      </c>
      <c r="C134" s="900" t="s">
        <v>1429</v>
      </c>
      <c r="D134" s="190" t="s">
        <v>845</v>
      </c>
      <c r="E134" s="84">
        <f>(MAX((S_NHx)-S_umo__MSatMin,0)/((K_NHx_NITO)+(S_NHx)))</f>
        <v>0.81081081081081074</v>
      </c>
      <c r="F134" s="81" t="s">
        <v>258</v>
      </c>
      <c r="G134" s="81">
        <v>2</v>
      </c>
      <c r="H134" s="470"/>
      <c r="I134" s="889"/>
    </row>
    <row r="135" spans="2:9" ht="18" x14ac:dyDescent="0.25">
      <c r="B135" s="279" t="s">
        <v>1476</v>
      </c>
      <c r="C135" s="900" t="s">
        <v>1430</v>
      </c>
      <c r="D135" s="951" t="s">
        <v>1477</v>
      </c>
      <c r="E135" s="84">
        <f>(MAX((S_NOx)-S_umo__MSatMin,0)/((K_NOx_NITO)+(S_NOx)))</f>
        <v>0.99800399201596812</v>
      </c>
      <c r="F135" s="81" t="s">
        <v>258</v>
      </c>
      <c r="G135" s="81">
        <v>2</v>
      </c>
      <c r="H135" s="470"/>
      <c r="I135" s="889"/>
    </row>
    <row r="136" spans="2:9" ht="18" x14ac:dyDescent="0.25">
      <c r="B136" s="279" t="s">
        <v>847</v>
      </c>
      <c r="C136" s="900" t="s">
        <v>1431</v>
      </c>
      <c r="D136" s="951" t="s">
        <v>848</v>
      </c>
      <c r="E136" s="84">
        <f>(MAX((S_B)-S_umo__MSatMin,0)/((K_VFA_AMETO)+(S_B)))</f>
        <v>1.2345679012345678E-2</v>
      </c>
      <c r="F136" s="81" t="s">
        <v>258</v>
      </c>
      <c r="G136" s="81">
        <v>2</v>
      </c>
      <c r="H136" s="470"/>
      <c r="I136" s="889"/>
    </row>
    <row r="137" spans="2:9" ht="18" x14ac:dyDescent="0.25">
      <c r="B137" s="279" t="s">
        <v>2078</v>
      </c>
      <c r="C137" s="900" t="s">
        <v>1432</v>
      </c>
      <c r="D137" s="951" t="s">
        <v>2074</v>
      </c>
      <c r="E137" s="84">
        <f>(MAX((S_O2)-S_umo__MSatMin,0)/((K_iO2_AMETO)+(S_O2)))</f>
        <v>0.97560975609756106</v>
      </c>
      <c r="F137" s="81" t="s">
        <v>258</v>
      </c>
      <c r="G137" s="81">
        <v>2</v>
      </c>
      <c r="H137" s="470"/>
      <c r="I137" s="889"/>
    </row>
    <row r="138" spans="2:9" ht="18" x14ac:dyDescent="0.25">
      <c r="B138" s="279" t="s">
        <v>1478</v>
      </c>
      <c r="C138" s="900" t="s">
        <v>1433</v>
      </c>
      <c r="D138" s="951" t="s">
        <v>1479</v>
      </c>
      <c r="E138" s="84">
        <f>(MAX((S_NOx)-S_umo__MSatMin,0)/((K_NOx_AMETO)+(S_NOx)))</f>
        <v>0.99667774086378735</v>
      </c>
      <c r="F138" s="81" t="s">
        <v>258</v>
      </c>
      <c r="G138" s="81">
        <v>2</v>
      </c>
      <c r="H138" s="470"/>
      <c r="I138" s="889"/>
    </row>
    <row r="139" spans="2:9" ht="18" x14ac:dyDescent="0.25">
      <c r="B139" s="279" t="s">
        <v>849</v>
      </c>
      <c r="C139" s="900" t="s">
        <v>1434</v>
      </c>
      <c r="D139" s="951" t="s">
        <v>850</v>
      </c>
      <c r="E139" s="84">
        <f>(MAX((S_H2)-S_umo__MSatMin,0)/((K_H2_HMETO)+(S_H2)))</f>
        <v>0.90909090909090906</v>
      </c>
      <c r="F139" s="81" t="s">
        <v>258</v>
      </c>
      <c r="G139" s="81">
        <v>2</v>
      </c>
      <c r="H139" s="470"/>
      <c r="I139" s="889"/>
    </row>
    <row r="140" spans="2:9" ht="18" x14ac:dyDescent="0.25">
      <c r="B140" s="279" t="s">
        <v>2079</v>
      </c>
      <c r="C140" s="900" t="s">
        <v>1435</v>
      </c>
      <c r="D140" s="951" t="s">
        <v>2075</v>
      </c>
      <c r="E140" s="84">
        <f>(MAX((S_O2)-S_umo__MSatMin,0)/((K_iO2_HMETO)+(S_O2)))</f>
        <v>0.97560975609756106</v>
      </c>
      <c r="F140" s="81" t="s">
        <v>258</v>
      </c>
      <c r="G140" s="81">
        <v>2</v>
      </c>
      <c r="H140" s="470"/>
      <c r="I140" s="889"/>
    </row>
    <row r="141" spans="2:9" ht="18" x14ac:dyDescent="0.25">
      <c r="B141" s="279" t="s">
        <v>1480</v>
      </c>
      <c r="C141" s="900" t="s">
        <v>1436</v>
      </c>
      <c r="D141" s="951" t="s">
        <v>1481</v>
      </c>
      <c r="E141" s="84">
        <f>(MAX((S_NOx)-S_umo__MSatMin,0)/((K_NOx_HMETO)+(S_NOx)))</f>
        <v>0.99667774086378735</v>
      </c>
      <c r="F141" s="81" t="s">
        <v>258</v>
      </c>
      <c r="G141" s="81">
        <v>2</v>
      </c>
      <c r="H141" s="470"/>
      <c r="I141" s="889"/>
    </row>
    <row r="142" spans="2:9" ht="18" x14ac:dyDescent="0.25">
      <c r="B142" s="279" t="s">
        <v>1482</v>
      </c>
      <c r="C142" s="4" t="s">
        <v>1501</v>
      </c>
      <c r="D142" s="951" t="s">
        <v>1483</v>
      </c>
      <c r="E142" s="84">
        <f>(MAX((S_NOx)-S_umo__MSatMin,0)/((K_NOx_ASSIM)+(S_NOx)))</f>
        <v>0.9999333377774815</v>
      </c>
      <c r="F142" s="81" t="s">
        <v>258</v>
      </c>
      <c r="G142" s="81">
        <v>2</v>
      </c>
      <c r="H142" s="470"/>
      <c r="I142" s="889"/>
    </row>
    <row r="143" spans="2:9" ht="18" x14ac:dyDescent="0.25">
      <c r="B143" s="279" t="s">
        <v>2666</v>
      </c>
      <c r="C143" s="900" t="s">
        <v>1437</v>
      </c>
      <c r="D143" s="951" t="s">
        <v>2667</v>
      </c>
      <c r="E143" s="84">
        <f>(((X_B)/(X_HET))/((X_B)/(X_HET)+(K_HYD)))</f>
        <v>0.625</v>
      </c>
      <c r="F143" s="81" t="s">
        <v>258</v>
      </c>
      <c r="G143" s="81">
        <v>2</v>
      </c>
      <c r="H143" s="470"/>
      <c r="I143" s="889"/>
    </row>
    <row r="144" spans="2:9" ht="18" x14ac:dyDescent="0.25">
      <c r="B144" s="279" t="s">
        <v>2737</v>
      </c>
      <c r="C144" s="1026" t="s">
        <v>2738</v>
      </c>
      <c r="D144" s="980" t="s">
        <v>2739</v>
      </c>
      <c r="E144" s="1025">
        <f>(MAX((X_B)-S_umo__MSatMin,0)/((K_XB_HYD)+(X_B)))</f>
        <v>9.0909090909090912E-2</v>
      </c>
      <c r="F144" s="668" t="s">
        <v>258</v>
      </c>
      <c r="G144" s="668">
        <v>2</v>
      </c>
      <c r="H144" s="669"/>
      <c r="I144" s="889"/>
    </row>
    <row r="145" spans="2:9" ht="18" x14ac:dyDescent="0.25">
      <c r="B145" s="279" t="s">
        <v>2740</v>
      </c>
      <c r="C145" s="1026" t="s">
        <v>2759</v>
      </c>
      <c r="D145" s="980" t="s">
        <v>2741</v>
      </c>
      <c r="E145" s="1025">
        <f>((-1)*(2/((X_HET_HYD_lim)*(L_ograngeXHET_HYD_lim)))*LN((1/19)*(1+(1/2)*((X_HET_HYD_lim)*(L_ograngeXHET_HYD_lim)/(X_HET_HYD_lim)))))</f>
        <v>0.11582595259988035</v>
      </c>
      <c r="F145" s="668" t="s">
        <v>799</v>
      </c>
      <c r="G145" s="668">
        <v>1</v>
      </c>
      <c r="H145" s="669"/>
      <c r="I145" s="889" t="s">
        <v>2742</v>
      </c>
    </row>
    <row r="146" spans="2:9" ht="18" x14ac:dyDescent="0.25">
      <c r="B146" s="279" t="s">
        <v>2743</v>
      </c>
      <c r="C146" s="1026" t="s">
        <v>2744</v>
      </c>
      <c r="D146" s="980" t="s">
        <v>2745</v>
      </c>
      <c r="E146" s="1025">
        <f>((X_HET)/((X_HET)+(X_HET_HYD_lim)*EXP(((X_HET_HYD_lim)-(X_HET))*(L_ogslopeXHET_HYD_lim))))</f>
        <v>0.99999222754581296</v>
      </c>
      <c r="F146" s="668" t="s">
        <v>258</v>
      </c>
      <c r="G146" s="668">
        <v>2</v>
      </c>
      <c r="H146" s="669"/>
      <c r="I146" s="889"/>
    </row>
    <row r="147" spans="2:9" ht="18" x14ac:dyDescent="0.25">
      <c r="B147" s="279" t="s">
        <v>2746</v>
      </c>
      <c r="C147" s="1026" t="s">
        <v>2747</v>
      </c>
      <c r="D147" s="980" t="s">
        <v>2748</v>
      </c>
      <c r="E147" s="1025">
        <f>(1-(X_HET)/((X_HET)+(X_HET_HYD_lim)*EXP(((X_HET_HYD_lim)-(X_HET))*(L_ogslopeXHET_HYD_lim))))</f>
        <v>7.7724541870383135E-6</v>
      </c>
      <c r="F147" s="668" t="s">
        <v>258</v>
      </c>
      <c r="G147" s="668">
        <v>2</v>
      </c>
      <c r="H147" s="669"/>
      <c r="I147" s="889"/>
    </row>
    <row r="148" spans="2:9" ht="18" x14ac:dyDescent="0.25">
      <c r="B148" s="279" t="s">
        <v>1499</v>
      </c>
      <c r="C148" s="900" t="s">
        <v>1500</v>
      </c>
      <c r="D148" s="951" t="s">
        <v>1492</v>
      </c>
      <c r="E148" s="84">
        <f>((K_iNHx_ASSIM)/((K_iNHx_ASSIM)+(S_NHx)))</f>
        <v>1.6663889351774703E-4</v>
      </c>
      <c r="F148" s="81" t="s">
        <v>258</v>
      </c>
      <c r="G148" s="81">
        <v>2</v>
      </c>
      <c r="H148" s="470"/>
      <c r="I148" s="889"/>
    </row>
    <row r="149" spans="2:9" ht="18" x14ac:dyDescent="0.25">
      <c r="B149" s="279" t="s">
        <v>1484</v>
      </c>
      <c r="C149" s="900" t="s">
        <v>1438</v>
      </c>
      <c r="D149" s="951" t="s">
        <v>1485</v>
      </c>
      <c r="E149" s="84">
        <f>((K_NOx_NITO)/((K_NOx_NITO)+(S_NOx)))</f>
        <v>1.996007984031936E-3</v>
      </c>
      <c r="F149" s="81" t="s">
        <v>258</v>
      </c>
      <c r="G149" s="81">
        <v>2</v>
      </c>
      <c r="H149" s="470"/>
      <c r="I149" s="889"/>
    </row>
    <row r="150" spans="2:9" ht="18" x14ac:dyDescent="0.25">
      <c r="B150" s="279" t="s">
        <v>839</v>
      </c>
      <c r="C150" s="900" t="s">
        <v>1439</v>
      </c>
      <c r="D150" s="951" t="s">
        <v>840</v>
      </c>
      <c r="E150" s="84">
        <f>((K_O2_OHO)/((K_O2_OHO)+(S_O2)))</f>
        <v>6.9767441860465115E-2</v>
      </c>
      <c r="F150" s="81" t="s">
        <v>258</v>
      </c>
      <c r="G150" s="81">
        <v>2</v>
      </c>
      <c r="H150" s="470"/>
      <c r="I150" s="889"/>
    </row>
    <row r="151" spans="2:9" ht="18" x14ac:dyDescent="0.25">
      <c r="B151" s="279" t="s">
        <v>1486</v>
      </c>
      <c r="C151" s="900" t="s">
        <v>1440</v>
      </c>
      <c r="D151" s="951" t="s">
        <v>1487</v>
      </c>
      <c r="E151" s="84">
        <f>((K_NOx_OHO)/((K_NOx_OHO)+(S_NOx)))</f>
        <v>1.996007984031936E-3</v>
      </c>
      <c r="F151" s="81" t="s">
        <v>258</v>
      </c>
      <c r="G151" s="81">
        <v>2</v>
      </c>
      <c r="H151" s="470"/>
      <c r="I151" s="889"/>
    </row>
    <row r="152" spans="2:9" ht="18" x14ac:dyDescent="0.25">
      <c r="B152" s="279" t="s">
        <v>841</v>
      </c>
      <c r="C152" s="900" t="s">
        <v>1441</v>
      </c>
      <c r="D152" s="951" t="s">
        <v>842</v>
      </c>
      <c r="E152" s="84">
        <f>((K_O2_NITO)/((K_O2_NITO)+(S_O2)))</f>
        <v>0.2</v>
      </c>
      <c r="F152" s="81" t="s">
        <v>258</v>
      </c>
      <c r="G152" s="81">
        <v>2</v>
      </c>
      <c r="H152" s="470"/>
      <c r="I152" s="889"/>
    </row>
    <row r="153" spans="2:9" ht="18" x14ac:dyDescent="0.25">
      <c r="B153" s="279" t="s">
        <v>2076</v>
      </c>
      <c r="C153" s="900" t="s">
        <v>1442</v>
      </c>
      <c r="D153" s="951" t="s">
        <v>2072</v>
      </c>
      <c r="E153" s="84">
        <f>((K_iO2_AMETO)/((K_iO2_AMETO)+(S_O2)))</f>
        <v>2.4390243902439029E-2</v>
      </c>
      <c r="F153" s="81" t="s">
        <v>258</v>
      </c>
      <c r="G153" s="81">
        <v>2</v>
      </c>
      <c r="H153" s="470"/>
      <c r="I153" s="889"/>
    </row>
    <row r="154" spans="2:9" ht="18" x14ac:dyDescent="0.25">
      <c r="B154" s="279" t="s">
        <v>1489</v>
      </c>
      <c r="C154" s="900" t="s">
        <v>1443</v>
      </c>
      <c r="D154" s="951" t="s">
        <v>1488</v>
      </c>
      <c r="E154" s="84">
        <f>((K_NOx_AMETO)/((K_NOx_AMETO)+(S_NOx)))</f>
        <v>3.3222591362126247E-3</v>
      </c>
      <c r="F154" s="81" t="s">
        <v>258</v>
      </c>
      <c r="G154" s="81">
        <v>2</v>
      </c>
      <c r="H154" s="470"/>
      <c r="I154" s="889"/>
    </row>
    <row r="155" spans="2:9" ht="18" x14ac:dyDescent="0.25">
      <c r="B155" s="279" t="s">
        <v>2077</v>
      </c>
      <c r="C155" s="900" t="s">
        <v>1444</v>
      </c>
      <c r="D155" s="951" t="s">
        <v>2073</v>
      </c>
      <c r="E155" s="84">
        <f>((K_iO2_HMETO)/((K_iO2_HMETO)+(S_O2)))</f>
        <v>2.4390243902439029E-2</v>
      </c>
      <c r="F155" s="81" t="s">
        <v>258</v>
      </c>
      <c r="G155" s="81">
        <v>2</v>
      </c>
      <c r="H155" s="470"/>
      <c r="I155" s="889"/>
    </row>
    <row r="156" spans="2:9" ht="18" x14ac:dyDescent="0.25">
      <c r="B156" s="279" t="s">
        <v>1490</v>
      </c>
      <c r="C156" s="900" t="s">
        <v>1445</v>
      </c>
      <c r="D156" s="951" t="s">
        <v>1491</v>
      </c>
      <c r="E156" s="84">
        <f>((K_NOx_HMETO)/((K_NOx_HMETO)+(S_NOx)))</f>
        <v>3.3222591362126247E-3</v>
      </c>
      <c r="F156" s="81" t="s">
        <v>258</v>
      </c>
      <c r="G156" s="81">
        <v>2</v>
      </c>
      <c r="H156" s="470"/>
      <c r="I156" s="889"/>
    </row>
    <row r="157" spans="2:9" s="109" customFormat="1" ht="18" x14ac:dyDescent="0.25">
      <c r="B157" s="843" t="s">
        <v>2375</v>
      </c>
      <c r="C157" s="844" t="s">
        <v>2660</v>
      </c>
      <c r="D157" s="844" t="s">
        <v>2376</v>
      </c>
      <c r="E157" s="881">
        <f>(MAX((S_NOx)-S_umo__MSatMin,0)/((K_NOx_ALGAE)+(S_NOx)))</f>
        <v>0.967741935483871</v>
      </c>
      <c r="F157" s="881" t="s">
        <v>258</v>
      </c>
      <c r="G157" s="881">
        <v>2</v>
      </c>
      <c r="H157" s="808"/>
      <c r="I157" s="845"/>
    </row>
    <row r="158" spans="2:9" s="109" customFormat="1" ht="18" x14ac:dyDescent="0.25">
      <c r="B158" s="843" t="s">
        <v>2377</v>
      </c>
      <c r="C158" s="844" t="s">
        <v>2378</v>
      </c>
      <c r="D158" s="844" t="s">
        <v>2379</v>
      </c>
      <c r="E158" s="881">
        <f>(MAX((S_O2)-S_umo__MSatMin,0)/((K_O2_ALGAE)+(S_O2)))</f>
        <v>0.97560975609756106</v>
      </c>
      <c r="F158" s="881" t="s">
        <v>258</v>
      </c>
      <c r="G158" s="881">
        <v>2</v>
      </c>
      <c r="H158" s="808"/>
      <c r="I158" s="845"/>
    </row>
    <row r="159" spans="2:9" s="109" customFormat="1" ht="18" x14ac:dyDescent="0.25">
      <c r="B159" s="843" t="s">
        <v>2380</v>
      </c>
      <c r="C159" s="844" t="s">
        <v>2381</v>
      </c>
      <c r="D159" s="844" t="s">
        <v>2382</v>
      </c>
      <c r="E159" s="881">
        <f>((K_O2_ALGAE)/((K_O2_ALGAE)+(S_O2)))</f>
        <v>2.4390243902439029E-2</v>
      </c>
      <c r="F159" s="881" t="s">
        <v>258</v>
      </c>
      <c r="G159" s="881">
        <v>2</v>
      </c>
      <c r="H159" s="808"/>
      <c r="I159" s="845"/>
    </row>
    <row r="160" spans="2:9" s="109" customFormat="1" ht="18" x14ac:dyDescent="0.25">
      <c r="B160" s="843" t="s">
        <v>2650</v>
      </c>
      <c r="C160" s="844" t="s">
        <v>2661</v>
      </c>
      <c r="D160" s="844" t="s">
        <v>2651</v>
      </c>
      <c r="E160" s="881">
        <f>(MAX((S_NHx)-S_umo__MSatMin,0)/((K_NHx_ALGAE)+(S_NHx)))</f>
        <v>0.81081081081081074</v>
      </c>
      <c r="F160" s="881" t="s">
        <v>258</v>
      </c>
      <c r="G160" s="881">
        <v>2</v>
      </c>
      <c r="H160" s="808"/>
      <c r="I160" s="845"/>
    </row>
    <row r="161" spans="2:9" s="109" customFormat="1" ht="18" x14ac:dyDescent="0.25">
      <c r="B161" s="843" t="s">
        <v>2383</v>
      </c>
      <c r="C161" s="844" t="s">
        <v>2384</v>
      </c>
      <c r="D161" s="844" t="s">
        <v>2385</v>
      </c>
      <c r="E161" s="881">
        <f>((K_iNHx_ALGAE)/((K_iNHx_ALGAE)+(S_NHx)))</f>
        <v>0.14285714285714285</v>
      </c>
      <c r="F161" s="881" t="s">
        <v>258</v>
      </c>
      <c r="G161" s="881">
        <v>2</v>
      </c>
      <c r="H161" s="808"/>
      <c r="I161" s="845"/>
    </row>
    <row r="162" spans="2:9" ht="18.75" collapsed="1" thickBot="1" x14ac:dyDescent="0.3">
      <c r="B162" s="380" t="s">
        <v>2318</v>
      </c>
      <c r="C162" s="901" t="s">
        <v>2319</v>
      </c>
      <c r="D162" s="952" t="s">
        <v>2320</v>
      </c>
      <c r="E162" s="129">
        <f>(MAX((X_U)-S_umo__MSatMin,0)/((K_XU)+(X_U)))</f>
        <v>0.9859154929577465</v>
      </c>
      <c r="F162" s="99" t="s">
        <v>258</v>
      </c>
      <c r="G162" s="99">
        <v>2</v>
      </c>
      <c r="H162" s="955"/>
      <c r="I162" s="902"/>
    </row>
    <row r="163" spans="2:9" ht="15.75" thickBot="1" x14ac:dyDescent="0.3">
      <c r="B163" s="88"/>
      <c r="C163" s="88"/>
      <c r="D163" s="991"/>
      <c r="E163" s="89"/>
      <c r="F163" s="90"/>
      <c r="G163" s="90"/>
      <c r="H163" s="681"/>
    </row>
    <row r="164" spans="2:9" ht="15.75" thickBot="1" x14ac:dyDescent="0.3">
      <c r="C164" s="283" t="s">
        <v>326</v>
      </c>
      <c r="D164" s="979" t="s">
        <v>325</v>
      </c>
      <c r="E164" s="60"/>
      <c r="H164" s="465"/>
      <c r="I164" s="3"/>
    </row>
    <row r="165" spans="2:9" ht="15.75" thickBot="1" x14ac:dyDescent="0.3">
      <c r="B165" s="225" t="s">
        <v>0</v>
      </c>
      <c r="C165" s="226" t="s">
        <v>1</v>
      </c>
      <c r="D165" s="960" t="s">
        <v>4</v>
      </c>
      <c r="E165" s="257" t="s">
        <v>149</v>
      </c>
      <c r="F165" s="256" t="s">
        <v>2</v>
      </c>
      <c r="G165" s="256" t="s">
        <v>309</v>
      </c>
      <c r="H165" s="959" t="s">
        <v>113</v>
      </c>
      <c r="I165" s="258" t="s">
        <v>114</v>
      </c>
    </row>
    <row r="166" spans="2:9" s="903" customFormat="1" ht="18" x14ac:dyDescent="0.25">
      <c r="B166" s="382" t="s">
        <v>1292</v>
      </c>
      <c r="C166" s="383" t="s">
        <v>1293</v>
      </c>
      <c r="D166" s="992" t="s">
        <v>1294</v>
      </c>
      <c r="E166" s="384">
        <f>-1/A_MN/1000</f>
        <v>-7.1394404106606116E-5</v>
      </c>
      <c r="F166" s="384" t="s">
        <v>1295</v>
      </c>
      <c r="G166" s="384">
        <v>4</v>
      </c>
      <c r="H166" s="372"/>
      <c r="I166" s="385"/>
    </row>
    <row r="167" spans="2:9" s="903" customFormat="1" ht="18" x14ac:dyDescent="0.25">
      <c r="B167" s="279" t="s">
        <v>1296</v>
      </c>
      <c r="C167" s="80" t="s">
        <v>354</v>
      </c>
      <c r="D167" s="190" t="s">
        <v>1297</v>
      </c>
      <c r="E167" s="82">
        <f>1/A_MN/1000</f>
        <v>7.1394404106606116E-5</v>
      </c>
      <c r="F167" s="115" t="s">
        <v>1295</v>
      </c>
      <c r="G167" s="82">
        <v>4</v>
      </c>
      <c r="H167" s="192"/>
      <c r="I167" s="116"/>
    </row>
    <row r="168" spans="2:9" s="903" customFormat="1" ht="18.75" thickBot="1" x14ac:dyDescent="0.3">
      <c r="B168" s="380" t="s">
        <v>1298</v>
      </c>
      <c r="C168" s="264" t="s">
        <v>1299</v>
      </c>
      <c r="D168" s="993" t="s">
        <v>1300</v>
      </c>
      <c r="E168" s="127">
        <f>-1.5/A_MP/1000</f>
        <v>-4.8428085368331522E-5</v>
      </c>
      <c r="F168" s="386" t="s">
        <v>1295</v>
      </c>
      <c r="G168" s="127">
        <v>4</v>
      </c>
      <c r="H168" s="198"/>
      <c r="I168" s="381"/>
    </row>
    <row r="169" spans="2:9" ht="15.75" thickBot="1" x14ac:dyDescent="0.3">
      <c r="E169" s="78"/>
      <c r="G169" s="79"/>
      <c r="H169" s="465"/>
    </row>
    <row r="170" spans="2:9" ht="15.75" thickBot="1" x14ac:dyDescent="0.3">
      <c r="C170" s="366" t="s">
        <v>1303</v>
      </c>
      <c r="D170" s="463" t="s">
        <v>310</v>
      </c>
      <c r="E170" s="62"/>
      <c r="H170" s="465"/>
      <c r="I170" s="4"/>
    </row>
    <row r="171" spans="2:9" ht="15.75" thickBot="1" x14ac:dyDescent="0.3">
      <c r="B171" s="395" t="s">
        <v>0</v>
      </c>
      <c r="C171" s="396" t="s">
        <v>1</v>
      </c>
      <c r="D171" s="994" t="s">
        <v>4</v>
      </c>
      <c r="E171" s="397" t="s">
        <v>149</v>
      </c>
      <c r="F171" s="398" t="s">
        <v>2</v>
      </c>
      <c r="G171" s="398" t="s">
        <v>309</v>
      </c>
      <c r="H171" s="965" t="s">
        <v>113</v>
      </c>
      <c r="I171" s="399" t="s">
        <v>114</v>
      </c>
    </row>
    <row r="172" spans="2:9" ht="18" x14ac:dyDescent="0.25">
      <c r="B172" s="904" t="s">
        <v>276</v>
      </c>
      <c r="C172" s="905" t="s">
        <v>1446</v>
      </c>
      <c r="D172" s="966" t="s">
        <v>851</v>
      </c>
      <c r="E172" s="906">
        <f>µ_OHO*((θ_µ_OHO)^((T__)-(T_base)))</f>
        <v>4</v>
      </c>
      <c r="F172" s="906" t="s">
        <v>254</v>
      </c>
      <c r="G172" s="906">
        <v>2</v>
      </c>
      <c r="H172" s="966"/>
      <c r="I172" s="907"/>
    </row>
    <row r="173" spans="2:9" ht="18" x14ac:dyDescent="0.25">
      <c r="B173" s="908" t="s">
        <v>277</v>
      </c>
      <c r="C173" s="909" t="s">
        <v>1447</v>
      </c>
      <c r="D173" s="967" t="s">
        <v>852</v>
      </c>
      <c r="E173" s="910">
        <f>µ_FERM_OHO*((θ_FERM_OHO)^((T__)-(T_base)))</f>
        <v>0.4</v>
      </c>
      <c r="F173" s="910" t="s">
        <v>254</v>
      </c>
      <c r="G173" s="910">
        <v>2</v>
      </c>
      <c r="H173" s="967"/>
      <c r="I173" s="911"/>
    </row>
    <row r="174" spans="2:9" ht="18" x14ac:dyDescent="0.25">
      <c r="B174" s="908" t="s">
        <v>291</v>
      </c>
      <c r="C174" s="909" t="s">
        <v>1448</v>
      </c>
      <c r="D174" s="967" t="s">
        <v>853</v>
      </c>
      <c r="E174" s="910">
        <f>b_OHO*((θ_b_OHO)^((T__)-(T_base)))</f>
        <v>0.62</v>
      </c>
      <c r="F174" s="910" t="s">
        <v>254</v>
      </c>
      <c r="G174" s="910">
        <v>2</v>
      </c>
      <c r="H174" s="967"/>
      <c r="I174" s="911"/>
    </row>
    <row r="175" spans="2:9" ht="18" x14ac:dyDescent="0.25">
      <c r="B175" s="912" t="s">
        <v>292</v>
      </c>
      <c r="C175" s="913" t="s">
        <v>1449</v>
      </c>
      <c r="D175" s="968" t="s">
        <v>854</v>
      </c>
      <c r="E175" s="914">
        <f>µ_NITO*((θ_µ_NITO)^((T__)-(T_base)))</f>
        <v>0.9</v>
      </c>
      <c r="F175" s="914" t="s">
        <v>254</v>
      </c>
      <c r="G175" s="914">
        <v>2</v>
      </c>
      <c r="H175" s="968"/>
      <c r="I175" s="915"/>
    </row>
    <row r="176" spans="2:9" ht="18" x14ac:dyDescent="0.25">
      <c r="B176" s="912" t="s">
        <v>293</v>
      </c>
      <c r="C176" s="913" t="s">
        <v>1450</v>
      </c>
      <c r="D176" s="968" t="s">
        <v>855</v>
      </c>
      <c r="E176" s="914">
        <f>b_NITO*((θ_b_NITO)^((T__)-(T_base)))</f>
        <v>0.17</v>
      </c>
      <c r="F176" s="914" t="s">
        <v>254</v>
      </c>
      <c r="G176" s="914">
        <v>2</v>
      </c>
      <c r="H176" s="968"/>
      <c r="I176" s="915"/>
    </row>
    <row r="177" spans="2:9" ht="18" x14ac:dyDescent="0.25">
      <c r="B177" s="916" t="s">
        <v>315</v>
      </c>
      <c r="C177" s="917" t="s">
        <v>1451</v>
      </c>
      <c r="D177" s="969" t="s">
        <v>856</v>
      </c>
      <c r="E177" s="918">
        <f>µ_AMETO*((θ_µ_AMETO)^((T__)-(T_base)))</f>
        <v>0.3</v>
      </c>
      <c r="F177" s="918" t="s">
        <v>254</v>
      </c>
      <c r="G177" s="918">
        <v>2</v>
      </c>
      <c r="H177" s="969"/>
      <c r="I177" s="919"/>
    </row>
    <row r="178" spans="2:9" ht="18" x14ac:dyDescent="0.25">
      <c r="B178" s="916" t="s">
        <v>316</v>
      </c>
      <c r="C178" s="917" t="s">
        <v>1452</v>
      </c>
      <c r="D178" s="969" t="s">
        <v>857</v>
      </c>
      <c r="E178" s="918">
        <f>b_AMETO*((θ_b_AMETO)^((T__)-(T_base)))</f>
        <v>0.1</v>
      </c>
      <c r="F178" s="918" t="s">
        <v>254</v>
      </c>
      <c r="G178" s="918">
        <v>2</v>
      </c>
      <c r="H178" s="969"/>
      <c r="I178" s="919"/>
    </row>
    <row r="179" spans="2:9" ht="18" x14ac:dyDescent="0.25">
      <c r="B179" s="916" t="s">
        <v>313</v>
      </c>
      <c r="C179" s="917" t="s">
        <v>1453</v>
      </c>
      <c r="D179" s="969" t="s">
        <v>858</v>
      </c>
      <c r="E179" s="918">
        <f>µ_HMETO*((θ_µ_HMETO)^((T__)-(T_base)))</f>
        <v>1.3</v>
      </c>
      <c r="F179" s="918" t="s">
        <v>254</v>
      </c>
      <c r="G179" s="918">
        <v>2</v>
      </c>
      <c r="H179" s="969"/>
      <c r="I179" s="919"/>
    </row>
    <row r="180" spans="2:9" ht="18" x14ac:dyDescent="0.25">
      <c r="B180" s="916" t="s">
        <v>314</v>
      </c>
      <c r="C180" s="917" t="s">
        <v>1454</v>
      </c>
      <c r="D180" s="969" t="s">
        <v>859</v>
      </c>
      <c r="E180" s="918">
        <f>b_HMETO*((θ_b_HMETO)^((T__)-(T_base)))</f>
        <v>0.3</v>
      </c>
      <c r="F180" s="918" t="s">
        <v>254</v>
      </c>
      <c r="G180" s="918">
        <v>2</v>
      </c>
      <c r="H180" s="969"/>
      <c r="I180" s="919"/>
    </row>
    <row r="181" spans="2:9" s="109" customFormat="1" ht="18" x14ac:dyDescent="0.25">
      <c r="B181" s="846" t="s">
        <v>2386</v>
      </c>
      <c r="C181" s="805" t="s">
        <v>2387</v>
      </c>
      <c r="D181" s="805" t="s">
        <v>2656</v>
      </c>
      <c r="E181" s="949">
        <f>µ_ALGAE*((θ_µ_ALGAE)^((T__)-(T_base)))</f>
        <v>2</v>
      </c>
      <c r="F181" s="949" t="s">
        <v>254</v>
      </c>
      <c r="G181" s="882">
        <v>2</v>
      </c>
      <c r="H181" s="805" t="s">
        <v>2369</v>
      </c>
      <c r="I181" s="847"/>
    </row>
    <row r="182" spans="2:9" s="109" customFormat="1" ht="18" x14ac:dyDescent="0.25">
      <c r="B182" s="846" t="s">
        <v>2388</v>
      </c>
      <c r="C182" s="805" t="s">
        <v>2389</v>
      </c>
      <c r="D182" s="805" t="s">
        <v>2657</v>
      </c>
      <c r="E182" s="949">
        <f>b_ALGAE*((θ_b_ALGAE)^((T__)-(T_base)))</f>
        <v>0.1</v>
      </c>
      <c r="F182" s="949" t="s">
        <v>254</v>
      </c>
      <c r="G182" s="882">
        <v>2</v>
      </c>
      <c r="H182" s="805" t="s">
        <v>2369</v>
      </c>
      <c r="I182" s="847"/>
    </row>
    <row r="183" spans="2:9" ht="18" x14ac:dyDescent="0.25">
      <c r="B183" s="920" t="s">
        <v>278</v>
      </c>
      <c r="C183" s="921" t="s">
        <v>1455</v>
      </c>
      <c r="D183" s="970" t="s">
        <v>860</v>
      </c>
      <c r="E183" s="922">
        <f>q_HYD*((θ_q_HYD)^((T__)-(T_base)))</f>
        <v>2</v>
      </c>
      <c r="F183" s="922" t="s">
        <v>254</v>
      </c>
      <c r="G183" s="922">
        <v>2</v>
      </c>
      <c r="H183" s="970"/>
      <c r="I183" s="923"/>
    </row>
    <row r="184" spans="2:9" ht="18" x14ac:dyDescent="0.25">
      <c r="B184" s="920" t="s">
        <v>279</v>
      </c>
      <c r="C184" s="921" t="s">
        <v>1456</v>
      </c>
      <c r="D184" s="970" t="s">
        <v>861</v>
      </c>
      <c r="E184" s="922">
        <f>q_AMMON*((θ_q_AMMON)^((T__)-(T_base)))</f>
        <v>0.05</v>
      </c>
      <c r="F184" s="922" t="s">
        <v>254</v>
      </c>
      <c r="G184" s="922">
        <v>2</v>
      </c>
      <c r="H184" s="970"/>
      <c r="I184" s="923"/>
    </row>
    <row r="185" spans="2:9" s="109" customFormat="1" ht="30" x14ac:dyDescent="0.25">
      <c r="B185" s="779" t="s">
        <v>2305</v>
      </c>
      <c r="C185" s="740" t="s">
        <v>2306</v>
      </c>
      <c r="D185" s="740" t="s">
        <v>2307</v>
      </c>
      <c r="E185" s="787">
        <f>q_XE*((θ_q_XE)^((T__)-(T_base)))</f>
        <v>7.0000000000000001E-3</v>
      </c>
      <c r="F185" s="787" t="s">
        <v>741</v>
      </c>
      <c r="G185" s="788">
        <v>2</v>
      </c>
      <c r="H185" s="740"/>
      <c r="I185" s="781"/>
    </row>
    <row r="186" spans="2:9" s="109" customFormat="1" ht="30" x14ac:dyDescent="0.25">
      <c r="B186" s="779" t="s">
        <v>2308</v>
      </c>
      <c r="C186" s="740" t="s">
        <v>2310</v>
      </c>
      <c r="D186" s="740" t="s">
        <v>2309</v>
      </c>
      <c r="E186" s="787">
        <f>q_XU*((θ_q_XU)^((T__)-(T_base)))</f>
        <v>9.9999999999999995E-7</v>
      </c>
      <c r="F186" s="787" t="s">
        <v>741</v>
      </c>
      <c r="G186" s="788">
        <v>2</v>
      </c>
      <c r="H186" s="740"/>
      <c r="I186" s="781"/>
    </row>
    <row r="187" spans="2:9" ht="18.75" thickBot="1" x14ac:dyDescent="0.3">
      <c r="B187" s="924" t="s">
        <v>280</v>
      </c>
      <c r="C187" s="925" t="s">
        <v>1457</v>
      </c>
      <c r="D187" s="971" t="s">
        <v>862</v>
      </c>
      <c r="E187" s="926">
        <f>q_ASSIM*((θ_q_ASSIM)^((T__)-(T_base)))</f>
        <v>1</v>
      </c>
      <c r="F187" s="926" t="s">
        <v>254</v>
      </c>
      <c r="G187" s="926">
        <v>2</v>
      </c>
      <c r="H187" s="971"/>
      <c r="I187" s="927"/>
    </row>
    <row r="188" spans="2:9" ht="15.75" thickBot="1" x14ac:dyDescent="0.3">
      <c r="H188" s="465"/>
    </row>
    <row r="189" spans="2:9" ht="15.75" thickBot="1" x14ac:dyDescent="0.3">
      <c r="B189" s="109"/>
      <c r="C189" s="283" t="s">
        <v>740</v>
      </c>
      <c r="D189" s="463" t="s">
        <v>310</v>
      </c>
      <c r="E189" s="207"/>
      <c r="F189" s="121"/>
      <c r="G189" s="121"/>
      <c r="H189" s="160"/>
      <c r="I189" s="109"/>
    </row>
    <row r="190" spans="2:9" ht="15.75" thickBot="1" x14ac:dyDescent="0.3">
      <c r="B190" s="110" t="s">
        <v>0</v>
      </c>
      <c r="C190" s="111" t="s">
        <v>1</v>
      </c>
      <c r="D190" s="995" t="s">
        <v>4</v>
      </c>
      <c r="E190" s="112" t="s">
        <v>149</v>
      </c>
      <c r="F190" s="112" t="s">
        <v>2</v>
      </c>
      <c r="G190" s="112" t="s">
        <v>309</v>
      </c>
      <c r="H190" s="972" t="s">
        <v>113</v>
      </c>
      <c r="I190" s="113" t="s">
        <v>114</v>
      </c>
    </row>
    <row r="191" spans="2:9" ht="18" x14ac:dyDescent="0.25">
      <c r="B191" s="492" t="s">
        <v>2096</v>
      </c>
      <c r="C191" s="928" t="s">
        <v>2093</v>
      </c>
      <c r="D191" s="996" t="s">
        <v>2099</v>
      </c>
      <c r="E191" s="929">
        <f>f_kL_GN2*(D_GN2_25/D_GO2_25)^0.5*k_L_GO2_bub</f>
        <v>11.827508281675817</v>
      </c>
      <c r="F191" s="493" t="s">
        <v>741</v>
      </c>
      <c r="G191" s="493">
        <v>2</v>
      </c>
      <c r="H191" s="493"/>
      <c r="I191" s="494"/>
    </row>
    <row r="192" spans="2:9" ht="18" x14ac:dyDescent="0.25">
      <c r="B192" s="495" t="s">
        <v>2097</v>
      </c>
      <c r="C192" s="930" t="s">
        <v>2094</v>
      </c>
      <c r="D192" s="997" t="s">
        <v>2100</v>
      </c>
      <c r="E192" s="931">
        <f>f_kL_GCH4*(D_GCH4_25/D_GO2_25)^0.5*k_L_GO2_bub</f>
        <v>10.976486395405258</v>
      </c>
      <c r="F192" s="496" t="s">
        <v>741</v>
      </c>
      <c r="G192" s="496">
        <v>2</v>
      </c>
      <c r="H192" s="496"/>
      <c r="I192" s="497"/>
    </row>
    <row r="193" spans="2:9" ht="18" x14ac:dyDescent="0.25">
      <c r="B193" s="495" t="s">
        <v>2098</v>
      </c>
      <c r="C193" s="930" t="s">
        <v>2095</v>
      </c>
      <c r="D193" s="997" t="s">
        <v>2101</v>
      </c>
      <c r="E193" s="931">
        <f>f_kL_GH2*(D_GH2_25/D_GO2_25)^0.5*k_L_GO2_bub</f>
        <v>19.07552353373622</v>
      </c>
      <c r="F193" s="496" t="s">
        <v>741</v>
      </c>
      <c r="G193" s="496">
        <v>2</v>
      </c>
      <c r="H193" s="496"/>
      <c r="I193" s="497"/>
    </row>
    <row r="194" spans="2:9" ht="18" x14ac:dyDescent="0.25">
      <c r="B194" s="495" t="s">
        <v>2102</v>
      </c>
      <c r="C194" s="930" t="s">
        <v>2105</v>
      </c>
      <c r="D194" s="997" t="s">
        <v>2108</v>
      </c>
      <c r="E194" s="931">
        <f>f_kL_GN2*(D_GN2_25/D_GO2_25)^0.5*k_L_GO2_sur</f>
        <v>6.9145433031335548</v>
      </c>
      <c r="F194" s="496" t="s">
        <v>741</v>
      </c>
      <c r="G194" s="496">
        <v>2</v>
      </c>
      <c r="H194" s="496"/>
      <c r="I194" s="497"/>
    </row>
    <row r="195" spans="2:9" ht="18" x14ac:dyDescent="0.25">
      <c r="B195" s="495" t="s">
        <v>2103</v>
      </c>
      <c r="C195" s="930" t="s">
        <v>2106</v>
      </c>
      <c r="D195" s="997" t="s">
        <v>2109</v>
      </c>
      <c r="E195" s="931">
        <f>f_kL_GCH4*(D_GCH4_25/D_GO2_25)^0.5*k_L_GO2_sur</f>
        <v>6.4170228157753817</v>
      </c>
      <c r="F195" s="496" t="s">
        <v>741</v>
      </c>
      <c r="G195" s="496">
        <v>2</v>
      </c>
      <c r="H195" s="496"/>
      <c r="I195" s="497"/>
    </row>
    <row r="196" spans="2:9" ht="18.75" thickBot="1" x14ac:dyDescent="0.3">
      <c r="B196" s="498" t="s">
        <v>2104</v>
      </c>
      <c r="C196" s="932" t="s">
        <v>2107</v>
      </c>
      <c r="D196" s="998" t="s">
        <v>2110</v>
      </c>
      <c r="E196" s="933">
        <f>f_kL_GH2*(D_GH2_25/D_GO2_25)^0.5*k_L_GO2_sur</f>
        <v>11.151844527415021</v>
      </c>
      <c r="F196" s="499" t="s">
        <v>741</v>
      </c>
      <c r="G196" s="499">
        <v>2</v>
      </c>
      <c r="H196" s="499"/>
      <c r="I196" s="564"/>
    </row>
    <row r="197" spans="2:9" ht="15.75" thickBot="1" x14ac:dyDescent="0.3">
      <c r="H197" s="465"/>
    </row>
    <row r="198" spans="2:9" ht="15.75" thickBot="1" x14ac:dyDescent="0.3">
      <c r="B198" s="109"/>
      <c r="C198" s="461" t="s">
        <v>2196</v>
      </c>
      <c r="D198" s="463" t="s">
        <v>310</v>
      </c>
      <c r="E198" s="207"/>
      <c r="F198" s="121"/>
      <c r="G198" s="121"/>
      <c r="H198" s="160"/>
      <c r="I198" s="109"/>
    </row>
    <row r="199" spans="2:9" ht="15.75" thickBot="1" x14ac:dyDescent="0.3">
      <c r="B199" s="647" t="s">
        <v>0</v>
      </c>
      <c r="C199" s="648" t="s">
        <v>1</v>
      </c>
      <c r="D199" s="999" t="s">
        <v>4</v>
      </c>
      <c r="E199" s="649" t="s">
        <v>149</v>
      </c>
      <c r="F199" s="649" t="s">
        <v>2</v>
      </c>
      <c r="G199" s="649" t="s">
        <v>309</v>
      </c>
      <c r="H199" s="973" t="s">
        <v>113</v>
      </c>
      <c r="I199" s="650" t="s">
        <v>114</v>
      </c>
    </row>
    <row r="200" spans="2:9" ht="18" x14ac:dyDescent="0.25">
      <c r="B200" s="651" t="s">
        <v>2256</v>
      </c>
      <c r="C200" s="934" t="s">
        <v>2257</v>
      </c>
      <c r="D200" s="1000" t="s">
        <v>2264</v>
      </c>
      <c r="E200" s="935">
        <f>q_ALPHA*((1-f_O2_max_ALPHA)*S_O2/(K_O2_ALPHA+S_O2)+f_O2_max_ALPHA)</f>
        <v>1.4512195121951217E-3</v>
      </c>
      <c r="F200" s="652" t="s">
        <v>2187</v>
      </c>
      <c r="G200" s="653">
        <v>4</v>
      </c>
      <c r="H200" s="653"/>
      <c r="I200" s="654"/>
    </row>
    <row r="201" spans="2:9" ht="18" x14ac:dyDescent="0.25">
      <c r="B201" s="651" t="s">
        <v>2197</v>
      </c>
      <c r="C201" s="936" t="s">
        <v>2258</v>
      </c>
      <c r="D201" s="1000" t="s">
        <v>2198</v>
      </c>
      <c r="E201" s="937">
        <f>1+c_oeffdamp_ALPHA*(S_ALPHA/S_ALPHA_sat)^p_owdamp_ALPHA</f>
        <v>1.0266520317554391</v>
      </c>
      <c r="F201" s="652" t="s">
        <v>1229</v>
      </c>
      <c r="G201" s="653">
        <v>2</v>
      </c>
      <c r="H201" s="653"/>
      <c r="I201" s="654"/>
    </row>
    <row r="202" spans="2:9" ht="18" x14ac:dyDescent="0.25">
      <c r="B202" s="651" t="s">
        <v>2259</v>
      </c>
      <c r="C202" s="936" t="s">
        <v>2260</v>
      </c>
      <c r="D202" s="1000" t="s">
        <v>2261</v>
      </c>
      <c r="E202" s="937">
        <f>(S_ALPHA-1)*EXP(s_lh_diff_α*h_diff)+1</f>
        <v>0.87571117407946009</v>
      </c>
      <c r="F202" s="652" t="s">
        <v>1229</v>
      </c>
      <c r="G202" s="653">
        <v>2</v>
      </c>
      <c r="H202" s="653" t="s">
        <v>2270</v>
      </c>
      <c r="I202" s="654"/>
    </row>
    <row r="203" spans="2:9" ht="30" x14ac:dyDescent="0.25">
      <c r="B203" s="651" t="s">
        <v>2199</v>
      </c>
      <c r="C203" s="936" t="s">
        <v>2262</v>
      </c>
      <c r="D203" s="1000" t="s">
        <v>2200</v>
      </c>
      <c r="E203" s="937">
        <f>EXP(s_lTSS_α_def*X_TSS/c_g_kg)</f>
        <v>0.8707523738265579</v>
      </c>
      <c r="F203" s="652" t="s">
        <v>1229</v>
      </c>
      <c r="G203" s="653">
        <v>2</v>
      </c>
      <c r="H203" s="653" t="s">
        <v>2271</v>
      </c>
      <c r="I203" s="654"/>
    </row>
    <row r="204" spans="2:9" ht="18" x14ac:dyDescent="0.25">
      <c r="B204" s="651" t="s">
        <v>2199</v>
      </c>
      <c r="C204" s="936" t="s">
        <v>2262</v>
      </c>
      <c r="D204" s="1000" t="s">
        <v>2201</v>
      </c>
      <c r="E204" s="937">
        <f>EXP(s_lTSS_α_coarse*X_TSS/c_g_kg)</f>
        <v>0.91186338643638754</v>
      </c>
      <c r="F204" s="652" t="s">
        <v>1229</v>
      </c>
      <c r="G204" s="653">
        <v>2</v>
      </c>
      <c r="H204" s="653" t="s">
        <v>2209</v>
      </c>
      <c r="I204" s="654"/>
    </row>
    <row r="205" spans="2:9" ht="18" x14ac:dyDescent="0.25">
      <c r="B205" s="651" t="s">
        <v>2199</v>
      </c>
      <c r="C205" s="936" t="s">
        <v>2262</v>
      </c>
      <c r="D205" s="1000" t="s">
        <v>2201</v>
      </c>
      <c r="E205" s="937">
        <f>EXP(s_lTSS_α_coarse*X_TSS/c_g_kg)</f>
        <v>0.91186338643638754</v>
      </c>
      <c r="F205" s="652" t="s">
        <v>1229</v>
      </c>
      <c r="G205" s="653">
        <v>2</v>
      </c>
      <c r="H205" s="653" t="s">
        <v>2202</v>
      </c>
      <c r="I205" s="654"/>
    </row>
    <row r="206" spans="2:9" ht="18" x14ac:dyDescent="0.25">
      <c r="B206" s="651" t="s">
        <v>2199</v>
      </c>
      <c r="C206" s="936" t="s">
        <v>2262</v>
      </c>
      <c r="D206" s="1000" t="s">
        <v>2203</v>
      </c>
      <c r="E206" s="937">
        <f>c_oefflead_TSS_α_mech*(X_TSS/c_g_kg)^2+c_oefflin_TSS_α_mech*X_TSS/c_g_kg+c_onstTSS_α_mech</f>
        <v>0.91917738839776397</v>
      </c>
      <c r="F206" s="652" t="s">
        <v>1229</v>
      </c>
      <c r="G206" s="653">
        <v>2</v>
      </c>
      <c r="H206" s="653" t="s">
        <v>2204</v>
      </c>
      <c r="I206" s="654"/>
    </row>
    <row r="207" spans="2:9" ht="18" x14ac:dyDescent="0.25">
      <c r="B207" s="683" t="s">
        <v>2207</v>
      </c>
      <c r="C207" s="938" t="s">
        <v>2208</v>
      </c>
      <c r="D207" s="1001" t="s">
        <v>2263</v>
      </c>
      <c r="E207" s="939">
        <f>S_ALPHA/c_orrh_diff_α*c_orrTSS_α</f>
        <v>0.49716870105139704</v>
      </c>
      <c r="F207" s="684" t="s">
        <v>1229</v>
      </c>
      <c r="G207" s="685">
        <v>2</v>
      </c>
      <c r="H207" s="974" t="s">
        <v>2270</v>
      </c>
      <c r="I207" s="686"/>
    </row>
    <row r="208" spans="2:9" ht="18.75" thickBot="1" x14ac:dyDescent="0.3">
      <c r="B208" s="655" t="s">
        <v>2207</v>
      </c>
      <c r="C208" s="940" t="s">
        <v>2208</v>
      </c>
      <c r="D208" s="1002" t="s">
        <v>2269</v>
      </c>
      <c r="E208" s="941">
        <f>S_ALPHA*c_orrTSS_α</f>
        <v>0.43537618691327895</v>
      </c>
      <c r="F208" s="656" t="s">
        <v>1229</v>
      </c>
      <c r="G208" s="657">
        <v>2</v>
      </c>
      <c r="H208" s="657" t="s">
        <v>2204</v>
      </c>
      <c r="I208" s="658"/>
    </row>
    <row r="209" spans="2:9" ht="15.75" thickBot="1" x14ac:dyDescent="0.3">
      <c r="B209" s="680"/>
      <c r="C209" s="229"/>
      <c r="D209" s="1003"/>
      <c r="E209" s="942"/>
      <c r="F209" s="681"/>
      <c r="G209" s="375"/>
      <c r="H209" s="375"/>
      <c r="I209" s="682"/>
    </row>
    <row r="210" spans="2:9" s="4" customFormat="1" ht="15.75" thickBot="1" x14ac:dyDescent="0.3">
      <c r="B210" s="109"/>
      <c r="C210" s="214" t="s">
        <v>255</v>
      </c>
      <c r="D210" s="463" t="s">
        <v>1054</v>
      </c>
      <c r="E210" s="207"/>
      <c r="F210" s="121"/>
      <c r="G210" s="121"/>
      <c r="H210" s="160"/>
      <c r="I210" s="109"/>
    </row>
    <row r="211" spans="2:9" s="4" customFormat="1" ht="15.75" thickBot="1" x14ac:dyDescent="0.3">
      <c r="B211" s="225" t="s">
        <v>0</v>
      </c>
      <c r="C211" s="226" t="s">
        <v>1</v>
      </c>
      <c r="D211" s="960" t="s">
        <v>4</v>
      </c>
      <c r="E211" s="256" t="s">
        <v>149</v>
      </c>
      <c r="F211" s="256" t="s">
        <v>2</v>
      </c>
      <c r="G211" s="256" t="s">
        <v>309</v>
      </c>
      <c r="H211" s="960" t="s">
        <v>113</v>
      </c>
      <c r="I211" s="227" t="s">
        <v>114</v>
      </c>
    </row>
    <row r="212" spans="2:9" s="109" customFormat="1" ht="18" x14ac:dyDescent="0.25">
      <c r="B212" s="488" t="s">
        <v>1838</v>
      </c>
      <c r="C212" s="489" t="s">
        <v>1045</v>
      </c>
      <c r="D212" s="975" t="s">
        <v>1839</v>
      </c>
      <c r="E212" s="943">
        <f>T__+T_STP_K</f>
        <v>293.14999999999998</v>
      </c>
      <c r="F212" s="944" t="s">
        <v>390</v>
      </c>
      <c r="G212" s="944">
        <v>1</v>
      </c>
      <c r="H212" s="975"/>
      <c r="I212" s="945"/>
    </row>
    <row r="213" spans="2:9" s="109" customFormat="1" ht="18.75" thickBot="1" x14ac:dyDescent="0.3">
      <c r="B213" s="490" t="s">
        <v>260</v>
      </c>
      <c r="C213" s="491" t="s">
        <v>1046</v>
      </c>
      <c r="D213" s="976" t="s">
        <v>2689</v>
      </c>
      <c r="E213" s="946">
        <f>(S_H-H_STP)/c_p_water</f>
        <v>20</v>
      </c>
      <c r="F213" s="947" t="s">
        <v>1055</v>
      </c>
      <c r="G213" s="947">
        <v>1</v>
      </c>
      <c r="H213" s="976"/>
      <c r="I213" s="948"/>
    </row>
    <row r="214" spans="2:9" ht="15.75" thickBot="1" x14ac:dyDescent="0.3">
      <c r="B214" s="680"/>
      <c r="C214" s="229"/>
      <c r="D214" s="1075"/>
      <c r="E214" s="1076"/>
      <c r="F214" s="953"/>
      <c r="G214" s="679"/>
      <c r="H214" s="229"/>
      <c r="I214" s="682"/>
    </row>
    <row r="215" spans="2:9" s="109" customFormat="1" ht="15.75" thickBot="1" x14ac:dyDescent="0.3">
      <c r="C215" s="837" t="s">
        <v>2760</v>
      </c>
      <c r="D215" s="12" t="s">
        <v>310</v>
      </c>
      <c r="E215" s="12"/>
    </row>
    <row r="216" spans="2:9" s="109" customFormat="1" ht="15.75" thickBot="1" x14ac:dyDescent="0.3">
      <c r="B216" s="1077" t="s">
        <v>0</v>
      </c>
      <c r="C216" s="1078" t="s">
        <v>1</v>
      </c>
      <c r="D216" s="1079" t="s">
        <v>4</v>
      </c>
      <c r="E216" s="1079" t="s">
        <v>149</v>
      </c>
      <c r="F216" s="1079" t="s">
        <v>2</v>
      </c>
      <c r="G216" s="1079" t="s">
        <v>309</v>
      </c>
      <c r="H216" s="1079" t="s">
        <v>113</v>
      </c>
      <c r="I216" s="1080" t="s">
        <v>114</v>
      </c>
    </row>
    <row r="217" spans="2:9" s="109" customFormat="1" ht="33.75" outlineLevel="1" thickBot="1" x14ac:dyDescent="0.3">
      <c r="B217" s="1090" t="s">
        <v>2761</v>
      </c>
      <c r="C217" s="1091" t="s">
        <v>2762</v>
      </c>
      <c r="D217" s="1091" t="s">
        <v>2879</v>
      </c>
      <c r="E217" s="1092">
        <f>(+(-v_1_SO2*r_1)+(-v_4_SO2*r_4)+(-v_10_SO2*r_10)+(-v_11_SO2*r_11)+(-v_12_SO2*r_12)+(+E_EQN2_NO3*v_2_SN2*r_2))*D_eltaHbio</f>
        <v>6.1754002091259732</v>
      </c>
      <c r="F217" s="1093" t="s">
        <v>2763</v>
      </c>
      <c r="G217" s="1093">
        <v>2</v>
      </c>
      <c r="H217" s="1093" t="s">
        <v>2369</v>
      </c>
      <c r="I217" s="1094"/>
    </row>
    <row r="218" spans="2:9" ht="15.75" thickBot="1" x14ac:dyDescent="0.3">
      <c r="B218" s="680"/>
      <c r="C218" s="229"/>
      <c r="D218" s="1075"/>
      <c r="E218" s="1076"/>
      <c r="F218" s="953"/>
      <c r="G218" s="679"/>
      <c r="H218" s="229"/>
      <c r="I218" s="682"/>
    </row>
    <row r="219" spans="2:9" s="109" customFormat="1" ht="15.75" thickBot="1" x14ac:dyDescent="0.3">
      <c r="C219" s="837" t="s">
        <v>2764</v>
      </c>
      <c r="D219" s="12" t="s">
        <v>310</v>
      </c>
      <c r="E219" s="12"/>
    </row>
    <row r="220" spans="2:9" s="109" customFormat="1" ht="15.75" thickBot="1" x14ac:dyDescent="0.3">
      <c r="B220" s="1077" t="s">
        <v>0</v>
      </c>
      <c r="C220" s="1078" t="s">
        <v>1</v>
      </c>
      <c r="D220" s="1079" t="s">
        <v>4</v>
      </c>
      <c r="E220" s="1079" t="s">
        <v>149</v>
      </c>
      <c r="F220" s="1079" t="s">
        <v>2</v>
      </c>
      <c r="G220" s="1079" t="s">
        <v>309</v>
      </c>
      <c r="H220" s="1079" t="s">
        <v>113</v>
      </c>
      <c r="I220" s="1080" t="s">
        <v>114</v>
      </c>
    </row>
    <row r="221" spans="2:9" s="109" customFormat="1" outlineLevel="1" x14ac:dyDescent="0.25">
      <c r="B221" s="1095" t="s">
        <v>2765</v>
      </c>
      <c r="C221" s="1096" t="s">
        <v>2902</v>
      </c>
      <c r="D221" s="1096" t="s">
        <v>2766</v>
      </c>
      <c r="E221" s="1097">
        <f>((v_31_SCH4*r_31)+(v_32_SH2*r_32))</f>
        <v>-6.9350000000000005</v>
      </c>
      <c r="F221" s="1097" t="s">
        <v>2767</v>
      </c>
      <c r="G221" s="1098" t="s">
        <v>2768</v>
      </c>
      <c r="H221" s="1098" t="s">
        <v>2369</v>
      </c>
      <c r="I221" s="1099"/>
    </row>
    <row r="222" spans="2:9" s="109" customFormat="1" outlineLevel="1" x14ac:dyDescent="0.25">
      <c r="B222" s="1100" t="s">
        <v>2769</v>
      </c>
      <c r="C222" s="1101" t="s">
        <v>2903</v>
      </c>
      <c r="D222" s="1101" t="s">
        <v>2770</v>
      </c>
      <c r="E222" s="1102">
        <f>-((v_1_SO2*r_1*-1)+(v_12_SO2*r_12*-1))</f>
        <v>-342.37417058430606</v>
      </c>
      <c r="F222" s="1102" t="s">
        <v>2767</v>
      </c>
      <c r="G222" s="1103" t="s">
        <v>2768</v>
      </c>
      <c r="H222" s="1103" t="s">
        <v>2369</v>
      </c>
      <c r="I222" s="1104"/>
    </row>
    <row r="223" spans="2:9" s="109" customFormat="1" ht="18" outlineLevel="1" x14ac:dyDescent="0.25">
      <c r="B223" s="1100" t="s">
        <v>2771</v>
      </c>
      <c r="C223" s="1101" t="s">
        <v>2904</v>
      </c>
      <c r="D223" s="1101" t="s">
        <v>2890</v>
      </c>
      <c r="E223" s="1102">
        <f>-((v_2_SNOx*r_2*-E_EQNO3)+(v_19_SNOx*r_19*-E_EQNO3)+(v_2_SN2*r_2*-E_EQN2))</f>
        <v>-36.02861039685429</v>
      </c>
      <c r="F223" s="1102" t="s">
        <v>2767</v>
      </c>
      <c r="G223" s="1103" t="s">
        <v>2768</v>
      </c>
      <c r="H223" s="1103" t="s">
        <v>2369</v>
      </c>
      <c r="I223" s="1104"/>
    </row>
    <row r="224" spans="2:9" s="109" customFormat="1" outlineLevel="1" x14ac:dyDescent="0.25">
      <c r="B224" s="1100" t="s">
        <v>2772</v>
      </c>
      <c r="C224" s="1101" t="s">
        <v>2905</v>
      </c>
      <c r="D224" s="1101" t="s">
        <v>2773</v>
      </c>
      <c r="E224" s="1102">
        <f>((v_11_XALGAE*r_11)+(v_10_XALGAE*r_10))</f>
        <v>0</v>
      </c>
      <c r="F224" s="1102" t="s">
        <v>2767</v>
      </c>
      <c r="G224" s="1103" t="s">
        <v>2768</v>
      </c>
      <c r="H224" s="1103" t="s">
        <v>2369</v>
      </c>
      <c r="I224" s="1104"/>
    </row>
    <row r="225" spans="2:9" s="109" customFormat="1" ht="15.75" outlineLevel="1" thickBot="1" x14ac:dyDescent="0.3">
      <c r="B225" s="1105" t="s">
        <v>2774</v>
      </c>
      <c r="C225" s="1106" t="s">
        <v>2906</v>
      </c>
      <c r="D225" s="1106" t="s">
        <v>2775</v>
      </c>
      <c r="E225" s="1107">
        <f>((v_4_XNITO*r_4))</f>
        <v>21.84819550089011</v>
      </c>
      <c r="F225" s="1107" t="s">
        <v>2767</v>
      </c>
      <c r="G225" s="1108" t="s">
        <v>2768</v>
      </c>
      <c r="H225" s="1108" t="s">
        <v>2369</v>
      </c>
      <c r="I225" s="1109"/>
    </row>
    <row r="226" spans="2:9" ht="15.75" thickBot="1" x14ac:dyDescent="0.3">
      <c r="B226" s="680"/>
      <c r="C226" s="229"/>
      <c r="D226" s="1075"/>
      <c r="E226" s="1076"/>
      <c r="F226" s="953"/>
      <c r="G226" s="679"/>
      <c r="H226" s="229"/>
      <c r="I226" s="682"/>
    </row>
    <row r="227" spans="2:9" s="109" customFormat="1" ht="15.75" thickBot="1" x14ac:dyDescent="0.3">
      <c r="C227" s="837" t="s">
        <v>2776</v>
      </c>
      <c r="D227" s="12" t="s">
        <v>310</v>
      </c>
      <c r="E227" s="12"/>
    </row>
    <row r="228" spans="2:9" s="109" customFormat="1" ht="15.75" thickBot="1" x14ac:dyDescent="0.3">
      <c r="B228" s="1077" t="s">
        <v>0</v>
      </c>
      <c r="C228" s="1078" t="s">
        <v>1</v>
      </c>
      <c r="D228" s="1079" t="s">
        <v>4</v>
      </c>
      <c r="E228" s="1079" t="s">
        <v>149</v>
      </c>
      <c r="F228" s="1079" t="s">
        <v>2</v>
      </c>
      <c r="G228" s="1079" t="s">
        <v>309</v>
      </c>
      <c r="H228" s="1079" t="s">
        <v>113</v>
      </c>
      <c r="I228" s="1080" t="s">
        <v>114</v>
      </c>
    </row>
    <row r="229" spans="2:9" s="109" customFormat="1" outlineLevel="1" x14ac:dyDescent="0.25">
      <c r="B229" s="1095" t="s">
        <v>2777</v>
      </c>
      <c r="C229" s="1096" t="s">
        <v>2907</v>
      </c>
      <c r="D229" s="1096">
        <v>0</v>
      </c>
      <c r="E229" s="1097">
        <f>0</f>
        <v>0</v>
      </c>
      <c r="F229" s="1097" t="s">
        <v>2767</v>
      </c>
      <c r="G229" s="1098" t="s">
        <v>2768</v>
      </c>
      <c r="H229" s="1098" t="s">
        <v>2369</v>
      </c>
      <c r="I229" s="1099"/>
    </row>
    <row r="230" spans="2:9" s="109" customFormat="1" ht="15.75" outlineLevel="1" thickBot="1" x14ac:dyDescent="0.3">
      <c r="B230" s="1105" t="s">
        <v>2778</v>
      </c>
      <c r="C230" s="1106" t="s">
        <v>2908</v>
      </c>
      <c r="D230" s="1106" t="s">
        <v>2779</v>
      </c>
      <c r="E230" s="1107">
        <f>+((v_2_SNOx*r_2*1)+(v_19_SNOx*r_19*1))</f>
        <v>-12.541539047449191</v>
      </c>
      <c r="F230" s="1107" t="s">
        <v>2767</v>
      </c>
      <c r="G230" s="1108" t="s">
        <v>2768</v>
      </c>
      <c r="H230" s="1108" t="s">
        <v>2369</v>
      </c>
      <c r="I230" s="1109"/>
    </row>
    <row r="231" spans="2:9" ht="15.75" thickBot="1" x14ac:dyDescent="0.3">
      <c r="B231" s="680"/>
      <c r="C231" s="229"/>
      <c r="D231" s="1075"/>
      <c r="E231" s="1076"/>
      <c r="F231" s="953"/>
      <c r="G231" s="679"/>
      <c r="H231" s="229"/>
      <c r="I231" s="682"/>
    </row>
    <row r="232" spans="2:9" s="109" customFormat="1" ht="15.75" thickBot="1" x14ac:dyDescent="0.3">
      <c r="C232" s="837" t="s">
        <v>2780</v>
      </c>
      <c r="D232" s="12" t="s">
        <v>310</v>
      </c>
      <c r="E232" s="12"/>
    </row>
    <row r="233" spans="2:9" s="109" customFormat="1" ht="15.75" thickBot="1" x14ac:dyDescent="0.3">
      <c r="B233" s="1077" t="s">
        <v>0</v>
      </c>
      <c r="C233" s="1078" t="s">
        <v>1</v>
      </c>
      <c r="D233" s="1079" t="s">
        <v>4</v>
      </c>
      <c r="E233" s="1079" t="s">
        <v>149</v>
      </c>
      <c r="F233" s="1079" t="s">
        <v>2</v>
      </c>
      <c r="G233" s="1079" t="s">
        <v>309</v>
      </c>
      <c r="H233" s="1079" t="s">
        <v>113</v>
      </c>
      <c r="I233" s="1080" t="s">
        <v>114</v>
      </c>
    </row>
    <row r="234" spans="2:9" s="109" customFormat="1" outlineLevel="1" x14ac:dyDescent="0.25">
      <c r="B234" s="1095" t="s">
        <v>2781</v>
      </c>
      <c r="C234" s="1096" t="s">
        <v>2909</v>
      </c>
      <c r="D234" s="1096" t="s">
        <v>2782</v>
      </c>
      <c r="E234" s="1097">
        <f>((v_33_SO2*r_33))*S_OTRaerator/S_OTRsur</f>
        <v>12</v>
      </c>
      <c r="F234" s="1097" t="s">
        <v>2767</v>
      </c>
      <c r="G234" s="1098" t="s">
        <v>2768</v>
      </c>
      <c r="H234" s="1098" t="s">
        <v>2369</v>
      </c>
      <c r="I234" s="1099"/>
    </row>
    <row r="235" spans="2:9" s="109" customFormat="1" outlineLevel="1" x14ac:dyDescent="0.25">
      <c r="B235" s="1100" t="s">
        <v>2783</v>
      </c>
      <c r="C235" s="1101" t="s">
        <v>2910</v>
      </c>
      <c r="D235" s="1101" t="s">
        <v>2784</v>
      </c>
      <c r="E235" s="1102">
        <f>((v_33_SO2*r_33))*S_OTRsur_min/S_OTRsur</f>
        <v>12</v>
      </c>
      <c r="F235" s="1102" t="s">
        <v>2767</v>
      </c>
      <c r="G235" s="1103" t="s">
        <v>2768</v>
      </c>
      <c r="H235" s="1103" t="s">
        <v>2369</v>
      </c>
      <c r="I235" s="1104"/>
    </row>
    <row r="236" spans="2:9" s="109" customFormat="1" outlineLevel="1" x14ac:dyDescent="0.25">
      <c r="B236" s="1100" t="s">
        <v>2785</v>
      </c>
      <c r="C236" s="1101" t="s">
        <v>2911</v>
      </c>
      <c r="D236" s="1101" t="s">
        <v>2786</v>
      </c>
      <c r="E236" s="1102">
        <f>-((v_1_SO2*r_1*-1))</f>
        <v>-342.37417058430606</v>
      </c>
      <c r="F236" s="1102" t="s">
        <v>2767</v>
      </c>
      <c r="G236" s="1103" t="s">
        <v>2768</v>
      </c>
      <c r="H236" s="1103" t="s">
        <v>2369</v>
      </c>
      <c r="I236" s="1104"/>
    </row>
    <row r="237" spans="2:9" s="109" customFormat="1" outlineLevel="1" x14ac:dyDescent="0.25">
      <c r="B237" s="1100" t="s">
        <v>2787</v>
      </c>
      <c r="C237" s="1101" t="s">
        <v>2912</v>
      </c>
      <c r="D237" s="1101" t="s">
        <v>2788</v>
      </c>
      <c r="E237" s="1102">
        <f>((v_4_SO2*r_4))</f>
        <v>-394.09324573430592</v>
      </c>
      <c r="F237" s="1102" t="s">
        <v>2767</v>
      </c>
      <c r="G237" s="1103" t="s">
        <v>2768</v>
      </c>
      <c r="H237" s="1103" t="s">
        <v>2369</v>
      </c>
      <c r="I237" s="1104"/>
    </row>
    <row r="238" spans="2:9" s="109" customFormat="1" outlineLevel="1" x14ac:dyDescent="0.25">
      <c r="B238" s="1100" t="s">
        <v>2789</v>
      </c>
      <c r="C238" s="1101" t="s">
        <v>2913</v>
      </c>
      <c r="D238" s="1101">
        <v>0</v>
      </c>
      <c r="E238" s="1102">
        <f>0</f>
        <v>0</v>
      </c>
      <c r="F238" s="1102" t="s">
        <v>2767</v>
      </c>
      <c r="G238" s="1103" t="s">
        <v>2768</v>
      </c>
      <c r="H238" s="1103" t="s">
        <v>2369</v>
      </c>
      <c r="I238" s="1104"/>
    </row>
    <row r="239" spans="2:9" s="109" customFormat="1" outlineLevel="1" x14ac:dyDescent="0.25">
      <c r="B239" s="1100" t="s">
        <v>2790</v>
      </c>
      <c r="C239" s="1101" t="s">
        <v>2914</v>
      </c>
      <c r="D239" s="1101" t="s">
        <v>2791</v>
      </c>
      <c r="E239" s="1102">
        <f>((v_11_SO2*r_11)+(v_10_SO2*r_10))</f>
        <v>0</v>
      </c>
      <c r="F239" s="1102" t="s">
        <v>2767</v>
      </c>
      <c r="G239" s="1103" t="s">
        <v>2768</v>
      </c>
      <c r="H239" s="1103" t="s">
        <v>2369</v>
      </c>
      <c r="I239" s="1104"/>
    </row>
    <row r="240" spans="2:9" s="109" customFormat="1" ht="15.75" outlineLevel="1" thickBot="1" x14ac:dyDescent="0.3">
      <c r="B240" s="1105" t="s">
        <v>2792</v>
      </c>
      <c r="C240" s="1106" t="s">
        <v>2915</v>
      </c>
      <c r="D240" s="1106" t="s">
        <v>2793</v>
      </c>
      <c r="E240" s="1107">
        <f>((v_12_SO2*r_12))</f>
        <v>0</v>
      </c>
      <c r="F240" s="1107" t="s">
        <v>2767</v>
      </c>
      <c r="G240" s="1108" t="s">
        <v>2768</v>
      </c>
      <c r="H240" s="1108" t="s">
        <v>2369</v>
      </c>
      <c r="I240" s="1109"/>
    </row>
    <row r="241" spans="2:9" ht="15.75" thickBot="1" x14ac:dyDescent="0.3">
      <c r="B241" s="680"/>
      <c r="C241" s="229"/>
      <c r="D241" s="1075"/>
      <c r="E241" s="1076"/>
      <c r="F241" s="953"/>
      <c r="G241" s="679"/>
      <c r="H241" s="229"/>
      <c r="I241" s="682"/>
    </row>
    <row r="242" spans="2:9" s="109" customFormat="1" ht="15.75" thickBot="1" x14ac:dyDescent="0.3">
      <c r="C242" s="837" t="s">
        <v>2794</v>
      </c>
      <c r="D242" s="12" t="s">
        <v>310</v>
      </c>
      <c r="E242" s="12"/>
    </row>
    <row r="243" spans="2:9" s="109" customFormat="1" ht="15.75" thickBot="1" x14ac:dyDescent="0.3">
      <c r="B243" s="1077" t="s">
        <v>0</v>
      </c>
      <c r="C243" s="1078" t="s">
        <v>1</v>
      </c>
      <c r="D243" s="1079" t="s">
        <v>4</v>
      </c>
      <c r="E243" s="1079" t="s">
        <v>149</v>
      </c>
      <c r="F243" s="1079" t="s">
        <v>2</v>
      </c>
      <c r="G243" s="1079" t="s">
        <v>309</v>
      </c>
      <c r="H243" s="1079" t="s">
        <v>113</v>
      </c>
      <c r="I243" s="1080" t="s">
        <v>114</v>
      </c>
    </row>
    <row r="244" spans="2:9" s="109" customFormat="1" outlineLevel="1" x14ac:dyDescent="0.25">
      <c r="B244" s="1095" t="s">
        <v>2795</v>
      </c>
      <c r="C244" s="1096" t="s">
        <v>2916</v>
      </c>
      <c r="D244" s="1096" t="s">
        <v>2796</v>
      </c>
      <c r="E244" s="1097">
        <f>((v_1_SNHx*r_1)+(v_2_SNHx*r_2)+(v_3_SNHx*r_3))</f>
        <v>-51.332973831480601</v>
      </c>
      <c r="F244" s="1097" t="s">
        <v>2767</v>
      </c>
      <c r="G244" s="1098" t="s">
        <v>2768</v>
      </c>
      <c r="H244" s="1098" t="s">
        <v>2369</v>
      </c>
      <c r="I244" s="1099"/>
    </row>
    <row r="245" spans="2:9" s="109" customFormat="1" outlineLevel="1" x14ac:dyDescent="0.25">
      <c r="B245" s="1100" t="s">
        <v>2797</v>
      </c>
      <c r="C245" s="1101" t="s">
        <v>2917</v>
      </c>
      <c r="D245" s="1101" t="s">
        <v>2798</v>
      </c>
      <c r="E245" s="1102">
        <f>((v_4_SNHx*r_4)+(v_5_SNHx*r_5))</f>
        <v>-92.557401605437789</v>
      </c>
      <c r="F245" s="1102" t="s">
        <v>2767</v>
      </c>
      <c r="G245" s="1103" t="s">
        <v>2768</v>
      </c>
      <c r="H245" s="1103" t="s">
        <v>2369</v>
      </c>
      <c r="I245" s="1104"/>
    </row>
    <row r="246" spans="2:9" s="109" customFormat="1" outlineLevel="1" x14ac:dyDescent="0.25">
      <c r="B246" s="1100" t="s">
        <v>2799</v>
      </c>
      <c r="C246" s="1101" t="s">
        <v>2918</v>
      </c>
      <c r="D246" s="1101" t="s">
        <v>2800</v>
      </c>
      <c r="E246" s="1102">
        <f>((v_11_SNHx*r_11)+(v_12_SNHx*r_12)+(v_13_SNHx*r_13))</f>
        <v>0</v>
      </c>
      <c r="F246" s="1102" t="s">
        <v>2767</v>
      </c>
      <c r="G246" s="1103" t="s">
        <v>2768</v>
      </c>
      <c r="H246" s="1103" t="s">
        <v>2369</v>
      </c>
      <c r="I246" s="1104"/>
    </row>
    <row r="247" spans="2:9" s="109" customFormat="1" ht="15.75" outlineLevel="1" thickBot="1" x14ac:dyDescent="0.3">
      <c r="B247" s="1105" t="s">
        <v>2801</v>
      </c>
      <c r="C247" s="1106" t="s">
        <v>2919</v>
      </c>
      <c r="D247" s="1106" t="s">
        <v>2802</v>
      </c>
      <c r="E247" s="1107">
        <f>((v_16_SNHx*r_16)+(v_19_SNHx*r_19))</f>
        <v>15.164940878979442</v>
      </c>
      <c r="F247" s="1107" t="s">
        <v>2767</v>
      </c>
      <c r="G247" s="1108" t="s">
        <v>2768</v>
      </c>
      <c r="H247" s="1108" t="s">
        <v>2369</v>
      </c>
      <c r="I247" s="1109"/>
    </row>
    <row r="248" spans="2:9" ht="15.75" thickBot="1" x14ac:dyDescent="0.3">
      <c r="B248" s="680"/>
      <c r="C248" s="229"/>
      <c r="D248" s="1075"/>
      <c r="E248" s="1076"/>
      <c r="F248" s="953"/>
      <c r="G248" s="679"/>
      <c r="H248" s="229"/>
      <c r="I248" s="682"/>
    </row>
    <row r="249" spans="2:9" s="109" customFormat="1" ht="15.75" thickBot="1" x14ac:dyDescent="0.3">
      <c r="C249" s="837" t="s">
        <v>2803</v>
      </c>
      <c r="D249" s="12" t="s">
        <v>310</v>
      </c>
      <c r="E249" s="12"/>
    </row>
    <row r="250" spans="2:9" s="109" customFormat="1" ht="15.75" thickBot="1" x14ac:dyDescent="0.3">
      <c r="B250" s="1077" t="s">
        <v>0</v>
      </c>
      <c r="C250" s="1078" t="s">
        <v>1</v>
      </c>
      <c r="D250" s="1079" t="s">
        <v>4</v>
      </c>
      <c r="E250" s="1079" t="s">
        <v>149</v>
      </c>
      <c r="F250" s="1079" t="s">
        <v>2</v>
      </c>
      <c r="G250" s="1079" t="s">
        <v>309</v>
      </c>
      <c r="H250" s="1079" t="s">
        <v>113</v>
      </c>
      <c r="I250" s="1080" t="s">
        <v>114</v>
      </c>
    </row>
    <row r="251" spans="2:9" s="109" customFormat="1" outlineLevel="1" x14ac:dyDescent="0.25">
      <c r="B251" s="1095" t="s">
        <v>2804</v>
      </c>
      <c r="C251" s="1096" t="s">
        <v>2920</v>
      </c>
      <c r="D251" s="1096" t="s">
        <v>2805</v>
      </c>
      <c r="E251" s="1097">
        <f>((v_2_SNOx*r_2))</f>
        <v>-12.416568208700131</v>
      </c>
      <c r="F251" s="1097" t="s">
        <v>2767</v>
      </c>
      <c r="G251" s="1098" t="s">
        <v>2768</v>
      </c>
      <c r="H251" s="1098" t="s">
        <v>2369</v>
      </c>
      <c r="I251" s="1099"/>
    </row>
    <row r="252" spans="2:9" s="109" customFormat="1" outlineLevel="1" x14ac:dyDescent="0.25">
      <c r="B252" s="1100" t="s">
        <v>2806</v>
      </c>
      <c r="C252" s="1101" t="s">
        <v>2921</v>
      </c>
      <c r="D252" s="1101" t="s">
        <v>2807</v>
      </c>
      <c r="E252" s="1102">
        <f>((v_4_SNOx*r_4))</f>
        <v>91.03414792037546</v>
      </c>
      <c r="F252" s="1102" t="s">
        <v>2767</v>
      </c>
      <c r="G252" s="1103" t="s">
        <v>2768</v>
      </c>
      <c r="H252" s="1103" t="s">
        <v>2369</v>
      </c>
      <c r="I252" s="1104"/>
    </row>
    <row r="253" spans="2:9" s="109" customFormat="1" ht="15.75" outlineLevel="1" thickBot="1" x14ac:dyDescent="0.3">
      <c r="B253" s="1105" t="s">
        <v>2808</v>
      </c>
      <c r="C253" s="1106" t="s">
        <v>2922</v>
      </c>
      <c r="D253" s="1106" t="s">
        <v>2809</v>
      </c>
      <c r="E253" s="1107">
        <f>((v_10_SNOx*r_10))</f>
        <v>0</v>
      </c>
      <c r="F253" s="1107" t="s">
        <v>2767</v>
      </c>
      <c r="G253" s="1108" t="s">
        <v>2768</v>
      </c>
      <c r="H253" s="1108" t="s">
        <v>2369</v>
      </c>
      <c r="I253" s="1109"/>
    </row>
    <row r="254" spans="2:9" ht="15.75" thickBot="1" x14ac:dyDescent="0.3">
      <c r="B254" s="680"/>
      <c r="C254" s="229"/>
      <c r="D254" s="1075"/>
      <c r="E254" s="1076"/>
      <c r="F254" s="953"/>
      <c r="G254" s="679"/>
      <c r="H254" s="229"/>
      <c r="I254" s="682"/>
    </row>
    <row r="255" spans="2:9" s="109" customFormat="1" ht="15.75" thickBot="1" x14ac:dyDescent="0.3">
      <c r="C255" s="837" t="s">
        <v>2810</v>
      </c>
      <c r="D255" s="12" t="s">
        <v>310</v>
      </c>
      <c r="E255" s="12"/>
    </row>
    <row r="256" spans="2:9" s="109" customFormat="1" ht="15.75" thickBot="1" x14ac:dyDescent="0.3">
      <c r="B256" s="1077" t="s">
        <v>0</v>
      </c>
      <c r="C256" s="1078" t="s">
        <v>1</v>
      </c>
      <c r="D256" s="1079" t="s">
        <v>4</v>
      </c>
      <c r="E256" s="1079" t="s">
        <v>149</v>
      </c>
      <c r="F256" s="1079" t="s">
        <v>2</v>
      </c>
      <c r="G256" s="1079" t="s">
        <v>309</v>
      </c>
      <c r="H256" s="1079" t="s">
        <v>113</v>
      </c>
      <c r="I256" s="1080" t="s">
        <v>114</v>
      </c>
    </row>
    <row r="257" spans="2:9" s="109" customFormat="1" outlineLevel="1" x14ac:dyDescent="0.25">
      <c r="B257" s="1095" t="s">
        <v>2811</v>
      </c>
      <c r="C257" s="1096" t="s">
        <v>2923</v>
      </c>
      <c r="D257" s="1096" t="s">
        <v>2812</v>
      </c>
      <c r="E257" s="1097">
        <f>((v_1_SPO4*r_1)+(v_2_SPO4*r_2))</f>
        <v>-14.7349493339114</v>
      </c>
      <c r="F257" s="1097" t="s">
        <v>2767</v>
      </c>
      <c r="G257" s="1098" t="s">
        <v>2768</v>
      </c>
      <c r="H257" s="1098" t="s">
        <v>2369</v>
      </c>
      <c r="I257" s="1099"/>
    </row>
    <row r="258" spans="2:9" s="109" customFormat="1" outlineLevel="1" x14ac:dyDescent="0.25">
      <c r="B258" s="1100" t="s">
        <v>2813</v>
      </c>
      <c r="C258" s="1101" t="s">
        <v>2924</v>
      </c>
      <c r="D258" s="1101" t="s">
        <v>2814</v>
      </c>
      <c r="E258" s="1102">
        <f>((v_4_SPO4*r_4))</f>
        <v>-0.43696391001780222</v>
      </c>
      <c r="F258" s="1102" t="s">
        <v>2767</v>
      </c>
      <c r="G258" s="1103" t="s">
        <v>2768</v>
      </c>
      <c r="H258" s="1103" t="s">
        <v>2369</v>
      </c>
      <c r="I258" s="1104"/>
    </row>
    <row r="259" spans="2:9" s="109" customFormat="1" outlineLevel="1" x14ac:dyDescent="0.25">
      <c r="B259" s="1100" t="s">
        <v>2815</v>
      </c>
      <c r="C259" s="1101" t="s">
        <v>2925</v>
      </c>
      <c r="D259" s="1101" t="s">
        <v>2816</v>
      </c>
      <c r="E259" s="1102">
        <f>((v_10_SPO4*r_10)+(v_11_SPO4*r_11)+(v_12_SPO4*r_12)+(v_13_SPO4*r_13))</f>
        <v>0</v>
      </c>
      <c r="F259" s="1102" t="s">
        <v>2767</v>
      </c>
      <c r="G259" s="1103" t="s">
        <v>2768</v>
      </c>
      <c r="H259" s="1103" t="s">
        <v>2369</v>
      </c>
      <c r="I259" s="1104"/>
    </row>
    <row r="260" spans="2:9" s="109" customFormat="1" outlineLevel="1" x14ac:dyDescent="0.25">
      <c r="B260" s="1100" t="s">
        <v>2817</v>
      </c>
      <c r="C260" s="1101" t="s">
        <v>2926</v>
      </c>
      <c r="D260" s="1101" t="s">
        <v>2818</v>
      </c>
      <c r="E260" s="1102">
        <f>((v_14_SPO4*r_14)+(v_15_SPO4*r_15)+(v_19_SPO4*r_19))</f>
        <v>2.1829172164048569</v>
      </c>
      <c r="F260" s="1102" t="s">
        <v>2767</v>
      </c>
      <c r="G260" s="1103" t="s">
        <v>2768</v>
      </c>
      <c r="H260" s="1103" t="s">
        <v>2369</v>
      </c>
      <c r="I260" s="1104"/>
    </row>
    <row r="261" spans="2:9" s="109" customFormat="1" ht="15.75" outlineLevel="1" thickBot="1" x14ac:dyDescent="0.3">
      <c r="B261" s="1105" t="s">
        <v>2819</v>
      </c>
      <c r="C261" s="1106" t="s">
        <v>2927</v>
      </c>
      <c r="D261" s="1106" t="s">
        <v>2820</v>
      </c>
      <c r="E261" s="1107">
        <f>((v_20_SPO4*r_20)+(v_21_SPO4*r_21)+(v_22_SPO4*r_22)+(v_23_SPO4*r_23))</f>
        <v>-5.5282823300951787E-49</v>
      </c>
      <c r="F261" s="1107" t="s">
        <v>2767</v>
      </c>
      <c r="G261" s="1108" t="s">
        <v>2768</v>
      </c>
      <c r="H261" s="1108" t="s">
        <v>2369</v>
      </c>
      <c r="I261" s="1109"/>
    </row>
    <row r="262" spans="2:9" ht="15.75" thickBot="1" x14ac:dyDescent="0.3">
      <c r="B262" s="680"/>
      <c r="C262" s="229"/>
      <c r="D262" s="1075"/>
      <c r="E262" s="1076"/>
      <c r="F262" s="953"/>
      <c r="G262" s="679"/>
      <c r="H262" s="229"/>
      <c r="I262" s="682"/>
    </row>
    <row r="263" spans="2:9" s="109" customFormat="1" ht="15.75" thickBot="1" x14ac:dyDescent="0.3">
      <c r="C263" s="837" t="s">
        <v>2821</v>
      </c>
      <c r="D263" s="12" t="s">
        <v>310</v>
      </c>
      <c r="E263" s="12"/>
    </row>
    <row r="264" spans="2:9" s="109" customFormat="1" ht="15.75" thickBot="1" x14ac:dyDescent="0.3">
      <c r="B264" s="1077" t="s">
        <v>0</v>
      </c>
      <c r="C264" s="1078" t="s">
        <v>1</v>
      </c>
      <c r="D264" s="1079" t="s">
        <v>4</v>
      </c>
      <c r="E264" s="1079" t="s">
        <v>149</v>
      </c>
      <c r="F264" s="1079" t="s">
        <v>2</v>
      </c>
      <c r="G264" s="1079" t="s">
        <v>309</v>
      </c>
      <c r="H264" s="1079" t="s">
        <v>113</v>
      </c>
      <c r="I264" s="1080" t="s">
        <v>114</v>
      </c>
    </row>
    <row r="265" spans="2:9" s="109" customFormat="1" outlineLevel="1" x14ac:dyDescent="0.25">
      <c r="B265" s="1095" t="s">
        <v>2822</v>
      </c>
      <c r="C265" s="1096" t="s">
        <v>2823</v>
      </c>
      <c r="D265" s="1096" t="s">
        <v>2824</v>
      </c>
      <c r="E265" s="1097">
        <f>(v_29_SO2*r_29)</f>
        <v>800</v>
      </c>
      <c r="F265" s="1097" t="s">
        <v>2767</v>
      </c>
      <c r="G265" s="1098" t="s">
        <v>2768</v>
      </c>
      <c r="H265" s="1098" t="s">
        <v>2369</v>
      </c>
      <c r="I265" s="1099"/>
    </row>
    <row r="266" spans="2:9" s="109" customFormat="1" ht="15.75" outlineLevel="1" thickBot="1" x14ac:dyDescent="0.3">
      <c r="B266" s="1105" t="s">
        <v>2825</v>
      </c>
      <c r="C266" s="1106" t="s">
        <v>2826</v>
      </c>
      <c r="D266" s="1106" t="s">
        <v>2827</v>
      </c>
      <c r="E266" s="1107">
        <f>(v_33_SO2*r_33)</f>
        <v>24</v>
      </c>
      <c r="F266" s="1107" t="s">
        <v>2767</v>
      </c>
      <c r="G266" s="1108" t="s">
        <v>2768</v>
      </c>
      <c r="H266" s="1108" t="s">
        <v>2369</v>
      </c>
      <c r="I266" s="1109"/>
    </row>
    <row r="267" spans="2:9" ht="15.75" thickBot="1" x14ac:dyDescent="0.3">
      <c r="B267" s="680"/>
      <c r="C267" s="229"/>
      <c r="D267" s="1075"/>
      <c r="E267" s="1076"/>
      <c r="F267" s="953"/>
      <c r="G267" s="679"/>
      <c r="H267" s="229"/>
      <c r="I267" s="682"/>
    </row>
    <row r="268" spans="2:9" s="109" customFormat="1" ht="15.75" thickBot="1" x14ac:dyDescent="0.3">
      <c r="C268" s="837" t="s">
        <v>2828</v>
      </c>
      <c r="D268" s="12" t="s">
        <v>310</v>
      </c>
      <c r="E268" s="12"/>
    </row>
    <row r="269" spans="2:9" s="109" customFormat="1" ht="15.75" thickBot="1" x14ac:dyDescent="0.3">
      <c r="B269" s="1081" t="s">
        <v>0</v>
      </c>
      <c r="C269" s="1082" t="s">
        <v>1</v>
      </c>
      <c r="D269" s="1083" t="s">
        <v>4</v>
      </c>
      <c r="E269" s="1083" t="s">
        <v>149</v>
      </c>
      <c r="F269" s="1083" t="s">
        <v>2</v>
      </c>
      <c r="G269" s="1083" t="s">
        <v>309</v>
      </c>
      <c r="H269" s="1083" t="s">
        <v>113</v>
      </c>
      <c r="I269" s="1084" t="s">
        <v>114</v>
      </c>
    </row>
    <row r="270" spans="2:9" s="109" customFormat="1" ht="18" outlineLevel="1" x14ac:dyDescent="0.25">
      <c r="B270" s="1095" t="s">
        <v>2829</v>
      </c>
      <c r="C270" s="1096" t="s">
        <v>2846</v>
      </c>
      <c r="D270" s="1096" t="s">
        <v>2889</v>
      </c>
      <c r="E270" s="1097">
        <f>µ_NITO_T</f>
        <v>0.9</v>
      </c>
      <c r="F270" s="1097" t="s">
        <v>2830</v>
      </c>
      <c r="G270" s="1098">
        <v>2</v>
      </c>
      <c r="H270" s="1098" t="s">
        <v>2369</v>
      </c>
      <c r="I270" s="1099"/>
    </row>
    <row r="271" spans="2:9" s="109" customFormat="1" ht="18" outlineLevel="1" x14ac:dyDescent="0.25">
      <c r="B271" s="1100" t="s">
        <v>2831</v>
      </c>
      <c r="C271" s="1101" t="s">
        <v>2847</v>
      </c>
      <c r="D271" s="1101" t="s">
        <v>2888</v>
      </c>
      <c r="E271" s="1102">
        <f>X_NITO</f>
        <v>50</v>
      </c>
      <c r="F271" s="1102" t="s">
        <v>2832</v>
      </c>
      <c r="G271" s="1103">
        <v>2</v>
      </c>
      <c r="H271" s="1103" t="s">
        <v>2369</v>
      </c>
      <c r="I271" s="1104"/>
    </row>
    <row r="272" spans="2:9" s="109" customFormat="1" ht="18" outlineLevel="1" x14ac:dyDescent="0.25">
      <c r="B272" s="1100" t="s">
        <v>2833</v>
      </c>
      <c r="C272" s="1101" t="s">
        <v>2848</v>
      </c>
      <c r="D272" s="1101" t="s">
        <v>2887</v>
      </c>
      <c r="E272" s="1102">
        <f>M_satSNHx_KNHx_NITO</f>
        <v>0.81081081081081074</v>
      </c>
      <c r="F272" s="1110" t="s">
        <v>258</v>
      </c>
      <c r="G272" s="1103">
        <v>2</v>
      </c>
      <c r="H272" s="1103" t="s">
        <v>2369</v>
      </c>
      <c r="I272" s="1104"/>
    </row>
    <row r="273" spans="2:9" s="109" customFormat="1" outlineLevel="1" x14ac:dyDescent="0.25">
      <c r="B273" s="1100" t="s">
        <v>2834</v>
      </c>
      <c r="C273" s="1101" t="s">
        <v>2849</v>
      </c>
      <c r="D273" s="1101">
        <v>-1</v>
      </c>
      <c r="E273" s="1102">
        <f>-1</f>
        <v>-1</v>
      </c>
      <c r="F273" s="1110" t="s">
        <v>1229</v>
      </c>
      <c r="G273" s="1103">
        <v>2</v>
      </c>
      <c r="H273" s="1103" t="s">
        <v>2369</v>
      </c>
      <c r="I273" s="1104"/>
    </row>
    <row r="274" spans="2:9" s="109" customFormat="1" ht="18" outlineLevel="1" x14ac:dyDescent="0.25">
      <c r="B274" s="1100" t="s">
        <v>2835</v>
      </c>
      <c r="C274" s="1101" t="s">
        <v>2850</v>
      </c>
      <c r="D274" s="1101" t="s">
        <v>2886</v>
      </c>
      <c r="E274" s="1102">
        <f>M_satSO2_KO2_NITO</f>
        <v>0.8</v>
      </c>
      <c r="F274" s="1110" t="s">
        <v>258</v>
      </c>
      <c r="G274" s="1103">
        <v>2</v>
      </c>
      <c r="H274" s="1103" t="s">
        <v>2369</v>
      </c>
      <c r="I274" s="1104"/>
    </row>
    <row r="275" spans="2:9" s="109" customFormat="1" ht="18" outlineLevel="1" x14ac:dyDescent="0.25">
      <c r="B275" s="1100" t="s">
        <v>2836</v>
      </c>
      <c r="C275" s="1101" t="s">
        <v>2851</v>
      </c>
      <c r="D275" s="1101" t="s">
        <v>2898</v>
      </c>
      <c r="E275" s="1102">
        <f>M_satSPO4_KPO4_BIO</f>
        <v>0.99800399201596801</v>
      </c>
      <c r="F275" s="1110" t="s">
        <v>258</v>
      </c>
      <c r="G275" s="1103">
        <v>2</v>
      </c>
      <c r="H275" s="1103" t="s">
        <v>2369</v>
      </c>
      <c r="I275" s="1104"/>
    </row>
    <row r="276" spans="2:9" s="109" customFormat="1" outlineLevel="1" x14ac:dyDescent="0.25">
      <c r="B276" s="1100" t="s">
        <v>2837</v>
      </c>
      <c r="C276" s="1101" t="s">
        <v>2852</v>
      </c>
      <c r="D276" s="1101">
        <v>-1</v>
      </c>
      <c r="E276" s="1102">
        <f>-1</f>
        <v>-1</v>
      </c>
      <c r="F276" s="1110" t="s">
        <v>1229</v>
      </c>
      <c r="G276" s="1103">
        <v>2</v>
      </c>
      <c r="H276" s="1103" t="s">
        <v>2369</v>
      </c>
      <c r="I276" s="1104"/>
    </row>
    <row r="277" spans="2:9" s="109" customFormat="1" outlineLevel="1" x14ac:dyDescent="0.25">
      <c r="B277" s="1100" t="s">
        <v>2838</v>
      </c>
      <c r="C277" s="1101" t="s">
        <v>2853</v>
      </c>
      <c r="D277" s="1101">
        <v>-1</v>
      </c>
      <c r="E277" s="1102">
        <f>-1</f>
        <v>-1</v>
      </c>
      <c r="F277" s="1110" t="s">
        <v>1229</v>
      </c>
      <c r="G277" s="1103">
        <v>2</v>
      </c>
      <c r="H277" s="1103" t="s">
        <v>2369</v>
      </c>
      <c r="I277" s="1104"/>
    </row>
    <row r="278" spans="2:9" s="109" customFormat="1" outlineLevel="1" x14ac:dyDescent="0.25">
      <c r="B278" s="1100" t="s">
        <v>2839</v>
      </c>
      <c r="C278" s="1101" t="s">
        <v>2854</v>
      </c>
      <c r="D278" s="1101">
        <v>-1</v>
      </c>
      <c r="E278" s="1102">
        <f>-1</f>
        <v>-1</v>
      </c>
      <c r="F278" s="1110" t="s">
        <v>1229</v>
      </c>
      <c r="G278" s="1103">
        <v>2</v>
      </c>
      <c r="H278" s="1103" t="s">
        <v>2369</v>
      </c>
      <c r="I278" s="1104"/>
    </row>
    <row r="279" spans="2:9" s="109" customFormat="1" outlineLevel="1" x14ac:dyDescent="0.25">
      <c r="B279" s="1100" t="s">
        <v>2840</v>
      </c>
      <c r="C279" s="1101" t="s">
        <v>2855</v>
      </c>
      <c r="D279" s="1101">
        <v>-1</v>
      </c>
      <c r="E279" s="1102">
        <f>-1</f>
        <v>-1</v>
      </c>
      <c r="F279" s="1110" t="s">
        <v>1229</v>
      </c>
      <c r="G279" s="1103">
        <v>2</v>
      </c>
      <c r="H279" s="1103" t="s">
        <v>2369</v>
      </c>
      <c r="I279" s="1104"/>
    </row>
    <row r="280" spans="2:9" s="109" customFormat="1" outlineLevel="1" x14ac:dyDescent="0.25">
      <c r="B280" s="1100" t="s">
        <v>2841</v>
      </c>
      <c r="C280" s="1101" t="s">
        <v>2856</v>
      </c>
      <c r="D280" s="1101">
        <v>-1</v>
      </c>
      <c r="E280" s="1102">
        <f>-1</f>
        <v>-1</v>
      </c>
      <c r="F280" s="1110" t="s">
        <v>1229</v>
      </c>
      <c r="G280" s="1103">
        <v>2</v>
      </c>
      <c r="H280" s="1103" t="s">
        <v>2369</v>
      </c>
      <c r="I280" s="1104"/>
    </row>
    <row r="281" spans="2:9" s="109" customFormat="1" outlineLevel="1" x14ac:dyDescent="0.25">
      <c r="B281" s="1100" t="s">
        <v>2842</v>
      </c>
      <c r="C281" s="1101" t="s">
        <v>2857</v>
      </c>
      <c r="D281" s="1101">
        <v>-1</v>
      </c>
      <c r="E281" s="1102">
        <f>-1</f>
        <v>-1</v>
      </c>
      <c r="F281" s="1110" t="s">
        <v>1229</v>
      </c>
      <c r="G281" s="1103">
        <v>2</v>
      </c>
      <c r="H281" s="1103" t="s">
        <v>2369</v>
      </c>
      <c r="I281" s="1104"/>
    </row>
    <row r="282" spans="2:9" s="109" customFormat="1" outlineLevel="1" x14ac:dyDescent="0.25">
      <c r="B282" s="1100" t="s">
        <v>2843</v>
      </c>
      <c r="C282" s="1101" t="s">
        <v>2858</v>
      </c>
      <c r="D282" s="1101">
        <v>-1</v>
      </c>
      <c r="E282" s="1102">
        <f>-1</f>
        <v>-1</v>
      </c>
      <c r="F282" s="1110" t="s">
        <v>1229</v>
      </c>
      <c r="G282" s="1103">
        <v>2</v>
      </c>
      <c r="H282" s="1103" t="s">
        <v>2369</v>
      </c>
      <c r="I282" s="1104"/>
    </row>
    <row r="283" spans="2:9" s="109" customFormat="1" outlineLevel="1" x14ac:dyDescent="0.25">
      <c r="B283" s="1100" t="s">
        <v>2844</v>
      </c>
      <c r="C283" s="1101" t="s">
        <v>2859</v>
      </c>
      <c r="D283" s="1101">
        <v>-1</v>
      </c>
      <c r="E283" s="1102">
        <f>-1</f>
        <v>-1</v>
      </c>
      <c r="F283" s="1110" t="s">
        <v>1229</v>
      </c>
      <c r="G283" s="1103">
        <v>2</v>
      </c>
      <c r="H283" s="1103" t="s">
        <v>2369</v>
      </c>
      <c r="I283" s="1104"/>
    </row>
    <row r="284" spans="2:9" s="109" customFormat="1" ht="18.75" outlineLevel="1" thickBot="1" x14ac:dyDescent="0.3">
      <c r="B284" s="1105" t="s">
        <v>2845</v>
      </c>
      <c r="C284" s="1106" t="s">
        <v>2860</v>
      </c>
      <c r="D284" s="1106" t="s">
        <v>2885</v>
      </c>
      <c r="E284" s="1107">
        <f>M_satSALK_KALK</f>
        <v>0.75</v>
      </c>
      <c r="F284" s="1111" t="s">
        <v>258</v>
      </c>
      <c r="G284" s="1108">
        <v>2</v>
      </c>
      <c r="H284" s="1108" t="s">
        <v>2369</v>
      </c>
      <c r="I284" s="1109"/>
    </row>
    <row r="285" spans="2:9" s="109" customFormat="1" ht="15.75" thickBot="1" x14ac:dyDescent="0.3">
      <c r="E285" s="1085"/>
      <c r="H285" s="903"/>
    </row>
    <row r="286" spans="2:9" s="109" customFormat="1" ht="15.75" thickBot="1" x14ac:dyDescent="0.3">
      <c r="C286" s="837" t="s">
        <v>2861</v>
      </c>
      <c r="D286" s="12" t="s">
        <v>310</v>
      </c>
      <c r="E286" s="12"/>
    </row>
    <row r="287" spans="2:9" s="109" customFormat="1" ht="15.75" thickBot="1" x14ac:dyDescent="0.3">
      <c r="B287" s="1081" t="s">
        <v>0</v>
      </c>
      <c r="C287" s="1082" t="s">
        <v>1</v>
      </c>
      <c r="D287" s="1083" t="s">
        <v>4</v>
      </c>
      <c r="E287" s="1083" t="s">
        <v>149</v>
      </c>
      <c r="F287" s="1083" t="s">
        <v>2</v>
      </c>
      <c r="G287" s="1083" t="s">
        <v>309</v>
      </c>
      <c r="H287" s="1083" t="s">
        <v>113</v>
      </c>
      <c r="I287" s="1084" t="s">
        <v>114</v>
      </c>
    </row>
    <row r="288" spans="2:9" s="109" customFormat="1" ht="18" x14ac:dyDescent="0.25">
      <c r="B288" s="1112" t="s">
        <v>2862</v>
      </c>
      <c r="C288" s="1096" t="s">
        <v>2863</v>
      </c>
      <c r="D288" s="1096" t="s">
        <v>2883</v>
      </c>
      <c r="E288" s="1096">
        <f>µ_ALGAE_T</f>
        <v>2</v>
      </c>
      <c r="F288" s="1097" t="s">
        <v>2830</v>
      </c>
      <c r="G288" s="1098">
        <v>2</v>
      </c>
      <c r="H288" s="1098" t="s">
        <v>2369</v>
      </c>
      <c r="I288" s="1113"/>
    </row>
    <row r="289" spans="2:9" s="109" customFormat="1" ht="18" x14ac:dyDescent="0.25">
      <c r="B289" s="1114" t="s">
        <v>2864</v>
      </c>
      <c r="C289" s="1101" t="s">
        <v>2865</v>
      </c>
      <c r="D289" s="1101" t="s">
        <v>2884</v>
      </c>
      <c r="E289" s="1101">
        <f>X_ALGAE</f>
        <v>0</v>
      </c>
      <c r="F289" s="1102" t="s">
        <v>2832</v>
      </c>
      <c r="G289" s="1103">
        <v>2</v>
      </c>
      <c r="H289" s="1103" t="s">
        <v>2369</v>
      </c>
      <c r="I289" s="1115"/>
    </row>
    <row r="290" spans="2:9" s="109" customFormat="1" ht="30" x14ac:dyDescent="0.25">
      <c r="B290" s="1114" t="s">
        <v>2866</v>
      </c>
      <c r="C290" s="1101" t="s">
        <v>2867</v>
      </c>
      <c r="D290" s="1101">
        <v>-1</v>
      </c>
      <c r="E290" s="1101">
        <f>-1</f>
        <v>-1</v>
      </c>
      <c r="F290" s="1110" t="s">
        <v>1229</v>
      </c>
      <c r="G290" s="1103">
        <v>2</v>
      </c>
      <c r="H290" s="1103" t="s">
        <v>2369</v>
      </c>
      <c r="I290" s="1115"/>
    </row>
    <row r="291" spans="2:9" s="109" customFormat="1" x14ac:dyDescent="0.25">
      <c r="B291" s="1114" t="s">
        <v>2868</v>
      </c>
      <c r="C291" s="1101" t="s">
        <v>2869</v>
      </c>
      <c r="D291" s="1101" t="s">
        <v>2373</v>
      </c>
      <c r="E291" s="1101">
        <f>L_ightSwitch</f>
        <v>7.8183479115790095E-42</v>
      </c>
      <c r="F291" s="1110" t="s">
        <v>258</v>
      </c>
      <c r="G291" s="1103">
        <v>2</v>
      </c>
      <c r="H291" s="1103" t="s">
        <v>2369</v>
      </c>
      <c r="I291" s="1115"/>
    </row>
    <row r="292" spans="2:9" s="109" customFormat="1" ht="30" x14ac:dyDescent="0.25">
      <c r="B292" s="1114" t="s">
        <v>2870</v>
      </c>
      <c r="C292" s="1101" t="s">
        <v>2871</v>
      </c>
      <c r="D292" s="1101" t="s">
        <v>2880</v>
      </c>
      <c r="E292" s="1101">
        <f>M_satSNOx_KNOx_ALGAE</f>
        <v>0.967741935483871</v>
      </c>
      <c r="F292" s="1110" t="s">
        <v>258</v>
      </c>
      <c r="G292" s="1103">
        <v>2</v>
      </c>
      <c r="H292" s="1103" t="s">
        <v>2369</v>
      </c>
      <c r="I292" s="1115"/>
    </row>
    <row r="293" spans="2:9" s="109" customFormat="1" ht="30" x14ac:dyDescent="0.25">
      <c r="B293" s="1114" t="s">
        <v>2872</v>
      </c>
      <c r="C293" s="1101" t="s">
        <v>2873</v>
      </c>
      <c r="D293" s="1101" t="s">
        <v>2881</v>
      </c>
      <c r="E293" s="1101">
        <f>M_inhSNHx_KiNHx_ALGAE</f>
        <v>0.14285714285714285</v>
      </c>
      <c r="F293" s="1110" t="s">
        <v>258</v>
      </c>
      <c r="G293" s="1103">
        <v>2</v>
      </c>
      <c r="H293" s="1103" t="s">
        <v>2369</v>
      </c>
      <c r="I293" s="1115"/>
    </row>
    <row r="294" spans="2:9" s="109" customFormat="1" ht="30.75" thickBot="1" x14ac:dyDescent="0.3">
      <c r="B294" s="1116" t="s">
        <v>2874</v>
      </c>
      <c r="C294" s="1106" t="s">
        <v>2848</v>
      </c>
      <c r="D294" s="1106" t="s">
        <v>2882</v>
      </c>
      <c r="E294" s="1106">
        <f>M_satSNHx_KNHx_ALGAE</f>
        <v>0.81081081081081074</v>
      </c>
      <c r="F294" s="1111" t="s">
        <v>258</v>
      </c>
      <c r="G294" s="1108">
        <v>2</v>
      </c>
      <c r="H294" s="1108" t="s">
        <v>2369</v>
      </c>
      <c r="I294" s="1117"/>
    </row>
  </sheetData>
  <phoneticPr fontId="21" type="noConversion"/>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1:H122"/>
  <sheetViews>
    <sheetView zoomScale="80" zoomScaleNormal="80" workbookViewId="0">
      <selection activeCell="B23" sqref="B23"/>
    </sheetView>
  </sheetViews>
  <sheetFormatPr baseColWidth="10" defaultColWidth="8.7109375" defaultRowHeight="15" x14ac:dyDescent="0.25"/>
  <cols>
    <col min="1" max="1" width="5.7109375" style="869" customWidth="1"/>
    <col min="2" max="2" width="51.28515625" style="869" customWidth="1"/>
    <col min="3" max="3" width="52" style="869" customWidth="1"/>
    <col min="4" max="4" width="75.7109375" style="870" bestFit="1" customWidth="1"/>
    <col min="5" max="5" width="17.7109375" style="869" customWidth="1"/>
    <col min="6" max="6" width="9.28515625" style="869" customWidth="1"/>
    <col min="7" max="7" width="2.7109375" style="869" customWidth="1"/>
    <col min="8" max="8" width="56.7109375" style="871" customWidth="1"/>
    <col min="9" max="16384" width="8.7109375" style="869"/>
  </cols>
  <sheetData>
    <row r="1" spans="2:8" s="857" customFormat="1" x14ac:dyDescent="0.25">
      <c r="D1" s="858"/>
    </row>
    <row r="2" spans="2:8" s="857" customFormat="1" ht="15.75" thickBot="1" x14ac:dyDescent="0.3">
      <c r="C2" s="859" t="s">
        <v>378</v>
      </c>
      <c r="D2" s="858"/>
    </row>
    <row r="3" spans="2:8" s="857" customFormat="1" ht="15.75" thickBot="1" x14ac:dyDescent="0.3">
      <c r="B3" s="860" t="s">
        <v>0</v>
      </c>
      <c r="C3" s="861" t="s">
        <v>1</v>
      </c>
      <c r="D3" s="862" t="s">
        <v>4</v>
      </c>
      <c r="E3" s="863" t="s">
        <v>113</v>
      </c>
      <c r="F3" s="863" t="s">
        <v>2</v>
      </c>
      <c r="H3" s="863" t="s">
        <v>2396</v>
      </c>
    </row>
    <row r="4" spans="2:8" s="857" customFormat="1" x14ac:dyDescent="0.25">
      <c r="B4" s="864" t="s">
        <v>162</v>
      </c>
      <c r="C4" s="865" t="s">
        <v>163</v>
      </c>
      <c r="D4" s="866" t="s">
        <v>2397</v>
      </c>
      <c r="E4" s="867"/>
      <c r="F4" s="867"/>
      <c r="H4" s="868"/>
    </row>
    <row r="5" spans="2:8" s="857" customFormat="1" x14ac:dyDescent="0.25">
      <c r="B5" s="864" t="s">
        <v>165</v>
      </c>
      <c r="C5" s="865" t="s">
        <v>166</v>
      </c>
      <c r="D5" s="866" t="s">
        <v>167</v>
      </c>
      <c r="E5" s="867"/>
      <c r="F5" s="867"/>
      <c r="H5" s="868"/>
    </row>
    <row r="6" spans="2:8" s="857" customFormat="1" x14ac:dyDescent="0.25">
      <c r="B6" s="864" t="s">
        <v>244</v>
      </c>
      <c r="C6" s="865" t="s">
        <v>245</v>
      </c>
      <c r="D6" s="866" t="s">
        <v>379</v>
      </c>
      <c r="E6" s="867"/>
      <c r="F6" s="867"/>
      <c r="H6" s="868"/>
    </row>
    <row r="7" spans="2:8" s="857" customFormat="1" x14ac:dyDescent="0.25">
      <c r="B7" s="864" t="s">
        <v>246</v>
      </c>
      <c r="C7" s="865" t="s">
        <v>247</v>
      </c>
      <c r="D7" s="866" t="s">
        <v>2398</v>
      </c>
      <c r="E7" s="867"/>
      <c r="F7" s="867"/>
      <c r="H7" s="868"/>
    </row>
    <row r="8" spans="2:8" s="857" customFormat="1" x14ac:dyDescent="0.25">
      <c r="B8" s="864" t="s">
        <v>168</v>
      </c>
      <c r="C8" s="865" t="s">
        <v>169</v>
      </c>
      <c r="D8" s="866" t="s">
        <v>170</v>
      </c>
      <c r="E8" s="867"/>
      <c r="F8" s="867"/>
      <c r="H8" s="868"/>
    </row>
    <row r="9" spans="2:8" s="857" customFormat="1" x14ac:dyDescent="0.25">
      <c r="B9" s="864" t="s">
        <v>2399</v>
      </c>
      <c r="C9" s="865" t="s">
        <v>2400</v>
      </c>
      <c r="D9" s="866" t="s">
        <v>2401</v>
      </c>
      <c r="E9" s="867"/>
      <c r="F9" s="867"/>
      <c r="H9" s="868"/>
    </row>
    <row r="10" spans="2:8" s="857" customFormat="1" x14ac:dyDescent="0.25">
      <c r="B10" s="864" t="s">
        <v>2402</v>
      </c>
      <c r="C10" s="865" t="s">
        <v>2403</v>
      </c>
      <c r="D10" s="866" t="s">
        <v>2404</v>
      </c>
      <c r="E10" s="867"/>
      <c r="F10" s="867"/>
      <c r="H10" s="868"/>
    </row>
    <row r="11" spans="2:8" s="857" customFormat="1" x14ac:dyDescent="0.25">
      <c r="B11" s="500" t="s">
        <v>2405</v>
      </c>
      <c r="C11" s="449" t="s">
        <v>172</v>
      </c>
      <c r="D11" s="853" t="s">
        <v>2406</v>
      </c>
      <c r="E11" s="501"/>
      <c r="F11" s="501"/>
      <c r="H11" s="868"/>
    </row>
    <row r="12" spans="2:8" s="857" customFormat="1" x14ac:dyDescent="0.25">
      <c r="B12" s="500" t="s">
        <v>2407</v>
      </c>
      <c r="C12" s="449" t="s">
        <v>175</v>
      </c>
      <c r="D12" s="853" t="s">
        <v>2408</v>
      </c>
      <c r="E12" s="501"/>
      <c r="F12" s="501"/>
      <c r="H12" s="868"/>
    </row>
    <row r="13" spans="2:8" s="857" customFormat="1" x14ac:dyDescent="0.25">
      <c r="B13" s="500" t="s">
        <v>2409</v>
      </c>
      <c r="C13" s="449" t="s">
        <v>2410</v>
      </c>
      <c r="D13" s="853" t="s">
        <v>984</v>
      </c>
      <c r="E13" s="501"/>
      <c r="F13" s="501"/>
      <c r="H13" s="450"/>
    </row>
    <row r="14" spans="2:8" s="857" customFormat="1" x14ac:dyDescent="0.25">
      <c r="B14" s="500" t="s">
        <v>2411</v>
      </c>
      <c r="C14" s="449" t="s">
        <v>2412</v>
      </c>
      <c r="D14" s="853" t="s">
        <v>985</v>
      </c>
      <c r="E14" s="501"/>
      <c r="F14" s="501"/>
      <c r="H14" s="450"/>
    </row>
    <row r="15" spans="2:8" s="857" customFormat="1" x14ac:dyDescent="0.25">
      <c r="B15" s="864" t="s">
        <v>1084</v>
      </c>
      <c r="C15" s="865" t="s">
        <v>986</v>
      </c>
      <c r="D15" s="866" t="s">
        <v>1085</v>
      </c>
      <c r="E15" s="867"/>
      <c r="F15" s="867"/>
      <c r="H15" s="868"/>
    </row>
    <row r="16" spans="2:8" s="857" customFormat="1" x14ac:dyDescent="0.25">
      <c r="B16" s="864" t="s">
        <v>987</v>
      </c>
      <c r="C16" s="865" t="s">
        <v>988</v>
      </c>
      <c r="D16" s="866" t="s">
        <v>989</v>
      </c>
      <c r="E16" s="867"/>
      <c r="F16" s="867"/>
      <c r="H16" s="868"/>
    </row>
    <row r="17" spans="2:8" s="857" customFormat="1" x14ac:dyDescent="0.25">
      <c r="B17" s="864" t="s">
        <v>177</v>
      </c>
      <c r="C17" s="865" t="s">
        <v>178</v>
      </c>
      <c r="D17" s="866" t="s">
        <v>179</v>
      </c>
      <c r="E17" s="867"/>
      <c r="F17" s="867"/>
      <c r="H17" s="868"/>
    </row>
    <row r="18" spans="2:8" s="857" customFormat="1" x14ac:dyDescent="0.25">
      <c r="B18" s="864" t="s">
        <v>180</v>
      </c>
      <c r="C18" s="865" t="s">
        <v>181</v>
      </c>
      <c r="D18" s="866" t="s">
        <v>744</v>
      </c>
      <c r="E18" s="867"/>
      <c r="F18" s="867"/>
      <c r="H18" s="868"/>
    </row>
    <row r="19" spans="2:8" s="857" customFormat="1" x14ac:dyDescent="0.25">
      <c r="B19" s="864" t="s">
        <v>148</v>
      </c>
      <c r="C19" s="865" t="s">
        <v>146</v>
      </c>
      <c r="D19" s="866" t="s">
        <v>147</v>
      </c>
      <c r="E19" s="867"/>
      <c r="F19" s="867"/>
      <c r="H19" s="868"/>
    </row>
    <row r="20" spans="2:8" s="857" customFormat="1" x14ac:dyDescent="0.25">
      <c r="B20" s="864" t="s">
        <v>380</v>
      </c>
      <c r="C20" s="865" t="s">
        <v>381</v>
      </c>
      <c r="D20" s="866" t="s">
        <v>745</v>
      </c>
      <c r="E20" s="867"/>
      <c r="F20" s="867"/>
      <c r="H20" s="868" t="s">
        <v>382</v>
      </c>
    </row>
    <row r="21" spans="2:8" s="857" customFormat="1" x14ac:dyDescent="0.25">
      <c r="B21" s="864" t="s">
        <v>2413</v>
      </c>
      <c r="C21" s="865" t="s">
        <v>2414</v>
      </c>
      <c r="D21" s="866" t="s">
        <v>2415</v>
      </c>
      <c r="E21" s="867"/>
      <c r="F21" s="867"/>
      <c r="H21" s="868"/>
    </row>
    <row r="22" spans="2:8" s="857" customFormat="1" ht="18" x14ac:dyDescent="0.25">
      <c r="B22" s="864" t="s">
        <v>2416</v>
      </c>
      <c r="C22" s="865" t="s">
        <v>2417</v>
      </c>
      <c r="D22" s="866" t="s">
        <v>2418</v>
      </c>
      <c r="E22" s="867"/>
      <c r="F22" s="867"/>
      <c r="H22" s="868"/>
    </row>
    <row r="23" spans="2:8" s="857" customFormat="1" ht="18" x14ac:dyDescent="0.25">
      <c r="B23" s="864" t="s">
        <v>2419</v>
      </c>
      <c r="C23" s="865" t="s">
        <v>2420</v>
      </c>
      <c r="D23" s="866" t="s">
        <v>2421</v>
      </c>
      <c r="E23" s="867"/>
      <c r="F23" s="867"/>
      <c r="H23" s="868"/>
    </row>
    <row r="24" spans="2:8" s="857" customFormat="1" ht="18" x14ac:dyDescent="0.25">
      <c r="B24" s="864" t="s">
        <v>2422</v>
      </c>
      <c r="C24" s="865" t="s">
        <v>383</v>
      </c>
      <c r="D24" s="866" t="s">
        <v>2423</v>
      </c>
      <c r="E24" s="867"/>
      <c r="F24" s="867"/>
      <c r="H24" s="868"/>
    </row>
    <row r="25" spans="2:8" s="857" customFormat="1" ht="18" x14ac:dyDescent="0.25">
      <c r="B25" s="864" t="s">
        <v>2424</v>
      </c>
      <c r="C25" s="865" t="s">
        <v>2425</v>
      </c>
      <c r="D25" s="866" t="s">
        <v>2426</v>
      </c>
      <c r="E25" s="867"/>
      <c r="F25" s="867"/>
      <c r="H25" s="868"/>
    </row>
    <row r="26" spans="2:8" s="857" customFormat="1" ht="18" x14ac:dyDescent="0.25">
      <c r="B26" s="864" t="s">
        <v>2427</v>
      </c>
      <c r="C26" s="865" t="s">
        <v>2428</v>
      </c>
      <c r="D26" s="866" t="s">
        <v>2429</v>
      </c>
      <c r="E26" s="867"/>
      <c r="F26" s="867"/>
      <c r="H26" s="868"/>
    </row>
    <row r="27" spans="2:8" s="857" customFormat="1" ht="18" x14ac:dyDescent="0.25">
      <c r="B27" s="864" t="s">
        <v>2430</v>
      </c>
      <c r="C27" s="865" t="s">
        <v>2431</v>
      </c>
      <c r="D27" s="866" t="s">
        <v>2432</v>
      </c>
      <c r="E27" s="867"/>
      <c r="F27" s="867"/>
      <c r="H27" s="868"/>
    </row>
    <row r="28" spans="2:8" s="857" customFormat="1" ht="18" x14ac:dyDescent="0.25">
      <c r="B28" s="864" t="s">
        <v>2433</v>
      </c>
      <c r="C28" s="865" t="s">
        <v>2434</v>
      </c>
      <c r="D28" s="866" t="s">
        <v>2435</v>
      </c>
      <c r="E28" s="867"/>
      <c r="F28" s="867"/>
      <c r="H28" s="868"/>
    </row>
    <row r="29" spans="2:8" s="857" customFormat="1" ht="18" x14ac:dyDescent="0.25">
      <c r="B29" s="864" t="s">
        <v>2436</v>
      </c>
      <c r="C29" s="865" t="s">
        <v>2437</v>
      </c>
      <c r="D29" s="866" t="s">
        <v>2438</v>
      </c>
      <c r="E29" s="867"/>
      <c r="F29" s="867"/>
      <c r="H29" s="868"/>
    </row>
    <row r="30" spans="2:8" s="857" customFormat="1" ht="18" x14ac:dyDescent="0.25">
      <c r="B30" s="864" t="s">
        <v>2439</v>
      </c>
      <c r="C30" s="865" t="s">
        <v>2440</v>
      </c>
      <c r="D30" s="866" t="s">
        <v>2441</v>
      </c>
      <c r="E30" s="867"/>
      <c r="F30" s="867"/>
      <c r="H30" s="868"/>
    </row>
    <row r="31" spans="2:8" s="857" customFormat="1" x14ac:dyDescent="0.25">
      <c r="D31" s="858"/>
    </row>
    <row r="32" spans="2:8" s="857" customFormat="1" ht="15.75" thickBot="1" x14ac:dyDescent="0.3">
      <c r="C32" s="859" t="s">
        <v>2442</v>
      </c>
      <c r="D32" s="858"/>
    </row>
    <row r="33" spans="2:8" s="857" customFormat="1" ht="15.75" thickBot="1" x14ac:dyDescent="0.3">
      <c r="B33" s="860" t="s">
        <v>0</v>
      </c>
      <c r="C33" s="861" t="s">
        <v>1</v>
      </c>
      <c r="D33" s="862" t="s">
        <v>4</v>
      </c>
      <c r="E33" s="863" t="s">
        <v>113</v>
      </c>
      <c r="F33" s="863" t="s">
        <v>2</v>
      </c>
      <c r="H33" s="863" t="s">
        <v>2443</v>
      </c>
    </row>
    <row r="34" spans="2:8" s="857" customFormat="1" x14ac:dyDescent="0.25">
      <c r="B34" s="864" t="s">
        <v>2444</v>
      </c>
      <c r="C34" s="865" t="s">
        <v>2445</v>
      </c>
      <c r="D34" s="866" t="s">
        <v>2446</v>
      </c>
      <c r="E34" s="867"/>
      <c r="F34" s="867"/>
      <c r="H34" s="868"/>
    </row>
    <row r="35" spans="2:8" s="857" customFormat="1" ht="120" x14ac:dyDescent="0.25">
      <c r="B35" s="864" t="s">
        <v>2447</v>
      </c>
      <c r="C35" s="865" t="s">
        <v>2448</v>
      </c>
      <c r="D35" s="866" t="s">
        <v>2449</v>
      </c>
      <c r="E35" s="867"/>
      <c r="F35" s="867"/>
      <c r="H35" s="868"/>
    </row>
    <row r="36" spans="2:8" s="857" customFormat="1" x14ac:dyDescent="0.25">
      <c r="B36" s="864" t="s">
        <v>2450</v>
      </c>
      <c r="C36" s="865" t="s">
        <v>2451</v>
      </c>
      <c r="D36" s="866" t="s">
        <v>2452</v>
      </c>
      <c r="E36" s="867"/>
      <c r="F36" s="867"/>
      <c r="H36" s="868"/>
    </row>
    <row r="37" spans="2:8" s="857" customFormat="1" x14ac:dyDescent="0.25">
      <c r="B37" s="864" t="s">
        <v>2453</v>
      </c>
      <c r="C37" s="865" t="s">
        <v>2454</v>
      </c>
      <c r="D37" s="866" t="s">
        <v>2455</v>
      </c>
      <c r="E37" s="867"/>
      <c r="F37" s="867"/>
      <c r="H37" s="868"/>
    </row>
    <row r="38" spans="2:8" s="857" customFormat="1" x14ac:dyDescent="0.25">
      <c r="B38" s="864" t="s">
        <v>2456</v>
      </c>
      <c r="C38" s="865" t="s">
        <v>2457</v>
      </c>
      <c r="D38" s="866" t="s">
        <v>2458</v>
      </c>
      <c r="E38" s="867"/>
      <c r="F38" s="867"/>
      <c r="H38" s="868"/>
    </row>
    <row r="39" spans="2:8" s="857" customFormat="1" x14ac:dyDescent="0.25">
      <c r="B39" s="864" t="s">
        <v>2459</v>
      </c>
      <c r="C39" s="865" t="s">
        <v>2460</v>
      </c>
      <c r="D39" s="866" t="s">
        <v>2461</v>
      </c>
      <c r="E39" s="867"/>
      <c r="F39" s="867"/>
      <c r="H39" s="868"/>
    </row>
    <row r="40" spans="2:8" s="857" customFormat="1" x14ac:dyDescent="0.25">
      <c r="B40" s="864" t="s">
        <v>2462</v>
      </c>
      <c r="C40" s="865" t="s">
        <v>2463</v>
      </c>
      <c r="D40" s="866" t="s">
        <v>2464</v>
      </c>
      <c r="E40" s="867"/>
      <c r="F40" s="867"/>
      <c r="H40" s="868"/>
    </row>
    <row r="41" spans="2:8" s="857" customFormat="1" x14ac:dyDescent="0.25">
      <c r="B41" s="864" t="s">
        <v>2465</v>
      </c>
      <c r="C41" s="865" t="s">
        <v>2466</v>
      </c>
      <c r="D41" s="866" t="s">
        <v>2467</v>
      </c>
      <c r="E41" s="867"/>
      <c r="F41" s="867"/>
      <c r="H41" s="868"/>
    </row>
    <row r="42" spans="2:8" s="857" customFormat="1" ht="90" x14ac:dyDescent="0.25">
      <c r="B42" s="864" t="s">
        <v>2468</v>
      </c>
      <c r="C42" s="865" t="s">
        <v>2469</v>
      </c>
      <c r="D42" s="866" t="s">
        <v>2470</v>
      </c>
      <c r="E42" s="867"/>
      <c r="F42" s="867"/>
      <c r="H42" s="868"/>
    </row>
    <row r="43" spans="2:8" s="857" customFormat="1" x14ac:dyDescent="0.25">
      <c r="B43" s="864" t="s">
        <v>2471</v>
      </c>
      <c r="C43" s="865" t="s">
        <v>2472</v>
      </c>
      <c r="D43" s="866" t="s">
        <v>2473</v>
      </c>
      <c r="E43" s="867"/>
      <c r="F43" s="867"/>
      <c r="H43" s="868"/>
    </row>
    <row r="44" spans="2:8" s="857" customFormat="1" x14ac:dyDescent="0.25">
      <c r="B44" s="864" t="s">
        <v>2474</v>
      </c>
      <c r="C44" s="865"/>
      <c r="D44" s="866" t="s">
        <v>2473</v>
      </c>
      <c r="E44" s="867" t="s">
        <v>2475</v>
      </c>
      <c r="F44" s="867"/>
      <c r="H44" s="868"/>
    </row>
    <row r="45" spans="2:8" s="857" customFormat="1" ht="90" x14ac:dyDescent="0.25">
      <c r="B45" s="864" t="s">
        <v>2476</v>
      </c>
      <c r="C45" s="865" t="s">
        <v>2477</v>
      </c>
      <c r="D45" s="866" t="s">
        <v>2478</v>
      </c>
      <c r="E45" s="867"/>
      <c r="F45" s="867"/>
      <c r="H45" s="868"/>
    </row>
    <row r="46" spans="2:8" s="857" customFormat="1" ht="270" x14ac:dyDescent="0.25">
      <c r="B46" s="864" t="s">
        <v>2479</v>
      </c>
      <c r="C46" s="865" t="s">
        <v>2480</v>
      </c>
      <c r="D46" s="866" t="s">
        <v>2481</v>
      </c>
      <c r="E46" s="867"/>
      <c r="F46" s="867"/>
      <c r="H46" s="868"/>
    </row>
    <row r="47" spans="2:8" s="857" customFormat="1" ht="90" x14ac:dyDescent="0.25">
      <c r="B47" s="864" t="s">
        <v>2482</v>
      </c>
      <c r="C47" s="865" t="s">
        <v>2483</v>
      </c>
      <c r="D47" s="866" t="s">
        <v>2484</v>
      </c>
      <c r="E47" s="867"/>
      <c r="F47" s="867"/>
      <c r="H47" s="868"/>
    </row>
    <row r="48" spans="2:8" s="857" customFormat="1" ht="90" x14ac:dyDescent="0.25">
      <c r="B48" s="864" t="s">
        <v>2485</v>
      </c>
      <c r="C48" s="865" t="s">
        <v>2486</v>
      </c>
      <c r="D48" s="866" t="s">
        <v>2487</v>
      </c>
      <c r="E48" s="867"/>
      <c r="F48" s="867"/>
      <c r="H48" s="868"/>
    </row>
    <row r="49" spans="2:8" s="857" customFormat="1" ht="90" x14ac:dyDescent="0.25">
      <c r="B49" s="864" t="s">
        <v>2488</v>
      </c>
      <c r="C49" s="865" t="s">
        <v>2489</v>
      </c>
      <c r="D49" s="866" t="s">
        <v>2490</v>
      </c>
      <c r="E49" s="867"/>
      <c r="F49" s="867"/>
      <c r="H49" s="868"/>
    </row>
    <row r="50" spans="2:8" s="857" customFormat="1" ht="105" x14ac:dyDescent="0.25">
      <c r="B50" s="864" t="s">
        <v>2491</v>
      </c>
      <c r="C50" s="865" t="s">
        <v>2492</v>
      </c>
      <c r="D50" s="866" t="s">
        <v>2493</v>
      </c>
      <c r="E50" s="867"/>
      <c r="F50" s="867"/>
      <c r="H50" s="868"/>
    </row>
    <row r="51" spans="2:8" s="857" customFormat="1" ht="90" x14ac:dyDescent="0.25">
      <c r="B51" s="864" t="s">
        <v>2494</v>
      </c>
      <c r="C51" s="865" t="s">
        <v>2495</v>
      </c>
      <c r="D51" s="866" t="s">
        <v>2496</v>
      </c>
      <c r="E51" s="867"/>
      <c r="F51" s="867"/>
      <c r="H51" s="868"/>
    </row>
    <row r="52" spans="2:8" s="857" customFormat="1" x14ac:dyDescent="0.25">
      <c r="B52" s="864" t="s">
        <v>2497</v>
      </c>
      <c r="C52" s="865" t="s">
        <v>2498</v>
      </c>
      <c r="D52" s="866" t="s">
        <v>2499</v>
      </c>
      <c r="E52" s="867"/>
      <c r="F52" s="867"/>
      <c r="H52" s="868"/>
    </row>
    <row r="53" spans="2:8" s="857" customFormat="1" x14ac:dyDescent="0.25">
      <c r="B53" s="864" t="s">
        <v>2500</v>
      </c>
      <c r="C53" s="865" t="s">
        <v>2501</v>
      </c>
      <c r="D53" s="866" t="s">
        <v>2502</v>
      </c>
      <c r="E53" s="867"/>
      <c r="F53" s="867"/>
      <c r="H53" s="868"/>
    </row>
    <row r="54" spans="2:8" s="857" customFormat="1" x14ac:dyDescent="0.25">
      <c r="B54" s="864" t="s">
        <v>2503</v>
      </c>
      <c r="C54" s="865" t="s">
        <v>2504</v>
      </c>
      <c r="D54" s="866" t="s">
        <v>2505</v>
      </c>
      <c r="E54" s="867"/>
      <c r="F54" s="867"/>
      <c r="H54" s="868"/>
    </row>
    <row r="55" spans="2:8" s="857" customFormat="1" x14ac:dyDescent="0.25">
      <c r="B55" s="864" t="s">
        <v>2506</v>
      </c>
      <c r="C55" s="865" t="s">
        <v>2507</v>
      </c>
      <c r="D55" s="866" t="s">
        <v>2508</v>
      </c>
      <c r="E55" s="867"/>
      <c r="F55" s="867"/>
      <c r="H55" s="868"/>
    </row>
    <row r="56" spans="2:8" s="857" customFormat="1" x14ac:dyDescent="0.25">
      <c r="B56" s="864" t="s">
        <v>2509</v>
      </c>
      <c r="C56" s="865" t="s">
        <v>2510</v>
      </c>
      <c r="D56" s="866" t="s">
        <v>2511</v>
      </c>
      <c r="E56" s="867"/>
      <c r="F56" s="867"/>
      <c r="H56" s="868"/>
    </row>
    <row r="57" spans="2:8" s="857" customFormat="1" x14ac:dyDescent="0.25">
      <c r="B57" s="864" t="s">
        <v>2512</v>
      </c>
      <c r="C57" s="865" t="s">
        <v>2513</v>
      </c>
      <c r="D57" s="866" t="s">
        <v>2514</v>
      </c>
      <c r="E57" s="867"/>
      <c r="F57" s="867"/>
      <c r="H57" s="868"/>
    </row>
    <row r="58" spans="2:8" s="857" customFormat="1" x14ac:dyDescent="0.25">
      <c r="B58" s="864" t="s">
        <v>2515</v>
      </c>
      <c r="C58" s="865" t="s">
        <v>2516</v>
      </c>
      <c r="D58" s="866" t="s">
        <v>2517</v>
      </c>
      <c r="E58" s="867"/>
      <c r="F58" s="867"/>
      <c r="H58" s="868"/>
    </row>
    <row r="59" spans="2:8" s="857" customFormat="1" x14ac:dyDescent="0.25">
      <c r="B59" s="864" t="s">
        <v>2518</v>
      </c>
      <c r="C59" s="865" t="s">
        <v>2519</v>
      </c>
      <c r="D59" s="866" t="s">
        <v>2520</v>
      </c>
      <c r="E59" s="867"/>
      <c r="F59" s="867"/>
      <c r="H59" s="868"/>
    </row>
    <row r="60" spans="2:8" s="857" customFormat="1" x14ac:dyDescent="0.25">
      <c r="B60" s="864" t="s">
        <v>2521</v>
      </c>
      <c r="C60" s="865" t="s">
        <v>2522</v>
      </c>
      <c r="D60" s="866" t="s">
        <v>2523</v>
      </c>
      <c r="E60" s="867"/>
      <c r="F60" s="867"/>
      <c r="H60" s="868"/>
    </row>
    <row r="61" spans="2:8" s="857" customFormat="1" x14ac:dyDescent="0.25">
      <c r="B61" s="864" t="s">
        <v>2524</v>
      </c>
      <c r="C61" s="865" t="s">
        <v>2525</v>
      </c>
      <c r="D61" s="866" t="s">
        <v>2526</v>
      </c>
      <c r="E61" s="867"/>
      <c r="F61" s="867"/>
      <c r="H61" s="868"/>
    </row>
    <row r="62" spans="2:8" s="857" customFormat="1" x14ac:dyDescent="0.25">
      <c r="D62" s="858"/>
    </row>
    <row r="63" spans="2:8" s="857" customFormat="1" ht="15.75" thickBot="1" x14ac:dyDescent="0.3">
      <c r="C63" s="861" t="s">
        <v>2527</v>
      </c>
      <c r="D63" s="858"/>
    </row>
    <row r="64" spans="2:8" s="857" customFormat="1" ht="15.75" thickBot="1" x14ac:dyDescent="0.3">
      <c r="B64" s="860" t="s">
        <v>0</v>
      </c>
      <c r="C64" s="861" t="s">
        <v>1</v>
      </c>
      <c r="D64" s="862" t="s">
        <v>4</v>
      </c>
      <c r="E64" s="863" t="s">
        <v>2528</v>
      </c>
      <c r="F64" s="863"/>
      <c r="H64" s="863"/>
    </row>
    <row r="65" spans="2:8" s="857" customFormat="1" x14ac:dyDescent="0.25">
      <c r="B65" s="864" t="s">
        <v>2529</v>
      </c>
      <c r="C65" s="865" t="s">
        <v>2530</v>
      </c>
      <c r="D65" s="866" t="s">
        <v>2531</v>
      </c>
      <c r="E65" s="867"/>
      <c r="F65" s="867"/>
      <c r="H65" s="868"/>
    </row>
    <row r="66" spans="2:8" s="857" customFormat="1" x14ac:dyDescent="0.25">
      <c r="B66" s="864" t="s">
        <v>187</v>
      </c>
      <c r="C66" s="865" t="s">
        <v>2532</v>
      </c>
      <c r="D66" s="866" t="s">
        <v>189</v>
      </c>
      <c r="E66" s="867"/>
      <c r="F66" s="867"/>
      <c r="H66" s="868"/>
    </row>
    <row r="67" spans="2:8" s="857" customFormat="1" x14ac:dyDescent="0.25">
      <c r="B67" s="864" t="s">
        <v>2533</v>
      </c>
      <c r="C67" s="865" t="s">
        <v>2532</v>
      </c>
      <c r="D67" s="866" t="s">
        <v>2534</v>
      </c>
      <c r="E67" s="867"/>
      <c r="F67" s="867"/>
      <c r="H67" s="868"/>
    </row>
    <row r="68" spans="2:8" s="857" customFormat="1" x14ac:dyDescent="0.25">
      <c r="B68" s="864" t="s">
        <v>2535</v>
      </c>
      <c r="C68" s="865" t="s">
        <v>2532</v>
      </c>
      <c r="D68" s="866" t="s">
        <v>2536</v>
      </c>
      <c r="E68" s="867"/>
      <c r="F68" s="867"/>
      <c r="H68" s="868"/>
    </row>
    <row r="69" spans="2:8" s="857" customFormat="1" x14ac:dyDescent="0.25">
      <c r="B69" s="864" t="s">
        <v>2537</v>
      </c>
      <c r="C69" s="865" t="s">
        <v>2532</v>
      </c>
      <c r="D69" s="866" t="s">
        <v>2538</v>
      </c>
      <c r="E69" s="867"/>
      <c r="F69" s="867"/>
      <c r="H69" s="868"/>
    </row>
    <row r="70" spans="2:8" s="857" customFormat="1" x14ac:dyDescent="0.25">
      <c r="B70" s="864" t="s">
        <v>2539</v>
      </c>
      <c r="C70" s="865" t="s">
        <v>2532</v>
      </c>
      <c r="D70" s="866" t="s">
        <v>2540</v>
      </c>
      <c r="E70" s="867"/>
      <c r="F70" s="867"/>
      <c r="H70" s="868"/>
    </row>
    <row r="71" spans="2:8" s="857" customFormat="1" x14ac:dyDescent="0.25">
      <c r="B71" s="864" t="s">
        <v>2541</v>
      </c>
      <c r="C71" s="865" t="s">
        <v>2532</v>
      </c>
      <c r="D71" s="866" t="s">
        <v>2542</v>
      </c>
      <c r="E71" s="867"/>
      <c r="F71" s="867"/>
      <c r="H71" s="868"/>
    </row>
    <row r="72" spans="2:8" s="857" customFormat="1" x14ac:dyDescent="0.25">
      <c r="B72" s="864" t="s">
        <v>2543</v>
      </c>
      <c r="C72" s="865" t="s">
        <v>2532</v>
      </c>
      <c r="D72" s="866" t="s">
        <v>2544</v>
      </c>
      <c r="E72" s="867"/>
      <c r="F72" s="867"/>
      <c r="H72" s="868"/>
    </row>
    <row r="73" spans="2:8" s="857" customFormat="1" x14ac:dyDescent="0.25">
      <c r="B73" s="864" t="s">
        <v>2545</v>
      </c>
      <c r="C73" s="865" t="s">
        <v>2532</v>
      </c>
      <c r="D73" s="866" t="s">
        <v>2546</v>
      </c>
      <c r="E73" s="867"/>
      <c r="F73" s="867"/>
      <c r="H73" s="868"/>
    </row>
    <row r="74" spans="2:8" s="857" customFormat="1" x14ac:dyDescent="0.25">
      <c r="B74" s="864" t="s">
        <v>2547</v>
      </c>
      <c r="C74" s="865" t="s">
        <v>2532</v>
      </c>
      <c r="D74" s="866" t="s">
        <v>2548</v>
      </c>
      <c r="E74" s="867"/>
      <c r="F74" s="867"/>
      <c r="H74" s="868"/>
    </row>
    <row r="75" spans="2:8" s="857" customFormat="1" x14ac:dyDescent="0.25">
      <c r="B75" s="864" t="s">
        <v>2549</v>
      </c>
      <c r="C75" s="865" t="s">
        <v>2532</v>
      </c>
      <c r="D75" s="866" t="s">
        <v>2550</v>
      </c>
      <c r="E75" s="867"/>
      <c r="F75" s="867"/>
      <c r="H75" s="868"/>
    </row>
    <row r="76" spans="2:8" s="857" customFormat="1" x14ac:dyDescent="0.25">
      <c r="B76" s="864" t="s">
        <v>2551</v>
      </c>
      <c r="C76" s="865" t="s">
        <v>2532</v>
      </c>
      <c r="D76" s="866" t="s">
        <v>2552</v>
      </c>
      <c r="E76" s="867"/>
      <c r="F76" s="867"/>
      <c r="H76" s="868"/>
    </row>
    <row r="77" spans="2:8" s="857" customFormat="1" x14ac:dyDescent="0.25">
      <c r="B77" s="864" t="s">
        <v>2553</v>
      </c>
      <c r="C77" s="865" t="s">
        <v>2532</v>
      </c>
      <c r="D77" s="866" t="s">
        <v>2554</v>
      </c>
      <c r="E77" s="867"/>
      <c r="F77" s="867"/>
      <c r="H77" s="868"/>
    </row>
    <row r="78" spans="2:8" s="857" customFormat="1" x14ac:dyDescent="0.25">
      <c r="B78" s="864" t="s">
        <v>2555</v>
      </c>
      <c r="C78" s="865" t="s">
        <v>2532</v>
      </c>
      <c r="D78" s="866" t="s">
        <v>2556</v>
      </c>
      <c r="E78" s="867"/>
      <c r="F78" s="867"/>
      <c r="H78" s="868"/>
    </row>
    <row r="79" spans="2:8" s="857" customFormat="1" x14ac:dyDescent="0.25">
      <c r="B79" s="864" t="s">
        <v>2557</v>
      </c>
      <c r="C79" s="865" t="s">
        <v>2532</v>
      </c>
      <c r="D79" s="866" t="s">
        <v>2558</v>
      </c>
      <c r="E79" s="867"/>
      <c r="F79" s="867"/>
      <c r="H79" s="868"/>
    </row>
    <row r="80" spans="2:8" s="857" customFormat="1" x14ac:dyDescent="0.25">
      <c r="B80" s="864" t="s">
        <v>2559</v>
      </c>
      <c r="C80" s="865" t="s">
        <v>2532</v>
      </c>
      <c r="D80" s="866" t="s">
        <v>2560</v>
      </c>
      <c r="E80" s="867"/>
      <c r="F80" s="867"/>
      <c r="H80" s="868"/>
    </row>
    <row r="81" spans="2:8" s="857" customFormat="1" x14ac:dyDescent="0.25">
      <c r="B81" s="864" t="s">
        <v>2561</v>
      </c>
      <c r="C81" s="865" t="s">
        <v>2532</v>
      </c>
      <c r="D81" s="866" t="s">
        <v>2562</v>
      </c>
      <c r="E81" s="867"/>
      <c r="F81" s="867"/>
      <c r="H81" s="868"/>
    </row>
    <row r="82" spans="2:8" s="857" customFormat="1" x14ac:dyDescent="0.25">
      <c r="B82" s="864" t="s">
        <v>2563</v>
      </c>
      <c r="C82" s="865" t="s">
        <v>2532</v>
      </c>
      <c r="D82" s="866" t="s">
        <v>2564</v>
      </c>
      <c r="E82" s="867"/>
      <c r="F82" s="867"/>
      <c r="H82" s="868"/>
    </row>
    <row r="83" spans="2:8" s="857" customFormat="1" x14ac:dyDescent="0.25">
      <c r="B83" s="864" t="s">
        <v>2565</v>
      </c>
      <c r="C83" s="865" t="s">
        <v>2532</v>
      </c>
      <c r="D83" s="866" t="s">
        <v>2566</v>
      </c>
      <c r="E83" s="867"/>
      <c r="F83" s="867"/>
      <c r="H83" s="868"/>
    </row>
    <row r="84" spans="2:8" s="857" customFormat="1" x14ac:dyDescent="0.25">
      <c r="B84" s="864" t="s">
        <v>2567</v>
      </c>
      <c r="C84" s="865" t="s">
        <v>2532</v>
      </c>
      <c r="D84" s="866" t="s">
        <v>2568</v>
      </c>
      <c r="E84" s="867"/>
      <c r="F84" s="867"/>
      <c r="H84" s="868"/>
    </row>
    <row r="85" spans="2:8" s="857" customFormat="1" x14ac:dyDescent="0.25">
      <c r="B85" s="864" t="s">
        <v>190</v>
      </c>
      <c r="C85" s="865" t="s">
        <v>2569</v>
      </c>
      <c r="D85" s="866" t="s">
        <v>192</v>
      </c>
      <c r="E85" s="867"/>
      <c r="F85" s="867"/>
      <c r="H85" s="868"/>
    </row>
    <row r="86" spans="2:8" s="857" customFormat="1" x14ac:dyDescent="0.25">
      <c r="B86" s="864" t="s">
        <v>193</v>
      </c>
      <c r="C86" s="865" t="s">
        <v>2570</v>
      </c>
      <c r="D86" s="866" t="s">
        <v>2571</v>
      </c>
      <c r="E86" s="867"/>
      <c r="F86" s="867"/>
      <c r="H86" s="868"/>
    </row>
    <row r="87" spans="2:8" s="857" customFormat="1" x14ac:dyDescent="0.25">
      <c r="B87" s="864" t="s">
        <v>196</v>
      </c>
      <c r="C87" s="865" t="s">
        <v>2572</v>
      </c>
      <c r="D87" s="866" t="s">
        <v>198</v>
      </c>
      <c r="E87" s="867"/>
      <c r="F87" s="867"/>
      <c r="H87" s="868"/>
    </row>
    <row r="88" spans="2:8" s="857" customFormat="1" x14ac:dyDescent="0.25">
      <c r="B88" s="864" t="s">
        <v>199</v>
      </c>
      <c r="C88" s="865" t="s">
        <v>200</v>
      </c>
      <c r="D88" s="866" t="s">
        <v>201</v>
      </c>
      <c r="E88" s="867"/>
      <c r="F88" s="867"/>
      <c r="H88" s="868" t="s">
        <v>382</v>
      </c>
    </row>
    <row r="89" spans="2:8" s="857" customFormat="1" x14ac:dyDescent="0.25">
      <c r="B89" s="864" t="s">
        <v>2573</v>
      </c>
      <c r="C89" s="865" t="s">
        <v>2574</v>
      </c>
      <c r="D89" s="866" t="s">
        <v>2575</v>
      </c>
      <c r="E89" s="867"/>
      <c r="F89" s="867"/>
      <c r="H89" s="868"/>
    </row>
    <row r="90" spans="2:8" s="857" customFormat="1" x14ac:dyDescent="0.25">
      <c r="B90" s="864" t="s">
        <v>202</v>
      </c>
      <c r="C90" s="865" t="s">
        <v>203</v>
      </c>
      <c r="D90" s="866" t="s">
        <v>204</v>
      </c>
      <c r="E90" s="867"/>
      <c r="F90" s="867"/>
      <c r="H90" s="868"/>
    </row>
    <row r="91" spans="2:8" s="857" customFormat="1" x14ac:dyDescent="0.25">
      <c r="B91" s="864" t="s">
        <v>2576</v>
      </c>
      <c r="C91" s="865" t="s">
        <v>2577</v>
      </c>
      <c r="D91" s="866" t="s">
        <v>2578</v>
      </c>
      <c r="E91" s="867"/>
      <c r="F91" s="867"/>
      <c r="H91" s="868"/>
    </row>
    <row r="92" spans="2:8" s="857" customFormat="1" x14ac:dyDescent="0.25">
      <c r="B92" s="864" t="s">
        <v>2579</v>
      </c>
      <c r="C92" s="865" t="s">
        <v>2580</v>
      </c>
      <c r="D92" s="866" t="s">
        <v>2581</v>
      </c>
      <c r="E92" s="867"/>
      <c r="F92" s="867"/>
      <c r="H92" s="868"/>
    </row>
    <row r="93" spans="2:8" s="857" customFormat="1" x14ac:dyDescent="0.25">
      <c r="B93" s="864" t="s">
        <v>2582</v>
      </c>
      <c r="C93" s="865" t="s">
        <v>2583</v>
      </c>
      <c r="D93" s="866" t="s">
        <v>2584</v>
      </c>
      <c r="E93" s="867"/>
      <c r="F93" s="867"/>
      <c r="H93" s="868"/>
    </row>
    <row r="94" spans="2:8" s="857" customFormat="1" x14ac:dyDescent="0.25">
      <c r="D94" s="858"/>
    </row>
    <row r="95" spans="2:8" s="857" customFormat="1" ht="15.75" thickBot="1" x14ac:dyDescent="0.3">
      <c r="C95" s="859" t="s">
        <v>2585</v>
      </c>
      <c r="D95" s="858" t="s">
        <v>2586</v>
      </c>
      <c r="H95" s="857" t="s">
        <v>2587</v>
      </c>
    </row>
    <row r="96" spans="2:8" s="857" customFormat="1" ht="15.75" thickBot="1" x14ac:dyDescent="0.3">
      <c r="B96" s="860" t="s">
        <v>0</v>
      </c>
      <c r="C96" s="861" t="s">
        <v>1</v>
      </c>
      <c r="D96" s="862" t="s">
        <v>4</v>
      </c>
      <c r="E96" s="863" t="s">
        <v>2528</v>
      </c>
      <c r="F96" s="863"/>
      <c r="H96" s="863"/>
    </row>
    <row r="97" spans="2:8" s="857" customFormat="1" x14ac:dyDescent="0.25">
      <c r="B97" s="864" t="s">
        <v>2588</v>
      </c>
      <c r="C97" s="865" t="s">
        <v>2589</v>
      </c>
      <c r="D97" s="866" t="s">
        <v>2588</v>
      </c>
      <c r="E97" s="867"/>
      <c r="F97" s="867"/>
      <c r="H97" s="868"/>
    </row>
    <row r="98" spans="2:8" s="857" customFormat="1" x14ac:dyDescent="0.25">
      <c r="B98" s="864" t="s">
        <v>2590</v>
      </c>
      <c r="C98" s="865" t="s">
        <v>2591</v>
      </c>
      <c r="D98" s="866" t="s">
        <v>2590</v>
      </c>
      <c r="E98" s="867"/>
      <c r="F98" s="867"/>
      <c r="H98" s="868"/>
    </row>
    <row r="99" spans="2:8" s="857" customFormat="1" x14ac:dyDescent="0.25">
      <c r="B99" s="864" t="s">
        <v>2592</v>
      </c>
      <c r="C99" s="865" t="s">
        <v>2593</v>
      </c>
      <c r="D99" s="866" t="s">
        <v>2592</v>
      </c>
      <c r="E99" s="867"/>
      <c r="F99" s="867"/>
      <c r="H99" s="868"/>
    </row>
    <row r="100" spans="2:8" s="857" customFormat="1" x14ac:dyDescent="0.25">
      <c r="B100" s="864" t="s">
        <v>2594</v>
      </c>
      <c r="C100" s="865" t="s">
        <v>2595</v>
      </c>
      <c r="D100" s="866" t="s">
        <v>2594</v>
      </c>
      <c r="E100" s="867"/>
      <c r="F100" s="867"/>
      <c r="H100" s="868"/>
    </row>
    <row r="101" spans="2:8" s="857" customFormat="1" x14ac:dyDescent="0.25">
      <c r="B101" s="864" t="s">
        <v>2596</v>
      </c>
      <c r="C101" s="865" t="s">
        <v>2597</v>
      </c>
      <c r="D101" s="866" t="s">
        <v>2596</v>
      </c>
      <c r="E101" s="867"/>
      <c r="F101" s="867"/>
      <c r="H101" s="868"/>
    </row>
    <row r="102" spans="2:8" s="857" customFormat="1" x14ac:dyDescent="0.25">
      <c r="B102" s="864" t="s">
        <v>2598</v>
      </c>
      <c r="C102" s="865" t="s">
        <v>2599</v>
      </c>
      <c r="D102" s="866" t="s">
        <v>2598</v>
      </c>
      <c r="E102" s="867"/>
      <c r="F102" s="867"/>
      <c r="H102" s="868"/>
    </row>
    <row r="103" spans="2:8" s="857" customFormat="1" x14ac:dyDescent="0.25">
      <c r="B103" s="864" t="s">
        <v>2600</v>
      </c>
      <c r="C103" s="865" t="s">
        <v>2601</v>
      </c>
      <c r="D103" s="866" t="s">
        <v>2600</v>
      </c>
      <c r="E103" s="867"/>
      <c r="F103" s="867"/>
      <c r="H103" s="868"/>
    </row>
    <row r="104" spans="2:8" s="857" customFormat="1" x14ac:dyDescent="0.25">
      <c r="B104" s="864" t="s">
        <v>2602</v>
      </c>
      <c r="C104" s="865" t="s">
        <v>2603</v>
      </c>
      <c r="D104" s="866" t="s">
        <v>2602</v>
      </c>
      <c r="E104" s="867"/>
      <c r="F104" s="867"/>
      <c r="H104" s="868"/>
    </row>
    <row r="105" spans="2:8" s="857" customFormat="1" x14ac:dyDescent="0.25">
      <c r="B105" s="864" t="s">
        <v>2604</v>
      </c>
      <c r="C105" s="865" t="s">
        <v>2605</v>
      </c>
      <c r="D105" s="866" t="s">
        <v>2604</v>
      </c>
      <c r="E105" s="867"/>
      <c r="F105" s="867"/>
      <c r="H105" s="868"/>
    </row>
    <row r="106" spans="2:8" s="857" customFormat="1" x14ac:dyDescent="0.25">
      <c r="B106" s="864" t="s">
        <v>2606</v>
      </c>
      <c r="C106" s="865" t="s">
        <v>2607</v>
      </c>
      <c r="D106" s="866" t="s">
        <v>2606</v>
      </c>
      <c r="E106" s="867"/>
      <c r="F106" s="867"/>
      <c r="H106" s="868"/>
    </row>
    <row r="107" spans="2:8" s="857" customFormat="1" x14ac:dyDescent="0.25">
      <c r="B107" s="864" t="s">
        <v>2608</v>
      </c>
      <c r="C107" s="865" t="s">
        <v>2609</v>
      </c>
      <c r="D107" s="866" t="s">
        <v>2608</v>
      </c>
      <c r="E107" s="867" t="s">
        <v>2610</v>
      </c>
      <c r="F107" s="867"/>
      <c r="H107" s="868"/>
    </row>
    <row r="108" spans="2:8" s="857" customFormat="1" x14ac:dyDescent="0.25">
      <c r="B108" s="864" t="s">
        <v>2611</v>
      </c>
      <c r="C108" s="865" t="s">
        <v>2612</v>
      </c>
      <c r="D108" s="866" t="s">
        <v>2611</v>
      </c>
      <c r="E108" s="867"/>
      <c r="F108" s="867"/>
      <c r="H108" s="868"/>
    </row>
    <row r="109" spans="2:8" s="857" customFormat="1" x14ac:dyDescent="0.25">
      <c r="B109" s="864" t="s">
        <v>2613</v>
      </c>
      <c r="C109" s="865" t="s">
        <v>2614</v>
      </c>
      <c r="D109" s="866" t="s">
        <v>2613</v>
      </c>
      <c r="E109" s="867"/>
      <c r="F109" s="867"/>
      <c r="H109" s="868"/>
    </row>
    <row r="110" spans="2:8" s="857" customFormat="1" x14ac:dyDescent="0.25">
      <c r="B110" s="864" t="s">
        <v>2615</v>
      </c>
      <c r="C110" s="865" t="s">
        <v>2616</v>
      </c>
      <c r="D110" s="866" t="s">
        <v>2615</v>
      </c>
      <c r="E110" s="867"/>
      <c r="F110" s="867"/>
      <c r="H110" s="868"/>
    </row>
    <row r="111" spans="2:8" s="857" customFormat="1" x14ac:dyDescent="0.25">
      <c r="B111" s="864" t="s">
        <v>2617</v>
      </c>
      <c r="C111" s="865" t="s">
        <v>2618</v>
      </c>
      <c r="D111" s="866" t="s">
        <v>2617</v>
      </c>
      <c r="E111" s="867"/>
      <c r="F111" s="867"/>
      <c r="H111" s="868"/>
    </row>
    <row r="112" spans="2:8" s="857" customFormat="1" x14ac:dyDescent="0.25">
      <c r="B112" s="864" t="s">
        <v>2619</v>
      </c>
      <c r="C112" s="865" t="s">
        <v>2620</v>
      </c>
      <c r="D112" s="866" t="s">
        <v>2619</v>
      </c>
      <c r="E112" s="867"/>
      <c r="F112" s="867"/>
      <c r="H112" s="868"/>
    </row>
    <row r="113" spans="2:8" s="857" customFormat="1" x14ac:dyDescent="0.25">
      <c r="B113" s="864" t="s">
        <v>2621</v>
      </c>
      <c r="C113" s="865" t="s">
        <v>2622</v>
      </c>
      <c r="D113" s="866" t="s">
        <v>2621</v>
      </c>
      <c r="E113" s="867"/>
      <c r="F113" s="867"/>
      <c r="H113" s="868"/>
    </row>
    <row r="114" spans="2:8" s="857" customFormat="1" x14ac:dyDescent="0.25">
      <c r="B114" s="864" t="s">
        <v>2623</v>
      </c>
      <c r="C114" s="865" t="s">
        <v>2624</v>
      </c>
      <c r="D114" s="866" t="s">
        <v>2623</v>
      </c>
      <c r="E114" s="867"/>
      <c r="F114" s="867"/>
      <c r="H114" s="868"/>
    </row>
    <row r="115" spans="2:8" s="857" customFormat="1" x14ac:dyDescent="0.25">
      <c r="B115" s="864" t="s">
        <v>2625</v>
      </c>
      <c r="C115" s="865" t="s">
        <v>2626</v>
      </c>
      <c r="D115" s="866" t="s">
        <v>2625</v>
      </c>
      <c r="E115" s="867"/>
      <c r="F115" s="867"/>
      <c r="H115" s="868"/>
    </row>
    <row r="116" spans="2:8" s="857" customFormat="1" x14ac:dyDescent="0.25">
      <c r="B116" s="864" t="s">
        <v>2627</v>
      </c>
      <c r="C116" s="865" t="s">
        <v>2628</v>
      </c>
      <c r="D116" s="866" t="s">
        <v>2627</v>
      </c>
      <c r="E116" s="867"/>
      <c r="F116" s="867"/>
      <c r="H116" s="868"/>
    </row>
    <row r="117" spans="2:8" s="857" customFormat="1" x14ac:dyDescent="0.25">
      <c r="B117" s="864" t="s">
        <v>2629</v>
      </c>
      <c r="C117" s="865" t="s">
        <v>2569</v>
      </c>
      <c r="D117" s="866" t="s">
        <v>2629</v>
      </c>
      <c r="E117" s="867" t="s">
        <v>2630</v>
      </c>
      <c r="F117" s="867"/>
      <c r="H117" s="868"/>
    </row>
    <row r="118" spans="2:8" s="857" customFormat="1" x14ac:dyDescent="0.25">
      <c r="B118" s="864" t="s">
        <v>2631</v>
      </c>
      <c r="C118" s="865" t="s">
        <v>2632</v>
      </c>
      <c r="D118" s="866" t="s">
        <v>2631</v>
      </c>
      <c r="E118" s="867"/>
      <c r="F118" s="867"/>
      <c r="H118" s="868"/>
    </row>
    <row r="119" spans="2:8" s="857" customFormat="1" x14ac:dyDescent="0.25">
      <c r="B119" s="864" t="s">
        <v>2633</v>
      </c>
      <c r="C119" s="865" t="s">
        <v>2634</v>
      </c>
      <c r="D119" s="866" t="s">
        <v>2633</v>
      </c>
      <c r="E119" s="867"/>
      <c r="F119" s="867"/>
      <c r="H119" s="868"/>
    </row>
    <row r="120" spans="2:8" s="857" customFormat="1" x14ac:dyDescent="0.25">
      <c r="B120" s="864" t="s">
        <v>2635</v>
      </c>
      <c r="C120" s="865" t="s">
        <v>2636</v>
      </c>
      <c r="D120" s="866" t="s">
        <v>2635</v>
      </c>
      <c r="E120" s="867"/>
      <c r="F120" s="867"/>
      <c r="H120" s="868"/>
    </row>
    <row r="121" spans="2:8" s="857" customFormat="1" x14ac:dyDescent="0.25">
      <c r="B121" s="864" t="s">
        <v>2637</v>
      </c>
      <c r="C121" s="865" t="s">
        <v>2638</v>
      </c>
      <c r="D121" s="866" t="s">
        <v>2637</v>
      </c>
      <c r="E121" s="867"/>
      <c r="F121" s="867"/>
      <c r="H121" s="868"/>
    </row>
    <row r="122" spans="2:8" s="857" customFormat="1" x14ac:dyDescent="0.25">
      <c r="B122" s="864" t="s">
        <v>2639</v>
      </c>
      <c r="C122" s="865" t="s">
        <v>2640</v>
      </c>
      <c r="D122" s="866" t="s">
        <v>2639</v>
      </c>
      <c r="E122" s="867"/>
      <c r="F122" s="867"/>
      <c r="H122" s="868"/>
    </row>
  </sheetData>
  <conditionalFormatting sqref="E6:F8 E22:F30 E34:F61 E98:F122 E15:F20">
    <cfRule type="cellIs" dxfId="38" priority="8" stopIfTrue="1" operator="notEqual">
      <formula>INDIRECT("Dummy_for_Comparison3!"&amp;ADDRESS(ROW(),COLUMN()))</formula>
    </cfRule>
  </conditionalFormatting>
  <conditionalFormatting sqref="E5:F5">
    <cfRule type="cellIs" dxfId="37" priority="7" stopIfTrue="1" operator="notEqual">
      <formula>INDIRECT("Dummy_for_Comparison3!"&amp;ADDRESS(ROW(),COLUMN()))</formula>
    </cfRule>
  </conditionalFormatting>
  <conditionalFormatting sqref="E4:F4">
    <cfRule type="cellIs" dxfId="36" priority="6" stopIfTrue="1" operator="notEqual">
      <formula>INDIRECT("Dummy_for_Comparison3!"&amp;ADDRESS(ROW(),COLUMN()))</formula>
    </cfRule>
  </conditionalFormatting>
  <conditionalFormatting sqref="E65:F93">
    <cfRule type="cellIs" dxfId="35" priority="5" stopIfTrue="1" operator="notEqual">
      <formula>INDIRECT("Dummy_for_Comparison3!"&amp;ADDRESS(ROW(),COLUMN()))</formula>
    </cfRule>
  </conditionalFormatting>
  <conditionalFormatting sqref="E97:F97">
    <cfRule type="cellIs" dxfId="34" priority="4" stopIfTrue="1" operator="notEqual">
      <formula>INDIRECT("Dummy_for_Comparison3!"&amp;ADDRESS(ROW(),COLUMN()))</formula>
    </cfRule>
  </conditionalFormatting>
  <conditionalFormatting sqref="E21:F21">
    <cfRule type="cellIs" dxfId="33" priority="3" stopIfTrue="1" operator="notEqual">
      <formula>INDIRECT("Dummy_for_Comparison3!"&amp;ADDRESS(ROW(),COLUMN()))</formula>
    </cfRule>
  </conditionalFormatting>
  <conditionalFormatting sqref="E9:F10">
    <cfRule type="cellIs" dxfId="32" priority="2" stopIfTrue="1" operator="notEqual">
      <formula>INDIRECT("Dummy_for_Comparison3!"&amp;ADDRESS(ROW(),COLUMN()))</formula>
    </cfRule>
  </conditionalFormatting>
  <conditionalFormatting sqref="E11:F14">
    <cfRule type="cellIs" dxfId="31" priority="1" stopIfTrue="1" operator="notEqual">
      <formula>INDIRECT("Dummy_for_Comparison3!"&amp;ADDRESS(ROW(),COLUMN()))</formula>
    </cfRule>
  </conditionalFormatting>
  <hyperlinks>
    <hyperlink ref="B97" r:id="rId1" display="http://www.cplusplus.com/reference/cmath/cos/" xr:uid="{00000000-0004-0000-0A00-000000000000}"/>
    <hyperlink ref="B98" r:id="rId2" display="http://www.cplusplus.com/reference/cmath/sin/" xr:uid="{00000000-0004-0000-0A00-000001000000}"/>
    <hyperlink ref="B99" r:id="rId3" display="http://www.cplusplus.com/reference/cmath/tan/" xr:uid="{00000000-0004-0000-0A00-000002000000}"/>
    <hyperlink ref="B100" r:id="rId4" display="http://www.cplusplus.com/reference/cmath/acos/" xr:uid="{00000000-0004-0000-0A00-000003000000}"/>
    <hyperlink ref="B101" r:id="rId5" display="http://www.cplusplus.com/reference/cmath/asin/" xr:uid="{00000000-0004-0000-0A00-000004000000}"/>
    <hyperlink ref="B102" r:id="rId6" display="http://www.cplusplus.com/reference/cmath/atan/" xr:uid="{00000000-0004-0000-0A00-000005000000}"/>
    <hyperlink ref="B103" r:id="rId7" display="http://www.cplusplus.com/reference/cmath/atan2/" xr:uid="{00000000-0004-0000-0A00-000006000000}"/>
    <hyperlink ref="B104" r:id="rId8" display="http://www.cplusplus.com/reference/cmath/cosh/" xr:uid="{00000000-0004-0000-0A00-000007000000}"/>
    <hyperlink ref="B105" r:id="rId9" display="http://www.cplusplus.com/reference/cmath/sinh/" xr:uid="{00000000-0004-0000-0A00-000008000000}"/>
    <hyperlink ref="B106" r:id="rId10" display="http://www.cplusplus.com/reference/cmath/tanh/" xr:uid="{00000000-0004-0000-0A00-000009000000}"/>
    <hyperlink ref="B107" r:id="rId11" display="http://www.cplusplus.com/reference/cmath/exp/" xr:uid="{00000000-0004-0000-0A00-00000A000000}"/>
    <hyperlink ref="B108" r:id="rId12" display="http://www.cplusplus.com/reference/cmath/ldexp/" xr:uid="{00000000-0004-0000-0A00-00000B000000}"/>
    <hyperlink ref="B109" r:id="rId13" display="http://www.cplusplus.com/reference/cmath/log/" xr:uid="{00000000-0004-0000-0A00-00000C000000}"/>
    <hyperlink ref="B110" r:id="rId14" display="http://www.cplusplus.com/reference/cmath/log10/" xr:uid="{00000000-0004-0000-0A00-00000D000000}"/>
    <hyperlink ref="B111" r:id="rId15" display="http://www.cplusplus.com/reference/cmath/sqrt/" xr:uid="{00000000-0004-0000-0A00-00000E000000}"/>
    <hyperlink ref="B112" r:id="rId16" display="http://www.cplusplus.com/reference/cmath/ceil/" xr:uid="{00000000-0004-0000-0A00-00000F000000}"/>
    <hyperlink ref="B113" r:id="rId17" display="http://www.cplusplus.com/reference/cmath/fabs/" xr:uid="{00000000-0004-0000-0A00-000010000000}"/>
    <hyperlink ref="B114" r:id="rId18" display="http://www.cplusplus.com/reference/cmath/floor/" xr:uid="{00000000-0004-0000-0A00-000011000000}"/>
    <hyperlink ref="B116" r:id="rId19" display="http://www.cplusplus.com/reference/cmath/fmod/" xr:uid="{00000000-0004-0000-0A00-000012000000}"/>
    <hyperlink ref="D97" r:id="rId20" display="http://www.cplusplus.com/reference/cmath/cos/" xr:uid="{00000000-0004-0000-0A00-000013000000}"/>
    <hyperlink ref="D98" r:id="rId21" display="http://www.cplusplus.com/reference/cmath/sin/" xr:uid="{00000000-0004-0000-0A00-000014000000}"/>
    <hyperlink ref="D99" r:id="rId22" display="http://www.cplusplus.com/reference/cmath/tan/" xr:uid="{00000000-0004-0000-0A00-000015000000}"/>
    <hyperlink ref="D100" r:id="rId23" display="http://www.cplusplus.com/reference/cmath/acos/" xr:uid="{00000000-0004-0000-0A00-000016000000}"/>
    <hyperlink ref="D101" r:id="rId24" display="http://www.cplusplus.com/reference/cmath/asin/" xr:uid="{00000000-0004-0000-0A00-000017000000}"/>
    <hyperlink ref="D102" r:id="rId25" display="http://www.cplusplus.com/reference/cmath/atan/" xr:uid="{00000000-0004-0000-0A00-000018000000}"/>
    <hyperlink ref="D103" r:id="rId26" display="http://www.cplusplus.com/reference/cmath/atan2/" xr:uid="{00000000-0004-0000-0A00-000019000000}"/>
    <hyperlink ref="D104" r:id="rId27" display="http://www.cplusplus.com/reference/cmath/cosh/" xr:uid="{00000000-0004-0000-0A00-00001A000000}"/>
    <hyperlink ref="D105" r:id="rId28" display="http://www.cplusplus.com/reference/cmath/sinh/" xr:uid="{00000000-0004-0000-0A00-00001B000000}"/>
    <hyperlink ref="D106" r:id="rId29" display="http://www.cplusplus.com/reference/cmath/tanh/" xr:uid="{00000000-0004-0000-0A00-00001C000000}"/>
    <hyperlink ref="D107" r:id="rId30" display="http://www.cplusplus.com/reference/cmath/exp/" xr:uid="{00000000-0004-0000-0A00-00001D000000}"/>
    <hyperlink ref="D108" r:id="rId31" display="http://www.cplusplus.com/reference/cmath/ldexp/" xr:uid="{00000000-0004-0000-0A00-00001E000000}"/>
    <hyperlink ref="D109" r:id="rId32" display="http://www.cplusplus.com/reference/cmath/log/" xr:uid="{00000000-0004-0000-0A00-00001F000000}"/>
    <hyperlink ref="D110" r:id="rId33" display="http://www.cplusplus.com/reference/cmath/log10/" xr:uid="{00000000-0004-0000-0A00-000020000000}"/>
    <hyperlink ref="D111" r:id="rId34" display="http://www.cplusplus.com/reference/cmath/sqrt/" xr:uid="{00000000-0004-0000-0A00-000021000000}"/>
    <hyperlink ref="D112" r:id="rId35" display="http://www.cplusplus.com/reference/cmath/ceil/" xr:uid="{00000000-0004-0000-0A00-000022000000}"/>
    <hyperlink ref="D113" r:id="rId36" display="http://www.cplusplus.com/reference/cmath/fabs/" xr:uid="{00000000-0004-0000-0A00-000023000000}"/>
    <hyperlink ref="D114" r:id="rId37" display="http://www.cplusplus.com/reference/cmath/floor/" xr:uid="{00000000-0004-0000-0A00-000024000000}"/>
    <hyperlink ref="D116" r:id="rId38" display="http://www.cplusplus.com/reference/cmath/fmod/" xr:uid="{00000000-0004-0000-0A00-000025000000}"/>
  </hyperlinks>
  <pageMargins left="0.7" right="0.7" top="0.75" bottom="0.75" header="0.3" footer="0.3"/>
  <pageSetup paperSize="9" orientation="portrait" r:id="rId39"/>
  <drawing r:id="rId4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B2:L477"/>
  <sheetViews>
    <sheetView showGridLines="0" topLeftCell="A28" zoomScale="98" workbookViewId="0">
      <selection activeCell="B3" sqref="B3:D477"/>
    </sheetView>
  </sheetViews>
  <sheetFormatPr baseColWidth="10" defaultColWidth="9.140625" defaultRowHeight="15" x14ac:dyDescent="0.25"/>
  <cols>
    <col min="1" max="1" width="9.140625" style="213"/>
    <col min="2" max="2" width="13.140625" style="213" customWidth="1"/>
    <col min="3" max="3" width="58.140625" style="213" bestFit="1" customWidth="1"/>
    <col min="4" max="4" width="29.28515625" style="213" bestFit="1" customWidth="1"/>
    <col min="5" max="6" width="21" style="213" customWidth="1"/>
    <col min="7" max="7" width="18" style="213" bestFit="1" customWidth="1"/>
    <col min="8" max="8" width="18" style="213" customWidth="1"/>
    <col min="9" max="9" width="9.140625" style="213"/>
    <col min="10" max="10" width="76.85546875" style="213" customWidth="1"/>
    <col min="11" max="11" width="9.140625" style="213"/>
    <col min="12" max="12" width="29.28515625" style="213" bestFit="1" customWidth="1"/>
    <col min="13" max="16384" width="9.140625" style="213"/>
  </cols>
  <sheetData>
    <row r="2" spans="2:10" ht="15.75" thickBot="1" x14ac:dyDescent="0.3">
      <c r="C2" s="547" t="s">
        <v>2014</v>
      </c>
    </row>
    <row r="3" spans="2:10" ht="15.75" thickBot="1" x14ac:dyDescent="0.3">
      <c r="B3" s="548" t="s">
        <v>0</v>
      </c>
      <c r="C3" s="549" t="s">
        <v>1</v>
      </c>
      <c r="D3" s="550" t="s">
        <v>149</v>
      </c>
      <c r="E3" s="550" t="s">
        <v>385</v>
      </c>
      <c r="F3" s="550" t="s">
        <v>386</v>
      </c>
      <c r="G3" s="550" t="s">
        <v>2</v>
      </c>
      <c r="H3" s="550" t="s">
        <v>309</v>
      </c>
      <c r="I3" s="550" t="s">
        <v>113</v>
      </c>
      <c r="J3" s="551" t="s">
        <v>114</v>
      </c>
    </row>
    <row r="4" spans="2:10" ht="18" x14ac:dyDescent="0.25">
      <c r="B4" s="500" t="s">
        <v>890</v>
      </c>
      <c r="C4" s="449" t="s">
        <v>891</v>
      </c>
      <c r="D4" s="449">
        <v>273.14999999999998</v>
      </c>
      <c r="E4" s="501"/>
      <c r="F4" s="501"/>
      <c r="G4" s="449" t="s">
        <v>390</v>
      </c>
      <c r="H4" s="450"/>
      <c r="I4" s="450"/>
      <c r="J4" s="449" t="s">
        <v>1840</v>
      </c>
    </row>
    <row r="5" spans="2:10" ht="18" x14ac:dyDescent="0.25">
      <c r="B5" s="500" t="s">
        <v>747</v>
      </c>
      <c r="C5" s="449" t="s">
        <v>1841</v>
      </c>
      <c r="D5" s="449">
        <v>101325</v>
      </c>
      <c r="E5" s="501"/>
      <c r="F5" s="501"/>
      <c r="G5" s="449" t="s">
        <v>748</v>
      </c>
      <c r="H5" s="450"/>
      <c r="I5" s="450"/>
      <c r="J5" s="449" t="s">
        <v>1840</v>
      </c>
    </row>
    <row r="6" spans="2:10" ht="18" x14ac:dyDescent="0.25">
      <c r="B6" s="500" t="s">
        <v>1057</v>
      </c>
      <c r="C6" s="449" t="s">
        <v>1058</v>
      </c>
      <c r="D6" s="449">
        <v>0</v>
      </c>
      <c r="E6" s="501"/>
      <c r="F6" s="501"/>
      <c r="G6" s="449" t="s">
        <v>1604</v>
      </c>
      <c r="H6" s="450"/>
      <c r="I6" s="450"/>
      <c r="J6" s="449" t="s">
        <v>1840</v>
      </c>
    </row>
    <row r="8" spans="2:10" ht="15.75" thickBot="1" x14ac:dyDescent="0.3">
      <c r="C8" s="444" t="s">
        <v>384</v>
      </c>
    </row>
    <row r="9" spans="2:10" ht="15.75" thickBot="1" x14ac:dyDescent="0.3">
      <c r="B9" s="445" t="s">
        <v>0</v>
      </c>
      <c r="C9" s="446" t="s">
        <v>1</v>
      </c>
      <c r="D9" s="447" t="s">
        <v>149</v>
      </c>
      <c r="E9" s="447" t="s">
        <v>385</v>
      </c>
      <c r="F9" s="447" t="s">
        <v>386</v>
      </c>
      <c r="G9" s="447" t="s">
        <v>2</v>
      </c>
      <c r="H9" s="447" t="s">
        <v>309</v>
      </c>
      <c r="I9" s="447" t="s">
        <v>113</v>
      </c>
      <c r="J9" s="448" t="s">
        <v>114</v>
      </c>
    </row>
    <row r="10" spans="2:10" ht="18" x14ac:dyDescent="0.25">
      <c r="B10" s="500" t="s">
        <v>869</v>
      </c>
      <c r="C10" s="449" t="s">
        <v>387</v>
      </c>
      <c r="D10" s="449">
        <v>1.2999999999999999E-3</v>
      </c>
      <c r="E10" s="501"/>
      <c r="F10" s="501"/>
      <c r="G10" s="449" t="s">
        <v>388</v>
      </c>
      <c r="H10" s="450"/>
      <c r="I10" s="450"/>
      <c r="J10" s="449" t="s">
        <v>870</v>
      </c>
    </row>
    <row r="11" spans="2:10" ht="18" x14ac:dyDescent="0.25">
      <c r="B11" s="500" t="s">
        <v>871</v>
      </c>
      <c r="C11" s="449" t="s">
        <v>389</v>
      </c>
      <c r="D11" s="449">
        <v>1500</v>
      </c>
      <c r="E11" s="501"/>
      <c r="F11" s="501"/>
      <c r="G11" s="449" t="s">
        <v>390</v>
      </c>
      <c r="H11" s="450"/>
      <c r="I11" s="450"/>
      <c r="J11" s="449" t="s">
        <v>870</v>
      </c>
    </row>
    <row r="12" spans="2:10" ht="18" x14ac:dyDescent="0.25">
      <c r="B12" s="500" t="s">
        <v>872</v>
      </c>
      <c r="C12" s="449" t="s">
        <v>391</v>
      </c>
      <c r="D12" s="449">
        <v>3.5000000000000003E-2</v>
      </c>
      <c r="E12" s="501"/>
      <c r="F12" s="501"/>
      <c r="G12" s="449" t="s">
        <v>388</v>
      </c>
      <c r="H12" s="450"/>
      <c r="I12" s="450"/>
      <c r="J12" s="449" t="s">
        <v>873</v>
      </c>
    </row>
    <row r="13" spans="2:10" ht="18" x14ac:dyDescent="0.25">
      <c r="B13" s="500" t="s">
        <v>874</v>
      </c>
      <c r="C13" s="449" t="s">
        <v>392</v>
      </c>
      <c r="D13" s="449">
        <v>2400</v>
      </c>
      <c r="E13" s="501"/>
      <c r="F13" s="501"/>
      <c r="G13" s="449" t="s">
        <v>390</v>
      </c>
      <c r="H13" s="450"/>
      <c r="I13" s="450"/>
      <c r="J13" s="449" t="s">
        <v>873</v>
      </c>
    </row>
    <row r="14" spans="2:10" ht="18" x14ac:dyDescent="0.25">
      <c r="B14" s="500" t="s">
        <v>875</v>
      </c>
      <c r="C14" s="449" t="s">
        <v>393</v>
      </c>
      <c r="D14" s="449">
        <v>1.9E-3</v>
      </c>
      <c r="E14" s="501"/>
      <c r="F14" s="501"/>
      <c r="G14" s="449" t="s">
        <v>388</v>
      </c>
      <c r="H14" s="450"/>
      <c r="I14" s="450"/>
      <c r="J14" s="449" t="s">
        <v>876</v>
      </c>
    </row>
    <row r="15" spans="2:10" ht="18" x14ac:dyDescent="0.25">
      <c r="B15" s="500" t="s">
        <v>877</v>
      </c>
      <c r="C15" s="449" t="s">
        <v>394</v>
      </c>
      <c r="D15" s="449">
        <v>1400</v>
      </c>
      <c r="E15" s="501"/>
      <c r="F15" s="501"/>
      <c r="G15" s="449" t="s">
        <v>390</v>
      </c>
      <c r="H15" s="450"/>
      <c r="I15" s="450"/>
      <c r="J15" s="449" t="s">
        <v>876</v>
      </c>
    </row>
    <row r="16" spans="2:10" ht="18" x14ac:dyDescent="0.25">
      <c r="B16" s="500" t="s">
        <v>878</v>
      </c>
      <c r="C16" s="449" t="s">
        <v>395</v>
      </c>
      <c r="D16" s="449">
        <v>2.5000000000000001E-2</v>
      </c>
      <c r="E16" s="501"/>
      <c r="F16" s="501"/>
      <c r="G16" s="449" t="s">
        <v>388</v>
      </c>
      <c r="H16" s="450"/>
      <c r="I16" s="450"/>
      <c r="J16" s="449" t="s">
        <v>879</v>
      </c>
    </row>
    <row r="17" spans="2:10" ht="18" x14ac:dyDescent="0.25">
      <c r="B17" s="500" t="s">
        <v>880</v>
      </c>
      <c r="C17" s="449" t="s">
        <v>392</v>
      </c>
      <c r="D17" s="449">
        <v>2600</v>
      </c>
      <c r="E17" s="501"/>
      <c r="F17" s="501"/>
      <c r="G17" s="449" t="s">
        <v>390</v>
      </c>
      <c r="H17" s="450"/>
      <c r="I17" s="450"/>
      <c r="J17" s="449" t="s">
        <v>879</v>
      </c>
    </row>
    <row r="18" spans="2:10" ht="18" x14ac:dyDescent="0.25">
      <c r="B18" s="500" t="s">
        <v>881</v>
      </c>
      <c r="C18" s="449" t="s">
        <v>396</v>
      </c>
      <c r="D18" s="449">
        <v>6.4999999999999997E-4</v>
      </c>
      <c r="E18" s="501"/>
      <c r="F18" s="501"/>
      <c r="G18" s="449" t="s">
        <v>388</v>
      </c>
      <c r="H18" s="450"/>
      <c r="I18" s="450"/>
      <c r="J18" s="449" t="s">
        <v>882</v>
      </c>
    </row>
    <row r="19" spans="2:10" ht="18" x14ac:dyDescent="0.25">
      <c r="B19" s="500" t="s">
        <v>883</v>
      </c>
      <c r="C19" s="449" t="s">
        <v>397</v>
      </c>
      <c r="D19" s="449">
        <v>1300</v>
      </c>
      <c r="E19" s="501"/>
      <c r="F19" s="501"/>
      <c r="G19" s="449" t="s">
        <v>390</v>
      </c>
      <c r="H19" s="450"/>
      <c r="I19" s="450"/>
      <c r="J19" s="449" t="s">
        <v>882</v>
      </c>
    </row>
    <row r="20" spans="2:10" ht="18" x14ac:dyDescent="0.25">
      <c r="B20" s="500" t="s">
        <v>884</v>
      </c>
      <c r="C20" s="449" t="s">
        <v>398</v>
      </c>
      <c r="D20" s="449">
        <v>7.7999999999999999E-4</v>
      </c>
      <c r="E20" s="501"/>
      <c r="F20" s="501"/>
      <c r="G20" s="449" t="s">
        <v>388</v>
      </c>
      <c r="H20" s="450"/>
      <c r="I20" s="450"/>
      <c r="J20" s="449" t="s">
        <v>1103</v>
      </c>
    </row>
    <row r="21" spans="2:10" ht="18" x14ac:dyDescent="0.25">
      <c r="B21" s="500" t="s">
        <v>885</v>
      </c>
      <c r="C21" s="449" t="s">
        <v>399</v>
      </c>
      <c r="D21" s="449">
        <v>500</v>
      </c>
      <c r="E21" s="501"/>
      <c r="F21" s="501"/>
      <c r="G21" s="449" t="s">
        <v>390</v>
      </c>
      <c r="H21" s="450"/>
      <c r="I21" s="450"/>
      <c r="J21" s="449" t="s">
        <v>1103</v>
      </c>
    </row>
    <row r="22" spans="2:10" ht="18" x14ac:dyDescent="0.25">
      <c r="B22" s="500" t="s">
        <v>886</v>
      </c>
      <c r="C22" s="449" t="s">
        <v>400</v>
      </c>
      <c r="D22" s="449">
        <v>1.4E-3</v>
      </c>
      <c r="E22" s="501"/>
      <c r="F22" s="501"/>
      <c r="G22" s="449" t="s">
        <v>388</v>
      </c>
      <c r="H22" s="450"/>
      <c r="I22" s="450"/>
      <c r="J22" s="449" t="s">
        <v>1104</v>
      </c>
    </row>
    <row r="23" spans="2:10" ht="18" x14ac:dyDescent="0.25">
      <c r="B23" s="500" t="s">
        <v>887</v>
      </c>
      <c r="C23" s="449" t="s">
        <v>401</v>
      </c>
      <c r="D23" s="449">
        <v>1600</v>
      </c>
      <c r="E23" s="501"/>
      <c r="F23" s="501"/>
      <c r="G23" s="449" t="s">
        <v>390</v>
      </c>
      <c r="H23" s="450"/>
      <c r="I23" s="450"/>
      <c r="J23" s="449" t="s">
        <v>1104</v>
      </c>
    </row>
    <row r="24" spans="2:10" ht="18" x14ac:dyDescent="0.25">
      <c r="B24" s="500" t="s">
        <v>1105</v>
      </c>
      <c r="C24" s="449" t="s">
        <v>1106</v>
      </c>
      <c r="D24" s="449">
        <v>61</v>
      </c>
      <c r="E24" s="501"/>
      <c r="F24" s="501"/>
      <c r="G24" s="449" t="s">
        <v>388</v>
      </c>
      <c r="H24" s="450"/>
      <c r="I24" s="450"/>
      <c r="J24" s="449" t="s">
        <v>1107</v>
      </c>
    </row>
    <row r="25" spans="2:10" ht="18" x14ac:dyDescent="0.25">
      <c r="B25" s="500" t="s">
        <v>1108</v>
      </c>
      <c r="C25" s="449" t="s">
        <v>1109</v>
      </c>
      <c r="D25" s="449">
        <v>4100</v>
      </c>
      <c r="E25" s="501"/>
      <c r="F25" s="501"/>
      <c r="G25" s="449" t="s">
        <v>390</v>
      </c>
      <c r="H25" s="450"/>
      <c r="I25" s="450"/>
      <c r="J25" s="449" t="s">
        <v>1107</v>
      </c>
    </row>
    <row r="26" spans="2:10" ht="18" x14ac:dyDescent="0.25">
      <c r="B26" s="500" t="s">
        <v>1110</v>
      </c>
      <c r="C26" s="449" t="s">
        <v>1111</v>
      </c>
      <c r="D26" s="449">
        <v>0.1</v>
      </c>
      <c r="E26" s="501"/>
      <c r="F26" s="501"/>
      <c r="G26" s="449" t="s">
        <v>388</v>
      </c>
      <c r="H26" s="450"/>
      <c r="I26" s="450"/>
      <c r="J26" s="449" t="s">
        <v>1112</v>
      </c>
    </row>
    <row r="27" spans="2:10" ht="18" x14ac:dyDescent="0.25">
      <c r="B27" s="500" t="s">
        <v>1113</v>
      </c>
      <c r="C27" s="449" t="s">
        <v>1114</v>
      </c>
      <c r="D27" s="449">
        <v>2200</v>
      </c>
      <c r="E27" s="501"/>
      <c r="F27" s="501"/>
      <c r="G27" s="449" t="s">
        <v>390</v>
      </c>
      <c r="H27" s="450"/>
      <c r="I27" s="450"/>
      <c r="J27" s="449" t="s">
        <v>1112</v>
      </c>
    </row>
    <row r="29" spans="2:10" ht="15.75" thickBot="1" x14ac:dyDescent="0.3">
      <c r="C29" s="444" t="s">
        <v>2015</v>
      </c>
    </row>
    <row r="30" spans="2:10" ht="15.75" thickBot="1" x14ac:dyDescent="0.3">
      <c r="B30" s="445" t="s">
        <v>0</v>
      </c>
      <c r="C30" s="446" t="s">
        <v>1</v>
      </c>
      <c r="D30" s="447" t="s">
        <v>149</v>
      </c>
      <c r="E30" s="447" t="s">
        <v>385</v>
      </c>
      <c r="F30" s="447" t="s">
        <v>386</v>
      </c>
      <c r="G30" s="447" t="s">
        <v>2</v>
      </c>
      <c r="H30" s="447" t="s">
        <v>309</v>
      </c>
      <c r="I30" s="447" t="s">
        <v>113</v>
      </c>
      <c r="J30" s="448" t="s">
        <v>114</v>
      </c>
    </row>
    <row r="31" spans="2:10" ht="18" x14ac:dyDescent="0.25">
      <c r="B31" s="500" t="s">
        <v>1842</v>
      </c>
      <c r="C31" s="449" t="s">
        <v>402</v>
      </c>
      <c r="D31" s="449">
        <v>2.0900000000000001E-4</v>
      </c>
      <c r="E31" s="501"/>
      <c r="F31" s="501"/>
      <c r="G31" s="449" t="s">
        <v>403</v>
      </c>
      <c r="H31" s="450">
        <v>2</v>
      </c>
      <c r="I31" s="450"/>
      <c r="J31" s="449"/>
    </row>
    <row r="32" spans="2:10" ht="18" x14ac:dyDescent="0.25">
      <c r="B32" s="500" t="s">
        <v>1843</v>
      </c>
      <c r="C32" s="449" t="s">
        <v>404</v>
      </c>
      <c r="D32" s="449">
        <v>1.73E-4</v>
      </c>
      <c r="E32" s="501"/>
      <c r="F32" s="501"/>
      <c r="G32" s="449" t="s">
        <v>403</v>
      </c>
      <c r="H32" s="450">
        <v>2</v>
      </c>
      <c r="I32" s="450"/>
      <c r="J32" s="449"/>
    </row>
    <row r="33" spans="2:10" ht="18" x14ac:dyDescent="0.25">
      <c r="B33" s="500" t="s">
        <v>1844</v>
      </c>
      <c r="C33" s="449" t="s">
        <v>990</v>
      </c>
      <c r="D33" s="449">
        <f>0.0000693*216/25</f>
        <v>5.9875200000000003E-4</v>
      </c>
      <c r="E33" s="501"/>
      <c r="F33" s="501"/>
      <c r="G33" s="449" t="s">
        <v>403</v>
      </c>
      <c r="H33" s="450">
        <v>2</v>
      </c>
      <c r="I33" s="450"/>
      <c r="J33" s="449"/>
    </row>
    <row r="34" spans="2:10" ht="18" x14ac:dyDescent="0.25">
      <c r="B34" s="500" t="s">
        <v>1845</v>
      </c>
      <c r="C34" s="449" t="s">
        <v>405</v>
      </c>
      <c r="D34" s="449">
        <v>1.65E-4</v>
      </c>
      <c r="E34" s="501"/>
      <c r="F34" s="501"/>
      <c r="G34" s="449" t="s">
        <v>403</v>
      </c>
      <c r="H34" s="450">
        <v>2</v>
      </c>
      <c r="I34" s="450"/>
      <c r="J34" s="449"/>
    </row>
    <row r="35" spans="2:10" ht="18" x14ac:dyDescent="0.25">
      <c r="B35" s="500" t="s">
        <v>1846</v>
      </c>
      <c r="C35" s="449" t="s">
        <v>406</v>
      </c>
      <c r="D35" s="449">
        <v>4.4999999999999999E-4</v>
      </c>
      <c r="E35" s="501"/>
      <c r="F35" s="501"/>
      <c r="G35" s="449" t="s">
        <v>407</v>
      </c>
      <c r="H35" s="450">
        <v>2</v>
      </c>
      <c r="I35" s="450"/>
      <c r="J35" s="449"/>
    </row>
    <row r="36" spans="2:10" ht="18" x14ac:dyDescent="0.25">
      <c r="B36" s="500" t="s">
        <v>1847</v>
      </c>
      <c r="C36" s="449" t="s">
        <v>408</v>
      </c>
      <c r="D36" s="449">
        <v>1.4899999999999999E-4</v>
      </c>
      <c r="E36" s="501"/>
      <c r="F36" s="501"/>
      <c r="G36" s="449" t="s">
        <v>407</v>
      </c>
      <c r="H36" s="450">
        <v>2</v>
      </c>
      <c r="I36" s="450"/>
      <c r="J36" s="449"/>
    </row>
    <row r="37" spans="2:10" ht="18" x14ac:dyDescent="0.25">
      <c r="B37" s="500" t="s">
        <v>1848</v>
      </c>
      <c r="C37" s="449" t="s">
        <v>409</v>
      </c>
      <c r="D37" s="449">
        <v>2.9499999999999999E-5</v>
      </c>
      <c r="E37" s="501"/>
      <c r="F37" s="501"/>
      <c r="G37" s="449" t="s">
        <v>407</v>
      </c>
      <c r="H37" s="450">
        <v>2</v>
      </c>
      <c r="I37" s="450"/>
      <c r="J37" s="449"/>
    </row>
    <row r="38" spans="2:10" ht="18" x14ac:dyDescent="0.25">
      <c r="B38" s="500" t="s">
        <v>1849</v>
      </c>
      <c r="C38" s="449" t="s">
        <v>1115</v>
      </c>
      <c r="D38" s="449">
        <v>1.8E-5</v>
      </c>
      <c r="E38" s="501"/>
      <c r="F38" s="501"/>
      <c r="G38" s="449" t="s">
        <v>407</v>
      </c>
      <c r="H38" s="450">
        <v>2</v>
      </c>
      <c r="I38" s="450"/>
      <c r="J38" s="449"/>
    </row>
    <row r="39" spans="2:10" ht="18" x14ac:dyDescent="0.25">
      <c r="B39" s="500" t="s">
        <v>1850</v>
      </c>
      <c r="C39" s="449" t="s">
        <v>1116</v>
      </c>
      <c r="D39" s="449">
        <v>1.22E-4</v>
      </c>
      <c r="E39" s="501"/>
      <c r="F39" s="501"/>
      <c r="G39" s="449" t="s">
        <v>403</v>
      </c>
      <c r="H39" s="450">
        <v>2</v>
      </c>
      <c r="I39" s="450"/>
      <c r="J39" s="449"/>
    </row>
    <row r="41" spans="2:10" ht="15.75" thickBot="1" x14ac:dyDescent="0.3">
      <c r="C41" s="552" t="s">
        <v>2016</v>
      </c>
    </row>
    <row r="42" spans="2:10" ht="15.75" thickBot="1" x14ac:dyDescent="0.3">
      <c r="B42" s="553" t="s">
        <v>0</v>
      </c>
      <c r="C42" s="446" t="s">
        <v>1</v>
      </c>
      <c r="D42" s="554" t="s">
        <v>149</v>
      </c>
      <c r="E42" s="554" t="s">
        <v>385</v>
      </c>
      <c r="F42" s="554" t="s">
        <v>386</v>
      </c>
      <c r="G42" s="554" t="s">
        <v>2</v>
      </c>
      <c r="H42" s="554" t="s">
        <v>309</v>
      </c>
      <c r="I42" s="554" t="s">
        <v>113</v>
      </c>
      <c r="J42" s="555" t="s">
        <v>114</v>
      </c>
    </row>
    <row r="43" spans="2:10" ht="18" x14ac:dyDescent="0.25">
      <c r="B43" s="500" t="s">
        <v>1860</v>
      </c>
      <c r="C43" s="449" t="s">
        <v>1861</v>
      </c>
      <c r="D43" s="449">
        <v>1</v>
      </c>
      <c r="E43" s="501">
        <v>0</v>
      </c>
      <c r="F43" s="501">
        <v>1</v>
      </c>
      <c r="G43" s="449" t="s">
        <v>1862</v>
      </c>
      <c r="H43" s="450"/>
      <c r="I43" s="450"/>
      <c r="J43" s="449" t="s">
        <v>1863</v>
      </c>
    </row>
    <row r="45" spans="2:10" ht="15.75" thickBot="1" x14ac:dyDescent="0.3">
      <c r="C45" s="444" t="s">
        <v>410</v>
      </c>
    </row>
    <row r="46" spans="2:10" ht="15.75" thickBot="1" x14ac:dyDescent="0.3">
      <c r="B46" s="445" t="s">
        <v>0</v>
      </c>
      <c r="C46" s="446" t="s">
        <v>1</v>
      </c>
      <c r="D46" s="447" t="s">
        <v>149</v>
      </c>
      <c r="E46" s="447" t="s">
        <v>385</v>
      </c>
      <c r="F46" s="447" t="s">
        <v>386</v>
      </c>
      <c r="G46" s="447" t="s">
        <v>2</v>
      </c>
      <c r="H46" s="447" t="s">
        <v>309</v>
      </c>
      <c r="I46" s="447" t="s">
        <v>113</v>
      </c>
      <c r="J46" s="448" t="s">
        <v>114</v>
      </c>
    </row>
    <row r="47" spans="2:10" ht="18" x14ac:dyDescent="0.25">
      <c r="B47" s="500" t="s">
        <v>411</v>
      </c>
      <c r="C47" s="449" t="s">
        <v>412</v>
      </c>
      <c r="D47" s="449">
        <v>8.0713100000000004</v>
      </c>
      <c r="E47" s="501"/>
      <c r="F47" s="501"/>
      <c r="G47" s="449" t="s">
        <v>258</v>
      </c>
      <c r="H47" s="450"/>
      <c r="I47" s="450"/>
      <c r="J47" s="449"/>
    </row>
    <row r="48" spans="2:10" ht="18" x14ac:dyDescent="0.25">
      <c r="B48" s="500" t="s">
        <v>413</v>
      </c>
      <c r="C48" s="449" t="s">
        <v>414</v>
      </c>
      <c r="D48" s="449">
        <v>1730.63</v>
      </c>
      <c r="E48" s="501"/>
      <c r="F48" s="501"/>
      <c r="G48" s="449" t="s">
        <v>258</v>
      </c>
      <c r="H48" s="450"/>
      <c r="I48" s="450"/>
      <c r="J48" s="449"/>
    </row>
    <row r="49" spans="2:10" ht="18" x14ac:dyDescent="0.25">
      <c r="B49" s="500" t="s">
        <v>415</v>
      </c>
      <c r="C49" s="449" t="s">
        <v>416</v>
      </c>
      <c r="D49" s="449">
        <v>233.42599999999999</v>
      </c>
      <c r="E49" s="501"/>
      <c r="F49" s="501"/>
      <c r="G49" s="449" t="s">
        <v>258</v>
      </c>
      <c r="H49" s="450"/>
      <c r="I49" s="450"/>
      <c r="J49" s="449"/>
    </row>
    <row r="50" spans="2:10" ht="18" x14ac:dyDescent="0.25">
      <c r="B50" s="500" t="s">
        <v>1851</v>
      </c>
      <c r="C50" s="449" t="s">
        <v>1852</v>
      </c>
      <c r="D50" s="449">
        <v>7.2800000000000004E-2</v>
      </c>
      <c r="E50" s="501"/>
      <c r="F50" s="501"/>
      <c r="G50" s="449" t="s">
        <v>1853</v>
      </c>
      <c r="H50" s="450"/>
      <c r="I50" s="450"/>
      <c r="J50" s="449"/>
    </row>
    <row r="51" spans="2:10" ht="18" x14ac:dyDescent="0.25">
      <c r="B51" s="500" t="s">
        <v>417</v>
      </c>
      <c r="C51" s="449" t="s">
        <v>1854</v>
      </c>
      <c r="D51" s="449">
        <v>1000000</v>
      </c>
      <c r="E51" s="501"/>
      <c r="F51" s="501"/>
      <c r="G51" s="449" t="s">
        <v>746</v>
      </c>
      <c r="H51" s="450"/>
      <c r="I51" s="450"/>
      <c r="J51" s="449"/>
    </row>
    <row r="52" spans="2:10" ht="18" x14ac:dyDescent="0.25">
      <c r="B52" s="500" t="s">
        <v>1117</v>
      </c>
      <c r="C52" s="449" t="s">
        <v>1855</v>
      </c>
      <c r="D52" s="449">
        <f>10^-3</f>
        <v>1E-3</v>
      </c>
      <c r="E52" s="501"/>
      <c r="F52" s="501"/>
      <c r="G52" s="449" t="s">
        <v>1118</v>
      </c>
      <c r="H52" s="450"/>
      <c r="I52" s="450"/>
      <c r="J52" s="449"/>
    </row>
    <row r="54" spans="2:10" ht="15.75" thickBot="1" x14ac:dyDescent="0.3">
      <c r="C54" s="444" t="s">
        <v>418</v>
      </c>
    </row>
    <row r="55" spans="2:10" ht="15.75" thickBot="1" x14ac:dyDescent="0.3">
      <c r="B55" s="445" t="s">
        <v>0</v>
      </c>
      <c r="C55" s="446" t="s">
        <v>1</v>
      </c>
      <c r="D55" s="447" t="s">
        <v>149</v>
      </c>
      <c r="E55" s="447" t="s">
        <v>385</v>
      </c>
      <c r="F55" s="447" t="s">
        <v>386</v>
      </c>
      <c r="G55" s="447" t="s">
        <v>2</v>
      </c>
      <c r="H55" s="447" t="s">
        <v>309</v>
      </c>
      <c r="I55" s="447" t="s">
        <v>113</v>
      </c>
      <c r="J55" s="448" t="s">
        <v>114</v>
      </c>
    </row>
    <row r="56" spans="2:10" ht="18" x14ac:dyDescent="0.25">
      <c r="B56" s="500" t="s">
        <v>419</v>
      </c>
      <c r="C56" s="449" t="s">
        <v>420</v>
      </c>
      <c r="D56" s="449">
        <v>0.20949999999999999</v>
      </c>
      <c r="E56" s="501">
        <v>0</v>
      </c>
      <c r="F56" s="501">
        <v>1</v>
      </c>
      <c r="G56" s="449" t="s">
        <v>421</v>
      </c>
      <c r="H56" s="450"/>
      <c r="I56" s="450"/>
      <c r="J56" s="449"/>
    </row>
    <row r="57" spans="2:10" ht="18" x14ac:dyDescent="0.25">
      <c r="B57" s="500" t="s">
        <v>422</v>
      </c>
      <c r="C57" s="449" t="s">
        <v>423</v>
      </c>
      <c r="D57" s="449">
        <v>0.78080000000000005</v>
      </c>
      <c r="E57" s="501">
        <v>0</v>
      </c>
      <c r="F57" s="501">
        <v>1</v>
      </c>
      <c r="G57" s="449" t="s">
        <v>421</v>
      </c>
      <c r="H57" s="450"/>
      <c r="I57" s="450"/>
      <c r="J57" s="449"/>
    </row>
    <row r="58" spans="2:10" ht="18" x14ac:dyDescent="0.25">
      <c r="B58" s="500" t="s">
        <v>424</v>
      </c>
      <c r="C58" s="449" t="s">
        <v>425</v>
      </c>
      <c r="D58" s="449">
        <v>9.2999999999999992E-3</v>
      </c>
      <c r="E58" s="501">
        <v>0</v>
      </c>
      <c r="F58" s="501">
        <v>1</v>
      </c>
      <c r="G58" s="449" t="s">
        <v>421</v>
      </c>
      <c r="H58" s="450"/>
      <c r="I58" s="450"/>
      <c r="J58" s="449"/>
    </row>
    <row r="59" spans="2:10" ht="18" x14ac:dyDescent="0.25">
      <c r="B59" s="500" t="s">
        <v>426</v>
      </c>
      <c r="C59" s="449" t="s">
        <v>427</v>
      </c>
      <c r="D59" s="449">
        <v>4.0000000000000002E-4</v>
      </c>
      <c r="E59" s="501">
        <v>0</v>
      </c>
      <c r="F59" s="501">
        <v>1</v>
      </c>
      <c r="G59" s="449" t="s">
        <v>421</v>
      </c>
      <c r="H59" s="450"/>
      <c r="I59" s="450"/>
      <c r="J59" s="449"/>
    </row>
    <row r="60" spans="2:10" ht="18" x14ac:dyDescent="0.25">
      <c r="B60" s="500" t="s">
        <v>1856</v>
      </c>
      <c r="C60" s="449" t="s">
        <v>1857</v>
      </c>
      <c r="D60" s="449">
        <v>1200</v>
      </c>
      <c r="E60" s="501"/>
      <c r="F60" s="501"/>
      <c r="G60" s="449" t="s">
        <v>746</v>
      </c>
      <c r="H60" s="450"/>
      <c r="I60" s="450"/>
      <c r="J60" s="449"/>
    </row>
    <row r="61" spans="2:10" ht="18" x14ac:dyDescent="0.25">
      <c r="B61" s="500" t="s">
        <v>1858</v>
      </c>
      <c r="C61" s="449" t="s">
        <v>1841</v>
      </c>
      <c r="D61" s="449">
        <v>101325</v>
      </c>
      <c r="E61" s="501">
        <v>0</v>
      </c>
      <c r="F61" s="501"/>
      <c r="G61" s="449" t="s">
        <v>748</v>
      </c>
      <c r="H61" s="450"/>
      <c r="I61" s="450"/>
      <c r="J61" s="449"/>
    </row>
    <row r="62" spans="2:10" ht="18" x14ac:dyDescent="0.25">
      <c r="B62" s="500" t="s">
        <v>1600</v>
      </c>
      <c r="C62" s="449" t="s">
        <v>1859</v>
      </c>
      <c r="D62" s="449">
        <v>101325</v>
      </c>
      <c r="E62" s="501">
        <v>0</v>
      </c>
      <c r="F62" s="501"/>
      <c r="G62" s="449" t="s">
        <v>748</v>
      </c>
      <c r="H62" s="450"/>
      <c r="I62" s="450"/>
      <c r="J62" s="449"/>
    </row>
    <row r="64" spans="2:10" ht="15.75" thickBot="1" x14ac:dyDescent="0.3">
      <c r="C64" s="444" t="s">
        <v>428</v>
      </c>
    </row>
    <row r="65" spans="2:12" ht="15.75" thickBot="1" x14ac:dyDescent="0.3">
      <c r="B65" s="445" t="s">
        <v>0</v>
      </c>
      <c r="C65" s="446" t="s">
        <v>1</v>
      </c>
      <c r="D65" s="447" t="s">
        <v>149</v>
      </c>
      <c r="E65" s="447" t="s">
        <v>385</v>
      </c>
      <c r="F65" s="447" t="s">
        <v>386</v>
      </c>
      <c r="G65" s="447" t="s">
        <v>2</v>
      </c>
      <c r="H65" s="447" t="s">
        <v>309</v>
      </c>
      <c r="I65" s="447" t="s">
        <v>113</v>
      </c>
      <c r="J65" s="448" t="s">
        <v>114</v>
      </c>
    </row>
    <row r="66" spans="2:12" ht="17.25" x14ac:dyDescent="0.25">
      <c r="B66" s="500" t="s">
        <v>429</v>
      </c>
      <c r="C66" s="449" t="s">
        <v>430</v>
      </c>
      <c r="D66" s="449">
        <v>8.3144721500000003</v>
      </c>
      <c r="E66" s="501"/>
      <c r="F66" s="501"/>
      <c r="G66" s="449" t="s">
        <v>431</v>
      </c>
      <c r="H66" s="450"/>
      <c r="I66" s="450"/>
      <c r="J66" s="449"/>
    </row>
    <row r="67" spans="2:12" ht="18" x14ac:dyDescent="0.25">
      <c r="B67" s="500" t="s">
        <v>1119</v>
      </c>
      <c r="C67" s="449" t="s">
        <v>1120</v>
      </c>
      <c r="D67" s="449">
        <v>287.10199999999998</v>
      </c>
      <c r="E67" s="501"/>
      <c r="F67" s="501"/>
      <c r="G67" s="449" t="s">
        <v>1121</v>
      </c>
      <c r="H67" s="450"/>
      <c r="I67" s="450"/>
      <c r="J67" s="449"/>
    </row>
    <row r="68" spans="2:12" ht="18" x14ac:dyDescent="0.25">
      <c r="B68" s="500" t="s">
        <v>1601</v>
      </c>
      <c r="C68" s="449" t="s">
        <v>1602</v>
      </c>
      <c r="D68" s="449">
        <f>(T_STP_K*R__)/p_N</f>
        <v>2.24139952407846E-2</v>
      </c>
      <c r="E68" s="501"/>
      <c r="F68" s="501"/>
      <c r="G68" s="449" t="s">
        <v>1603</v>
      </c>
      <c r="H68" s="450"/>
      <c r="I68" s="450"/>
      <c r="J68" s="449"/>
    </row>
    <row r="69" spans="2:12" x14ac:dyDescent="0.25">
      <c r="B69" s="500" t="s">
        <v>1122</v>
      </c>
      <c r="C69" s="449" t="s">
        <v>2017</v>
      </c>
      <c r="D69" s="449">
        <v>1.4</v>
      </c>
      <c r="E69" s="501"/>
      <c r="F69" s="501"/>
      <c r="G69" s="449" t="s">
        <v>258</v>
      </c>
      <c r="H69" s="450"/>
      <c r="I69" s="450"/>
      <c r="J69" s="449"/>
      <c r="L69" s="213">
        <v>2.24139952407846E-2</v>
      </c>
    </row>
    <row r="70" spans="2:12" ht="17.25" x14ac:dyDescent="0.25">
      <c r="B70" s="500" t="s">
        <v>432</v>
      </c>
      <c r="C70" s="449" t="s">
        <v>433</v>
      </c>
      <c r="D70" s="449">
        <v>96485.339924</v>
      </c>
      <c r="E70" s="501"/>
      <c r="F70" s="501"/>
      <c r="G70" s="449" t="s">
        <v>434</v>
      </c>
      <c r="H70" s="450"/>
      <c r="I70" s="450"/>
      <c r="J70" s="449"/>
    </row>
    <row r="71" spans="2:12" ht="18" x14ac:dyDescent="0.25">
      <c r="B71" s="500" t="s">
        <v>435</v>
      </c>
      <c r="C71" s="449" t="s">
        <v>436</v>
      </c>
      <c r="D71" s="449">
        <v>9.8066499999999994</v>
      </c>
      <c r="E71" s="501"/>
      <c r="F71" s="501"/>
      <c r="G71" s="449" t="s">
        <v>437</v>
      </c>
      <c r="H71" s="450"/>
      <c r="I71" s="450"/>
      <c r="J71" s="449"/>
    </row>
    <row r="72" spans="2:12" ht="18" x14ac:dyDescent="0.25">
      <c r="B72" s="500" t="s">
        <v>888</v>
      </c>
      <c r="C72" s="449" t="s">
        <v>889</v>
      </c>
      <c r="D72" s="449">
        <v>4.1813000000000002</v>
      </c>
      <c r="E72" s="501"/>
      <c r="F72" s="501"/>
      <c r="G72" s="449" t="s">
        <v>2018</v>
      </c>
      <c r="H72" s="450"/>
      <c r="I72" s="450"/>
      <c r="J72" s="449"/>
    </row>
    <row r="73" spans="2:12" ht="18" x14ac:dyDescent="0.25">
      <c r="B73" s="500" t="s">
        <v>1864</v>
      </c>
      <c r="C73" s="449" t="s">
        <v>1865</v>
      </c>
      <c r="D73" s="449">
        <v>298.14999999999998</v>
      </c>
      <c r="E73" s="501"/>
      <c r="F73" s="501"/>
      <c r="G73" s="449" t="s">
        <v>390</v>
      </c>
      <c r="H73" s="450"/>
      <c r="I73" s="450"/>
      <c r="J73" s="449" t="s">
        <v>1866</v>
      </c>
    </row>
    <row r="74" spans="2:12" ht="18" x14ac:dyDescent="0.25">
      <c r="B74" s="500" t="s">
        <v>1867</v>
      </c>
      <c r="C74" s="449" t="s">
        <v>1868</v>
      </c>
      <c r="D74" s="449">
        <v>293.14999999999998</v>
      </c>
      <c r="E74" s="501"/>
      <c r="F74" s="501"/>
      <c r="G74" s="449" t="s">
        <v>390</v>
      </c>
      <c r="H74" s="450"/>
      <c r="I74" s="450"/>
      <c r="J74" s="449" t="s">
        <v>1869</v>
      </c>
    </row>
    <row r="75" spans="2:12" ht="18" x14ac:dyDescent="0.25">
      <c r="B75" s="500" t="s">
        <v>1870</v>
      </c>
      <c r="C75" s="449" t="s">
        <v>1871</v>
      </c>
      <c r="D75" s="449">
        <v>273.14999999999998</v>
      </c>
      <c r="E75" s="501"/>
      <c r="F75" s="501"/>
      <c r="G75" s="449" t="s">
        <v>390</v>
      </c>
      <c r="H75" s="450"/>
      <c r="I75" s="450"/>
      <c r="J75" s="449" t="s">
        <v>1872</v>
      </c>
    </row>
    <row r="76" spans="2:12" ht="18" x14ac:dyDescent="0.25">
      <c r="B76" s="500" t="s">
        <v>1873</v>
      </c>
      <c r="C76" s="449" t="s">
        <v>1058</v>
      </c>
      <c r="D76" s="449">
        <v>0</v>
      </c>
      <c r="E76" s="501"/>
      <c r="F76" s="501"/>
      <c r="G76" s="449" t="s">
        <v>1604</v>
      </c>
      <c r="H76" s="450"/>
      <c r="I76" s="450"/>
      <c r="J76" s="449" t="s">
        <v>1123</v>
      </c>
    </row>
    <row r="78" spans="2:12" ht="15.75" thickBot="1" x14ac:dyDescent="0.3">
      <c r="C78" s="444" t="s">
        <v>438</v>
      </c>
    </row>
    <row r="79" spans="2:12" ht="15.75" thickBot="1" x14ac:dyDescent="0.3">
      <c r="B79" s="445" t="s">
        <v>0</v>
      </c>
      <c r="C79" s="446" t="s">
        <v>1</v>
      </c>
      <c r="D79" s="447" t="s">
        <v>149</v>
      </c>
      <c r="E79" s="447" t="s">
        <v>385</v>
      </c>
      <c r="F79" s="447" t="s">
        <v>386</v>
      </c>
      <c r="G79" s="447" t="s">
        <v>2</v>
      </c>
      <c r="H79" s="447" t="s">
        <v>309</v>
      </c>
      <c r="I79" s="447" t="s">
        <v>113</v>
      </c>
      <c r="J79" s="448" t="s">
        <v>114</v>
      </c>
    </row>
    <row r="80" spans="2:12" x14ac:dyDescent="0.25">
      <c r="B80" s="500" t="s">
        <v>439</v>
      </c>
      <c r="C80" s="449" t="s">
        <v>440</v>
      </c>
      <c r="D80" s="449">
        <v>3.1415926500000002</v>
      </c>
      <c r="E80" s="501"/>
      <c r="F80" s="501"/>
      <c r="G80" s="449" t="s">
        <v>258</v>
      </c>
      <c r="H80" s="450"/>
      <c r="I80" s="450"/>
      <c r="J80" s="449"/>
    </row>
    <row r="82" spans="2:10" ht="15.75" thickBot="1" x14ac:dyDescent="0.3">
      <c r="C82" s="444" t="s">
        <v>441</v>
      </c>
    </row>
    <row r="83" spans="2:10" ht="15.75" thickBot="1" x14ac:dyDescent="0.3">
      <c r="B83" s="445" t="s">
        <v>0</v>
      </c>
      <c r="C83" s="446" t="s">
        <v>1</v>
      </c>
      <c r="D83" s="447" t="s">
        <v>149</v>
      </c>
      <c r="E83" s="447" t="s">
        <v>385</v>
      </c>
      <c r="F83" s="447" t="s">
        <v>386</v>
      </c>
      <c r="G83" s="447" t="s">
        <v>2</v>
      </c>
      <c r="H83" s="447" t="s">
        <v>309</v>
      </c>
      <c r="I83" s="447" t="s">
        <v>113</v>
      </c>
      <c r="J83" s="448" t="s">
        <v>114</v>
      </c>
    </row>
    <row r="84" spans="2:10" ht="18" x14ac:dyDescent="0.25">
      <c r="B84" s="500" t="s">
        <v>377</v>
      </c>
      <c r="C84" s="449" t="s">
        <v>345</v>
      </c>
      <c r="D84" s="449">
        <v>1.0079400000000001</v>
      </c>
      <c r="E84" s="501"/>
      <c r="F84" s="501"/>
      <c r="G84" s="449" t="s">
        <v>368</v>
      </c>
      <c r="H84" s="450"/>
      <c r="I84" s="450"/>
      <c r="J84" s="449"/>
    </row>
    <row r="85" spans="2:10" ht="18" x14ac:dyDescent="0.25">
      <c r="B85" s="500" t="s">
        <v>442</v>
      </c>
      <c r="C85" s="449" t="s">
        <v>443</v>
      </c>
      <c r="D85" s="449">
        <v>4.0026020000000004</v>
      </c>
      <c r="E85" s="501"/>
      <c r="F85" s="501"/>
      <c r="G85" s="449" t="s">
        <v>368</v>
      </c>
      <c r="H85" s="450"/>
      <c r="I85" s="450"/>
      <c r="J85" s="449"/>
    </row>
    <row r="86" spans="2:10" ht="18" x14ac:dyDescent="0.25">
      <c r="B86" s="500" t="s">
        <v>444</v>
      </c>
      <c r="C86" s="449" t="s">
        <v>445</v>
      </c>
      <c r="D86" s="449">
        <v>6.9409999999999998</v>
      </c>
      <c r="E86" s="501"/>
      <c r="F86" s="501"/>
      <c r="G86" s="449" t="s">
        <v>368</v>
      </c>
      <c r="H86" s="450"/>
      <c r="I86" s="450"/>
      <c r="J86" s="449"/>
    </row>
    <row r="87" spans="2:10" ht="18" x14ac:dyDescent="0.25">
      <c r="B87" s="500" t="s">
        <v>446</v>
      </c>
      <c r="C87" s="449" t="s">
        <v>447</v>
      </c>
      <c r="D87" s="449">
        <v>9.0121819999999992</v>
      </c>
      <c r="E87" s="501"/>
      <c r="F87" s="501"/>
      <c r="G87" s="449" t="s">
        <v>368</v>
      </c>
      <c r="H87" s="450"/>
      <c r="I87" s="450"/>
      <c r="J87" s="449"/>
    </row>
    <row r="88" spans="2:10" ht="18" x14ac:dyDescent="0.25">
      <c r="B88" s="500" t="s">
        <v>448</v>
      </c>
      <c r="C88" s="449" t="s">
        <v>449</v>
      </c>
      <c r="D88" s="449">
        <v>10.811</v>
      </c>
      <c r="E88" s="501"/>
      <c r="F88" s="501"/>
      <c r="G88" s="449" t="s">
        <v>368</v>
      </c>
      <c r="H88" s="450"/>
      <c r="I88" s="450"/>
      <c r="J88" s="449"/>
    </row>
    <row r="89" spans="2:10" ht="18" x14ac:dyDescent="0.25">
      <c r="B89" s="500" t="s">
        <v>371</v>
      </c>
      <c r="C89" s="449" t="s">
        <v>372</v>
      </c>
      <c r="D89" s="449">
        <v>12.0107</v>
      </c>
      <c r="E89" s="501"/>
      <c r="F89" s="501"/>
      <c r="G89" s="449" t="s">
        <v>368</v>
      </c>
      <c r="H89" s="450"/>
      <c r="I89" s="450"/>
      <c r="J89" s="449"/>
    </row>
    <row r="90" spans="2:10" ht="18" x14ac:dyDescent="0.25">
      <c r="B90" s="500" t="s">
        <v>369</v>
      </c>
      <c r="C90" s="449" t="s">
        <v>237</v>
      </c>
      <c r="D90" s="449">
        <v>14.0067</v>
      </c>
      <c r="E90" s="501"/>
      <c r="F90" s="501"/>
      <c r="G90" s="449" t="s">
        <v>368</v>
      </c>
      <c r="H90" s="450"/>
      <c r="I90" s="450"/>
      <c r="J90" s="449"/>
    </row>
    <row r="91" spans="2:10" ht="18" x14ac:dyDescent="0.25">
      <c r="B91" s="500" t="s">
        <v>370</v>
      </c>
      <c r="C91" s="449" t="s">
        <v>236</v>
      </c>
      <c r="D91" s="449">
        <v>15.9994</v>
      </c>
      <c r="E91" s="501"/>
      <c r="F91" s="501"/>
      <c r="G91" s="449" t="s">
        <v>368</v>
      </c>
      <c r="H91" s="450"/>
      <c r="I91" s="450"/>
      <c r="J91" s="449"/>
    </row>
    <row r="92" spans="2:10" ht="18" x14ac:dyDescent="0.25">
      <c r="B92" s="500" t="s">
        <v>450</v>
      </c>
      <c r="C92" s="449" t="s">
        <v>451</v>
      </c>
      <c r="D92" s="449">
        <v>18.998403</v>
      </c>
      <c r="E92" s="501"/>
      <c r="F92" s="501"/>
      <c r="G92" s="449" t="s">
        <v>368</v>
      </c>
      <c r="H92" s="450"/>
      <c r="I92" s="450"/>
      <c r="J92" s="449"/>
    </row>
    <row r="93" spans="2:10" ht="18" x14ac:dyDescent="0.25">
      <c r="B93" s="500" t="s">
        <v>452</v>
      </c>
      <c r="C93" s="449" t="s">
        <v>453</v>
      </c>
      <c r="D93" s="449">
        <v>20.1797</v>
      </c>
      <c r="E93" s="501"/>
      <c r="F93" s="501"/>
      <c r="G93" s="449" t="s">
        <v>368</v>
      </c>
      <c r="H93" s="450"/>
      <c r="I93" s="450"/>
      <c r="J93" s="449"/>
    </row>
    <row r="94" spans="2:10" ht="18" x14ac:dyDescent="0.25">
      <c r="B94" s="500" t="s">
        <v>454</v>
      </c>
      <c r="C94" s="449" t="s">
        <v>455</v>
      </c>
      <c r="D94" s="449">
        <v>22.989768999999999</v>
      </c>
      <c r="E94" s="501"/>
      <c r="F94" s="501"/>
      <c r="G94" s="449" t="s">
        <v>368</v>
      </c>
      <c r="H94" s="450"/>
      <c r="I94" s="450"/>
      <c r="J94" s="449"/>
    </row>
    <row r="95" spans="2:10" ht="18" x14ac:dyDescent="0.25">
      <c r="B95" s="500" t="s">
        <v>456</v>
      </c>
      <c r="C95" s="449" t="s">
        <v>457</v>
      </c>
      <c r="D95" s="449">
        <v>24.305</v>
      </c>
      <c r="E95" s="501"/>
      <c r="F95" s="501"/>
      <c r="G95" s="449" t="s">
        <v>368</v>
      </c>
      <c r="H95" s="450"/>
      <c r="I95" s="450"/>
      <c r="J95" s="449"/>
    </row>
    <row r="96" spans="2:10" ht="18" x14ac:dyDescent="0.25">
      <c r="B96" s="500" t="s">
        <v>376</v>
      </c>
      <c r="C96" s="449" t="s">
        <v>242</v>
      </c>
      <c r="D96" s="449">
        <v>26.9815</v>
      </c>
      <c r="E96" s="501"/>
      <c r="F96" s="501"/>
      <c r="G96" s="449" t="s">
        <v>368</v>
      </c>
      <c r="H96" s="450"/>
      <c r="I96" s="450"/>
      <c r="J96" s="449"/>
    </row>
    <row r="97" spans="2:10" ht="18" x14ac:dyDescent="0.25">
      <c r="B97" s="500" t="s">
        <v>458</v>
      </c>
      <c r="C97" s="449" t="s">
        <v>459</v>
      </c>
      <c r="D97" s="449">
        <v>28.0855</v>
      </c>
      <c r="E97" s="501"/>
      <c r="F97" s="501"/>
      <c r="G97" s="449" t="s">
        <v>368</v>
      </c>
      <c r="H97" s="450"/>
      <c r="I97" s="450"/>
      <c r="J97" s="449"/>
    </row>
    <row r="98" spans="2:10" ht="18" x14ac:dyDescent="0.25">
      <c r="B98" s="500" t="s">
        <v>367</v>
      </c>
      <c r="C98" s="449" t="s">
        <v>243</v>
      </c>
      <c r="D98" s="449">
        <v>30.973762199999999</v>
      </c>
      <c r="E98" s="501"/>
      <c r="F98" s="501"/>
      <c r="G98" s="449" t="s">
        <v>368</v>
      </c>
      <c r="H98" s="450"/>
      <c r="I98" s="450"/>
      <c r="J98" s="449"/>
    </row>
    <row r="99" spans="2:10" ht="18" x14ac:dyDescent="0.25">
      <c r="B99" s="500" t="s">
        <v>460</v>
      </c>
      <c r="C99" s="449" t="s">
        <v>461</v>
      </c>
      <c r="D99" s="449">
        <v>32.064999999999998</v>
      </c>
      <c r="E99" s="501"/>
      <c r="F99" s="501"/>
      <c r="G99" s="449" t="s">
        <v>368</v>
      </c>
      <c r="H99" s="450"/>
      <c r="I99" s="450"/>
      <c r="J99" s="449"/>
    </row>
    <row r="100" spans="2:10" ht="18" x14ac:dyDescent="0.25">
      <c r="B100" s="500" t="s">
        <v>462</v>
      </c>
      <c r="C100" s="449" t="s">
        <v>463</v>
      </c>
      <c r="D100" s="449">
        <v>35.453000000000003</v>
      </c>
      <c r="E100" s="501"/>
      <c r="F100" s="501"/>
      <c r="G100" s="449" t="s">
        <v>368</v>
      </c>
      <c r="H100" s="450"/>
      <c r="I100" s="450"/>
      <c r="J100" s="449"/>
    </row>
    <row r="101" spans="2:10" ht="18" x14ac:dyDescent="0.25">
      <c r="B101" s="500" t="s">
        <v>464</v>
      </c>
      <c r="C101" s="449" t="s">
        <v>465</v>
      </c>
      <c r="D101" s="449">
        <v>39.948</v>
      </c>
      <c r="E101" s="501"/>
      <c r="F101" s="501"/>
      <c r="G101" s="449" t="s">
        <v>368</v>
      </c>
      <c r="H101" s="450"/>
      <c r="I101" s="450"/>
      <c r="J101" s="449"/>
    </row>
    <row r="102" spans="2:10" ht="18" x14ac:dyDescent="0.25">
      <c r="B102" s="500" t="s">
        <v>466</v>
      </c>
      <c r="C102" s="449" t="s">
        <v>467</v>
      </c>
      <c r="D102" s="449">
        <v>39.098300000000002</v>
      </c>
      <c r="E102" s="501"/>
      <c r="F102" s="501"/>
      <c r="G102" s="449" t="s">
        <v>368</v>
      </c>
      <c r="H102" s="450"/>
      <c r="I102" s="450"/>
      <c r="J102" s="449"/>
    </row>
    <row r="103" spans="2:10" ht="18" x14ac:dyDescent="0.25">
      <c r="B103" s="500" t="s">
        <v>373</v>
      </c>
      <c r="C103" s="449" t="s">
        <v>374</v>
      </c>
      <c r="D103" s="449">
        <v>40.078000000000003</v>
      </c>
      <c r="E103" s="501"/>
      <c r="F103" s="501"/>
      <c r="G103" s="449" t="s">
        <v>368</v>
      </c>
      <c r="H103" s="450"/>
      <c r="I103" s="450"/>
      <c r="J103" s="449"/>
    </row>
    <row r="104" spans="2:10" ht="18" x14ac:dyDescent="0.25">
      <c r="B104" s="500" t="s">
        <v>468</v>
      </c>
      <c r="C104" s="449" t="s">
        <v>469</v>
      </c>
      <c r="D104" s="449">
        <v>44.955911999999998</v>
      </c>
      <c r="E104" s="501"/>
      <c r="F104" s="501"/>
      <c r="G104" s="449" t="s">
        <v>368</v>
      </c>
      <c r="H104" s="450"/>
      <c r="I104" s="450"/>
      <c r="J104" s="449"/>
    </row>
    <row r="105" spans="2:10" ht="18" x14ac:dyDescent="0.25">
      <c r="B105" s="500" t="s">
        <v>470</v>
      </c>
      <c r="C105" s="449" t="s">
        <v>471</v>
      </c>
      <c r="D105" s="449">
        <v>47.866999999999997</v>
      </c>
      <c r="E105" s="501"/>
      <c r="F105" s="501"/>
      <c r="G105" s="449" t="s">
        <v>368</v>
      </c>
      <c r="H105" s="450"/>
      <c r="I105" s="450"/>
      <c r="J105" s="449"/>
    </row>
    <row r="106" spans="2:10" ht="18" x14ac:dyDescent="0.25">
      <c r="B106" s="500" t="s">
        <v>472</v>
      </c>
      <c r="C106" s="449" t="s">
        <v>473</v>
      </c>
      <c r="D106" s="449">
        <v>50.941499999999998</v>
      </c>
      <c r="E106" s="501"/>
      <c r="F106" s="501"/>
      <c r="G106" s="449" t="s">
        <v>368</v>
      </c>
      <c r="H106" s="450"/>
      <c r="I106" s="450"/>
      <c r="J106" s="449"/>
    </row>
    <row r="107" spans="2:10" ht="18" x14ac:dyDescent="0.25">
      <c r="B107" s="500" t="s">
        <v>474</v>
      </c>
      <c r="C107" s="449" t="s">
        <v>475</v>
      </c>
      <c r="D107" s="449">
        <v>51.996099999999998</v>
      </c>
      <c r="E107" s="501"/>
      <c r="F107" s="501"/>
      <c r="G107" s="449" t="s">
        <v>368</v>
      </c>
      <c r="H107" s="450"/>
      <c r="I107" s="450"/>
      <c r="J107" s="449"/>
    </row>
    <row r="108" spans="2:10" ht="18" x14ac:dyDescent="0.25">
      <c r="B108" s="500" t="s">
        <v>476</v>
      </c>
      <c r="C108" s="449" t="s">
        <v>477</v>
      </c>
      <c r="D108" s="449">
        <v>54.938045000000002</v>
      </c>
      <c r="E108" s="501"/>
      <c r="F108" s="501"/>
      <c r="G108" s="449" t="s">
        <v>368</v>
      </c>
      <c r="H108" s="450"/>
      <c r="I108" s="450"/>
      <c r="J108" s="449"/>
    </row>
    <row r="109" spans="2:10" ht="18" x14ac:dyDescent="0.25">
      <c r="B109" s="500" t="s">
        <v>375</v>
      </c>
      <c r="C109" s="449" t="s">
        <v>241</v>
      </c>
      <c r="D109" s="449">
        <v>55.844999999999999</v>
      </c>
      <c r="E109" s="501"/>
      <c r="F109" s="501"/>
      <c r="G109" s="449" t="s">
        <v>368</v>
      </c>
      <c r="H109" s="450"/>
      <c r="I109" s="450"/>
      <c r="J109" s="449"/>
    </row>
    <row r="110" spans="2:10" ht="18" x14ac:dyDescent="0.25">
      <c r="B110" s="500" t="s">
        <v>478</v>
      </c>
      <c r="C110" s="449" t="s">
        <v>479</v>
      </c>
      <c r="D110" s="449">
        <v>58.933194999999998</v>
      </c>
      <c r="E110" s="501"/>
      <c r="F110" s="501"/>
      <c r="G110" s="449" t="s">
        <v>368</v>
      </c>
      <c r="H110" s="450"/>
      <c r="I110" s="450"/>
      <c r="J110" s="449"/>
    </row>
    <row r="111" spans="2:10" ht="18" x14ac:dyDescent="0.25">
      <c r="B111" s="500" t="s">
        <v>480</v>
      </c>
      <c r="C111" s="449" t="s">
        <v>481</v>
      </c>
      <c r="D111" s="449">
        <v>58.693399999999997</v>
      </c>
      <c r="E111" s="501"/>
      <c r="F111" s="501"/>
      <c r="G111" s="449" t="s">
        <v>368</v>
      </c>
      <c r="H111" s="450"/>
      <c r="I111" s="450"/>
      <c r="J111" s="449"/>
    </row>
    <row r="112" spans="2:10" ht="18" x14ac:dyDescent="0.25">
      <c r="B112" s="500" t="s">
        <v>482</v>
      </c>
      <c r="C112" s="449" t="s">
        <v>483</v>
      </c>
      <c r="D112" s="449">
        <v>63.545999999999999</v>
      </c>
      <c r="E112" s="501"/>
      <c r="F112" s="501"/>
      <c r="G112" s="449" t="s">
        <v>368</v>
      </c>
      <c r="H112" s="450"/>
      <c r="I112" s="450"/>
      <c r="J112" s="449"/>
    </row>
    <row r="113" spans="2:10" ht="18" x14ac:dyDescent="0.25">
      <c r="B113" s="500" t="s">
        <v>484</v>
      </c>
      <c r="C113" s="449" t="s">
        <v>485</v>
      </c>
      <c r="D113" s="449">
        <v>65.38</v>
      </c>
      <c r="E113" s="501"/>
      <c r="F113" s="501"/>
      <c r="G113" s="449" t="s">
        <v>368</v>
      </c>
      <c r="H113" s="450"/>
      <c r="I113" s="450"/>
      <c r="J113" s="449"/>
    </row>
    <row r="114" spans="2:10" ht="18" x14ac:dyDescent="0.25">
      <c r="B114" s="500" t="s">
        <v>486</v>
      </c>
      <c r="C114" s="449" t="s">
        <v>487</v>
      </c>
      <c r="D114" s="449">
        <v>69.722999999999999</v>
      </c>
      <c r="E114" s="501"/>
      <c r="F114" s="501"/>
      <c r="G114" s="449" t="s">
        <v>368</v>
      </c>
      <c r="H114" s="450"/>
      <c r="I114" s="450"/>
      <c r="J114" s="449"/>
    </row>
    <row r="115" spans="2:10" ht="18" x14ac:dyDescent="0.25">
      <c r="B115" s="500" t="s">
        <v>488</v>
      </c>
      <c r="C115" s="449" t="s">
        <v>489</v>
      </c>
      <c r="D115" s="449">
        <v>72.64</v>
      </c>
      <c r="E115" s="501"/>
      <c r="F115" s="501"/>
      <c r="G115" s="449" t="s">
        <v>368</v>
      </c>
      <c r="H115" s="450"/>
      <c r="I115" s="450"/>
      <c r="J115" s="449"/>
    </row>
    <row r="116" spans="2:10" ht="18" x14ac:dyDescent="0.25">
      <c r="B116" s="500" t="s">
        <v>490</v>
      </c>
      <c r="C116" s="449" t="s">
        <v>491</v>
      </c>
      <c r="D116" s="449">
        <v>74.921599999999998</v>
      </c>
      <c r="E116" s="501"/>
      <c r="F116" s="501"/>
      <c r="G116" s="449" t="s">
        <v>368</v>
      </c>
      <c r="H116" s="450"/>
      <c r="I116" s="450"/>
      <c r="J116" s="449"/>
    </row>
    <row r="117" spans="2:10" ht="18" x14ac:dyDescent="0.25">
      <c r="B117" s="500" t="s">
        <v>492</v>
      </c>
      <c r="C117" s="449" t="s">
        <v>493</v>
      </c>
      <c r="D117" s="449">
        <v>78.959999999999994</v>
      </c>
      <c r="E117" s="501"/>
      <c r="F117" s="501"/>
      <c r="G117" s="449" t="s">
        <v>368</v>
      </c>
      <c r="H117" s="450"/>
      <c r="I117" s="450"/>
      <c r="J117" s="449"/>
    </row>
    <row r="118" spans="2:10" ht="18" x14ac:dyDescent="0.25">
      <c r="B118" s="500" t="s">
        <v>494</v>
      </c>
      <c r="C118" s="449" t="s">
        <v>495</v>
      </c>
      <c r="D118" s="449">
        <v>79.903999999999996</v>
      </c>
      <c r="E118" s="501"/>
      <c r="F118" s="501"/>
      <c r="G118" s="449" t="s">
        <v>368</v>
      </c>
      <c r="H118" s="450"/>
      <c r="I118" s="450"/>
      <c r="J118" s="449"/>
    </row>
    <row r="119" spans="2:10" ht="18" x14ac:dyDescent="0.25">
      <c r="B119" s="500" t="s">
        <v>496</v>
      </c>
      <c r="C119" s="449" t="s">
        <v>497</v>
      </c>
      <c r="D119" s="449">
        <v>83.798000000000002</v>
      </c>
      <c r="E119" s="501"/>
      <c r="F119" s="501"/>
      <c r="G119" s="449" t="s">
        <v>368</v>
      </c>
      <c r="H119" s="450"/>
      <c r="I119" s="450"/>
      <c r="J119" s="449"/>
    </row>
    <row r="120" spans="2:10" ht="18" x14ac:dyDescent="0.25">
      <c r="B120" s="500" t="s">
        <v>498</v>
      </c>
      <c r="C120" s="449" t="s">
        <v>499</v>
      </c>
      <c r="D120" s="449">
        <v>85.467799999999997</v>
      </c>
      <c r="E120" s="501"/>
      <c r="F120" s="501"/>
      <c r="G120" s="449" t="s">
        <v>368</v>
      </c>
      <c r="H120" s="450"/>
      <c r="I120" s="450"/>
      <c r="J120" s="449"/>
    </row>
    <row r="121" spans="2:10" ht="18" x14ac:dyDescent="0.25">
      <c r="B121" s="500" t="s">
        <v>500</v>
      </c>
      <c r="C121" s="449" t="s">
        <v>501</v>
      </c>
      <c r="D121" s="449">
        <v>87.62</v>
      </c>
      <c r="E121" s="501"/>
      <c r="F121" s="501"/>
      <c r="G121" s="449" t="s">
        <v>368</v>
      </c>
      <c r="H121" s="450"/>
      <c r="I121" s="450"/>
      <c r="J121" s="449"/>
    </row>
    <row r="122" spans="2:10" ht="18" x14ac:dyDescent="0.25">
      <c r="B122" s="500" t="s">
        <v>502</v>
      </c>
      <c r="C122" s="449" t="s">
        <v>503</v>
      </c>
      <c r="D122" s="449">
        <v>88.905850000000001</v>
      </c>
      <c r="E122" s="501"/>
      <c r="F122" s="501"/>
      <c r="G122" s="449" t="s">
        <v>368</v>
      </c>
      <c r="H122" s="450"/>
      <c r="I122" s="450"/>
      <c r="J122" s="449"/>
    </row>
    <row r="123" spans="2:10" ht="18" x14ac:dyDescent="0.25">
      <c r="B123" s="500" t="s">
        <v>504</v>
      </c>
      <c r="C123" s="449" t="s">
        <v>505</v>
      </c>
      <c r="D123" s="449">
        <v>91.224000000000004</v>
      </c>
      <c r="E123" s="501"/>
      <c r="F123" s="501"/>
      <c r="G123" s="449" t="s">
        <v>368</v>
      </c>
      <c r="H123" s="450"/>
      <c r="I123" s="450"/>
      <c r="J123" s="449"/>
    </row>
    <row r="124" spans="2:10" ht="18" x14ac:dyDescent="0.25">
      <c r="B124" s="500" t="s">
        <v>506</v>
      </c>
      <c r="C124" s="449" t="s">
        <v>507</v>
      </c>
      <c r="D124" s="449">
        <v>92.906379999999999</v>
      </c>
      <c r="E124" s="501"/>
      <c r="F124" s="501"/>
      <c r="G124" s="449" t="s">
        <v>368</v>
      </c>
      <c r="H124" s="450"/>
      <c r="I124" s="450"/>
      <c r="J124" s="449"/>
    </row>
    <row r="125" spans="2:10" ht="18" x14ac:dyDescent="0.25">
      <c r="B125" s="500" t="s">
        <v>508</v>
      </c>
      <c r="C125" s="449" t="s">
        <v>509</v>
      </c>
      <c r="D125" s="449">
        <v>95.94</v>
      </c>
      <c r="E125" s="501"/>
      <c r="F125" s="501"/>
      <c r="G125" s="449" t="s">
        <v>368</v>
      </c>
      <c r="H125" s="450"/>
      <c r="I125" s="450"/>
      <c r="J125" s="449"/>
    </row>
    <row r="126" spans="2:10" ht="18" x14ac:dyDescent="0.25">
      <c r="B126" s="500" t="s">
        <v>510</v>
      </c>
      <c r="C126" s="449" t="s">
        <v>511</v>
      </c>
      <c r="D126" s="449">
        <v>98</v>
      </c>
      <c r="E126" s="501"/>
      <c r="F126" s="501"/>
      <c r="G126" s="449" t="s">
        <v>368</v>
      </c>
      <c r="H126" s="450"/>
      <c r="I126" s="450"/>
      <c r="J126" s="449"/>
    </row>
    <row r="127" spans="2:10" ht="18" x14ac:dyDescent="0.25">
      <c r="B127" s="500" t="s">
        <v>512</v>
      </c>
      <c r="C127" s="449" t="s">
        <v>513</v>
      </c>
      <c r="D127" s="449">
        <v>101.07</v>
      </c>
      <c r="E127" s="501"/>
      <c r="F127" s="501"/>
      <c r="G127" s="449" t="s">
        <v>368</v>
      </c>
      <c r="H127" s="450"/>
      <c r="I127" s="450"/>
      <c r="J127" s="449"/>
    </row>
    <row r="128" spans="2:10" ht="18" x14ac:dyDescent="0.25">
      <c r="B128" s="500" t="s">
        <v>514</v>
      </c>
      <c r="C128" s="449" t="s">
        <v>515</v>
      </c>
      <c r="D128" s="449">
        <v>102.9055</v>
      </c>
      <c r="E128" s="501"/>
      <c r="F128" s="501"/>
      <c r="G128" s="449" t="s">
        <v>368</v>
      </c>
      <c r="H128" s="450"/>
      <c r="I128" s="450"/>
      <c r="J128" s="449"/>
    </row>
    <row r="129" spans="2:10" ht="18" x14ac:dyDescent="0.25">
      <c r="B129" s="500" t="s">
        <v>516</v>
      </c>
      <c r="C129" s="449" t="s">
        <v>517</v>
      </c>
      <c r="D129" s="449">
        <v>106.42</v>
      </c>
      <c r="E129" s="501"/>
      <c r="F129" s="501"/>
      <c r="G129" s="449" t="s">
        <v>368</v>
      </c>
      <c r="H129" s="450"/>
      <c r="I129" s="450"/>
      <c r="J129" s="449"/>
    </row>
    <row r="130" spans="2:10" ht="18" x14ac:dyDescent="0.25">
      <c r="B130" s="500" t="s">
        <v>518</v>
      </c>
      <c r="C130" s="449" t="s">
        <v>519</v>
      </c>
      <c r="D130" s="449">
        <v>107.8682</v>
      </c>
      <c r="E130" s="501"/>
      <c r="F130" s="501"/>
      <c r="G130" s="449" t="s">
        <v>368</v>
      </c>
      <c r="H130" s="450"/>
      <c r="I130" s="450"/>
      <c r="J130" s="449"/>
    </row>
    <row r="131" spans="2:10" ht="18" x14ac:dyDescent="0.25">
      <c r="B131" s="500" t="s">
        <v>520</v>
      </c>
      <c r="C131" s="449" t="s">
        <v>521</v>
      </c>
      <c r="D131" s="449">
        <v>112.411</v>
      </c>
      <c r="E131" s="501"/>
      <c r="F131" s="501"/>
      <c r="G131" s="449" t="s">
        <v>368</v>
      </c>
      <c r="H131" s="450"/>
      <c r="I131" s="450"/>
      <c r="J131" s="449"/>
    </row>
    <row r="132" spans="2:10" ht="18" x14ac:dyDescent="0.25">
      <c r="B132" s="500" t="s">
        <v>522</v>
      </c>
      <c r="C132" s="449" t="s">
        <v>523</v>
      </c>
      <c r="D132" s="449">
        <v>114.818</v>
      </c>
      <c r="E132" s="501"/>
      <c r="F132" s="501"/>
      <c r="G132" s="449" t="s">
        <v>368</v>
      </c>
      <c r="H132" s="450"/>
      <c r="I132" s="450"/>
      <c r="J132" s="449"/>
    </row>
    <row r="133" spans="2:10" ht="18" x14ac:dyDescent="0.25">
      <c r="B133" s="500" t="s">
        <v>524</v>
      </c>
      <c r="C133" s="449" t="s">
        <v>525</v>
      </c>
      <c r="D133" s="449">
        <v>118.71</v>
      </c>
      <c r="E133" s="501"/>
      <c r="F133" s="501"/>
      <c r="G133" s="449" t="s">
        <v>368</v>
      </c>
      <c r="H133" s="450"/>
      <c r="I133" s="450"/>
      <c r="J133" s="449"/>
    </row>
    <row r="134" spans="2:10" ht="18" x14ac:dyDescent="0.25">
      <c r="B134" s="500" t="s">
        <v>526</v>
      </c>
      <c r="C134" s="449" t="s">
        <v>527</v>
      </c>
      <c r="D134" s="449">
        <v>121.76</v>
      </c>
      <c r="E134" s="501"/>
      <c r="F134" s="501"/>
      <c r="G134" s="449" t="s">
        <v>368</v>
      </c>
      <c r="H134" s="450"/>
      <c r="I134" s="450"/>
      <c r="J134" s="449"/>
    </row>
    <row r="135" spans="2:10" ht="18" x14ac:dyDescent="0.25">
      <c r="B135" s="500" t="s">
        <v>528</v>
      </c>
      <c r="C135" s="449" t="s">
        <v>529</v>
      </c>
      <c r="D135" s="449">
        <v>127.6</v>
      </c>
      <c r="E135" s="501"/>
      <c r="F135" s="501"/>
      <c r="G135" s="449" t="s">
        <v>368</v>
      </c>
      <c r="H135" s="450"/>
      <c r="I135" s="450"/>
      <c r="J135" s="449"/>
    </row>
    <row r="136" spans="2:10" ht="18" x14ac:dyDescent="0.25">
      <c r="B136" s="500" t="s">
        <v>530</v>
      </c>
      <c r="C136" s="449" t="s">
        <v>531</v>
      </c>
      <c r="D136" s="449">
        <v>126.90447</v>
      </c>
      <c r="E136" s="501"/>
      <c r="F136" s="501"/>
      <c r="G136" s="449" t="s">
        <v>368</v>
      </c>
      <c r="H136" s="450"/>
      <c r="I136" s="450"/>
      <c r="J136" s="449"/>
    </row>
    <row r="137" spans="2:10" ht="18" x14ac:dyDescent="0.25">
      <c r="B137" s="500" t="s">
        <v>532</v>
      </c>
      <c r="C137" s="449" t="s">
        <v>533</v>
      </c>
      <c r="D137" s="449">
        <v>131.29300000000001</v>
      </c>
      <c r="E137" s="501"/>
      <c r="F137" s="501"/>
      <c r="G137" s="449" t="s">
        <v>368</v>
      </c>
      <c r="H137" s="450"/>
      <c r="I137" s="450"/>
      <c r="J137" s="449"/>
    </row>
    <row r="138" spans="2:10" ht="18" x14ac:dyDescent="0.25">
      <c r="B138" s="500" t="s">
        <v>534</v>
      </c>
      <c r="C138" s="449" t="s">
        <v>535</v>
      </c>
      <c r="D138" s="449">
        <v>132.90545</v>
      </c>
      <c r="E138" s="501"/>
      <c r="F138" s="501"/>
      <c r="G138" s="449" t="s">
        <v>368</v>
      </c>
      <c r="H138" s="450"/>
      <c r="I138" s="450"/>
      <c r="J138" s="449"/>
    </row>
    <row r="139" spans="2:10" ht="18" x14ac:dyDescent="0.25">
      <c r="B139" s="500" t="s">
        <v>536</v>
      </c>
      <c r="C139" s="449" t="s">
        <v>537</v>
      </c>
      <c r="D139" s="449">
        <v>137.327</v>
      </c>
      <c r="E139" s="501"/>
      <c r="F139" s="501"/>
      <c r="G139" s="449" t="s">
        <v>368</v>
      </c>
      <c r="H139" s="450"/>
      <c r="I139" s="450"/>
      <c r="J139" s="449"/>
    </row>
    <row r="140" spans="2:10" ht="18" x14ac:dyDescent="0.25">
      <c r="B140" s="500" t="s">
        <v>538</v>
      </c>
      <c r="C140" s="449" t="s">
        <v>539</v>
      </c>
      <c r="D140" s="449">
        <v>138.90547000000001</v>
      </c>
      <c r="E140" s="501"/>
      <c r="F140" s="501"/>
      <c r="G140" s="449" t="s">
        <v>368</v>
      </c>
      <c r="H140" s="450"/>
      <c r="I140" s="450"/>
      <c r="J140" s="449"/>
    </row>
    <row r="141" spans="2:10" ht="18" x14ac:dyDescent="0.25">
      <c r="B141" s="500" t="s">
        <v>540</v>
      </c>
      <c r="C141" s="449" t="s">
        <v>541</v>
      </c>
      <c r="D141" s="449">
        <v>140.11600000000001</v>
      </c>
      <c r="E141" s="501"/>
      <c r="F141" s="501"/>
      <c r="G141" s="449" t="s">
        <v>368</v>
      </c>
      <c r="H141" s="450"/>
      <c r="I141" s="450"/>
      <c r="J141" s="449"/>
    </row>
    <row r="142" spans="2:10" ht="18" x14ac:dyDescent="0.25">
      <c r="B142" s="500" t="s">
        <v>542</v>
      </c>
      <c r="C142" s="449" t="s">
        <v>543</v>
      </c>
      <c r="D142" s="449">
        <v>140.90764999999999</v>
      </c>
      <c r="E142" s="501"/>
      <c r="F142" s="501"/>
      <c r="G142" s="449" t="s">
        <v>368</v>
      </c>
      <c r="H142" s="450"/>
      <c r="I142" s="450"/>
      <c r="J142" s="449"/>
    </row>
    <row r="143" spans="2:10" ht="18" x14ac:dyDescent="0.25">
      <c r="B143" s="500" t="s">
        <v>544</v>
      </c>
      <c r="C143" s="449" t="s">
        <v>545</v>
      </c>
      <c r="D143" s="449">
        <v>144.24199999999999</v>
      </c>
      <c r="E143" s="501"/>
      <c r="F143" s="501"/>
      <c r="G143" s="449" t="s">
        <v>368</v>
      </c>
      <c r="H143" s="450"/>
      <c r="I143" s="450"/>
      <c r="J143" s="449"/>
    </row>
    <row r="144" spans="2:10" ht="18" x14ac:dyDescent="0.25">
      <c r="B144" s="500" t="s">
        <v>546</v>
      </c>
      <c r="C144" s="449" t="s">
        <v>547</v>
      </c>
      <c r="D144" s="449">
        <v>145</v>
      </c>
      <c r="E144" s="501"/>
      <c r="F144" s="501"/>
      <c r="G144" s="449" t="s">
        <v>368</v>
      </c>
      <c r="H144" s="450"/>
      <c r="I144" s="450"/>
      <c r="J144" s="449"/>
    </row>
    <row r="145" spans="2:10" ht="18" x14ac:dyDescent="0.25">
      <c r="B145" s="500" t="s">
        <v>548</v>
      </c>
      <c r="C145" s="449" t="s">
        <v>549</v>
      </c>
      <c r="D145" s="449">
        <v>150.36000000000001</v>
      </c>
      <c r="E145" s="501"/>
      <c r="F145" s="501"/>
      <c r="G145" s="449" t="s">
        <v>368</v>
      </c>
      <c r="H145" s="450"/>
      <c r="I145" s="450"/>
      <c r="J145" s="449"/>
    </row>
    <row r="146" spans="2:10" ht="18" x14ac:dyDescent="0.25">
      <c r="B146" s="500" t="s">
        <v>550</v>
      </c>
      <c r="C146" s="449" t="s">
        <v>551</v>
      </c>
      <c r="D146" s="449">
        <v>151.964</v>
      </c>
      <c r="E146" s="501"/>
      <c r="F146" s="501"/>
      <c r="G146" s="449" t="s">
        <v>368</v>
      </c>
      <c r="H146" s="450"/>
      <c r="I146" s="450"/>
      <c r="J146" s="449"/>
    </row>
    <row r="147" spans="2:10" ht="18" x14ac:dyDescent="0.25">
      <c r="B147" s="500" t="s">
        <v>552</v>
      </c>
      <c r="C147" s="449" t="s">
        <v>553</v>
      </c>
      <c r="D147" s="449">
        <v>157.25</v>
      </c>
      <c r="E147" s="501"/>
      <c r="F147" s="501"/>
      <c r="G147" s="449" t="s">
        <v>368</v>
      </c>
      <c r="H147" s="450"/>
      <c r="I147" s="450"/>
      <c r="J147" s="449"/>
    </row>
    <row r="148" spans="2:10" ht="18" x14ac:dyDescent="0.25">
      <c r="B148" s="500" t="s">
        <v>554</v>
      </c>
      <c r="C148" s="449" t="s">
        <v>555</v>
      </c>
      <c r="D148" s="449">
        <v>158.92535000000001</v>
      </c>
      <c r="E148" s="501"/>
      <c r="F148" s="501"/>
      <c r="G148" s="449" t="s">
        <v>368</v>
      </c>
      <c r="H148" s="450"/>
      <c r="I148" s="450"/>
      <c r="J148" s="449"/>
    </row>
    <row r="149" spans="2:10" ht="18" x14ac:dyDescent="0.25">
      <c r="B149" s="500" t="s">
        <v>556</v>
      </c>
      <c r="C149" s="449" t="s">
        <v>557</v>
      </c>
      <c r="D149" s="449">
        <v>162.5</v>
      </c>
      <c r="E149" s="501"/>
      <c r="F149" s="501"/>
      <c r="G149" s="449" t="s">
        <v>368</v>
      </c>
      <c r="H149" s="450"/>
      <c r="I149" s="450"/>
      <c r="J149" s="449"/>
    </row>
    <row r="150" spans="2:10" ht="18" x14ac:dyDescent="0.25">
      <c r="B150" s="500" t="s">
        <v>558</v>
      </c>
      <c r="C150" s="449" t="s">
        <v>559</v>
      </c>
      <c r="D150" s="449">
        <v>164.93031999999999</v>
      </c>
      <c r="E150" s="501"/>
      <c r="F150" s="501"/>
      <c r="G150" s="449" t="s">
        <v>368</v>
      </c>
      <c r="H150" s="450"/>
      <c r="I150" s="450"/>
      <c r="J150" s="449"/>
    </row>
    <row r="151" spans="2:10" ht="18" x14ac:dyDescent="0.25">
      <c r="B151" s="500" t="s">
        <v>560</v>
      </c>
      <c r="C151" s="449" t="s">
        <v>561</v>
      </c>
      <c r="D151" s="449">
        <v>167.25899999999999</v>
      </c>
      <c r="E151" s="501"/>
      <c r="F151" s="501"/>
      <c r="G151" s="449" t="s">
        <v>368</v>
      </c>
      <c r="H151" s="450"/>
      <c r="I151" s="450"/>
      <c r="J151" s="449"/>
    </row>
    <row r="152" spans="2:10" ht="18" x14ac:dyDescent="0.25">
      <c r="B152" s="500" t="s">
        <v>562</v>
      </c>
      <c r="C152" s="449" t="s">
        <v>563</v>
      </c>
      <c r="D152" s="449">
        <v>168.93421000000001</v>
      </c>
      <c r="E152" s="501"/>
      <c r="F152" s="501"/>
      <c r="G152" s="449" t="s">
        <v>368</v>
      </c>
      <c r="H152" s="450"/>
      <c r="I152" s="450"/>
      <c r="J152" s="449"/>
    </row>
    <row r="153" spans="2:10" ht="18" x14ac:dyDescent="0.25">
      <c r="B153" s="500" t="s">
        <v>564</v>
      </c>
      <c r="C153" s="449" t="s">
        <v>565</v>
      </c>
      <c r="D153" s="449">
        <v>173.04</v>
      </c>
      <c r="E153" s="501"/>
      <c r="F153" s="501"/>
      <c r="G153" s="449" t="s">
        <v>368</v>
      </c>
      <c r="H153" s="450"/>
      <c r="I153" s="450"/>
      <c r="J153" s="449"/>
    </row>
    <row r="154" spans="2:10" ht="18" x14ac:dyDescent="0.25">
      <c r="B154" s="500" t="s">
        <v>566</v>
      </c>
      <c r="C154" s="449" t="s">
        <v>567</v>
      </c>
      <c r="D154" s="449">
        <v>174.96700000000001</v>
      </c>
      <c r="E154" s="501"/>
      <c r="F154" s="501"/>
      <c r="G154" s="449" t="s">
        <v>368</v>
      </c>
      <c r="H154" s="450"/>
      <c r="I154" s="450"/>
      <c r="J154" s="449"/>
    </row>
    <row r="155" spans="2:10" ht="18" x14ac:dyDescent="0.25">
      <c r="B155" s="500" t="s">
        <v>568</v>
      </c>
      <c r="C155" s="449" t="s">
        <v>569</v>
      </c>
      <c r="D155" s="449">
        <v>178.49</v>
      </c>
      <c r="E155" s="501"/>
      <c r="F155" s="501"/>
      <c r="G155" s="449" t="s">
        <v>368</v>
      </c>
      <c r="H155" s="450"/>
      <c r="I155" s="450"/>
      <c r="J155" s="449"/>
    </row>
    <row r="156" spans="2:10" ht="18" x14ac:dyDescent="0.25">
      <c r="B156" s="500" t="s">
        <v>570</v>
      </c>
      <c r="C156" s="449" t="s">
        <v>571</v>
      </c>
      <c r="D156" s="449">
        <v>180.94788</v>
      </c>
      <c r="E156" s="501"/>
      <c r="F156" s="501"/>
      <c r="G156" s="449" t="s">
        <v>368</v>
      </c>
      <c r="H156" s="450"/>
      <c r="I156" s="450"/>
      <c r="J156" s="449"/>
    </row>
    <row r="157" spans="2:10" ht="18" x14ac:dyDescent="0.25">
      <c r="B157" s="500" t="s">
        <v>572</v>
      </c>
      <c r="C157" s="449" t="s">
        <v>573</v>
      </c>
      <c r="D157" s="449">
        <v>183.84</v>
      </c>
      <c r="E157" s="501"/>
      <c r="F157" s="501"/>
      <c r="G157" s="449" t="s">
        <v>368</v>
      </c>
      <c r="H157" s="450"/>
      <c r="I157" s="450"/>
      <c r="J157" s="449"/>
    </row>
    <row r="158" spans="2:10" ht="18" x14ac:dyDescent="0.25">
      <c r="B158" s="500" t="s">
        <v>574</v>
      </c>
      <c r="C158" s="449" t="s">
        <v>575</v>
      </c>
      <c r="D158" s="449">
        <v>186.20699999999999</v>
      </c>
      <c r="E158" s="501"/>
      <c r="F158" s="501"/>
      <c r="G158" s="449" t="s">
        <v>368</v>
      </c>
      <c r="H158" s="450"/>
      <c r="I158" s="450"/>
      <c r="J158" s="449"/>
    </row>
    <row r="159" spans="2:10" ht="18" x14ac:dyDescent="0.25">
      <c r="B159" s="500" t="s">
        <v>576</v>
      </c>
      <c r="C159" s="449" t="s">
        <v>577</v>
      </c>
      <c r="D159" s="449">
        <v>190.23</v>
      </c>
      <c r="E159" s="501"/>
      <c r="F159" s="501"/>
      <c r="G159" s="449" t="s">
        <v>368</v>
      </c>
      <c r="H159" s="450"/>
      <c r="I159" s="450"/>
      <c r="J159" s="449"/>
    </row>
    <row r="160" spans="2:10" ht="18" x14ac:dyDescent="0.25">
      <c r="B160" s="500" t="s">
        <v>578</v>
      </c>
      <c r="C160" s="449" t="s">
        <v>579</v>
      </c>
      <c r="D160" s="449">
        <v>192.21700000000001</v>
      </c>
      <c r="E160" s="501"/>
      <c r="F160" s="501"/>
      <c r="G160" s="449" t="s">
        <v>368</v>
      </c>
      <c r="H160" s="450"/>
      <c r="I160" s="450"/>
      <c r="J160" s="449"/>
    </row>
    <row r="161" spans="2:10" ht="18" x14ac:dyDescent="0.25">
      <c r="B161" s="500" t="s">
        <v>580</v>
      </c>
      <c r="C161" s="449" t="s">
        <v>581</v>
      </c>
      <c r="D161" s="449">
        <v>195.084</v>
      </c>
      <c r="E161" s="501"/>
      <c r="F161" s="501"/>
      <c r="G161" s="449" t="s">
        <v>368</v>
      </c>
      <c r="H161" s="450"/>
      <c r="I161" s="450"/>
      <c r="J161" s="449"/>
    </row>
    <row r="162" spans="2:10" ht="18" x14ac:dyDescent="0.25">
      <c r="B162" s="500" t="s">
        <v>582</v>
      </c>
      <c r="C162" s="449" t="s">
        <v>583</v>
      </c>
      <c r="D162" s="449">
        <v>196.96656999999999</v>
      </c>
      <c r="E162" s="501"/>
      <c r="F162" s="501"/>
      <c r="G162" s="449" t="s">
        <v>368</v>
      </c>
      <c r="H162" s="450"/>
      <c r="I162" s="450"/>
      <c r="J162" s="449"/>
    </row>
    <row r="163" spans="2:10" ht="18" x14ac:dyDescent="0.25">
      <c r="B163" s="500" t="s">
        <v>584</v>
      </c>
      <c r="C163" s="449" t="s">
        <v>585</v>
      </c>
      <c r="D163" s="449">
        <v>200.59</v>
      </c>
      <c r="E163" s="501"/>
      <c r="F163" s="501"/>
      <c r="G163" s="449" t="s">
        <v>368</v>
      </c>
      <c r="H163" s="450"/>
      <c r="I163" s="450"/>
      <c r="J163" s="449"/>
    </row>
    <row r="164" spans="2:10" ht="18" x14ac:dyDescent="0.25">
      <c r="B164" s="500" t="s">
        <v>586</v>
      </c>
      <c r="C164" s="449" t="s">
        <v>587</v>
      </c>
      <c r="D164" s="449">
        <v>204.38329999999999</v>
      </c>
      <c r="E164" s="501"/>
      <c r="F164" s="501"/>
      <c r="G164" s="449" t="s">
        <v>368</v>
      </c>
      <c r="H164" s="450"/>
      <c r="I164" s="450"/>
      <c r="J164" s="449"/>
    </row>
    <row r="165" spans="2:10" ht="18" x14ac:dyDescent="0.25">
      <c r="B165" s="500" t="s">
        <v>588</v>
      </c>
      <c r="C165" s="449" t="s">
        <v>589</v>
      </c>
      <c r="D165" s="449">
        <v>207.2</v>
      </c>
      <c r="E165" s="501"/>
      <c r="F165" s="501"/>
      <c r="G165" s="449" t="s">
        <v>368</v>
      </c>
      <c r="H165" s="450"/>
      <c r="I165" s="450"/>
      <c r="J165" s="449"/>
    </row>
    <row r="166" spans="2:10" ht="18" x14ac:dyDescent="0.25">
      <c r="B166" s="500" t="s">
        <v>590</v>
      </c>
      <c r="C166" s="449" t="s">
        <v>591</v>
      </c>
      <c r="D166" s="449">
        <v>208.9804</v>
      </c>
      <c r="E166" s="501"/>
      <c r="F166" s="501"/>
      <c r="G166" s="449" t="s">
        <v>368</v>
      </c>
      <c r="H166" s="450"/>
      <c r="I166" s="450"/>
      <c r="J166" s="449"/>
    </row>
    <row r="167" spans="2:10" ht="18" x14ac:dyDescent="0.25">
      <c r="B167" s="500" t="s">
        <v>592</v>
      </c>
      <c r="C167" s="449" t="s">
        <v>593</v>
      </c>
      <c r="D167" s="449">
        <v>209</v>
      </c>
      <c r="E167" s="501"/>
      <c r="F167" s="501"/>
      <c r="G167" s="449" t="s">
        <v>368</v>
      </c>
      <c r="H167" s="450"/>
      <c r="I167" s="450"/>
      <c r="J167" s="449"/>
    </row>
    <row r="168" spans="2:10" ht="18" x14ac:dyDescent="0.25">
      <c r="B168" s="500" t="s">
        <v>594</v>
      </c>
      <c r="C168" s="449" t="s">
        <v>595</v>
      </c>
      <c r="D168" s="449">
        <v>210</v>
      </c>
      <c r="E168" s="501"/>
      <c r="F168" s="501"/>
      <c r="G168" s="449" t="s">
        <v>368</v>
      </c>
      <c r="H168" s="450"/>
      <c r="I168" s="450"/>
      <c r="J168" s="449"/>
    </row>
    <row r="169" spans="2:10" ht="18" x14ac:dyDescent="0.25">
      <c r="B169" s="500" t="s">
        <v>596</v>
      </c>
      <c r="C169" s="449" t="s">
        <v>597</v>
      </c>
      <c r="D169" s="449">
        <v>222</v>
      </c>
      <c r="E169" s="501"/>
      <c r="F169" s="501"/>
      <c r="G169" s="449" t="s">
        <v>368</v>
      </c>
      <c r="H169" s="450"/>
      <c r="I169" s="450"/>
      <c r="J169" s="449"/>
    </row>
    <row r="170" spans="2:10" ht="18" x14ac:dyDescent="0.25">
      <c r="B170" s="500" t="s">
        <v>598</v>
      </c>
      <c r="C170" s="449" t="s">
        <v>599</v>
      </c>
      <c r="D170" s="449">
        <v>223</v>
      </c>
      <c r="E170" s="501"/>
      <c r="F170" s="501"/>
      <c r="G170" s="449" t="s">
        <v>368</v>
      </c>
      <c r="H170" s="450"/>
      <c r="I170" s="450"/>
      <c r="J170" s="449"/>
    </row>
    <row r="171" spans="2:10" ht="18" x14ac:dyDescent="0.25">
      <c r="B171" s="500" t="s">
        <v>600</v>
      </c>
      <c r="C171" s="449" t="s">
        <v>601</v>
      </c>
      <c r="D171" s="449">
        <v>226</v>
      </c>
      <c r="E171" s="501"/>
      <c r="F171" s="501"/>
      <c r="G171" s="449" t="s">
        <v>368</v>
      </c>
      <c r="H171" s="450"/>
      <c r="I171" s="450"/>
      <c r="J171" s="449"/>
    </row>
    <row r="172" spans="2:10" ht="18" x14ac:dyDescent="0.25">
      <c r="B172" s="500" t="s">
        <v>602</v>
      </c>
      <c r="C172" s="449" t="s">
        <v>603</v>
      </c>
      <c r="D172" s="449">
        <v>227</v>
      </c>
      <c r="E172" s="501"/>
      <c r="F172" s="501"/>
      <c r="G172" s="449" t="s">
        <v>368</v>
      </c>
      <c r="H172" s="450"/>
      <c r="I172" s="450"/>
      <c r="J172" s="449"/>
    </row>
    <row r="173" spans="2:10" ht="18" x14ac:dyDescent="0.25">
      <c r="B173" s="500" t="s">
        <v>604</v>
      </c>
      <c r="C173" s="449" t="s">
        <v>605</v>
      </c>
      <c r="D173" s="449">
        <v>232.03806</v>
      </c>
      <c r="E173" s="501"/>
      <c r="F173" s="501"/>
      <c r="G173" s="449" t="s">
        <v>368</v>
      </c>
      <c r="H173" s="450"/>
      <c r="I173" s="450"/>
      <c r="J173" s="449"/>
    </row>
    <row r="174" spans="2:10" ht="18" x14ac:dyDescent="0.25">
      <c r="B174" s="500" t="s">
        <v>606</v>
      </c>
      <c r="C174" s="449" t="s">
        <v>607</v>
      </c>
      <c r="D174" s="449">
        <v>231.03587999999999</v>
      </c>
      <c r="E174" s="501"/>
      <c r="F174" s="501"/>
      <c r="G174" s="449" t="s">
        <v>368</v>
      </c>
      <c r="H174" s="450"/>
      <c r="I174" s="450"/>
      <c r="J174" s="449"/>
    </row>
    <row r="175" spans="2:10" ht="18" x14ac:dyDescent="0.25">
      <c r="B175" s="500" t="s">
        <v>608</v>
      </c>
      <c r="C175" s="449" t="s">
        <v>609</v>
      </c>
      <c r="D175" s="449">
        <v>238.02891</v>
      </c>
      <c r="E175" s="501"/>
      <c r="F175" s="501"/>
      <c r="G175" s="449" t="s">
        <v>368</v>
      </c>
      <c r="H175" s="450"/>
      <c r="I175" s="450"/>
      <c r="J175" s="449"/>
    </row>
    <row r="176" spans="2:10" ht="18" x14ac:dyDescent="0.25">
      <c r="B176" s="500" t="s">
        <v>610</v>
      </c>
      <c r="C176" s="449" t="s">
        <v>611</v>
      </c>
      <c r="D176" s="449">
        <v>237</v>
      </c>
      <c r="E176" s="501"/>
      <c r="F176" s="501"/>
      <c r="G176" s="449" t="s">
        <v>368</v>
      </c>
      <c r="H176" s="450"/>
      <c r="I176" s="450"/>
      <c r="J176" s="449"/>
    </row>
    <row r="177" spans="2:10" ht="18" x14ac:dyDescent="0.25">
      <c r="B177" s="500" t="s">
        <v>612</v>
      </c>
      <c r="C177" s="449" t="s">
        <v>613</v>
      </c>
      <c r="D177" s="449">
        <v>244</v>
      </c>
      <c r="E177" s="501"/>
      <c r="F177" s="501"/>
      <c r="G177" s="449" t="s">
        <v>368</v>
      </c>
      <c r="H177" s="450"/>
      <c r="I177" s="450"/>
      <c r="J177" s="449"/>
    </row>
    <row r="178" spans="2:10" ht="18" x14ac:dyDescent="0.25">
      <c r="B178" s="500" t="s">
        <v>614</v>
      </c>
      <c r="C178" s="449" t="s">
        <v>615</v>
      </c>
      <c r="D178" s="449">
        <v>243</v>
      </c>
      <c r="E178" s="501"/>
      <c r="F178" s="501"/>
      <c r="G178" s="449" t="s">
        <v>368</v>
      </c>
      <c r="H178" s="450"/>
      <c r="I178" s="450"/>
      <c r="J178" s="449"/>
    </row>
    <row r="179" spans="2:10" ht="18" x14ac:dyDescent="0.25">
      <c r="B179" s="500" t="s">
        <v>616</v>
      </c>
      <c r="C179" s="449" t="s">
        <v>617</v>
      </c>
      <c r="D179" s="449">
        <v>247</v>
      </c>
      <c r="E179" s="501"/>
      <c r="F179" s="501"/>
      <c r="G179" s="449" t="s">
        <v>368</v>
      </c>
      <c r="H179" s="450"/>
      <c r="I179" s="450"/>
      <c r="J179" s="449"/>
    </row>
    <row r="180" spans="2:10" ht="18" x14ac:dyDescent="0.25">
      <c r="B180" s="500" t="s">
        <v>618</v>
      </c>
      <c r="C180" s="449" t="s">
        <v>619</v>
      </c>
      <c r="D180" s="449">
        <v>247</v>
      </c>
      <c r="E180" s="501"/>
      <c r="F180" s="501"/>
      <c r="G180" s="449" t="s">
        <v>368</v>
      </c>
      <c r="H180" s="450"/>
      <c r="I180" s="450"/>
      <c r="J180" s="449"/>
    </row>
    <row r="181" spans="2:10" ht="18" x14ac:dyDescent="0.25">
      <c r="B181" s="500" t="s">
        <v>620</v>
      </c>
      <c r="C181" s="449" t="s">
        <v>621</v>
      </c>
      <c r="D181" s="449">
        <v>251</v>
      </c>
      <c r="E181" s="501"/>
      <c r="F181" s="501"/>
      <c r="G181" s="449" t="s">
        <v>368</v>
      </c>
      <c r="H181" s="450"/>
      <c r="I181" s="450"/>
      <c r="J181" s="449"/>
    </row>
    <row r="182" spans="2:10" ht="18" x14ac:dyDescent="0.25">
      <c r="B182" s="500" t="s">
        <v>622</v>
      </c>
      <c r="C182" s="449" t="s">
        <v>623</v>
      </c>
      <c r="D182" s="449">
        <v>252</v>
      </c>
      <c r="E182" s="501"/>
      <c r="F182" s="501"/>
      <c r="G182" s="449" t="s">
        <v>368</v>
      </c>
      <c r="H182" s="450"/>
      <c r="I182" s="450"/>
      <c r="J182" s="449"/>
    </row>
    <row r="183" spans="2:10" ht="18" x14ac:dyDescent="0.25">
      <c r="B183" s="500" t="s">
        <v>624</v>
      </c>
      <c r="C183" s="449" t="s">
        <v>625</v>
      </c>
      <c r="D183" s="449">
        <v>257</v>
      </c>
      <c r="E183" s="501"/>
      <c r="F183" s="501"/>
      <c r="G183" s="449" t="s">
        <v>368</v>
      </c>
      <c r="H183" s="450"/>
      <c r="I183" s="450"/>
      <c r="J183" s="449"/>
    </row>
    <row r="184" spans="2:10" ht="18" x14ac:dyDescent="0.25">
      <c r="B184" s="500" t="s">
        <v>626</v>
      </c>
      <c r="C184" s="449" t="s">
        <v>627</v>
      </c>
      <c r="D184" s="449">
        <v>258</v>
      </c>
      <c r="E184" s="501"/>
      <c r="F184" s="501"/>
      <c r="G184" s="449" t="s">
        <v>368</v>
      </c>
      <c r="H184" s="450"/>
      <c r="I184" s="450"/>
      <c r="J184" s="449"/>
    </row>
    <row r="185" spans="2:10" ht="18" x14ac:dyDescent="0.25">
      <c r="B185" s="500" t="s">
        <v>628</v>
      </c>
      <c r="C185" s="449" t="s">
        <v>629</v>
      </c>
      <c r="D185" s="449">
        <v>259</v>
      </c>
      <c r="E185" s="501"/>
      <c r="F185" s="501"/>
      <c r="G185" s="449" t="s">
        <v>368</v>
      </c>
      <c r="H185" s="450"/>
      <c r="I185" s="450"/>
      <c r="J185" s="449"/>
    </row>
    <row r="186" spans="2:10" ht="18" x14ac:dyDescent="0.25">
      <c r="B186" s="500" t="s">
        <v>630</v>
      </c>
      <c r="C186" s="449" t="s">
        <v>631</v>
      </c>
      <c r="D186" s="449">
        <v>262</v>
      </c>
      <c r="E186" s="501"/>
      <c r="F186" s="501"/>
      <c r="G186" s="449" t="s">
        <v>368</v>
      </c>
      <c r="H186" s="450"/>
      <c r="I186" s="450"/>
      <c r="J186" s="449"/>
    </row>
    <row r="187" spans="2:10" ht="18" x14ac:dyDescent="0.25">
      <c r="B187" s="500" t="s">
        <v>632</v>
      </c>
      <c r="C187" s="449" t="s">
        <v>633</v>
      </c>
      <c r="D187" s="449">
        <v>261</v>
      </c>
      <c r="E187" s="501"/>
      <c r="F187" s="501"/>
      <c r="G187" s="449" t="s">
        <v>368</v>
      </c>
      <c r="H187" s="450"/>
      <c r="I187" s="450"/>
      <c r="J187" s="449"/>
    </row>
    <row r="188" spans="2:10" ht="18" x14ac:dyDescent="0.25">
      <c r="B188" s="500" t="s">
        <v>634</v>
      </c>
      <c r="C188" s="449" t="s">
        <v>635</v>
      </c>
      <c r="D188" s="449">
        <v>262</v>
      </c>
      <c r="E188" s="501"/>
      <c r="F188" s="501"/>
      <c r="G188" s="449" t="s">
        <v>368</v>
      </c>
      <c r="H188" s="450"/>
      <c r="I188" s="450"/>
      <c r="J188" s="449"/>
    </row>
    <row r="189" spans="2:10" ht="18" x14ac:dyDescent="0.25">
      <c r="B189" s="500" t="s">
        <v>636</v>
      </c>
      <c r="C189" s="449" t="s">
        <v>637</v>
      </c>
      <c r="D189" s="449">
        <v>266</v>
      </c>
      <c r="E189" s="501"/>
      <c r="F189" s="501"/>
      <c r="G189" s="449" t="s">
        <v>368</v>
      </c>
      <c r="H189" s="450"/>
      <c r="I189" s="450"/>
      <c r="J189" s="449"/>
    </row>
    <row r="190" spans="2:10" ht="18" x14ac:dyDescent="0.25">
      <c r="B190" s="500" t="s">
        <v>638</v>
      </c>
      <c r="C190" s="449" t="s">
        <v>639</v>
      </c>
      <c r="D190" s="449">
        <v>264</v>
      </c>
      <c r="E190" s="501"/>
      <c r="F190" s="501"/>
      <c r="G190" s="449" t="s">
        <v>368</v>
      </c>
      <c r="H190" s="450"/>
      <c r="I190" s="450"/>
      <c r="J190" s="449"/>
    </row>
    <row r="191" spans="2:10" ht="18" x14ac:dyDescent="0.25">
      <c r="B191" s="500" t="s">
        <v>640</v>
      </c>
      <c r="C191" s="449" t="s">
        <v>641</v>
      </c>
      <c r="D191" s="449">
        <v>277</v>
      </c>
      <c r="E191" s="501"/>
      <c r="F191" s="501"/>
      <c r="G191" s="449" t="s">
        <v>368</v>
      </c>
      <c r="H191" s="450"/>
      <c r="I191" s="450"/>
      <c r="J191" s="449"/>
    </row>
    <row r="192" spans="2:10" ht="18" x14ac:dyDescent="0.25">
      <c r="B192" s="500" t="s">
        <v>642</v>
      </c>
      <c r="C192" s="449" t="s">
        <v>643</v>
      </c>
      <c r="D192" s="449">
        <v>268</v>
      </c>
      <c r="E192" s="501"/>
      <c r="F192" s="501"/>
      <c r="G192" s="449" t="s">
        <v>368</v>
      </c>
      <c r="H192" s="450"/>
      <c r="I192" s="450"/>
      <c r="J192" s="449"/>
    </row>
    <row r="193" spans="2:10" ht="18" x14ac:dyDescent="0.25">
      <c r="B193" s="500" t="s">
        <v>644</v>
      </c>
      <c r="C193" s="449" t="s">
        <v>645</v>
      </c>
      <c r="D193" s="449">
        <v>281</v>
      </c>
      <c r="E193" s="501"/>
      <c r="F193" s="501"/>
      <c r="G193" s="449" t="s">
        <v>368</v>
      </c>
      <c r="H193" s="450"/>
      <c r="I193" s="450"/>
      <c r="J193" s="449"/>
    </row>
    <row r="194" spans="2:10" ht="18" x14ac:dyDescent="0.25">
      <c r="B194" s="500" t="s">
        <v>646</v>
      </c>
      <c r="C194" s="449" t="s">
        <v>647</v>
      </c>
      <c r="D194" s="449">
        <v>272</v>
      </c>
      <c r="E194" s="501"/>
      <c r="F194" s="501"/>
      <c r="G194" s="449" t="s">
        <v>368</v>
      </c>
      <c r="H194" s="450"/>
      <c r="I194" s="450"/>
      <c r="J194" s="449"/>
    </row>
    <row r="195" spans="2:10" ht="18" x14ac:dyDescent="0.25">
      <c r="B195" s="500" t="s">
        <v>648</v>
      </c>
      <c r="C195" s="449" t="s">
        <v>649</v>
      </c>
      <c r="D195" s="449">
        <v>285</v>
      </c>
      <c r="E195" s="501"/>
      <c r="F195" s="501"/>
      <c r="G195" s="449" t="s">
        <v>368</v>
      </c>
      <c r="H195" s="450"/>
      <c r="I195" s="450"/>
      <c r="J195" s="449"/>
    </row>
    <row r="196" spans="2:10" ht="18" x14ac:dyDescent="0.25">
      <c r="B196" s="500" t="s">
        <v>650</v>
      </c>
      <c r="C196" s="449" t="s">
        <v>651</v>
      </c>
      <c r="D196" s="449">
        <v>284</v>
      </c>
      <c r="E196" s="501"/>
      <c r="F196" s="501"/>
      <c r="G196" s="449" t="s">
        <v>368</v>
      </c>
      <c r="H196" s="450"/>
      <c r="I196" s="450"/>
      <c r="J196" s="449"/>
    </row>
    <row r="197" spans="2:10" ht="18" x14ac:dyDescent="0.25">
      <c r="B197" s="500" t="s">
        <v>652</v>
      </c>
      <c r="C197" s="449" t="s">
        <v>653</v>
      </c>
      <c r="D197" s="449">
        <v>289</v>
      </c>
      <c r="E197" s="501"/>
      <c r="F197" s="501"/>
      <c r="G197" s="449" t="s">
        <v>368</v>
      </c>
      <c r="H197" s="450"/>
      <c r="I197" s="450"/>
      <c r="J197" s="449"/>
    </row>
    <row r="198" spans="2:10" ht="18" x14ac:dyDescent="0.25">
      <c r="B198" s="500" t="s">
        <v>654</v>
      </c>
      <c r="C198" s="449" t="s">
        <v>655</v>
      </c>
      <c r="D198" s="449">
        <v>288</v>
      </c>
      <c r="E198" s="501"/>
      <c r="F198" s="501"/>
      <c r="G198" s="449" t="s">
        <v>368</v>
      </c>
      <c r="H198" s="450"/>
      <c r="I198" s="450"/>
      <c r="J198" s="449"/>
    </row>
    <row r="199" spans="2:10" ht="18" x14ac:dyDescent="0.25">
      <c r="B199" s="500" t="s">
        <v>656</v>
      </c>
      <c r="C199" s="449" t="s">
        <v>657</v>
      </c>
      <c r="D199" s="449">
        <v>292</v>
      </c>
      <c r="E199" s="501"/>
      <c r="F199" s="501"/>
      <c r="G199" s="449" t="s">
        <v>368</v>
      </c>
      <c r="H199" s="450"/>
      <c r="I199" s="450"/>
      <c r="J199" s="449"/>
    </row>
    <row r="200" spans="2:10" ht="18" x14ac:dyDescent="0.25">
      <c r="B200" s="500" t="s">
        <v>658</v>
      </c>
      <c r="C200" s="449" t="s">
        <v>659</v>
      </c>
      <c r="D200" s="449">
        <v>292</v>
      </c>
      <c r="E200" s="501"/>
      <c r="F200" s="501"/>
      <c r="G200" s="449" t="s">
        <v>368</v>
      </c>
      <c r="H200" s="450"/>
      <c r="I200" s="450"/>
      <c r="J200" s="449"/>
    </row>
    <row r="201" spans="2:10" ht="18" x14ac:dyDescent="0.25">
      <c r="B201" s="500" t="s">
        <v>660</v>
      </c>
      <c r="C201" s="449" t="s">
        <v>661</v>
      </c>
      <c r="D201" s="449">
        <v>294</v>
      </c>
      <c r="E201" s="501"/>
      <c r="F201" s="501"/>
      <c r="G201" s="449" t="s">
        <v>368</v>
      </c>
      <c r="H201" s="450"/>
      <c r="I201" s="450"/>
      <c r="J201" s="449"/>
    </row>
    <row r="203" spans="2:10" ht="15.75" thickBot="1" x14ac:dyDescent="0.3">
      <c r="C203" s="444" t="s">
        <v>662</v>
      </c>
    </row>
    <row r="204" spans="2:10" ht="15.75" thickBot="1" x14ac:dyDescent="0.3">
      <c r="B204" s="445" t="s">
        <v>0</v>
      </c>
      <c r="C204" s="446" t="s">
        <v>1</v>
      </c>
      <c r="D204" s="447" t="s">
        <v>149</v>
      </c>
      <c r="E204" s="447" t="s">
        <v>385</v>
      </c>
      <c r="F204" s="447" t="s">
        <v>386</v>
      </c>
      <c r="G204" s="447" t="s">
        <v>2</v>
      </c>
      <c r="H204" s="447" t="s">
        <v>309</v>
      </c>
      <c r="I204" s="447" t="s">
        <v>113</v>
      </c>
      <c r="J204" s="448" t="s">
        <v>114</v>
      </c>
    </row>
    <row r="205" spans="2:10" ht="18" x14ac:dyDescent="0.25">
      <c r="B205" s="500" t="s">
        <v>1605</v>
      </c>
      <c r="C205" s="449" t="s">
        <v>1606</v>
      </c>
      <c r="D205" s="449">
        <v>28.97</v>
      </c>
      <c r="E205" s="501"/>
      <c r="F205" s="501"/>
      <c r="G205" s="449" t="s">
        <v>368</v>
      </c>
      <c r="H205" s="450"/>
      <c r="I205" s="450"/>
      <c r="J205" s="449"/>
    </row>
    <row r="206" spans="2:10" ht="18" x14ac:dyDescent="0.25">
      <c r="B206" s="500" t="s">
        <v>663</v>
      </c>
      <c r="C206" s="449" t="s">
        <v>664</v>
      </c>
      <c r="D206" s="449">
        <f>2*A_MH</f>
        <v>2.0158800000000001</v>
      </c>
      <c r="E206" s="501"/>
      <c r="F206" s="501"/>
      <c r="G206" s="449" t="s">
        <v>368</v>
      </c>
      <c r="H206" s="450"/>
      <c r="I206" s="450"/>
      <c r="J206" s="449"/>
    </row>
    <row r="207" spans="2:10" ht="18" x14ac:dyDescent="0.25">
      <c r="B207" s="500" t="s">
        <v>665</v>
      </c>
      <c r="C207" s="449" t="s">
        <v>666</v>
      </c>
      <c r="D207" s="449">
        <f>A_MC+4*A_MH</f>
        <v>16.042459999999998</v>
      </c>
      <c r="E207" s="501"/>
      <c r="F207" s="501"/>
      <c r="G207" s="449" t="s">
        <v>368</v>
      </c>
      <c r="H207" s="450"/>
      <c r="I207" s="450"/>
      <c r="J207" s="449"/>
    </row>
    <row r="208" spans="2:10" ht="18" x14ac:dyDescent="0.25">
      <c r="B208" s="500" t="s">
        <v>667</v>
      </c>
      <c r="C208" s="449" t="s">
        <v>668</v>
      </c>
      <c r="D208" s="449">
        <f>A_MC+2*A_MO</f>
        <v>44.009500000000003</v>
      </c>
      <c r="E208" s="501"/>
      <c r="F208" s="501"/>
      <c r="G208" s="449" t="s">
        <v>368</v>
      </c>
      <c r="H208" s="450"/>
      <c r="I208" s="450"/>
      <c r="J208" s="449"/>
    </row>
    <row r="209" spans="2:10" ht="18" x14ac:dyDescent="0.25">
      <c r="B209" s="500" t="s">
        <v>991</v>
      </c>
      <c r="C209" s="449" t="s">
        <v>684</v>
      </c>
      <c r="D209" s="449">
        <f>A_MN+3*A_MH</f>
        <v>17.030519999999999</v>
      </c>
      <c r="E209" s="501"/>
      <c r="F209" s="501"/>
      <c r="G209" s="449" t="s">
        <v>368</v>
      </c>
      <c r="H209" s="450"/>
      <c r="I209" s="450"/>
      <c r="J209" s="449"/>
    </row>
    <row r="210" spans="2:10" ht="18" x14ac:dyDescent="0.25">
      <c r="B210" s="500" t="s">
        <v>669</v>
      </c>
      <c r="C210" s="449" t="s">
        <v>670</v>
      </c>
      <c r="D210" s="449">
        <f>2*A_MN</f>
        <v>28.013400000000001</v>
      </c>
      <c r="E210" s="501"/>
      <c r="F210" s="501"/>
      <c r="G210" s="449" t="s">
        <v>368</v>
      </c>
      <c r="H210" s="450"/>
      <c r="I210" s="450"/>
      <c r="J210" s="449"/>
    </row>
    <row r="211" spans="2:10" ht="18" x14ac:dyDescent="0.25">
      <c r="B211" s="500" t="s">
        <v>671</v>
      </c>
      <c r="C211" s="449" t="s">
        <v>672</v>
      </c>
      <c r="D211" s="449">
        <f>2*A_MO</f>
        <v>31.998799999999999</v>
      </c>
      <c r="E211" s="501"/>
      <c r="F211" s="501"/>
      <c r="G211" s="449" t="s">
        <v>368</v>
      </c>
      <c r="H211" s="450"/>
      <c r="I211" s="450"/>
      <c r="J211" s="449" t="s">
        <v>673</v>
      </c>
    </row>
    <row r="212" spans="2:10" ht="18" x14ac:dyDescent="0.25">
      <c r="B212" s="500" t="s">
        <v>674</v>
      </c>
      <c r="C212" s="449" t="s">
        <v>675</v>
      </c>
      <c r="D212" s="449">
        <f>A_MN+A_MO</f>
        <v>30.0061</v>
      </c>
      <c r="E212" s="501"/>
      <c r="F212" s="501"/>
      <c r="G212" s="449" t="s">
        <v>368</v>
      </c>
      <c r="H212" s="450"/>
      <c r="I212" s="450"/>
      <c r="J212" s="449" t="s">
        <v>676</v>
      </c>
    </row>
    <row r="213" spans="2:10" ht="18" x14ac:dyDescent="0.25">
      <c r="B213" s="500" t="s">
        <v>677</v>
      </c>
      <c r="C213" s="449" t="s">
        <v>678</v>
      </c>
      <c r="D213" s="449">
        <f>2*A_MN+A_MO</f>
        <v>44.012799999999999</v>
      </c>
      <c r="E213" s="501"/>
      <c r="F213" s="501"/>
      <c r="G213" s="449" t="s">
        <v>368</v>
      </c>
      <c r="H213" s="450"/>
      <c r="I213" s="450"/>
      <c r="J213" s="449" t="s">
        <v>679</v>
      </c>
    </row>
    <row r="214" spans="2:10" ht="18" x14ac:dyDescent="0.25">
      <c r="B214" s="500" t="s">
        <v>1124</v>
      </c>
      <c r="C214" s="449" t="s">
        <v>1125</v>
      </c>
      <c r="D214" s="449">
        <f>M_MH2S</f>
        <v>34.080880000000001</v>
      </c>
      <c r="E214" s="501"/>
      <c r="F214" s="501"/>
      <c r="G214" s="449" t="s">
        <v>368</v>
      </c>
      <c r="H214" s="450"/>
      <c r="I214" s="450"/>
      <c r="J214" s="449"/>
    </row>
    <row r="216" spans="2:10" ht="15.75" thickBot="1" x14ac:dyDescent="0.3">
      <c r="C216" s="444" t="s">
        <v>680</v>
      </c>
    </row>
    <row r="217" spans="2:10" ht="15.75" thickBot="1" x14ac:dyDescent="0.3">
      <c r="B217" s="445" t="s">
        <v>0</v>
      </c>
      <c r="C217" s="446" t="s">
        <v>1</v>
      </c>
      <c r="D217" s="447" t="s">
        <v>149</v>
      </c>
      <c r="E217" s="447" t="s">
        <v>385</v>
      </c>
      <c r="F217" s="447" t="s">
        <v>386</v>
      </c>
      <c r="G217" s="447" t="s">
        <v>2</v>
      </c>
      <c r="H217" s="447" t="s">
        <v>309</v>
      </c>
      <c r="I217" s="447" t="s">
        <v>113</v>
      </c>
      <c r="J217" s="448" t="s">
        <v>114</v>
      </c>
    </row>
    <row r="218" spans="2:10" ht="18" x14ac:dyDescent="0.25">
      <c r="B218" s="500" t="s">
        <v>992</v>
      </c>
      <c r="C218" s="449" t="s">
        <v>993</v>
      </c>
      <c r="D218" s="449">
        <f>2*A_MH+A_MO</f>
        <v>18.015280000000001</v>
      </c>
      <c r="E218" s="501"/>
      <c r="F218" s="501"/>
      <c r="G218" s="449" t="s">
        <v>368</v>
      </c>
      <c r="H218" s="450"/>
      <c r="I218" s="450"/>
      <c r="J218" s="449"/>
    </row>
    <row r="219" spans="2:10" ht="18" x14ac:dyDescent="0.25">
      <c r="B219" s="500" t="s">
        <v>681</v>
      </c>
      <c r="C219" s="449" t="s">
        <v>672</v>
      </c>
      <c r="D219" s="449">
        <f>2*A_MO</f>
        <v>31.998799999999999</v>
      </c>
      <c r="E219" s="501"/>
      <c r="F219" s="501"/>
      <c r="G219" s="449" t="s">
        <v>368</v>
      </c>
      <c r="H219" s="450"/>
      <c r="I219" s="450"/>
      <c r="J219" s="449"/>
    </row>
    <row r="220" spans="2:10" ht="18" x14ac:dyDescent="0.25">
      <c r="B220" s="500" t="s">
        <v>682</v>
      </c>
      <c r="C220" s="449" t="s">
        <v>670</v>
      </c>
      <c r="D220" s="449">
        <f>2*A_MN</f>
        <v>28.013400000000001</v>
      </c>
      <c r="E220" s="501"/>
      <c r="F220" s="501"/>
      <c r="G220" s="449" t="s">
        <v>368</v>
      </c>
      <c r="H220" s="450"/>
      <c r="I220" s="450"/>
      <c r="J220" s="449"/>
    </row>
    <row r="221" spans="2:10" ht="18" x14ac:dyDescent="0.25">
      <c r="B221" s="500" t="s">
        <v>683</v>
      </c>
      <c r="C221" s="449" t="s">
        <v>684</v>
      </c>
      <c r="D221" s="449">
        <f>A_MN+3*A_MH</f>
        <v>17.030519999999999</v>
      </c>
      <c r="E221" s="501"/>
      <c r="F221" s="501"/>
      <c r="G221" s="449" t="s">
        <v>368</v>
      </c>
      <c r="H221" s="450"/>
      <c r="I221" s="450"/>
      <c r="J221" s="449"/>
    </row>
    <row r="222" spans="2:10" ht="18" x14ac:dyDescent="0.25">
      <c r="B222" s="500" t="s">
        <v>892</v>
      </c>
      <c r="C222" s="449" t="s">
        <v>2019</v>
      </c>
      <c r="D222" s="449">
        <f>A_MN+4*A_MH</f>
        <v>18.038460000000001</v>
      </c>
      <c r="E222" s="501"/>
      <c r="F222" s="501"/>
      <c r="G222" s="449" t="s">
        <v>368</v>
      </c>
      <c r="H222" s="450"/>
      <c r="I222" s="450"/>
      <c r="J222" s="449"/>
    </row>
    <row r="223" spans="2:10" ht="18" x14ac:dyDescent="0.25">
      <c r="B223" s="500" t="s">
        <v>893</v>
      </c>
      <c r="C223" s="449" t="s">
        <v>2020</v>
      </c>
      <c r="D223" s="449">
        <f>A_MN + 2*A_MO</f>
        <v>46.005499999999998</v>
      </c>
      <c r="E223" s="501"/>
      <c r="F223" s="501"/>
      <c r="G223" s="449" t="s">
        <v>368</v>
      </c>
      <c r="H223" s="450"/>
      <c r="I223" s="450"/>
      <c r="J223" s="449"/>
    </row>
    <row r="224" spans="2:10" ht="18" x14ac:dyDescent="0.25">
      <c r="B224" s="500" t="s">
        <v>894</v>
      </c>
      <c r="C224" s="449" t="s">
        <v>2021</v>
      </c>
      <c r="D224" s="449">
        <f>A_MN + 3*A_MO</f>
        <v>62.004899999999999</v>
      </c>
      <c r="E224" s="501"/>
      <c r="F224" s="501"/>
      <c r="G224" s="449" t="s">
        <v>368</v>
      </c>
      <c r="H224" s="450"/>
      <c r="I224" s="450"/>
      <c r="J224" s="449"/>
    </row>
    <row r="225" spans="2:10" ht="18" x14ac:dyDescent="0.25">
      <c r="B225" s="500" t="s">
        <v>1126</v>
      </c>
      <c r="C225" s="449" t="s">
        <v>1127</v>
      </c>
      <c r="D225" s="449">
        <f>2*A_MFe+3*A_MO</f>
        <v>159.68819999999999</v>
      </c>
      <c r="E225" s="501"/>
      <c r="F225" s="501"/>
      <c r="G225" s="449" t="s">
        <v>368</v>
      </c>
      <c r="H225" s="450"/>
      <c r="I225" s="450"/>
      <c r="J225" s="449"/>
    </row>
    <row r="226" spans="2:10" ht="18" x14ac:dyDescent="0.25">
      <c r="B226" s="500" t="s">
        <v>1874</v>
      </c>
      <c r="C226" s="449" t="s">
        <v>1607</v>
      </c>
      <c r="D226" s="449">
        <f>A_MFe+3*(A_MO+A_MH)</f>
        <v>106.86702</v>
      </c>
      <c r="E226" s="501"/>
      <c r="F226" s="501"/>
      <c r="G226" s="449" t="s">
        <v>368</v>
      </c>
      <c r="H226" s="450"/>
      <c r="I226" s="450"/>
      <c r="J226" s="449"/>
    </row>
    <row r="227" spans="2:10" ht="18" x14ac:dyDescent="0.25">
      <c r="B227" s="500" t="s">
        <v>1875</v>
      </c>
      <c r="C227" s="449" t="s">
        <v>1608</v>
      </c>
      <c r="D227" s="449">
        <f>A_MAl+3*(A_MO+A_MH)</f>
        <v>78.003519999999995</v>
      </c>
      <c r="E227" s="501"/>
      <c r="F227" s="501"/>
      <c r="G227" s="449" t="s">
        <v>368</v>
      </c>
      <c r="H227" s="450"/>
      <c r="I227" s="450"/>
      <c r="J227" s="449"/>
    </row>
    <row r="228" spans="2:10" ht="18" x14ac:dyDescent="0.25">
      <c r="B228" s="500" t="s">
        <v>1876</v>
      </c>
      <c r="C228" s="449" t="s">
        <v>1609</v>
      </c>
      <c r="D228" s="449">
        <f>A_MAl+A_MP+4*A_MO</f>
        <v>121.9528622</v>
      </c>
      <c r="E228" s="501"/>
      <c r="F228" s="501"/>
      <c r="G228" s="449" t="s">
        <v>368</v>
      </c>
      <c r="H228" s="450"/>
      <c r="I228" s="450"/>
      <c r="J228" s="449"/>
    </row>
    <row r="229" spans="2:10" ht="18" x14ac:dyDescent="0.25">
      <c r="B229" s="500" t="s">
        <v>1128</v>
      </c>
      <c r="C229" s="449" t="s">
        <v>685</v>
      </c>
      <c r="D229" s="449">
        <f>A_MP+4*A_MO</f>
        <v>94.971362200000002</v>
      </c>
      <c r="E229" s="501"/>
      <c r="F229" s="501"/>
      <c r="G229" s="449" t="s">
        <v>368</v>
      </c>
      <c r="H229" s="450"/>
      <c r="I229" s="450"/>
      <c r="J229" s="449"/>
    </row>
    <row r="230" spans="2:10" ht="18" x14ac:dyDescent="0.25">
      <c r="B230" s="500" t="s">
        <v>1129</v>
      </c>
      <c r="C230" s="449" t="s">
        <v>668</v>
      </c>
      <c r="D230" s="449">
        <f>A_MC+2*A_MO</f>
        <v>44.009500000000003</v>
      </c>
      <c r="E230" s="501"/>
      <c r="F230" s="501"/>
      <c r="G230" s="449" t="s">
        <v>368</v>
      </c>
      <c r="H230" s="450"/>
      <c r="I230" s="450"/>
      <c r="J230" s="449"/>
    </row>
    <row r="231" spans="2:10" ht="18" x14ac:dyDescent="0.25">
      <c r="B231" s="500" t="s">
        <v>895</v>
      </c>
      <c r="C231" s="449" t="s">
        <v>896</v>
      </c>
      <c r="D231" s="449">
        <f>A_MC + 3*A_MO</f>
        <v>60.008899999999997</v>
      </c>
      <c r="E231" s="501"/>
      <c r="F231" s="501"/>
      <c r="G231" s="449" t="s">
        <v>368</v>
      </c>
      <c r="H231" s="450"/>
      <c r="I231" s="450"/>
      <c r="J231" s="449"/>
    </row>
    <row r="232" spans="2:10" ht="18" x14ac:dyDescent="0.25">
      <c r="B232" s="500" t="s">
        <v>897</v>
      </c>
      <c r="C232" s="449" t="s">
        <v>898</v>
      </c>
      <c r="D232" s="449">
        <f>A_MH + A_MC + 3*A_MO</f>
        <v>61.016839999999995</v>
      </c>
      <c r="E232" s="501"/>
      <c r="F232" s="501"/>
      <c r="G232" s="449" t="s">
        <v>368</v>
      </c>
      <c r="H232" s="450"/>
      <c r="I232" s="450"/>
      <c r="J232" s="449"/>
    </row>
    <row r="233" spans="2:10" ht="18" x14ac:dyDescent="0.25">
      <c r="B233" s="500" t="s">
        <v>899</v>
      </c>
      <c r="C233" s="449" t="s">
        <v>900</v>
      </c>
      <c r="D233" s="449">
        <f>2*A_MH+A_MC + 3*A_MO</f>
        <v>62.024779999999993</v>
      </c>
      <c r="E233" s="501"/>
      <c r="F233" s="501"/>
      <c r="G233" s="449" t="s">
        <v>368</v>
      </c>
      <c r="H233" s="450"/>
      <c r="I233" s="450"/>
      <c r="J233" s="449"/>
    </row>
    <row r="234" spans="2:10" ht="18" x14ac:dyDescent="0.25">
      <c r="B234" s="500" t="s">
        <v>994</v>
      </c>
      <c r="C234" s="449" t="s">
        <v>995</v>
      </c>
      <c r="D234" s="449">
        <f>A_MS+4*A_MO</f>
        <v>96.062600000000003</v>
      </c>
      <c r="E234" s="501"/>
      <c r="F234" s="501"/>
      <c r="G234" s="449" t="s">
        <v>368</v>
      </c>
      <c r="H234" s="450"/>
      <c r="I234" s="450"/>
      <c r="J234" s="449"/>
    </row>
    <row r="235" spans="2:10" ht="18" x14ac:dyDescent="0.25">
      <c r="B235" s="500" t="s">
        <v>996</v>
      </c>
      <c r="C235" s="449" t="s">
        <v>997</v>
      </c>
      <c r="D235" s="449">
        <f>A_MH + A_MS+4*A_MO</f>
        <v>97.070539999999994</v>
      </c>
      <c r="E235" s="501"/>
      <c r="F235" s="501"/>
      <c r="G235" s="449" t="s">
        <v>368</v>
      </c>
      <c r="H235" s="450"/>
      <c r="I235" s="450"/>
      <c r="J235" s="449"/>
    </row>
    <row r="236" spans="2:10" ht="18" x14ac:dyDescent="0.25">
      <c r="B236" s="500" t="s">
        <v>998</v>
      </c>
      <c r="C236" s="449" t="s">
        <v>901</v>
      </c>
      <c r="D236" s="449">
        <f>2*A_MH + A_MS+4*A_MO</f>
        <v>98.078479999999999</v>
      </c>
      <c r="E236" s="501"/>
      <c r="F236" s="501"/>
      <c r="G236" s="449" t="s">
        <v>368</v>
      </c>
      <c r="H236" s="450"/>
      <c r="I236" s="450"/>
      <c r="J236" s="449"/>
    </row>
    <row r="237" spans="2:10" ht="18" x14ac:dyDescent="0.25">
      <c r="B237" s="500" t="s">
        <v>999</v>
      </c>
      <c r="C237" s="449" t="s">
        <v>903</v>
      </c>
      <c r="D237" s="449">
        <f>2*A_MH + A_MS</f>
        <v>34.080880000000001</v>
      </c>
      <c r="E237" s="501"/>
      <c r="F237" s="501"/>
      <c r="G237" s="449" t="s">
        <v>368</v>
      </c>
      <c r="H237" s="450"/>
      <c r="I237" s="450"/>
      <c r="J237" s="449"/>
    </row>
    <row r="238" spans="2:10" ht="18" x14ac:dyDescent="0.25">
      <c r="B238" s="500" t="s">
        <v>902</v>
      </c>
      <c r="C238" s="449" t="s">
        <v>1000</v>
      </c>
      <c r="D238" s="449">
        <f>A_MH + A_MCl</f>
        <v>36.460940000000001</v>
      </c>
      <c r="E238" s="501"/>
      <c r="F238" s="501"/>
      <c r="G238" s="449" t="s">
        <v>368</v>
      </c>
      <c r="H238" s="450"/>
      <c r="I238" s="450"/>
      <c r="J238" s="449"/>
    </row>
    <row r="239" spans="2:10" ht="18" x14ac:dyDescent="0.25">
      <c r="B239" s="500" t="s">
        <v>686</v>
      </c>
      <c r="C239" s="449" t="s">
        <v>687</v>
      </c>
      <c r="D239" s="449">
        <f>A_MC+3*A_MH+A_MO+A_MH</f>
        <v>32.04186</v>
      </c>
      <c r="E239" s="501"/>
      <c r="F239" s="501"/>
      <c r="G239" s="449" t="s">
        <v>368</v>
      </c>
      <c r="H239" s="450"/>
      <c r="I239" s="450"/>
      <c r="J239" s="449"/>
    </row>
    <row r="240" spans="2:10" ht="18" x14ac:dyDescent="0.25">
      <c r="B240" s="500" t="s">
        <v>688</v>
      </c>
      <c r="C240" s="449" t="s">
        <v>689</v>
      </c>
      <c r="D240" s="449">
        <f>A_MC+3*A_MH+A_MC+2*A_MO+A_MH</f>
        <v>60.051960000000001</v>
      </c>
      <c r="E240" s="501"/>
      <c r="F240" s="501"/>
      <c r="G240" s="449" t="s">
        <v>368</v>
      </c>
      <c r="H240" s="450"/>
      <c r="I240" s="450"/>
      <c r="J240" s="449"/>
    </row>
    <row r="241" spans="2:10" ht="18" x14ac:dyDescent="0.25">
      <c r="B241" s="500" t="s">
        <v>1130</v>
      </c>
      <c r="C241" s="449" t="s">
        <v>904</v>
      </c>
      <c r="D241" s="449">
        <f>A_MCa+A_MC+3*A_MO</f>
        <v>100.0869</v>
      </c>
      <c r="E241" s="501"/>
      <c r="F241" s="501"/>
      <c r="G241" s="449" t="s">
        <v>368</v>
      </c>
      <c r="H241" s="450"/>
      <c r="I241" s="450"/>
      <c r="J241" s="449"/>
    </row>
    <row r="242" spans="2:10" ht="18" x14ac:dyDescent="0.25">
      <c r="B242" s="500" t="s">
        <v>1001</v>
      </c>
      <c r="C242" s="449" t="s">
        <v>1002</v>
      </c>
      <c r="D242" s="449">
        <f>3*A_MCa+2*M_MPO4+4*M_MH2O</f>
        <v>382.23784440000003</v>
      </c>
      <c r="E242" s="501"/>
      <c r="F242" s="501"/>
      <c r="G242" s="449" t="s">
        <v>368</v>
      </c>
      <c r="H242" s="450"/>
      <c r="I242" s="450"/>
      <c r="J242" s="449"/>
    </row>
    <row r="243" spans="2:10" ht="18" x14ac:dyDescent="0.25">
      <c r="B243" s="500" t="s">
        <v>1131</v>
      </c>
      <c r="C243" s="449" t="s">
        <v>905</v>
      </c>
      <c r="D243" s="449">
        <f>A_MMg+A_MN+4*A_MH+A_MP+4*A_MO+6*(M_MH2O)</f>
        <v>245.40650220000001</v>
      </c>
      <c r="E243" s="501"/>
      <c r="F243" s="501"/>
      <c r="G243" s="449" t="s">
        <v>368</v>
      </c>
      <c r="H243" s="450"/>
      <c r="I243" s="450"/>
      <c r="J243" s="449"/>
    </row>
    <row r="244" spans="2:10" ht="18" x14ac:dyDescent="0.25">
      <c r="B244" s="500" t="s">
        <v>1132</v>
      </c>
      <c r="C244" s="449" t="s">
        <v>1133</v>
      </c>
      <c r="D244" s="449">
        <f>A_MMg+A_MK+A_MP+4*A_MO+6*2*A_MH+6*A_MO</f>
        <v>266.46634219999999</v>
      </c>
      <c r="E244" s="501"/>
      <c r="F244" s="501"/>
      <c r="G244" s="449" t="s">
        <v>368</v>
      </c>
      <c r="H244" s="450"/>
      <c r="I244" s="450"/>
      <c r="J244" s="449"/>
    </row>
    <row r="245" spans="2:10" ht="18" x14ac:dyDescent="0.25">
      <c r="B245" s="500" t="s">
        <v>1003</v>
      </c>
      <c r="C245" s="449" t="s">
        <v>1004</v>
      </c>
      <c r="D245" s="449">
        <f>3*A_MFe+2*(A_MP+4*A_MO)+8*M_MH2O</f>
        <v>501.59996439999998</v>
      </c>
      <c r="E245" s="501"/>
      <c r="F245" s="501"/>
      <c r="G245" s="449" t="s">
        <v>368</v>
      </c>
      <c r="H245" s="450"/>
      <c r="I245" s="450"/>
      <c r="J245" s="449"/>
    </row>
    <row r="246" spans="2:10" ht="18" x14ac:dyDescent="0.25">
      <c r="B246" s="500" t="s">
        <v>1005</v>
      </c>
      <c r="C246" s="449" t="s">
        <v>1006</v>
      </c>
      <c r="D246" s="449">
        <f>A_MFe+A_MS</f>
        <v>87.91</v>
      </c>
      <c r="E246" s="501"/>
      <c r="F246" s="501"/>
      <c r="G246" s="449" t="s">
        <v>368</v>
      </c>
      <c r="H246" s="450"/>
      <c r="I246" s="450"/>
      <c r="J246" s="449"/>
    </row>
    <row r="247" spans="2:10" ht="18" x14ac:dyDescent="0.25">
      <c r="B247" s="500" t="s">
        <v>1610</v>
      </c>
      <c r="C247" s="449" t="s">
        <v>1611</v>
      </c>
      <c r="D247" s="449">
        <f>A_MFe+3*A_MCl</f>
        <v>162.20400000000001</v>
      </c>
      <c r="E247" s="501"/>
      <c r="F247" s="501"/>
      <c r="G247" s="449" t="s">
        <v>368</v>
      </c>
      <c r="H247" s="450"/>
      <c r="I247" s="450"/>
      <c r="J247" s="449"/>
    </row>
    <row r="248" spans="2:10" ht="18" x14ac:dyDescent="0.25">
      <c r="B248" s="500" t="s">
        <v>1612</v>
      </c>
      <c r="C248" s="449" t="s">
        <v>1613</v>
      </c>
      <c r="D248" s="449">
        <f>A_MFe+2*A_MCl</f>
        <v>126.751</v>
      </c>
      <c r="E248" s="501"/>
      <c r="F248" s="501"/>
      <c r="G248" s="449" t="s">
        <v>368</v>
      </c>
      <c r="H248" s="450"/>
      <c r="I248" s="450"/>
      <c r="J248" s="449"/>
    </row>
    <row r="249" spans="2:10" ht="18" x14ac:dyDescent="0.25">
      <c r="B249" s="500" t="s">
        <v>1614</v>
      </c>
      <c r="C249" s="449" t="s">
        <v>1615</v>
      </c>
      <c r="D249" s="449">
        <f>A_MFe+M_MSO4</f>
        <v>151.9076</v>
      </c>
      <c r="E249" s="501"/>
      <c r="F249" s="501"/>
      <c r="G249" s="449" t="s">
        <v>368</v>
      </c>
      <c r="H249" s="450"/>
      <c r="I249" s="450"/>
      <c r="J249" s="449"/>
    </row>
    <row r="250" spans="2:10" ht="18" x14ac:dyDescent="0.25">
      <c r="B250" s="500" t="s">
        <v>906</v>
      </c>
      <c r="C250" s="449" t="s">
        <v>907</v>
      </c>
      <c r="D250" s="449">
        <f>A_MSi + 2*A_MO</f>
        <v>60.084299999999999</v>
      </c>
      <c r="E250" s="501"/>
      <c r="F250" s="501"/>
      <c r="G250" s="449" t="s">
        <v>368</v>
      </c>
      <c r="H250" s="450"/>
      <c r="I250" s="450"/>
      <c r="J250" s="449"/>
    </row>
    <row r="251" spans="2:10" ht="18" x14ac:dyDescent="0.25">
      <c r="B251" s="500" t="s">
        <v>1134</v>
      </c>
      <c r="C251" s="449" t="s">
        <v>1135</v>
      </c>
      <c r="D251" s="449">
        <f>2*A_MCa+A_MP+4*A_MO+2*(A_MO+A_MH)</f>
        <v>209.14204219999999</v>
      </c>
      <c r="E251" s="501"/>
      <c r="F251" s="501"/>
      <c r="G251" s="449" t="s">
        <v>368</v>
      </c>
      <c r="H251" s="450"/>
      <c r="I251" s="450"/>
      <c r="J251" s="449"/>
    </row>
    <row r="252" spans="2:10" ht="18" x14ac:dyDescent="0.25">
      <c r="B252" s="500" t="s">
        <v>1136</v>
      </c>
      <c r="C252" s="449" t="s">
        <v>1137</v>
      </c>
      <c r="D252" s="449">
        <f>5*A_MCa+A_MP*3+4*3*A_MO+A_MO+A_MH</f>
        <v>502.3114266</v>
      </c>
      <c r="E252" s="501"/>
      <c r="F252" s="501"/>
      <c r="G252" s="449" t="s">
        <v>368</v>
      </c>
      <c r="H252" s="450"/>
      <c r="I252" s="450"/>
      <c r="J252" s="449"/>
    </row>
    <row r="253" spans="2:10" ht="18" x14ac:dyDescent="0.25">
      <c r="B253" s="500" t="s">
        <v>1138</v>
      </c>
      <c r="C253" s="449" t="s">
        <v>1139</v>
      </c>
      <c r="D253" s="449">
        <f>A_MCa+A_MO+A_MH</f>
        <v>57.085340000000002</v>
      </c>
      <c r="E253" s="501"/>
      <c r="F253" s="501"/>
      <c r="G253" s="449" t="s">
        <v>368</v>
      </c>
      <c r="H253" s="450"/>
      <c r="I253" s="450"/>
      <c r="J253" s="449"/>
    </row>
    <row r="254" spans="2:10" ht="18" x14ac:dyDescent="0.25">
      <c r="B254" s="500" t="s">
        <v>1140</v>
      </c>
      <c r="C254" s="449" t="s">
        <v>1141</v>
      </c>
      <c r="D254" s="449">
        <f>A_MCa+A_MH+A_MC+3*A_MO</f>
        <v>101.09484</v>
      </c>
      <c r="E254" s="501"/>
      <c r="F254" s="501"/>
      <c r="G254" s="449" t="s">
        <v>368</v>
      </c>
      <c r="H254" s="450"/>
      <c r="I254" s="450"/>
      <c r="J254" s="449"/>
    </row>
    <row r="255" spans="2:10" ht="18" x14ac:dyDescent="0.25">
      <c r="B255" s="500" t="s">
        <v>1142</v>
      </c>
      <c r="C255" s="449" t="s">
        <v>1143</v>
      </c>
      <c r="D255" s="449">
        <f>A_MCa+A_MP+4*A_MO</f>
        <v>135.04936219999999</v>
      </c>
      <c r="E255" s="501"/>
      <c r="F255" s="501"/>
      <c r="G255" s="449" t="s">
        <v>368</v>
      </c>
      <c r="H255" s="450"/>
      <c r="I255" s="450"/>
      <c r="J255" s="449"/>
    </row>
    <row r="256" spans="2:10" ht="18" x14ac:dyDescent="0.25">
      <c r="B256" s="500" t="s">
        <v>1144</v>
      </c>
      <c r="C256" s="449" t="s">
        <v>1145</v>
      </c>
      <c r="D256" s="449">
        <f>A_MCa+A_MH+A_MP+4*A_MO</f>
        <v>136.05730220000001</v>
      </c>
      <c r="E256" s="501"/>
      <c r="F256" s="501"/>
      <c r="G256" s="449" t="s">
        <v>368</v>
      </c>
      <c r="H256" s="450"/>
      <c r="I256" s="450"/>
      <c r="J256" s="449"/>
    </row>
    <row r="257" spans="2:10" ht="18" x14ac:dyDescent="0.25">
      <c r="B257" s="500" t="s">
        <v>1146</v>
      </c>
      <c r="C257" s="449" t="s">
        <v>1147</v>
      </c>
      <c r="D257" s="449">
        <f>A_MCa+2*A_MH+A_MP+4*A_MO</f>
        <v>137.0652422</v>
      </c>
      <c r="E257" s="501"/>
      <c r="F257" s="501"/>
      <c r="G257" s="449" t="s">
        <v>368</v>
      </c>
      <c r="H257" s="450"/>
      <c r="I257" s="450"/>
      <c r="J257" s="449"/>
    </row>
    <row r="258" spans="2:10" ht="18" x14ac:dyDescent="0.25">
      <c r="B258" s="500" t="s">
        <v>1148</v>
      </c>
      <c r="C258" s="449" t="s">
        <v>1149</v>
      </c>
      <c r="D258" s="449">
        <f>A_MMg+A_MO+A_MH</f>
        <v>41.312339999999999</v>
      </c>
      <c r="E258" s="501"/>
      <c r="F258" s="501"/>
      <c r="G258" s="449" t="s">
        <v>368</v>
      </c>
      <c r="H258" s="450"/>
      <c r="I258" s="450"/>
      <c r="J258" s="449"/>
    </row>
    <row r="259" spans="2:10" ht="18" x14ac:dyDescent="0.25">
      <c r="B259" s="500" t="s">
        <v>1616</v>
      </c>
      <c r="C259" s="449" t="s">
        <v>1617</v>
      </c>
      <c r="D259" s="449">
        <f>A_MMg+2*(A_MO+A_MH)</f>
        <v>58.319679999999998</v>
      </c>
      <c r="E259" s="501"/>
      <c r="F259" s="501"/>
      <c r="G259" s="449" t="s">
        <v>368</v>
      </c>
      <c r="H259" s="450"/>
      <c r="I259" s="450"/>
      <c r="J259" s="449"/>
    </row>
    <row r="260" spans="2:10" ht="18" x14ac:dyDescent="0.25">
      <c r="B260" s="500" t="s">
        <v>1150</v>
      </c>
      <c r="C260" s="449" t="s">
        <v>1151</v>
      </c>
      <c r="D260" s="449">
        <f>A_MMg+A_MC+3*A_MO</f>
        <v>84.31389999999999</v>
      </c>
      <c r="E260" s="501"/>
      <c r="F260" s="501"/>
      <c r="G260" s="449" t="s">
        <v>368</v>
      </c>
      <c r="H260" s="450"/>
      <c r="I260" s="450"/>
      <c r="J260" s="449"/>
    </row>
    <row r="261" spans="2:10" ht="18" x14ac:dyDescent="0.25">
      <c r="B261" s="500" t="s">
        <v>1152</v>
      </c>
      <c r="C261" s="449" t="s">
        <v>1153</v>
      </c>
      <c r="D261" s="449">
        <f>A_MMg+A_MH+A_MC+3*A_MO</f>
        <v>85.321839999999995</v>
      </c>
      <c r="E261" s="501"/>
      <c r="F261" s="501"/>
      <c r="G261" s="449" t="s">
        <v>368</v>
      </c>
      <c r="H261" s="450"/>
      <c r="I261" s="450"/>
      <c r="J261" s="449"/>
    </row>
    <row r="262" spans="2:10" ht="18" x14ac:dyDescent="0.25">
      <c r="B262" s="500" t="s">
        <v>1154</v>
      </c>
      <c r="C262" s="449" t="s">
        <v>1155</v>
      </c>
      <c r="D262" s="449">
        <f>A_MMg+A_MH+A_MP+4*A_MO</f>
        <v>120.2843022</v>
      </c>
      <c r="E262" s="501"/>
      <c r="F262" s="501"/>
      <c r="G262" s="449" t="s">
        <v>368</v>
      </c>
      <c r="H262" s="450"/>
      <c r="I262" s="450"/>
      <c r="J262" s="449"/>
    </row>
    <row r="263" spans="2:10" ht="18" x14ac:dyDescent="0.25">
      <c r="B263" s="500" t="s">
        <v>1156</v>
      </c>
      <c r="C263" s="449" t="s">
        <v>1157</v>
      </c>
      <c r="D263" s="449">
        <f>A_MMg+A_MP+4*A_MO</f>
        <v>119.27636219999999</v>
      </c>
      <c r="E263" s="501"/>
      <c r="F263" s="501"/>
      <c r="G263" s="449" t="s">
        <v>368</v>
      </c>
      <c r="H263" s="450"/>
      <c r="I263" s="450"/>
      <c r="J263" s="449"/>
    </row>
    <row r="264" spans="2:10" ht="18" x14ac:dyDescent="0.25">
      <c r="B264" s="500" t="s">
        <v>1158</v>
      </c>
      <c r="C264" s="449" t="s">
        <v>1159</v>
      </c>
      <c r="D264" s="449">
        <f>A_MMg+2*A_MH+A_MP+4*A_MO</f>
        <v>121.2922422</v>
      </c>
      <c r="E264" s="501"/>
      <c r="F264" s="501"/>
      <c r="G264" s="449" t="s">
        <v>368</v>
      </c>
      <c r="H264" s="450"/>
      <c r="I264" s="450"/>
      <c r="J264" s="449"/>
    </row>
    <row r="265" spans="2:10" ht="18" x14ac:dyDescent="0.25">
      <c r="B265" s="500" t="s">
        <v>1160</v>
      </c>
      <c r="C265" s="449" t="s">
        <v>1161</v>
      </c>
      <c r="D265" s="449">
        <f>A_MNa+A_MH+A_MP+4*A_MO</f>
        <v>118.9690712</v>
      </c>
      <c r="E265" s="501"/>
      <c r="F265" s="501"/>
      <c r="G265" s="449" t="s">
        <v>368</v>
      </c>
      <c r="H265" s="450"/>
      <c r="I265" s="450"/>
      <c r="J265" s="449"/>
    </row>
    <row r="266" spans="2:10" ht="18" x14ac:dyDescent="0.25">
      <c r="B266" s="500" t="s">
        <v>1618</v>
      </c>
      <c r="C266" s="449" t="s">
        <v>1619</v>
      </c>
      <c r="D266" s="449">
        <f>A_MNa+A_MCl</f>
        <v>58.442768999999998</v>
      </c>
      <c r="E266" s="501"/>
      <c r="F266" s="501"/>
      <c r="G266" s="449" t="s">
        <v>368</v>
      </c>
      <c r="H266" s="450"/>
      <c r="I266" s="450"/>
      <c r="J266" s="449"/>
    </row>
    <row r="267" spans="2:10" ht="18" x14ac:dyDescent="0.25">
      <c r="B267" s="500" t="s">
        <v>1620</v>
      </c>
      <c r="C267" s="449" t="s">
        <v>1621</v>
      </c>
      <c r="D267" s="449">
        <f>A_MNa+A_MH+A_MO</f>
        <v>39.997109000000002</v>
      </c>
      <c r="E267" s="501"/>
      <c r="F267" s="501"/>
      <c r="G267" s="449" t="s">
        <v>368</v>
      </c>
      <c r="H267" s="450"/>
      <c r="I267" s="450"/>
      <c r="J267" s="449"/>
    </row>
    <row r="268" spans="2:10" ht="18" x14ac:dyDescent="0.25">
      <c r="B268" s="500" t="s">
        <v>1622</v>
      </c>
      <c r="C268" s="449" t="s">
        <v>1623</v>
      </c>
      <c r="D268" s="449">
        <f>2*A_MNa+A_MC+3*A_MO</f>
        <v>105.988438</v>
      </c>
      <c r="E268" s="501"/>
      <c r="F268" s="501"/>
      <c r="G268" s="449" t="s">
        <v>368</v>
      </c>
      <c r="H268" s="450"/>
      <c r="I268" s="450"/>
      <c r="J268" s="449"/>
    </row>
    <row r="269" spans="2:10" ht="18" x14ac:dyDescent="0.25">
      <c r="B269" s="500" t="s">
        <v>1624</v>
      </c>
      <c r="C269" s="449" t="s">
        <v>1625</v>
      </c>
      <c r="D269" s="449">
        <f>A_MNa+A_MH+A_MC+3*A_MO</f>
        <v>84.006608999999997</v>
      </c>
      <c r="E269" s="501"/>
      <c r="F269" s="501"/>
      <c r="G269" s="449" t="s">
        <v>368</v>
      </c>
      <c r="H269" s="450"/>
      <c r="I269" s="450"/>
      <c r="J269" s="449"/>
    </row>
    <row r="270" spans="2:10" ht="18" x14ac:dyDescent="0.25">
      <c r="B270" s="500" t="s">
        <v>1626</v>
      </c>
      <c r="C270" s="449" t="s">
        <v>1627</v>
      </c>
      <c r="D270" s="449">
        <f>4*A_MH+A_MC+A_MS</f>
        <v>48.107459999999996</v>
      </c>
      <c r="E270" s="501"/>
      <c r="F270" s="501"/>
      <c r="G270" s="449" t="s">
        <v>368</v>
      </c>
      <c r="H270" s="450"/>
      <c r="I270" s="450"/>
      <c r="J270" s="449"/>
    </row>
    <row r="272" spans="2:10" ht="15.75" thickBot="1" x14ac:dyDescent="0.3">
      <c r="C272" s="444" t="s">
        <v>690</v>
      </c>
    </row>
    <row r="273" spans="2:10" ht="15.75" thickBot="1" x14ac:dyDescent="0.3">
      <c r="B273" s="445" t="s">
        <v>0</v>
      </c>
      <c r="C273" s="446" t="s">
        <v>1</v>
      </c>
      <c r="D273" s="447" t="s">
        <v>149</v>
      </c>
      <c r="E273" s="447" t="s">
        <v>385</v>
      </c>
      <c r="F273" s="447" t="s">
        <v>386</v>
      </c>
      <c r="G273" s="447" t="s">
        <v>2</v>
      </c>
      <c r="H273" s="447" t="s">
        <v>309</v>
      </c>
      <c r="I273" s="447" t="s">
        <v>113</v>
      </c>
      <c r="J273" s="448" t="s">
        <v>114</v>
      </c>
    </row>
    <row r="274" spans="2:10" ht="18" x14ac:dyDescent="0.25">
      <c r="B274" s="500" t="s">
        <v>1162</v>
      </c>
      <c r="C274" s="449" t="s">
        <v>1007</v>
      </c>
      <c r="D274" s="449">
        <f>2*A_MN</f>
        <v>28.013400000000001</v>
      </c>
      <c r="E274" s="501"/>
      <c r="F274" s="501"/>
      <c r="G274" s="449" t="s">
        <v>1628</v>
      </c>
      <c r="H274" s="450"/>
      <c r="I274" s="450"/>
      <c r="J274" s="449"/>
    </row>
    <row r="275" spans="2:10" ht="18" x14ac:dyDescent="0.25">
      <c r="B275" s="500" t="s">
        <v>1163</v>
      </c>
      <c r="C275" s="449" t="s">
        <v>1008</v>
      </c>
      <c r="D275" s="449">
        <f>A_MN</f>
        <v>14.0067</v>
      </c>
      <c r="E275" s="501"/>
      <c r="F275" s="501"/>
      <c r="G275" s="449" t="s">
        <v>1628</v>
      </c>
      <c r="H275" s="450"/>
      <c r="I275" s="450"/>
      <c r="J275" s="449"/>
    </row>
    <row r="276" spans="2:10" ht="18" x14ac:dyDescent="0.25">
      <c r="B276" s="500" t="s">
        <v>1164</v>
      </c>
      <c r="C276" s="449" t="s">
        <v>1009</v>
      </c>
      <c r="D276" s="449">
        <f>A_MN</f>
        <v>14.0067</v>
      </c>
      <c r="E276" s="501"/>
      <c r="F276" s="501"/>
      <c r="G276" s="449" t="s">
        <v>1628</v>
      </c>
      <c r="H276" s="450"/>
      <c r="I276" s="450"/>
      <c r="J276" s="449"/>
    </row>
    <row r="277" spans="2:10" ht="18" x14ac:dyDescent="0.25">
      <c r="B277" s="500" t="s">
        <v>1165</v>
      </c>
      <c r="C277" s="449" t="s">
        <v>1010</v>
      </c>
      <c r="D277" s="449">
        <f>2*A_MN</f>
        <v>28.013400000000001</v>
      </c>
      <c r="E277" s="501"/>
      <c r="F277" s="501"/>
      <c r="G277" s="449" t="s">
        <v>1628</v>
      </c>
      <c r="H277" s="450"/>
      <c r="I277" s="450"/>
      <c r="J277" s="449"/>
    </row>
    <row r="278" spans="2:10" ht="18" x14ac:dyDescent="0.25">
      <c r="B278" s="500" t="s">
        <v>1166</v>
      </c>
      <c r="C278" s="449" t="s">
        <v>1011</v>
      </c>
      <c r="D278" s="449">
        <v>12.0107</v>
      </c>
      <c r="E278" s="501"/>
      <c r="F278" s="501"/>
      <c r="G278" s="449" t="s">
        <v>368</v>
      </c>
      <c r="H278" s="450"/>
      <c r="I278" s="450"/>
      <c r="J278" s="449" t="s">
        <v>1167</v>
      </c>
    </row>
    <row r="279" spans="2:10" ht="18" x14ac:dyDescent="0.25">
      <c r="B279" s="500" t="s">
        <v>1168</v>
      </c>
      <c r="C279" s="449" t="s">
        <v>1012</v>
      </c>
      <c r="D279" s="449">
        <f>2*A_MO</f>
        <v>31.998799999999999</v>
      </c>
      <c r="E279" s="501"/>
      <c r="F279" s="501"/>
      <c r="G279" s="449" t="s">
        <v>368</v>
      </c>
      <c r="H279" s="450"/>
      <c r="I279" s="450"/>
      <c r="J279" s="449"/>
    </row>
    <row r="280" spans="2:10" ht="18" x14ac:dyDescent="0.25">
      <c r="B280" s="500" t="s">
        <v>691</v>
      </c>
      <c r="C280" s="449" t="s">
        <v>1013</v>
      </c>
      <c r="D280" s="449">
        <v>63.997599999999998</v>
      </c>
      <c r="E280" s="501"/>
      <c r="F280" s="501"/>
      <c r="G280" s="449" t="s">
        <v>1629</v>
      </c>
      <c r="H280" s="450"/>
      <c r="I280" s="450"/>
      <c r="J280" s="449"/>
    </row>
    <row r="281" spans="2:10" ht="18" x14ac:dyDescent="0.25">
      <c r="B281" s="500" t="s">
        <v>692</v>
      </c>
      <c r="C281" s="449" t="s">
        <v>1014</v>
      </c>
      <c r="D281" s="449">
        <f>2*7.9997</f>
        <v>15.9994</v>
      </c>
      <c r="E281" s="501"/>
      <c r="F281" s="501"/>
      <c r="G281" s="449" t="s">
        <v>1629</v>
      </c>
      <c r="H281" s="450"/>
      <c r="I281" s="450"/>
      <c r="J281" s="449"/>
    </row>
    <row r="282" spans="2:10" ht="18" x14ac:dyDescent="0.25">
      <c r="B282" s="500" t="s">
        <v>1169</v>
      </c>
      <c r="C282" s="449" t="s">
        <v>1170</v>
      </c>
      <c r="D282" s="449">
        <f>A_MS</f>
        <v>32.064999999999998</v>
      </c>
      <c r="E282" s="501"/>
      <c r="F282" s="501"/>
      <c r="G282" s="449" t="s">
        <v>1630</v>
      </c>
      <c r="H282" s="450"/>
      <c r="I282" s="450"/>
      <c r="J282" s="449"/>
    </row>
    <row r="284" spans="2:10" ht="15.75" thickBot="1" x14ac:dyDescent="0.3">
      <c r="C284" s="444" t="s">
        <v>693</v>
      </c>
    </row>
    <row r="285" spans="2:10" ht="15.75" thickBot="1" x14ac:dyDescent="0.3">
      <c r="B285" s="445" t="s">
        <v>0</v>
      </c>
      <c r="C285" s="446" t="s">
        <v>1</v>
      </c>
      <c r="D285" s="447" t="s">
        <v>149</v>
      </c>
      <c r="E285" s="447" t="s">
        <v>385</v>
      </c>
      <c r="F285" s="447" t="s">
        <v>386</v>
      </c>
      <c r="G285" s="447" t="s">
        <v>2</v>
      </c>
      <c r="H285" s="447" t="s">
        <v>309</v>
      </c>
      <c r="I285" s="447" t="s">
        <v>113</v>
      </c>
      <c r="J285" s="448" t="s">
        <v>114</v>
      </c>
    </row>
    <row r="286" spans="2:10" ht="18" x14ac:dyDescent="0.25">
      <c r="B286" s="500" t="s">
        <v>908</v>
      </c>
      <c r="C286" s="449" t="s">
        <v>1631</v>
      </c>
      <c r="D286" s="449">
        <f>10^-13.997</f>
        <v>1.0069316688518014E-14</v>
      </c>
      <c r="E286" s="501"/>
      <c r="F286" s="501"/>
      <c r="G286" s="449"/>
      <c r="H286" s="450"/>
      <c r="I286" s="450"/>
      <c r="J286" s="449" t="s">
        <v>1632</v>
      </c>
    </row>
    <row r="287" spans="2:10" ht="18" x14ac:dyDescent="0.25">
      <c r="B287" s="500" t="s">
        <v>1877</v>
      </c>
      <c r="C287" s="449" t="s">
        <v>1633</v>
      </c>
      <c r="D287" s="449">
        <f>10^-9.244</f>
        <v>5.7016427228074759E-10</v>
      </c>
      <c r="E287" s="501"/>
      <c r="F287" s="501"/>
      <c r="G287" s="449"/>
      <c r="H287" s="450"/>
      <c r="I287" s="450"/>
      <c r="J287" s="449" t="s">
        <v>1634</v>
      </c>
    </row>
    <row r="288" spans="2:10" ht="18" x14ac:dyDescent="0.25">
      <c r="B288" s="500" t="s">
        <v>1878</v>
      </c>
      <c r="C288" s="449" t="s">
        <v>1635</v>
      </c>
      <c r="D288" s="449">
        <f>10^-3.35</f>
        <v>4.4668359215096267E-4</v>
      </c>
      <c r="E288" s="501"/>
      <c r="F288" s="501"/>
      <c r="G288" s="449"/>
      <c r="H288" s="450"/>
      <c r="I288" s="450"/>
      <c r="J288" s="449" t="s">
        <v>1636</v>
      </c>
    </row>
    <row r="289" spans="2:10" ht="18" x14ac:dyDescent="0.25">
      <c r="B289" s="500" t="s">
        <v>909</v>
      </c>
      <c r="C289" s="449" t="s">
        <v>1637</v>
      </c>
      <c r="D289" s="449">
        <f>10^-6.352</f>
        <v>4.4463126746910741E-7</v>
      </c>
      <c r="E289" s="501"/>
      <c r="F289" s="501"/>
      <c r="G289" s="449"/>
      <c r="H289" s="450"/>
      <c r="I289" s="450"/>
      <c r="J289" s="449" t="s">
        <v>1638</v>
      </c>
    </row>
    <row r="290" spans="2:10" ht="18" x14ac:dyDescent="0.25">
      <c r="B290" s="500" t="s">
        <v>910</v>
      </c>
      <c r="C290" s="449" t="s">
        <v>1639</v>
      </c>
      <c r="D290" s="449">
        <f>10^-10.329</f>
        <v>4.6881338214526346E-11</v>
      </c>
      <c r="E290" s="501"/>
      <c r="F290" s="501"/>
      <c r="G290" s="449"/>
      <c r="H290" s="450"/>
      <c r="I290" s="450"/>
      <c r="J290" s="449" t="s">
        <v>1640</v>
      </c>
    </row>
    <row r="291" spans="2:10" ht="18" x14ac:dyDescent="0.25">
      <c r="B291" s="500" t="s">
        <v>911</v>
      </c>
      <c r="C291" s="449" t="s">
        <v>1641</v>
      </c>
      <c r="D291" s="449">
        <f>10^-2.148</f>
        <v>7.1121351365332815E-3</v>
      </c>
      <c r="E291" s="501"/>
      <c r="F291" s="501"/>
      <c r="G291" s="449"/>
      <c r="H291" s="450"/>
      <c r="I291" s="450"/>
      <c r="J291" s="449" t="s">
        <v>1642</v>
      </c>
    </row>
    <row r="292" spans="2:10" ht="18" x14ac:dyDescent="0.25">
      <c r="B292" s="500" t="s">
        <v>912</v>
      </c>
      <c r="C292" s="449" t="s">
        <v>1643</v>
      </c>
      <c r="D292" s="449">
        <f>10^-7.198</f>
        <v>6.3386971125692633E-8</v>
      </c>
      <c r="E292" s="501"/>
      <c r="F292" s="501"/>
      <c r="G292" s="449"/>
      <c r="H292" s="450"/>
      <c r="I292" s="450"/>
      <c r="J292" s="449" t="s">
        <v>1644</v>
      </c>
    </row>
    <row r="293" spans="2:10" ht="18" x14ac:dyDescent="0.25">
      <c r="B293" s="500" t="s">
        <v>913</v>
      </c>
      <c r="C293" s="449" t="s">
        <v>1645</v>
      </c>
      <c r="D293" s="449">
        <f>10^-12.375</f>
        <v>4.216965034285812E-13</v>
      </c>
      <c r="E293" s="501"/>
      <c r="F293" s="501"/>
      <c r="G293" s="449"/>
      <c r="H293" s="450"/>
      <c r="I293" s="450"/>
      <c r="J293" s="449" t="s">
        <v>1646</v>
      </c>
    </row>
    <row r="294" spans="2:10" ht="18" x14ac:dyDescent="0.25">
      <c r="B294" s="500" t="s">
        <v>1879</v>
      </c>
      <c r="C294" s="449" t="s">
        <v>1647</v>
      </c>
      <c r="D294" s="449">
        <f>10^-4.757</f>
        <v>1.7498466886246563E-5</v>
      </c>
      <c r="E294" s="501"/>
      <c r="F294" s="501"/>
      <c r="G294" s="449"/>
      <c r="H294" s="450"/>
      <c r="I294" s="450"/>
      <c r="J294" s="449" t="s">
        <v>1648</v>
      </c>
    </row>
    <row r="295" spans="2:10" ht="18" x14ac:dyDescent="0.25">
      <c r="B295" s="500" t="s">
        <v>1171</v>
      </c>
      <c r="C295" s="449" t="s">
        <v>1649</v>
      </c>
      <c r="D295" s="449">
        <f>10^(-7.02)</f>
        <v>9.5499258602143556E-8</v>
      </c>
      <c r="E295" s="501"/>
      <c r="F295" s="501"/>
      <c r="G295" s="449"/>
      <c r="H295" s="450"/>
      <c r="I295" s="450"/>
      <c r="J295" s="449" t="s">
        <v>1650</v>
      </c>
    </row>
    <row r="296" spans="2:10" ht="18" x14ac:dyDescent="0.25">
      <c r="B296" s="500" t="s">
        <v>1172</v>
      </c>
      <c r="C296" s="449" t="s">
        <v>1651</v>
      </c>
      <c r="D296" s="449">
        <f>10^(-17.3)</f>
        <v>5.0118723362726963E-18</v>
      </c>
      <c r="E296" s="501"/>
      <c r="F296" s="501"/>
      <c r="G296" s="449"/>
      <c r="H296" s="450"/>
      <c r="I296" s="450"/>
      <c r="J296" s="449" t="s">
        <v>1650</v>
      </c>
    </row>
    <row r="297" spans="2:10" ht="18" x14ac:dyDescent="0.25">
      <c r="B297" s="500" t="s">
        <v>1173</v>
      </c>
      <c r="C297" s="449" t="s">
        <v>1652</v>
      </c>
      <c r="D297" s="449">
        <f>10^(3)</f>
        <v>1000</v>
      </c>
      <c r="E297" s="501"/>
      <c r="F297" s="501"/>
      <c r="G297" s="449"/>
      <c r="H297" s="450"/>
      <c r="I297" s="450"/>
      <c r="J297" s="449" t="s">
        <v>1174</v>
      </c>
    </row>
    <row r="298" spans="2:10" ht="18" x14ac:dyDescent="0.25">
      <c r="B298" s="500" t="s">
        <v>1175</v>
      </c>
      <c r="C298" s="449" t="s">
        <v>1653</v>
      </c>
      <c r="D298" s="449">
        <f>10^(-1.99)</f>
        <v>1.0232929922807535E-2</v>
      </c>
      <c r="E298" s="501"/>
      <c r="F298" s="501"/>
      <c r="G298" s="449"/>
      <c r="H298" s="450"/>
      <c r="I298" s="450"/>
      <c r="J298" s="449" t="s">
        <v>1654</v>
      </c>
    </row>
    <row r="299" spans="2:10" ht="18" x14ac:dyDescent="0.25">
      <c r="B299" s="500" t="s">
        <v>1880</v>
      </c>
      <c r="C299" s="449" t="s">
        <v>1649</v>
      </c>
      <c r="D299" s="449">
        <f>10^(-7.02)</f>
        <v>9.5499258602143556E-8</v>
      </c>
      <c r="E299" s="501"/>
      <c r="F299" s="501"/>
      <c r="G299" s="449"/>
      <c r="H299" s="450"/>
      <c r="I299" s="450"/>
      <c r="J299" s="449" t="s">
        <v>1654</v>
      </c>
    </row>
    <row r="301" spans="2:10" ht="15.75" thickBot="1" x14ac:dyDescent="0.3">
      <c r="C301" s="444" t="s">
        <v>1176</v>
      </c>
    </row>
    <row r="302" spans="2:10" ht="15.75" thickBot="1" x14ac:dyDescent="0.3">
      <c r="B302" s="445" t="s">
        <v>0</v>
      </c>
      <c r="C302" s="446" t="s">
        <v>1</v>
      </c>
      <c r="D302" s="447" t="s">
        <v>149</v>
      </c>
      <c r="E302" s="447" t="s">
        <v>385</v>
      </c>
      <c r="F302" s="447" t="s">
        <v>386</v>
      </c>
      <c r="G302" s="447" t="s">
        <v>2</v>
      </c>
      <c r="H302" s="447" t="s">
        <v>309</v>
      </c>
      <c r="I302" s="447" t="s">
        <v>113</v>
      </c>
      <c r="J302" s="448" t="s">
        <v>114</v>
      </c>
    </row>
    <row r="303" spans="2:10" ht="18" x14ac:dyDescent="0.25">
      <c r="B303" s="500" t="s">
        <v>1177</v>
      </c>
      <c r="C303" s="449" t="s">
        <v>2022</v>
      </c>
      <c r="D303" s="449">
        <f>10^(-6.35)</f>
        <v>4.4668359215096327E-7</v>
      </c>
      <c r="E303" s="501"/>
      <c r="F303" s="501"/>
      <c r="G303" s="449"/>
      <c r="H303" s="450"/>
      <c r="I303" s="450"/>
      <c r="J303" s="449"/>
    </row>
    <row r="304" spans="2:10" ht="18" x14ac:dyDescent="0.25">
      <c r="B304" s="500" t="s">
        <v>1178</v>
      </c>
      <c r="C304" s="449" t="s">
        <v>2023</v>
      </c>
      <c r="D304" s="449">
        <v>6.9180000000000002E-14</v>
      </c>
      <c r="E304" s="501"/>
      <c r="F304" s="501"/>
      <c r="G304" s="449"/>
      <c r="H304" s="450"/>
      <c r="I304" s="450"/>
      <c r="J304" s="449"/>
    </row>
    <row r="305" spans="2:10" ht="18" x14ac:dyDescent="0.25">
      <c r="B305" s="500" t="s">
        <v>1179</v>
      </c>
      <c r="C305" s="449" t="s">
        <v>1655</v>
      </c>
      <c r="D305" s="449">
        <v>3.162277660168363E-26</v>
      </c>
      <c r="E305" s="501"/>
      <c r="F305" s="501"/>
      <c r="G305" s="449"/>
      <c r="H305" s="450"/>
      <c r="I305" s="450"/>
      <c r="J305" s="449" t="s">
        <v>1180</v>
      </c>
    </row>
    <row r="306" spans="2:10" ht="18" x14ac:dyDescent="0.25">
      <c r="B306" s="500" t="s">
        <v>1181</v>
      </c>
      <c r="C306" s="449" t="s">
        <v>1656</v>
      </c>
      <c r="D306" s="449">
        <v>9.9999999999999994E-37</v>
      </c>
      <c r="E306" s="501"/>
      <c r="F306" s="501"/>
      <c r="G306" s="449"/>
      <c r="H306" s="450"/>
      <c r="I306" s="450"/>
      <c r="J306" s="449" t="s">
        <v>1182</v>
      </c>
    </row>
    <row r="307" spans="2:10" ht="18" x14ac:dyDescent="0.25">
      <c r="B307" s="500" t="s">
        <v>1183</v>
      </c>
      <c r="C307" s="449" t="s">
        <v>1657</v>
      </c>
      <c r="D307" s="449">
        <f>3.7*10^-19</f>
        <v>3.7000000000000001E-19</v>
      </c>
      <c r="E307" s="501"/>
      <c r="F307" s="501"/>
      <c r="G307" s="449"/>
      <c r="H307" s="450"/>
      <c r="I307" s="450"/>
      <c r="J307" s="449"/>
    </row>
    <row r="308" spans="2:10" ht="18" x14ac:dyDescent="0.25">
      <c r="B308" s="500" t="s">
        <v>1184</v>
      </c>
      <c r="C308" s="449" t="s">
        <v>1658</v>
      </c>
      <c r="D308" s="449">
        <v>2.7500000000000001E-22</v>
      </c>
      <c r="E308" s="501"/>
      <c r="F308" s="501"/>
      <c r="G308" s="449"/>
      <c r="H308" s="450"/>
      <c r="I308" s="450"/>
      <c r="J308" s="449"/>
    </row>
    <row r="309" spans="2:10" ht="18" x14ac:dyDescent="0.25">
      <c r="B309" s="500" t="s">
        <v>1185</v>
      </c>
      <c r="C309" s="449" t="s">
        <v>1659</v>
      </c>
      <c r="D309" s="449">
        <f>10^(-16)</f>
        <v>9.9999999999999998E-17</v>
      </c>
      <c r="E309" s="501"/>
      <c r="F309" s="501"/>
      <c r="G309" s="449"/>
      <c r="H309" s="450"/>
      <c r="I309" s="450"/>
      <c r="J309" s="449"/>
    </row>
    <row r="311" spans="2:10" ht="15.75" thickBot="1" x14ac:dyDescent="0.3">
      <c r="C311" s="444" t="s">
        <v>694</v>
      </c>
    </row>
    <row r="312" spans="2:10" ht="15.75" thickBot="1" x14ac:dyDescent="0.3">
      <c r="B312" s="445" t="s">
        <v>0</v>
      </c>
      <c r="C312" s="446" t="s">
        <v>1</v>
      </c>
      <c r="D312" s="447" t="s">
        <v>149</v>
      </c>
      <c r="E312" s="447" t="s">
        <v>385</v>
      </c>
      <c r="F312" s="447" t="s">
        <v>386</v>
      </c>
      <c r="G312" s="447" t="s">
        <v>2</v>
      </c>
      <c r="H312" s="447" t="s">
        <v>309</v>
      </c>
      <c r="I312" s="447" t="s">
        <v>113</v>
      </c>
      <c r="J312" s="448" t="s">
        <v>114</v>
      </c>
    </row>
    <row r="313" spans="2:10" ht="18" x14ac:dyDescent="0.25">
      <c r="B313" s="500" t="s">
        <v>695</v>
      </c>
      <c r="C313" s="449" t="s">
        <v>696</v>
      </c>
      <c r="D313" s="449">
        <f>3*A_MO/(2*A_MN)</f>
        <v>1.7134014435948508</v>
      </c>
      <c r="E313" s="501"/>
      <c r="F313" s="501"/>
      <c r="G313" s="449" t="s">
        <v>1660</v>
      </c>
      <c r="H313" s="450"/>
      <c r="I313" s="450"/>
      <c r="J313" s="449" t="s">
        <v>238</v>
      </c>
    </row>
    <row r="314" spans="2:10" ht="18" x14ac:dyDescent="0.25">
      <c r="B314" s="500" t="s">
        <v>697</v>
      </c>
      <c r="C314" s="449" t="s">
        <v>698</v>
      </c>
      <c r="D314" s="449">
        <f>2*A_MO/(A_MN)</f>
        <v>2.2845352581264677</v>
      </c>
      <c r="E314" s="501"/>
      <c r="F314" s="501"/>
      <c r="G314" s="449" t="s">
        <v>1660</v>
      </c>
      <c r="H314" s="450"/>
      <c r="I314" s="450"/>
      <c r="J314" s="449" t="s">
        <v>238</v>
      </c>
    </row>
    <row r="315" spans="2:10" ht="18" x14ac:dyDescent="0.25">
      <c r="B315" s="500" t="s">
        <v>699</v>
      </c>
      <c r="C315" s="449" t="s">
        <v>700</v>
      </c>
      <c r="D315" s="449">
        <f>2.5*A_MO/(A_MN)</f>
        <v>2.8556690726580851</v>
      </c>
      <c r="E315" s="501"/>
      <c r="F315" s="501"/>
      <c r="G315" s="449" t="s">
        <v>1660</v>
      </c>
      <c r="H315" s="450"/>
      <c r="I315" s="450"/>
      <c r="J315" s="449" t="s">
        <v>238</v>
      </c>
    </row>
    <row r="316" spans="2:10" ht="18" x14ac:dyDescent="0.25">
      <c r="B316" s="500" t="s">
        <v>701</v>
      </c>
      <c r="C316" s="449" t="s">
        <v>702</v>
      </c>
      <c r="D316" s="449">
        <f>3*A_MO/A_MN</f>
        <v>3.4268028871897016</v>
      </c>
      <c r="E316" s="501"/>
      <c r="F316" s="501"/>
      <c r="G316" s="449" t="s">
        <v>1660</v>
      </c>
      <c r="H316" s="450"/>
      <c r="I316" s="450"/>
      <c r="J316" s="449" t="s">
        <v>238</v>
      </c>
    </row>
    <row r="317" spans="2:10" ht="18" x14ac:dyDescent="0.25">
      <c r="B317" s="500" t="s">
        <v>703</v>
      </c>
      <c r="C317" s="449" t="s">
        <v>704</v>
      </c>
      <c r="D317" s="449">
        <f>4*A_MO/A_MN</f>
        <v>4.5690705162529355</v>
      </c>
      <c r="E317" s="501"/>
      <c r="F317" s="501"/>
      <c r="G317" s="449" t="s">
        <v>1660</v>
      </c>
      <c r="H317" s="450"/>
      <c r="I317" s="450"/>
      <c r="J317" s="449" t="s">
        <v>238</v>
      </c>
    </row>
    <row r="318" spans="2:10" ht="18" x14ac:dyDescent="0.25">
      <c r="B318" s="500" t="s">
        <v>914</v>
      </c>
      <c r="C318" s="449" t="s">
        <v>705</v>
      </c>
      <c r="D318" s="449">
        <f>A_MO/A_MN</f>
        <v>1.1422676290632339</v>
      </c>
      <c r="E318" s="501"/>
      <c r="F318" s="501"/>
      <c r="G318" s="449" t="s">
        <v>1660</v>
      </c>
      <c r="H318" s="450"/>
      <c r="I318" s="450"/>
      <c r="J318" s="449"/>
    </row>
    <row r="319" spans="2:10" ht="18" x14ac:dyDescent="0.25">
      <c r="B319" s="500" t="s">
        <v>915</v>
      </c>
      <c r="C319" s="449" t="s">
        <v>706</v>
      </c>
      <c r="D319" s="449">
        <f>3*A_MO/(2*A_MN)</f>
        <v>1.7134014435948508</v>
      </c>
      <c r="E319" s="501"/>
      <c r="F319" s="501"/>
      <c r="G319" s="449" t="s">
        <v>1660</v>
      </c>
      <c r="H319" s="450"/>
      <c r="I319" s="450"/>
      <c r="J319" s="449"/>
    </row>
    <row r="320" spans="2:10" ht="18" x14ac:dyDescent="0.25">
      <c r="B320" s="500" t="s">
        <v>916</v>
      </c>
      <c r="C320" s="449" t="s">
        <v>707</v>
      </c>
      <c r="D320" s="449">
        <f>0.5*A_MO/A_MN</f>
        <v>0.57113381453161693</v>
      </c>
      <c r="E320" s="501"/>
      <c r="F320" s="501"/>
      <c r="G320" s="449" t="s">
        <v>1660</v>
      </c>
      <c r="H320" s="450"/>
      <c r="I320" s="450"/>
      <c r="J320" s="449"/>
    </row>
    <row r="321" spans="2:10" ht="18" x14ac:dyDescent="0.25">
      <c r="B321" s="500" t="s">
        <v>917</v>
      </c>
      <c r="C321" s="449" t="s">
        <v>708</v>
      </c>
      <c r="D321" s="449">
        <f>0.5*A_MO/A_MN</f>
        <v>0.57113381453161693</v>
      </c>
      <c r="E321" s="501"/>
      <c r="F321" s="501"/>
      <c r="G321" s="449" t="s">
        <v>1660</v>
      </c>
      <c r="H321" s="450"/>
      <c r="I321" s="450"/>
      <c r="J321" s="449"/>
    </row>
    <row r="322" spans="2:10" ht="18" x14ac:dyDescent="0.25">
      <c r="B322" s="500" t="s">
        <v>918</v>
      </c>
      <c r="C322" s="449" t="s">
        <v>709</v>
      </c>
      <c r="D322" s="449">
        <f>0.5*A_MO/A_MN</f>
        <v>0.57113381453161693</v>
      </c>
      <c r="E322" s="501"/>
      <c r="F322" s="501"/>
      <c r="G322" s="449" t="s">
        <v>1660</v>
      </c>
      <c r="H322" s="450"/>
      <c r="I322" s="450"/>
      <c r="J322" s="449"/>
    </row>
    <row r="323" spans="2:10" ht="18" x14ac:dyDescent="0.25">
      <c r="B323" s="500" t="s">
        <v>1015</v>
      </c>
      <c r="C323" s="449" t="s">
        <v>753</v>
      </c>
      <c r="D323" s="449">
        <f>5*A_MO/(2*A_MN)</f>
        <v>2.8556690726580851</v>
      </c>
      <c r="E323" s="501"/>
      <c r="F323" s="501"/>
      <c r="G323" s="449" t="s">
        <v>1660</v>
      </c>
      <c r="H323" s="450"/>
      <c r="I323" s="450"/>
      <c r="J323" s="449"/>
    </row>
    <row r="324" spans="2:10" ht="18" x14ac:dyDescent="0.25">
      <c r="B324" s="500" t="s">
        <v>1186</v>
      </c>
      <c r="C324" s="449" t="s">
        <v>1187</v>
      </c>
      <c r="D324" s="449">
        <f>8/A_MFe</f>
        <v>0.14325364849136002</v>
      </c>
      <c r="E324" s="501"/>
      <c r="F324" s="501"/>
      <c r="G324" s="449" t="s">
        <v>1661</v>
      </c>
      <c r="H324" s="450"/>
      <c r="I324" s="450"/>
      <c r="J324" s="449"/>
    </row>
    <row r="325" spans="2:10" ht="18" x14ac:dyDescent="0.25">
      <c r="B325" s="500" t="s">
        <v>1188</v>
      </c>
      <c r="C325" s="449" t="s">
        <v>1189</v>
      </c>
      <c r="D325" s="449">
        <f>3*A_MO/(A_MS)</f>
        <v>1.4969031654451894</v>
      </c>
      <c r="E325" s="501"/>
      <c r="F325" s="501"/>
      <c r="G325" s="449" t="s">
        <v>1662</v>
      </c>
      <c r="H325" s="450"/>
      <c r="I325" s="450"/>
      <c r="J325" s="449" t="s">
        <v>1190</v>
      </c>
    </row>
    <row r="326" spans="2:10" ht="18" x14ac:dyDescent="0.25">
      <c r="B326" s="500" t="s">
        <v>1071</v>
      </c>
      <c r="C326" s="449" t="s">
        <v>1016</v>
      </c>
      <c r="D326" s="449">
        <f>4*A_MO/(A_MS)</f>
        <v>1.9958708872602526</v>
      </c>
      <c r="E326" s="501"/>
      <c r="F326" s="501"/>
      <c r="G326" s="449" t="s">
        <v>1663</v>
      </c>
      <c r="H326" s="450"/>
      <c r="I326" s="450"/>
      <c r="J326" s="449" t="s">
        <v>1190</v>
      </c>
    </row>
    <row r="328" spans="2:10" ht="15.75" thickBot="1" x14ac:dyDescent="0.3">
      <c r="C328" s="444" t="s">
        <v>919</v>
      </c>
    </row>
    <row r="329" spans="2:10" ht="15.75" thickBot="1" x14ac:dyDescent="0.3">
      <c r="B329" s="445" t="s">
        <v>0</v>
      </c>
      <c r="C329" s="446" t="s">
        <v>1</v>
      </c>
      <c r="D329" s="447" t="s">
        <v>149</v>
      </c>
      <c r="E329" s="447" t="s">
        <v>385</v>
      </c>
      <c r="F329" s="447" t="s">
        <v>386</v>
      </c>
      <c r="G329" s="447" t="s">
        <v>2</v>
      </c>
      <c r="H329" s="447" t="s">
        <v>309</v>
      </c>
      <c r="I329" s="447" t="s">
        <v>113</v>
      </c>
      <c r="J329" s="448" t="s">
        <v>114</v>
      </c>
    </row>
    <row r="330" spans="2:10" ht="18" x14ac:dyDescent="0.25">
      <c r="B330" s="500" t="s">
        <v>920</v>
      </c>
      <c r="C330" s="449" t="s">
        <v>921</v>
      </c>
      <c r="D330" s="449">
        <v>0.5</v>
      </c>
      <c r="E330" s="501"/>
      <c r="F330" s="501"/>
      <c r="G330" s="449"/>
      <c r="H330" s="450"/>
      <c r="I330" s="450"/>
      <c r="J330" s="449" t="s">
        <v>1017</v>
      </c>
    </row>
    <row r="331" spans="2:10" ht="18" x14ac:dyDescent="0.25">
      <c r="B331" s="500" t="s">
        <v>922</v>
      </c>
      <c r="C331" s="449" t="s">
        <v>923</v>
      </c>
      <c r="D331" s="449">
        <v>0.5</v>
      </c>
      <c r="E331" s="501"/>
      <c r="F331" s="501"/>
      <c r="G331" s="449"/>
      <c r="H331" s="450"/>
      <c r="I331" s="450"/>
      <c r="J331" s="449" t="s">
        <v>1018</v>
      </c>
    </row>
    <row r="332" spans="2:10" ht="18" x14ac:dyDescent="0.25">
      <c r="B332" s="500" t="s">
        <v>924</v>
      </c>
      <c r="C332" s="449" t="s">
        <v>925</v>
      </c>
      <c r="D332" s="449">
        <v>2</v>
      </c>
      <c r="E332" s="501"/>
      <c r="F332" s="501"/>
      <c r="G332" s="449"/>
      <c r="H332" s="450"/>
      <c r="I332" s="450"/>
      <c r="J332" s="449" t="s">
        <v>1019</v>
      </c>
    </row>
    <row r="333" spans="2:10" ht="18" x14ac:dyDescent="0.25">
      <c r="B333" s="500" t="s">
        <v>926</v>
      </c>
      <c r="C333" s="449" t="s">
        <v>927</v>
      </c>
      <c r="D333" s="449">
        <v>2</v>
      </c>
      <c r="E333" s="501"/>
      <c r="F333" s="501"/>
      <c r="G333" s="449"/>
      <c r="H333" s="450"/>
      <c r="I333" s="450"/>
      <c r="J333" s="449" t="s">
        <v>1020</v>
      </c>
    </row>
    <row r="334" spans="2:10" ht="18" x14ac:dyDescent="0.25">
      <c r="B334" s="500" t="s">
        <v>928</v>
      </c>
      <c r="C334" s="449" t="s">
        <v>929</v>
      </c>
      <c r="D334" s="449">
        <v>4.5</v>
      </c>
      <c r="E334" s="501"/>
      <c r="F334" s="501"/>
      <c r="G334" s="449"/>
      <c r="H334" s="450"/>
      <c r="I334" s="450"/>
      <c r="J334" s="449" t="s">
        <v>1021</v>
      </c>
    </row>
    <row r="335" spans="2:10" ht="18" x14ac:dyDescent="0.25">
      <c r="B335" s="500" t="s">
        <v>930</v>
      </c>
      <c r="C335" s="449" t="s">
        <v>931</v>
      </c>
      <c r="D335" s="449">
        <v>4.5</v>
      </c>
      <c r="E335" s="501"/>
      <c r="F335" s="501"/>
      <c r="G335" s="449"/>
      <c r="H335" s="450"/>
      <c r="I335" s="450"/>
      <c r="J335" s="449" t="s">
        <v>1022</v>
      </c>
    </row>
    <row r="337" spans="2:10" ht="15.75" thickBot="1" x14ac:dyDescent="0.3">
      <c r="C337" s="444" t="s">
        <v>932</v>
      </c>
    </row>
    <row r="338" spans="2:10" ht="15.75" thickBot="1" x14ac:dyDescent="0.3">
      <c r="B338" s="445" t="s">
        <v>0</v>
      </c>
      <c r="C338" s="446" t="s">
        <v>1</v>
      </c>
      <c r="D338" s="447" t="s">
        <v>149</v>
      </c>
      <c r="E338" s="447" t="s">
        <v>385</v>
      </c>
      <c r="F338" s="447" t="s">
        <v>386</v>
      </c>
      <c r="G338" s="447" t="s">
        <v>2</v>
      </c>
      <c r="H338" s="447" t="s">
        <v>309</v>
      </c>
      <c r="I338" s="447" t="s">
        <v>113</v>
      </c>
      <c r="J338" s="448" t="s">
        <v>114</v>
      </c>
    </row>
    <row r="339" spans="2:10" ht="18" x14ac:dyDescent="0.25">
      <c r="B339" s="500" t="s">
        <v>933</v>
      </c>
      <c r="C339" s="449" t="s">
        <v>934</v>
      </c>
      <c r="D339" s="449">
        <v>6.4135999999999997E-5</v>
      </c>
      <c r="E339" s="501"/>
      <c r="F339" s="501"/>
      <c r="G339" s="449" t="s">
        <v>935</v>
      </c>
      <c r="H339" s="450"/>
      <c r="I339" s="450"/>
      <c r="J339" s="449" t="s">
        <v>1191</v>
      </c>
    </row>
    <row r="341" spans="2:10" ht="15.75" thickBot="1" x14ac:dyDescent="0.3">
      <c r="C341" s="444" t="s">
        <v>932</v>
      </c>
    </row>
    <row r="342" spans="2:10" ht="15.75" thickBot="1" x14ac:dyDescent="0.3">
      <c r="B342" s="445" t="s">
        <v>0</v>
      </c>
      <c r="C342" s="446" t="s">
        <v>1</v>
      </c>
      <c r="D342" s="447" t="s">
        <v>149</v>
      </c>
      <c r="E342" s="447" t="s">
        <v>385</v>
      </c>
      <c r="F342" s="447" t="s">
        <v>386</v>
      </c>
      <c r="G342" s="447" t="s">
        <v>2</v>
      </c>
      <c r="H342" s="447" t="s">
        <v>309</v>
      </c>
      <c r="I342" s="447" t="s">
        <v>113</v>
      </c>
      <c r="J342" s="448" t="s">
        <v>114</v>
      </c>
    </row>
    <row r="343" spans="2:10" ht="18" x14ac:dyDescent="0.25">
      <c r="B343" s="500" t="s">
        <v>1664</v>
      </c>
      <c r="C343" s="449" t="s">
        <v>1665</v>
      </c>
      <c r="D343" s="449">
        <v>0.6</v>
      </c>
      <c r="E343" s="501" t="s">
        <v>1088</v>
      </c>
      <c r="F343" s="501" t="s">
        <v>1666</v>
      </c>
      <c r="G343" s="449" t="s">
        <v>1667</v>
      </c>
      <c r="H343" s="450"/>
      <c r="I343" s="450"/>
      <c r="J343" s="449" t="s">
        <v>1668</v>
      </c>
    </row>
    <row r="345" spans="2:10" ht="15.75" thickBot="1" x14ac:dyDescent="0.3">
      <c r="C345" s="444" t="s">
        <v>936</v>
      </c>
    </row>
    <row r="346" spans="2:10" ht="15.75" thickBot="1" x14ac:dyDescent="0.3">
      <c r="B346" s="445" t="s">
        <v>0</v>
      </c>
      <c r="C346" s="446" t="s">
        <v>1</v>
      </c>
      <c r="D346" s="447" t="s">
        <v>149</v>
      </c>
      <c r="E346" s="447" t="s">
        <v>385</v>
      </c>
      <c r="F346" s="447" t="s">
        <v>386</v>
      </c>
      <c r="G346" s="447" t="s">
        <v>2</v>
      </c>
      <c r="H346" s="447" t="s">
        <v>309</v>
      </c>
      <c r="I346" s="447" t="s">
        <v>113</v>
      </c>
      <c r="J346" s="448" t="s">
        <v>114</v>
      </c>
    </row>
    <row r="347" spans="2:10" ht="18" x14ac:dyDescent="0.25">
      <c r="B347" s="500" t="s">
        <v>937</v>
      </c>
      <c r="C347" s="449" t="s">
        <v>938</v>
      </c>
      <c r="D347" s="449">
        <v>1000000</v>
      </c>
      <c r="E347" s="501"/>
      <c r="F347" s="501"/>
      <c r="G347" s="449" t="s">
        <v>1669</v>
      </c>
      <c r="H347" s="450"/>
      <c r="I347" s="450"/>
      <c r="J347" s="449"/>
    </row>
    <row r="348" spans="2:10" ht="18" x14ac:dyDescent="0.25">
      <c r="B348" s="500" t="s">
        <v>1192</v>
      </c>
      <c r="C348" s="449" t="s">
        <v>1193</v>
      </c>
      <c r="D348" s="449">
        <v>100</v>
      </c>
      <c r="E348" s="501"/>
      <c r="F348" s="501"/>
      <c r="G348" s="449" t="s">
        <v>1670</v>
      </c>
      <c r="H348" s="450"/>
      <c r="I348" s="450"/>
      <c r="J348" s="449"/>
    </row>
    <row r="349" spans="2:10" ht="18" x14ac:dyDescent="0.25">
      <c r="B349" s="500" t="s">
        <v>1194</v>
      </c>
      <c r="C349" s="449" t="s">
        <v>1195</v>
      </c>
      <c r="D349" s="449">
        <v>100</v>
      </c>
      <c r="E349" s="501"/>
      <c r="F349" s="501"/>
      <c r="G349" s="449" t="s">
        <v>1196</v>
      </c>
      <c r="H349" s="450"/>
      <c r="I349" s="450"/>
      <c r="J349" s="449"/>
    </row>
    <row r="350" spans="2:10" ht="18" x14ac:dyDescent="0.25">
      <c r="B350" s="500" t="s">
        <v>939</v>
      </c>
      <c r="C350" s="449" t="s">
        <v>1197</v>
      </c>
      <c r="D350" s="449">
        <v>86400</v>
      </c>
      <c r="E350" s="501"/>
      <c r="F350" s="501"/>
      <c r="G350" s="449" t="s">
        <v>1198</v>
      </c>
      <c r="H350" s="450"/>
      <c r="I350" s="450"/>
      <c r="J350" s="449"/>
    </row>
    <row r="351" spans="2:10" ht="18" x14ac:dyDescent="0.25">
      <c r="B351" s="500" t="s">
        <v>1199</v>
      </c>
      <c r="C351" s="449" t="s">
        <v>1200</v>
      </c>
      <c r="D351" s="449">
        <v>3600</v>
      </c>
      <c r="E351" s="501"/>
      <c r="F351" s="501"/>
      <c r="G351" s="449" t="s">
        <v>1201</v>
      </c>
      <c r="H351" s="450"/>
      <c r="I351" s="450"/>
      <c r="J351" s="449"/>
    </row>
    <row r="352" spans="2:10" ht="18" x14ac:dyDescent="0.25">
      <c r="B352" s="500" t="s">
        <v>2024</v>
      </c>
      <c r="C352" s="449" t="s">
        <v>2025</v>
      </c>
      <c r="D352" s="449">
        <v>60</v>
      </c>
      <c r="E352" s="501"/>
      <c r="F352" s="501"/>
      <c r="G352" s="449" t="s">
        <v>2026</v>
      </c>
      <c r="H352" s="450"/>
      <c r="I352" s="450"/>
      <c r="J352" s="449"/>
    </row>
    <row r="353" spans="2:10" ht="18" x14ac:dyDescent="0.25">
      <c r="B353" s="500" t="s">
        <v>2027</v>
      </c>
      <c r="C353" s="449" t="s">
        <v>2028</v>
      </c>
      <c r="D353" s="449">
        <v>24</v>
      </c>
      <c r="E353" s="501"/>
      <c r="F353" s="501"/>
      <c r="G353" s="449" t="s">
        <v>2029</v>
      </c>
      <c r="H353" s="450"/>
      <c r="I353" s="450"/>
      <c r="J353" s="449"/>
    </row>
    <row r="354" spans="2:10" ht="18" x14ac:dyDescent="0.25">
      <c r="B354" s="500" t="s">
        <v>1671</v>
      </c>
      <c r="C354" s="449" t="s">
        <v>1672</v>
      </c>
      <c r="D354" s="449">
        <v>86400000</v>
      </c>
      <c r="E354" s="501"/>
      <c r="F354" s="501"/>
      <c r="G354" s="449" t="s">
        <v>1673</v>
      </c>
      <c r="H354" s="450"/>
      <c r="I354" s="450"/>
      <c r="J354" s="449"/>
    </row>
    <row r="355" spans="2:10" ht="18" x14ac:dyDescent="0.25">
      <c r="B355" s="500" t="s">
        <v>1023</v>
      </c>
      <c r="C355" s="449" t="s">
        <v>1024</v>
      </c>
      <c r="D355" s="449">
        <v>3600000</v>
      </c>
      <c r="E355" s="501"/>
      <c r="F355" s="501"/>
      <c r="G355" s="449" t="s">
        <v>1025</v>
      </c>
      <c r="H355" s="450"/>
      <c r="I355" s="450"/>
      <c r="J355" s="449"/>
    </row>
    <row r="356" spans="2:10" ht="18" x14ac:dyDescent="0.25">
      <c r="B356" s="500" t="s">
        <v>2030</v>
      </c>
      <c r="C356" s="449" t="s">
        <v>2031</v>
      </c>
      <c r="D356" s="449">
        <v>60000</v>
      </c>
      <c r="E356" s="501"/>
      <c r="F356" s="501"/>
      <c r="G356" s="449" t="s">
        <v>2032</v>
      </c>
      <c r="H356" s="450"/>
      <c r="I356" s="450"/>
      <c r="J356" s="449"/>
    </row>
    <row r="357" spans="2:10" ht="18" x14ac:dyDescent="0.25">
      <c r="B357" s="500" t="s">
        <v>1674</v>
      </c>
      <c r="C357" s="449" t="s">
        <v>1675</v>
      </c>
      <c r="D357" s="449">
        <v>1000</v>
      </c>
      <c r="E357" s="501"/>
      <c r="F357" s="501"/>
      <c r="G357" s="449" t="s">
        <v>1676</v>
      </c>
      <c r="H357" s="450"/>
      <c r="I357" s="450"/>
      <c r="J357" s="449"/>
    </row>
    <row r="358" spans="2:10" ht="18" x14ac:dyDescent="0.25">
      <c r="B358" s="500" t="s">
        <v>940</v>
      </c>
      <c r="C358" s="449" t="s">
        <v>941</v>
      </c>
      <c r="D358" s="449">
        <v>1000</v>
      </c>
      <c r="E358" s="501"/>
      <c r="F358" s="501"/>
      <c r="G358" s="449" t="s">
        <v>1202</v>
      </c>
      <c r="H358" s="450"/>
      <c r="I358" s="450"/>
      <c r="J358" s="449"/>
    </row>
    <row r="359" spans="2:10" ht="18" x14ac:dyDescent="0.25">
      <c r="B359" s="500" t="s">
        <v>942</v>
      </c>
      <c r="C359" s="449" t="s">
        <v>943</v>
      </c>
      <c r="D359" s="449">
        <v>1000</v>
      </c>
      <c r="E359" s="501"/>
      <c r="F359" s="501"/>
      <c r="G359" s="449" t="s">
        <v>1203</v>
      </c>
      <c r="H359" s="450"/>
      <c r="I359" s="450"/>
      <c r="J359" s="449"/>
    </row>
    <row r="360" spans="2:10" ht="18" x14ac:dyDescent="0.25">
      <c r="B360" s="500" t="s">
        <v>944</v>
      </c>
      <c r="C360" s="449" t="s">
        <v>1204</v>
      </c>
      <c r="D360" s="449">
        <v>1000</v>
      </c>
      <c r="E360" s="501"/>
      <c r="F360" s="501"/>
      <c r="G360" s="449" t="s">
        <v>1205</v>
      </c>
      <c r="H360" s="450"/>
      <c r="I360" s="450"/>
      <c r="J360" s="449"/>
    </row>
    <row r="361" spans="2:10" ht="18" x14ac:dyDescent="0.25">
      <c r="B361" s="451" t="s">
        <v>2033</v>
      </c>
      <c r="C361" s="451" t="s">
        <v>2034</v>
      </c>
      <c r="D361" s="451">
        <v>1000</v>
      </c>
      <c r="E361" s="451"/>
      <c r="F361" s="451"/>
      <c r="G361" s="451" t="s">
        <v>2035</v>
      </c>
      <c r="H361" s="451"/>
      <c r="I361" s="451"/>
      <c r="J361" s="451"/>
    </row>
    <row r="362" spans="2:10" ht="18" x14ac:dyDescent="0.25">
      <c r="B362" s="500" t="s">
        <v>945</v>
      </c>
      <c r="C362" s="449" t="s">
        <v>1677</v>
      </c>
      <c r="D362" s="449">
        <v>133.32236800000001</v>
      </c>
      <c r="E362" s="501"/>
      <c r="F362" s="501"/>
      <c r="G362" s="449" t="s">
        <v>1206</v>
      </c>
      <c r="H362" s="450"/>
      <c r="I362" s="450"/>
      <c r="J362" s="449"/>
    </row>
    <row r="363" spans="2:10" ht="18" x14ac:dyDescent="0.25">
      <c r="B363" s="500" t="s">
        <v>946</v>
      </c>
      <c r="C363" s="449" t="s">
        <v>1678</v>
      </c>
      <c r="D363" s="449">
        <v>100000</v>
      </c>
      <c r="E363" s="501"/>
      <c r="F363" s="501"/>
      <c r="G363" s="449" t="s">
        <v>1207</v>
      </c>
      <c r="H363" s="450"/>
      <c r="I363" s="450"/>
      <c r="J363" s="449"/>
    </row>
    <row r="364" spans="2:10" ht="18" x14ac:dyDescent="0.25">
      <c r="B364" s="500" t="s">
        <v>2036</v>
      </c>
      <c r="C364" s="449" t="s">
        <v>2037</v>
      </c>
      <c r="D364" s="449">
        <v>100</v>
      </c>
      <c r="E364" s="501"/>
      <c r="F364" s="501"/>
      <c r="G364" s="449" t="s">
        <v>1208</v>
      </c>
      <c r="H364" s="450"/>
      <c r="I364" s="450"/>
      <c r="J364" s="449"/>
    </row>
    <row r="365" spans="2:10" ht="18" x14ac:dyDescent="0.25">
      <c r="B365" s="500" t="s">
        <v>947</v>
      </c>
      <c r="C365" s="449" t="s">
        <v>1679</v>
      </c>
      <c r="D365" s="449">
        <v>10000</v>
      </c>
      <c r="E365" s="501"/>
      <c r="F365" s="501"/>
      <c r="G365" s="449" t="s">
        <v>1208</v>
      </c>
      <c r="H365" s="450"/>
      <c r="I365" s="450"/>
      <c r="J365" s="449"/>
    </row>
    <row r="366" spans="2:10" ht="18" x14ac:dyDescent="0.25">
      <c r="B366" s="500" t="s">
        <v>1680</v>
      </c>
      <c r="C366" s="449" t="s">
        <v>1681</v>
      </c>
      <c r="D366" s="449">
        <v>1000000</v>
      </c>
      <c r="E366" s="501"/>
      <c r="F366" s="501"/>
      <c r="G366" s="449" t="s">
        <v>1682</v>
      </c>
      <c r="H366" s="450"/>
      <c r="I366" s="450"/>
      <c r="J366" s="449"/>
    </row>
    <row r="368" spans="2:10" ht="15.75" thickBot="1" x14ac:dyDescent="0.3">
      <c r="C368" s="444" t="s">
        <v>948</v>
      </c>
    </row>
    <row r="369" spans="2:10" ht="15.75" thickBot="1" x14ac:dyDescent="0.3">
      <c r="B369" s="445" t="s">
        <v>0</v>
      </c>
      <c r="C369" s="446" t="s">
        <v>1</v>
      </c>
      <c r="D369" s="447" t="s">
        <v>149</v>
      </c>
      <c r="E369" s="447" t="s">
        <v>385</v>
      </c>
      <c r="F369" s="447" t="s">
        <v>386</v>
      </c>
      <c r="G369" s="447" t="s">
        <v>2</v>
      </c>
      <c r="H369" s="447" t="s">
        <v>309</v>
      </c>
      <c r="I369" s="447" t="s">
        <v>113</v>
      </c>
      <c r="J369" s="448" t="s">
        <v>114</v>
      </c>
    </row>
    <row r="370" spans="2:10" ht="18" x14ac:dyDescent="0.25">
      <c r="B370" s="500" t="s">
        <v>1026</v>
      </c>
      <c r="C370" s="449" t="s">
        <v>949</v>
      </c>
      <c r="D370" s="449">
        <v>0</v>
      </c>
      <c r="E370" s="501"/>
      <c r="F370" s="501"/>
      <c r="G370" s="449" t="s">
        <v>1683</v>
      </c>
      <c r="H370" s="450"/>
      <c r="I370" s="450"/>
      <c r="J370" s="449" t="s">
        <v>950</v>
      </c>
    </row>
    <row r="371" spans="2:10" ht="18" x14ac:dyDescent="0.25">
      <c r="B371" s="500" t="s">
        <v>1027</v>
      </c>
      <c r="C371" s="449" t="s">
        <v>951</v>
      </c>
      <c r="D371" s="449">
        <v>-285840</v>
      </c>
      <c r="E371" s="501"/>
      <c r="F371" s="501"/>
      <c r="G371" s="449" t="s">
        <v>1683</v>
      </c>
      <c r="H371" s="450"/>
      <c r="I371" s="450"/>
      <c r="J371" s="449" t="s">
        <v>952</v>
      </c>
    </row>
    <row r="372" spans="2:10" ht="18" x14ac:dyDescent="0.25">
      <c r="B372" s="500" t="s">
        <v>1028</v>
      </c>
      <c r="C372" s="449" t="s">
        <v>953</v>
      </c>
      <c r="D372" s="449">
        <v>-229994</v>
      </c>
      <c r="E372" s="501"/>
      <c r="F372" s="501"/>
      <c r="G372" s="449" t="s">
        <v>1683</v>
      </c>
      <c r="H372" s="450"/>
      <c r="I372" s="450"/>
      <c r="J372" s="449" t="s">
        <v>950</v>
      </c>
    </row>
    <row r="373" spans="2:10" ht="18" x14ac:dyDescent="0.25">
      <c r="B373" s="500" t="s">
        <v>1029</v>
      </c>
      <c r="C373" s="449" t="s">
        <v>954</v>
      </c>
      <c r="D373" s="449">
        <v>-80920</v>
      </c>
      <c r="E373" s="501"/>
      <c r="F373" s="501"/>
      <c r="G373" s="449" t="s">
        <v>1683</v>
      </c>
      <c r="H373" s="450"/>
      <c r="I373" s="450"/>
      <c r="J373" s="449" t="s">
        <v>950</v>
      </c>
    </row>
    <row r="374" spans="2:10" ht="18" x14ac:dyDescent="0.25">
      <c r="B374" s="500" t="s">
        <v>1030</v>
      </c>
      <c r="C374" s="449" t="s">
        <v>955</v>
      </c>
      <c r="D374" s="449">
        <v>-132510</v>
      </c>
      <c r="E374" s="501"/>
      <c r="F374" s="501"/>
      <c r="G374" s="449" t="s">
        <v>1683</v>
      </c>
      <c r="H374" s="450"/>
      <c r="I374" s="450"/>
      <c r="J374" s="449" t="s">
        <v>950</v>
      </c>
    </row>
    <row r="375" spans="2:10" ht="18" x14ac:dyDescent="0.25">
      <c r="B375" s="500" t="s">
        <v>1031</v>
      </c>
      <c r="C375" s="449" t="s">
        <v>956</v>
      </c>
      <c r="D375" s="449">
        <v>-119200</v>
      </c>
      <c r="E375" s="501"/>
      <c r="F375" s="501"/>
      <c r="G375" s="449" t="s">
        <v>1683</v>
      </c>
      <c r="H375" s="450"/>
      <c r="I375" s="450"/>
      <c r="J375" s="449" t="s">
        <v>950</v>
      </c>
    </row>
    <row r="376" spans="2:10" ht="18" x14ac:dyDescent="0.25">
      <c r="B376" s="500" t="s">
        <v>1032</v>
      </c>
      <c r="C376" s="449" t="s">
        <v>957</v>
      </c>
      <c r="D376" s="449">
        <v>-106000</v>
      </c>
      <c r="E376" s="501"/>
      <c r="F376" s="501"/>
      <c r="G376" s="449" t="s">
        <v>1683</v>
      </c>
      <c r="H376" s="450"/>
      <c r="I376" s="450"/>
      <c r="J376" s="449" t="s">
        <v>952</v>
      </c>
    </row>
    <row r="377" spans="2:10" ht="18" x14ac:dyDescent="0.25">
      <c r="B377" s="500" t="s">
        <v>1033</v>
      </c>
      <c r="C377" s="449" t="s">
        <v>958</v>
      </c>
      <c r="D377" s="449">
        <v>-205000</v>
      </c>
      <c r="E377" s="501"/>
      <c r="F377" s="501"/>
      <c r="G377" s="449" t="s">
        <v>1683</v>
      </c>
      <c r="H377" s="450"/>
      <c r="I377" s="450"/>
      <c r="J377" s="449" t="s">
        <v>950</v>
      </c>
    </row>
    <row r="378" spans="2:10" ht="18" x14ac:dyDescent="0.25">
      <c r="B378" s="500" t="s">
        <v>1034</v>
      </c>
      <c r="C378" s="449" t="s">
        <v>959</v>
      </c>
      <c r="D378" s="449">
        <v>-699650</v>
      </c>
      <c r="E378" s="501"/>
      <c r="F378" s="501"/>
      <c r="G378" s="449" t="s">
        <v>1683</v>
      </c>
      <c r="H378" s="450"/>
      <c r="I378" s="450"/>
      <c r="J378" s="449" t="s">
        <v>950</v>
      </c>
    </row>
    <row r="379" spans="2:10" ht="18" x14ac:dyDescent="0.25">
      <c r="B379" s="500" t="s">
        <v>1035</v>
      </c>
      <c r="C379" s="449" t="s">
        <v>960</v>
      </c>
      <c r="D379" s="449">
        <v>-691990</v>
      </c>
      <c r="E379" s="501"/>
      <c r="F379" s="501"/>
      <c r="G379" s="449" t="s">
        <v>1683</v>
      </c>
      <c r="H379" s="450"/>
      <c r="I379" s="450"/>
      <c r="J379" s="449" t="s">
        <v>950</v>
      </c>
    </row>
    <row r="380" spans="2:10" ht="18" x14ac:dyDescent="0.25">
      <c r="B380" s="500" t="s">
        <v>1036</v>
      </c>
      <c r="C380" s="449" t="s">
        <v>961</v>
      </c>
      <c r="D380" s="449">
        <v>-677140</v>
      </c>
      <c r="E380" s="501"/>
      <c r="F380" s="501"/>
      <c r="G380" s="449" t="s">
        <v>1683</v>
      </c>
      <c r="H380" s="450"/>
      <c r="I380" s="450"/>
      <c r="J380" s="449" t="s">
        <v>950</v>
      </c>
    </row>
    <row r="381" spans="2:10" ht="18" x14ac:dyDescent="0.25">
      <c r="B381" s="500" t="s">
        <v>1037</v>
      </c>
      <c r="C381" s="449" t="s">
        <v>962</v>
      </c>
      <c r="D381" s="449">
        <v>-1299144</v>
      </c>
      <c r="E381" s="501"/>
      <c r="F381" s="501"/>
      <c r="G381" s="449" t="s">
        <v>1683</v>
      </c>
      <c r="H381" s="450"/>
      <c r="I381" s="450"/>
      <c r="J381" s="449" t="s">
        <v>963</v>
      </c>
    </row>
    <row r="382" spans="2:10" ht="18" x14ac:dyDescent="0.25">
      <c r="B382" s="500" t="s">
        <v>1038</v>
      </c>
      <c r="C382" s="449" t="s">
        <v>964</v>
      </c>
      <c r="D382" s="449">
        <v>1296000</v>
      </c>
      <c r="E382" s="501"/>
      <c r="F382" s="501"/>
      <c r="G382" s="449" t="s">
        <v>1683</v>
      </c>
      <c r="H382" s="450"/>
      <c r="I382" s="450"/>
      <c r="J382" s="449" t="s">
        <v>965</v>
      </c>
    </row>
    <row r="383" spans="2:10" ht="18" x14ac:dyDescent="0.25">
      <c r="B383" s="500" t="s">
        <v>1039</v>
      </c>
      <c r="C383" s="449" t="s">
        <v>966</v>
      </c>
      <c r="D383" s="449">
        <v>-1292000</v>
      </c>
      <c r="E383" s="501"/>
      <c r="F383" s="501"/>
      <c r="G383" s="449" t="s">
        <v>1683</v>
      </c>
      <c r="H383" s="450"/>
      <c r="I383" s="450"/>
      <c r="J383" s="449" t="s">
        <v>965</v>
      </c>
    </row>
    <row r="384" spans="2:10" ht="18" x14ac:dyDescent="0.25">
      <c r="B384" s="500" t="s">
        <v>1040</v>
      </c>
      <c r="C384" s="449" t="s">
        <v>967</v>
      </c>
      <c r="D384" s="449">
        <v>-1277400</v>
      </c>
      <c r="E384" s="501"/>
      <c r="F384" s="501"/>
      <c r="G384" s="449" t="s">
        <v>1683</v>
      </c>
      <c r="H384" s="450"/>
      <c r="I384" s="450"/>
      <c r="J384" s="449" t="s">
        <v>950</v>
      </c>
    </row>
    <row r="385" spans="2:10" ht="18" x14ac:dyDescent="0.25">
      <c r="B385" s="500" t="s">
        <v>1041</v>
      </c>
      <c r="C385" s="449" t="s">
        <v>968</v>
      </c>
      <c r="D385" s="449">
        <v>-488453</v>
      </c>
      <c r="E385" s="501"/>
      <c r="F385" s="501"/>
      <c r="G385" s="449" t="s">
        <v>1683</v>
      </c>
      <c r="H385" s="450"/>
      <c r="I385" s="450"/>
      <c r="J385" s="449" t="s">
        <v>952</v>
      </c>
    </row>
    <row r="386" spans="2:10" ht="18" x14ac:dyDescent="0.25">
      <c r="B386" s="500" t="s">
        <v>1042</v>
      </c>
      <c r="C386" s="449" t="s">
        <v>969</v>
      </c>
      <c r="D386" s="449">
        <v>-488871</v>
      </c>
      <c r="E386" s="501"/>
      <c r="F386" s="501"/>
      <c r="G386" s="449" t="s">
        <v>1683</v>
      </c>
      <c r="H386" s="450"/>
      <c r="I386" s="450"/>
      <c r="J386" s="449" t="s">
        <v>952</v>
      </c>
    </row>
    <row r="387" spans="2:10" ht="18" x14ac:dyDescent="0.25">
      <c r="B387" s="500" t="s">
        <v>1209</v>
      </c>
      <c r="C387" s="449" t="s">
        <v>1210</v>
      </c>
      <c r="D387" s="449">
        <v>-39000</v>
      </c>
      <c r="E387" s="501"/>
      <c r="F387" s="501"/>
      <c r="G387" s="449" t="s">
        <v>1683</v>
      </c>
      <c r="H387" s="450"/>
      <c r="I387" s="450"/>
      <c r="J387" s="449" t="s">
        <v>952</v>
      </c>
    </row>
    <row r="388" spans="2:10" ht="18" x14ac:dyDescent="0.25">
      <c r="B388" s="500" t="s">
        <v>1211</v>
      </c>
      <c r="C388" s="449" t="s">
        <v>1212</v>
      </c>
      <c r="D388" s="449">
        <v>-17000</v>
      </c>
      <c r="E388" s="501"/>
      <c r="F388" s="501"/>
      <c r="G388" s="449" t="s">
        <v>1683</v>
      </c>
      <c r="H388" s="450"/>
      <c r="I388" s="450"/>
      <c r="J388" s="449" t="s">
        <v>1213</v>
      </c>
    </row>
    <row r="389" spans="2:10" ht="18" x14ac:dyDescent="0.25">
      <c r="B389" s="500" t="s">
        <v>1214</v>
      </c>
      <c r="C389" s="449" t="s">
        <v>1215</v>
      </c>
      <c r="D389" s="449">
        <v>33000</v>
      </c>
      <c r="E389" s="501"/>
      <c r="F389" s="501"/>
      <c r="G389" s="449" t="s">
        <v>1683</v>
      </c>
      <c r="H389" s="450"/>
      <c r="I389" s="450"/>
      <c r="J389" s="449" t="s">
        <v>952</v>
      </c>
    </row>
    <row r="390" spans="2:10" ht="18" x14ac:dyDescent="0.25">
      <c r="B390" s="500" t="s">
        <v>1216</v>
      </c>
      <c r="C390" s="449" t="s">
        <v>1217</v>
      </c>
      <c r="D390" s="449">
        <v>-909000</v>
      </c>
      <c r="E390" s="501"/>
      <c r="F390" s="501"/>
      <c r="G390" s="449" t="s">
        <v>1683</v>
      </c>
      <c r="H390" s="450"/>
      <c r="I390" s="450"/>
      <c r="J390" s="449" t="s">
        <v>965</v>
      </c>
    </row>
    <row r="391" spans="2:10" ht="18" x14ac:dyDescent="0.25">
      <c r="B391" s="500" t="s">
        <v>1218</v>
      </c>
      <c r="C391" s="449" t="s">
        <v>1219</v>
      </c>
      <c r="D391" s="449">
        <v>-887000</v>
      </c>
      <c r="E391" s="501"/>
      <c r="F391" s="501"/>
      <c r="G391" s="449" t="s">
        <v>1683</v>
      </c>
      <c r="H391" s="450"/>
      <c r="I391" s="450"/>
      <c r="J391" s="449" t="s">
        <v>1220</v>
      </c>
    </row>
    <row r="392" spans="2:10" ht="18" x14ac:dyDescent="0.25">
      <c r="B392" s="500" t="s">
        <v>1221</v>
      </c>
      <c r="C392" s="449" t="s">
        <v>1222</v>
      </c>
      <c r="D392" s="449">
        <v>-909000</v>
      </c>
      <c r="E392" s="501"/>
      <c r="F392" s="501"/>
      <c r="G392" s="449" t="s">
        <v>1683</v>
      </c>
      <c r="H392" s="450"/>
      <c r="I392" s="450"/>
      <c r="J392" s="449" t="s">
        <v>965</v>
      </c>
    </row>
    <row r="393" spans="2:10" ht="18" x14ac:dyDescent="0.25">
      <c r="B393" s="500" t="s">
        <v>1223</v>
      </c>
      <c r="C393" s="449" t="s">
        <v>1224</v>
      </c>
      <c r="D393" s="449">
        <v>-542960</v>
      </c>
      <c r="E393" s="501"/>
      <c r="F393" s="501"/>
      <c r="G393" s="449" t="s">
        <v>1683</v>
      </c>
      <c r="H393" s="450"/>
      <c r="I393" s="450"/>
      <c r="J393" s="449" t="s">
        <v>952</v>
      </c>
    </row>
    <row r="394" spans="2:10" ht="18" x14ac:dyDescent="0.25">
      <c r="B394" s="500" t="s">
        <v>1225</v>
      </c>
      <c r="C394" s="449" t="s">
        <v>2038</v>
      </c>
      <c r="D394" s="449">
        <v>-461960</v>
      </c>
      <c r="E394" s="501"/>
      <c r="F394" s="501"/>
      <c r="G394" s="449" t="s">
        <v>1683</v>
      </c>
      <c r="H394" s="450"/>
      <c r="I394" s="450"/>
      <c r="J394" s="449" t="s">
        <v>952</v>
      </c>
    </row>
    <row r="395" spans="2:10" ht="18" x14ac:dyDescent="0.25">
      <c r="B395" s="500" t="s">
        <v>1226</v>
      </c>
      <c r="C395" s="449" t="s">
        <v>1227</v>
      </c>
      <c r="D395" s="449">
        <v>-239660</v>
      </c>
      <c r="E395" s="501"/>
      <c r="F395" s="501"/>
      <c r="G395" s="449" t="s">
        <v>1683</v>
      </c>
      <c r="H395" s="450"/>
      <c r="I395" s="450"/>
      <c r="J395" s="449" t="s">
        <v>952</v>
      </c>
    </row>
    <row r="397" spans="2:10" ht="15.75" thickBot="1" x14ac:dyDescent="0.3">
      <c r="C397" s="444" t="s">
        <v>970</v>
      </c>
    </row>
    <row r="398" spans="2:10" ht="15.75" thickBot="1" x14ac:dyDescent="0.3">
      <c r="B398" s="445" t="s">
        <v>0</v>
      </c>
      <c r="C398" s="446" t="s">
        <v>1</v>
      </c>
      <c r="D398" s="447" t="s">
        <v>149</v>
      </c>
      <c r="E398" s="447" t="s">
        <v>385</v>
      </c>
      <c r="F398" s="447" t="s">
        <v>386</v>
      </c>
      <c r="G398" s="447" t="s">
        <v>2</v>
      </c>
      <c r="H398" s="447" t="s">
        <v>309</v>
      </c>
      <c r="I398" s="447" t="s">
        <v>113</v>
      </c>
      <c r="J398" s="448" t="s">
        <v>114</v>
      </c>
    </row>
    <row r="399" spans="2:10" ht="18" x14ac:dyDescent="0.25">
      <c r="B399" s="500" t="s">
        <v>971</v>
      </c>
      <c r="C399" s="449" t="s">
        <v>972</v>
      </c>
      <c r="D399" s="449">
        <v>-286933.08</v>
      </c>
      <c r="E399" s="501"/>
      <c r="F399" s="501"/>
      <c r="G399" s="449" t="s">
        <v>1683</v>
      </c>
      <c r="H399" s="450"/>
      <c r="I399" s="450"/>
      <c r="J399" s="449" t="s">
        <v>973</v>
      </c>
    </row>
    <row r="401" spans="2:12" ht="15.75" thickBot="1" x14ac:dyDescent="0.3">
      <c r="C401" s="444" t="s">
        <v>1684</v>
      </c>
    </row>
    <row r="402" spans="2:12" ht="15.75" thickBot="1" x14ac:dyDescent="0.3">
      <c r="B402" s="445" t="s">
        <v>0</v>
      </c>
      <c r="C402" s="446" t="s">
        <v>1</v>
      </c>
      <c r="D402" s="447" t="s">
        <v>149</v>
      </c>
      <c r="E402" s="447" t="s">
        <v>385</v>
      </c>
      <c r="F402" s="447" t="s">
        <v>386</v>
      </c>
      <c r="G402" s="447" t="s">
        <v>2</v>
      </c>
      <c r="H402" s="447" t="s">
        <v>309</v>
      </c>
      <c r="I402" s="447" t="s">
        <v>113</v>
      </c>
      <c r="J402" s="448" t="s">
        <v>114</v>
      </c>
      <c r="L402" s="213" t="s">
        <v>1685</v>
      </c>
    </row>
    <row r="403" spans="2:12" ht="18" x14ac:dyDescent="0.25">
      <c r="B403" s="500" t="s">
        <v>1686</v>
      </c>
      <c r="C403" s="449" t="s">
        <v>1687</v>
      </c>
      <c r="D403" s="449">
        <v>58032.160000000098</v>
      </c>
      <c r="E403" s="501"/>
      <c r="F403" s="501"/>
      <c r="G403" s="449" t="s">
        <v>1683</v>
      </c>
      <c r="H403" s="450">
        <v>1</v>
      </c>
      <c r="I403" s="450"/>
      <c r="J403" s="449" t="s">
        <v>1688</v>
      </c>
      <c r="L403" s="213">
        <f>(H_OHm+H_H3Op) - 2*H_H2O</f>
        <v>58032.160000000033</v>
      </c>
    </row>
    <row r="404" spans="2:12" ht="18" x14ac:dyDescent="0.25">
      <c r="B404" s="500" t="s">
        <v>1689</v>
      </c>
      <c r="C404" s="449" t="s">
        <v>1690</v>
      </c>
      <c r="D404" s="449">
        <v>5349.0800000000099</v>
      </c>
      <c r="E404" s="501"/>
      <c r="F404" s="501"/>
      <c r="G404" s="449" t="s">
        <v>1683</v>
      </c>
      <c r="H404" s="450">
        <v>1</v>
      </c>
      <c r="I404" s="450"/>
      <c r="J404" s="449" t="s">
        <v>1691</v>
      </c>
      <c r="L404" s="213">
        <f>(H_NH4p + H_OHm) - (H_NH3 + H_H2O)</f>
        <v>5349.0800000000163</v>
      </c>
    </row>
    <row r="405" spans="2:12" ht="18" x14ac:dyDescent="0.25">
      <c r="B405" s="500" t="s">
        <v>1692</v>
      </c>
      <c r="C405" s="449" t="s">
        <v>1693</v>
      </c>
      <c r="D405" s="449">
        <v>14293.080000000031</v>
      </c>
      <c r="E405" s="501"/>
      <c r="F405" s="501"/>
      <c r="G405" s="449" t="s">
        <v>1683</v>
      </c>
      <c r="H405" s="450">
        <v>1</v>
      </c>
      <c r="I405" s="450"/>
      <c r="J405" s="449" t="s">
        <v>1694</v>
      </c>
      <c r="L405" s="213">
        <f>(H_H3Op+H_NO2m)-(H_HNO2+H_H2O)</f>
        <v>14293.080000000016</v>
      </c>
    </row>
    <row r="406" spans="2:12" ht="18" x14ac:dyDescent="0.25">
      <c r="B406" s="500" t="s">
        <v>1695</v>
      </c>
      <c r="C406" s="449" t="s">
        <v>1696</v>
      </c>
      <c r="D406" s="449">
        <v>8753.0800000000672</v>
      </c>
      <c r="E406" s="501"/>
      <c r="F406" s="501"/>
      <c r="G406" s="449" t="s">
        <v>1683</v>
      </c>
      <c r="H406" s="450">
        <v>1</v>
      </c>
      <c r="I406" s="450"/>
      <c r="J406" s="449" t="s">
        <v>1697</v>
      </c>
      <c r="L406" s="213">
        <f>(H_HCO3m + H_H3Op) - (H_H2CO3 + H_H2O)</f>
        <v>8753.0800000000745</v>
      </c>
    </row>
    <row r="407" spans="2:12" ht="18" x14ac:dyDescent="0.25">
      <c r="B407" s="500" t="s">
        <v>1698</v>
      </c>
      <c r="C407" s="449" t="s">
        <v>1699</v>
      </c>
      <c r="D407" s="449">
        <v>15943.080000000009</v>
      </c>
      <c r="E407" s="501"/>
      <c r="F407" s="501"/>
      <c r="G407" s="449" t="s">
        <v>1683</v>
      </c>
      <c r="H407" s="450">
        <v>1</v>
      </c>
      <c r="I407" s="450"/>
      <c r="J407" s="449" t="s">
        <v>1700</v>
      </c>
      <c r="L407" s="213">
        <f>(H_H3Op + H_CO32m) - (H_HCO3m + H_H2O)</f>
        <v>15943.080000000075</v>
      </c>
    </row>
    <row r="408" spans="2:12" ht="18" x14ac:dyDescent="0.25">
      <c r="B408" s="500" t="s">
        <v>1701</v>
      </c>
      <c r="C408" s="449" t="s">
        <v>1702</v>
      </c>
      <c r="D408" s="449">
        <v>2596237.08</v>
      </c>
      <c r="E408" s="501"/>
      <c r="F408" s="501"/>
      <c r="G408" s="449" t="s">
        <v>1683</v>
      </c>
      <c r="H408" s="450">
        <v>1</v>
      </c>
      <c r="I408" s="450"/>
      <c r="J408" s="449" t="s">
        <v>1703</v>
      </c>
      <c r="L408" s="213">
        <f>(H_H3Op + H_H2PO4m) - (H_H3PO4 + H_H2O)</f>
        <v>2596237.08</v>
      </c>
    </row>
    <row r="409" spans="2:12" ht="18" x14ac:dyDescent="0.25">
      <c r="B409" s="500" t="s">
        <v>1704</v>
      </c>
      <c r="C409" s="449" t="s">
        <v>1705</v>
      </c>
      <c r="D409" s="449">
        <v>-2586906.92</v>
      </c>
      <c r="E409" s="501"/>
      <c r="F409" s="501"/>
      <c r="G409" s="449" t="s">
        <v>1683</v>
      </c>
      <c r="H409" s="450">
        <v>1</v>
      </c>
      <c r="I409" s="450"/>
      <c r="J409" s="449" t="s">
        <v>1706</v>
      </c>
      <c r="L409" s="213">
        <f>(H_H3Op + H_HPO42m) - (H_H2PO4m + H_H2O)</f>
        <v>-2586906.92</v>
      </c>
    </row>
    <row r="410" spans="2:12" ht="18" x14ac:dyDescent="0.25">
      <c r="B410" s="500" t="s">
        <v>1707</v>
      </c>
      <c r="C410" s="449" t="s">
        <v>1708</v>
      </c>
      <c r="D410" s="449">
        <v>15693.080000000009</v>
      </c>
      <c r="E410" s="501"/>
      <c r="F410" s="501"/>
      <c r="G410" s="449" t="s">
        <v>1683</v>
      </c>
      <c r="H410" s="450">
        <v>1</v>
      </c>
      <c r="I410" s="450"/>
      <c r="J410" s="449" t="s">
        <v>1709</v>
      </c>
      <c r="L410" s="213">
        <f>(H_H3Op + H_PO43m) - (H_HPO42m + H_H2O)</f>
        <v>15693.080000000075</v>
      </c>
    </row>
    <row r="411" spans="2:12" ht="18" x14ac:dyDescent="0.25">
      <c r="B411" s="500" t="s">
        <v>1710</v>
      </c>
      <c r="C411" s="449" t="s">
        <v>1711</v>
      </c>
      <c r="D411" s="449">
        <v>675.07999999997992</v>
      </c>
      <c r="E411" s="501"/>
      <c r="F411" s="501"/>
      <c r="G411" s="449" t="s">
        <v>1683</v>
      </c>
      <c r="H411" s="450">
        <v>1</v>
      </c>
      <c r="I411" s="450"/>
      <c r="J411" s="449" t="s">
        <v>1712</v>
      </c>
      <c r="L411" s="213">
        <f>(H_H3Op + H_Acm) - (H_HAc + H_H2O)</f>
        <v>675.08000000007451</v>
      </c>
    </row>
    <row r="412" spans="2:12" ht="18" x14ac:dyDescent="0.25">
      <c r="B412" s="500" t="s">
        <v>1713</v>
      </c>
      <c r="C412" s="449" t="s">
        <v>1714</v>
      </c>
      <c r="D412" s="449">
        <v>23093.080000000042</v>
      </c>
      <c r="E412" s="501"/>
      <c r="F412" s="501"/>
      <c r="G412" s="449" t="s">
        <v>1683</v>
      </c>
      <c r="H412" s="450">
        <v>1</v>
      </c>
      <c r="I412" s="450"/>
      <c r="J412" s="449" t="s">
        <v>1715</v>
      </c>
      <c r="L412" s="213">
        <f>(H_HSm+H_H3Op)-(H_H2S+H_H2O)</f>
        <v>23093.080000000016</v>
      </c>
    </row>
    <row r="413" spans="2:12" ht="18" x14ac:dyDescent="0.25">
      <c r="B413" s="500" t="s">
        <v>1716</v>
      </c>
      <c r="C413" s="449" t="s">
        <v>1717</v>
      </c>
      <c r="D413" s="449">
        <v>51093.080000000045</v>
      </c>
      <c r="E413" s="501"/>
      <c r="F413" s="501"/>
      <c r="G413" s="449" t="s">
        <v>1683</v>
      </c>
      <c r="H413" s="450">
        <v>1</v>
      </c>
      <c r="I413" s="450"/>
      <c r="J413" s="449" t="s">
        <v>1718</v>
      </c>
      <c r="L413" s="213">
        <f>(H_H3Op+H_S2m)-(H_HSm+H_H2O)</f>
        <v>51093.080000000016</v>
      </c>
    </row>
    <row r="414" spans="2:12" ht="18" x14ac:dyDescent="0.25">
      <c r="B414" s="500" t="s">
        <v>1719</v>
      </c>
      <c r="C414" s="449" t="s">
        <v>1720</v>
      </c>
      <c r="D414" s="449">
        <v>23093.0800000001</v>
      </c>
      <c r="E414" s="501"/>
      <c r="F414" s="501"/>
      <c r="G414" s="449" t="s">
        <v>1683</v>
      </c>
      <c r="H414" s="450">
        <v>1</v>
      </c>
      <c r="I414" s="450"/>
      <c r="J414" s="449" t="s">
        <v>1721</v>
      </c>
      <c r="L414" s="213">
        <f>(H_HSO4m+H_H3Op)-(H_H2SO4+H_H2O)</f>
        <v>23093.080000000075</v>
      </c>
    </row>
    <row r="415" spans="2:12" ht="18" x14ac:dyDescent="0.25">
      <c r="B415" s="500" t="s">
        <v>1722</v>
      </c>
      <c r="C415" s="449" t="s">
        <v>1723</v>
      </c>
      <c r="D415" s="449">
        <v>-20906.9199999999</v>
      </c>
      <c r="E415" s="501"/>
      <c r="F415" s="501"/>
      <c r="G415" s="449" t="s">
        <v>1683</v>
      </c>
      <c r="H415" s="450">
        <v>1</v>
      </c>
      <c r="I415" s="450"/>
      <c r="J415" s="449" t="s">
        <v>1724</v>
      </c>
      <c r="L415" s="213">
        <f>(H_H3Op+H_SO42m)-(H_HSO4m+H_H2O)</f>
        <v>-20906.919999999925</v>
      </c>
    </row>
    <row r="416" spans="2:12" ht="18" x14ac:dyDescent="0.25">
      <c r="B416" s="500" t="s">
        <v>1725</v>
      </c>
      <c r="C416" s="449" t="s">
        <v>1726</v>
      </c>
      <c r="D416" s="449">
        <v>64110</v>
      </c>
      <c r="E416" s="501"/>
      <c r="F416" s="501"/>
      <c r="G416" s="449" t="s">
        <v>1683</v>
      </c>
      <c r="H416" s="450">
        <v>1</v>
      </c>
      <c r="I416" s="450"/>
      <c r="J416" s="449"/>
    </row>
    <row r="417" spans="2:12" ht="18" x14ac:dyDescent="0.25">
      <c r="B417" s="500" t="s">
        <v>1727</v>
      </c>
      <c r="C417" s="449" t="s">
        <v>1728</v>
      </c>
      <c r="D417" s="449">
        <v>16000</v>
      </c>
      <c r="E417" s="501"/>
      <c r="F417" s="501"/>
      <c r="G417" s="449" t="s">
        <v>1683</v>
      </c>
      <c r="H417" s="450">
        <v>1</v>
      </c>
      <c r="I417" s="450"/>
      <c r="J417" s="449"/>
    </row>
    <row r="418" spans="2:12" ht="18" x14ac:dyDescent="0.25">
      <c r="B418" s="500" t="s">
        <v>1729</v>
      </c>
      <c r="C418" s="449" t="s">
        <v>1730</v>
      </c>
      <c r="D418" s="449">
        <v>5400</v>
      </c>
      <c r="E418" s="501"/>
      <c r="F418" s="501"/>
      <c r="G418" s="449" t="s">
        <v>1683</v>
      </c>
      <c r="H418" s="450">
        <v>1</v>
      </c>
      <c r="I418" s="450"/>
      <c r="J418" s="449"/>
    </row>
    <row r="419" spans="2:12" ht="18" x14ac:dyDescent="0.25">
      <c r="B419" s="500" t="s">
        <v>1731</v>
      </c>
      <c r="C419" s="449" t="s">
        <v>1732</v>
      </c>
      <c r="D419" s="449">
        <v>12970.4</v>
      </c>
      <c r="E419" s="501"/>
      <c r="F419" s="501"/>
      <c r="G419" s="449" t="s">
        <v>1683</v>
      </c>
      <c r="H419" s="450">
        <v>1</v>
      </c>
      <c r="I419" s="450"/>
      <c r="J419" s="449"/>
    </row>
    <row r="420" spans="2:12" ht="18" x14ac:dyDescent="0.25">
      <c r="B420" s="500" t="s">
        <v>1733</v>
      </c>
      <c r="C420" s="449" t="s">
        <v>1734</v>
      </c>
      <c r="D420" s="449">
        <v>-3000</v>
      </c>
      <c r="E420" s="501"/>
      <c r="F420" s="501"/>
      <c r="G420" s="449" t="s">
        <v>1683</v>
      </c>
      <c r="H420" s="450">
        <v>1</v>
      </c>
      <c r="I420" s="450"/>
      <c r="J420" s="449"/>
    </row>
    <row r="421" spans="2:12" ht="18" x14ac:dyDescent="0.25">
      <c r="B421" s="500" t="s">
        <v>1735</v>
      </c>
      <c r="C421" s="449" t="s">
        <v>1736</v>
      </c>
      <c r="D421" s="449">
        <v>-6000</v>
      </c>
      <c r="E421" s="501"/>
      <c r="F421" s="501"/>
      <c r="G421" s="449" t="s">
        <v>1683</v>
      </c>
      <c r="H421" s="450">
        <v>1</v>
      </c>
      <c r="I421" s="450"/>
      <c r="J421" s="449"/>
    </row>
    <row r="422" spans="2:12" ht="18" x14ac:dyDescent="0.25">
      <c r="B422" s="500" t="s">
        <v>1737</v>
      </c>
      <c r="C422" s="449" t="s">
        <v>1738</v>
      </c>
      <c r="D422" s="449">
        <v>67810</v>
      </c>
      <c r="E422" s="501"/>
      <c r="F422" s="501"/>
      <c r="G422" s="449" t="s">
        <v>1683</v>
      </c>
      <c r="H422" s="450">
        <v>1</v>
      </c>
      <c r="I422" s="450"/>
      <c r="J422" s="449"/>
    </row>
    <row r="423" spans="2:12" ht="18" x14ac:dyDescent="0.25">
      <c r="B423" s="500" t="s">
        <v>1739</v>
      </c>
      <c r="C423" s="449" t="s">
        <v>1740</v>
      </c>
      <c r="D423" s="449">
        <v>12000</v>
      </c>
      <c r="E423" s="501"/>
      <c r="F423" s="501"/>
      <c r="G423" s="449" t="s">
        <v>1683</v>
      </c>
      <c r="H423" s="450">
        <v>1</v>
      </c>
      <c r="I423" s="450"/>
      <c r="J423" s="449"/>
    </row>
    <row r="424" spans="2:12" ht="18" x14ac:dyDescent="0.25">
      <c r="B424" s="500" t="s">
        <v>1741</v>
      </c>
      <c r="C424" s="449" t="s">
        <v>1742</v>
      </c>
      <c r="D424" s="449">
        <v>-10600</v>
      </c>
      <c r="E424" s="501"/>
      <c r="F424" s="501"/>
      <c r="G424" s="449" t="s">
        <v>1683</v>
      </c>
      <c r="H424" s="450">
        <v>1</v>
      </c>
      <c r="I424" s="450"/>
      <c r="J424" s="449"/>
    </row>
    <row r="425" spans="2:12" ht="18" x14ac:dyDescent="0.25">
      <c r="B425" s="500" t="s">
        <v>1743</v>
      </c>
      <c r="C425" s="449" t="s">
        <v>1744</v>
      </c>
      <c r="D425" s="449">
        <v>-3000</v>
      </c>
      <c r="E425" s="501"/>
      <c r="F425" s="501"/>
      <c r="G425" s="449" t="s">
        <v>1683</v>
      </c>
      <c r="H425" s="450">
        <v>1</v>
      </c>
      <c r="I425" s="450"/>
      <c r="J425" s="449"/>
    </row>
    <row r="426" spans="2:12" ht="18" x14ac:dyDescent="0.25">
      <c r="B426" s="500" t="s">
        <v>1745</v>
      </c>
      <c r="C426" s="449" t="s">
        <v>1746</v>
      </c>
      <c r="D426" s="449">
        <v>12970.4</v>
      </c>
      <c r="E426" s="501"/>
      <c r="F426" s="501"/>
      <c r="G426" s="449" t="s">
        <v>1683</v>
      </c>
      <c r="H426" s="450">
        <v>1</v>
      </c>
      <c r="I426" s="450"/>
      <c r="J426" s="449"/>
    </row>
    <row r="427" spans="2:12" ht="18" x14ac:dyDescent="0.25">
      <c r="B427" s="500" t="s">
        <v>1747</v>
      </c>
      <c r="C427" s="449" t="s">
        <v>1748</v>
      </c>
      <c r="D427" s="449">
        <v>21256.1</v>
      </c>
      <c r="E427" s="501"/>
      <c r="F427" s="501"/>
      <c r="G427" s="449" t="s">
        <v>1683</v>
      </c>
      <c r="H427" s="450">
        <v>1</v>
      </c>
      <c r="I427" s="450"/>
      <c r="J427" s="449"/>
    </row>
    <row r="428" spans="2:12" ht="18" x14ac:dyDescent="0.25">
      <c r="B428" s="500" t="s">
        <v>1749</v>
      </c>
      <c r="C428" s="449" t="s">
        <v>1750</v>
      </c>
      <c r="D428" s="449">
        <v>0</v>
      </c>
      <c r="E428" s="501"/>
      <c r="F428" s="501"/>
      <c r="G428" s="449" t="s">
        <v>1683</v>
      </c>
      <c r="H428" s="450">
        <v>1</v>
      </c>
      <c r="I428" s="450"/>
      <c r="J428" s="449"/>
    </row>
    <row r="430" spans="2:12" ht="15.75" thickBot="1" x14ac:dyDescent="0.3">
      <c r="C430" s="444" t="s">
        <v>2039</v>
      </c>
    </row>
    <row r="431" spans="2:12" ht="15.75" thickBot="1" x14ac:dyDescent="0.3">
      <c r="B431" s="445" t="s">
        <v>0</v>
      </c>
      <c r="C431" s="446" t="s">
        <v>1</v>
      </c>
      <c r="D431" s="447" t="s">
        <v>149</v>
      </c>
      <c r="E431" s="447" t="s">
        <v>385</v>
      </c>
      <c r="F431" s="447" t="s">
        <v>386</v>
      </c>
      <c r="G431" s="447" t="s">
        <v>2</v>
      </c>
      <c r="H431" s="447" t="s">
        <v>309</v>
      </c>
      <c r="I431" s="447" t="s">
        <v>113</v>
      </c>
      <c r="J431" s="448" t="s">
        <v>114</v>
      </c>
      <c r="L431" s="213" t="s">
        <v>1685</v>
      </c>
    </row>
    <row r="432" spans="2:12" ht="18" x14ac:dyDescent="0.25">
      <c r="B432" s="500" t="s">
        <v>1881</v>
      </c>
      <c r="C432" s="449" t="s">
        <v>1751</v>
      </c>
      <c r="D432" s="449">
        <v>2.5000000000000001E-5</v>
      </c>
      <c r="E432" s="501" t="s">
        <v>1088</v>
      </c>
      <c r="F432" s="501" t="s">
        <v>1089</v>
      </c>
      <c r="G432" s="449" t="s">
        <v>1882</v>
      </c>
      <c r="H432" s="450">
        <v>2</v>
      </c>
      <c r="I432" s="450"/>
      <c r="J432" s="449" t="s">
        <v>1752</v>
      </c>
    </row>
    <row r="433" spans="2:10" ht="18" x14ac:dyDescent="0.25">
      <c r="B433" s="500" t="s">
        <v>1883</v>
      </c>
      <c r="C433" s="449" t="s">
        <v>1751</v>
      </c>
      <c r="D433" s="449">
        <v>2.5000000000000001E-5</v>
      </c>
      <c r="E433" s="501" t="s">
        <v>1088</v>
      </c>
      <c r="F433" s="501" t="s">
        <v>1089</v>
      </c>
      <c r="G433" s="449" t="s">
        <v>1882</v>
      </c>
      <c r="H433" s="450">
        <v>2</v>
      </c>
      <c r="I433" s="450"/>
      <c r="J433" s="449" t="s">
        <v>1752</v>
      </c>
    </row>
    <row r="434" spans="2:10" ht="18" x14ac:dyDescent="0.25">
      <c r="B434" s="500" t="s">
        <v>1884</v>
      </c>
      <c r="C434" s="449" t="s">
        <v>1751</v>
      </c>
      <c r="D434" s="449">
        <v>2.5000000000000001E-5</v>
      </c>
      <c r="E434" s="501" t="s">
        <v>1088</v>
      </c>
      <c r="F434" s="501" t="s">
        <v>1089</v>
      </c>
      <c r="G434" s="449" t="s">
        <v>1882</v>
      </c>
      <c r="H434" s="450">
        <v>2</v>
      </c>
      <c r="I434" s="450"/>
      <c r="J434" s="449" t="s">
        <v>1752</v>
      </c>
    </row>
    <row r="435" spans="2:10" ht="18" x14ac:dyDescent="0.25">
      <c r="B435" s="500" t="s">
        <v>1885</v>
      </c>
      <c r="C435" s="449" t="s">
        <v>1753</v>
      </c>
      <c r="D435" s="449">
        <v>1.24E-5</v>
      </c>
      <c r="E435" s="501" t="s">
        <v>1088</v>
      </c>
      <c r="F435" s="501" t="s">
        <v>1089</v>
      </c>
      <c r="G435" s="449" t="s">
        <v>1882</v>
      </c>
      <c r="H435" s="450">
        <v>2</v>
      </c>
      <c r="I435" s="450"/>
      <c r="J435" s="449" t="s">
        <v>1752</v>
      </c>
    </row>
    <row r="436" spans="2:10" ht="18" x14ac:dyDescent="0.25">
      <c r="B436" s="500" t="s">
        <v>1886</v>
      </c>
      <c r="C436" s="449" t="s">
        <v>1754</v>
      </c>
      <c r="D436" s="449">
        <v>1.24E-5</v>
      </c>
      <c r="E436" s="501" t="s">
        <v>1088</v>
      </c>
      <c r="F436" s="501" t="s">
        <v>1089</v>
      </c>
      <c r="G436" s="449" t="s">
        <v>1882</v>
      </c>
      <c r="H436" s="450">
        <v>2</v>
      </c>
      <c r="I436" s="450"/>
      <c r="J436" s="449" t="s">
        <v>1752</v>
      </c>
    </row>
    <row r="437" spans="2:10" ht="18" x14ac:dyDescent="0.25">
      <c r="B437" s="500" t="s">
        <v>1887</v>
      </c>
      <c r="C437" s="449" t="s">
        <v>1755</v>
      </c>
      <c r="D437" s="449">
        <v>1.24E-5</v>
      </c>
      <c r="E437" s="501" t="s">
        <v>1088</v>
      </c>
      <c r="F437" s="501" t="s">
        <v>1089</v>
      </c>
      <c r="G437" s="449" t="s">
        <v>1882</v>
      </c>
      <c r="H437" s="450">
        <v>2</v>
      </c>
      <c r="I437" s="450"/>
      <c r="J437" s="449" t="s">
        <v>1752</v>
      </c>
    </row>
    <row r="438" spans="2:10" ht="18" x14ac:dyDescent="0.25">
      <c r="B438" s="500" t="s">
        <v>1888</v>
      </c>
      <c r="C438" s="449" t="s">
        <v>1753</v>
      </c>
      <c r="D438" s="449">
        <v>1.24E-5</v>
      </c>
      <c r="E438" s="501" t="s">
        <v>1088</v>
      </c>
      <c r="F438" s="501" t="s">
        <v>1089</v>
      </c>
      <c r="G438" s="449" t="s">
        <v>1882</v>
      </c>
      <c r="H438" s="450">
        <v>2</v>
      </c>
      <c r="I438" s="450"/>
      <c r="J438" s="449" t="s">
        <v>1752</v>
      </c>
    </row>
    <row r="439" spans="2:10" ht="18" x14ac:dyDescent="0.25">
      <c r="B439" s="500" t="s">
        <v>1889</v>
      </c>
      <c r="C439" s="449" t="s">
        <v>1756</v>
      </c>
      <c r="D439" s="449">
        <v>1.24E-5</v>
      </c>
      <c r="E439" s="501" t="s">
        <v>1088</v>
      </c>
      <c r="F439" s="501" t="s">
        <v>1089</v>
      </c>
      <c r="G439" s="449" t="s">
        <v>1882</v>
      </c>
      <c r="H439" s="450">
        <v>2</v>
      </c>
      <c r="I439" s="450"/>
      <c r="J439" s="449" t="s">
        <v>1752</v>
      </c>
    </row>
    <row r="440" spans="2:10" ht="18" x14ac:dyDescent="0.25">
      <c r="B440" s="500" t="s">
        <v>1890</v>
      </c>
      <c r="C440" s="449" t="s">
        <v>1756</v>
      </c>
      <c r="D440" s="449">
        <v>1.24E-5</v>
      </c>
      <c r="E440" s="501" t="s">
        <v>1088</v>
      </c>
      <c r="F440" s="501" t="s">
        <v>1089</v>
      </c>
      <c r="G440" s="449" t="s">
        <v>1882</v>
      </c>
      <c r="H440" s="450">
        <v>2</v>
      </c>
      <c r="I440" s="450"/>
      <c r="J440" s="449" t="s">
        <v>1752</v>
      </c>
    </row>
    <row r="441" spans="2:10" ht="18" x14ac:dyDescent="0.25">
      <c r="B441" s="500" t="s">
        <v>1891</v>
      </c>
      <c r="C441" s="449" t="s">
        <v>1757</v>
      </c>
      <c r="D441" s="449">
        <v>1.24E-5</v>
      </c>
      <c r="E441" s="501" t="s">
        <v>1088</v>
      </c>
      <c r="F441" s="501" t="s">
        <v>1089</v>
      </c>
      <c r="G441" s="449" t="s">
        <v>1882</v>
      </c>
      <c r="H441" s="450">
        <v>2</v>
      </c>
      <c r="I441" s="450"/>
      <c r="J441" s="449" t="s">
        <v>1752</v>
      </c>
    </row>
    <row r="442" spans="2:10" ht="18" x14ac:dyDescent="0.25">
      <c r="B442" s="500" t="s">
        <v>1892</v>
      </c>
      <c r="C442" s="449" t="s">
        <v>1758</v>
      </c>
      <c r="D442" s="449">
        <v>1.0000000000000001E-5</v>
      </c>
      <c r="E442" s="501" t="s">
        <v>1088</v>
      </c>
      <c r="F442" s="501" t="s">
        <v>1089</v>
      </c>
      <c r="G442" s="449" t="s">
        <v>1882</v>
      </c>
      <c r="H442" s="450">
        <v>2</v>
      </c>
      <c r="I442" s="450"/>
      <c r="J442" s="449"/>
    </row>
    <row r="443" spans="2:10" ht="18" x14ac:dyDescent="0.25">
      <c r="B443" s="500" t="s">
        <v>1893</v>
      </c>
      <c r="C443" s="449" t="s">
        <v>1758</v>
      </c>
      <c r="D443" s="449">
        <v>1.0000000000000001E-5</v>
      </c>
      <c r="E443" s="501" t="s">
        <v>1088</v>
      </c>
      <c r="F443" s="501" t="s">
        <v>1089</v>
      </c>
      <c r="G443" s="449" t="s">
        <v>1882</v>
      </c>
      <c r="H443" s="450">
        <v>2</v>
      </c>
      <c r="I443" s="450"/>
      <c r="J443" s="449"/>
    </row>
    <row r="444" spans="2:10" ht="18" x14ac:dyDescent="0.25">
      <c r="B444" s="500" t="s">
        <v>1926</v>
      </c>
      <c r="C444" s="449" t="s">
        <v>1789</v>
      </c>
      <c r="D444" s="449">
        <v>2.5000000000000002E-6</v>
      </c>
      <c r="E444" s="501" t="s">
        <v>1088</v>
      </c>
      <c r="F444" s="501" t="s">
        <v>1089</v>
      </c>
      <c r="G444" s="449" t="s">
        <v>1882</v>
      </c>
      <c r="H444" s="450">
        <v>2</v>
      </c>
      <c r="I444" s="450"/>
      <c r="J444" s="449" t="s">
        <v>1752</v>
      </c>
    </row>
    <row r="445" spans="2:10" ht="18" x14ac:dyDescent="0.25">
      <c r="B445" s="500" t="s">
        <v>1927</v>
      </c>
      <c r="C445" s="449" t="s">
        <v>1790</v>
      </c>
      <c r="D445" s="449">
        <v>2.5000000000000002E-6</v>
      </c>
      <c r="E445" s="501" t="s">
        <v>1088</v>
      </c>
      <c r="F445" s="501" t="s">
        <v>1089</v>
      </c>
      <c r="G445" s="449" t="s">
        <v>1882</v>
      </c>
      <c r="H445" s="450">
        <v>2</v>
      </c>
      <c r="I445" s="450"/>
      <c r="J445" s="449" t="s">
        <v>1752</v>
      </c>
    </row>
    <row r="446" spans="2:10" ht="18" x14ac:dyDescent="0.25">
      <c r="B446" s="500" t="s">
        <v>1894</v>
      </c>
      <c r="C446" s="449" t="s">
        <v>1759</v>
      </c>
      <c r="D446" s="449">
        <v>2.0000000000000002E-5</v>
      </c>
      <c r="E446" s="501" t="s">
        <v>1088</v>
      </c>
      <c r="F446" s="501" t="s">
        <v>1089</v>
      </c>
      <c r="G446" s="449" t="s">
        <v>1882</v>
      </c>
      <c r="H446" s="450">
        <v>2</v>
      </c>
      <c r="I446" s="450"/>
      <c r="J446" s="449" t="s">
        <v>1760</v>
      </c>
    </row>
    <row r="447" spans="2:10" ht="18" x14ac:dyDescent="0.25">
      <c r="B447" s="500" t="s">
        <v>1895</v>
      </c>
      <c r="C447" s="449" t="s">
        <v>1759</v>
      </c>
      <c r="D447" s="449">
        <v>2.0000000000000002E-5</v>
      </c>
      <c r="E447" s="501" t="s">
        <v>1088</v>
      </c>
      <c r="F447" s="501" t="s">
        <v>1089</v>
      </c>
      <c r="G447" s="449" t="s">
        <v>1882</v>
      </c>
      <c r="H447" s="450">
        <v>2</v>
      </c>
      <c r="I447" s="450"/>
      <c r="J447" s="449" t="s">
        <v>1760</v>
      </c>
    </row>
    <row r="448" spans="2:10" ht="18" x14ac:dyDescent="0.25">
      <c r="B448" s="500" t="s">
        <v>1896</v>
      </c>
      <c r="C448" s="449" t="s">
        <v>1759</v>
      </c>
      <c r="D448" s="449">
        <v>2.0000000000000002E-5</v>
      </c>
      <c r="E448" s="501" t="s">
        <v>1088</v>
      </c>
      <c r="F448" s="501" t="s">
        <v>1089</v>
      </c>
      <c r="G448" s="449" t="s">
        <v>1882</v>
      </c>
      <c r="H448" s="450">
        <v>2</v>
      </c>
      <c r="I448" s="450"/>
      <c r="J448" s="449" t="s">
        <v>1760</v>
      </c>
    </row>
    <row r="449" spans="2:10" ht="18" x14ac:dyDescent="0.25">
      <c r="B449" s="500" t="s">
        <v>1897</v>
      </c>
      <c r="C449" s="449" t="s">
        <v>1761</v>
      </c>
      <c r="D449" s="449">
        <v>2.0000000000000002E-5</v>
      </c>
      <c r="E449" s="501" t="s">
        <v>1088</v>
      </c>
      <c r="F449" s="501" t="s">
        <v>1666</v>
      </c>
      <c r="G449" s="449" t="s">
        <v>1882</v>
      </c>
      <c r="H449" s="450">
        <v>2</v>
      </c>
      <c r="I449" s="450"/>
      <c r="J449" s="449" t="s">
        <v>1762</v>
      </c>
    </row>
    <row r="450" spans="2:10" ht="18" x14ac:dyDescent="0.25">
      <c r="B450" s="500" t="s">
        <v>1898</v>
      </c>
      <c r="C450" s="449" t="s">
        <v>1763</v>
      </c>
      <c r="D450" s="449">
        <v>1.0000000000000001E-5</v>
      </c>
      <c r="E450" s="501" t="s">
        <v>1088</v>
      </c>
      <c r="F450" s="501" t="s">
        <v>1666</v>
      </c>
      <c r="G450" s="449" t="s">
        <v>1882</v>
      </c>
      <c r="H450" s="450">
        <v>2</v>
      </c>
      <c r="I450" s="450"/>
      <c r="J450" s="449" t="s">
        <v>1752</v>
      </c>
    </row>
    <row r="451" spans="2:10" ht="18" x14ac:dyDescent="0.25">
      <c r="B451" s="500" t="s">
        <v>1899</v>
      </c>
      <c r="C451" s="449" t="s">
        <v>1764</v>
      </c>
      <c r="D451" s="449">
        <v>1.24E-5</v>
      </c>
      <c r="E451" s="501" t="s">
        <v>1088</v>
      </c>
      <c r="F451" s="501" t="s">
        <v>1666</v>
      </c>
      <c r="G451" s="449" t="s">
        <v>1882</v>
      </c>
      <c r="H451" s="450">
        <v>2</v>
      </c>
      <c r="I451" s="450"/>
      <c r="J451" s="449" t="s">
        <v>1752</v>
      </c>
    </row>
    <row r="452" spans="2:10" ht="18" x14ac:dyDescent="0.25">
      <c r="B452" s="500" t="s">
        <v>1900</v>
      </c>
      <c r="C452" s="449" t="s">
        <v>1765</v>
      </c>
      <c r="D452" s="449">
        <v>1.9000000000000001E-5</v>
      </c>
      <c r="E452" s="501" t="s">
        <v>1088</v>
      </c>
      <c r="F452" s="501" t="s">
        <v>1666</v>
      </c>
      <c r="G452" s="449" t="s">
        <v>1882</v>
      </c>
      <c r="H452" s="450">
        <v>2</v>
      </c>
      <c r="I452" s="450"/>
      <c r="J452" s="449" t="s">
        <v>1766</v>
      </c>
    </row>
    <row r="453" spans="2:10" ht="18" x14ac:dyDescent="0.25">
      <c r="B453" s="500" t="s">
        <v>1901</v>
      </c>
      <c r="C453" s="449" t="s">
        <v>1767</v>
      </c>
      <c r="D453" s="449">
        <v>1.24E-5</v>
      </c>
      <c r="E453" s="501" t="s">
        <v>1088</v>
      </c>
      <c r="F453" s="501" t="s">
        <v>1666</v>
      </c>
      <c r="G453" s="449" t="s">
        <v>1882</v>
      </c>
      <c r="H453" s="450">
        <v>2</v>
      </c>
      <c r="I453" s="450"/>
      <c r="J453" s="449" t="s">
        <v>1768</v>
      </c>
    </row>
    <row r="454" spans="2:10" ht="18" x14ac:dyDescent="0.25">
      <c r="B454" s="500" t="s">
        <v>1902</v>
      </c>
      <c r="C454" s="449" t="s">
        <v>1769</v>
      </c>
      <c r="D454" s="449">
        <v>1.24E-5</v>
      </c>
      <c r="E454" s="501" t="s">
        <v>1088</v>
      </c>
      <c r="F454" s="501" t="s">
        <v>1666</v>
      </c>
      <c r="G454" s="449" t="s">
        <v>1882</v>
      </c>
      <c r="H454" s="450">
        <v>2</v>
      </c>
      <c r="I454" s="450"/>
      <c r="J454" s="449" t="s">
        <v>1768</v>
      </c>
    </row>
    <row r="455" spans="2:10" ht="18" x14ac:dyDescent="0.25">
      <c r="B455" s="500" t="s">
        <v>1903</v>
      </c>
      <c r="C455" s="449" t="s">
        <v>1758</v>
      </c>
      <c r="D455" s="449">
        <v>1.0000000000000001E-5</v>
      </c>
      <c r="E455" s="501" t="s">
        <v>1088</v>
      </c>
      <c r="F455" s="501" t="s">
        <v>1666</v>
      </c>
      <c r="G455" s="449" t="s">
        <v>1882</v>
      </c>
      <c r="H455" s="450">
        <v>2</v>
      </c>
      <c r="I455" s="450"/>
      <c r="J455" s="449" t="s">
        <v>1752</v>
      </c>
    </row>
    <row r="456" spans="2:10" ht="18" x14ac:dyDescent="0.25">
      <c r="B456" s="500" t="s">
        <v>1904</v>
      </c>
      <c r="C456" s="449" t="s">
        <v>1763</v>
      </c>
      <c r="D456" s="449">
        <v>1.0000000000000001E-5</v>
      </c>
      <c r="E456" s="501" t="s">
        <v>1088</v>
      </c>
      <c r="F456" s="501" t="s">
        <v>1089</v>
      </c>
      <c r="G456" s="449" t="s">
        <v>1882</v>
      </c>
      <c r="H456" s="450">
        <v>2</v>
      </c>
      <c r="I456" s="450"/>
      <c r="J456" s="449"/>
    </row>
    <row r="457" spans="2:10" ht="18" x14ac:dyDescent="0.25">
      <c r="B457" s="500" t="s">
        <v>1905</v>
      </c>
      <c r="C457" s="449" t="s">
        <v>1770</v>
      </c>
      <c r="D457" s="449">
        <v>1.0000000000000001E-5</v>
      </c>
      <c r="E457" s="501" t="s">
        <v>1088</v>
      </c>
      <c r="F457" s="501" t="s">
        <v>1666</v>
      </c>
      <c r="G457" s="449" t="s">
        <v>1882</v>
      </c>
      <c r="H457" s="450">
        <v>2</v>
      </c>
      <c r="I457" s="450"/>
      <c r="J457" s="449"/>
    </row>
    <row r="458" spans="2:10" ht="18" x14ac:dyDescent="0.25">
      <c r="B458" s="500" t="s">
        <v>1906</v>
      </c>
      <c r="C458" s="449" t="s">
        <v>1771</v>
      </c>
      <c r="D458" s="449">
        <v>1.0000000000000001E-5</v>
      </c>
      <c r="E458" s="501" t="s">
        <v>1088</v>
      </c>
      <c r="F458" s="501" t="s">
        <v>1666</v>
      </c>
      <c r="G458" s="449" t="s">
        <v>1882</v>
      </c>
      <c r="H458" s="450">
        <v>2</v>
      </c>
      <c r="I458" s="450"/>
      <c r="J458" s="449"/>
    </row>
    <row r="459" spans="2:10" ht="18" x14ac:dyDescent="0.25">
      <c r="B459" s="500" t="s">
        <v>1907</v>
      </c>
      <c r="C459" s="449" t="s">
        <v>1772</v>
      </c>
      <c r="D459" s="449">
        <v>1.24E-5</v>
      </c>
      <c r="E459" s="501" t="s">
        <v>1088</v>
      </c>
      <c r="F459" s="501" t="s">
        <v>1089</v>
      </c>
      <c r="G459" s="449" t="s">
        <v>1882</v>
      </c>
      <c r="H459" s="450">
        <v>2</v>
      </c>
      <c r="I459" s="450"/>
      <c r="J459" s="449" t="s">
        <v>1768</v>
      </c>
    </row>
    <row r="460" spans="2:10" ht="18" x14ac:dyDescent="0.25">
      <c r="B460" s="500" t="s">
        <v>1908</v>
      </c>
      <c r="C460" s="449" t="s">
        <v>1772</v>
      </c>
      <c r="D460" s="449">
        <v>1.24E-5</v>
      </c>
      <c r="E460" s="501" t="s">
        <v>1088</v>
      </c>
      <c r="F460" s="501" t="s">
        <v>1089</v>
      </c>
      <c r="G460" s="449" t="s">
        <v>1882</v>
      </c>
      <c r="H460" s="450">
        <v>2</v>
      </c>
      <c r="I460" s="450"/>
      <c r="J460" s="449" t="s">
        <v>1768</v>
      </c>
    </row>
    <row r="461" spans="2:10" ht="18" x14ac:dyDescent="0.25">
      <c r="B461" s="500" t="s">
        <v>1909</v>
      </c>
      <c r="C461" s="449" t="s">
        <v>1764</v>
      </c>
      <c r="D461" s="449">
        <v>1.24E-5</v>
      </c>
      <c r="E461" s="501" t="s">
        <v>1088</v>
      </c>
      <c r="F461" s="501" t="s">
        <v>1089</v>
      </c>
      <c r="G461" s="449" t="s">
        <v>1882</v>
      </c>
      <c r="H461" s="450">
        <v>2</v>
      </c>
      <c r="I461" s="450"/>
      <c r="J461" s="449" t="s">
        <v>1752</v>
      </c>
    </row>
    <row r="462" spans="2:10" ht="18" x14ac:dyDescent="0.25">
      <c r="B462" s="500" t="s">
        <v>1910</v>
      </c>
      <c r="C462" s="449" t="s">
        <v>1764</v>
      </c>
      <c r="D462" s="449">
        <v>1.24E-5</v>
      </c>
      <c r="E462" s="501" t="s">
        <v>1088</v>
      </c>
      <c r="F462" s="501" t="s">
        <v>1089</v>
      </c>
      <c r="G462" s="449" t="s">
        <v>1882</v>
      </c>
      <c r="H462" s="450">
        <v>2</v>
      </c>
      <c r="I462" s="450"/>
      <c r="J462" s="449" t="s">
        <v>1752</v>
      </c>
    </row>
    <row r="463" spans="2:10" ht="18" x14ac:dyDescent="0.25">
      <c r="B463" s="500" t="s">
        <v>1911</v>
      </c>
      <c r="C463" s="449" t="s">
        <v>1773</v>
      </c>
      <c r="D463" s="449">
        <v>1.24E-5</v>
      </c>
      <c r="E463" s="501" t="s">
        <v>1088</v>
      </c>
      <c r="F463" s="501" t="s">
        <v>1089</v>
      </c>
      <c r="G463" s="449" t="s">
        <v>1882</v>
      </c>
      <c r="H463" s="450">
        <v>2</v>
      </c>
      <c r="I463" s="450"/>
      <c r="J463" s="449" t="s">
        <v>1768</v>
      </c>
    </row>
    <row r="464" spans="2:10" ht="18" x14ac:dyDescent="0.25">
      <c r="B464" s="500" t="s">
        <v>1912</v>
      </c>
      <c r="C464" s="449" t="s">
        <v>1774</v>
      </c>
      <c r="D464" s="449">
        <v>2.5000000000000001E-5</v>
      </c>
      <c r="E464" s="501" t="s">
        <v>1088</v>
      </c>
      <c r="F464" s="501" t="s">
        <v>1089</v>
      </c>
      <c r="G464" s="449" t="s">
        <v>1882</v>
      </c>
      <c r="H464" s="450">
        <v>2</v>
      </c>
      <c r="I464" s="450"/>
      <c r="J464" s="449" t="s">
        <v>1775</v>
      </c>
    </row>
    <row r="465" spans="2:10" ht="18" x14ac:dyDescent="0.25">
      <c r="B465" s="500" t="s">
        <v>1913</v>
      </c>
      <c r="C465" s="449" t="s">
        <v>1776</v>
      </c>
      <c r="D465" s="449">
        <v>2.5000000000000001E-5</v>
      </c>
      <c r="E465" s="501" t="s">
        <v>1088</v>
      </c>
      <c r="F465" s="501" t="s">
        <v>1089</v>
      </c>
      <c r="G465" s="449" t="s">
        <v>1882</v>
      </c>
      <c r="H465" s="450">
        <v>2</v>
      </c>
      <c r="I465" s="450"/>
      <c r="J465" s="449" t="s">
        <v>1752</v>
      </c>
    </row>
    <row r="466" spans="2:10" ht="18" x14ac:dyDescent="0.25">
      <c r="B466" s="500" t="s">
        <v>1914</v>
      </c>
      <c r="C466" s="449" t="s">
        <v>1777</v>
      </c>
      <c r="D466" s="449">
        <v>2.5000000000000001E-5</v>
      </c>
      <c r="E466" s="501" t="s">
        <v>1088</v>
      </c>
      <c r="F466" s="501" t="s">
        <v>1089</v>
      </c>
      <c r="G466" s="449" t="s">
        <v>1882</v>
      </c>
      <c r="H466" s="450">
        <v>2</v>
      </c>
      <c r="I466" s="450"/>
      <c r="J466" s="449" t="s">
        <v>1752</v>
      </c>
    </row>
    <row r="467" spans="2:10" ht="18" x14ac:dyDescent="0.25">
      <c r="B467" s="500" t="s">
        <v>1915</v>
      </c>
      <c r="C467" s="449" t="s">
        <v>1778</v>
      </c>
      <c r="D467" s="449">
        <v>1.0000000000000001E-5</v>
      </c>
      <c r="E467" s="501" t="s">
        <v>1088</v>
      </c>
      <c r="F467" s="501" t="s">
        <v>1089</v>
      </c>
      <c r="G467" s="449" t="s">
        <v>1882</v>
      </c>
      <c r="H467" s="450">
        <v>2</v>
      </c>
      <c r="I467" s="450"/>
      <c r="J467" s="449" t="s">
        <v>1752</v>
      </c>
    </row>
    <row r="468" spans="2:10" ht="18" x14ac:dyDescent="0.25">
      <c r="B468" s="500" t="s">
        <v>1916</v>
      </c>
      <c r="C468" s="449" t="s">
        <v>1779</v>
      </c>
      <c r="D468" s="449">
        <v>1.9000000000000001E-5</v>
      </c>
      <c r="E468" s="501" t="s">
        <v>1088</v>
      </c>
      <c r="F468" s="501" t="s">
        <v>1089</v>
      </c>
      <c r="G468" s="449" t="s">
        <v>1882</v>
      </c>
      <c r="H468" s="450">
        <v>2</v>
      </c>
      <c r="I468" s="450"/>
      <c r="J468" s="449" t="s">
        <v>1752</v>
      </c>
    </row>
    <row r="469" spans="2:10" ht="18" x14ac:dyDescent="0.25">
      <c r="B469" s="500" t="s">
        <v>1917</v>
      </c>
      <c r="C469" s="449" t="s">
        <v>1780</v>
      </c>
      <c r="D469" s="449">
        <v>1.9000000000000001E-5</v>
      </c>
      <c r="E469" s="501" t="s">
        <v>1088</v>
      </c>
      <c r="F469" s="501" t="s">
        <v>1089</v>
      </c>
      <c r="G469" s="449" t="s">
        <v>1882</v>
      </c>
      <c r="H469" s="450">
        <v>2</v>
      </c>
      <c r="I469" s="450"/>
      <c r="J469" s="449" t="s">
        <v>1752</v>
      </c>
    </row>
    <row r="470" spans="2:10" ht="18" x14ac:dyDescent="0.25">
      <c r="B470" s="500" t="s">
        <v>1918</v>
      </c>
      <c r="C470" s="449" t="s">
        <v>1781</v>
      </c>
      <c r="D470" s="449">
        <v>1.9000000000000001E-5</v>
      </c>
      <c r="E470" s="501" t="s">
        <v>1088</v>
      </c>
      <c r="F470" s="501" t="s">
        <v>1089</v>
      </c>
      <c r="G470" s="449" t="s">
        <v>1882</v>
      </c>
      <c r="H470" s="450">
        <v>2</v>
      </c>
      <c r="I470" s="450"/>
      <c r="J470" s="449" t="s">
        <v>1752</v>
      </c>
    </row>
    <row r="471" spans="2:10" ht="18" x14ac:dyDescent="0.25">
      <c r="B471" s="500" t="s">
        <v>1919</v>
      </c>
      <c r="C471" s="449" t="s">
        <v>1782</v>
      </c>
      <c r="D471" s="449">
        <v>1.9000000000000001E-5</v>
      </c>
      <c r="E471" s="501" t="s">
        <v>1088</v>
      </c>
      <c r="F471" s="501" t="s">
        <v>1089</v>
      </c>
      <c r="G471" s="449" t="s">
        <v>1882</v>
      </c>
      <c r="H471" s="450">
        <v>2</v>
      </c>
      <c r="I471" s="450"/>
      <c r="J471" s="449" t="s">
        <v>1752</v>
      </c>
    </row>
    <row r="472" spans="2:10" ht="18" x14ac:dyDescent="0.25">
      <c r="B472" s="500" t="s">
        <v>1920</v>
      </c>
      <c r="C472" s="449" t="s">
        <v>1783</v>
      </c>
      <c r="D472" s="449">
        <v>1.9000000000000001E-5</v>
      </c>
      <c r="E472" s="501" t="s">
        <v>1088</v>
      </c>
      <c r="F472" s="501" t="s">
        <v>1089</v>
      </c>
      <c r="G472" s="449" t="s">
        <v>1882</v>
      </c>
      <c r="H472" s="450">
        <v>2</v>
      </c>
      <c r="I472" s="450"/>
      <c r="J472" s="449" t="s">
        <v>1752</v>
      </c>
    </row>
    <row r="473" spans="2:10" ht="18" x14ac:dyDescent="0.25">
      <c r="B473" s="500" t="s">
        <v>1921</v>
      </c>
      <c r="C473" s="449" t="s">
        <v>1784</v>
      </c>
      <c r="D473" s="449">
        <v>1.9000000000000001E-5</v>
      </c>
      <c r="E473" s="501" t="s">
        <v>1088</v>
      </c>
      <c r="F473" s="501" t="s">
        <v>1089</v>
      </c>
      <c r="G473" s="449" t="s">
        <v>1882</v>
      </c>
      <c r="H473" s="450">
        <v>2</v>
      </c>
      <c r="I473" s="450"/>
      <c r="J473" s="449" t="s">
        <v>1752</v>
      </c>
    </row>
    <row r="474" spans="2:10" ht="18" x14ac:dyDescent="0.25">
      <c r="B474" s="500" t="s">
        <v>1922</v>
      </c>
      <c r="C474" s="449" t="s">
        <v>1785</v>
      </c>
      <c r="D474" s="449">
        <v>1.9000000000000001E-5</v>
      </c>
      <c r="E474" s="501" t="s">
        <v>1088</v>
      </c>
      <c r="F474" s="501" t="s">
        <v>1089</v>
      </c>
      <c r="G474" s="449" t="s">
        <v>1882</v>
      </c>
      <c r="H474" s="450">
        <v>2</v>
      </c>
      <c r="I474" s="450"/>
      <c r="J474" s="449" t="s">
        <v>1752</v>
      </c>
    </row>
    <row r="475" spans="2:10" ht="18" x14ac:dyDescent="0.25">
      <c r="B475" s="500" t="s">
        <v>1923</v>
      </c>
      <c r="C475" s="449" t="s">
        <v>1786</v>
      </c>
      <c r="D475" s="449">
        <v>1.9000000000000001E-5</v>
      </c>
      <c r="E475" s="501" t="s">
        <v>1088</v>
      </c>
      <c r="F475" s="501" t="s">
        <v>1089</v>
      </c>
      <c r="G475" s="449" t="s">
        <v>1882</v>
      </c>
      <c r="H475" s="450">
        <v>2</v>
      </c>
      <c r="I475" s="450"/>
      <c r="J475" s="449" t="s">
        <v>1752</v>
      </c>
    </row>
    <row r="476" spans="2:10" ht="18" x14ac:dyDescent="0.25">
      <c r="B476" s="500" t="s">
        <v>1924</v>
      </c>
      <c r="C476" s="449" t="s">
        <v>1787</v>
      </c>
      <c r="D476" s="449">
        <v>1.0000000000000001E-5</v>
      </c>
      <c r="E476" s="501" t="s">
        <v>1088</v>
      </c>
      <c r="F476" s="501" t="s">
        <v>1666</v>
      </c>
      <c r="G476" s="449" t="s">
        <v>1882</v>
      </c>
      <c r="H476" s="450"/>
      <c r="I476" s="450"/>
      <c r="J476" s="449"/>
    </row>
    <row r="477" spans="2:10" ht="18" x14ac:dyDescent="0.25">
      <c r="B477" s="500" t="s">
        <v>1925</v>
      </c>
      <c r="C477" s="449" t="s">
        <v>1788</v>
      </c>
      <c r="D477" s="449">
        <v>1.9000000000000001E-5</v>
      </c>
      <c r="E477" s="501" t="s">
        <v>1088</v>
      </c>
      <c r="F477" s="501" t="s">
        <v>1666</v>
      </c>
      <c r="G477" s="449" t="s">
        <v>1882</v>
      </c>
      <c r="H477" s="450">
        <v>2</v>
      </c>
      <c r="I477" s="450"/>
      <c r="J477" s="449" t="s">
        <v>1752</v>
      </c>
    </row>
  </sheetData>
  <conditionalFormatting sqref="E56:F56 E432:F477 E43:F43">
    <cfRule type="cellIs" dxfId="30" priority="20" stopIfTrue="1" operator="notEqual">
      <formula>INDIRECT("Dummy_for_Comparison3!"&amp;ADDRESS(ROW(),COLUMN()))</formula>
    </cfRule>
  </conditionalFormatting>
  <conditionalFormatting sqref="E4:F6 E11:F27 E32:F39 E48:F52 E57:F62 E67:F76 E85:F201 E206:F214 E219:F270 E275:F282 E287:F299 E304:F309 E314:F326 E331:F335 E348:F360 E371:F395 E404:F428 E362:F366">
    <cfRule type="cellIs" dxfId="29" priority="24" stopIfTrue="1" operator="notEqual">
      <formula>INDIRECT("Dummy_for_Comparison3!"&amp;ADDRESS(ROW(),COLUMN()))</formula>
    </cfRule>
  </conditionalFormatting>
  <conditionalFormatting sqref="E10:F10">
    <cfRule type="cellIs" dxfId="28" priority="23" stopIfTrue="1" operator="notEqual">
      <formula>INDIRECT("Dummy_for_Comparison3!"&amp;ADDRESS(ROW(),COLUMN()))</formula>
    </cfRule>
  </conditionalFormatting>
  <conditionalFormatting sqref="E31:F31">
    <cfRule type="cellIs" dxfId="27" priority="22" stopIfTrue="1" operator="notEqual">
      <formula>INDIRECT("Dummy_for_Comparison3!"&amp;ADDRESS(ROW(),COLUMN()))</formula>
    </cfRule>
  </conditionalFormatting>
  <conditionalFormatting sqref="E47:F47">
    <cfRule type="cellIs" dxfId="26" priority="21" stopIfTrue="1" operator="notEqual">
      <formula>INDIRECT("Dummy_for_Comparison3!"&amp;ADDRESS(ROW(),COLUMN()))</formula>
    </cfRule>
  </conditionalFormatting>
  <conditionalFormatting sqref="E80:F80">
    <cfRule type="cellIs" dxfId="25" priority="17" stopIfTrue="1" operator="notEqual">
      <formula>INDIRECT("Dummy_for_Comparison3!"&amp;ADDRESS(ROW(),COLUMN()))</formula>
    </cfRule>
  </conditionalFormatting>
  <conditionalFormatting sqref="E66:F66">
    <cfRule type="cellIs" dxfId="24" priority="18" stopIfTrue="1" operator="notEqual">
      <formula>INDIRECT("Dummy_for_Comparison3!"&amp;ADDRESS(ROW(),COLUMN()))</formula>
    </cfRule>
  </conditionalFormatting>
  <conditionalFormatting sqref="E84:F84">
    <cfRule type="cellIs" dxfId="23" priority="16" stopIfTrue="1" operator="notEqual">
      <formula>INDIRECT("Dummy_for_Comparison3!"&amp;ADDRESS(ROW(),COLUMN()))</formula>
    </cfRule>
  </conditionalFormatting>
  <conditionalFormatting sqref="E205:F205">
    <cfRule type="cellIs" dxfId="22" priority="15" stopIfTrue="1" operator="notEqual">
      <formula>INDIRECT("Dummy_for_Comparison3!"&amp;ADDRESS(ROW(),COLUMN()))</formula>
    </cfRule>
  </conditionalFormatting>
  <conditionalFormatting sqref="E218:F218">
    <cfRule type="cellIs" dxfId="21" priority="14" stopIfTrue="1" operator="notEqual">
      <formula>INDIRECT("Dummy_for_Comparison3!"&amp;ADDRESS(ROW(),COLUMN()))</formula>
    </cfRule>
  </conditionalFormatting>
  <conditionalFormatting sqref="E274:F274">
    <cfRule type="cellIs" dxfId="20" priority="13" stopIfTrue="1" operator="notEqual">
      <formula>INDIRECT("Dummy_for_Comparison3!"&amp;ADDRESS(ROW(),COLUMN()))</formula>
    </cfRule>
  </conditionalFormatting>
  <conditionalFormatting sqref="E286:F286">
    <cfRule type="cellIs" dxfId="19" priority="12" stopIfTrue="1" operator="notEqual">
      <formula>INDIRECT("Dummy_for_Comparison3!"&amp;ADDRESS(ROW(),COLUMN()))</formula>
    </cfRule>
  </conditionalFormatting>
  <conditionalFormatting sqref="E303:F303">
    <cfRule type="cellIs" dxfId="18" priority="11" stopIfTrue="1" operator="notEqual">
      <formula>INDIRECT("Dummy_for_Comparison3!"&amp;ADDRESS(ROW(),COLUMN()))</formula>
    </cfRule>
  </conditionalFormatting>
  <conditionalFormatting sqref="E313:F313">
    <cfRule type="cellIs" dxfId="17" priority="10" stopIfTrue="1" operator="notEqual">
      <formula>INDIRECT("Dummy_for_Comparison3!"&amp;ADDRESS(ROW(),COLUMN()))</formula>
    </cfRule>
  </conditionalFormatting>
  <conditionalFormatting sqref="E330:F330">
    <cfRule type="cellIs" dxfId="16" priority="9" stopIfTrue="1" operator="notEqual">
      <formula>INDIRECT("Dummy_for_Comparison3!"&amp;ADDRESS(ROW(),COLUMN()))</formula>
    </cfRule>
  </conditionalFormatting>
  <conditionalFormatting sqref="E339:F339">
    <cfRule type="cellIs" dxfId="15" priority="8" stopIfTrue="1" operator="notEqual">
      <formula>INDIRECT("Dummy_for_Comparison3!"&amp;ADDRESS(ROW(),COLUMN()))</formula>
    </cfRule>
  </conditionalFormatting>
  <conditionalFormatting sqref="E343:F343">
    <cfRule type="cellIs" dxfId="14" priority="7" stopIfTrue="1" operator="notEqual">
      <formula>INDIRECT("Dummy_for_Comparison3!"&amp;ADDRESS(ROW(),COLUMN()))</formula>
    </cfRule>
  </conditionalFormatting>
  <conditionalFormatting sqref="E347:F347">
    <cfRule type="cellIs" dxfId="13" priority="6" stopIfTrue="1" operator="notEqual">
      <formula>INDIRECT("Dummy_for_Comparison3!"&amp;ADDRESS(ROW(),COLUMN()))</formula>
    </cfRule>
  </conditionalFormatting>
  <conditionalFormatting sqref="E370:F370">
    <cfRule type="cellIs" dxfId="12" priority="5" stopIfTrue="1" operator="notEqual">
      <formula>INDIRECT("Dummy_for_Comparison3!"&amp;ADDRESS(ROW(),COLUMN()))</formula>
    </cfRule>
  </conditionalFormatting>
  <conditionalFormatting sqref="E399:F399">
    <cfRule type="cellIs" dxfId="11" priority="4" stopIfTrue="1" operator="notEqual">
      <formula>INDIRECT("Dummy_for_Comparison3!"&amp;ADDRESS(ROW(),COLUMN()))</formula>
    </cfRule>
  </conditionalFormatting>
  <conditionalFormatting sqref="E403:F403">
    <cfRule type="cellIs" dxfId="10" priority="3" stopIfTrue="1" operator="notEqual">
      <formula>INDIRECT("Dummy_for_Comparison3!"&amp;ADDRESS(ROW(),COLUMN()))</formula>
    </cfRule>
  </conditionalFormatting>
  <hyperlinks>
    <hyperlink ref="J10" r:id="rId1" xr:uid="{00000000-0004-0000-0B00-000000000000}"/>
    <hyperlink ref="J24" r:id="rId2" xr:uid="{00000000-0004-0000-0B00-000001000000}"/>
    <hyperlink ref="J25" r:id="rId3" xr:uid="{00000000-0004-0000-0B00-000002000000}"/>
    <hyperlink ref="J26" r:id="rId4" xr:uid="{00000000-0004-0000-0B00-000003000000}"/>
    <hyperlink ref="J27" r:id="rId5" xr:uid="{00000000-0004-0000-0B00-000004000000}"/>
    <hyperlink ref="J20" r:id="rId6" xr:uid="{00000000-0004-0000-0B00-000005000000}"/>
    <hyperlink ref="J21" r:id="rId7" xr:uid="{00000000-0004-0000-0B00-000006000000}"/>
    <hyperlink ref="J22" r:id="rId8" xr:uid="{00000000-0004-0000-0B00-000007000000}"/>
    <hyperlink ref="J23" r:id="rId9" xr:uid="{00000000-0004-0000-0B00-000008000000}"/>
    <hyperlink ref="J393" r:id="rId10" xr:uid="{00000000-0004-0000-0B00-000009000000}"/>
    <hyperlink ref="J13" r:id="rId11" xr:uid="{00000000-0004-0000-0B00-00000A000000}"/>
  </hyperlinks>
  <pageMargins left="0.7" right="0.7"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84"/>
  <sheetViews>
    <sheetView workbookViewId="0">
      <selection activeCell="B3" sqref="B3:D84"/>
    </sheetView>
  </sheetViews>
  <sheetFormatPr baseColWidth="10" defaultColWidth="9.140625" defaultRowHeight="15" x14ac:dyDescent="0.25"/>
  <cols>
    <col min="2" max="2" width="19.28515625" bestFit="1" customWidth="1"/>
    <col min="3" max="3" width="62.140625" bestFit="1" customWidth="1"/>
    <col min="6" max="6" width="17.85546875" customWidth="1"/>
    <col min="9" max="9" width="12.85546875" bestFit="1" customWidth="1"/>
  </cols>
  <sheetData>
    <row r="1" spans="2:11" ht="15.75" thickBot="1" x14ac:dyDescent="0.3">
      <c r="B1" s="4"/>
      <c r="C1" s="4"/>
      <c r="D1" s="3"/>
      <c r="E1" s="3"/>
      <c r="F1" s="3"/>
      <c r="G1" s="3"/>
      <c r="H1" s="3"/>
      <c r="I1" s="3"/>
    </row>
    <row r="2" spans="2:11" s="872" customFormat="1" ht="15.75" thickBot="1" x14ac:dyDescent="0.3">
      <c r="B2" s="121"/>
      <c r="C2" s="837" t="s">
        <v>2643</v>
      </c>
      <c r="D2" s="121"/>
      <c r="E2" s="121"/>
      <c r="F2" s="121"/>
      <c r="G2" s="121"/>
      <c r="H2" s="121"/>
      <c r="I2" s="121"/>
      <c r="J2" s="145"/>
    </row>
    <row r="3" spans="2:11" s="872" customFormat="1" ht="45.75" thickBot="1" x14ac:dyDescent="0.3">
      <c r="B3" s="873" t="s">
        <v>0</v>
      </c>
      <c r="C3" s="874" t="s">
        <v>1</v>
      </c>
      <c r="D3" s="874" t="s">
        <v>149</v>
      </c>
      <c r="E3" s="874" t="s">
        <v>385</v>
      </c>
      <c r="F3" s="874" t="s">
        <v>386</v>
      </c>
      <c r="G3" s="874" t="s">
        <v>2</v>
      </c>
      <c r="H3" s="874" t="s">
        <v>309</v>
      </c>
      <c r="I3" s="874" t="s">
        <v>113</v>
      </c>
      <c r="J3" s="875" t="s">
        <v>114</v>
      </c>
    </row>
    <row r="4" spans="2:11" s="872" customFormat="1" ht="18.75" thickBot="1" x14ac:dyDescent="0.3">
      <c r="B4" s="558" t="s">
        <v>2644</v>
      </c>
      <c r="C4" s="201" t="s">
        <v>2645</v>
      </c>
      <c r="D4" s="202">
        <v>1.0000000000000001E-30</v>
      </c>
      <c r="E4" s="202">
        <v>0</v>
      </c>
      <c r="F4" s="202">
        <v>1</v>
      </c>
      <c r="G4" s="204"/>
      <c r="H4" s="204"/>
      <c r="I4" s="202"/>
      <c r="J4" s="255"/>
      <c r="K4" s="872" t="s">
        <v>248</v>
      </c>
    </row>
    <row r="5" spans="2:11" ht="15.75" thickBot="1" x14ac:dyDescent="0.3"/>
    <row r="6" spans="2:11" s="145" customFormat="1" ht="15.75" thickBot="1" x14ac:dyDescent="0.3">
      <c r="B6" s="121"/>
      <c r="C6" s="392" t="s">
        <v>1072</v>
      </c>
      <c r="D6" s="121" t="s">
        <v>310</v>
      </c>
      <c r="E6" s="121"/>
      <c r="F6" s="121"/>
      <c r="G6" s="121"/>
      <c r="H6" s="121"/>
      <c r="I6" s="121"/>
    </row>
    <row r="7" spans="2:11" s="145" customFormat="1" ht="45.75" thickBot="1" x14ac:dyDescent="0.3">
      <c r="B7" s="556" t="s">
        <v>0</v>
      </c>
      <c r="C7" s="452" t="s">
        <v>1</v>
      </c>
      <c r="D7" s="452" t="s">
        <v>775</v>
      </c>
      <c r="E7" s="452" t="s">
        <v>385</v>
      </c>
      <c r="F7" s="452" t="s">
        <v>386</v>
      </c>
      <c r="G7" s="452" t="s">
        <v>2</v>
      </c>
      <c r="H7" s="452" t="s">
        <v>309</v>
      </c>
      <c r="I7" s="452" t="s">
        <v>113</v>
      </c>
      <c r="J7" s="557" t="s">
        <v>114</v>
      </c>
    </row>
    <row r="8" spans="2:11" s="145" customFormat="1" ht="18.75" thickBot="1" x14ac:dyDescent="0.3">
      <c r="B8" s="558" t="s">
        <v>2057</v>
      </c>
      <c r="C8" s="201" t="s">
        <v>1521</v>
      </c>
      <c r="D8" s="202">
        <v>0.1</v>
      </c>
      <c r="E8" s="202">
        <v>0</v>
      </c>
      <c r="F8" s="202">
        <v>1</v>
      </c>
      <c r="G8" s="204" t="s">
        <v>1229</v>
      </c>
      <c r="H8" s="204">
        <v>2</v>
      </c>
      <c r="I8" s="202"/>
      <c r="J8" s="255"/>
    </row>
    <row r="9" spans="2:11" ht="15.75" thickBot="1" x14ac:dyDescent="0.3"/>
    <row r="10" spans="2:11" ht="15.75" thickBot="1" x14ac:dyDescent="0.3">
      <c r="B10" s="120"/>
      <c r="C10" s="503" t="s">
        <v>1928</v>
      </c>
      <c r="D10" s="120"/>
      <c r="E10" s="120"/>
      <c r="F10" s="120"/>
      <c r="G10" s="120"/>
      <c r="H10" s="120"/>
      <c r="I10" s="120"/>
    </row>
    <row r="11" spans="2:11" ht="15.75" thickBot="1" x14ac:dyDescent="0.3">
      <c r="B11" s="504" t="s">
        <v>0</v>
      </c>
      <c r="C11" s="505" t="s">
        <v>1</v>
      </c>
      <c r="D11" s="505" t="s">
        <v>149</v>
      </c>
      <c r="E11" s="506" t="s">
        <v>385</v>
      </c>
      <c r="F11" s="506" t="s">
        <v>386</v>
      </c>
      <c r="G11" s="505" t="s">
        <v>2</v>
      </c>
      <c r="H11" s="505" t="s">
        <v>309</v>
      </c>
      <c r="I11" s="507" t="s">
        <v>113</v>
      </c>
    </row>
    <row r="12" spans="2:11" ht="18" x14ac:dyDescent="0.35">
      <c r="B12" s="508" t="s">
        <v>2265</v>
      </c>
      <c r="C12" s="509" t="s">
        <v>2266</v>
      </c>
      <c r="D12" s="510">
        <v>4.8</v>
      </c>
      <c r="E12" s="509"/>
      <c r="F12" s="509"/>
      <c r="G12" s="509" t="s">
        <v>2267</v>
      </c>
      <c r="H12" s="509"/>
      <c r="I12" s="511"/>
    </row>
    <row r="13" spans="2:11" ht="18.75" x14ac:dyDescent="0.35">
      <c r="B13" s="512" t="s">
        <v>1929</v>
      </c>
      <c r="C13" s="513" t="s">
        <v>1930</v>
      </c>
      <c r="D13" s="514">
        <v>76.402000000000001</v>
      </c>
      <c r="E13" s="513"/>
      <c r="F13" s="513"/>
      <c r="G13" s="513" t="s">
        <v>1931</v>
      </c>
      <c r="H13" s="513"/>
      <c r="I13" s="515"/>
    </row>
    <row r="14" spans="2:11" ht="18.75" x14ac:dyDescent="0.35">
      <c r="B14" s="512" t="s">
        <v>1932</v>
      </c>
      <c r="C14" s="513" t="s">
        <v>1933</v>
      </c>
      <c r="D14" s="514">
        <v>100</v>
      </c>
      <c r="E14" s="513"/>
      <c r="F14" s="513"/>
      <c r="G14" s="513" t="s">
        <v>1931</v>
      </c>
      <c r="H14" s="513"/>
      <c r="I14" s="515"/>
    </row>
    <row r="15" spans="2:11" ht="18.75" x14ac:dyDescent="0.35">
      <c r="B15" s="512" t="s">
        <v>1934</v>
      </c>
      <c r="C15" s="513" t="s">
        <v>1935</v>
      </c>
      <c r="D15" s="514">
        <v>88.852000000000004</v>
      </c>
      <c r="E15" s="513"/>
      <c r="F15" s="513"/>
      <c r="G15" s="513" t="s">
        <v>1931</v>
      </c>
      <c r="H15" s="513"/>
      <c r="I15" s="515"/>
    </row>
    <row r="16" spans="2:11" ht="18.75" x14ac:dyDescent="0.35">
      <c r="B16" s="512" t="s">
        <v>1936</v>
      </c>
      <c r="C16" s="513" t="s">
        <v>1937</v>
      </c>
      <c r="D16" s="514">
        <v>84.435000000000002</v>
      </c>
      <c r="E16" s="513"/>
      <c r="F16" s="513"/>
      <c r="G16" s="513" t="s">
        <v>1931</v>
      </c>
      <c r="H16" s="513"/>
      <c r="I16" s="515"/>
    </row>
    <row r="17" spans="1:9" ht="18.75" x14ac:dyDescent="0.35">
      <c r="B17" s="512" t="s">
        <v>1938</v>
      </c>
      <c r="C17" s="513" t="s">
        <v>1939</v>
      </c>
      <c r="D17" s="514">
        <v>146.73500000000001</v>
      </c>
      <c r="E17" s="513"/>
      <c r="F17" s="513"/>
      <c r="G17" s="513" t="s">
        <v>1931</v>
      </c>
      <c r="H17" s="513"/>
      <c r="I17" s="515"/>
    </row>
    <row r="18" spans="1:9" ht="18.75" x14ac:dyDescent="0.35">
      <c r="B18" s="512" t="s">
        <v>1940</v>
      </c>
      <c r="C18" s="513" t="s">
        <v>1941</v>
      </c>
      <c r="D18" s="514">
        <v>0</v>
      </c>
      <c r="E18" s="513"/>
      <c r="F18" s="513"/>
      <c r="G18" s="513" t="s">
        <v>1931</v>
      </c>
      <c r="H18" s="513"/>
      <c r="I18" s="515"/>
    </row>
    <row r="19" spans="1:9" ht="18.75" x14ac:dyDescent="0.35">
      <c r="B19" s="512" t="s">
        <v>1942</v>
      </c>
      <c r="C19" s="513" t="s">
        <v>1943</v>
      </c>
      <c r="D19" s="514">
        <v>90.980999999999995</v>
      </c>
      <c r="E19" s="513"/>
      <c r="F19" s="513"/>
      <c r="G19" s="513" t="s">
        <v>1931</v>
      </c>
      <c r="H19" s="513"/>
      <c r="I19" s="515"/>
    </row>
    <row r="20" spans="1:9" s="210" customFormat="1" ht="18" x14ac:dyDescent="0.35">
      <c r="B20" s="516" t="s">
        <v>1944</v>
      </c>
      <c r="C20" s="517" t="s">
        <v>1945</v>
      </c>
      <c r="D20" s="518">
        <v>3748.91</v>
      </c>
      <c r="E20" s="518"/>
      <c r="F20" s="517"/>
      <c r="G20" s="519" t="s">
        <v>866</v>
      </c>
      <c r="H20" s="517"/>
      <c r="I20" s="520" t="s">
        <v>1946</v>
      </c>
    </row>
    <row r="21" spans="1:9" s="210" customFormat="1" ht="18.75" x14ac:dyDescent="0.35">
      <c r="B21" s="516" t="s">
        <v>1947</v>
      </c>
      <c r="C21" s="517" t="s">
        <v>1948</v>
      </c>
      <c r="D21" s="518">
        <v>10</v>
      </c>
      <c r="E21" s="518"/>
      <c r="F21" s="517"/>
      <c r="G21" s="517" t="s">
        <v>866</v>
      </c>
      <c r="H21" s="517"/>
      <c r="I21" s="520" t="s">
        <v>1060</v>
      </c>
    </row>
    <row r="22" spans="1:9" s="210" customFormat="1" ht="18.75" x14ac:dyDescent="0.35">
      <c r="B22" s="516" t="s">
        <v>1949</v>
      </c>
      <c r="C22" s="517" t="s">
        <v>1950</v>
      </c>
      <c r="D22" s="518">
        <v>40</v>
      </c>
      <c r="E22" s="518"/>
      <c r="F22" s="517"/>
      <c r="G22" s="517" t="s">
        <v>866</v>
      </c>
      <c r="H22" s="517"/>
      <c r="I22" s="520" t="s">
        <v>1061</v>
      </c>
    </row>
    <row r="23" spans="1:9" s="210" customFormat="1" ht="18.75" x14ac:dyDescent="0.35">
      <c r="B23" s="516" t="s">
        <v>1951</v>
      </c>
      <c r="C23" s="517" t="s">
        <v>1952</v>
      </c>
      <c r="D23" s="518">
        <v>0</v>
      </c>
      <c r="E23" s="518"/>
      <c r="F23" s="517"/>
      <c r="G23" s="517" t="s">
        <v>866</v>
      </c>
      <c r="H23" s="517"/>
      <c r="I23" s="520" t="s">
        <v>1062</v>
      </c>
    </row>
    <row r="24" spans="1:9" s="210" customFormat="1" ht="18.75" x14ac:dyDescent="0.35">
      <c r="B24" s="516" t="s">
        <v>1953</v>
      </c>
      <c r="C24" s="517" t="s">
        <v>1954</v>
      </c>
      <c r="D24" s="518">
        <v>0</v>
      </c>
      <c r="E24" s="518"/>
      <c r="F24" s="517"/>
      <c r="G24" s="517" t="s">
        <v>866</v>
      </c>
      <c r="H24" s="517"/>
      <c r="I24" s="520" t="s">
        <v>1063</v>
      </c>
    </row>
    <row r="25" spans="1:9" s="210" customFormat="1" ht="18" x14ac:dyDescent="0.25">
      <c r="B25" s="521" t="s">
        <v>1955</v>
      </c>
      <c r="C25" s="519" t="s">
        <v>1956</v>
      </c>
      <c r="D25" s="522">
        <v>0</v>
      </c>
      <c r="E25" s="522"/>
      <c r="F25" s="522"/>
      <c r="G25" s="519" t="s">
        <v>866</v>
      </c>
      <c r="H25" s="522"/>
      <c r="I25" s="523" t="s">
        <v>1957</v>
      </c>
    </row>
    <row r="26" spans="1:9" s="210" customFormat="1" ht="19.5" thickBot="1" x14ac:dyDescent="0.4">
      <c r="A26"/>
      <c r="B26" s="524" t="s">
        <v>1958</v>
      </c>
      <c r="C26" s="525" t="s">
        <v>1959</v>
      </c>
      <c r="D26" s="526">
        <v>15</v>
      </c>
      <c r="E26" s="526"/>
      <c r="F26" s="525"/>
      <c r="G26" s="525" t="s">
        <v>866</v>
      </c>
      <c r="H26" s="525"/>
      <c r="I26" s="527" t="s">
        <v>1064</v>
      </c>
    </row>
    <row r="27" spans="1:9" ht="15.75" thickBot="1" x14ac:dyDescent="0.3"/>
    <row r="28" spans="1:9" ht="15.75" thickBot="1" x14ac:dyDescent="0.3">
      <c r="B28" s="120"/>
      <c r="C28" s="503" t="s">
        <v>1960</v>
      </c>
      <c r="D28" s="120"/>
      <c r="E28" s="120"/>
      <c r="F28" s="120"/>
      <c r="G28" s="120"/>
      <c r="H28" s="120"/>
      <c r="I28" s="120"/>
    </row>
    <row r="29" spans="1:9" ht="15.75" thickBot="1" x14ac:dyDescent="0.3">
      <c r="B29" s="504" t="s">
        <v>0</v>
      </c>
      <c r="C29" s="505" t="s">
        <v>1</v>
      </c>
      <c r="D29" s="505" t="s">
        <v>149</v>
      </c>
      <c r="E29" s="506" t="s">
        <v>385</v>
      </c>
      <c r="F29" s="506" t="s">
        <v>386</v>
      </c>
      <c r="G29" s="505" t="s">
        <v>2</v>
      </c>
      <c r="H29" s="505" t="s">
        <v>309</v>
      </c>
      <c r="I29" s="507" t="s">
        <v>113</v>
      </c>
    </row>
    <row r="30" spans="1:9" ht="18.75" x14ac:dyDescent="0.35">
      <c r="B30" s="508" t="s">
        <v>1961</v>
      </c>
      <c r="C30" s="509" t="s">
        <v>1962</v>
      </c>
      <c r="D30" s="510">
        <v>2.2919999999999998</v>
      </c>
      <c r="E30" s="509"/>
      <c r="F30" s="509"/>
      <c r="G30" s="509" t="s">
        <v>1931</v>
      </c>
      <c r="H30" s="509"/>
      <c r="I30" s="511"/>
    </row>
    <row r="31" spans="1:9" ht="18.75" x14ac:dyDescent="0.35">
      <c r="B31" s="512" t="s">
        <v>1963</v>
      </c>
      <c r="C31" s="513" t="s">
        <v>1964</v>
      </c>
      <c r="D31" s="514">
        <v>3</v>
      </c>
      <c r="E31" s="513"/>
      <c r="F31" s="513"/>
      <c r="G31" s="513" t="s">
        <v>1931</v>
      </c>
      <c r="H31" s="513"/>
      <c r="I31" s="515"/>
    </row>
    <row r="32" spans="1:9" ht="18.75" x14ac:dyDescent="0.35">
      <c r="B32" s="512" t="s">
        <v>1965</v>
      </c>
      <c r="C32" s="513" t="s">
        <v>1966</v>
      </c>
      <c r="D32" s="514">
        <v>2.6659999999999999</v>
      </c>
      <c r="E32" s="513"/>
      <c r="F32" s="513"/>
      <c r="G32" s="513" t="s">
        <v>1931</v>
      </c>
      <c r="H32" s="513"/>
      <c r="I32" s="515"/>
    </row>
    <row r="33" spans="1:9" ht="18.75" x14ac:dyDescent="0.35">
      <c r="B33" s="512" t="s">
        <v>1967</v>
      </c>
      <c r="C33" s="513" t="s">
        <v>1968</v>
      </c>
      <c r="D33" s="514">
        <v>2.5329999999999999</v>
      </c>
      <c r="E33" s="513"/>
      <c r="F33" s="513"/>
      <c r="G33" s="513" t="s">
        <v>1931</v>
      </c>
      <c r="H33" s="513"/>
      <c r="I33" s="515"/>
    </row>
    <row r="34" spans="1:9" ht="18.75" x14ac:dyDescent="0.35">
      <c r="B34" s="512" t="s">
        <v>1969</v>
      </c>
      <c r="C34" s="513" t="s">
        <v>1970</v>
      </c>
      <c r="D34" s="514">
        <v>4.4020000000000001</v>
      </c>
      <c r="E34" s="513"/>
      <c r="F34" s="513"/>
      <c r="G34" s="513" t="s">
        <v>1931</v>
      </c>
      <c r="H34" s="513"/>
      <c r="I34" s="515"/>
    </row>
    <row r="35" spans="1:9" ht="18.75" x14ac:dyDescent="0.35">
      <c r="B35" s="512" t="s">
        <v>1971</v>
      </c>
      <c r="C35" s="513" t="s">
        <v>1972</v>
      </c>
      <c r="D35" s="514">
        <v>0</v>
      </c>
      <c r="E35" s="513"/>
      <c r="F35" s="513"/>
      <c r="G35" s="513" t="s">
        <v>1931</v>
      </c>
      <c r="H35" s="513"/>
      <c r="I35" s="515"/>
    </row>
    <row r="36" spans="1:9" ht="18.75" x14ac:dyDescent="0.35">
      <c r="B36" s="512" t="s">
        <v>1973</v>
      </c>
      <c r="C36" s="513" t="s">
        <v>1974</v>
      </c>
      <c r="D36" s="514">
        <v>2.73</v>
      </c>
      <c r="E36" s="513"/>
      <c r="F36" s="513"/>
      <c r="G36" s="513" t="s">
        <v>1931</v>
      </c>
      <c r="H36" s="513"/>
      <c r="I36" s="515"/>
    </row>
    <row r="37" spans="1:9" s="210" customFormat="1" ht="18" x14ac:dyDescent="0.35">
      <c r="B37" s="516" t="s">
        <v>1975</v>
      </c>
      <c r="C37" s="517" t="s">
        <v>1976</v>
      </c>
      <c r="D37" s="518">
        <v>3748.91</v>
      </c>
      <c r="E37" s="518"/>
      <c r="F37" s="517"/>
      <c r="G37" s="519" t="s">
        <v>866</v>
      </c>
      <c r="H37" s="517"/>
      <c r="I37" s="520" t="s">
        <v>1977</v>
      </c>
    </row>
    <row r="38" spans="1:9" s="210" customFormat="1" ht="18.75" x14ac:dyDescent="0.35">
      <c r="B38" s="516" t="s">
        <v>1978</v>
      </c>
      <c r="C38" s="517" t="s">
        <v>1979</v>
      </c>
      <c r="D38" s="518">
        <v>10</v>
      </c>
      <c r="E38" s="518"/>
      <c r="F38" s="517"/>
      <c r="G38" s="517" t="s">
        <v>866</v>
      </c>
      <c r="H38" s="517"/>
      <c r="I38" s="520" t="s">
        <v>1980</v>
      </c>
    </row>
    <row r="39" spans="1:9" s="210" customFormat="1" ht="18.75" x14ac:dyDescent="0.35">
      <c r="B39" s="516" t="s">
        <v>1981</v>
      </c>
      <c r="C39" s="517" t="s">
        <v>1982</v>
      </c>
      <c r="D39" s="518">
        <v>40</v>
      </c>
      <c r="E39" s="518"/>
      <c r="F39" s="517"/>
      <c r="G39" s="517" t="s">
        <v>866</v>
      </c>
      <c r="H39" s="517"/>
      <c r="I39" s="520" t="s">
        <v>1983</v>
      </c>
    </row>
    <row r="40" spans="1:9" s="210" customFormat="1" ht="18.75" x14ac:dyDescent="0.35">
      <c r="B40" s="516" t="s">
        <v>1984</v>
      </c>
      <c r="C40" s="517" t="s">
        <v>1985</v>
      </c>
      <c r="D40" s="518">
        <v>0</v>
      </c>
      <c r="E40" s="518"/>
      <c r="F40" s="517"/>
      <c r="G40" s="517" t="s">
        <v>866</v>
      </c>
      <c r="H40" s="517"/>
      <c r="I40" s="520" t="s">
        <v>1986</v>
      </c>
    </row>
    <row r="41" spans="1:9" s="210" customFormat="1" ht="18.75" x14ac:dyDescent="0.35">
      <c r="B41" s="516" t="s">
        <v>1987</v>
      </c>
      <c r="C41" s="517" t="s">
        <v>1988</v>
      </c>
      <c r="D41" s="518">
        <v>0</v>
      </c>
      <c r="E41" s="518"/>
      <c r="F41" s="517"/>
      <c r="G41" s="517" t="s">
        <v>866</v>
      </c>
      <c r="H41" s="517"/>
      <c r="I41" s="520" t="s">
        <v>1989</v>
      </c>
    </row>
    <row r="42" spans="1:9" s="210" customFormat="1" ht="18" x14ac:dyDescent="0.25">
      <c r="B42" s="521" t="s">
        <v>1990</v>
      </c>
      <c r="C42" s="519" t="s">
        <v>1991</v>
      </c>
      <c r="D42" s="522">
        <v>0</v>
      </c>
      <c r="E42" s="522"/>
      <c r="F42" s="522"/>
      <c r="G42" s="519" t="s">
        <v>866</v>
      </c>
      <c r="H42" s="522"/>
      <c r="I42" s="523" t="s">
        <v>1992</v>
      </c>
    </row>
    <row r="43" spans="1:9" s="210" customFormat="1" ht="19.5" thickBot="1" x14ac:dyDescent="0.4">
      <c r="A43" s="123"/>
      <c r="B43" s="524" t="s">
        <v>1993</v>
      </c>
      <c r="C43" s="525" t="s">
        <v>1994</v>
      </c>
      <c r="D43" s="526">
        <v>15</v>
      </c>
      <c r="E43" s="526"/>
      <c r="F43" s="525"/>
      <c r="G43" s="525" t="s">
        <v>866</v>
      </c>
      <c r="H43" s="525"/>
      <c r="I43" s="527" t="s">
        <v>1995</v>
      </c>
    </row>
    <row r="44" spans="1:9" ht="15.75" thickBot="1" x14ac:dyDescent="0.3"/>
    <row r="45" spans="1:9" ht="15.75" thickBot="1" x14ac:dyDescent="0.3">
      <c r="B45" s="120"/>
      <c r="C45" s="1118" t="s">
        <v>1960</v>
      </c>
      <c r="D45" s="120"/>
      <c r="E45" s="120"/>
      <c r="F45" s="120"/>
      <c r="G45" s="120"/>
      <c r="H45" s="120"/>
      <c r="I45" s="120"/>
    </row>
    <row r="46" spans="1:9" ht="15.75" thickBot="1" x14ac:dyDescent="0.3">
      <c r="B46" s="1119" t="s">
        <v>0</v>
      </c>
      <c r="C46" s="1120" t="s">
        <v>1</v>
      </c>
      <c r="D46" s="1120" t="s">
        <v>149</v>
      </c>
      <c r="E46" s="1121" t="s">
        <v>385</v>
      </c>
      <c r="F46" s="1121" t="s">
        <v>386</v>
      </c>
      <c r="G46" s="1120" t="s">
        <v>2</v>
      </c>
      <c r="H46" s="1120" t="s">
        <v>309</v>
      </c>
      <c r="I46" s="1122" t="s">
        <v>113</v>
      </c>
    </row>
    <row r="47" spans="1:9" ht="17.25" x14ac:dyDescent="0.25">
      <c r="B47" s="1123" t="s">
        <v>2891</v>
      </c>
      <c r="C47" s="1124" t="s">
        <v>2892</v>
      </c>
      <c r="D47" s="1125">
        <v>1</v>
      </c>
      <c r="E47" s="1124"/>
      <c r="F47" s="1124"/>
      <c r="G47" s="449" t="s">
        <v>2893</v>
      </c>
      <c r="H47" s="1124">
        <v>0</v>
      </c>
      <c r="I47" s="1126"/>
    </row>
    <row r="48" spans="1:9" ht="17.25" x14ac:dyDescent="0.25">
      <c r="B48" s="1127" t="s">
        <v>2894</v>
      </c>
      <c r="C48" s="114" t="s">
        <v>2895</v>
      </c>
      <c r="D48" s="1128">
        <v>2</v>
      </c>
      <c r="E48" s="114"/>
      <c r="F48" s="114"/>
      <c r="G48" s="449" t="s">
        <v>2893</v>
      </c>
      <c r="H48" s="114">
        <v>0</v>
      </c>
      <c r="I48" s="96"/>
    </row>
    <row r="49" spans="2:9" ht="18" thickBot="1" x14ac:dyDescent="0.3">
      <c r="B49" s="524" t="s">
        <v>2896</v>
      </c>
      <c r="C49" s="1129" t="s">
        <v>2897</v>
      </c>
      <c r="D49" s="1130">
        <v>1</v>
      </c>
      <c r="E49" s="1130"/>
      <c r="F49" s="1129"/>
      <c r="G49" s="1129" t="s">
        <v>2893</v>
      </c>
      <c r="H49" s="1129">
        <v>0</v>
      </c>
      <c r="I49" s="1131"/>
    </row>
    <row r="50" spans="2:9" ht="15.75" thickBot="1" x14ac:dyDescent="0.3"/>
    <row r="51" spans="2:9" ht="15.75" thickBot="1" x14ac:dyDescent="0.3">
      <c r="B51" s="120"/>
      <c r="C51" s="503" t="s">
        <v>749</v>
      </c>
      <c r="D51" s="120"/>
      <c r="E51" s="120"/>
      <c r="F51" s="120"/>
      <c r="G51" s="120"/>
      <c r="H51" s="120"/>
      <c r="I51" s="120"/>
    </row>
    <row r="52" spans="2:9" ht="15.75" thickBot="1" x14ac:dyDescent="0.3">
      <c r="B52" s="504" t="s">
        <v>0</v>
      </c>
      <c r="C52" s="505" t="s">
        <v>1</v>
      </c>
      <c r="D52" s="505" t="s">
        <v>149</v>
      </c>
      <c r="E52" s="506" t="s">
        <v>385</v>
      </c>
      <c r="F52" s="506" t="s">
        <v>386</v>
      </c>
      <c r="G52" s="505" t="s">
        <v>2</v>
      </c>
      <c r="H52" s="505" t="s">
        <v>309</v>
      </c>
      <c r="I52" s="507" t="s">
        <v>113</v>
      </c>
    </row>
    <row r="53" spans="2:9" ht="19.5" thickBot="1" x14ac:dyDescent="0.4">
      <c r="B53" s="528" t="s">
        <v>867</v>
      </c>
      <c r="C53" s="529" t="s">
        <v>868</v>
      </c>
      <c r="D53" s="530">
        <v>7.0000000000000001E-3</v>
      </c>
      <c r="E53" s="529"/>
      <c r="F53" s="529"/>
      <c r="G53" s="531" t="s">
        <v>1291</v>
      </c>
      <c r="H53" s="529"/>
      <c r="I53" s="532"/>
    </row>
    <row r="54" spans="2:9" s="228" customFormat="1" ht="15.75" thickBot="1" x14ac:dyDescent="0.3">
      <c r="B54" s="229"/>
      <c r="C54" s="230"/>
      <c r="D54" s="231"/>
      <c r="E54" s="232"/>
      <c r="F54" s="233"/>
      <c r="G54" s="231"/>
      <c r="H54" s="231"/>
      <c r="I54" s="234"/>
    </row>
    <row r="55" spans="2:9" s="228" customFormat="1" ht="15.75" thickBot="1" x14ac:dyDescent="0.3">
      <c r="B55" s="229"/>
      <c r="C55" s="209" t="s">
        <v>1065</v>
      </c>
      <c r="D55" s="231"/>
      <c r="E55" s="232"/>
      <c r="F55" s="233"/>
      <c r="G55" s="231"/>
      <c r="H55" s="231"/>
      <c r="I55" s="234"/>
    </row>
    <row r="56" spans="2:9" s="228" customFormat="1" ht="15.75" thickBot="1" x14ac:dyDescent="0.3">
      <c r="B56" s="235" t="s">
        <v>0</v>
      </c>
      <c r="C56" s="236" t="s">
        <v>1</v>
      </c>
      <c r="D56" s="236" t="s">
        <v>149</v>
      </c>
      <c r="E56" s="237" t="s">
        <v>385</v>
      </c>
      <c r="F56" s="237" t="s">
        <v>386</v>
      </c>
      <c r="G56" s="236" t="s">
        <v>2</v>
      </c>
      <c r="H56" s="236" t="s">
        <v>309</v>
      </c>
      <c r="I56" s="238" t="s">
        <v>113</v>
      </c>
    </row>
    <row r="57" spans="2:9" s="228" customFormat="1" ht="15.75" thickBot="1" x14ac:dyDescent="0.3">
      <c r="B57" s="239" t="s">
        <v>865</v>
      </c>
      <c r="C57" s="240" t="s">
        <v>750</v>
      </c>
      <c r="D57" s="241" t="b">
        <v>0</v>
      </c>
      <c r="E57" s="240"/>
      <c r="F57" s="240"/>
      <c r="G57" s="240"/>
      <c r="H57" s="240"/>
      <c r="I57" s="242" t="s">
        <v>751</v>
      </c>
    </row>
    <row r="58" spans="2:9" s="228" customFormat="1" ht="15.75" thickBot="1" x14ac:dyDescent="0.3"/>
    <row r="59" spans="2:9" s="228" customFormat="1" ht="15.75" thickBot="1" x14ac:dyDescent="0.3">
      <c r="B59" s="243" t="s">
        <v>1066</v>
      </c>
      <c r="C59" s="209" t="s">
        <v>1067</v>
      </c>
      <c r="D59" s="120"/>
      <c r="E59" s="120"/>
      <c r="F59" s="120"/>
      <c r="G59" s="120"/>
      <c r="H59" s="120"/>
      <c r="I59" s="120"/>
    </row>
    <row r="60" spans="2:9" s="228" customFormat="1" ht="15.75" thickBot="1" x14ac:dyDescent="0.3">
      <c r="B60" s="235" t="s">
        <v>0</v>
      </c>
      <c r="C60" s="236" t="s">
        <v>1</v>
      </c>
      <c r="D60" s="236" t="s">
        <v>149</v>
      </c>
      <c r="E60" s="237" t="s">
        <v>385</v>
      </c>
      <c r="F60" s="237" t="s">
        <v>386</v>
      </c>
      <c r="G60" s="236" t="s">
        <v>2</v>
      </c>
      <c r="H60" s="236" t="s">
        <v>309</v>
      </c>
      <c r="I60" s="238" t="s">
        <v>113</v>
      </c>
    </row>
    <row r="61" spans="2:9" s="228" customFormat="1" x14ac:dyDescent="0.25">
      <c r="B61" s="244" t="s">
        <v>1059</v>
      </c>
      <c r="C61" s="245"/>
      <c r="D61" s="245" t="b">
        <v>0</v>
      </c>
      <c r="E61" s="245"/>
      <c r="F61" s="245"/>
      <c r="G61" s="245"/>
      <c r="H61" s="245"/>
      <c r="I61" s="246" t="s">
        <v>1069</v>
      </c>
    </row>
    <row r="62" spans="2:9" s="228" customFormat="1" x14ac:dyDescent="0.25">
      <c r="B62" s="244" t="s">
        <v>1068</v>
      </c>
      <c r="C62" s="245"/>
      <c r="D62" s="245" t="b">
        <v>0</v>
      </c>
      <c r="E62" s="245"/>
      <c r="F62" s="245"/>
      <c r="G62" s="245"/>
      <c r="H62" s="245"/>
      <c r="I62" s="246" t="s">
        <v>1069</v>
      </c>
    </row>
    <row r="63" spans="2:9" s="228" customFormat="1" x14ac:dyDescent="0.25">
      <c r="B63" s="244" t="s">
        <v>1056</v>
      </c>
      <c r="C63" s="245"/>
      <c r="D63" s="245" t="b">
        <v>0</v>
      </c>
      <c r="E63" s="245"/>
      <c r="F63" s="245"/>
      <c r="G63" s="245"/>
      <c r="H63" s="245"/>
      <c r="I63" s="246" t="s">
        <v>1069</v>
      </c>
    </row>
    <row r="64" spans="2:9" s="228" customFormat="1" x14ac:dyDescent="0.25">
      <c r="B64" s="244" t="s">
        <v>1248</v>
      </c>
      <c r="C64" s="245"/>
      <c r="D64" s="245" t="b">
        <v>0</v>
      </c>
      <c r="E64" s="245"/>
      <c r="F64" s="245"/>
      <c r="G64" s="245"/>
      <c r="H64" s="245"/>
      <c r="I64" s="246" t="s">
        <v>1069</v>
      </c>
    </row>
    <row r="65" spans="2:9" s="228" customFormat="1" x14ac:dyDescent="0.25">
      <c r="B65" s="247" t="s">
        <v>1070</v>
      </c>
      <c r="C65" s="248"/>
      <c r="D65" s="248" t="b">
        <v>1</v>
      </c>
      <c r="E65" s="248"/>
      <c r="F65" s="248"/>
      <c r="G65" s="248"/>
      <c r="H65" s="248"/>
      <c r="I65" s="249" t="s">
        <v>1069</v>
      </c>
    </row>
    <row r="66" spans="2:9" s="228" customFormat="1" ht="15.75" thickBot="1" x14ac:dyDescent="0.3">
      <c r="B66" s="250" t="s">
        <v>361</v>
      </c>
      <c r="C66" s="251"/>
      <c r="D66" s="251" t="b">
        <v>1</v>
      </c>
      <c r="E66" s="251"/>
      <c r="F66" s="251"/>
      <c r="G66" s="251"/>
      <c r="H66" s="251"/>
      <c r="I66" s="252" t="s">
        <v>1069</v>
      </c>
    </row>
    <row r="67" spans="2:9" x14ac:dyDescent="0.25">
      <c r="B67" s="247" t="s">
        <v>1056</v>
      </c>
      <c r="C67" s="879"/>
      <c r="D67" s="880" t="b">
        <v>0</v>
      </c>
      <c r="E67" s="879"/>
      <c r="F67" s="879"/>
      <c r="G67" s="879"/>
      <c r="H67" s="879"/>
      <c r="I67" s="249" t="s">
        <v>1069</v>
      </c>
    </row>
    <row r="68" spans="2:9" x14ac:dyDescent="0.25">
      <c r="B68" s="247" t="s">
        <v>1304</v>
      </c>
      <c r="C68" s="879"/>
      <c r="D68" s="880" t="b">
        <v>0</v>
      </c>
      <c r="E68" s="879"/>
      <c r="F68" s="879"/>
      <c r="G68" s="879"/>
      <c r="H68" s="879"/>
      <c r="I68" s="249" t="s">
        <v>1069</v>
      </c>
    </row>
    <row r="69" spans="2:9" s="228" customFormat="1" x14ac:dyDescent="0.25">
      <c r="B69" s="247" t="s">
        <v>2682</v>
      </c>
      <c r="C69" s="880"/>
      <c r="D69" s="880" t="b">
        <v>1</v>
      </c>
      <c r="E69" s="880"/>
      <c r="F69" s="880"/>
      <c r="G69" s="880"/>
      <c r="H69" s="880"/>
      <c r="I69" s="249" t="s">
        <v>1069</v>
      </c>
    </row>
    <row r="70" spans="2:9" s="228" customFormat="1" x14ac:dyDescent="0.25">
      <c r="B70" s="247" t="s">
        <v>2683</v>
      </c>
      <c r="C70" s="880"/>
      <c r="D70" s="880" t="b">
        <v>1</v>
      </c>
      <c r="E70" s="880"/>
      <c r="F70" s="880"/>
      <c r="G70" s="880"/>
      <c r="H70" s="880"/>
      <c r="I70" s="249" t="s">
        <v>1069</v>
      </c>
    </row>
    <row r="71" spans="2:9" s="228" customFormat="1" x14ac:dyDescent="0.25">
      <c r="B71" s="247" t="s">
        <v>2684</v>
      </c>
      <c r="C71" s="880"/>
      <c r="D71" s="880" t="b">
        <v>0</v>
      </c>
      <c r="E71" s="880"/>
      <c r="F71" s="880"/>
      <c r="G71" s="880"/>
      <c r="H71" s="880"/>
      <c r="I71" s="249" t="s">
        <v>1069</v>
      </c>
    </row>
    <row r="72" spans="2:9" s="228" customFormat="1" x14ac:dyDescent="0.25">
      <c r="B72" s="247" t="s">
        <v>2685</v>
      </c>
      <c r="C72" s="880"/>
      <c r="D72" s="880" t="b">
        <v>0</v>
      </c>
      <c r="E72" s="880"/>
      <c r="F72" s="880"/>
      <c r="G72" s="880"/>
      <c r="H72" s="880"/>
      <c r="I72" s="249" t="s">
        <v>1069</v>
      </c>
    </row>
    <row r="73" spans="2:9" s="228" customFormat="1" x14ac:dyDescent="0.25">
      <c r="B73" s="247" t="s">
        <v>2686</v>
      </c>
      <c r="C73" s="880"/>
      <c r="D73" s="880" t="b">
        <v>0</v>
      </c>
      <c r="E73" s="880"/>
      <c r="F73" s="880"/>
      <c r="G73" s="880"/>
      <c r="H73" s="880"/>
      <c r="I73" s="249" t="s">
        <v>1069</v>
      </c>
    </row>
    <row r="74" spans="2:9" s="228" customFormat="1" x14ac:dyDescent="0.25">
      <c r="B74" s="247" t="s">
        <v>2687</v>
      </c>
      <c r="C74" s="880"/>
      <c r="D74" s="880" t="b">
        <v>0</v>
      </c>
      <c r="E74" s="880"/>
      <c r="F74" s="880"/>
      <c r="G74" s="880"/>
      <c r="H74" s="880"/>
      <c r="I74" s="249" t="s">
        <v>1069</v>
      </c>
    </row>
    <row r="75" spans="2:9" s="228" customFormat="1" x14ac:dyDescent="0.25">
      <c r="B75" s="247" t="s">
        <v>2209</v>
      </c>
      <c r="C75" s="880"/>
      <c r="D75" s="880" t="b">
        <v>0</v>
      </c>
      <c r="E75" s="880"/>
      <c r="F75" s="880"/>
      <c r="G75" s="880"/>
      <c r="H75" s="880"/>
      <c r="I75" s="249" t="s">
        <v>1069</v>
      </c>
    </row>
    <row r="76" spans="2:9" s="228" customFormat="1" x14ac:dyDescent="0.25">
      <c r="B76" s="247" t="s">
        <v>2688</v>
      </c>
      <c r="C76" s="880"/>
      <c r="D76" s="880" t="b">
        <v>0</v>
      </c>
      <c r="E76" s="880"/>
      <c r="F76" s="880"/>
      <c r="G76" s="880"/>
      <c r="H76" s="880"/>
      <c r="I76" s="249" t="s">
        <v>1069</v>
      </c>
    </row>
    <row r="77" spans="2:9" s="228" customFormat="1" x14ac:dyDescent="0.25">
      <c r="B77" s="247" t="s">
        <v>2202</v>
      </c>
      <c r="C77" s="880"/>
      <c r="D77" s="880" t="b">
        <v>0</v>
      </c>
      <c r="E77" s="880"/>
      <c r="F77" s="880"/>
      <c r="G77" s="880"/>
      <c r="H77" s="880"/>
      <c r="I77" s="249" t="s">
        <v>1069</v>
      </c>
    </row>
    <row r="78" spans="2:9" s="228" customFormat="1" ht="15.75" thickBot="1" x14ac:dyDescent="0.3">
      <c r="B78" s="250" t="s">
        <v>2204</v>
      </c>
      <c r="C78" s="251"/>
      <c r="D78" s="251" t="b">
        <v>0</v>
      </c>
      <c r="E78" s="251"/>
      <c r="F78" s="251"/>
      <c r="G78" s="251"/>
      <c r="H78" s="251"/>
      <c r="I78" s="252" t="s">
        <v>1069</v>
      </c>
    </row>
    <row r="80" spans="2:9" s="848" customFormat="1" ht="15.75" thickBot="1" x14ac:dyDescent="0.3">
      <c r="B80" s="463"/>
      <c r="C80" s="849" t="s">
        <v>2390</v>
      </c>
      <c r="D80" s="463"/>
      <c r="E80" s="462"/>
      <c r="F80" s="462"/>
      <c r="G80" s="462"/>
      <c r="H80" s="462"/>
    </row>
    <row r="81" spans="1:10" s="848" customFormat="1" ht="45.75" thickBot="1" x14ac:dyDescent="0.3">
      <c r="B81" s="850" t="s">
        <v>0</v>
      </c>
      <c r="C81" s="851" t="s">
        <v>1</v>
      </c>
      <c r="D81" s="849" t="s">
        <v>775</v>
      </c>
      <c r="E81" s="849" t="s">
        <v>385</v>
      </c>
      <c r="F81" s="849" t="s">
        <v>386</v>
      </c>
      <c r="G81" s="849" t="s">
        <v>2</v>
      </c>
      <c r="H81" s="849" t="s">
        <v>309</v>
      </c>
      <c r="I81" s="849" t="s">
        <v>113</v>
      </c>
      <c r="J81" s="849" t="s">
        <v>114</v>
      </c>
    </row>
    <row r="82" spans="1:10" s="852" customFormat="1" ht="18" x14ac:dyDescent="0.25">
      <c r="B82" s="853" t="s">
        <v>2679</v>
      </c>
      <c r="C82" s="853" t="s">
        <v>2391</v>
      </c>
      <c r="D82" s="853">
        <v>200</v>
      </c>
      <c r="E82" s="853">
        <v>0</v>
      </c>
      <c r="F82" s="853" t="s">
        <v>1792</v>
      </c>
      <c r="G82" s="853" t="s">
        <v>2392</v>
      </c>
      <c r="H82" s="853">
        <v>0</v>
      </c>
      <c r="I82" s="449"/>
      <c r="J82" s="853"/>
    </row>
    <row r="83" spans="1:10" s="856" customFormat="1" ht="14.65" customHeight="1" x14ac:dyDescent="0.25">
      <c r="A83" s="854"/>
      <c r="B83" s="449" t="s">
        <v>2680</v>
      </c>
      <c r="C83" s="449" t="s">
        <v>2393</v>
      </c>
      <c r="D83" s="855">
        <v>120</v>
      </c>
      <c r="E83" s="853">
        <v>0</v>
      </c>
      <c r="F83" s="853" t="s">
        <v>1792</v>
      </c>
      <c r="G83" s="449" t="s">
        <v>2392</v>
      </c>
      <c r="H83" s="4"/>
    </row>
    <row r="84" spans="1:10" s="856" customFormat="1" ht="14.65" customHeight="1" x14ac:dyDescent="0.25">
      <c r="A84" s="854"/>
      <c r="B84" s="449" t="s">
        <v>2681</v>
      </c>
      <c r="C84" s="449" t="s">
        <v>2394</v>
      </c>
      <c r="D84" s="855">
        <v>1000</v>
      </c>
      <c r="E84" s="853">
        <v>0</v>
      </c>
      <c r="F84" s="853" t="s">
        <v>1792</v>
      </c>
      <c r="G84" s="449" t="s">
        <v>2395</v>
      </c>
      <c r="H84" s="4"/>
    </row>
  </sheetData>
  <conditionalFormatting sqref="A80:XFD82">
    <cfRule type="cellIs" dxfId="9" priority="10" stopIfTrue="1" operator="notEqual">
      <formula>INDIRECT("Dummy_for_Comparison3!"&amp;ADDRESS(ROW(),COLUMN()))</formula>
    </cfRule>
  </conditionalFormatting>
  <conditionalFormatting sqref="G81 G80:K80">
    <cfRule type="cellIs" dxfId="8" priority="9" stopIfTrue="1" operator="notEqual">
      <formula>INDIRECT("Dummy_for_Comparison3!"&amp;ADDRESS(ROW(),COLUMN()))</formula>
    </cfRule>
  </conditionalFormatting>
  <conditionalFormatting sqref="K82:XFD82 A82:F82">
    <cfRule type="cellIs" dxfId="7" priority="8" stopIfTrue="1" operator="notEqual">
      <formula>INDIRECT("Dummy_for_Comparison3!"&amp;ADDRESS(ROW(),COLUMN()))</formula>
    </cfRule>
  </conditionalFormatting>
  <conditionalFormatting sqref="G82:H82 J82">
    <cfRule type="cellIs" dxfId="6" priority="7" stopIfTrue="1" operator="notEqual">
      <formula>INDIRECT("Dummy_for_Comparison3!"&amp;ADDRESS(ROW(),COLUMN()))</formula>
    </cfRule>
  </conditionalFormatting>
  <conditionalFormatting sqref="H81:J81">
    <cfRule type="cellIs" dxfId="5" priority="6" stopIfTrue="1" operator="notEqual">
      <formula>INDIRECT("Dummy_for_Comparison3!"&amp;ADDRESS(ROW(),COLUMN()))</formula>
    </cfRule>
  </conditionalFormatting>
  <conditionalFormatting sqref="I83:XFD84 A83:D84 G83:G84">
    <cfRule type="cellIs" dxfId="4" priority="5" stopIfTrue="1" operator="notEqual">
      <formula>INDIRECT("Dummy_for_Comparison5!"&amp;ADDRESS(ROW(),COLUMN()))</formula>
    </cfRule>
  </conditionalFormatting>
  <conditionalFormatting sqref="E83:F83">
    <cfRule type="cellIs" dxfId="3" priority="4" stopIfTrue="1" operator="notEqual">
      <formula>INDIRECT("Dummy_for_Comparison3!"&amp;ADDRESS(ROW(),COLUMN()))</formula>
    </cfRule>
  </conditionalFormatting>
  <conditionalFormatting sqref="E83:F83">
    <cfRule type="cellIs" dxfId="2" priority="3" stopIfTrue="1" operator="notEqual">
      <formula>INDIRECT("Dummy_for_Comparison3!"&amp;ADDRESS(ROW(),COLUMN()))</formula>
    </cfRule>
  </conditionalFormatting>
  <conditionalFormatting sqref="E84:F84">
    <cfRule type="cellIs" dxfId="1" priority="2" stopIfTrue="1" operator="notEqual">
      <formula>INDIRECT("Dummy_for_Comparison3!"&amp;ADDRESS(ROW(),COLUMN()))</formula>
    </cfRule>
  </conditionalFormatting>
  <conditionalFormatting sqref="E84:F84">
    <cfRule type="cellIs" dxfId="0" priority="1" stopIfTrue="1" operator="notEqual">
      <formula>INDIRECT("Dummy_for_Comparison3!"&amp;ADDRESS(ROW(),COLUMN()))</formula>
    </cfRule>
  </conditionalFormatting>
  <pageMargins left="0.7" right="0.7" top="0.75" bottom="0.75"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Munka8"/>
  <dimension ref="B1:F8"/>
  <sheetViews>
    <sheetView showGridLines="0" workbookViewId="0">
      <selection activeCell="C12" sqref="C12"/>
    </sheetView>
  </sheetViews>
  <sheetFormatPr baseColWidth="10" defaultColWidth="9.140625" defaultRowHeight="15" x14ac:dyDescent="0.25"/>
  <cols>
    <col min="2" max="2" width="24.28515625" customWidth="1"/>
    <col min="3" max="3" width="23.28515625" customWidth="1"/>
    <col min="4" max="4" width="22.140625" customWidth="1"/>
  </cols>
  <sheetData>
    <row r="1" spans="2:6" s="42" customFormat="1" ht="58.5" customHeight="1" thickBot="1" x14ac:dyDescent="0.3"/>
    <row r="2" spans="2:6" ht="15.75" thickBot="1" x14ac:dyDescent="0.3">
      <c r="C2" s="58" t="s">
        <v>130</v>
      </c>
      <c r="D2" s="1"/>
    </row>
    <row r="3" spans="2:6" ht="20.25" customHeight="1" x14ac:dyDescent="0.25">
      <c r="B3" s="50" t="s">
        <v>0</v>
      </c>
      <c r="C3" s="50" t="s">
        <v>1</v>
      </c>
      <c r="D3" s="71" t="s">
        <v>4</v>
      </c>
      <c r="E3" s="71" t="s">
        <v>113</v>
      </c>
      <c r="F3" s="63" t="s">
        <v>2</v>
      </c>
    </row>
    <row r="4" spans="2:6" x14ac:dyDescent="0.25">
      <c r="B4" s="72"/>
      <c r="C4" s="68"/>
      <c r="D4" s="69"/>
      <c r="E4" s="6"/>
      <c r="F4" s="6"/>
    </row>
    <row r="5" spans="2:6" x14ac:dyDescent="0.25">
      <c r="B5" s="72"/>
      <c r="C5" s="68"/>
      <c r="D5" s="68"/>
      <c r="E5" s="6"/>
      <c r="F5" s="6"/>
    </row>
    <row r="6" spans="2:6" x14ac:dyDescent="0.25">
      <c r="B6" s="72"/>
      <c r="C6" s="68"/>
      <c r="D6" s="68"/>
      <c r="E6" s="68"/>
      <c r="F6" s="68"/>
    </row>
    <row r="7" spans="2:6" x14ac:dyDescent="0.25">
      <c r="B7" s="72"/>
      <c r="C7" s="68"/>
      <c r="D7" s="68"/>
      <c r="E7" s="68"/>
      <c r="F7" s="68"/>
    </row>
    <row r="8" spans="2:6" x14ac:dyDescent="0.25">
      <c r="B8" s="72"/>
      <c r="C8" s="68"/>
      <c r="D8" s="68"/>
      <c r="E8" s="68"/>
      <c r="F8" s="68"/>
    </row>
  </sheetData>
  <phoneticPr fontId="21" type="noConversion"/>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unka10"/>
  <dimension ref="B1:H5"/>
  <sheetViews>
    <sheetView showGridLines="0" zoomScale="110" zoomScaleNormal="110" workbookViewId="0">
      <selection activeCell="B4" sqref="B4:D5"/>
    </sheetView>
  </sheetViews>
  <sheetFormatPr baseColWidth="10" defaultColWidth="9.140625" defaultRowHeight="15" x14ac:dyDescent="0.25"/>
  <cols>
    <col min="1" max="1" width="3.140625" customWidth="1"/>
    <col min="2" max="2" width="10.28515625" customWidth="1"/>
    <col min="3" max="3" width="26.28515625" customWidth="1"/>
    <col min="4" max="4" width="30" customWidth="1"/>
    <col min="5" max="5" width="9.85546875" customWidth="1"/>
    <col min="6" max="6" width="20.85546875" customWidth="1"/>
  </cols>
  <sheetData>
    <row r="1" spans="2:8" s="42" customFormat="1" ht="44.25" customHeight="1" thickBot="1" x14ac:dyDescent="0.3"/>
    <row r="2" spans="2:8" s="59" customFormat="1" ht="15.75" thickBot="1" x14ac:dyDescent="0.3">
      <c r="B2" s="109"/>
      <c r="C2" s="214" t="s">
        <v>255</v>
      </c>
      <c r="D2" s="57" t="s">
        <v>1053</v>
      </c>
      <c r="E2" s="109"/>
      <c r="F2" s="109"/>
      <c r="G2" s="109"/>
      <c r="H2" s="109"/>
    </row>
    <row r="3" spans="2:8" s="59" customFormat="1" ht="15.75" thickBot="1" x14ac:dyDescent="0.3">
      <c r="B3" s="215"/>
      <c r="C3" s="216" t="s">
        <v>1</v>
      </c>
      <c r="D3" s="216" t="s">
        <v>4</v>
      </c>
      <c r="E3" s="216" t="s">
        <v>2</v>
      </c>
      <c r="F3" s="216" t="s">
        <v>309</v>
      </c>
      <c r="G3" s="216" t="s">
        <v>113</v>
      </c>
      <c r="H3" s="217" t="s">
        <v>114</v>
      </c>
    </row>
    <row r="4" spans="2:8" s="59" customFormat="1" x14ac:dyDescent="0.25">
      <c r="B4" s="218"/>
      <c r="C4" s="133"/>
      <c r="D4" s="114"/>
      <c r="E4" s="133"/>
      <c r="F4" s="219"/>
      <c r="G4" s="133"/>
      <c r="H4" s="220"/>
    </row>
    <row r="5" spans="2:8" s="59" customFormat="1" ht="15.75" thickBot="1" x14ac:dyDescent="0.3">
      <c r="B5" s="136"/>
      <c r="C5" s="128"/>
      <c r="D5" s="128"/>
      <c r="E5" s="128"/>
      <c r="F5" s="221"/>
      <c r="G5" s="128"/>
      <c r="H5" s="222"/>
    </row>
  </sheetData>
  <phoneticPr fontId="2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Munka12"/>
  <dimension ref="A1:BU18"/>
  <sheetViews>
    <sheetView workbookViewId="0">
      <selection activeCell="B10" sqref="B10:G18"/>
    </sheetView>
  </sheetViews>
  <sheetFormatPr baseColWidth="10" defaultColWidth="9.140625" defaultRowHeight="15" x14ac:dyDescent="0.25"/>
  <cols>
    <col min="1" max="1" width="9.140625" style="8"/>
    <col min="2" max="7" width="16.28515625" style="8" customWidth="1"/>
    <col min="8" max="73" width="9.140625" style="8"/>
  </cols>
  <sheetData>
    <row r="1" spans="2:7" ht="15.75" thickBot="1" x14ac:dyDescent="0.3"/>
    <row r="2" spans="2:7" x14ac:dyDescent="0.25">
      <c r="B2" s="9"/>
      <c r="C2" s="10"/>
      <c r="D2" s="10"/>
      <c r="E2" s="10"/>
      <c r="F2" s="10"/>
      <c r="G2" s="11"/>
    </row>
    <row r="3" spans="2:7" x14ac:dyDescent="0.25">
      <c r="B3" s="1155" t="s">
        <v>106</v>
      </c>
      <c r="C3" s="1156"/>
      <c r="D3" s="1156"/>
      <c r="E3" s="1156"/>
      <c r="F3" s="1156"/>
      <c r="G3" s="1157"/>
    </row>
    <row r="4" spans="2:7" x14ac:dyDescent="0.25">
      <c r="B4" s="1155"/>
      <c r="C4" s="1156"/>
      <c r="D4" s="1156"/>
      <c r="E4" s="1156"/>
      <c r="F4" s="1156"/>
      <c r="G4" s="1157"/>
    </row>
    <row r="5" spans="2:7" x14ac:dyDescent="0.25">
      <c r="B5" s="1155"/>
      <c r="C5" s="1156"/>
      <c r="D5" s="1156"/>
      <c r="E5" s="1156"/>
      <c r="F5" s="1156"/>
      <c r="G5" s="1157"/>
    </row>
    <row r="6" spans="2:7" x14ac:dyDescent="0.25">
      <c r="B6" s="1155"/>
      <c r="C6" s="1156"/>
      <c r="D6" s="1156"/>
      <c r="E6" s="1156"/>
      <c r="F6" s="1156"/>
      <c r="G6" s="1157"/>
    </row>
    <row r="7" spans="2:7" x14ac:dyDescent="0.25">
      <c r="B7" s="1155"/>
      <c r="C7" s="1156"/>
      <c r="D7" s="1156"/>
      <c r="E7" s="1156"/>
      <c r="F7" s="1156"/>
      <c r="G7" s="1157"/>
    </row>
    <row r="8" spans="2:7" ht="15.75" thickBot="1" x14ac:dyDescent="0.3">
      <c r="B8" s="1158"/>
      <c r="C8" s="1159"/>
      <c r="D8" s="1159"/>
      <c r="E8" s="1159"/>
      <c r="F8" s="1159"/>
      <c r="G8" s="1160"/>
    </row>
    <row r="10" spans="2:7" x14ac:dyDescent="0.25">
      <c r="B10" s="1161"/>
      <c r="C10" s="1161"/>
      <c r="D10" s="1161"/>
      <c r="E10" s="1161"/>
      <c r="F10" s="1161"/>
      <c r="G10" s="1161"/>
    </row>
    <row r="11" spans="2:7" x14ac:dyDescent="0.25">
      <c r="B11" s="1161"/>
      <c r="C11" s="1161"/>
      <c r="D11" s="1161"/>
      <c r="E11" s="1161"/>
      <c r="F11" s="1161"/>
      <c r="G11" s="1161"/>
    </row>
    <row r="12" spans="2:7" x14ac:dyDescent="0.25">
      <c r="B12" s="1161"/>
      <c r="C12" s="1161"/>
      <c r="D12" s="1161"/>
      <c r="E12" s="1161"/>
      <c r="F12" s="1161"/>
      <c r="G12" s="1161"/>
    </row>
    <row r="13" spans="2:7" x14ac:dyDescent="0.25">
      <c r="B13" s="1161"/>
      <c r="C13" s="1161"/>
      <c r="D13" s="1161"/>
      <c r="E13" s="1161"/>
      <c r="F13" s="1161"/>
      <c r="G13" s="1161"/>
    </row>
    <row r="14" spans="2:7" x14ac:dyDescent="0.25">
      <c r="B14" s="1161"/>
      <c r="C14" s="1161"/>
      <c r="D14" s="1161"/>
      <c r="E14" s="1161"/>
      <c r="F14" s="1161"/>
      <c r="G14" s="1161"/>
    </row>
    <row r="15" spans="2:7" x14ac:dyDescent="0.25">
      <c r="B15" s="1161"/>
      <c r="C15" s="1161"/>
      <c r="D15" s="1161"/>
      <c r="E15" s="1161"/>
      <c r="F15" s="1161"/>
      <c r="G15" s="1161"/>
    </row>
    <row r="16" spans="2:7" x14ac:dyDescent="0.25">
      <c r="B16" s="1161"/>
      <c r="C16" s="1161"/>
      <c r="D16" s="1161"/>
      <c r="E16" s="1161"/>
      <c r="F16" s="1161"/>
      <c r="G16" s="1161"/>
    </row>
    <row r="17" spans="2:7" x14ac:dyDescent="0.25">
      <c r="B17" s="1161"/>
      <c r="C17" s="1161"/>
      <c r="D17" s="1161"/>
      <c r="E17" s="1161"/>
      <c r="F17" s="1161"/>
      <c r="G17" s="1161"/>
    </row>
    <row r="18" spans="2:7" x14ac:dyDescent="0.25">
      <c r="B18" s="1161"/>
      <c r="C18" s="1161"/>
      <c r="D18" s="1161"/>
      <c r="E18" s="1161"/>
      <c r="F18" s="1161"/>
      <c r="G18" s="1161"/>
    </row>
  </sheetData>
  <sheetProtection selectLockedCells="1" selectUnlockedCells="1"/>
  <mergeCells count="2">
    <mergeCell ref="B3:G8"/>
    <mergeCell ref="B10:G18"/>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unka11"/>
  <dimension ref="A1:C9"/>
  <sheetViews>
    <sheetView workbookViewId="0">
      <selection activeCell="A10" sqref="A10"/>
    </sheetView>
  </sheetViews>
  <sheetFormatPr baseColWidth="10" defaultColWidth="9.140625" defaultRowHeight="15" x14ac:dyDescent="0.25"/>
  <cols>
    <col min="1" max="1" width="14.140625" bestFit="1" customWidth="1"/>
    <col min="2" max="2" width="4" bestFit="1" customWidth="1"/>
    <col min="3" max="3" width="12.85546875" bestFit="1" customWidth="1"/>
  </cols>
  <sheetData>
    <row r="1" spans="1:3" x14ac:dyDescent="0.25">
      <c r="A1" t="s">
        <v>104</v>
      </c>
      <c r="B1" s="7">
        <v>387</v>
      </c>
    </row>
    <row r="2" spans="1:3" x14ac:dyDescent="0.25">
      <c r="A2" t="s">
        <v>105</v>
      </c>
      <c r="B2" s="7">
        <v>441</v>
      </c>
    </row>
    <row r="3" spans="1:3" x14ac:dyDescent="0.25">
      <c r="A3" t="s">
        <v>107</v>
      </c>
      <c r="B3">
        <v>517</v>
      </c>
    </row>
    <row r="4" spans="1:3" x14ac:dyDescent="0.25">
      <c r="A4" t="s">
        <v>110</v>
      </c>
      <c r="B4">
        <v>444</v>
      </c>
    </row>
    <row r="5" spans="1:3" x14ac:dyDescent="0.25">
      <c r="A5" t="s">
        <v>117</v>
      </c>
      <c r="B5">
        <v>364</v>
      </c>
    </row>
    <row r="6" spans="1:3" x14ac:dyDescent="0.25">
      <c r="A6" t="s">
        <v>123</v>
      </c>
      <c r="B6">
        <v>418</v>
      </c>
    </row>
    <row r="7" spans="1:3" x14ac:dyDescent="0.25">
      <c r="A7" t="s">
        <v>124</v>
      </c>
      <c r="B7">
        <v>510</v>
      </c>
    </row>
    <row r="8" spans="1:3" x14ac:dyDescent="0.25">
      <c r="A8" t="s">
        <v>126</v>
      </c>
      <c r="B8">
        <v>452</v>
      </c>
      <c r="C8" t="s">
        <v>127</v>
      </c>
    </row>
    <row r="9" spans="1:3" x14ac:dyDescent="0.25">
      <c r="A9" t="s">
        <v>128</v>
      </c>
      <c r="B9">
        <v>611</v>
      </c>
      <c r="C9" t="s">
        <v>129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B1:H3"/>
  <sheetViews>
    <sheetView workbookViewId="0">
      <selection activeCell="C8" sqref="C8"/>
    </sheetView>
  </sheetViews>
  <sheetFormatPr baseColWidth="10" defaultColWidth="9.140625" defaultRowHeight="15" x14ac:dyDescent="0.25"/>
  <cols>
    <col min="3" max="3" width="34.140625" customWidth="1"/>
    <col min="6" max="6" width="10.28515625" customWidth="1"/>
    <col min="8" max="8" width="24.7109375" customWidth="1"/>
  </cols>
  <sheetData>
    <row r="1" spans="2:8" s="42" customFormat="1" ht="42.75" customHeight="1" thickBot="1" x14ac:dyDescent="0.3"/>
    <row r="2" spans="2:8" ht="15.75" thickBot="1" x14ac:dyDescent="0.3">
      <c r="B2" s="121"/>
      <c r="C2" s="122" t="s">
        <v>752</v>
      </c>
      <c r="D2" s="121"/>
      <c r="E2" s="121"/>
      <c r="F2" s="121"/>
      <c r="G2" s="123"/>
      <c r="H2" s="123"/>
    </row>
    <row r="3" spans="2:8" ht="15.75" thickBot="1" x14ac:dyDescent="0.3">
      <c r="B3" s="124" t="s">
        <v>0</v>
      </c>
      <c r="C3" s="125" t="s">
        <v>1</v>
      </c>
      <c r="D3" s="112" t="s">
        <v>149</v>
      </c>
      <c r="E3" s="125" t="s">
        <v>2</v>
      </c>
      <c r="F3" s="125" t="s">
        <v>309</v>
      </c>
      <c r="G3" s="125" t="s">
        <v>113</v>
      </c>
      <c r="H3" s="126" t="s">
        <v>114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16</vt:i4>
      </vt:variant>
      <vt:variant>
        <vt:lpstr>Plages nommées</vt:lpstr>
      </vt:variant>
      <vt:variant>
        <vt:i4>2211</vt:i4>
      </vt:variant>
    </vt:vector>
  </HeadingPairs>
  <TitlesOfParts>
    <vt:vector size="2227" baseType="lpstr">
      <vt:lpstr>Help</vt:lpstr>
      <vt:lpstr>Parameters</vt:lpstr>
      <vt:lpstr>PU parameters</vt:lpstr>
      <vt:lpstr>Model</vt:lpstr>
      <vt:lpstr>pH</vt:lpstr>
      <vt:lpstr>Tableau</vt:lpstr>
      <vt:lpstr>Components</vt:lpstr>
      <vt:lpstr>Algebraic model</vt:lpstr>
      <vt:lpstr>Expert knowledge</vt:lpstr>
      <vt:lpstr>Calculated variables</vt:lpstr>
      <vt:lpstr>systemcode_functions</vt:lpstr>
      <vt:lpstr>systemcode_constants</vt:lpstr>
      <vt:lpstr>other parameters</vt:lpstr>
      <vt:lpstr>Functions</vt:lpstr>
      <vt:lpstr>Code</vt:lpstr>
      <vt:lpstr>Species</vt:lpstr>
      <vt:lpstr>µ_ALGAE</vt:lpstr>
      <vt:lpstr>µ_ALGAE_T</vt:lpstr>
      <vt:lpstr>µ_AMETO</vt:lpstr>
      <vt:lpstr>µ_AMETO_T</vt:lpstr>
      <vt:lpstr>µ_FERM_OHO</vt:lpstr>
      <vt:lpstr>µ_FERM_OHO_T</vt:lpstr>
      <vt:lpstr>µ_HMETO</vt:lpstr>
      <vt:lpstr>µ_HMETO_T</vt:lpstr>
      <vt:lpstr>µ_NITO</vt:lpstr>
      <vt:lpstr>µ_NITO_T</vt:lpstr>
      <vt:lpstr>µ_OHO</vt:lpstr>
      <vt:lpstr>µ_OHO_T</vt:lpstr>
      <vt:lpstr>A_AR</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A_MCs</vt:lpstr>
      <vt:lpstr>A_MCu</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A_UR</vt:lpstr>
      <vt:lpstr>b_ALGAE</vt:lpstr>
      <vt:lpstr>b_ALGAE_T</vt:lpstr>
      <vt:lpstr>b_AMETO</vt:lpstr>
      <vt:lpstr>b_AMETO_T</vt:lpstr>
      <vt:lpstr>B_H2O</vt:lpstr>
      <vt:lpstr>b_HMETO</vt:lpstr>
      <vt:lpstr>b_HMETO_T</vt:lpstr>
      <vt:lpstr>b_NITO</vt:lpstr>
      <vt:lpstr>b_NITO_T</vt:lpstr>
      <vt:lpstr>b_OHO</vt:lpstr>
      <vt:lpstr>b_OHO_T</vt:lpstr>
      <vt:lpstr>c_cm_m</vt:lpstr>
      <vt:lpstr>c_cm2_m2</vt:lpstr>
      <vt:lpstr>c_cm3_m3</vt:lpstr>
      <vt:lpstr>c_g_kg</vt:lpstr>
      <vt:lpstr>c_h_d</vt:lpstr>
      <vt:lpstr>C_H2O</vt:lpstr>
      <vt:lpstr>C_HNHx</vt:lpstr>
      <vt:lpstr>C_HNO3</vt:lpstr>
      <vt:lpstr>C_HPO4</vt:lpstr>
      <vt:lpstr>c_kJ_MJ</vt:lpstr>
      <vt:lpstr>c_L_m3</vt:lpstr>
      <vt:lpstr>c_mg_g</vt:lpstr>
      <vt:lpstr>c_min_h</vt:lpstr>
      <vt:lpstr>c_ms_d</vt:lpstr>
      <vt:lpstr>c_ms_h</vt:lpstr>
      <vt:lpstr>c_ms_min</vt:lpstr>
      <vt:lpstr>c_ms_s</vt:lpstr>
      <vt:lpstr>c_oeffdamp_ALPHA</vt:lpstr>
      <vt:lpstr>c_oefflead_TSS_α_mech</vt:lpstr>
      <vt:lpstr>c_oefflin_TSS_α_mech</vt:lpstr>
      <vt:lpstr>c_onstTSS_α_mech</vt:lpstr>
      <vt:lpstr>c_orrh_diff_α</vt:lpstr>
      <vt:lpstr>c_orrTSS_α</vt:lpstr>
      <vt:lpstr>c_p_water</vt:lpstr>
      <vt:lpstr>c_Pa_bar</vt:lpstr>
      <vt:lpstr>c_Pa_Hgmm</vt:lpstr>
      <vt:lpstr>c_percent_fraction</vt:lpstr>
      <vt:lpstr>c_percent_Vconc</vt:lpstr>
      <vt:lpstr>c_ppm_Vconc</vt:lpstr>
      <vt:lpstr>c_s_d</vt:lpstr>
      <vt:lpstr>c_s_h</vt:lpstr>
      <vt:lpstr>conc_Hp_Ieq</vt:lpstr>
      <vt:lpstr>d_ampALPHA</vt:lpstr>
      <vt:lpstr>D_CB</vt:lpstr>
      <vt:lpstr>D_CU</vt:lpstr>
      <vt:lpstr>D_eltaHbio</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d_Hdiss_CO2_1</vt:lpstr>
      <vt:lpstr>d_Hdiss_CO2_2</vt:lpstr>
      <vt:lpstr>d_Hdiss_H2O</vt:lpstr>
      <vt:lpstr>d_Hdiss_NO2</vt:lpstr>
      <vt:lpstr>d_Hdiss_PO4_1</vt:lpstr>
      <vt:lpstr>d_Hdiss_PO4_2</vt:lpstr>
      <vt:lpstr>d_Hdiss_PO4_3</vt:lpstr>
      <vt:lpstr>d_Hdiss_S_1</vt:lpstr>
      <vt:lpstr>d_Hdiss_S_2</vt:lpstr>
      <vt:lpstr>d_Hdiss_SO4_1</vt:lpstr>
      <vt:lpstr>d_Hdiss_SO4_2</vt:lpstr>
      <vt:lpstr>d_Hdiss_VFA</vt:lpstr>
      <vt:lpstr>d_Hion_amm</vt:lpstr>
      <vt:lpstr>d_HMgCO3</vt:lpstr>
      <vt:lpstr>d_HMgH2PO4p</vt:lpstr>
      <vt:lpstr>d_HMgHCO3p</vt:lpstr>
      <vt:lpstr>d_HMgHPO4</vt:lpstr>
      <vt:lpstr>d_HMgOHp</vt:lpstr>
      <vt:lpstr>d_HMgPO4m</vt:lpstr>
      <vt:lpstr>d_HNaHPO4m</vt:lpstr>
      <vt:lpstr>D_isplay_µALGAE_T</vt:lpstr>
      <vt:lpstr>D_isplay_µAOB_T</vt:lpstr>
      <vt:lpstr>D_isplay_BellinhpH_AOB</vt:lpstr>
      <vt:lpstr>D_isplay_LightSwitch</vt:lpstr>
      <vt:lpstr>D_isplay_LogsatpHCO2_AOB</vt:lpstr>
      <vt:lpstr>D_isplay_MinhpHHNO2_AOB</vt:lpstr>
      <vt:lpstr>D_isplay_MinhpHNH3_NITO</vt:lpstr>
      <vt:lpstr>D_isplay_MinhSNHx_KiNHx_ALGAE</vt:lpstr>
      <vt:lpstr>D_isplay_MsatSALK_KALK</vt:lpstr>
      <vt:lpstr>D_isplay_MsatSAN_KAN</vt:lpstr>
      <vt:lpstr>D_isplay_MsatSCa_KCa</vt:lpstr>
      <vt:lpstr>D_isplay_MsatSCAT_KCAT</vt:lpstr>
      <vt:lpstr>D_isplay_MsatSCO2_KCO2_ALGAE</vt:lpstr>
      <vt:lpstr>D_isplay_MsatSMg_KMg</vt:lpstr>
      <vt:lpstr>D_isplay_MsatSNHx_KNHx_ALGAE</vt:lpstr>
      <vt:lpstr>D_isplay_MsatSNHx_KNHx_AOB</vt:lpstr>
      <vt:lpstr>D_isplay_MsatSNOx_KNOx_ALGAE</vt:lpstr>
      <vt:lpstr>D_isplay_MsatSO2_KO2_AOB</vt:lpstr>
      <vt:lpstr>D_isplay_MsatSPO4_KPO4_BIO</vt:lpstr>
      <vt:lpstr>D_isplay_MsatSSO4_KSO4_BIO</vt:lpstr>
      <vt:lpstr>D_isplay_XALGAE</vt:lpstr>
      <vt:lpstr>D_isplay_XAOB</vt:lpstr>
      <vt:lpstr>D_NBS</vt:lpstr>
      <vt:lpstr>D_NH3</vt:lpstr>
      <vt:lpstr>D_NO3</vt:lpstr>
      <vt:lpstr>D_NUS</vt:lpstr>
      <vt:lpstr>D_PO4</vt:lpstr>
      <vt:lpstr>D_SA</vt:lpstr>
      <vt:lpstr>D_SALK</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D_SI</vt:lpstr>
      <vt:lpstr>D_SK</vt:lpstr>
      <vt:lpstr>D_SMEOL</vt:lpstr>
      <vt:lpstr>D_SMg</vt:lpstr>
      <vt:lpstr>D_SMM_index</vt:lpstr>
      <vt:lpstr>D_SN_B</vt:lpstr>
      <vt:lpstr>D_SN2</vt:lpstr>
      <vt:lpstr>D_SND</vt:lpstr>
      <vt:lpstr>D_SNH</vt:lpstr>
      <vt:lpstr>D_SNH4</vt:lpstr>
      <vt:lpstr>D_SNHx</vt:lpstr>
      <vt:lpstr>D_SNO2</vt:lpstr>
      <vt:lpstr>D_SNO3</vt:lpstr>
      <vt:lpstr>D_SNOx</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E_EQNO</vt:lpstr>
      <vt:lpstr>E_EQNO_NO2</vt:lpstr>
      <vt:lpstr>E_EQNO2</vt:lpstr>
      <vt:lpstr>E_EQNO2_NO3</vt:lpstr>
      <vt:lpstr>E_EQNO3</vt:lpstr>
      <vt:lpstr>E_EQS</vt:lpstr>
      <vt:lpstr>e_rrorNHx_NOx</vt:lpstr>
      <vt:lpstr>F__</vt:lpstr>
      <vt:lpstr>f_Ar_air</vt:lpstr>
      <vt:lpstr>f_bw_floc</vt:lpstr>
      <vt:lpstr>f_CO2_air</vt:lpstr>
      <vt:lpstr>f_di_IS_an</vt:lpstr>
      <vt:lpstr>f_di_IS_cat</vt:lpstr>
      <vt:lpstr>f_E</vt:lpstr>
      <vt:lpstr>f_H2</vt:lpstr>
      <vt:lpstr>f_H2O_AlOH_TSS</vt:lpstr>
      <vt:lpstr>f_H2O_AlOH_VSS</vt:lpstr>
      <vt:lpstr>f_H2O_FeOH_TSS</vt:lpstr>
      <vt:lpstr>f_H2O_FeOH_VSS</vt:lpstr>
      <vt:lpstr>f_kL_GCH4</vt:lpstr>
      <vt:lpstr>f_kL_GH2</vt:lpstr>
      <vt:lpstr>f_kL_GN2</vt:lpstr>
      <vt:lpstr>f_KS</vt:lpstr>
      <vt:lpstr>f_KS_biofilm</vt:lpstr>
      <vt:lpstr>f_mono_IS_an</vt:lpstr>
      <vt:lpstr>f_mono_IS_cat</vt:lpstr>
      <vt:lpstr>f_N2_air</vt:lpstr>
      <vt:lpstr>f_O2_air</vt:lpstr>
      <vt:lpstr>f_O2_max_ALPHA</vt:lpstr>
      <vt:lpstr>f_P_Al</vt:lpstr>
      <vt:lpstr>f_P_Fe</vt:lpstr>
      <vt:lpstr>f_S_BOD5_BODult</vt:lpstr>
      <vt:lpstr>f_tri_IS_an</vt:lpstr>
      <vt:lpstr>f_tri_IS_cat</vt:lpstr>
      <vt:lpstr>f_X_BOD5_BODult</vt:lpstr>
      <vt:lpstr>G_CH4</vt:lpstr>
      <vt:lpstr>G_CH4_atm</vt:lpstr>
      <vt:lpstr>g_grav</vt:lpstr>
      <vt:lpstr>G_H2</vt:lpstr>
      <vt:lpstr>G_H2_atm</vt:lpstr>
      <vt:lpstr>G_N2</vt:lpstr>
      <vt:lpstr>G_N2_atm</vt:lpstr>
      <vt:lpstr>G_O2</vt:lpstr>
      <vt:lpstr>G_O2_atm</vt:lpstr>
      <vt:lpstr>H_Acm</vt:lpstr>
      <vt:lpstr>H_Ca2p</vt:lpstr>
      <vt:lpstr>H_CO32m</vt:lpstr>
      <vt:lpstr>h_diff</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H_null</vt:lpstr>
      <vt:lpstr>H_OHm</vt:lpstr>
      <vt:lpstr>H_PO43m</vt:lpstr>
      <vt:lpstr>H_S2m</vt:lpstr>
      <vt:lpstr>H_SO42m</vt:lpstr>
      <vt:lpstr>H_STP</vt:lpstr>
      <vt:lpstr>i_CV_BIO</vt:lpstr>
      <vt:lpstr>i_CV_SB</vt:lpstr>
      <vt:lpstr>i_CV_SU</vt:lpstr>
      <vt:lpstr>i_CV_XB</vt:lpstr>
      <vt:lpstr>i_CV_XE</vt:lpstr>
      <vt:lpstr>i_CV_XU</vt:lpstr>
      <vt:lpstr>i_iw_BIO</vt:lpstr>
      <vt:lpstr>i_N_ALGAE</vt:lpstr>
      <vt:lpstr>i_N_BIO</vt:lpstr>
      <vt:lpstr>i_N_SU</vt:lpstr>
      <vt:lpstr>i_N_XE</vt:lpstr>
      <vt:lpstr>i_N_XU</vt:lpstr>
      <vt:lpstr>i_P_ALGAE</vt:lpstr>
      <vt:lpstr>i_P_BIO</vt:lpstr>
      <vt:lpstr>i_vw_BIO</vt:lpstr>
      <vt:lpstr>i_vw_EPS</vt:lpstr>
      <vt:lpstr>i_vw_XB</vt:lpstr>
      <vt:lpstr>i_vw_XE</vt:lpstr>
      <vt:lpstr>i_vw_XU</vt:lpstr>
      <vt:lpstr>i_wh_BIO</vt:lpstr>
      <vt:lpstr>i_wh_EPS</vt:lpstr>
      <vt:lpstr>i_wh_XB</vt:lpstr>
      <vt:lpstr>i_wh_XE</vt:lpstr>
      <vt:lpstr>i_wh_XU</vt:lpstr>
      <vt:lpstr>J_photosynt_solar</vt:lpstr>
      <vt:lpstr>J_photosynt_solar_opt</vt:lpstr>
      <vt:lpstr>K_Ac_param</vt:lpstr>
      <vt:lpstr>K_ALK</vt:lpstr>
      <vt:lpstr>K_ALK_AS</vt:lpstr>
      <vt:lpstr>K_C1_param</vt:lpstr>
      <vt:lpstr>K_C2_param</vt:lpstr>
      <vt:lpstr>K_H2_HMETO</vt:lpstr>
      <vt:lpstr>K_H2_HMETO_AS</vt:lpstr>
      <vt:lpstr>K_H2S_param</vt:lpstr>
      <vt:lpstr>K_HYD</vt:lpstr>
      <vt:lpstr>K_HYD_AS</vt:lpstr>
      <vt:lpstr>K_iNHx_ALGAE</vt:lpstr>
      <vt:lpstr>K_iNHx_ASSIM</vt:lpstr>
      <vt:lpstr>K_iNHx_ASSIM_AS</vt:lpstr>
      <vt:lpstr>K_iO2_AMETO</vt:lpstr>
      <vt:lpstr>K_iO2_AMETO_AS</vt:lpstr>
      <vt:lpstr>K_iO2_HMETO</vt:lpstr>
      <vt:lpstr>K_iO2_HMETO_AS</vt:lpstr>
      <vt:lpstr>k_L_GCH4_bub</vt:lpstr>
      <vt:lpstr>k_L_GCH4_sur</vt:lpstr>
      <vt:lpstr>k_L_GH2_bub</vt:lpstr>
      <vt:lpstr>k_L_GH2_sur</vt:lpstr>
      <vt:lpstr>k_L_GN2_bub</vt:lpstr>
      <vt:lpstr>k_L_GN2_sur</vt:lpstr>
      <vt:lpstr>k_L_GO2_bub</vt:lpstr>
      <vt:lpstr>k_L_GO2_PondSurface</vt:lpstr>
      <vt:lpstr>k_L_GO2_sur</vt:lpstr>
      <vt:lpstr>k_LaGCH4_bub</vt:lpstr>
      <vt:lpstr>k_LaGCH4_sur</vt:lpstr>
      <vt:lpstr>k_LaGCO2_bub</vt:lpstr>
      <vt:lpstr>k_LaGCO2_sur</vt:lpstr>
      <vt:lpstr>k_LaGH2_bub</vt:lpstr>
      <vt:lpstr>k_LaGH2_sur</vt:lpstr>
      <vt:lpstr>k_LaGH2S_bub</vt:lpstr>
      <vt:lpstr>k_LaGH2S_sur</vt:lpstr>
      <vt:lpstr>k_LaGN2_bub</vt:lpstr>
      <vt:lpstr>k_LaGN2_sur</vt:lpstr>
      <vt:lpstr>k_LaGNH3_bub</vt:lpstr>
      <vt:lpstr>k_LaGNH3_sur</vt:lpstr>
      <vt:lpstr>k_LaGO2_bub</vt:lpstr>
      <vt:lpstr>k_LaGO2_sur</vt:lpstr>
      <vt:lpstr>K_NH3_param</vt:lpstr>
      <vt:lpstr>K_NHx_ALGAE</vt:lpstr>
      <vt:lpstr>K_NHx_BIO</vt:lpstr>
      <vt:lpstr>K_NHx_BIO_AS</vt:lpstr>
      <vt:lpstr>K_NHx_NITO</vt:lpstr>
      <vt:lpstr>K_NHx_NITO_AS</vt:lpstr>
      <vt:lpstr>K_NO2_param</vt:lpstr>
      <vt:lpstr>K_NOx_ALGAE</vt:lpstr>
      <vt:lpstr>K_NOx_AMETO</vt:lpstr>
      <vt:lpstr>K_NOx_AMETO_AS</vt:lpstr>
      <vt:lpstr>K_NOx_ASSIM</vt:lpstr>
      <vt:lpstr>K_NOx_ASSIM_AS</vt:lpstr>
      <vt:lpstr>K_NOx_HMETO</vt:lpstr>
      <vt:lpstr>K_NOx_HMETO_AS</vt:lpstr>
      <vt:lpstr>K_NOx_NITO</vt:lpstr>
      <vt:lpstr>K_NOx_NITO_AS</vt:lpstr>
      <vt:lpstr>K_NOx_OHO</vt:lpstr>
      <vt:lpstr>K_NOx_OHO_AS</vt:lpstr>
      <vt:lpstr>K_O2_ALGAE</vt:lpstr>
      <vt:lpstr>K_O2_ALPHA</vt:lpstr>
      <vt:lpstr>K_O2_NITO</vt:lpstr>
      <vt:lpstr>K_O2_NITO_AS</vt:lpstr>
      <vt:lpstr>K_O2_OHO</vt:lpstr>
      <vt:lpstr>K_O2_OHO_AS</vt:lpstr>
      <vt:lpstr>K_OC_PFOA_EQ</vt:lpstr>
      <vt:lpstr>K_OC_PFOS_EQ</vt:lpstr>
      <vt:lpstr>K_ORP_ana</vt:lpstr>
      <vt:lpstr>K_ORP_SNOx</vt:lpstr>
      <vt:lpstr>K_ORP_SO2</vt:lpstr>
      <vt:lpstr>K_P1_param</vt:lpstr>
      <vt:lpstr>K_P2_param</vt:lpstr>
      <vt:lpstr>K_P3_param</vt:lpstr>
      <vt:lpstr>K_PO4_BIO</vt:lpstr>
      <vt:lpstr>K_PO4_BIO_AS</vt:lpstr>
      <vt:lpstr>K_S1_param</vt:lpstr>
      <vt:lpstr>K_S2_param</vt:lpstr>
      <vt:lpstr>K_SB</vt:lpstr>
      <vt:lpstr>K_SB_AS</vt:lpstr>
      <vt:lpstr>K_SO41_param</vt:lpstr>
      <vt:lpstr>K_SO42_param</vt:lpstr>
      <vt:lpstr>K_sp_ACP_param</vt:lpstr>
      <vt:lpstr>K_sp_CaCO3_param</vt:lpstr>
      <vt:lpstr>K_sp_FeS_param</vt:lpstr>
      <vt:lpstr>K_sp_HDP_param</vt:lpstr>
      <vt:lpstr>K_sp_MKP_param</vt:lpstr>
      <vt:lpstr>K_sp_STR_param</vt:lpstr>
      <vt:lpstr>K_sp_Vivi_param</vt:lpstr>
      <vt:lpstr>K_VFA_AMETO</vt:lpstr>
      <vt:lpstr>K_VFA_AMETO_AS</vt:lpstr>
      <vt:lpstr>K_W_param</vt:lpstr>
      <vt:lpstr>K_XB_HYD</vt:lpstr>
      <vt:lpstr>K_XTSS_lightextinction</vt:lpstr>
      <vt:lpstr>K_XU</vt:lpstr>
      <vt:lpstr>L_ightSwitch</vt:lpstr>
      <vt:lpstr>L_oginhXHET_HYD_lim</vt:lpstr>
      <vt:lpstr>L_ograngeXHET_HYD_lim</vt:lpstr>
      <vt:lpstr>L_ogsatXHET_HYD_lim</vt:lpstr>
      <vt:lpstr>L_ogslopeXHET_HYD_lim</vt:lpstr>
      <vt:lpstr>M_inhSNHx_KiNHx_ALGAE</vt:lpstr>
      <vt:lpstr>M_inhSNHx_KiNHx_ASSIM</vt:lpstr>
      <vt:lpstr>M_inhSNOx_KNOx_AMETO</vt:lpstr>
      <vt:lpstr>M_inhSNOx_KNOx_HMETO</vt:lpstr>
      <vt:lpstr>M_inhSNOx_KNOx_NITO</vt:lpstr>
      <vt:lpstr>M_inhSNOx_KNOx_OHO</vt:lpstr>
      <vt:lpstr>M_inhSO2_KiO2_AMETO</vt:lpstr>
      <vt:lpstr>M_inhSO2_KiO2_HMETO</vt:lpstr>
      <vt:lpstr>M_inhSO2_KO2_ALGAE</vt:lpstr>
      <vt:lpstr>M_inhSO2_KO2_NITO</vt:lpstr>
      <vt:lpstr>M_inhSO2_KO2_OHO</vt:lpstr>
      <vt:lpstr>M_MACP</vt:lpstr>
      <vt:lpstr>M_Mair</vt:lpstr>
      <vt:lpstr>M_MAlOH3</vt:lpstr>
      <vt:lpstr>M_MAlPO4</vt:lpstr>
      <vt:lpstr>M_MCaCO3</vt:lpstr>
      <vt:lpstr>M_MCaH2PO4</vt:lpstr>
      <vt:lpstr>M_MCaHCO3</vt:lpstr>
      <vt:lpstr>M_MCaHPO4</vt:lpstr>
      <vt:lpstr>M_MCaOH</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M_MHAP</vt:lpstr>
      <vt:lpstr>M_MHCl</vt:lpstr>
      <vt:lpstr>M_MHCO3</vt:lpstr>
      <vt:lpstr>M_MHDP</vt:lpstr>
      <vt:lpstr>M_MHSO4</vt:lpstr>
      <vt:lpstr>M_MMgCO3</vt:lpstr>
      <vt:lpstr>M_MMgH2PO4</vt:lpstr>
      <vt:lpstr>M_MMgHCO3</vt:lpstr>
      <vt:lpstr>M_MMgHPO4</vt:lpstr>
      <vt:lpstr>M_MMgOH</vt:lpstr>
      <vt:lpstr>M_MMgOH2</vt:lpstr>
      <vt:lpstr>M_MMgPO4</vt:lpstr>
      <vt:lpstr>M_MMKP</vt:lpstr>
      <vt:lpstr>M_MMMC</vt:lpstr>
      <vt:lpstr>M_MN2</vt:lpstr>
      <vt:lpstr>M_MNa2CO3</vt:lpstr>
      <vt:lpstr>M_MNaCl</vt:lpstr>
      <vt:lpstr>M_MNaHCO3</vt:lpstr>
      <vt:lpstr>M_MNaHPO4</vt:lpstr>
      <vt:lpstr>M_MNaOH</vt:lpstr>
      <vt:lpstr>M_MNH3</vt:lpstr>
      <vt:lpstr>M_MNH4</vt:lpstr>
      <vt:lpstr>M_MNO2</vt:lpstr>
      <vt:lpstr>M_MNO3</vt:lpstr>
      <vt:lpstr>M_MO2</vt:lpstr>
      <vt:lpstr>M_MPO4</vt:lpstr>
      <vt:lpstr>M_MSiO2</vt:lpstr>
      <vt:lpstr>M_MSO4</vt:lpstr>
      <vt:lpstr>M_MSTR</vt:lpstr>
      <vt:lpstr>M_MVivi</vt:lpstr>
      <vt:lpstr>M_RsatXB_XHET_KHYD</vt:lpstr>
      <vt:lpstr>M_satSALK_KALK</vt:lpstr>
      <vt:lpstr>M_satSB_KSB</vt:lpstr>
      <vt:lpstr>M_satSB_KVFA_AMETO</vt:lpstr>
      <vt:lpstr>M_satSH2_KH2_HMETO</vt:lpstr>
      <vt:lpstr>M_satSNHx_KNHx_ALGAE</vt:lpstr>
      <vt:lpstr>M_satSNHx_KNHx_BIO</vt:lpstr>
      <vt:lpstr>M_satSNHx_KNHx_NITO</vt:lpstr>
      <vt:lpstr>M_satSNOx_KNOx_ALGAE</vt:lpstr>
      <vt:lpstr>M_satSNOx_KNOx_AMETO</vt:lpstr>
      <vt:lpstr>M_satSNOx_KNOx_ASSIM</vt:lpstr>
      <vt:lpstr>M_satSNOx_KNOx_HMETO</vt:lpstr>
      <vt:lpstr>M_satSNOx_KNOx_NITO</vt:lpstr>
      <vt:lpstr>M_satSNOx_KNOx_OHO</vt:lpstr>
      <vt:lpstr>M_satSO2_KiO2_AMETO</vt:lpstr>
      <vt:lpstr>M_satSO2_KiO2_HMETO</vt:lpstr>
      <vt:lpstr>M_satSO2_KO2_ALGAE</vt:lpstr>
      <vt:lpstr>M_satSO2_KO2_NITO</vt:lpstr>
      <vt:lpstr>M_satSO2_KO2_OHO</vt:lpstr>
      <vt:lpstr>M_satSPO4_KPO4_BIO</vt:lpstr>
      <vt:lpstr>M_satXB_KXB_HYD</vt:lpstr>
      <vt:lpstr>M_satXU_KXU</vt:lpstr>
      <vt:lpstr>m_tox_ana</vt:lpstr>
      <vt:lpstr>m_tox_ana_max</vt:lpstr>
      <vt:lpstr>N_UR</vt:lpstr>
      <vt:lpstr>O_RP</vt:lpstr>
      <vt:lpstr>O_RPana</vt:lpstr>
      <vt:lpstr>O_RPbase</vt:lpstr>
      <vt:lpstr>O_RPmax_SNOx</vt:lpstr>
      <vt:lpstr>O_RPmax_SO2</vt:lpstr>
      <vt:lpstr>O_RPNOx</vt:lpstr>
      <vt:lpstr>O_RPO2</vt:lpstr>
      <vt:lpstr>O_UR</vt:lpstr>
      <vt:lpstr>p_i</vt:lpstr>
      <vt:lpstr>p_N</vt:lpstr>
      <vt:lpstr>p_owdamp_ALPHA</vt:lpstr>
      <vt:lpstr>p_St</vt:lpstr>
      <vt:lpstr>p_STP</vt:lpstr>
      <vt:lpstr>q_AlOH_DISSOL</vt:lpstr>
      <vt:lpstr>q_AlOH_PREC</vt:lpstr>
      <vt:lpstr>q_ALPHA</vt:lpstr>
      <vt:lpstr>q_ALPHA_O2</vt:lpstr>
      <vt:lpstr>q_AMMON</vt:lpstr>
      <vt:lpstr>q_AMMON_T</vt:lpstr>
      <vt:lpstr>q_ASSIM</vt:lpstr>
      <vt:lpstr>q_ASSIM_T</vt:lpstr>
      <vt:lpstr>q_FeOH_DISSOL</vt:lpstr>
      <vt:lpstr>q_FeOH_PREC</vt:lpstr>
      <vt:lpstr>q_HYD</vt:lpstr>
      <vt:lpstr>q_HYD_T</vt:lpstr>
      <vt:lpstr>q_PFOA_SORP</vt:lpstr>
      <vt:lpstr>q_PFOS_SORP</vt:lpstr>
      <vt:lpstr>q_XE</vt:lpstr>
      <vt:lpstr>q_XE_T</vt:lpstr>
      <vt:lpstr>q_XU</vt:lpstr>
      <vt:lpstr>q_XU_T</vt:lpstr>
      <vt:lpstr>R__</vt:lpstr>
      <vt:lpstr>r_1</vt:lpstr>
      <vt:lpstr>r_10</vt:lpstr>
      <vt:lpstr>r_11</vt:lpstr>
      <vt:lpstr>r_12</vt:lpstr>
      <vt:lpstr>r_13</vt:lpstr>
      <vt:lpstr>r_14</vt:lpstr>
      <vt:lpstr>r_15</vt:lpstr>
      <vt:lpstr>r_16</vt:lpstr>
      <vt:lpstr>r_17</vt:lpstr>
      <vt:lpstr>r_18</vt:lpstr>
      <vt:lpstr>r_19</vt:lpstr>
      <vt:lpstr>r_2</vt:lpstr>
      <vt:lpstr>r_20</vt:lpstr>
      <vt:lpstr>r_21</vt:lpstr>
      <vt:lpstr>r_22</vt:lpstr>
      <vt:lpstr>r_23</vt:lpstr>
      <vt:lpstr>r_24</vt:lpstr>
      <vt:lpstr>r_25</vt:lpstr>
      <vt:lpstr>r_26</vt:lpstr>
      <vt:lpstr>r_27</vt:lpstr>
      <vt:lpstr>r_28</vt:lpstr>
      <vt:lpstr>r_29</vt:lpstr>
      <vt:lpstr>r_3</vt:lpstr>
      <vt:lpstr>r_30</vt:lpstr>
      <vt:lpstr>r_31</vt:lpstr>
      <vt:lpstr>r_32</vt:lpstr>
      <vt:lpstr>r_33</vt:lpstr>
      <vt:lpstr>r_34</vt:lpstr>
      <vt:lpstr>r_4</vt:lpstr>
      <vt:lpstr>r_5</vt:lpstr>
      <vt:lpstr>r_6</vt:lpstr>
      <vt:lpstr>r_7</vt:lpstr>
      <vt:lpstr>r_8</vt:lpstr>
      <vt:lpstr>r_9</vt:lpstr>
      <vt:lpstr>R_air</vt:lpstr>
      <vt:lpstr>r_ate_DiffAer_ox_transf</vt:lpstr>
      <vt:lpstr>r_ate_Hbio</vt:lpstr>
      <vt:lpstr>r_ate_SNHx_ALGAE</vt:lpstr>
      <vt:lpstr>r_ate_SNHx_Hydrolysis</vt:lpstr>
      <vt:lpstr>r_ate_SNHx_NITOs</vt:lpstr>
      <vt:lpstr>r_ate_SNHx_OHOs</vt:lpstr>
      <vt:lpstr>r_ate_SNHx_stripping</vt:lpstr>
      <vt:lpstr>r_ate_SNOx_ALGAE</vt:lpstr>
      <vt:lpstr>r_ate_SNOx_NITOs</vt:lpstr>
      <vt:lpstr>r_ate_SNOx_OHOs</vt:lpstr>
      <vt:lpstr>r_ate_SO2_aerator</vt:lpstr>
      <vt:lpstr>r_ate_SO2_ALGAE_resp</vt:lpstr>
      <vt:lpstr>r_ate_SO2_C_oxidation</vt:lpstr>
      <vt:lpstr>r_ate_SO2_Fe_oxidation</vt:lpstr>
      <vt:lpstr>r_ate_SO2_nitrif</vt:lpstr>
      <vt:lpstr>r_ate_SO2_photosynt</vt:lpstr>
      <vt:lpstr>r_ate_SO2_sur</vt:lpstr>
      <vt:lpstr>r_ate_SPO4_ALGAE</vt:lpstr>
      <vt:lpstr>r_ate_SPO4_Hydrolysis</vt:lpstr>
      <vt:lpstr>r_ate_SPO4_NITOs</vt:lpstr>
      <vt:lpstr>r_ate_SPO4_OHOs</vt:lpstr>
      <vt:lpstr>r_ate_SPO4_Precipitation</vt:lpstr>
      <vt:lpstr>r_ate_SurfAer_ox_transf</vt:lpstr>
      <vt:lpstr>r_ate_TCOD_autotrophs</vt:lpstr>
      <vt:lpstr>r_ate_TCOD_oxydation_NO3</vt:lpstr>
      <vt:lpstr>r_ate_TCOD_oxydation_O2</vt:lpstr>
      <vt:lpstr>r_ate_TCOD_photosynt</vt:lpstr>
      <vt:lpstr>r_ate_TCOD_stripping</vt:lpstr>
      <vt:lpstr>r_ate_TN_denit</vt:lpstr>
      <vt:lpstr>r_atioAAR_rbCODDR</vt:lpstr>
      <vt:lpstr>r_atioVSS_TSS</vt:lpstr>
      <vt:lpstr>r_bCODDR</vt:lpstr>
      <vt:lpstr>S_ALK</vt:lpstr>
      <vt:lpstr>S_ALK_input</vt:lpstr>
      <vt:lpstr>S_ALPHA</vt:lpstr>
      <vt:lpstr>S_ALPHA_sat</vt:lpstr>
      <vt:lpstr>S_B</vt:lpstr>
      <vt:lpstr>S_BOD_5</vt:lpstr>
      <vt:lpstr>S_BOD_ult</vt:lpstr>
      <vt:lpstr>S_CCOD</vt:lpstr>
      <vt:lpstr>S_CH4</vt:lpstr>
      <vt:lpstr>S_GCH4_bub_sat</vt:lpstr>
      <vt:lpstr>S_GCH4_sur_sat</vt:lpstr>
      <vt:lpstr>S_GCO2_bub_sat</vt:lpstr>
      <vt:lpstr>S_GCO2_sur_sat</vt:lpstr>
      <vt:lpstr>S_GH2_bub_sat</vt:lpstr>
      <vt:lpstr>S_GH2_sur_sat</vt:lpstr>
      <vt:lpstr>S_GH2S_bub_sat</vt:lpstr>
      <vt:lpstr>S_GH2S_sur_sat</vt:lpstr>
      <vt:lpstr>S_GN2_bub_sat</vt:lpstr>
      <vt:lpstr>S_GN2_sur_sat</vt:lpstr>
      <vt:lpstr>S_GNH3_bub_sat</vt:lpstr>
      <vt:lpstr>S_GNH3_sur_sat</vt:lpstr>
      <vt:lpstr>S_GO2_bub_sat</vt:lpstr>
      <vt:lpstr>S_GO2_sur_sat</vt:lpstr>
      <vt:lpstr>S_H</vt:lpstr>
      <vt:lpstr>S_H2</vt:lpstr>
      <vt:lpstr>S_KN</vt:lpstr>
      <vt:lpstr>s_lh_diff_α</vt:lpstr>
      <vt:lpstr>s_lTSS_α_coarse</vt:lpstr>
      <vt:lpstr>s_lTSS_α_def</vt:lpstr>
      <vt:lpstr>S_N_B</vt:lpstr>
      <vt:lpstr>S_N2</vt:lpstr>
      <vt:lpstr>S_NHx</vt:lpstr>
      <vt:lpstr>S_NOx</vt:lpstr>
      <vt:lpstr>S_O2</vt:lpstr>
      <vt:lpstr>S_OTRaerator</vt:lpstr>
      <vt:lpstr>S_OTRsur</vt:lpstr>
      <vt:lpstr>S_OTRsur_min</vt:lpstr>
      <vt:lpstr>S_P</vt:lpstr>
      <vt:lpstr>S_PFOA</vt:lpstr>
      <vt:lpstr>S_PFOS</vt:lpstr>
      <vt:lpstr>S_PO4</vt:lpstr>
      <vt:lpstr>S_rbCOD</vt:lpstr>
      <vt:lpstr>S_U</vt:lpstr>
      <vt:lpstr>S_U_N</vt:lpstr>
      <vt:lpstr>S_umo__MSatMin</vt:lpstr>
      <vt:lpstr>S_umo__pHEffects</vt:lpstr>
      <vt:lpstr>T__</vt:lpstr>
      <vt:lpstr>T_base</vt:lpstr>
      <vt:lpstr>T_BOD_5</vt:lpstr>
      <vt:lpstr>T_BOD_ult</vt:lpstr>
      <vt:lpstr>T_COD</vt:lpstr>
      <vt:lpstr>T_COD_Th</vt:lpstr>
      <vt:lpstr>T_IN</vt:lpstr>
      <vt:lpstr>T_K</vt:lpstr>
      <vt:lpstr>T_KN</vt:lpstr>
      <vt:lpstr>T_N</vt:lpstr>
      <vt:lpstr>T_NTP_K</vt:lpstr>
      <vt:lpstr>T_null</vt:lpstr>
      <vt:lpstr>T_P</vt:lpstr>
      <vt:lpstr>T_PFOA</vt:lpstr>
      <vt:lpstr>T_PFOS</vt:lpstr>
      <vt:lpstr>T_st_K</vt:lpstr>
      <vt:lpstr>T_STP_K</vt:lpstr>
      <vt:lpstr>v_1_GCH4</vt:lpstr>
      <vt:lpstr>v_1_GCH4_atm</vt:lpstr>
      <vt:lpstr>v_1_GH2</vt:lpstr>
      <vt:lpstr>v_1_GH2_atm</vt:lpstr>
      <vt:lpstr>v_1_GN2</vt:lpstr>
      <vt:lpstr>v_1_GN2_atm</vt:lpstr>
      <vt:lpstr>v_1_GO2</vt:lpstr>
      <vt:lpstr>v_1_GO2_atm</vt:lpstr>
      <vt:lpstr>v_1_SALK</vt:lpstr>
      <vt:lpstr>v_1_SALPHA</vt:lpstr>
      <vt:lpstr>v_1_SB</vt:lpstr>
      <vt:lpstr>v_1_SCH4</vt:lpstr>
      <vt:lpstr>v_1_SH</vt:lpstr>
      <vt:lpstr>v_1_SH2</vt:lpstr>
      <vt:lpstr>v_1_SN_B</vt:lpstr>
      <vt:lpstr>v_1_SN2</vt:lpstr>
      <vt:lpstr>v_1_SNHx</vt:lpstr>
      <vt:lpstr>v_1_SNOx</vt:lpstr>
      <vt:lpstr>v_1_SO2</vt:lpstr>
      <vt:lpstr>v_1_SPFOA</vt:lpstr>
      <vt:lpstr>v_1_SPFOS</vt:lpstr>
      <vt:lpstr>v_1_SPO4</vt:lpstr>
      <vt:lpstr>v_1_SU</vt:lpstr>
      <vt:lpstr>v_1_XALGAE</vt:lpstr>
      <vt:lpstr>v_1_XAlOH</vt:lpstr>
      <vt:lpstr>v_1_XAlP</vt:lpstr>
      <vt:lpstr>v_1_XAMETO</vt:lpstr>
      <vt:lpstr>v_1_XB</vt:lpstr>
      <vt:lpstr>v_1_XE</vt:lpstr>
      <vt:lpstr>v_1_XFeOH</vt:lpstr>
      <vt:lpstr>v_1_XFeP</vt:lpstr>
      <vt:lpstr>v_1_XHMETO</vt:lpstr>
      <vt:lpstr>v_1_XINORG</vt:lpstr>
      <vt:lpstr>v_1_XN_B</vt:lpstr>
      <vt:lpstr>v_1_XNITO</vt:lpstr>
      <vt:lpstr>v_1_XOHO</vt:lpstr>
      <vt:lpstr>v_1_XP_B</vt:lpstr>
      <vt:lpstr>v_1_XPFOA</vt:lpstr>
      <vt:lpstr>v_1_XPFOS</vt:lpstr>
      <vt:lpstr>v_1_XU</vt:lpstr>
      <vt:lpstr>v_10_GCH4</vt:lpstr>
      <vt:lpstr>v_10_GCH4_atm</vt:lpstr>
      <vt:lpstr>v_10_GH2</vt:lpstr>
      <vt:lpstr>v_10_GH2_atm</vt:lpstr>
      <vt:lpstr>v_10_GN2</vt:lpstr>
      <vt:lpstr>v_10_GN2_atm</vt:lpstr>
      <vt:lpstr>v_10_GO2</vt:lpstr>
      <vt:lpstr>v_10_GO2_atm</vt:lpstr>
      <vt:lpstr>v_10_SALK</vt:lpstr>
      <vt:lpstr>v_10_SALPHA</vt:lpstr>
      <vt:lpstr>v_10_SB</vt:lpstr>
      <vt:lpstr>v_10_SCH4</vt:lpstr>
      <vt:lpstr>v_10_SH</vt:lpstr>
      <vt:lpstr>v_10_SH2</vt:lpstr>
      <vt:lpstr>v_10_SN_B</vt:lpstr>
      <vt:lpstr>v_10_SN2</vt:lpstr>
      <vt:lpstr>v_10_SNHx</vt:lpstr>
      <vt:lpstr>v_10_SNOx</vt:lpstr>
      <vt:lpstr>v_10_SO2</vt:lpstr>
      <vt:lpstr>v_10_SPFOA</vt:lpstr>
      <vt:lpstr>v_10_SPFOS</vt:lpstr>
      <vt:lpstr>v_10_SPO4</vt:lpstr>
      <vt:lpstr>v_10_SU</vt:lpstr>
      <vt:lpstr>v_10_XALGAE</vt:lpstr>
      <vt:lpstr>v_10_XAlOH</vt:lpstr>
      <vt:lpstr>v_10_XAlP</vt:lpstr>
      <vt:lpstr>v_10_XAMETO</vt:lpstr>
      <vt:lpstr>v_10_XB</vt:lpstr>
      <vt:lpstr>v_10_XE</vt:lpstr>
      <vt:lpstr>v_10_XFeOH</vt:lpstr>
      <vt:lpstr>v_10_XFeP</vt:lpstr>
      <vt:lpstr>v_10_XHMETO</vt:lpstr>
      <vt:lpstr>v_10_XINORG</vt:lpstr>
      <vt:lpstr>v_10_XN_B</vt:lpstr>
      <vt:lpstr>v_10_XNITO</vt:lpstr>
      <vt:lpstr>v_10_XOHO</vt:lpstr>
      <vt:lpstr>v_10_XP_B</vt:lpstr>
      <vt:lpstr>v_10_XPFOA</vt:lpstr>
      <vt:lpstr>v_10_XPFOS</vt:lpstr>
      <vt:lpstr>v_10_XU</vt:lpstr>
      <vt:lpstr>v_11_GCH4</vt:lpstr>
      <vt:lpstr>v_11_GCH4_atm</vt:lpstr>
      <vt:lpstr>v_11_GH2</vt:lpstr>
      <vt:lpstr>v_11_GH2_atm</vt:lpstr>
      <vt:lpstr>v_11_GN2</vt:lpstr>
      <vt:lpstr>v_11_GN2_atm</vt:lpstr>
      <vt:lpstr>v_11_GO2</vt:lpstr>
      <vt:lpstr>v_11_GO2_atm</vt:lpstr>
      <vt:lpstr>v_11_SALK</vt:lpstr>
      <vt:lpstr>v_11_SALPHA</vt:lpstr>
      <vt:lpstr>v_11_SB</vt:lpstr>
      <vt:lpstr>v_11_SCH4</vt:lpstr>
      <vt:lpstr>v_11_SH</vt:lpstr>
      <vt:lpstr>v_11_SH2</vt:lpstr>
      <vt:lpstr>v_11_SN_B</vt:lpstr>
      <vt:lpstr>v_11_SN2</vt:lpstr>
      <vt:lpstr>v_11_SNHx</vt:lpstr>
      <vt:lpstr>v_11_SNOx</vt:lpstr>
      <vt:lpstr>v_11_SO2</vt:lpstr>
      <vt:lpstr>v_11_SPFOA</vt:lpstr>
      <vt:lpstr>v_11_SPFOS</vt:lpstr>
      <vt:lpstr>v_11_SPO4</vt:lpstr>
      <vt:lpstr>v_11_SU</vt:lpstr>
      <vt:lpstr>v_11_XALGAE</vt:lpstr>
      <vt:lpstr>v_11_XAlOH</vt:lpstr>
      <vt:lpstr>v_11_XAlP</vt:lpstr>
      <vt:lpstr>v_11_XAMETO</vt:lpstr>
      <vt:lpstr>v_11_XB</vt:lpstr>
      <vt:lpstr>v_11_XE</vt:lpstr>
      <vt:lpstr>v_11_XFeOH</vt:lpstr>
      <vt:lpstr>v_11_XFeP</vt:lpstr>
      <vt:lpstr>v_11_XHMETO</vt:lpstr>
      <vt:lpstr>v_11_XINORG</vt:lpstr>
      <vt:lpstr>v_11_XN_B</vt:lpstr>
      <vt:lpstr>v_11_XNITO</vt:lpstr>
      <vt:lpstr>v_11_XOHO</vt:lpstr>
      <vt:lpstr>v_11_XP_B</vt:lpstr>
      <vt:lpstr>v_11_XPFOA</vt:lpstr>
      <vt:lpstr>v_11_XPFOS</vt:lpstr>
      <vt:lpstr>v_11_XU</vt:lpstr>
      <vt:lpstr>v_12_GCH4</vt:lpstr>
      <vt:lpstr>v_12_GCH4_atm</vt:lpstr>
      <vt:lpstr>v_12_GH2</vt:lpstr>
      <vt:lpstr>v_12_GH2_atm</vt:lpstr>
      <vt:lpstr>v_12_GN2</vt:lpstr>
      <vt:lpstr>v_12_GN2_atm</vt:lpstr>
      <vt:lpstr>v_12_GO2</vt:lpstr>
      <vt:lpstr>v_12_GO2_atm</vt:lpstr>
      <vt:lpstr>v_12_SALK</vt:lpstr>
      <vt:lpstr>v_12_SALPHA</vt:lpstr>
      <vt:lpstr>v_12_SB</vt:lpstr>
      <vt:lpstr>v_12_SCH4</vt:lpstr>
      <vt:lpstr>v_12_SH</vt:lpstr>
      <vt:lpstr>v_12_SH2</vt:lpstr>
      <vt:lpstr>v_12_SN_B</vt:lpstr>
      <vt:lpstr>v_12_SN2</vt:lpstr>
      <vt:lpstr>v_12_SNHx</vt:lpstr>
      <vt:lpstr>v_12_SNOx</vt:lpstr>
      <vt:lpstr>v_12_SO2</vt:lpstr>
      <vt:lpstr>v_12_SPFOA</vt:lpstr>
      <vt:lpstr>v_12_SPFOS</vt:lpstr>
      <vt:lpstr>v_12_SPO4</vt:lpstr>
      <vt:lpstr>v_12_SU</vt:lpstr>
      <vt:lpstr>v_12_XALGAE</vt:lpstr>
      <vt:lpstr>v_12_XAlOH</vt:lpstr>
      <vt:lpstr>v_12_XAlP</vt:lpstr>
      <vt:lpstr>v_12_XAMETO</vt:lpstr>
      <vt:lpstr>v_12_XB</vt:lpstr>
      <vt:lpstr>v_12_XE</vt:lpstr>
      <vt:lpstr>v_12_XFeOH</vt:lpstr>
      <vt:lpstr>v_12_XFeP</vt:lpstr>
      <vt:lpstr>v_12_XHMETO</vt:lpstr>
      <vt:lpstr>v_12_XINORG</vt:lpstr>
      <vt:lpstr>v_12_XN_B</vt:lpstr>
      <vt:lpstr>v_12_XNITO</vt:lpstr>
      <vt:lpstr>v_12_XOHO</vt:lpstr>
      <vt:lpstr>v_12_XP_B</vt:lpstr>
      <vt:lpstr>v_12_XPFOA</vt:lpstr>
      <vt:lpstr>v_12_XPFOS</vt:lpstr>
      <vt:lpstr>v_12_XU</vt:lpstr>
      <vt:lpstr>v_13_GCH4</vt:lpstr>
      <vt:lpstr>v_13_GCH4_atm</vt:lpstr>
      <vt:lpstr>v_13_GH2</vt:lpstr>
      <vt:lpstr>v_13_GH2_atm</vt:lpstr>
      <vt:lpstr>v_13_GN2</vt:lpstr>
      <vt:lpstr>v_13_GN2_atm</vt:lpstr>
      <vt:lpstr>v_13_GO2</vt:lpstr>
      <vt:lpstr>v_13_GO2_atm</vt:lpstr>
      <vt:lpstr>v_13_SALK</vt:lpstr>
      <vt:lpstr>v_13_SALPHA</vt:lpstr>
      <vt:lpstr>v_13_SB</vt:lpstr>
      <vt:lpstr>v_13_SCH4</vt:lpstr>
      <vt:lpstr>v_13_SH</vt:lpstr>
      <vt:lpstr>v_13_SH2</vt:lpstr>
      <vt:lpstr>v_13_SN_B</vt:lpstr>
      <vt:lpstr>v_13_SN2</vt:lpstr>
      <vt:lpstr>v_13_SNHx</vt:lpstr>
      <vt:lpstr>v_13_SNOx</vt:lpstr>
      <vt:lpstr>v_13_SO2</vt:lpstr>
      <vt:lpstr>v_13_SPFOA</vt:lpstr>
      <vt:lpstr>v_13_SPFOS</vt:lpstr>
      <vt:lpstr>v_13_SPO4</vt:lpstr>
      <vt:lpstr>v_13_SU</vt:lpstr>
      <vt:lpstr>v_13_XALGAE</vt:lpstr>
      <vt:lpstr>v_13_XAlOH</vt:lpstr>
      <vt:lpstr>v_13_XAlP</vt:lpstr>
      <vt:lpstr>v_13_XAMETO</vt:lpstr>
      <vt:lpstr>v_13_XB</vt:lpstr>
      <vt:lpstr>v_13_XE</vt:lpstr>
      <vt:lpstr>v_13_XFeOH</vt:lpstr>
      <vt:lpstr>v_13_XFeP</vt:lpstr>
      <vt:lpstr>v_13_XHMETO</vt:lpstr>
      <vt:lpstr>v_13_XINORG</vt:lpstr>
      <vt:lpstr>v_13_XN_B</vt:lpstr>
      <vt:lpstr>v_13_XNITO</vt:lpstr>
      <vt:lpstr>v_13_XOHO</vt:lpstr>
      <vt:lpstr>v_13_XP_B</vt:lpstr>
      <vt:lpstr>v_13_XPFOA</vt:lpstr>
      <vt:lpstr>v_13_XPFOS</vt:lpstr>
      <vt:lpstr>v_13_XU</vt:lpstr>
      <vt:lpstr>v_14_GCH4</vt:lpstr>
      <vt:lpstr>v_14_GCH4_atm</vt:lpstr>
      <vt:lpstr>v_14_GH2</vt:lpstr>
      <vt:lpstr>v_14_GH2_atm</vt:lpstr>
      <vt:lpstr>v_14_GN2</vt:lpstr>
      <vt:lpstr>v_14_GN2_atm</vt:lpstr>
      <vt:lpstr>v_14_GO2</vt:lpstr>
      <vt:lpstr>v_14_GO2_atm</vt:lpstr>
      <vt:lpstr>v_14_SALK</vt:lpstr>
      <vt:lpstr>v_14_SALPHA</vt:lpstr>
      <vt:lpstr>v_14_SB</vt:lpstr>
      <vt:lpstr>v_14_SCH4</vt:lpstr>
      <vt:lpstr>v_14_SH</vt:lpstr>
      <vt:lpstr>v_14_SH2</vt:lpstr>
      <vt:lpstr>v_14_SN_B</vt:lpstr>
      <vt:lpstr>v_14_SN2</vt:lpstr>
      <vt:lpstr>v_14_SNHx</vt:lpstr>
      <vt:lpstr>v_14_SNOx</vt:lpstr>
      <vt:lpstr>v_14_SO2</vt:lpstr>
      <vt:lpstr>v_14_SPFOA</vt:lpstr>
      <vt:lpstr>v_14_SPFOS</vt:lpstr>
      <vt:lpstr>v_14_SPO4</vt:lpstr>
      <vt:lpstr>v_14_SU</vt:lpstr>
      <vt:lpstr>v_14_XALGAE</vt:lpstr>
      <vt:lpstr>v_14_XAlOH</vt:lpstr>
      <vt:lpstr>v_14_XAlP</vt:lpstr>
      <vt:lpstr>v_14_XAMETO</vt:lpstr>
      <vt:lpstr>v_14_XB</vt:lpstr>
      <vt:lpstr>v_14_XE</vt:lpstr>
      <vt:lpstr>v_14_XFeOH</vt:lpstr>
      <vt:lpstr>v_14_XFeP</vt:lpstr>
      <vt:lpstr>v_14_XHMETO</vt:lpstr>
      <vt:lpstr>v_14_XINORG</vt:lpstr>
      <vt:lpstr>v_14_XN_B</vt:lpstr>
      <vt:lpstr>v_14_XNITO</vt:lpstr>
      <vt:lpstr>v_14_XOHO</vt:lpstr>
      <vt:lpstr>v_14_XP_B</vt:lpstr>
      <vt:lpstr>v_14_XPFOA</vt:lpstr>
      <vt:lpstr>v_14_XPFOS</vt:lpstr>
      <vt:lpstr>v_14_XU</vt:lpstr>
      <vt:lpstr>v_15_GCH4</vt:lpstr>
      <vt:lpstr>v_15_GCH4_atm</vt:lpstr>
      <vt:lpstr>v_15_GH2</vt:lpstr>
      <vt:lpstr>v_15_GH2_atm</vt:lpstr>
      <vt:lpstr>v_15_GN2</vt:lpstr>
      <vt:lpstr>v_15_GN2_atm</vt:lpstr>
      <vt:lpstr>v_15_GO2</vt:lpstr>
      <vt:lpstr>v_15_GO2_atm</vt:lpstr>
      <vt:lpstr>v_15_SALK</vt:lpstr>
      <vt:lpstr>v_15_SALPHA</vt:lpstr>
      <vt:lpstr>v_15_SB</vt:lpstr>
      <vt:lpstr>v_15_SCH4</vt:lpstr>
      <vt:lpstr>v_15_SH</vt:lpstr>
      <vt:lpstr>v_15_SH2</vt:lpstr>
      <vt:lpstr>v_15_SN_B</vt:lpstr>
      <vt:lpstr>v_15_SN2</vt:lpstr>
      <vt:lpstr>v_15_SNHx</vt:lpstr>
      <vt:lpstr>v_15_SNOx</vt:lpstr>
      <vt:lpstr>v_15_SO2</vt:lpstr>
      <vt:lpstr>v_15_SPFOA</vt:lpstr>
      <vt:lpstr>v_15_SPFOS</vt:lpstr>
      <vt:lpstr>v_15_SPO4</vt:lpstr>
      <vt:lpstr>v_15_SU</vt:lpstr>
      <vt:lpstr>v_15_XALGAE</vt:lpstr>
      <vt:lpstr>v_15_XAlOH</vt:lpstr>
      <vt:lpstr>v_15_XAlP</vt:lpstr>
      <vt:lpstr>v_15_XAMETO</vt:lpstr>
      <vt:lpstr>v_15_XB</vt:lpstr>
      <vt:lpstr>v_15_XE</vt:lpstr>
      <vt:lpstr>v_15_XFeOH</vt:lpstr>
      <vt:lpstr>v_15_XFeP</vt:lpstr>
      <vt:lpstr>v_15_XHMETO</vt:lpstr>
      <vt:lpstr>v_15_XINORG</vt:lpstr>
      <vt:lpstr>v_15_XN_B</vt:lpstr>
      <vt:lpstr>v_15_XNITO</vt:lpstr>
      <vt:lpstr>v_15_XOHO</vt:lpstr>
      <vt:lpstr>v_15_XP_B</vt:lpstr>
      <vt:lpstr>v_15_XPFOA</vt:lpstr>
      <vt:lpstr>v_15_XPFOS</vt:lpstr>
      <vt:lpstr>v_15_XU</vt:lpstr>
      <vt:lpstr>v_16_GCH4</vt:lpstr>
      <vt:lpstr>v_16_GCH4_atm</vt:lpstr>
      <vt:lpstr>v_16_GH2</vt:lpstr>
      <vt:lpstr>v_16_GH2_atm</vt:lpstr>
      <vt:lpstr>v_16_GN2</vt:lpstr>
      <vt:lpstr>v_16_GN2_atm</vt:lpstr>
      <vt:lpstr>v_16_GO2</vt:lpstr>
      <vt:lpstr>v_16_GO2_atm</vt:lpstr>
      <vt:lpstr>v_16_SALK</vt:lpstr>
      <vt:lpstr>v_16_SALPHA</vt:lpstr>
      <vt:lpstr>v_16_SB</vt:lpstr>
      <vt:lpstr>v_16_SCH4</vt:lpstr>
      <vt:lpstr>v_16_SH</vt:lpstr>
      <vt:lpstr>v_16_SH2</vt:lpstr>
      <vt:lpstr>v_16_SN_B</vt:lpstr>
      <vt:lpstr>v_16_SN2</vt:lpstr>
      <vt:lpstr>v_16_SNHx</vt:lpstr>
      <vt:lpstr>v_16_SNOx</vt:lpstr>
      <vt:lpstr>v_16_SO2</vt:lpstr>
      <vt:lpstr>v_16_SPFOA</vt:lpstr>
      <vt:lpstr>v_16_SPFOS</vt:lpstr>
      <vt:lpstr>v_16_SPO4</vt:lpstr>
      <vt:lpstr>v_16_SU</vt:lpstr>
      <vt:lpstr>v_16_XALGAE</vt:lpstr>
      <vt:lpstr>v_16_XAlOH</vt:lpstr>
      <vt:lpstr>v_16_XAlP</vt:lpstr>
      <vt:lpstr>v_16_XAMETO</vt:lpstr>
      <vt:lpstr>v_16_XB</vt:lpstr>
      <vt:lpstr>v_16_XE</vt:lpstr>
      <vt:lpstr>v_16_XFeOH</vt:lpstr>
      <vt:lpstr>v_16_XFeP</vt:lpstr>
      <vt:lpstr>v_16_XHMETO</vt:lpstr>
      <vt:lpstr>v_16_XINORG</vt:lpstr>
      <vt:lpstr>v_16_XN_B</vt:lpstr>
      <vt:lpstr>v_16_XNITO</vt:lpstr>
      <vt:lpstr>v_16_XOHO</vt:lpstr>
      <vt:lpstr>v_16_XP_B</vt:lpstr>
      <vt:lpstr>v_16_XPFOA</vt:lpstr>
      <vt:lpstr>v_16_XPFOS</vt:lpstr>
      <vt:lpstr>v_16_XU</vt:lpstr>
      <vt:lpstr>v_17_GCH4</vt:lpstr>
      <vt:lpstr>v_17_GCH4_atm</vt:lpstr>
      <vt:lpstr>v_17_GH2</vt:lpstr>
      <vt:lpstr>v_17_GH2_atm</vt:lpstr>
      <vt:lpstr>v_17_GN2</vt:lpstr>
      <vt:lpstr>v_17_GN2_atm</vt:lpstr>
      <vt:lpstr>v_17_GO2</vt:lpstr>
      <vt:lpstr>v_17_GO2_atm</vt:lpstr>
      <vt:lpstr>v_17_SALK</vt:lpstr>
      <vt:lpstr>v_17_SALPHA</vt:lpstr>
      <vt:lpstr>v_17_SB</vt:lpstr>
      <vt:lpstr>v_17_SCH4</vt:lpstr>
      <vt:lpstr>v_17_SH</vt:lpstr>
      <vt:lpstr>v_17_SH2</vt:lpstr>
      <vt:lpstr>v_17_SN_B</vt:lpstr>
      <vt:lpstr>v_17_SN2</vt:lpstr>
      <vt:lpstr>v_17_SNHx</vt:lpstr>
      <vt:lpstr>v_17_SNOx</vt:lpstr>
      <vt:lpstr>v_17_SO2</vt:lpstr>
      <vt:lpstr>v_17_SPFOA</vt:lpstr>
      <vt:lpstr>v_17_SPFOS</vt:lpstr>
      <vt:lpstr>v_17_SPO4</vt:lpstr>
      <vt:lpstr>v_17_SU</vt:lpstr>
      <vt:lpstr>v_17_XALGAE</vt:lpstr>
      <vt:lpstr>v_17_XAlOH</vt:lpstr>
      <vt:lpstr>v_17_XAlP</vt:lpstr>
      <vt:lpstr>v_17_XAMETO</vt:lpstr>
      <vt:lpstr>v_17_XB</vt:lpstr>
      <vt:lpstr>v_17_XE</vt:lpstr>
      <vt:lpstr>v_17_XFeOH</vt:lpstr>
      <vt:lpstr>v_17_XFeP</vt:lpstr>
      <vt:lpstr>v_17_XHMETO</vt:lpstr>
      <vt:lpstr>v_17_XINORG</vt:lpstr>
      <vt:lpstr>v_17_XN_B</vt:lpstr>
      <vt:lpstr>v_17_XNITO</vt:lpstr>
      <vt:lpstr>v_17_XOHO</vt:lpstr>
      <vt:lpstr>v_17_XP_B</vt:lpstr>
      <vt:lpstr>v_17_XPFOA</vt:lpstr>
      <vt:lpstr>v_17_XPFOS</vt:lpstr>
      <vt:lpstr>v_17_XU</vt:lpstr>
      <vt:lpstr>v_18_GCH4</vt:lpstr>
      <vt:lpstr>v_18_GCH4_atm</vt:lpstr>
      <vt:lpstr>v_18_GH2</vt:lpstr>
      <vt:lpstr>v_18_GH2_atm</vt:lpstr>
      <vt:lpstr>v_18_GN2</vt:lpstr>
      <vt:lpstr>v_18_GN2_atm</vt:lpstr>
      <vt:lpstr>v_18_GO2</vt:lpstr>
      <vt:lpstr>v_18_GO2_atm</vt:lpstr>
      <vt:lpstr>v_18_SALK</vt:lpstr>
      <vt:lpstr>v_18_SALPHA</vt:lpstr>
      <vt:lpstr>v_18_SB</vt:lpstr>
      <vt:lpstr>v_18_SCH4</vt:lpstr>
      <vt:lpstr>v_18_SH</vt:lpstr>
      <vt:lpstr>v_18_SH2</vt:lpstr>
      <vt:lpstr>v_18_SN_B</vt:lpstr>
      <vt:lpstr>v_18_SN2</vt:lpstr>
      <vt:lpstr>v_18_SNHx</vt:lpstr>
      <vt:lpstr>v_18_SNOx</vt:lpstr>
      <vt:lpstr>v_18_SO2</vt:lpstr>
      <vt:lpstr>v_18_SPFOA</vt:lpstr>
      <vt:lpstr>v_18_SPFOS</vt:lpstr>
      <vt:lpstr>v_18_SPO4</vt:lpstr>
      <vt:lpstr>v_18_SU</vt:lpstr>
      <vt:lpstr>v_18_XALGAE</vt:lpstr>
      <vt:lpstr>v_18_XAlOH</vt:lpstr>
      <vt:lpstr>v_18_XAlP</vt:lpstr>
      <vt:lpstr>v_18_XAMETO</vt:lpstr>
      <vt:lpstr>v_18_XB</vt:lpstr>
      <vt:lpstr>v_18_XE</vt:lpstr>
      <vt:lpstr>v_18_XFeOH</vt:lpstr>
      <vt:lpstr>v_18_XFeP</vt:lpstr>
      <vt:lpstr>v_18_XHMETO</vt:lpstr>
      <vt:lpstr>v_18_XINORG</vt:lpstr>
      <vt:lpstr>v_18_XN_B</vt:lpstr>
      <vt:lpstr>v_18_XNITO</vt:lpstr>
      <vt:lpstr>v_18_XOHO</vt:lpstr>
      <vt:lpstr>v_18_XP_B</vt:lpstr>
      <vt:lpstr>v_18_XPFOA</vt:lpstr>
      <vt:lpstr>v_18_XPFOS</vt:lpstr>
      <vt:lpstr>v_18_XU</vt:lpstr>
      <vt:lpstr>v_19_GCH4</vt:lpstr>
      <vt:lpstr>v_19_GCH4_atm</vt:lpstr>
      <vt:lpstr>v_19_GH2</vt:lpstr>
      <vt:lpstr>v_19_GH2_atm</vt:lpstr>
      <vt:lpstr>v_19_GN2</vt:lpstr>
      <vt:lpstr>v_19_GN2_atm</vt:lpstr>
      <vt:lpstr>v_19_GO2</vt:lpstr>
      <vt:lpstr>v_19_GO2_atm</vt:lpstr>
      <vt:lpstr>v_19_SALK</vt:lpstr>
      <vt:lpstr>v_19_SALPHA</vt:lpstr>
      <vt:lpstr>v_19_SB</vt:lpstr>
      <vt:lpstr>v_19_SCH4</vt:lpstr>
      <vt:lpstr>v_19_SH</vt:lpstr>
      <vt:lpstr>v_19_SH2</vt:lpstr>
      <vt:lpstr>v_19_SN_B</vt:lpstr>
      <vt:lpstr>v_19_SN2</vt:lpstr>
      <vt:lpstr>v_19_SNHx</vt:lpstr>
      <vt:lpstr>v_19_SNOx</vt:lpstr>
      <vt:lpstr>v_19_SO2</vt:lpstr>
      <vt:lpstr>v_19_SPFOA</vt:lpstr>
      <vt:lpstr>v_19_SPFOS</vt:lpstr>
      <vt:lpstr>v_19_SPO4</vt:lpstr>
      <vt:lpstr>v_19_SU</vt:lpstr>
      <vt:lpstr>v_19_XALGAE</vt:lpstr>
      <vt:lpstr>v_19_XAlOH</vt:lpstr>
      <vt:lpstr>v_19_XAlP</vt:lpstr>
      <vt:lpstr>v_19_XAMETO</vt:lpstr>
      <vt:lpstr>v_19_XB</vt:lpstr>
      <vt:lpstr>v_19_XE</vt:lpstr>
      <vt:lpstr>v_19_XFeOH</vt:lpstr>
      <vt:lpstr>v_19_XFeP</vt:lpstr>
      <vt:lpstr>v_19_XHMETO</vt:lpstr>
      <vt:lpstr>v_19_XINORG</vt:lpstr>
      <vt:lpstr>v_19_XN_B</vt:lpstr>
      <vt:lpstr>v_19_XNITO</vt:lpstr>
      <vt:lpstr>v_19_XOHO</vt:lpstr>
      <vt:lpstr>v_19_XP_B</vt:lpstr>
      <vt:lpstr>v_19_XPFOA</vt:lpstr>
      <vt:lpstr>v_19_XPFOS</vt:lpstr>
      <vt:lpstr>v_19_XU</vt:lpstr>
      <vt:lpstr>v_2_GCH4</vt:lpstr>
      <vt:lpstr>v_2_GCH4_atm</vt:lpstr>
      <vt:lpstr>v_2_GH2</vt:lpstr>
      <vt:lpstr>v_2_GH2_atm</vt:lpstr>
      <vt:lpstr>v_2_GN2</vt:lpstr>
      <vt:lpstr>v_2_GN2_atm</vt:lpstr>
      <vt:lpstr>v_2_GO2</vt:lpstr>
      <vt:lpstr>v_2_GO2_atm</vt:lpstr>
      <vt:lpstr>v_2_SALK</vt:lpstr>
      <vt:lpstr>v_2_SALPHA</vt:lpstr>
      <vt:lpstr>v_2_SB</vt:lpstr>
      <vt:lpstr>v_2_SCH4</vt:lpstr>
      <vt:lpstr>v_2_SH</vt:lpstr>
      <vt:lpstr>v_2_SH2</vt:lpstr>
      <vt:lpstr>v_2_SN_B</vt:lpstr>
      <vt:lpstr>v_2_SN2</vt:lpstr>
      <vt:lpstr>v_2_SNHx</vt:lpstr>
      <vt:lpstr>v_2_SNOx</vt:lpstr>
      <vt:lpstr>v_2_SO2</vt:lpstr>
      <vt:lpstr>v_2_SPFOA</vt:lpstr>
      <vt:lpstr>v_2_SPFOS</vt:lpstr>
      <vt:lpstr>v_2_SPO4</vt:lpstr>
      <vt:lpstr>v_2_SU</vt:lpstr>
      <vt:lpstr>v_2_XALGAE</vt:lpstr>
      <vt:lpstr>v_2_XAlOH</vt:lpstr>
      <vt:lpstr>v_2_XAlP</vt:lpstr>
      <vt:lpstr>v_2_XAMETO</vt:lpstr>
      <vt:lpstr>v_2_XB</vt:lpstr>
      <vt:lpstr>v_2_XE</vt:lpstr>
      <vt:lpstr>v_2_XFeOH</vt:lpstr>
      <vt:lpstr>v_2_XFeP</vt:lpstr>
      <vt:lpstr>v_2_XHMETO</vt:lpstr>
      <vt:lpstr>v_2_XINORG</vt:lpstr>
      <vt:lpstr>v_2_XN_B</vt:lpstr>
      <vt:lpstr>v_2_XNITO</vt:lpstr>
      <vt:lpstr>v_2_XOHO</vt:lpstr>
      <vt:lpstr>v_2_XP_B</vt:lpstr>
      <vt:lpstr>v_2_XPFOA</vt:lpstr>
      <vt:lpstr>v_2_XPFOS</vt:lpstr>
      <vt:lpstr>v_2_XU</vt:lpstr>
      <vt:lpstr>v_20_GCH4</vt:lpstr>
      <vt:lpstr>v_20_GCH4_atm</vt:lpstr>
      <vt:lpstr>v_20_GH2</vt:lpstr>
      <vt:lpstr>v_20_GH2_atm</vt:lpstr>
      <vt:lpstr>v_20_GN2</vt:lpstr>
      <vt:lpstr>v_20_GN2_atm</vt:lpstr>
      <vt:lpstr>v_20_GO2</vt:lpstr>
      <vt:lpstr>v_20_GO2_atm</vt:lpstr>
      <vt:lpstr>v_20_SALK</vt:lpstr>
      <vt:lpstr>v_20_SALPHA</vt:lpstr>
      <vt:lpstr>v_20_SB</vt:lpstr>
      <vt:lpstr>v_20_SCH4</vt:lpstr>
      <vt:lpstr>v_20_SH</vt:lpstr>
      <vt:lpstr>v_20_SH2</vt:lpstr>
      <vt:lpstr>v_20_SN_B</vt:lpstr>
      <vt:lpstr>v_20_SN2</vt:lpstr>
      <vt:lpstr>v_20_SNHx</vt:lpstr>
      <vt:lpstr>v_20_SNOx</vt:lpstr>
      <vt:lpstr>v_20_SO2</vt:lpstr>
      <vt:lpstr>v_20_SPFOA</vt:lpstr>
      <vt:lpstr>v_20_SPFOS</vt:lpstr>
      <vt:lpstr>v_20_SPO4</vt:lpstr>
      <vt:lpstr>v_20_SU</vt:lpstr>
      <vt:lpstr>v_20_XALGAE</vt:lpstr>
      <vt:lpstr>v_20_XAlOH</vt:lpstr>
      <vt:lpstr>v_20_XAlP</vt:lpstr>
      <vt:lpstr>v_20_XAMETO</vt:lpstr>
      <vt:lpstr>v_20_XB</vt:lpstr>
      <vt:lpstr>v_20_XE</vt:lpstr>
      <vt:lpstr>v_20_XFeOH</vt:lpstr>
      <vt:lpstr>v_20_XFeP</vt:lpstr>
      <vt:lpstr>v_20_XHMETO</vt:lpstr>
      <vt:lpstr>v_20_XINORG</vt:lpstr>
      <vt:lpstr>v_20_XN_B</vt:lpstr>
      <vt:lpstr>v_20_XNITO</vt:lpstr>
      <vt:lpstr>v_20_XOHO</vt:lpstr>
      <vt:lpstr>v_20_XP_B</vt:lpstr>
      <vt:lpstr>v_20_XPFOA</vt:lpstr>
      <vt:lpstr>v_20_XPFOS</vt:lpstr>
      <vt:lpstr>v_20_XU</vt:lpstr>
      <vt:lpstr>v_21_GCH4</vt:lpstr>
      <vt:lpstr>v_21_GCH4_atm</vt:lpstr>
      <vt:lpstr>v_21_GH2</vt:lpstr>
      <vt:lpstr>v_21_GH2_atm</vt:lpstr>
      <vt:lpstr>v_21_GN2</vt:lpstr>
      <vt:lpstr>v_21_GN2_atm</vt:lpstr>
      <vt:lpstr>v_21_GO2</vt:lpstr>
      <vt:lpstr>v_21_GO2_atm</vt:lpstr>
      <vt:lpstr>v_21_SALK</vt:lpstr>
      <vt:lpstr>v_21_SALPHA</vt:lpstr>
      <vt:lpstr>v_21_SB</vt:lpstr>
      <vt:lpstr>v_21_SCH4</vt:lpstr>
      <vt:lpstr>v_21_SH</vt:lpstr>
      <vt:lpstr>v_21_SH2</vt:lpstr>
      <vt:lpstr>v_21_SN_B</vt:lpstr>
      <vt:lpstr>v_21_SN2</vt:lpstr>
      <vt:lpstr>v_21_SNHx</vt:lpstr>
      <vt:lpstr>v_21_SNOx</vt:lpstr>
      <vt:lpstr>v_21_SO2</vt:lpstr>
      <vt:lpstr>v_21_SPFOA</vt:lpstr>
      <vt:lpstr>v_21_SPFOS</vt:lpstr>
      <vt:lpstr>v_21_SPO4</vt:lpstr>
      <vt:lpstr>v_21_SU</vt:lpstr>
      <vt:lpstr>v_21_XALGAE</vt:lpstr>
      <vt:lpstr>v_21_XAlOH</vt:lpstr>
      <vt:lpstr>v_21_XAlP</vt:lpstr>
      <vt:lpstr>v_21_XAMETO</vt:lpstr>
      <vt:lpstr>v_21_XB</vt:lpstr>
      <vt:lpstr>v_21_XE</vt:lpstr>
      <vt:lpstr>v_21_XFeOH</vt:lpstr>
      <vt:lpstr>v_21_XFeP</vt:lpstr>
      <vt:lpstr>v_21_XHMETO</vt:lpstr>
      <vt:lpstr>v_21_XINORG</vt:lpstr>
      <vt:lpstr>v_21_XN_B</vt:lpstr>
      <vt:lpstr>v_21_XNITO</vt:lpstr>
      <vt:lpstr>v_21_XOHO</vt:lpstr>
      <vt:lpstr>v_21_XP_B</vt:lpstr>
      <vt:lpstr>v_21_XPFOA</vt:lpstr>
      <vt:lpstr>v_21_XPFOS</vt:lpstr>
      <vt:lpstr>v_21_XU</vt:lpstr>
      <vt:lpstr>v_22_GCH4</vt:lpstr>
      <vt:lpstr>v_22_GCH4_atm</vt:lpstr>
      <vt:lpstr>v_22_GH2</vt:lpstr>
      <vt:lpstr>v_22_GH2_atm</vt:lpstr>
      <vt:lpstr>v_22_GN2</vt:lpstr>
      <vt:lpstr>v_22_GN2_atm</vt:lpstr>
      <vt:lpstr>v_22_GO2</vt:lpstr>
      <vt:lpstr>v_22_GO2_atm</vt:lpstr>
      <vt:lpstr>v_22_SALK</vt:lpstr>
      <vt:lpstr>v_22_SALPHA</vt:lpstr>
      <vt:lpstr>v_22_SB</vt:lpstr>
      <vt:lpstr>v_22_SCH4</vt:lpstr>
      <vt:lpstr>v_22_SH</vt:lpstr>
      <vt:lpstr>v_22_SH2</vt:lpstr>
      <vt:lpstr>v_22_SN_B</vt:lpstr>
      <vt:lpstr>v_22_SN2</vt:lpstr>
      <vt:lpstr>v_22_SNHx</vt:lpstr>
      <vt:lpstr>v_22_SNOx</vt:lpstr>
      <vt:lpstr>v_22_SO2</vt:lpstr>
      <vt:lpstr>v_22_SPFOA</vt:lpstr>
      <vt:lpstr>v_22_SPFOS</vt:lpstr>
      <vt:lpstr>v_22_SPO4</vt:lpstr>
      <vt:lpstr>v_22_SU</vt:lpstr>
      <vt:lpstr>v_22_XALGAE</vt:lpstr>
      <vt:lpstr>v_22_XAlOH</vt:lpstr>
      <vt:lpstr>v_22_XAlP</vt:lpstr>
      <vt:lpstr>v_22_XAMETO</vt:lpstr>
      <vt:lpstr>v_22_XB</vt:lpstr>
      <vt:lpstr>v_22_XE</vt:lpstr>
      <vt:lpstr>v_22_XFeOH</vt:lpstr>
      <vt:lpstr>v_22_XFeP</vt:lpstr>
      <vt:lpstr>v_22_XHMETO</vt:lpstr>
      <vt:lpstr>v_22_XINORG</vt:lpstr>
      <vt:lpstr>v_22_XN_B</vt:lpstr>
      <vt:lpstr>v_22_XNITO</vt:lpstr>
      <vt:lpstr>v_22_XOHO</vt:lpstr>
      <vt:lpstr>v_22_XP_B</vt:lpstr>
      <vt:lpstr>v_22_XPFOA</vt:lpstr>
      <vt:lpstr>v_22_XPFOS</vt:lpstr>
      <vt:lpstr>v_22_XU</vt:lpstr>
      <vt:lpstr>v_23_GCH4</vt:lpstr>
      <vt:lpstr>v_23_GCH4_atm</vt:lpstr>
      <vt:lpstr>v_23_GH2</vt:lpstr>
      <vt:lpstr>v_23_GH2_atm</vt:lpstr>
      <vt:lpstr>v_23_GN2</vt:lpstr>
      <vt:lpstr>v_23_GN2_atm</vt:lpstr>
      <vt:lpstr>v_23_GO2</vt:lpstr>
      <vt:lpstr>v_23_GO2_atm</vt:lpstr>
      <vt:lpstr>v_23_SALK</vt:lpstr>
      <vt:lpstr>v_23_SALPHA</vt:lpstr>
      <vt:lpstr>v_23_SB</vt:lpstr>
      <vt:lpstr>v_23_SCH4</vt:lpstr>
      <vt:lpstr>v_23_SH</vt:lpstr>
      <vt:lpstr>v_23_SH2</vt:lpstr>
      <vt:lpstr>v_23_SN_B</vt:lpstr>
      <vt:lpstr>v_23_SN2</vt:lpstr>
      <vt:lpstr>v_23_SNHx</vt:lpstr>
      <vt:lpstr>v_23_SNOx</vt:lpstr>
      <vt:lpstr>v_23_SO2</vt:lpstr>
      <vt:lpstr>v_23_SPFOA</vt:lpstr>
      <vt:lpstr>v_23_SPFOS</vt:lpstr>
      <vt:lpstr>v_23_SPO4</vt:lpstr>
      <vt:lpstr>v_23_SU</vt:lpstr>
      <vt:lpstr>v_23_XALGAE</vt:lpstr>
      <vt:lpstr>v_23_XAlOH</vt:lpstr>
      <vt:lpstr>v_23_XAlP</vt:lpstr>
      <vt:lpstr>v_23_XAMETO</vt:lpstr>
      <vt:lpstr>v_23_XB</vt:lpstr>
      <vt:lpstr>v_23_XE</vt:lpstr>
      <vt:lpstr>v_23_XFeOH</vt:lpstr>
      <vt:lpstr>v_23_XFeP</vt:lpstr>
      <vt:lpstr>v_23_XHMETO</vt:lpstr>
      <vt:lpstr>v_23_XINORG</vt:lpstr>
      <vt:lpstr>v_23_XN_B</vt:lpstr>
      <vt:lpstr>v_23_XNITO</vt:lpstr>
      <vt:lpstr>v_23_XOHO</vt:lpstr>
      <vt:lpstr>v_23_XP_B</vt:lpstr>
      <vt:lpstr>v_23_XPFOA</vt:lpstr>
      <vt:lpstr>v_23_XPFOS</vt:lpstr>
      <vt:lpstr>v_23_XU</vt:lpstr>
      <vt:lpstr>v_24_GCH4</vt:lpstr>
      <vt:lpstr>v_24_GCH4_atm</vt:lpstr>
      <vt:lpstr>v_24_GH2</vt:lpstr>
      <vt:lpstr>v_24_GH2_atm</vt:lpstr>
      <vt:lpstr>v_24_GN2</vt:lpstr>
      <vt:lpstr>v_24_GN2_atm</vt:lpstr>
      <vt:lpstr>v_24_GO2</vt:lpstr>
      <vt:lpstr>v_24_GO2_atm</vt:lpstr>
      <vt:lpstr>v_24_SALK</vt:lpstr>
      <vt:lpstr>v_24_SALPHA</vt:lpstr>
      <vt:lpstr>v_24_SB</vt:lpstr>
      <vt:lpstr>v_24_SCH4</vt:lpstr>
      <vt:lpstr>v_24_SH</vt:lpstr>
      <vt:lpstr>v_24_SH2</vt:lpstr>
      <vt:lpstr>v_24_SN_B</vt:lpstr>
      <vt:lpstr>v_24_SN2</vt:lpstr>
      <vt:lpstr>v_24_SNHx</vt:lpstr>
      <vt:lpstr>v_24_SNOx</vt:lpstr>
      <vt:lpstr>v_24_SO2</vt:lpstr>
      <vt:lpstr>v_24_SPFOA</vt:lpstr>
      <vt:lpstr>v_24_SPFOS</vt:lpstr>
      <vt:lpstr>v_24_SPO4</vt:lpstr>
      <vt:lpstr>v_24_SU</vt:lpstr>
      <vt:lpstr>v_24_XALGAE</vt:lpstr>
      <vt:lpstr>v_24_XAlOH</vt:lpstr>
      <vt:lpstr>v_24_XAlP</vt:lpstr>
      <vt:lpstr>v_24_XAMETO</vt:lpstr>
      <vt:lpstr>v_24_XB</vt:lpstr>
      <vt:lpstr>v_24_XE</vt:lpstr>
      <vt:lpstr>v_24_XFeOH</vt:lpstr>
      <vt:lpstr>v_24_XFeP</vt:lpstr>
      <vt:lpstr>v_24_XHMETO</vt:lpstr>
      <vt:lpstr>v_24_XINORG</vt:lpstr>
      <vt:lpstr>v_24_XN_B</vt:lpstr>
      <vt:lpstr>v_24_XNITO</vt:lpstr>
      <vt:lpstr>v_24_XOHO</vt:lpstr>
      <vt:lpstr>v_24_XP_B</vt:lpstr>
      <vt:lpstr>v_24_XPFOA</vt:lpstr>
      <vt:lpstr>v_24_XPFOS</vt:lpstr>
      <vt:lpstr>v_24_XU</vt:lpstr>
      <vt:lpstr>v_25_GCH4</vt:lpstr>
      <vt:lpstr>v_25_GCH4_atm</vt:lpstr>
      <vt:lpstr>v_25_GH2</vt:lpstr>
      <vt:lpstr>v_25_GH2_atm</vt:lpstr>
      <vt:lpstr>v_25_GN2</vt:lpstr>
      <vt:lpstr>v_25_GN2_atm</vt:lpstr>
      <vt:lpstr>v_25_GO2</vt:lpstr>
      <vt:lpstr>v_25_GO2_atm</vt:lpstr>
      <vt:lpstr>v_25_SALK</vt:lpstr>
      <vt:lpstr>v_25_SALPHA</vt:lpstr>
      <vt:lpstr>v_25_SB</vt:lpstr>
      <vt:lpstr>v_25_SCH4</vt:lpstr>
      <vt:lpstr>v_25_SH</vt:lpstr>
      <vt:lpstr>v_25_SH2</vt:lpstr>
      <vt:lpstr>v_25_SN_B</vt:lpstr>
      <vt:lpstr>v_25_SN2</vt:lpstr>
      <vt:lpstr>v_25_SNHx</vt:lpstr>
      <vt:lpstr>v_25_SNOx</vt:lpstr>
      <vt:lpstr>v_25_SO2</vt:lpstr>
      <vt:lpstr>v_25_SPFOA</vt:lpstr>
      <vt:lpstr>v_25_SPFOS</vt:lpstr>
      <vt:lpstr>v_25_SPO4</vt:lpstr>
      <vt:lpstr>v_25_SU</vt:lpstr>
      <vt:lpstr>v_25_XALGAE</vt:lpstr>
      <vt:lpstr>v_25_XAlOH</vt:lpstr>
      <vt:lpstr>v_25_XAlP</vt:lpstr>
      <vt:lpstr>v_25_XAMETO</vt:lpstr>
      <vt:lpstr>v_25_XB</vt:lpstr>
      <vt:lpstr>v_25_XE</vt:lpstr>
      <vt:lpstr>v_25_XFeOH</vt:lpstr>
      <vt:lpstr>v_25_XFeP</vt:lpstr>
      <vt:lpstr>v_25_XHMETO</vt:lpstr>
      <vt:lpstr>v_25_XINORG</vt:lpstr>
      <vt:lpstr>v_25_XN_B</vt:lpstr>
      <vt:lpstr>v_25_XNITO</vt:lpstr>
      <vt:lpstr>v_25_XOHO</vt:lpstr>
      <vt:lpstr>v_25_XP_B</vt:lpstr>
      <vt:lpstr>v_25_XPFOA</vt:lpstr>
      <vt:lpstr>v_25_XPFOS</vt:lpstr>
      <vt:lpstr>v_25_XU</vt:lpstr>
      <vt:lpstr>v_26_GCH4</vt:lpstr>
      <vt:lpstr>v_26_GCH4_atm</vt:lpstr>
      <vt:lpstr>v_26_GH2</vt:lpstr>
      <vt:lpstr>v_26_GH2_atm</vt:lpstr>
      <vt:lpstr>v_26_GN2</vt:lpstr>
      <vt:lpstr>v_26_GN2_atm</vt:lpstr>
      <vt:lpstr>v_26_GO2</vt:lpstr>
      <vt:lpstr>v_26_GO2_atm</vt:lpstr>
      <vt:lpstr>v_26_SALK</vt:lpstr>
      <vt:lpstr>v_26_SALPHA</vt:lpstr>
      <vt:lpstr>v_26_SB</vt:lpstr>
      <vt:lpstr>v_26_SCH4</vt:lpstr>
      <vt:lpstr>v_26_SH</vt:lpstr>
      <vt:lpstr>v_26_SH2</vt:lpstr>
      <vt:lpstr>v_26_SN_B</vt:lpstr>
      <vt:lpstr>v_26_SN2</vt:lpstr>
      <vt:lpstr>v_26_SNHx</vt:lpstr>
      <vt:lpstr>v_26_SNOx</vt:lpstr>
      <vt:lpstr>v_26_SO2</vt:lpstr>
      <vt:lpstr>v_26_SPFOA</vt:lpstr>
      <vt:lpstr>v_26_SPFOS</vt:lpstr>
      <vt:lpstr>v_26_SPO4</vt:lpstr>
      <vt:lpstr>v_26_SU</vt:lpstr>
      <vt:lpstr>v_26_XALGAE</vt:lpstr>
      <vt:lpstr>v_26_XAlOH</vt:lpstr>
      <vt:lpstr>v_26_XAlP</vt:lpstr>
      <vt:lpstr>v_26_XAMETO</vt:lpstr>
      <vt:lpstr>v_26_XB</vt:lpstr>
      <vt:lpstr>v_26_XE</vt:lpstr>
      <vt:lpstr>v_26_XFeOH</vt:lpstr>
      <vt:lpstr>v_26_XFeP</vt:lpstr>
      <vt:lpstr>v_26_XHMETO</vt:lpstr>
      <vt:lpstr>v_26_XINORG</vt:lpstr>
      <vt:lpstr>v_26_XN_B</vt:lpstr>
      <vt:lpstr>v_26_XNITO</vt:lpstr>
      <vt:lpstr>v_26_XOHO</vt:lpstr>
      <vt:lpstr>v_26_XP_B</vt:lpstr>
      <vt:lpstr>v_26_XPFOA</vt:lpstr>
      <vt:lpstr>v_26_XPFOS</vt:lpstr>
      <vt:lpstr>v_26_XU</vt:lpstr>
      <vt:lpstr>v_27_GCH4</vt:lpstr>
      <vt:lpstr>v_27_GCH4_atm</vt:lpstr>
      <vt:lpstr>v_27_GH2</vt:lpstr>
      <vt:lpstr>v_27_GH2_atm</vt:lpstr>
      <vt:lpstr>v_27_GN2</vt:lpstr>
      <vt:lpstr>v_27_GN2_atm</vt:lpstr>
      <vt:lpstr>v_27_GO2</vt:lpstr>
      <vt:lpstr>v_27_GO2_atm</vt:lpstr>
      <vt:lpstr>v_27_SALK</vt:lpstr>
      <vt:lpstr>v_27_SALPHA</vt:lpstr>
      <vt:lpstr>v_27_SB</vt:lpstr>
      <vt:lpstr>v_27_SCH4</vt:lpstr>
      <vt:lpstr>v_27_SH</vt:lpstr>
      <vt:lpstr>v_27_SH2</vt:lpstr>
      <vt:lpstr>v_27_SN_B</vt:lpstr>
      <vt:lpstr>v_27_SN2</vt:lpstr>
      <vt:lpstr>v_27_SNHx</vt:lpstr>
      <vt:lpstr>v_27_SNOx</vt:lpstr>
      <vt:lpstr>v_27_SO2</vt:lpstr>
      <vt:lpstr>v_27_SPFOA</vt:lpstr>
      <vt:lpstr>v_27_SPFOS</vt:lpstr>
      <vt:lpstr>v_27_SPO4</vt:lpstr>
      <vt:lpstr>v_27_SU</vt:lpstr>
      <vt:lpstr>v_27_XALGAE</vt:lpstr>
      <vt:lpstr>v_27_XAlOH</vt:lpstr>
      <vt:lpstr>v_27_XAlP</vt:lpstr>
      <vt:lpstr>v_27_XAMETO</vt:lpstr>
      <vt:lpstr>v_27_XB</vt:lpstr>
      <vt:lpstr>v_27_XE</vt:lpstr>
      <vt:lpstr>v_27_XFeOH</vt:lpstr>
      <vt:lpstr>v_27_XFeP</vt:lpstr>
      <vt:lpstr>v_27_XHMETO</vt:lpstr>
      <vt:lpstr>v_27_XINORG</vt:lpstr>
      <vt:lpstr>v_27_XN_B</vt:lpstr>
      <vt:lpstr>v_27_XNITO</vt:lpstr>
      <vt:lpstr>v_27_XOHO</vt:lpstr>
      <vt:lpstr>v_27_XP_B</vt:lpstr>
      <vt:lpstr>v_27_XPFOA</vt:lpstr>
      <vt:lpstr>v_27_XPFOS</vt:lpstr>
      <vt:lpstr>v_27_XU</vt:lpstr>
      <vt:lpstr>v_28_GCH4</vt:lpstr>
      <vt:lpstr>v_28_GCH4_atm</vt:lpstr>
      <vt:lpstr>v_28_GH2</vt:lpstr>
      <vt:lpstr>v_28_GH2_atm</vt:lpstr>
      <vt:lpstr>v_28_GN2</vt:lpstr>
      <vt:lpstr>v_28_GN2_atm</vt:lpstr>
      <vt:lpstr>v_28_GO2</vt:lpstr>
      <vt:lpstr>v_28_GO2_atm</vt:lpstr>
      <vt:lpstr>v_28_SALK</vt:lpstr>
      <vt:lpstr>v_28_SALPHA</vt:lpstr>
      <vt:lpstr>v_28_SB</vt:lpstr>
      <vt:lpstr>v_28_SCH4</vt:lpstr>
      <vt:lpstr>v_28_SH</vt:lpstr>
      <vt:lpstr>v_28_SH2</vt:lpstr>
      <vt:lpstr>v_28_SN_B</vt:lpstr>
      <vt:lpstr>v_28_SN2</vt:lpstr>
      <vt:lpstr>v_28_SNHx</vt:lpstr>
      <vt:lpstr>v_28_SNOx</vt:lpstr>
      <vt:lpstr>v_28_SO2</vt:lpstr>
      <vt:lpstr>v_28_SPFOA</vt:lpstr>
      <vt:lpstr>v_28_SPFOS</vt:lpstr>
      <vt:lpstr>v_28_SPO4</vt:lpstr>
      <vt:lpstr>v_28_SU</vt:lpstr>
      <vt:lpstr>v_28_XALGAE</vt:lpstr>
      <vt:lpstr>v_28_XAlOH</vt:lpstr>
      <vt:lpstr>v_28_XAlP</vt:lpstr>
      <vt:lpstr>v_28_XAMETO</vt:lpstr>
      <vt:lpstr>v_28_XB</vt:lpstr>
      <vt:lpstr>v_28_XE</vt:lpstr>
      <vt:lpstr>v_28_XFeOH</vt:lpstr>
      <vt:lpstr>v_28_XFeP</vt:lpstr>
      <vt:lpstr>v_28_XHMETO</vt:lpstr>
      <vt:lpstr>v_28_XINORG</vt:lpstr>
      <vt:lpstr>v_28_XN_B</vt:lpstr>
      <vt:lpstr>v_28_XNITO</vt:lpstr>
      <vt:lpstr>v_28_XOHO</vt:lpstr>
      <vt:lpstr>v_28_XP_B</vt:lpstr>
      <vt:lpstr>v_28_XPFOA</vt:lpstr>
      <vt:lpstr>v_28_XPFOS</vt:lpstr>
      <vt:lpstr>v_28_XU</vt:lpstr>
      <vt:lpstr>v_29_GCH4</vt:lpstr>
      <vt:lpstr>v_29_GCH4_atm</vt:lpstr>
      <vt:lpstr>v_29_GH2</vt:lpstr>
      <vt:lpstr>v_29_GH2_atm</vt:lpstr>
      <vt:lpstr>v_29_GN2</vt:lpstr>
      <vt:lpstr>v_29_GN2_atm</vt:lpstr>
      <vt:lpstr>v_29_GO2</vt:lpstr>
      <vt:lpstr>v_29_GO2_atm</vt:lpstr>
      <vt:lpstr>v_29_SALK</vt:lpstr>
      <vt:lpstr>v_29_SALPHA</vt:lpstr>
      <vt:lpstr>v_29_SB</vt:lpstr>
      <vt:lpstr>v_29_SCH4</vt:lpstr>
      <vt:lpstr>v_29_SH</vt:lpstr>
      <vt:lpstr>v_29_SH2</vt:lpstr>
      <vt:lpstr>v_29_SN_B</vt:lpstr>
      <vt:lpstr>v_29_SN2</vt:lpstr>
      <vt:lpstr>v_29_SNHx</vt:lpstr>
      <vt:lpstr>v_29_SNOx</vt:lpstr>
      <vt:lpstr>v_29_SO2</vt:lpstr>
      <vt:lpstr>v_29_SPFOA</vt:lpstr>
      <vt:lpstr>v_29_SPFOS</vt:lpstr>
      <vt:lpstr>v_29_SPO4</vt:lpstr>
      <vt:lpstr>v_29_SU</vt:lpstr>
      <vt:lpstr>v_29_XALGAE</vt:lpstr>
      <vt:lpstr>v_29_XAlOH</vt:lpstr>
      <vt:lpstr>v_29_XAlP</vt:lpstr>
      <vt:lpstr>v_29_XAMETO</vt:lpstr>
      <vt:lpstr>v_29_XB</vt:lpstr>
      <vt:lpstr>v_29_XE</vt:lpstr>
      <vt:lpstr>v_29_XFeOH</vt:lpstr>
      <vt:lpstr>v_29_XFeP</vt:lpstr>
      <vt:lpstr>v_29_XHMETO</vt:lpstr>
      <vt:lpstr>v_29_XINORG</vt:lpstr>
      <vt:lpstr>v_29_XN_B</vt:lpstr>
      <vt:lpstr>v_29_XNITO</vt:lpstr>
      <vt:lpstr>v_29_XOHO</vt:lpstr>
      <vt:lpstr>v_29_XP_B</vt:lpstr>
      <vt:lpstr>v_29_XPFOA</vt:lpstr>
      <vt:lpstr>v_29_XPFOS</vt:lpstr>
      <vt:lpstr>v_29_XU</vt:lpstr>
      <vt:lpstr>v_3_GCH4</vt:lpstr>
      <vt:lpstr>v_3_GCH4_atm</vt:lpstr>
      <vt:lpstr>v_3_GH2</vt:lpstr>
      <vt:lpstr>v_3_GH2_atm</vt:lpstr>
      <vt:lpstr>v_3_GN2</vt:lpstr>
      <vt:lpstr>v_3_GN2_atm</vt:lpstr>
      <vt:lpstr>v_3_GO2</vt:lpstr>
      <vt:lpstr>v_3_GO2_atm</vt:lpstr>
      <vt:lpstr>v_3_SALK</vt:lpstr>
      <vt:lpstr>v_3_SALPHA</vt:lpstr>
      <vt:lpstr>v_3_SB</vt:lpstr>
      <vt:lpstr>v_3_SCH4</vt:lpstr>
      <vt:lpstr>v_3_SH</vt:lpstr>
      <vt:lpstr>v_3_SH2</vt:lpstr>
      <vt:lpstr>v_3_SN_B</vt:lpstr>
      <vt:lpstr>v_3_SN2</vt:lpstr>
      <vt:lpstr>v_3_SNHx</vt:lpstr>
      <vt:lpstr>v_3_SNOx</vt:lpstr>
      <vt:lpstr>v_3_SO2</vt:lpstr>
      <vt:lpstr>v_3_SPFOA</vt:lpstr>
      <vt:lpstr>v_3_SPFOS</vt:lpstr>
      <vt:lpstr>v_3_SPO4</vt:lpstr>
      <vt:lpstr>v_3_SU</vt:lpstr>
      <vt:lpstr>v_3_XALGAE</vt:lpstr>
      <vt:lpstr>v_3_XAlOH</vt:lpstr>
      <vt:lpstr>v_3_XAlP</vt:lpstr>
      <vt:lpstr>v_3_XAMETO</vt:lpstr>
      <vt:lpstr>v_3_XB</vt:lpstr>
      <vt:lpstr>v_3_XE</vt:lpstr>
      <vt:lpstr>v_3_XFeOH</vt:lpstr>
      <vt:lpstr>v_3_XFeP</vt:lpstr>
      <vt:lpstr>v_3_XHMETO</vt:lpstr>
      <vt:lpstr>v_3_XINORG</vt:lpstr>
      <vt:lpstr>v_3_XN_B</vt:lpstr>
      <vt:lpstr>v_3_XNITO</vt:lpstr>
      <vt:lpstr>v_3_XOHO</vt:lpstr>
      <vt:lpstr>v_3_XP_B</vt:lpstr>
      <vt:lpstr>v_3_XPFOA</vt:lpstr>
      <vt:lpstr>v_3_XPFOS</vt:lpstr>
      <vt:lpstr>v_3_XU</vt:lpstr>
      <vt:lpstr>v_30_GCH4</vt:lpstr>
      <vt:lpstr>v_30_GCH4_atm</vt:lpstr>
      <vt:lpstr>v_30_GH2</vt:lpstr>
      <vt:lpstr>v_30_GH2_atm</vt:lpstr>
      <vt:lpstr>v_30_GN2</vt:lpstr>
      <vt:lpstr>v_30_GN2_atm</vt:lpstr>
      <vt:lpstr>v_30_GO2</vt:lpstr>
      <vt:lpstr>v_30_GO2_atm</vt:lpstr>
      <vt:lpstr>v_30_SALK</vt:lpstr>
      <vt:lpstr>v_30_SALPHA</vt:lpstr>
      <vt:lpstr>v_30_SB</vt:lpstr>
      <vt:lpstr>v_30_SCH4</vt:lpstr>
      <vt:lpstr>v_30_SH</vt:lpstr>
      <vt:lpstr>v_30_SH2</vt:lpstr>
      <vt:lpstr>v_30_SN_B</vt:lpstr>
      <vt:lpstr>v_30_SN2</vt:lpstr>
      <vt:lpstr>v_30_SNHx</vt:lpstr>
      <vt:lpstr>v_30_SNOx</vt:lpstr>
      <vt:lpstr>v_30_SO2</vt:lpstr>
      <vt:lpstr>v_30_SPFOA</vt:lpstr>
      <vt:lpstr>v_30_SPFOS</vt:lpstr>
      <vt:lpstr>v_30_SPO4</vt:lpstr>
      <vt:lpstr>v_30_SU</vt:lpstr>
      <vt:lpstr>v_30_XALGAE</vt:lpstr>
      <vt:lpstr>v_30_XAlOH</vt:lpstr>
      <vt:lpstr>v_30_XAlP</vt:lpstr>
      <vt:lpstr>v_30_XAMETO</vt:lpstr>
      <vt:lpstr>v_30_XB</vt:lpstr>
      <vt:lpstr>v_30_XE</vt:lpstr>
      <vt:lpstr>v_30_XFeOH</vt:lpstr>
      <vt:lpstr>v_30_XFeP</vt:lpstr>
      <vt:lpstr>v_30_XHMETO</vt:lpstr>
      <vt:lpstr>v_30_XINORG</vt:lpstr>
      <vt:lpstr>v_30_XN_B</vt:lpstr>
      <vt:lpstr>v_30_XNITO</vt:lpstr>
      <vt:lpstr>v_30_XOHO</vt:lpstr>
      <vt:lpstr>v_30_XP_B</vt:lpstr>
      <vt:lpstr>v_30_XPFOA</vt:lpstr>
      <vt:lpstr>v_30_XPFOS</vt:lpstr>
      <vt:lpstr>v_30_XU</vt:lpstr>
      <vt:lpstr>v_31_GCH4</vt:lpstr>
      <vt:lpstr>v_31_GCH4_atm</vt:lpstr>
      <vt:lpstr>v_31_GH2</vt:lpstr>
      <vt:lpstr>v_31_GH2_atm</vt:lpstr>
      <vt:lpstr>v_31_GN2</vt:lpstr>
      <vt:lpstr>v_31_GN2_atm</vt:lpstr>
      <vt:lpstr>v_31_GO2</vt:lpstr>
      <vt:lpstr>v_31_GO2_atm</vt:lpstr>
      <vt:lpstr>v_31_SALK</vt:lpstr>
      <vt:lpstr>v_31_SALPHA</vt:lpstr>
      <vt:lpstr>v_31_SB</vt:lpstr>
      <vt:lpstr>v_31_SCH4</vt:lpstr>
      <vt:lpstr>v_31_SH</vt:lpstr>
      <vt:lpstr>v_31_SH2</vt:lpstr>
      <vt:lpstr>v_31_SN_B</vt:lpstr>
      <vt:lpstr>v_31_SN2</vt:lpstr>
      <vt:lpstr>v_31_SNHx</vt:lpstr>
      <vt:lpstr>v_31_SNOx</vt:lpstr>
      <vt:lpstr>v_31_SO2</vt:lpstr>
      <vt:lpstr>v_31_SPFOA</vt:lpstr>
      <vt:lpstr>v_31_SPFOS</vt:lpstr>
      <vt:lpstr>v_31_SPO4</vt:lpstr>
      <vt:lpstr>v_31_SU</vt:lpstr>
      <vt:lpstr>v_31_XALGAE</vt:lpstr>
      <vt:lpstr>v_31_XAlOH</vt:lpstr>
      <vt:lpstr>v_31_XAlP</vt:lpstr>
      <vt:lpstr>v_31_XAMETO</vt:lpstr>
      <vt:lpstr>v_31_XB</vt:lpstr>
      <vt:lpstr>v_31_XE</vt:lpstr>
      <vt:lpstr>v_31_XFeOH</vt:lpstr>
      <vt:lpstr>v_31_XFeP</vt:lpstr>
      <vt:lpstr>v_31_XHMETO</vt:lpstr>
      <vt:lpstr>v_31_XINORG</vt:lpstr>
      <vt:lpstr>v_31_XN_B</vt:lpstr>
      <vt:lpstr>v_31_XNITO</vt:lpstr>
      <vt:lpstr>v_31_XOHO</vt:lpstr>
      <vt:lpstr>v_31_XP_B</vt:lpstr>
      <vt:lpstr>v_31_XPFOA</vt:lpstr>
      <vt:lpstr>v_31_XPFOS</vt:lpstr>
      <vt:lpstr>v_31_XU</vt:lpstr>
      <vt:lpstr>v_32_GCH4</vt:lpstr>
      <vt:lpstr>v_32_GCH4_atm</vt:lpstr>
      <vt:lpstr>v_32_GH2</vt:lpstr>
      <vt:lpstr>v_32_GH2_atm</vt:lpstr>
      <vt:lpstr>v_32_GN2</vt:lpstr>
      <vt:lpstr>v_32_GN2_atm</vt:lpstr>
      <vt:lpstr>v_32_GO2</vt:lpstr>
      <vt:lpstr>v_32_GO2_atm</vt:lpstr>
      <vt:lpstr>v_32_SALK</vt:lpstr>
      <vt:lpstr>v_32_SALPHA</vt:lpstr>
      <vt:lpstr>v_32_SB</vt:lpstr>
      <vt:lpstr>v_32_SCH4</vt:lpstr>
      <vt:lpstr>v_32_SH</vt:lpstr>
      <vt:lpstr>v_32_SH2</vt:lpstr>
      <vt:lpstr>v_32_SN_B</vt:lpstr>
      <vt:lpstr>v_32_SN2</vt:lpstr>
      <vt:lpstr>v_32_SNHx</vt:lpstr>
      <vt:lpstr>v_32_SNOx</vt:lpstr>
      <vt:lpstr>v_32_SO2</vt:lpstr>
      <vt:lpstr>v_32_SPFOA</vt:lpstr>
      <vt:lpstr>v_32_SPFOS</vt:lpstr>
      <vt:lpstr>v_32_SPO4</vt:lpstr>
      <vt:lpstr>v_32_SU</vt:lpstr>
      <vt:lpstr>v_32_XALGAE</vt:lpstr>
      <vt:lpstr>v_32_XAlOH</vt:lpstr>
      <vt:lpstr>v_32_XAlP</vt:lpstr>
      <vt:lpstr>v_32_XAMETO</vt:lpstr>
      <vt:lpstr>v_32_XB</vt:lpstr>
      <vt:lpstr>v_32_XE</vt:lpstr>
      <vt:lpstr>v_32_XFeOH</vt:lpstr>
      <vt:lpstr>v_32_XFeP</vt:lpstr>
      <vt:lpstr>v_32_XHMETO</vt:lpstr>
      <vt:lpstr>v_32_XINORG</vt:lpstr>
      <vt:lpstr>v_32_XN_B</vt:lpstr>
      <vt:lpstr>v_32_XNITO</vt:lpstr>
      <vt:lpstr>v_32_XOHO</vt:lpstr>
      <vt:lpstr>v_32_XP_B</vt:lpstr>
      <vt:lpstr>v_32_XPFOA</vt:lpstr>
      <vt:lpstr>v_32_XPFOS</vt:lpstr>
      <vt:lpstr>v_32_XU</vt:lpstr>
      <vt:lpstr>v_33_GCH4</vt:lpstr>
      <vt:lpstr>v_33_GCH4_atm</vt:lpstr>
      <vt:lpstr>v_33_GH2</vt:lpstr>
      <vt:lpstr>v_33_GH2_atm</vt:lpstr>
      <vt:lpstr>v_33_GN2</vt:lpstr>
      <vt:lpstr>v_33_GN2_atm</vt:lpstr>
      <vt:lpstr>v_33_GO2</vt:lpstr>
      <vt:lpstr>v_33_GO2_atm</vt:lpstr>
      <vt:lpstr>v_33_SALK</vt:lpstr>
      <vt:lpstr>v_33_SALPHA</vt:lpstr>
      <vt:lpstr>v_33_SB</vt:lpstr>
      <vt:lpstr>v_33_SCH4</vt:lpstr>
      <vt:lpstr>v_33_SH</vt:lpstr>
      <vt:lpstr>v_33_SH2</vt:lpstr>
      <vt:lpstr>v_33_SN_B</vt:lpstr>
      <vt:lpstr>v_33_SN2</vt:lpstr>
      <vt:lpstr>v_33_SNHx</vt:lpstr>
      <vt:lpstr>v_33_SNOx</vt:lpstr>
      <vt:lpstr>v_33_SO2</vt:lpstr>
      <vt:lpstr>v_33_SPFOA</vt:lpstr>
      <vt:lpstr>v_33_SPFOS</vt:lpstr>
      <vt:lpstr>v_33_SPO4</vt:lpstr>
      <vt:lpstr>v_33_SU</vt:lpstr>
      <vt:lpstr>v_33_XALGAE</vt:lpstr>
      <vt:lpstr>v_33_XAlOH</vt:lpstr>
      <vt:lpstr>v_33_XAlP</vt:lpstr>
      <vt:lpstr>v_33_XAMETO</vt:lpstr>
      <vt:lpstr>v_33_XB</vt:lpstr>
      <vt:lpstr>v_33_XE</vt:lpstr>
      <vt:lpstr>v_33_XFeOH</vt:lpstr>
      <vt:lpstr>v_33_XFeP</vt:lpstr>
      <vt:lpstr>v_33_XHMETO</vt:lpstr>
      <vt:lpstr>v_33_XINORG</vt:lpstr>
      <vt:lpstr>v_33_XN_B</vt:lpstr>
      <vt:lpstr>v_33_XNITO</vt:lpstr>
      <vt:lpstr>v_33_XOHO</vt:lpstr>
      <vt:lpstr>v_33_XP_B</vt:lpstr>
      <vt:lpstr>v_33_XPFOA</vt:lpstr>
      <vt:lpstr>v_33_XPFOS</vt:lpstr>
      <vt:lpstr>v_33_XU</vt:lpstr>
      <vt:lpstr>v_34_GCH4</vt:lpstr>
      <vt:lpstr>v_34_GCH4_atm</vt:lpstr>
      <vt:lpstr>v_34_GH2</vt:lpstr>
      <vt:lpstr>v_34_GH2_atm</vt:lpstr>
      <vt:lpstr>v_34_GN2</vt:lpstr>
      <vt:lpstr>v_34_GN2_atm</vt:lpstr>
      <vt:lpstr>v_34_GO2</vt:lpstr>
      <vt:lpstr>v_34_GO2_atm</vt:lpstr>
      <vt:lpstr>v_34_SALK</vt:lpstr>
      <vt:lpstr>v_34_SALPHA</vt:lpstr>
      <vt:lpstr>v_34_SB</vt:lpstr>
      <vt:lpstr>v_34_SCH4</vt:lpstr>
      <vt:lpstr>v_34_SH</vt:lpstr>
      <vt:lpstr>v_34_SH2</vt:lpstr>
      <vt:lpstr>v_34_SN_B</vt:lpstr>
      <vt:lpstr>v_34_SN2</vt:lpstr>
      <vt:lpstr>v_34_SNHx</vt:lpstr>
      <vt:lpstr>v_34_SNOx</vt:lpstr>
      <vt:lpstr>v_34_SO2</vt:lpstr>
      <vt:lpstr>v_34_SPFOA</vt:lpstr>
      <vt:lpstr>v_34_SPFOS</vt:lpstr>
      <vt:lpstr>v_34_SPO4</vt:lpstr>
      <vt:lpstr>v_34_SU</vt:lpstr>
      <vt:lpstr>v_34_XALGAE</vt:lpstr>
      <vt:lpstr>v_34_XAlOH</vt:lpstr>
      <vt:lpstr>v_34_XAlP</vt:lpstr>
      <vt:lpstr>v_34_XAMETO</vt:lpstr>
      <vt:lpstr>v_34_XB</vt:lpstr>
      <vt:lpstr>v_34_XE</vt:lpstr>
      <vt:lpstr>v_34_XFeOH</vt:lpstr>
      <vt:lpstr>v_34_XFeP</vt:lpstr>
      <vt:lpstr>v_34_XHMETO</vt:lpstr>
      <vt:lpstr>v_34_XINORG</vt:lpstr>
      <vt:lpstr>v_34_XN_B</vt:lpstr>
      <vt:lpstr>v_34_XNITO</vt:lpstr>
      <vt:lpstr>v_34_XOHO</vt:lpstr>
      <vt:lpstr>v_34_XP_B</vt:lpstr>
      <vt:lpstr>v_34_XPFOA</vt:lpstr>
      <vt:lpstr>v_34_XPFOS</vt:lpstr>
      <vt:lpstr>v_34_XU</vt:lpstr>
      <vt:lpstr>v_4_GCH4</vt:lpstr>
      <vt:lpstr>v_4_GCH4_atm</vt:lpstr>
      <vt:lpstr>v_4_GH2</vt:lpstr>
      <vt:lpstr>v_4_GH2_atm</vt:lpstr>
      <vt:lpstr>v_4_GN2</vt:lpstr>
      <vt:lpstr>v_4_GN2_atm</vt:lpstr>
      <vt:lpstr>v_4_GO2</vt:lpstr>
      <vt:lpstr>v_4_GO2_atm</vt:lpstr>
      <vt:lpstr>v_4_SALK</vt:lpstr>
      <vt:lpstr>v_4_SALPHA</vt:lpstr>
      <vt:lpstr>v_4_SB</vt:lpstr>
      <vt:lpstr>v_4_SCH4</vt:lpstr>
      <vt:lpstr>v_4_SH</vt:lpstr>
      <vt:lpstr>v_4_SH2</vt:lpstr>
      <vt:lpstr>v_4_SN_B</vt:lpstr>
      <vt:lpstr>v_4_SN2</vt:lpstr>
      <vt:lpstr>v_4_SNHx</vt:lpstr>
      <vt:lpstr>v_4_SNOx</vt:lpstr>
      <vt:lpstr>v_4_SO2</vt:lpstr>
      <vt:lpstr>v_4_SPFOA</vt:lpstr>
      <vt:lpstr>v_4_SPFOS</vt:lpstr>
      <vt:lpstr>v_4_SPO4</vt:lpstr>
      <vt:lpstr>v_4_SU</vt:lpstr>
      <vt:lpstr>v_4_XALGAE</vt:lpstr>
      <vt:lpstr>v_4_XAlOH</vt:lpstr>
      <vt:lpstr>v_4_XAlP</vt:lpstr>
      <vt:lpstr>v_4_XAMETO</vt:lpstr>
      <vt:lpstr>v_4_XB</vt:lpstr>
      <vt:lpstr>v_4_XE</vt:lpstr>
      <vt:lpstr>v_4_XFeOH</vt:lpstr>
      <vt:lpstr>v_4_XFeP</vt:lpstr>
      <vt:lpstr>v_4_XHMETO</vt:lpstr>
      <vt:lpstr>v_4_XINORG</vt:lpstr>
      <vt:lpstr>v_4_XN_B</vt:lpstr>
      <vt:lpstr>v_4_XNITO</vt:lpstr>
      <vt:lpstr>v_4_XOHO</vt:lpstr>
      <vt:lpstr>v_4_XP_B</vt:lpstr>
      <vt:lpstr>v_4_XPFOA</vt:lpstr>
      <vt:lpstr>v_4_XPFOS</vt:lpstr>
      <vt:lpstr>v_4_XU</vt:lpstr>
      <vt:lpstr>v_5_GCH4</vt:lpstr>
      <vt:lpstr>v_5_GCH4_atm</vt:lpstr>
      <vt:lpstr>v_5_GH2</vt:lpstr>
      <vt:lpstr>v_5_GH2_atm</vt:lpstr>
      <vt:lpstr>v_5_GN2</vt:lpstr>
      <vt:lpstr>v_5_GN2_atm</vt:lpstr>
      <vt:lpstr>v_5_GO2</vt:lpstr>
      <vt:lpstr>v_5_GO2_atm</vt:lpstr>
      <vt:lpstr>v_5_SALK</vt:lpstr>
      <vt:lpstr>v_5_SALPHA</vt:lpstr>
      <vt:lpstr>v_5_SB</vt:lpstr>
      <vt:lpstr>v_5_SCH4</vt:lpstr>
      <vt:lpstr>v_5_SH</vt:lpstr>
      <vt:lpstr>v_5_SH2</vt:lpstr>
      <vt:lpstr>v_5_SN_B</vt:lpstr>
      <vt:lpstr>v_5_SN2</vt:lpstr>
      <vt:lpstr>v_5_SNHx</vt:lpstr>
      <vt:lpstr>v_5_SNOx</vt:lpstr>
      <vt:lpstr>v_5_SO2</vt:lpstr>
      <vt:lpstr>v_5_SPFOA</vt:lpstr>
      <vt:lpstr>v_5_SPFOS</vt:lpstr>
      <vt:lpstr>v_5_SPO4</vt:lpstr>
      <vt:lpstr>v_5_SU</vt:lpstr>
      <vt:lpstr>v_5_XALGAE</vt:lpstr>
      <vt:lpstr>v_5_XAlOH</vt:lpstr>
      <vt:lpstr>v_5_XAlP</vt:lpstr>
      <vt:lpstr>v_5_XAMETO</vt:lpstr>
      <vt:lpstr>v_5_XB</vt:lpstr>
      <vt:lpstr>v_5_XE</vt:lpstr>
      <vt:lpstr>v_5_XFeOH</vt:lpstr>
      <vt:lpstr>v_5_XFeP</vt:lpstr>
      <vt:lpstr>v_5_XHMETO</vt:lpstr>
      <vt:lpstr>v_5_XINORG</vt:lpstr>
      <vt:lpstr>v_5_XN_B</vt:lpstr>
      <vt:lpstr>v_5_XNITO</vt:lpstr>
      <vt:lpstr>v_5_XOHO</vt:lpstr>
      <vt:lpstr>v_5_XP_B</vt:lpstr>
      <vt:lpstr>v_5_XPFOA</vt:lpstr>
      <vt:lpstr>v_5_XPFOS</vt:lpstr>
      <vt:lpstr>v_5_XU</vt:lpstr>
      <vt:lpstr>v_6_GCH4</vt:lpstr>
      <vt:lpstr>v_6_GCH4_atm</vt:lpstr>
      <vt:lpstr>v_6_GH2</vt:lpstr>
      <vt:lpstr>v_6_GH2_atm</vt:lpstr>
      <vt:lpstr>v_6_GN2</vt:lpstr>
      <vt:lpstr>v_6_GN2_atm</vt:lpstr>
      <vt:lpstr>v_6_GO2</vt:lpstr>
      <vt:lpstr>v_6_GO2_atm</vt:lpstr>
      <vt:lpstr>v_6_SALK</vt:lpstr>
      <vt:lpstr>v_6_SALPHA</vt:lpstr>
      <vt:lpstr>v_6_SB</vt:lpstr>
      <vt:lpstr>v_6_SCH4</vt:lpstr>
      <vt:lpstr>v_6_SH</vt:lpstr>
      <vt:lpstr>v_6_SH2</vt:lpstr>
      <vt:lpstr>v_6_SN_B</vt:lpstr>
      <vt:lpstr>v_6_SN2</vt:lpstr>
      <vt:lpstr>v_6_SNHx</vt:lpstr>
      <vt:lpstr>v_6_SNOx</vt:lpstr>
      <vt:lpstr>v_6_SO2</vt:lpstr>
      <vt:lpstr>v_6_SPFOA</vt:lpstr>
      <vt:lpstr>v_6_SPFOS</vt:lpstr>
      <vt:lpstr>v_6_SPO4</vt:lpstr>
      <vt:lpstr>v_6_SU</vt:lpstr>
      <vt:lpstr>v_6_XALGAE</vt:lpstr>
      <vt:lpstr>v_6_XAlOH</vt:lpstr>
      <vt:lpstr>v_6_XAlP</vt:lpstr>
      <vt:lpstr>v_6_XAMETO</vt:lpstr>
      <vt:lpstr>v_6_XB</vt:lpstr>
      <vt:lpstr>v_6_XE</vt:lpstr>
      <vt:lpstr>v_6_XFeOH</vt:lpstr>
      <vt:lpstr>v_6_XFeP</vt:lpstr>
      <vt:lpstr>v_6_XHMETO</vt:lpstr>
      <vt:lpstr>v_6_XINORG</vt:lpstr>
      <vt:lpstr>v_6_XN_B</vt:lpstr>
      <vt:lpstr>v_6_XNITO</vt:lpstr>
      <vt:lpstr>v_6_XOHO</vt:lpstr>
      <vt:lpstr>v_6_XP_B</vt:lpstr>
      <vt:lpstr>v_6_XPFOA</vt:lpstr>
      <vt:lpstr>v_6_XPFOS</vt:lpstr>
      <vt:lpstr>v_6_XU</vt:lpstr>
      <vt:lpstr>v_7_GCH4</vt:lpstr>
      <vt:lpstr>v_7_GCH4_atm</vt:lpstr>
      <vt:lpstr>v_7_GH2</vt:lpstr>
      <vt:lpstr>v_7_GH2_atm</vt:lpstr>
      <vt:lpstr>v_7_GN2</vt:lpstr>
      <vt:lpstr>v_7_GN2_atm</vt:lpstr>
      <vt:lpstr>v_7_GO2</vt:lpstr>
      <vt:lpstr>v_7_GO2_atm</vt:lpstr>
      <vt:lpstr>v_7_SALK</vt:lpstr>
      <vt:lpstr>v_7_SALPHA</vt:lpstr>
      <vt:lpstr>v_7_SB</vt:lpstr>
      <vt:lpstr>v_7_SCH4</vt:lpstr>
      <vt:lpstr>v_7_SH</vt:lpstr>
      <vt:lpstr>v_7_SH2</vt:lpstr>
      <vt:lpstr>v_7_SN_B</vt:lpstr>
      <vt:lpstr>v_7_SN2</vt:lpstr>
      <vt:lpstr>v_7_SNHx</vt:lpstr>
      <vt:lpstr>v_7_SNOx</vt:lpstr>
      <vt:lpstr>v_7_SO2</vt:lpstr>
      <vt:lpstr>v_7_SPFOA</vt:lpstr>
      <vt:lpstr>v_7_SPFOS</vt:lpstr>
      <vt:lpstr>v_7_SPO4</vt:lpstr>
      <vt:lpstr>v_7_SU</vt:lpstr>
      <vt:lpstr>v_7_XALGAE</vt:lpstr>
      <vt:lpstr>v_7_XAlOH</vt:lpstr>
      <vt:lpstr>v_7_XAlP</vt:lpstr>
      <vt:lpstr>v_7_XAMETO</vt:lpstr>
      <vt:lpstr>v_7_XB</vt:lpstr>
      <vt:lpstr>v_7_XE</vt:lpstr>
      <vt:lpstr>v_7_XFeOH</vt:lpstr>
      <vt:lpstr>v_7_XFeP</vt:lpstr>
      <vt:lpstr>v_7_XHMETO</vt:lpstr>
      <vt:lpstr>v_7_XINORG</vt:lpstr>
      <vt:lpstr>v_7_XN_B</vt:lpstr>
      <vt:lpstr>v_7_XNITO</vt:lpstr>
      <vt:lpstr>v_7_XOHO</vt:lpstr>
      <vt:lpstr>v_7_XP_B</vt:lpstr>
      <vt:lpstr>v_7_XPFOA</vt:lpstr>
      <vt:lpstr>v_7_XPFOS</vt:lpstr>
      <vt:lpstr>v_7_XU</vt:lpstr>
      <vt:lpstr>v_8_GCH4</vt:lpstr>
      <vt:lpstr>v_8_GCH4_atm</vt:lpstr>
      <vt:lpstr>v_8_GH2</vt:lpstr>
      <vt:lpstr>v_8_GH2_atm</vt:lpstr>
      <vt:lpstr>v_8_GN2</vt:lpstr>
      <vt:lpstr>v_8_GN2_atm</vt:lpstr>
      <vt:lpstr>v_8_GO2</vt:lpstr>
      <vt:lpstr>v_8_GO2_atm</vt:lpstr>
      <vt:lpstr>v_8_SALK</vt:lpstr>
      <vt:lpstr>v_8_SALPHA</vt:lpstr>
      <vt:lpstr>v_8_SB</vt:lpstr>
      <vt:lpstr>v_8_SCH4</vt:lpstr>
      <vt:lpstr>v_8_SH</vt:lpstr>
      <vt:lpstr>v_8_SH2</vt:lpstr>
      <vt:lpstr>v_8_SN_B</vt:lpstr>
      <vt:lpstr>v_8_SN2</vt:lpstr>
      <vt:lpstr>v_8_SNHx</vt:lpstr>
      <vt:lpstr>v_8_SNOx</vt:lpstr>
      <vt:lpstr>v_8_SO2</vt:lpstr>
      <vt:lpstr>v_8_SPFOA</vt:lpstr>
      <vt:lpstr>v_8_SPFOS</vt:lpstr>
      <vt:lpstr>v_8_SPO4</vt:lpstr>
      <vt:lpstr>v_8_SU</vt:lpstr>
      <vt:lpstr>v_8_XALGAE</vt:lpstr>
      <vt:lpstr>v_8_XAlOH</vt:lpstr>
      <vt:lpstr>v_8_XAlP</vt:lpstr>
      <vt:lpstr>v_8_XAMETO</vt:lpstr>
      <vt:lpstr>v_8_XB</vt:lpstr>
      <vt:lpstr>v_8_XE</vt:lpstr>
      <vt:lpstr>v_8_XFeOH</vt:lpstr>
      <vt:lpstr>v_8_XFeP</vt:lpstr>
      <vt:lpstr>v_8_XHMETO</vt:lpstr>
      <vt:lpstr>v_8_XINORG</vt:lpstr>
      <vt:lpstr>v_8_XN_B</vt:lpstr>
      <vt:lpstr>v_8_XNITO</vt:lpstr>
      <vt:lpstr>v_8_XOHO</vt:lpstr>
      <vt:lpstr>v_8_XP_B</vt:lpstr>
      <vt:lpstr>v_8_XPFOA</vt:lpstr>
      <vt:lpstr>v_8_XPFOS</vt:lpstr>
      <vt:lpstr>v_8_XU</vt:lpstr>
      <vt:lpstr>v_9_GCH4</vt:lpstr>
      <vt:lpstr>v_9_GCH4_atm</vt:lpstr>
      <vt:lpstr>v_9_GH2</vt:lpstr>
      <vt:lpstr>v_9_GH2_atm</vt:lpstr>
      <vt:lpstr>v_9_GN2</vt:lpstr>
      <vt:lpstr>v_9_GN2_atm</vt:lpstr>
      <vt:lpstr>v_9_GO2</vt:lpstr>
      <vt:lpstr>v_9_GO2_atm</vt:lpstr>
      <vt:lpstr>v_9_SALK</vt:lpstr>
      <vt:lpstr>v_9_SALPHA</vt:lpstr>
      <vt:lpstr>v_9_SB</vt:lpstr>
      <vt:lpstr>v_9_SCH4</vt:lpstr>
      <vt:lpstr>v_9_SH</vt:lpstr>
      <vt:lpstr>v_9_SH2</vt:lpstr>
      <vt:lpstr>v_9_SN_B</vt:lpstr>
      <vt:lpstr>v_9_SN2</vt:lpstr>
      <vt:lpstr>v_9_SNHx</vt:lpstr>
      <vt:lpstr>v_9_SNOx</vt:lpstr>
      <vt:lpstr>v_9_SO2</vt:lpstr>
      <vt:lpstr>v_9_SPFOA</vt:lpstr>
      <vt:lpstr>v_9_SPFOS</vt:lpstr>
      <vt:lpstr>v_9_SPO4</vt:lpstr>
      <vt:lpstr>v_9_SU</vt:lpstr>
      <vt:lpstr>v_9_XALGAE</vt:lpstr>
      <vt:lpstr>v_9_XAlOH</vt:lpstr>
      <vt:lpstr>v_9_XAlP</vt:lpstr>
      <vt:lpstr>v_9_XAMETO</vt:lpstr>
      <vt:lpstr>v_9_XB</vt:lpstr>
      <vt:lpstr>v_9_XE</vt:lpstr>
      <vt:lpstr>v_9_XFeOH</vt:lpstr>
      <vt:lpstr>v_9_XFeP</vt:lpstr>
      <vt:lpstr>v_9_XHMETO</vt:lpstr>
      <vt:lpstr>v_9_XINORG</vt:lpstr>
      <vt:lpstr>v_9_XN_B</vt:lpstr>
      <vt:lpstr>v_9_XNITO</vt:lpstr>
      <vt:lpstr>v_9_XOHO</vt:lpstr>
      <vt:lpstr>v_9_XP_B</vt:lpstr>
      <vt:lpstr>v_9_XPFOA</vt:lpstr>
      <vt:lpstr>v_9_XPFOS</vt:lpstr>
      <vt:lpstr>v_9_XU</vt:lpstr>
      <vt:lpstr>V_mol_N</vt:lpstr>
      <vt:lpstr>X_Al_ISS</vt:lpstr>
      <vt:lpstr>X_Al_TSS</vt:lpstr>
      <vt:lpstr>X_ALGAE</vt:lpstr>
      <vt:lpstr>X_AlOH</vt:lpstr>
      <vt:lpstr>X_AlP</vt:lpstr>
      <vt:lpstr>X_AMETO</vt:lpstr>
      <vt:lpstr>X_B</vt:lpstr>
      <vt:lpstr>X_BIO</vt:lpstr>
      <vt:lpstr>X_BOD_5</vt:lpstr>
      <vt:lpstr>X_BOD_ult</vt:lpstr>
      <vt:lpstr>X_COD</vt:lpstr>
      <vt:lpstr>X_CsbCOD</vt:lpstr>
      <vt:lpstr>X_DM</vt:lpstr>
      <vt:lpstr>X_E</vt:lpstr>
      <vt:lpstr>X_Fe_ISS</vt:lpstr>
      <vt:lpstr>X_Fe_TSS</vt:lpstr>
      <vt:lpstr>X_FeOH</vt:lpstr>
      <vt:lpstr>X_FeP</vt:lpstr>
      <vt:lpstr>X_HET</vt:lpstr>
      <vt:lpstr>X_HET_HYD_lim</vt:lpstr>
      <vt:lpstr>X_HMETO</vt:lpstr>
      <vt:lpstr>X_INORG</vt:lpstr>
      <vt:lpstr>X_ISS</vt:lpstr>
      <vt:lpstr>X_KN</vt:lpstr>
      <vt:lpstr>X_Me_H2O_TSS</vt:lpstr>
      <vt:lpstr>X_Me_H2O_VSS</vt:lpstr>
      <vt:lpstr>X_Me_ISS</vt:lpstr>
      <vt:lpstr>X_Me_P</vt:lpstr>
      <vt:lpstr>X_Me_TSS</vt:lpstr>
      <vt:lpstr>X_N_B</vt:lpstr>
      <vt:lpstr>X_NITO</vt:lpstr>
      <vt:lpstr>X_OHO</vt:lpstr>
      <vt:lpstr>X_P</vt:lpstr>
      <vt:lpstr>X_P_B</vt:lpstr>
      <vt:lpstr>X_PFOA</vt:lpstr>
      <vt:lpstr>X_PFOS</vt:lpstr>
      <vt:lpstr>X_TSS</vt:lpstr>
      <vt:lpstr>X_U</vt:lpstr>
      <vt:lpstr>X_VS</vt:lpstr>
      <vt:lpstr>X_VS_ult</vt:lpstr>
      <vt:lpstr>X_VSS</vt:lpstr>
      <vt:lpstr>X_VSS_BIO</vt:lpstr>
      <vt:lpstr>Y_AMETO</vt:lpstr>
      <vt:lpstr>Y_BOD_ult</vt:lpstr>
      <vt:lpstr>Y_HMETO</vt:lpstr>
      <vt:lpstr>Y_NITO</vt:lpstr>
      <vt:lpstr>Y_OHO_SB_anox</vt:lpstr>
      <vt:lpstr>Y_OHO_SB_ox</vt:lpstr>
      <vt:lpstr>α_pred</vt:lpstr>
      <vt:lpstr>Δ_atm</vt:lpstr>
      <vt:lpstr>η_b_ana</vt:lpstr>
      <vt:lpstr>η_b_anox</vt:lpstr>
      <vt:lpstr>η_H2O</vt:lpstr>
      <vt:lpstr>η_OHO_anox</vt:lpstr>
      <vt:lpstr>θ_µ_ALGAE</vt:lpstr>
      <vt:lpstr>θ_µ_AMETO</vt:lpstr>
      <vt:lpstr>θ_µ_HMETO</vt:lpstr>
      <vt:lpstr>θ_µ_NITO</vt:lpstr>
      <vt:lpstr>θ_µ_OHO</vt:lpstr>
      <vt:lpstr>θ_b_ALGAE</vt:lpstr>
      <vt:lpstr>θ_b_AMETO</vt:lpstr>
      <vt:lpstr>θ_b_HMETO</vt:lpstr>
      <vt:lpstr>θ_b_NITO</vt:lpstr>
      <vt:lpstr>θ_b_OHO</vt:lpstr>
      <vt:lpstr>θ_FERM_OHO</vt:lpstr>
      <vt:lpstr>θ_q_AMMON</vt:lpstr>
      <vt:lpstr>θ_q_ASSIM</vt:lpstr>
      <vt:lpstr>θ_q_HYD</vt:lpstr>
      <vt:lpstr>θ_q_XE</vt:lpstr>
      <vt:lpstr>θ_q_XU</vt:lpstr>
      <vt:lpstr>κ__</vt:lpstr>
      <vt:lpstr>λ_H</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Dynamita</dc:creator>
  <cp:lastModifiedBy>Helene Hauduc</cp:lastModifiedBy>
  <dcterms:created xsi:type="dcterms:W3CDTF">2006-09-16T00:00:00Z</dcterms:created>
  <dcterms:modified xsi:type="dcterms:W3CDTF">2024-11-19T15:26:19Z</dcterms:modified>
</cp:coreProperties>
</file>