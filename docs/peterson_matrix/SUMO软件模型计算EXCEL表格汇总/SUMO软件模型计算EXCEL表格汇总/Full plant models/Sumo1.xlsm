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10.xml" ContentType="application/vnd.openxmlformats-officedocument.drawing+xml"/>
  <Override PartName="/xl/drawings/drawing11.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129" codeName="{DC747B9D-DBBB-FA85-71B4-595EBAB97821}"/>
  <workbookPr codeName="ThisWorkbook" defaultThemeVersion="124226"/>
  <mc:AlternateContent xmlns:mc="http://schemas.openxmlformats.org/markup-compatibility/2006">
    <mc:Choice Requires="x15">
      <x15ac:absPath xmlns:x15ac="http://schemas.microsoft.com/office/spreadsheetml/2010/11/ac" url="D:\SUMO\SUMO_SourceCode\MODEL\trunk\Sumo\Process code\Model base\Full plant models\"/>
    </mc:Choice>
  </mc:AlternateContent>
  <xr:revisionPtr revIDLastSave="0" documentId="13_ncr:1_{DF8C84C4-3C38-4080-A952-BE4C4E5BEAD1}" xr6:coauthVersionLast="47" xr6:coauthVersionMax="47" xr10:uidLastSave="{00000000-0000-0000-0000-000000000000}"/>
  <bookViews>
    <workbookView xWindow="345" yWindow="345" windowWidth="26820" windowHeight="14385" tabRatio="863" xr2:uid="{00000000-000D-0000-FFFF-FFFF00000000}"/>
  </bookViews>
  <sheets>
    <sheet name="Help" sheetId="29" r:id="rId1"/>
    <sheet name="Concepts" sheetId="36" r:id="rId2"/>
    <sheet name="Parameters" sheetId="9" r:id="rId3"/>
    <sheet name="PU parameters" sheetId="37" r:id="rId4"/>
    <sheet name="Model" sheetId="1" r:id="rId5"/>
    <sheet name="pH" sheetId="4" r:id="rId6"/>
    <sheet name="Species" sheetId="20" r:id="rId7"/>
    <sheet name="Tableau" sheetId="17" state="hidden" r:id="rId8"/>
    <sheet name="Components" sheetId="2" r:id="rId9"/>
    <sheet name="Algebraic model" sheetId="13" state="hidden" r:id="rId10"/>
    <sheet name="Expert knowledge" sheetId="14" state="hidden" r:id="rId11"/>
    <sheet name="Calculated variables" sheetId="5" r:id="rId12"/>
    <sheet name="Functions" sheetId="3" state="hidden" r:id="rId13"/>
    <sheet name="Code" sheetId="10" state="hidden" r:id="rId14"/>
    <sheet name="Alert" sheetId="15" state="veryHidden" r:id="rId15"/>
    <sheet name="Security" sheetId="16" state="veryHidden" r:id="rId16"/>
    <sheet name="systemcode_functions" sheetId="39" state="hidden" r:id="rId17"/>
    <sheet name="systemcode_constants" sheetId="40" state="hidden" r:id="rId18"/>
    <sheet name="other parameters" sheetId="27" state="hidden" r:id="rId19"/>
  </sheets>
  <functionGroups builtInGroupCount="19"/>
  <definedNames>
    <definedName name="µ_ALGAE">Parameters!$D$120</definedName>
    <definedName name="µ_ALGAE_T">'Calculated variables'!$E$405</definedName>
    <definedName name="µ_AMETO">Parameters!$D$97</definedName>
    <definedName name="µ_AMETO_T">'Calculated variables'!$E$401</definedName>
    <definedName name="µ_CASTO">Parameters!$D$32</definedName>
    <definedName name="µ_CASTO_T">'Calculated variables'!$E$390</definedName>
    <definedName name="µ_FERM_OHO">Parameters!$D$8</definedName>
    <definedName name="µ_FERM_OHO_T">'Calculated variables'!$E$386</definedName>
    <definedName name="µ_FERM_PAO">Parameters!$D$34</definedName>
    <definedName name="µ_FERM_PAO_T">'Calculated variables'!$E$392</definedName>
    <definedName name="µ_HMETO">Parameters!$D$110</definedName>
    <definedName name="µ_HMETO_T">'Calculated variables'!$E$403</definedName>
    <definedName name="µ_MEOLO">Parameters!$D$23</definedName>
    <definedName name="µ_MEOLO_T">'Calculated variables'!$E$388</definedName>
    <definedName name="µ_NITO">Parameters!$D$81</definedName>
    <definedName name="µ_NITO_T">'Calculated variables'!$E$399</definedName>
    <definedName name="µ_OHO">Parameters!$D$7</definedName>
    <definedName name="µ_OHO_T">'Calculated variables'!$E$385</definedName>
    <definedName name="µ_PAO_lim">Parameters!$D$35</definedName>
    <definedName name="µ_PAO_lim_T">'Calculated variables'!$E$391</definedName>
    <definedName name="A_AR">'Calculated variables'!$E$136</definedName>
    <definedName name="A_Davies">'Calculated variables'!$E$422</definedName>
    <definedName name="A_H2O">systemcode_constants!$D$37</definedName>
    <definedName name="A_MAc">systemcode_constants!$D$166</definedName>
    <definedName name="A_MAg">systemcode_constants!$D$124</definedName>
    <definedName name="A_MAl">systemcode_constants!$D$90</definedName>
    <definedName name="A_MAm">systemcode_constants!$D$172</definedName>
    <definedName name="A_MAr">systemcode_constants!$D$95</definedName>
    <definedName name="A_MAs">systemcode_constants!$D$110</definedName>
    <definedName name="A_MAt">systemcode_constants!$D$162</definedName>
    <definedName name="A_MAu">systemcode_constants!$D$156</definedName>
    <definedName name="A_MB">systemcode_constants!$D$82</definedName>
    <definedName name="A_MBa">systemcode_constants!$D$133</definedName>
    <definedName name="A_MBe">systemcode_constants!$D$81</definedName>
    <definedName name="A_MBh">systemcode_constants!$D$184</definedName>
    <definedName name="A_MBi">systemcode_constants!$D$160</definedName>
    <definedName name="A_MBk">systemcode_constants!$D$174</definedName>
    <definedName name="A_MBr">systemcode_constants!$D$112</definedName>
    <definedName name="A_MC">systemcode_constants!$D$83</definedName>
    <definedName name="A_MCa">systemcode_constants!$D$97</definedName>
    <definedName name="A_MCd">systemcode_constants!$D$125</definedName>
    <definedName name="A_MCe">systemcode_constants!$D$135</definedName>
    <definedName name="A_MCf">systemcode_constants!$D$175</definedName>
    <definedName name="A_MCl">systemcode_constants!$D$94</definedName>
    <definedName name="A_MCm">systemcode_constants!$D$173</definedName>
    <definedName name="A_MCn">systemcode_constants!$D$189</definedName>
    <definedName name="A_MCo">systemcode_constants!$D$104</definedName>
    <definedName name="A_MCr">systemcode_constants!$D$101</definedName>
    <definedName name="A_MCs">systemcode_constants!$D$132</definedName>
    <definedName name="A_MCu">systemcode_constants!$D$106</definedName>
    <definedName name="A_MDb">systemcode_constants!$D$182</definedName>
    <definedName name="A_MDs">systemcode_constants!$D$187</definedName>
    <definedName name="A_MDy">systemcode_constants!$D$143</definedName>
    <definedName name="A_MEr">systemcode_constants!$D$145</definedName>
    <definedName name="A_MEs">systemcode_constants!$D$176</definedName>
    <definedName name="A_MEu">systemcode_constants!$D$140</definedName>
    <definedName name="A_MF">systemcode_constants!$D$86</definedName>
    <definedName name="A_MFe">systemcode_constants!$D$103</definedName>
    <definedName name="A_MFl">systemcode_constants!$D$191</definedName>
    <definedName name="A_MFm">systemcode_constants!$D$177</definedName>
    <definedName name="A_MFr">systemcode_constants!$D$164</definedName>
    <definedName name="A_MGa">systemcode_constants!$D$108</definedName>
    <definedName name="A_MGd">systemcode_constants!$D$141</definedName>
    <definedName name="A_MGe">systemcode_constants!$D$109</definedName>
    <definedName name="A_MH">systemcode_constants!$D$78</definedName>
    <definedName name="A_MHe">systemcode_constants!$D$79</definedName>
    <definedName name="A_MHf">systemcode_constants!$D$149</definedName>
    <definedName name="A_MHg">systemcode_constants!$D$157</definedName>
    <definedName name="A_MHo">systemcode_constants!$D$144</definedName>
    <definedName name="A_MHs">systemcode_constants!$D$185</definedName>
    <definedName name="A_MI">systemcode_constants!$D$130</definedName>
    <definedName name="A_MIn">systemcode_constants!$D$126</definedName>
    <definedName name="A_MIr">systemcode_constants!$D$154</definedName>
    <definedName name="A_MK">systemcode_constants!$D$96</definedName>
    <definedName name="A_MKr">systemcode_constants!$D$113</definedName>
    <definedName name="A_MLa">systemcode_constants!$D$134</definedName>
    <definedName name="A_MLi">systemcode_constants!$D$80</definedName>
    <definedName name="A_MLr">systemcode_constants!$D$180</definedName>
    <definedName name="A_MLu">systemcode_constants!$D$148</definedName>
    <definedName name="A_MLv">systemcode_constants!$D$193</definedName>
    <definedName name="A_MMd">systemcode_constants!$D$178</definedName>
    <definedName name="A_MMg">systemcode_constants!$D$89</definedName>
    <definedName name="A_MMn">systemcode_constants!$D$102</definedName>
    <definedName name="A_MMo">systemcode_constants!$D$119</definedName>
    <definedName name="A_MMt">systemcode_constants!$D$186</definedName>
    <definedName name="A_MN">systemcode_constants!$D$84</definedName>
    <definedName name="A_MNa">systemcode_constants!$D$88</definedName>
    <definedName name="A_MNb">systemcode_constants!$D$118</definedName>
    <definedName name="A_MNd">systemcode_constants!$D$137</definedName>
    <definedName name="A_MNe">systemcode_constants!$D$87</definedName>
    <definedName name="A_MNi">systemcode_constants!$D$105</definedName>
    <definedName name="A_MNo">systemcode_constants!$D$179</definedName>
    <definedName name="A_MNp">systemcode_constants!$D$170</definedName>
    <definedName name="A_MO">systemcode_constants!$D$85</definedName>
    <definedName name="A_MOs">systemcode_constants!$D$153</definedName>
    <definedName name="A_MP">systemcode_constants!$D$92</definedName>
    <definedName name="A_MPa">systemcode_constants!$D$168</definedName>
    <definedName name="A_MPb">systemcode_constants!$D$159</definedName>
    <definedName name="A_MPd">systemcode_constants!$D$123</definedName>
    <definedName name="A_MPm">systemcode_constants!$D$138</definedName>
    <definedName name="A_MPo">systemcode_constants!$D$161</definedName>
    <definedName name="A_MPr">systemcode_constants!$D$136</definedName>
    <definedName name="A_MPt">systemcode_constants!$D$155</definedName>
    <definedName name="A_MPu">systemcode_constants!$D$171</definedName>
    <definedName name="A_MRa">systemcode_constants!$D$165</definedName>
    <definedName name="A_MRb">systemcode_constants!$D$114</definedName>
    <definedName name="A_MRe">systemcode_constants!$D$152</definedName>
    <definedName name="A_MRf">systemcode_constants!$D$181</definedName>
    <definedName name="A_MRg">systemcode_constants!$D$188</definedName>
    <definedName name="A_MRh">systemcode_constants!$D$122</definedName>
    <definedName name="A_MRn">systemcode_constants!$D$163</definedName>
    <definedName name="A_MRu">systemcode_constants!$D$121</definedName>
    <definedName name="A_MS">systemcode_constants!$D$93</definedName>
    <definedName name="A_MSb">systemcode_constants!$D$128</definedName>
    <definedName name="A_MSc">systemcode_constants!$D$98</definedName>
    <definedName name="A_MSe">systemcode_constants!$D$111</definedName>
    <definedName name="A_MSg">systemcode_constants!$D$183</definedName>
    <definedName name="A_MSi">systemcode_constants!$D$91</definedName>
    <definedName name="A_MSm">systemcode_constants!$D$139</definedName>
    <definedName name="A_MSn">systemcode_constants!$D$127</definedName>
    <definedName name="A_MSr">systemcode_constants!$D$115</definedName>
    <definedName name="A_MTa">systemcode_constants!$D$150</definedName>
    <definedName name="A_MTb">systemcode_constants!$D$142</definedName>
    <definedName name="A_MTc">systemcode_constants!$D$120</definedName>
    <definedName name="A_MTe">systemcode_constants!$D$129</definedName>
    <definedName name="A_MTh">systemcode_constants!$D$167</definedName>
    <definedName name="A_MTi">systemcode_constants!$D$99</definedName>
    <definedName name="A_MTl">systemcode_constants!$D$158</definedName>
    <definedName name="A_MTm">systemcode_constants!$D$146</definedName>
    <definedName name="A_MU">systemcode_constants!$D$169</definedName>
    <definedName name="A_MUuo">systemcode_constants!$D$195</definedName>
    <definedName name="A_MUup">systemcode_constants!$D$192</definedName>
    <definedName name="A_MUus">systemcode_constants!$D$194</definedName>
    <definedName name="A_MUut">systemcode_constants!$D$190</definedName>
    <definedName name="A_MV">systemcode_constants!$D$100</definedName>
    <definedName name="A_MW">systemcode_constants!$D$151</definedName>
    <definedName name="A_MXe">systemcode_constants!$D$131</definedName>
    <definedName name="A_MY">systemcode_constants!$D$116</definedName>
    <definedName name="A_MYb">systemcode_constants!$D$147</definedName>
    <definedName name="A_MZn">systemcode_constants!$D$107</definedName>
    <definedName name="A_MZr">systemcode_constants!$D$117</definedName>
    <definedName name="A_SFHAO_H">Parameters!$D$362</definedName>
    <definedName name="A_SFHAO_L">Parameters!$D$363</definedName>
    <definedName name="A_SFHFO_H">Parameters!$D$355</definedName>
    <definedName name="A_SFHFO_L">Parameters!$D$356</definedName>
    <definedName name="A_UR">'Calculated variables'!$E$129</definedName>
    <definedName name="actferm_PAO_ORP">'Calculated variables'!$E$74</definedName>
    <definedName name="actGAO">'Calculated variables'!$E$69</definedName>
    <definedName name="actPAO">'Calculated variables'!$E$68</definedName>
    <definedName name="actsto_GAO_ORP">'Calculated variables'!$E$72</definedName>
    <definedName name="actsto_PAO_ORP">'Calculated variables'!$E$73</definedName>
    <definedName name="b_ALGAE">Parameters!$D$121</definedName>
    <definedName name="b_ALGAE_T">'Calculated variables'!$E$406</definedName>
    <definedName name="b_AMETO">Parameters!$D$98</definedName>
    <definedName name="b_AMETO_T">'Calculated variables'!$E$402</definedName>
    <definedName name="b_CASTO">Parameters!$D$36</definedName>
    <definedName name="b_CASTO_T">'Calculated variables'!$E$398</definedName>
    <definedName name="B_ellinhpH">'Calculated variables'!$E$267</definedName>
    <definedName name="B_ellinhpH_AMETO">'Calculated variables'!$E$271</definedName>
    <definedName name="B_ellinhpH_FLOC_HAO">'Calculated variables'!$E$277</definedName>
    <definedName name="B_ellinhpH_FLOC_HFO">'Calculated variables'!$E$275</definedName>
    <definedName name="B_ellinhpH_HMETO">'Calculated variables'!$E$273</definedName>
    <definedName name="B_ellinhpH_NITO">'Calculated variables'!$E$269</definedName>
    <definedName name="B_H2O">systemcode_constants!$D$38</definedName>
    <definedName name="b_HMETO">Parameters!$D$111</definedName>
    <definedName name="b_HMETO_T">'Calculated variables'!$E$404</definedName>
    <definedName name="b_MEOLO">Parameters!$D$24</definedName>
    <definedName name="b_MEOLO_T">'Calculated variables'!$E$389</definedName>
    <definedName name="b_NITO">Parameters!$D$82</definedName>
    <definedName name="b_NITO_T">'Calculated variables'!$E$400</definedName>
    <definedName name="b_OHO">Parameters!$D$9</definedName>
    <definedName name="b_OHO_T">'Calculated variables'!$E$387</definedName>
    <definedName name="b_PP_ana">Parameters!$D$38</definedName>
    <definedName name="b_PP_ana_T">'Calculated variables'!$E$397</definedName>
    <definedName name="b_STC">Parameters!$D$37</definedName>
    <definedName name="b_STC_T">'Calculated variables'!$E$396</definedName>
    <definedName name="C_B">Components!$E$7</definedName>
    <definedName name="c_cm_m">systemcode_constants!$D$389</definedName>
    <definedName name="c_cm2_m2">systemcode_constants!$D$390</definedName>
    <definedName name="c_cm3_m3">systemcode_constants!$D$391</definedName>
    <definedName name="c_d_mon">systemcode_constants!$D$375</definedName>
    <definedName name="c_d_w">systemcode_constants!$D$374</definedName>
    <definedName name="c_d_y">systemcode_constants!$D$376</definedName>
    <definedName name="c_ft_m">systemcode_constants!$D$397</definedName>
    <definedName name="c_ft2_m2">systemcode_constants!$D$396</definedName>
    <definedName name="c_ft3_m3">systemcode_constants!$D$395</definedName>
    <definedName name="c_g_kg">systemcode_constants!$D$378</definedName>
    <definedName name="c_G_m3">systemcode_constants!$D$393</definedName>
    <definedName name="c_g_ton">systemcode_constants!$D$379</definedName>
    <definedName name="c_h_d">systemcode_constants!$D$369</definedName>
    <definedName name="C_H2O">systemcode_constants!$D$39</definedName>
    <definedName name="c_hargebalance">pH!$X$19</definedName>
    <definedName name="c_hargebalanceerror">'Calculated variables'!$E$516</definedName>
    <definedName name="c_kJ_MJ">systemcode_constants!$D$381</definedName>
    <definedName name="c_L_m3">systemcode_constants!$D$380</definedName>
    <definedName name="c_lbs_g">systemcode_constants!$D$394</definedName>
    <definedName name="c_mg_g">systemcode_constants!$D$377</definedName>
    <definedName name="c_MG_m3">systemcode_constants!$D$392</definedName>
    <definedName name="c_micron_m">systemcode_constants!$D$387</definedName>
    <definedName name="c_min_d">systemcode_constants!$D$367</definedName>
    <definedName name="c_min_h">systemcode_constants!$D$368</definedName>
    <definedName name="c_mm_m">systemcode_constants!$D$388</definedName>
    <definedName name="c_mmol_mol">systemcode_constants!$D$363</definedName>
    <definedName name="c_ms_d">systemcode_constants!$D$370</definedName>
    <definedName name="c_ms_h">systemcode_constants!$D$371</definedName>
    <definedName name="c_ms_min">systemcode_constants!$D$372</definedName>
    <definedName name="c_ms_s">systemcode_constants!$D$373</definedName>
    <definedName name="c_oeffdamp_ALPHA">Parameters!$D$381</definedName>
    <definedName name="c_oefflead_TSS_α_mech">Parameters!$D$386</definedName>
    <definedName name="c_oefflin_TSS_α_mech">Parameters!$D$387</definedName>
    <definedName name="c_onstTSS_α_mech">Parameters!$D$388</definedName>
    <definedName name="c_orrh_diff_α">'Calculated variables'!$E$619</definedName>
    <definedName name="c_orrTSS_α">'Calculated variables'!$E$620</definedName>
    <definedName name="C_OUR">'Calculated variables'!$E$126</definedName>
    <definedName name="c_p_water">systemcode_constants!$D$66</definedName>
    <definedName name="c_Pa_bar">systemcode_constants!$D$385</definedName>
    <definedName name="c_Pa_Hgmm">systemcode_constants!$D$384</definedName>
    <definedName name="c_Pa_mbar">systemcode_constants!$D$386</definedName>
    <definedName name="c_Pa_MPa">systemcode_constants!$D$383</definedName>
    <definedName name="c_percent_fraction">systemcode_constants!$D$362</definedName>
    <definedName name="c_percent_Vconc">systemcode_constants!$D$361</definedName>
    <definedName name="c_ppm_Vconc">systemcode_constants!$D$360</definedName>
    <definedName name="c_s_d">systemcode_constants!$D$364</definedName>
    <definedName name="c_s_h">systemcode_constants!$D$365</definedName>
    <definedName name="c_s_min">systemcode_constants!$D$366</definedName>
    <definedName name="C_U">Components!$E$11</definedName>
    <definedName name="c_W_kW">systemcode_constants!$D$382</definedName>
    <definedName name="conc_Acm_I">Species!$D$17</definedName>
    <definedName name="conc_Acm_Ieq">'Calculated variables'!$E$469</definedName>
    <definedName name="conc_ANm_I">Species!$D$22</definedName>
    <definedName name="conc_Ca2p_I">Species!$D$18</definedName>
    <definedName name="conc_CATp_I">Species!$D$20</definedName>
    <definedName name="conc_CO32m_I">Species!$D$11</definedName>
    <definedName name="conc_Fe2p_I">Species!$D$23</definedName>
    <definedName name="conc_H2CO3_I">Species!$D$9</definedName>
    <definedName name="conc_H2PO4m_I">Species!$D$13</definedName>
    <definedName name="conc_H2PO4m_Ieq">'Calculated variables'!$E$468</definedName>
    <definedName name="conc_H3PO4_I">Species!$D$12</definedName>
    <definedName name="conc_HAc_I">Species!$D$16</definedName>
    <definedName name="conc_HCO3m_I">Species!$D$10</definedName>
    <definedName name="conc_Hp_I">Species!$D$4</definedName>
    <definedName name="conc_Hp_Ieq">systemcode_constants!$D$352</definedName>
    <definedName name="conc_HPO42m_I">Species!$D$14</definedName>
    <definedName name="conc_HPO42m_Ieq">'Calculated variables'!$E$467</definedName>
    <definedName name="conc_Kp_I">Species!$D$21</definedName>
    <definedName name="conc_Mg2p_I">Species!$D$19</definedName>
    <definedName name="conc_NH3_I">Species!$D$6</definedName>
    <definedName name="conc_NH4p_I">Species!$D$7</definedName>
    <definedName name="conc_NO3m_I">Species!$D$8</definedName>
    <definedName name="conc_OHm_I">Species!$D$5</definedName>
    <definedName name="conc_PO43m_I">Species!$D$15</definedName>
    <definedName name="d_ampALPHA">'Calculated variables'!$E$618</definedName>
    <definedName name="D_CB">systemcode_constants!$D$479</definedName>
    <definedName name="D_CU">systemcode_constants!$D$480</definedName>
    <definedName name="D_eltaHbio">Parameters!$D$441</definedName>
    <definedName name="D_GCH4_25">systemcode_constants!$D$30</definedName>
    <definedName name="D_GCO2_25">systemcode_constants!$D$28</definedName>
    <definedName name="D_GH2_25">systemcode_constants!$D$29</definedName>
    <definedName name="D_GH2S_25">systemcode_constants!$D$33</definedName>
    <definedName name="D_GN2_25">systemcode_constants!$D$26</definedName>
    <definedName name="D_GN2O_25">systemcode_constants!$D$32</definedName>
    <definedName name="D_GNH3_25">systemcode_constants!$D$27</definedName>
    <definedName name="D_GNO_25">systemcode_constants!$D$31</definedName>
    <definedName name="D_GO2_25">systemcode_constants!$D$25</definedName>
    <definedName name="d_HCaCO3">systemcode_constants!$D$451</definedName>
    <definedName name="d_HCaH2PO4p">systemcode_constants!$D$455</definedName>
    <definedName name="d_HCaHCO3p">systemcode_constants!$D$452</definedName>
    <definedName name="d_HCaHPO4">systemcode_constants!$D$454</definedName>
    <definedName name="d_HCaOHp">systemcode_constants!$D$450</definedName>
    <definedName name="d_HCaPO4m">systemcode_constants!$D$453</definedName>
    <definedName name="d_Hdiss_But">systemcode_constants!$D$444</definedName>
    <definedName name="d_Hdiss_CO2_1">systemcode_constants!$D$437</definedName>
    <definedName name="d_Hdiss_CO2_2">systemcode_constants!$D$438</definedName>
    <definedName name="d_Hdiss_H2O">systemcode_constants!$D$434</definedName>
    <definedName name="d_Hdiss_NO2">systemcode_constants!$D$436</definedName>
    <definedName name="d_Hdiss_PO4_1">systemcode_constants!$D$439</definedName>
    <definedName name="d_Hdiss_PO4_2">systemcode_constants!$D$440</definedName>
    <definedName name="d_Hdiss_PO4_3">systemcode_constants!$D$441</definedName>
    <definedName name="d_Hdiss_Prop">systemcode_constants!$D$443</definedName>
    <definedName name="d_Hdiss_S_1">systemcode_constants!$D$446</definedName>
    <definedName name="d_Hdiss_S_2">systemcode_constants!$D$447</definedName>
    <definedName name="d_Hdiss_SO4_1">systemcode_constants!$D$448</definedName>
    <definedName name="d_Hdiss_SO4_2">systemcode_constants!$D$449</definedName>
    <definedName name="d_Hdiss_Val">systemcode_constants!$D$445</definedName>
    <definedName name="d_Hdiss_VFA">systemcode_constants!$D$442</definedName>
    <definedName name="d_Hion_amm">systemcode_constants!$D$435</definedName>
    <definedName name="d_HMgCO3">systemcode_constants!$D$457</definedName>
    <definedName name="d_HMgH2PO4p">systemcode_constants!$D$461</definedName>
    <definedName name="d_HMgHCO3p">systemcode_constants!$D$458</definedName>
    <definedName name="d_HMgHPO4">systemcode_constants!$D$459</definedName>
    <definedName name="d_HMgOHp">systemcode_constants!$D$456</definedName>
    <definedName name="d_HMgPO4m">systemcode_constants!$D$460</definedName>
    <definedName name="d_HNaHPO4m">systemcode_constants!$D$462</definedName>
    <definedName name="D_isplay_µALGAE_T">'Calculated variables'!$E$714</definedName>
    <definedName name="D_isplay_µAOB_T">'Calculated variables'!$E$696</definedName>
    <definedName name="D_isplay_BellinhpH_AOB">'Calculated variables'!$E$709</definedName>
    <definedName name="D_isplay_LightSwitch">'Calculated variables'!$E$717</definedName>
    <definedName name="D_isplay_LogsatpHCO2_AOB">'Calculated variables'!$E$699</definedName>
    <definedName name="D_isplay_MinhpHHNO2_AOB">'Calculated variables'!$E$707</definedName>
    <definedName name="D_isplay_MinhpHNH3_NITO">'Calculated variables'!$E$708</definedName>
    <definedName name="D_isplay_MinhSNHx_KiNHx_ALGAE">'Calculated variables'!$E$719</definedName>
    <definedName name="D_isplay_MsatSALK_KALK">'Calculated variables'!$E$710</definedName>
    <definedName name="D_isplay_MsatSAN_KAN">'Calculated variables'!$E$703</definedName>
    <definedName name="D_isplay_MsatSCa_KCa">'Calculated variables'!$E$704</definedName>
    <definedName name="D_isplay_MsatSCAT_KCAT">'Calculated variables'!$E$702</definedName>
    <definedName name="D_isplay_MsatSCO2_KCO2_ALGAE">'Calculated variables'!$E$716</definedName>
    <definedName name="D_isplay_MsatSMg_KMg">'Calculated variables'!$E$705</definedName>
    <definedName name="D_isplay_MsatSNHx_KNHx_ALGAE">'Calculated variables'!$E$720</definedName>
    <definedName name="D_isplay_MsatSNHx_KNHx_AOB">'Calculated variables'!$E$698</definedName>
    <definedName name="D_isplay_MsatSNOx_KNOx_ALGAE">'Calculated variables'!$E$718</definedName>
    <definedName name="D_isplay_MsatSO2_KO2_AOB">'Calculated variables'!$E$700</definedName>
    <definedName name="D_isplay_MsatSPO4_KPO4_BIO">'Calculated variables'!$E$701</definedName>
    <definedName name="D_isplay_MsatSSO4_KSO4_BIO">'Calculated variables'!$E$706</definedName>
    <definedName name="D_isplay_XALGAE">'Calculated variables'!$E$715</definedName>
    <definedName name="D_isplay_XAOB">'Calculated variables'!$E$697</definedName>
    <definedName name="D_NBS">systemcode_constants!$D$489</definedName>
    <definedName name="D_NH3">systemcode_constants!$D$484</definedName>
    <definedName name="D_NO3">systemcode_constants!$D$485</definedName>
    <definedName name="D_NUS">systemcode_constants!$D$488</definedName>
    <definedName name="D_PO4">systemcode_constants!$D$486</definedName>
    <definedName name="D_SA">systemcode_constants!$D$467</definedName>
    <definedName name="D_SALK">systemcode_constants!$D$515</definedName>
    <definedName name="D_SALPHA">systemcode_constants!$D$473</definedName>
    <definedName name="D_SAN">systemcode_constants!$D$511</definedName>
    <definedName name="D_SB">systemcode_constants!$D$469</definedName>
    <definedName name="D_SB_mono">systemcode_constants!$D$470</definedName>
    <definedName name="D_SB_poly">systemcode_constants!$D$471</definedName>
    <definedName name="D_SBSA">systemcode_constants!$D$468</definedName>
    <definedName name="D_SBSC">systemcode_constants!$D$475</definedName>
    <definedName name="D_SCa">systemcode_constants!$D$508</definedName>
    <definedName name="D_SCAT">systemcode_constants!$D$510</definedName>
    <definedName name="D_SCH4">systemcode_constants!$D$504</definedName>
    <definedName name="D_SCO2">systemcode_constants!$D$506</definedName>
    <definedName name="D_SF">systemcode_constants!$D$474</definedName>
    <definedName name="D_SFe2">systemcode_constants!$D$514</definedName>
    <definedName name="D_SH2">systemcode_constants!$D$505</definedName>
    <definedName name="D_SH2S">systemcode_constants!$D$512</definedName>
    <definedName name="D_SHCO">systemcode_constants!$D$516</definedName>
    <definedName name="D_SI">systemcode_constants!$D$478</definedName>
    <definedName name="D_SK">systemcode_constants!$D$507</definedName>
    <definedName name="D_SMEOL">systemcode_constants!$D$476</definedName>
    <definedName name="D_SMg">systemcode_constants!$D$509</definedName>
    <definedName name="D_SMM_index">systemcode_constants!$D$517</definedName>
    <definedName name="D_SN_B">systemcode_constants!$D$497</definedName>
    <definedName name="D_SN2">systemcode_constants!$D$487</definedName>
    <definedName name="D_SN2O">systemcode_constants!$D$496</definedName>
    <definedName name="D_SND">systemcode_constants!$D$498</definedName>
    <definedName name="D_SNH">systemcode_constants!$D$483</definedName>
    <definedName name="D_SNH2OH">systemcode_constants!$D$492</definedName>
    <definedName name="D_SNH4">systemcode_constants!$D$482</definedName>
    <definedName name="D_SNHx">systemcode_constants!$D$481</definedName>
    <definedName name="D_SNO">systemcode_constants!$D$495</definedName>
    <definedName name="D_SNO2">systemcode_constants!$D$494</definedName>
    <definedName name="D_SNO3">systemcode_constants!$D$493</definedName>
    <definedName name="D_SNOx">systemcode_constants!$D$491</definedName>
    <definedName name="D_SO">systemcode_constants!$D$503</definedName>
    <definedName name="D_SO2">systemcode_constants!$D$502</definedName>
    <definedName name="D_SP_B">systemcode_constants!$D$501</definedName>
    <definedName name="D_SPO">systemcode_constants!$D$500</definedName>
    <definedName name="D_SPO4">systemcode_constants!$D$499</definedName>
    <definedName name="D_SS">systemcode_constants!$D$472</definedName>
    <definedName name="D_SSO4">systemcode_constants!$D$513</definedName>
    <definedName name="D_SU">systemcode_constants!$D$477</definedName>
    <definedName name="D_SUS">systemcode_constants!$D$490</definedName>
    <definedName name="D_SVFA">systemcode_constants!$D$466</definedName>
    <definedName name="E_EQFe2">systemcode_constants!$D$337</definedName>
    <definedName name="E_EQH2S">systemcode_constants!$D$339</definedName>
    <definedName name="E_EQN2">systemcode_constants!$D$324</definedName>
    <definedName name="E_EQN2_N2O">systemcode_constants!$D$335</definedName>
    <definedName name="E_EQN2_NO2">systemcode_constants!$D$332</definedName>
    <definedName name="E_EQN2_NO3">systemcode_constants!$D$336</definedName>
    <definedName name="E_EQN2O">systemcode_constants!$D$325</definedName>
    <definedName name="E_EQN2O_NO">systemcode_constants!$D$334</definedName>
    <definedName name="E_EQNH2OH">systemcode_constants!$D$329</definedName>
    <definedName name="E_EQNH2OH_NO">systemcode_constants!$D$330</definedName>
    <definedName name="E_EQNO">systemcode_constants!$D$326</definedName>
    <definedName name="E_EQNO_NO2">systemcode_constants!$D$333</definedName>
    <definedName name="E_EQNO2">systemcode_constants!$D$327</definedName>
    <definedName name="E_EQNO2_NO3">systemcode_constants!$D$331</definedName>
    <definedName name="E_EQNO3">systemcode_constants!$D$328</definedName>
    <definedName name="E_EQS">systemcode_constants!$D$338</definedName>
    <definedName name="e_rrorNHx_NOx">'Calculated variables'!$E$55</definedName>
    <definedName name="F__">systemcode_constants!$D$64</definedName>
    <definedName name="f_Ar_air">systemcode_constants!$D$48</definedName>
    <definedName name="f_bw_floc">'Calculated variables'!$E$59</definedName>
    <definedName name="f_C_BOD5_BODult">Parameters!$D$350</definedName>
    <definedName name="f_CO2_air">systemcode_constants!$D$49</definedName>
    <definedName name="f_di">'Calculated variables'!$E$432</definedName>
    <definedName name="f_di_IS_an">systemcode_constants!$D$346</definedName>
    <definedName name="f_di_IS_cat">systemcode_constants!$D$345</definedName>
    <definedName name="f_di_ISlim">'Calculated variables'!$E$429</definedName>
    <definedName name="f_E">Parameters!$D$302</definedName>
    <definedName name="f_H2O_HAO_TSS">Parameters!$D$364</definedName>
    <definedName name="f_H2O_HAO_VSS">Parameters!$D$365</definedName>
    <definedName name="f_H2O_HFO_TSS">Parameters!$D$357</definedName>
    <definedName name="f_H2O_HFO_VSS">Parameters!$D$358</definedName>
    <definedName name="f_kL_GCH4">Parameters!$D$374</definedName>
    <definedName name="f_kL_GCO2">Parameters!$D$373</definedName>
    <definedName name="f_kL_GH2">Parameters!$D$375</definedName>
    <definedName name="f_kL_GN2">Parameters!$D$372</definedName>
    <definedName name="f_kL_GNH3">Parameters!$D$376</definedName>
    <definedName name="f_KS">'other parameters'!$D$8</definedName>
    <definedName name="f_KS_biofilm">Parameters!$D$235</definedName>
    <definedName name="f_mono">'Calculated variables'!$E$431</definedName>
    <definedName name="f_mono_IS_an">systemcode_constants!$D$344</definedName>
    <definedName name="f_mono_IS_cat">systemcode_constants!$D$343</definedName>
    <definedName name="f_mono_ISlim">'Calculated variables'!$E$428</definedName>
    <definedName name="f_N2_air">systemcode_constants!$D$47</definedName>
    <definedName name="f_Na">Parameters!$D$341</definedName>
    <definedName name="f_O2_air">systemcode_constants!$D$46</definedName>
    <definedName name="f_O2_max_ALPHA">Parameters!$D$380</definedName>
    <definedName name="f_P_VFA">Parameters!$D$292</definedName>
    <definedName name="f_S_BOD5_BODult">Parameters!$D$349</definedName>
    <definedName name="f_TOC_1">Parameters!$D$410</definedName>
    <definedName name="f_TOC_2">Parameters!$D$411</definedName>
    <definedName name="f_tri">'Calculated variables'!$E$433</definedName>
    <definedName name="f_tri_IS_an">systemcode_constants!$D$348</definedName>
    <definedName name="f_tri_IS_cat">systemcode_constants!$D$347</definedName>
    <definedName name="f_tri_ISlim">'Calculated variables'!$E$430</definedName>
    <definedName name="f_VFA_DM">Parameters!$D$344</definedName>
    <definedName name="f_X_BOD5_BODult">Parameters!$D$351</definedName>
    <definedName name="G_CH4">Components!$E$75</definedName>
    <definedName name="G_CH4_atm">Components!$E$81</definedName>
    <definedName name="G_CO2">Components!$E$74</definedName>
    <definedName name="G_CO2_atm">Components!$E$80</definedName>
    <definedName name="g_grav">systemcode_constants!$D$65</definedName>
    <definedName name="G_H2">Components!$E$76</definedName>
    <definedName name="G_H2_atm">Components!$E$82</definedName>
    <definedName name="G_N2">Components!$E$79</definedName>
    <definedName name="G_N2_atm">Components!$E$85</definedName>
    <definedName name="G_NH3">Components!$E$78</definedName>
    <definedName name="G_NH3_atm">Components!$E$84</definedName>
    <definedName name="G_O2">Components!$E$77</definedName>
    <definedName name="G_O2_atm">Components!$E$83</definedName>
    <definedName name="H_Acm">systemcode_constants!$D$417</definedName>
    <definedName name="H_Ca2p">systemcode_constants!$D$424</definedName>
    <definedName name="H_CO32m">systemcode_constants!$D$411</definedName>
    <definedName name="h_diff">'other parameters'!$D$12</definedName>
    <definedName name="H_enryGCH4_25">systemcode_constants!$D$16</definedName>
    <definedName name="H_enryGCH4_dt">systemcode_constants!$D$17</definedName>
    <definedName name="H_enryGCO2_25">systemcode_constants!$D$6</definedName>
    <definedName name="H_enryGCO2_dt">systemcode_constants!$D$7</definedName>
    <definedName name="H_enryGH2_25">systemcode_constants!$D$14</definedName>
    <definedName name="H_enryGH2_dt">systemcode_constants!$D$15</definedName>
    <definedName name="H_enryGH2S_25">systemcode_constants!$D$20</definedName>
    <definedName name="H_enryGH2S_dt">systemcode_constants!$D$21</definedName>
    <definedName name="H_enryGN2_25">systemcode_constants!$D$12</definedName>
    <definedName name="H_enryGN2_dt">systemcode_constants!$D$13</definedName>
    <definedName name="H_enryGN2O_25">systemcode_constants!$D$10</definedName>
    <definedName name="H_enryGN2O_dt">systemcode_constants!$D$11</definedName>
    <definedName name="H_enryGNH3_25">systemcode_constants!$D$18</definedName>
    <definedName name="H_enryGNH3_dt">systemcode_constants!$D$19</definedName>
    <definedName name="H_enryGNO_25">systemcode_constants!$D$8</definedName>
    <definedName name="H_enryGNO_dt">systemcode_constants!$D$9</definedName>
    <definedName name="H_enryGO2_25">systemcode_constants!$D$4</definedName>
    <definedName name="H_enryGO2_dt">systemcode_constants!$D$5</definedName>
    <definedName name="H_H2CO3">systemcode_constants!$D$409</definedName>
    <definedName name="H_H2O">systemcode_constants!$D$430</definedName>
    <definedName name="H_H2PO4m">systemcode_constants!$D$413</definedName>
    <definedName name="H_H2S">systemcode_constants!$D$418</definedName>
    <definedName name="H_H2SO4">systemcode_constants!$D$421</definedName>
    <definedName name="H_H3Op">systemcode_constants!$D$402</definedName>
    <definedName name="H_H3PO4">systemcode_constants!$D$412</definedName>
    <definedName name="H_HAc">systemcode_constants!$D$416</definedName>
    <definedName name="H_HCO3m">systemcode_constants!$D$410</definedName>
    <definedName name="H_HNO2">systemcode_constants!$D$406</definedName>
    <definedName name="H_Hp">systemcode_constants!$D$401</definedName>
    <definedName name="H_HPO42m">systemcode_constants!$D$414</definedName>
    <definedName name="H_HSm">systemcode_constants!$D$419</definedName>
    <definedName name="H_HSO4m">systemcode_constants!$D$422</definedName>
    <definedName name="H_Mg2p">systemcode_constants!$D$425</definedName>
    <definedName name="H_Nap">systemcode_constants!$D$426</definedName>
    <definedName name="H_NH3">systemcode_constants!$D$404</definedName>
    <definedName name="H_NH4p">systemcode_constants!$D$405</definedName>
    <definedName name="H_NO2m">systemcode_constants!$D$407</definedName>
    <definedName name="H_NO3m">systemcode_constants!$D$408</definedName>
    <definedName name="H_OHm">systemcode_constants!$D$403</definedName>
    <definedName name="H_PO43m">systemcode_constants!$D$415</definedName>
    <definedName name="H_S2m">systemcode_constants!$D$420</definedName>
    <definedName name="H_satSVFA_AMETO">'Calculated variables'!$E$341</definedName>
    <definedName name="H_SO42m">systemcode_constants!$D$423</definedName>
    <definedName name="H_STP">systemcode_constants!$D$70</definedName>
    <definedName name="i_Ca_INORG">Parameters!$D$342</definedName>
    <definedName name="i_Ca_PP">Parameters!$D$338</definedName>
    <definedName name="i_CIT_ALGAE">Parameters!$D$330</definedName>
    <definedName name="i_CIT_BIO">Parameters!$D$329</definedName>
    <definedName name="i_CIT_CH4">Parameters!$D$334</definedName>
    <definedName name="i_CIT_MEOL">Parameters!$D$333</definedName>
    <definedName name="i_CIT_PHA">Parameters!$D$336</definedName>
    <definedName name="i_CIT_SB">Parameters!$D$331</definedName>
    <definedName name="i_CIT_STC">'Calculated variables'!$E$77</definedName>
    <definedName name="i_CIT_VFA">Parameters!$D$335</definedName>
    <definedName name="i_CIT_XBe">Parameters!$D$332</definedName>
    <definedName name="i_CV_BIO">Parameters!$D$321</definedName>
    <definedName name="i_CV_CB">Parameters!$D$326</definedName>
    <definedName name="i_CV_CU">Parameters!$D$327</definedName>
    <definedName name="i_CV_PHA">Parameters!$D$328</definedName>
    <definedName name="i_CV_SB">Parameters!$D$324</definedName>
    <definedName name="i_CV_SU">Parameters!$D$325</definedName>
    <definedName name="i_CV_VFA">Parameters!$D$323</definedName>
    <definedName name="i_CV_XB">Parameters!$D$319</definedName>
    <definedName name="i_CV_XBe">'Calculated variables'!$E$60</definedName>
    <definedName name="i_CV_XE">Parameters!$D$322</definedName>
    <definedName name="i_CV_XU">Parameters!$D$320</definedName>
    <definedName name="i_INORG">Parameters!$D$337</definedName>
    <definedName name="i_iw_BIO">Parameters!$D$415</definedName>
    <definedName name="i_K_PP">Parameters!$D$340</definedName>
    <definedName name="i_Mg_INORG">Parameters!$D$343</definedName>
    <definedName name="i_Mg_PP">Parameters!$D$339</definedName>
    <definedName name="i_N_ALGAE">Parameters!$D$304</definedName>
    <definedName name="i_N_BIO">Parameters!$D$303</definedName>
    <definedName name="i_N_CB">Parameters!$D$306</definedName>
    <definedName name="i_N_CU">Parameters!$D$307</definedName>
    <definedName name="i_N_SU">Parameters!$D$308</definedName>
    <definedName name="i_N_XE">Parameters!$D$305</definedName>
    <definedName name="i_N_XSTR">Parameters!$D$309</definedName>
    <definedName name="i_P_ALGAE">Parameters!$D$311</definedName>
    <definedName name="i_P_BIO">Parameters!$D$310</definedName>
    <definedName name="i_P_CB">Parameters!$D$312</definedName>
    <definedName name="i_P_CU">Parameters!$D$313</definedName>
    <definedName name="i_P_SU">Parameters!$D$314</definedName>
    <definedName name="i_P_XACP">Parameters!$D$316</definedName>
    <definedName name="i_P_XBSH">Parameters!$D$317</definedName>
    <definedName name="i_P_XSTR">Parameters!$D$315</definedName>
    <definedName name="i_P_XVivi">Parameters!$D$318</definedName>
    <definedName name="I_S">'Calculated variables'!$E$474</definedName>
    <definedName name="I_Scalc">pH!$X$20</definedName>
    <definedName name="I_Serror">'Calculated variables'!$E$517</definedName>
    <definedName name="I_Sinput_AS">Parameters!$D$402</definedName>
    <definedName name="I_Sinput_DIG">Parameters!$D$403</definedName>
    <definedName name="I_Sinput_sidestream">Parameters!$D$404</definedName>
    <definedName name="I_Slim">Parameters!$D$405</definedName>
    <definedName name="i_TSS_PP">Parameters!$D$293</definedName>
    <definedName name="i_vw_BIO">Parameters!$D$422</definedName>
    <definedName name="i_vw_CB">Parameters!$D$424</definedName>
    <definedName name="i_vw_CU">Parameters!$D$425</definedName>
    <definedName name="i_vw_EPS">Parameters!$D$427</definedName>
    <definedName name="i_vw_PHA">Parameters!$D$426</definedName>
    <definedName name="i_vw_XB">Parameters!$D$419</definedName>
    <definedName name="i_vw_XBe">Parameters!$D$420</definedName>
    <definedName name="i_vw_XE">Parameters!$D$423</definedName>
    <definedName name="i_vw_XU">Parameters!$D$421</definedName>
    <definedName name="i_wh_BIO">Parameters!$D$434</definedName>
    <definedName name="i_wh_EPS">Parameters!$D$437</definedName>
    <definedName name="i_wh_PHA">Parameters!$D$436</definedName>
    <definedName name="i_wh_XB">Parameters!$D$431</definedName>
    <definedName name="i_wh_XBe">Parameters!$D$432</definedName>
    <definedName name="i_wh_XE">Parameters!$D$435</definedName>
    <definedName name="i_wh_XU">Parameters!$D$433</definedName>
    <definedName name="J_photosynt_solar">'other parameters'!$D$89</definedName>
    <definedName name="J_photosynt_solar_opt">'other parameters'!$D$90</definedName>
    <definedName name="K_Ac">'Calculated variables'!$E$454</definedName>
    <definedName name="K_Ac_param">systemcode_constants!$D$301</definedName>
    <definedName name="K_Ac_T">'Calculated variables'!$E$443</definedName>
    <definedName name="K_ACP_DISS">Parameters!$D$141</definedName>
    <definedName name="K_AN">'Calculated variables'!$E$235</definedName>
    <definedName name="K_AN_AS">Parameters!$D$184</definedName>
    <definedName name="K_BSH_DISS">Parameters!$D$142</definedName>
    <definedName name="K_But_param">systemcode_constants!$D$303</definedName>
    <definedName name="K_C1">'Calculated variables'!$E$449</definedName>
    <definedName name="K_C1_param">systemcode_constants!$D$296</definedName>
    <definedName name="K_C1_T">'Calculated variables'!$E$438</definedName>
    <definedName name="K_C2">'Calculated variables'!$E$450</definedName>
    <definedName name="K_C2_param">systemcode_constants!$D$297</definedName>
    <definedName name="K_C2_T">'Calculated variables'!$E$439</definedName>
    <definedName name="K_Ca_BIO">'Calculated variables'!$E$239</definedName>
    <definedName name="K_Ca_BIO_AS">Parameters!$D$186</definedName>
    <definedName name="K_Ca_PAO">'Calculated variables'!$E$198</definedName>
    <definedName name="K_Ca_PAO_AS">Parameters!$D$64</definedName>
    <definedName name="K_CaCO3_DISS">Parameters!$D$143</definedName>
    <definedName name="K_CAT">'Calculated variables'!$E$233</definedName>
    <definedName name="K_CAT_AS">Parameters!$D$183</definedName>
    <definedName name="K_CB_FLOC">Parameters!$D$211</definedName>
    <definedName name="K_CB_FLOC_HAO">Parameters!$D$215</definedName>
    <definedName name="K_CB_FLOC_HFO">Parameters!$D$213</definedName>
    <definedName name="K_CO2_ALGAE">Parameters!$D$122</definedName>
    <definedName name="K_CO2_BIO">'Calculated variables'!$E$231</definedName>
    <definedName name="K_CO2_BIO_AS">Parameters!$D$182</definedName>
    <definedName name="K_CO2_NITO_pH">'Calculated variables'!$E$147</definedName>
    <definedName name="K_CO2_NITO_pH_AS">Parameters!$D$84</definedName>
    <definedName name="K_CO2_NITO_pH_sidestream">Parameters!$D$86</definedName>
    <definedName name="K_CU_FLOC">Parameters!$D$212</definedName>
    <definedName name="K_CU_FLOC_HAO">Parameters!$D$216</definedName>
    <definedName name="K_CU_FLOC_HFO">Parameters!$D$214</definedName>
    <definedName name="K_H2_HMETO">'Calculated variables'!$E$218</definedName>
    <definedName name="K_H2_HMETO_AS">Parameters!$D$112</definedName>
    <definedName name="K_H2S_param">systemcode_constants!$D$309</definedName>
    <definedName name="K_HYD">'Calculated variables'!$E$241</definedName>
    <definedName name="K_HYD_AS">Parameters!$D$208</definedName>
    <definedName name="K_iNH3_AMETO_pH">'Calculated variables'!$E$209</definedName>
    <definedName name="K_iNH3_AMETO_pH_AS">Parameters!$D$101</definedName>
    <definedName name="K_iNH3_NITO_pH">'Calculated variables'!$E$154</definedName>
    <definedName name="K_iNH3_NITO_pH_AS">Parameters!$D$91</definedName>
    <definedName name="K_iNHx_ALGAE">Parameters!$D$126</definedName>
    <definedName name="K_iNHx_ASSIM">'Calculated variables'!$E$243</definedName>
    <definedName name="K_iNHx_ASSIM_AS">Parameters!$D$226</definedName>
    <definedName name="K_iO2_AMETO">'Calculated variables'!$E$211</definedName>
    <definedName name="K_iO2_AMETO_AS">Parameters!$D$103</definedName>
    <definedName name="K_iO2_HMETO">'Calculated variables'!$E$220</definedName>
    <definedName name="K_iO2_HMETO_AS">Parameters!$D$113</definedName>
    <definedName name="K_iO2_MEOLO">'Calculated variables'!$E$179</definedName>
    <definedName name="K_iO2_MEOLO_AS">Parameters!$D$27</definedName>
    <definedName name="K_iP_HAO_DESORP">Parameters!$D$176</definedName>
    <definedName name="K_iP_HAO_DISS">Parameters!$D$174</definedName>
    <definedName name="K_iP_HFO_DESORP">Parameters!$D$161</definedName>
    <definedName name="K_iP_HFO_DISS">Parameters!$D$159</definedName>
    <definedName name="K_iPHA_GAO_max">Parameters!$D$71</definedName>
    <definedName name="K_iPHA_PAO_max">Parameters!$D$60</definedName>
    <definedName name="K_iPO4_lim">'Calculated variables'!$E$200</definedName>
    <definedName name="K_iPO4_lim_AS">Parameters!$D$66</definedName>
    <definedName name="K_iPP_PAO_max">Parameters!$D$57</definedName>
    <definedName name="K_iVFA_AMETO">'Calculated variables'!$E$207</definedName>
    <definedName name="K_iVFA_AMETO_AS">Parameters!$D$100</definedName>
    <definedName name="K_K_PAO">'Calculated variables'!$E$196</definedName>
    <definedName name="K_K_PAO_AS">Parameters!$D$63</definedName>
    <definedName name="k_L_GCH4_bub">'Calculated variables'!$E$606</definedName>
    <definedName name="k_L_GCH4_sur">'Calculated variables'!$E$611</definedName>
    <definedName name="k_L_GCO2_bub">'Calculated variables'!$E$605</definedName>
    <definedName name="k_L_GCO2_sur">'Calculated variables'!$E$610</definedName>
    <definedName name="k_L_GH2_bub">'Calculated variables'!$E$607</definedName>
    <definedName name="k_L_GH2_sur">'Calculated variables'!$E$612</definedName>
    <definedName name="k_L_GN2_bub">'Calculated variables'!$E$604</definedName>
    <definedName name="k_L_GN2_sur">'Calculated variables'!$E$609</definedName>
    <definedName name="k_L_GNH3_bub">'Calculated variables'!$E$608</definedName>
    <definedName name="k_L_GNH3_sur">'Calculated variables'!$E$613</definedName>
    <definedName name="k_L_GO2_bub">Parameters!$D$369</definedName>
    <definedName name="k_L_GO2_PondSurface">Parameters!$D$371</definedName>
    <definedName name="k_L_GO2_sur">Parameters!$D$370</definedName>
    <definedName name="k_LaGCH4_bub">'other parameters'!$D$16</definedName>
    <definedName name="k_LaGCH4_sur">'other parameters'!$D$33</definedName>
    <definedName name="k_LaGCO2_bub">'other parameters'!$D$15</definedName>
    <definedName name="k_LaGCO2_sur">'other parameters'!$D$32</definedName>
    <definedName name="k_LaGH2_bub">'other parameters'!$D$17</definedName>
    <definedName name="k_LaGH2_sur">'other parameters'!$D$34</definedName>
    <definedName name="k_LaGH2S_bub">'other parameters'!$D$13</definedName>
    <definedName name="k_LaGH2S_sur">'other parameters'!$D$30</definedName>
    <definedName name="k_LaGN2_bub">'other parameters'!$D$19</definedName>
    <definedName name="k_LaGN2_sur">'other parameters'!$D$36</definedName>
    <definedName name="k_LaGNH3_bub">'other parameters'!$D$18</definedName>
    <definedName name="k_LaGNH3_sur">'other parameters'!$D$35</definedName>
    <definedName name="k_LaGO2_bub">'other parameters'!$D$14</definedName>
    <definedName name="k_LaGO2_sur">'other parameters'!$D$31</definedName>
    <definedName name="K_MEOL">'Calculated variables'!$E$177</definedName>
    <definedName name="K_MEOL_AS">Parameters!$D$26</definedName>
    <definedName name="K_MEOL_OHO">'Calculated variables'!$E$165</definedName>
    <definedName name="K_MEOL_OHO_AS">Parameters!$D$14</definedName>
    <definedName name="K_Mg_BIO">'Calculated variables'!$E$237</definedName>
    <definedName name="K_Mg_BIO_AS">Parameters!$D$185</definedName>
    <definedName name="K_Mg_PAO">'Calculated variables'!$E$194</definedName>
    <definedName name="K_Mg_PAO_AS">Parameters!$D$62</definedName>
    <definedName name="K_NH3">'Calculated variables'!$E$455</definedName>
    <definedName name="K_NH3_param">systemcode_constants!$D$294</definedName>
    <definedName name="K_NH3_T">'Calculated variables'!$E$444</definedName>
    <definedName name="K_NHx_ALGAE">Parameters!$D$125</definedName>
    <definedName name="K_NHx_BIO">'Calculated variables'!$E$227</definedName>
    <definedName name="K_NHx_BIO_AS">Parameters!$D$180</definedName>
    <definedName name="K_NHx_NITO">'Calculated variables'!$E$145</definedName>
    <definedName name="K_NHx_NITO_AS">Parameters!$D$83</definedName>
    <definedName name="K_NO2_param">systemcode_constants!$D$295</definedName>
    <definedName name="K_NOx_ALGAE">Parameters!$D$123</definedName>
    <definedName name="K_NOx_AMETO">'Calculated variables'!$E$213</definedName>
    <definedName name="K_NOx_AMETO_AS">Parameters!$D$104</definedName>
    <definedName name="K_NOx_ASSIM">'Calculated variables'!$E$245</definedName>
    <definedName name="K_NOx_ASSIM_AS">Parameters!$D$227</definedName>
    <definedName name="K_NOx_CASTO">'Calculated variables'!$E$188</definedName>
    <definedName name="K_NOx_CASTO_AS">Parameters!$D$54</definedName>
    <definedName name="K_NOx_HMETO">'Calculated variables'!$E$222</definedName>
    <definedName name="K_NOx_HMETO_AS">Parameters!$D$114</definedName>
    <definedName name="K_NOx_MEOLO">'Calculated variables'!$E$181</definedName>
    <definedName name="K_NOx_MEOLO_AS">Parameters!$D$28</definedName>
    <definedName name="K_NOx_NITO">'Calculated variables'!$E$152</definedName>
    <definedName name="K_NOx_NITO_AS">Parameters!$D$90</definedName>
    <definedName name="K_NOx_OHO">'Calculated variables'!$E$167</definedName>
    <definedName name="K_NOx_OHO_AS">Parameters!$D$15</definedName>
    <definedName name="K_O2_ALGAE">Parameters!$D$124</definedName>
    <definedName name="K_O2_ALPHA">Parameters!$D$379</definedName>
    <definedName name="K_O2_CASTO">'Calculated variables'!$E$186</definedName>
    <definedName name="K_O2_CASTO_AS">Parameters!$D$53</definedName>
    <definedName name="K_O2_NITO">'Calculated variables'!$E$149</definedName>
    <definedName name="K_O2_NITO_AS">Parameters!$D$88</definedName>
    <definedName name="K_O2_NITO_sidestream">Parameters!$D$89</definedName>
    <definedName name="K_O2_OHO">'Calculated variables'!$E$163</definedName>
    <definedName name="K_O2_OHO_AS">Parameters!$D$12</definedName>
    <definedName name="K_OC_PFOA_EQ">Parameters!$D$230</definedName>
    <definedName name="K_OC_PFOS_EQ">Parameters!$D$231</definedName>
    <definedName name="K_ORP_ana">Parameters!$D$397</definedName>
    <definedName name="K_ORP_SNOx">Parameters!$D$396</definedName>
    <definedName name="K_ORP_SO2">Parameters!$D$395</definedName>
    <definedName name="k_ORPswitch">Parameters!$D$76</definedName>
    <definedName name="K_P_HAO_BIND">Parameters!$D$173</definedName>
    <definedName name="K_P_HFO_BIND">Parameters!$D$162</definedName>
    <definedName name="K_P1">'Calculated variables'!$E$451</definedName>
    <definedName name="K_P1_param">systemcode_constants!$D$298</definedName>
    <definedName name="K_P1_T">'Calculated variables'!$E$440</definedName>
    <definedName name="K_P2">'Calculated variables'!$E$452</definedName>
    <definedName name="K_P2_param">systemcode_constants!$D$299</definedName>
    <definedName name="K_P2_T">'Calculated variables'!$E$441</definedName>
    <definedName name="K_P3">'Calculated variables'!$E$453</definedName>
    <definedName name="K_P3_param">systemcode_constants!$D$300</definedName>
    <definedName name="K_P3_T">'Calculated variables'!$E$442</definedName>
    <definedName name="K_PHA">Parameters!$D$51</definedName>
    <definedName name="K_PHA_cle">Parameters!$D$50</definedName>
    <definedName name="K_PHA_GAO">Parameters!$D$70</definedName>
    <definedName name="K_PO4_BIO">'Calculated variables'!$E$229</definedName>
    <definedName name="K_PO4_BIO_AS">Parameters!$D$181</definedName>
    <definedName name="K_PO4_PAO">'Calculated variables'!$E$192</definedName>
    <definedName name="K_PO4_PAO_AS">Parameters!$D$47</definedName>
    <definedName name="K_PP">Parameters!$D$56</definedName>
    <definedName name="K_PP_lim">Parameters!$D$65</definedName>
    <definedName name="K_Prop_param">systemcode_constants!$D$302</definedName>
    <definedName name="K_S1_param">systemcode_constants!$D$305</definedName>
    <definedName name="K_S2_param">systemcode_constants!$D$306</definedName>
    <definedName name="K_SB">'Calculated variables'!$E$159</definedName>
    <definedName name="K_SB_ana">'Calculated variables'!$E$171</definedName>
    <definedName name="K_SB_ana_AS">Parameters!$D$18</definedName>
    <definedName name="K_SB_ana_DIG">Parameters!$D$19</definedName>
    <definedName name="K_SB_AS">Parameters!$D$11</definedName>
    <definedName name="K_SO41_param">systemcode_constants!$D$307</definedName>
    <definedName name="K_SO42_param">systemcode_constants!$D$308</definedName>
    <definedName name="K_sp_ACP">'Calculated variables'!$E$462</definedName>
    <definedName name="K_sp_ACP_param">systemcode_constants!$D$315</definedName>
    <definedName name="K_sp_BSH">'Calculated variables'!$E$463</definedName>
    <definedName name="K_sp_BSH_param">systemcode_constants!$D$316</definedName>
    <definedName name="K_sp_CaCO3">'Calculated variables'!$E$459</definedName>
    <definedName name="K_sp_CaCO3_param">systemcode_constants!$D$313</definedName>
    <definedName name="K_sp_FeS_param">systemcode_constants!$D$318</definedName>
    <definedName name="K_sp_HDP_param">systemcode_constants!$D$319</definedName>
    <definedName name="K_sp_MKP_param">systemcode_constants!$D$320</definedName>
    <definedName name="K_sp_STR">'Calculated variables'!$E$460</definedName>
    <definedName name="K_sp_STR_param">systemcode_constants!$D$314</definedName>
    <definedName name="K_sp_Vivi">'Calculated variables'!$E$461</definedName>
    <definedName name="K_sp_Vivi_param">systemcode_constants!$D$317</definedName>
    <definedName name="K_STC">Parameters!$D$52</definedName>
    <definedName name="K_STR_DISS">Parameters!$D$140</definedName>
    <definedName name="k_transfer_GCO2_bub">'Calculated variables'!$E$597</definedName>
    <definedName name="k_transfer_GCO2_sur">'Calculated variables'!$E$599</definedName>
    <definedName name="k_transfer_GNH3_bub">'Calculated variables'!$E$598</definedName>
    <definedName name="k_transfer_GNH3_sur">'Calculated variables'!$E$600</definedName>
    <definedName name="K_Val_param">systemcode_constants!$D$304</definedName>
    <definedName name="K_VFA">'Calculated variables'!$E$161</definedName>
    <definedName name="K_VFA_AMETO">'Calculated variables'!$E$205</definedName>
    <definedName name="K_VFA_AMETO_AS">Parameters!$D$99</definedName>
    <definedName name="K_VFA_AS">Parameters!$D$13</definedName>
    <definedName name="K_VFA_CASTO">'Calculated variables'!$E$190</definedName>
    <definedName name="K_VFA_CASTO_AS">Parameters!$D$55</definedName>
    <definedName name="K_VFA_FERM">'Calculated variables'!$E$169</definedName>
    <definedName name="K_VFA_FERM_AS">Parameters!$D$16</definedName>
    <definedName name="K_Vivi_DISS">Parameters!$D$144</definedName>
    <definedName name="K_W">'Calculated variables'!$E$448</definedName>
    <definedName name="K_W_param">systemcode_constants!$D$293</definedName>
    <definedName name="K_W_T">'Calculated variables'!$E$437</definedName>
    <definedName name="K_XB_HYD">Parameters!$D$217</definedName>
    <definedName name="K_XBe_HYD">Parameters!$D$218</definedName>
    <definedName name="K_XEana_HYD">Parameters!$D$219</definedName>
    <definedName name="K_XTSS_lightextinction">'other parameters'!$D$91</definedName>
    <definedName name="K_XU">Parameters!$D$224</definedName>
    <definedName name="L_ightSwitch">'Calculated variables'!$E$98</definedName>
    <definedName name="L_oginhORP_HFO">'Calculated variables'!$E$94</definedName>
    <definedName name="L_oginhORP_PAO">'Calculated variables'!$E$89</definedName>
    <definedName name="L_oginhpHNH3_AMETO">'Calculated variables'!$E$281</definedName>
    <definedName name="L_oginhSPO4_KiP_HAO_DISS">'Calculated variables'!$E$374</definedName>
    <definedName name="L_oginhSPO4_KiP_HFO_DISS">'Calculated variables'!$E$371</definedName>
    <definedName name="L_oginhSVFA_KVFA_FERM">'Calculated variables'!$E$302</definedName>
    <definedName name="L_oginhXHET_HYD_lim">'Calculated variables'!$E$368</definedName>
    <definedName name="L_oginhXPHA_XGAO_max">'Calculated variables'!$E$334</definedName>
    <definedName name="L_oginhXPHA_XPAO_max">'Calculated variables'!$E$332</definedName>
    <definedName name="L_oginhXPP_XPAO_max">'Calculated variables'!$E$333</definedName>
    <definedName name="L_ograngeCO2_NITO_pH_AS">Parameters!$D$85</definedName>
    <definedName name="L_ograngeCO2_NITO_pH_sidestream">Parameters!$D$87</definedName>
    <definedName name="L_ograngeNH3_AMETO">Parameters!$D$102</definedName>
    <definedName name="L_ograngeP_HAO_DISS">Parameters!$D$175</definedName>
    <definedName name="L_ograngeP_HFO_DISS">Parameters!$D$160</definedName>
    <definedName name="L_ograngePHA_GAO_inh">Parameters!$D$72</definedName>
    <definedName name="L_ograngePHA_PAO_inh">Parameters!$D$61</definedName>
    <definedName name="L_ograngePO4_PAO_AS_sat">Parameters!$D$48</definedName>
    <definedName name="L_ograngePP_PAO_AS_sat">Parameters!$D$49</definedName>
    <definedName name="L_ograngePP_PAO_inh">Parameters!$D$58</definedName>
    <definedName name="L_ograngeVFA_FERM_AS">Parameters!$D$17</definedName>
    <definedName name="L_ograngeXHET_HYD_lim">Parameters!$D$210</definedName>
    <definedName name="L_ogsatORP_GAO_Half_15">Parameters!$D$73</definedName>
    <definedName name="L_ogsatORP_GAO_Half_25">Parameters!$D$74</definedName>
    <definedName name="L_ogsatORP_GAO_Half_T">'Calculated variables'!$E$92</definedName>
    <definedName name="L_ogsatORP_GAO_Slope">Parameters!$D$75</definedName>
    <definedName name="L_ogsatORP_GAO_T">'Calculated variables'!$E$93</definedName>
    <definedName name="L_ogsatORP_HFO_Half">Parameters!$D$156</definedName>
    <definedName name="L_ogsatORP_HFO_Slope">Parameters!$D$157</definedName>
    <definedName name="L_ogsatORP_PAO_Half">Parameters!$D$67</definedName>
    <definedName name="L_ogsatORP_PAO_Slope">Parameters!$D$68</definedName>
    <definedName name="L_ogsatpHCO2_NITO">'Calculated variables'!$E$279</definedName>
    <definedName name="L_ogsatSPO4_KPO4_PAO">'Calculated variables'!$E$327</definedName>
    <definedName name="L_ogsatSVFA_KVFA_FERM">'Calculated variables'!$E$301</definedName>
    <definedName name="L_ogsatXHET_HYD_lim">'Calculated variables'!$E$367</definedName>
    <definedName name="L_ogsatXPP_KPO4_PAO">'Calculated variables'!$E$330</definedName>
    <definedName name="L_ogslopeCO2_NITO_pH">'Calculated variables'!$E$250</definedName>
    <definedName name="L_ogslopeNH3_AMETO_pH">'Calculated variables'!$E$261</definedName>
    <definedName name="L_ogslopeP_HAO_DISS">'Calculated variables'!$E$263</definedName>
    <definedName name="L_ogslopeP_HFO_DISS">'Calculated variables'!$E$262</definedName>
    <definedName name="L_ogslopePHA_GAO_inh">'Calculated variables'!$E$260</definedName>
    <definedName name="L_ogslopePHA_PAO_inh">'Calculated variables'!$E$258</definedName>
    <definedName name="L_ogslopePO4_PAO_sat">'Calculated variables'!$E$254</definedName>
    <definedName name="L_ogslopePP_PAO_inh">'Calculated variables'!$E$259</definedName>
    <definedName name="L_ogslopePP_PAO_sat">'Calculated variables'!$E$256</definedName>
    <definedName name="L_ogslopeVFA_FERM">'Calculated variables'!$E$252</definedName>
    <definedName name="L_ogslopeXHET_HYD_lim">'Calculated variables'!$E$366</definedName>
    <definedName name="M_inhpHNH3_NITO">'Calculated variables'!$E$280</definedName>
    <definedName name="M_inhSNHx_KiNHx_ALGAE">'Calculated variables'!$E$352</definedName>
    <definedName name="M_inhSNHx_KiNHx_ASSIM">'Calculated variables'!$E$353</definedName>
    <definedName name="M_inhSNOx_KNOx_AMETO">'Calculated variables'!$E$337</definedName>
    <definedName name="M_inhSNOx_KNOx_CASTO">'Calculated variables'!$E$313</definedName>
    <definedName name="M_inhSNOx_KNOx_HMETO">'Calculated variables'!$E$342</definedName>
    <definedName name="M_inhSNOx_KNOx_MEOLO">'Calculated variables'!$E$303</definedName>
    <definedName name="M_inhSNOx_KNOx_NITO">'Calculated variables'!$E$308</definedName>
    <definedName name="M_inhSNOx_KNOx_OHO">'Calculated variables'!$E$292</definedName>
    <definedName name="M_inhSO2_KiO2_AMETO">'Calculated variables'!$E$338</definedName>
    <definedName name="M_inhSO2_KiO2_HMETO">'Calculated variables'!$E$343</definedName>
    <definedName name="M_inhSO2_KiO2_MEOLO">'Calculated variables'!$E$304</definedName>
    <definedName name="M_inhSO2_KO2_ALGAE">'Calculated variables'!$E$351</definedName>
    <definedName name="M_inhSO2_KO2_CASTO">'Calculated variables'!$E$314</definedName>
    <definedName name="M_inhSO2_KO2_NITO">'Calculated variables'!$E$309</definedName>
    <definedName name="M_inhSO2_KO2_OHO">'Calculated variables'!$E$293</definedName>
    <definedName name="M_inhSPO4_KiP_HAO_DESORP">'Calculated variables'!$E$375</definedName>
    <definedName name="M_inhSPO4_KiP_HFO_DESORP">'Calculated variables'!$E$372</definedName>
    <definedName name="M_inhSPO4_KiPO4_lim">'Calculated variables'!$E$315</definedName>
    <definedName name="M_inhSVFA_KVFA">'Calculated variables'!$E$294</definedName>
    <definedName name="M_MACP">systemcode_constants!$D$212</definedName>
    <definedName name="M_Mair">systemcode_constants!$D$199</definedName>
    <definedName name="M_MAl2SO43">systemcode_constants!$D$213</definedName>
    <definedName name="M_MAlCl3">systemcode_constants!$D$214</definedName>
    <definedName name="M_MAlOH3">systemcode_constants!$D$215</definedName>
    <definedName name="M_MAlPO4">systemcode_constants!$D$216</definedName>
    <definedName name="M_MBSH">systemcode_constants!$D$217</definedName>
    <definedName name="M_MCaCl2">systemcode_constants!$D$218</definedName>
    <definedName name="M_MCaCO3">systemcode_constants!$D$219</definedName>
    <definedName name="M_MCaH2PO4">systemcode_constants!$D$220</definedName>
    <definedName name="M_MCaHCO3">systemcode_constants!$D$221</definedName>
    <definedName name="M_MCaHPO4">systemcode_constants!$D$222</definedName>
    <definedName name="M_MCaOH">systemcode_constants!$D$223</definedName>
    <definedName name="M_MCaOH2">systemcode_constants!$D$224</definedName>
    <definedName name="M_MCaPO4">systemcode_constants!$D$225</definedName>
    <definedName name="M_MCH3COOH">systemcode_constants!$D$226</definedName>
    <definedName name="M_MCH3OH">systemcode_constants!$D$227</definedName>
    <definedName name="M_MCO2">systemcode_constants!$D$228</definedName>
    <definedName name="M_MCO3">systemcode_constants!$D$229</definedName>
    <definedName name="M_MEQ_GCH4">systemcode_constants!$D$287</definedName>
    <definedName name="M_MEQ_GCO2">systemcode_constants!$D$285</definedName>
    <definedName name="M_MEQ_GH2">systemcode_constants!$D$288</definedName>
    <definedName name="M_MEQ_GH2S">systemcode_constants!$D$289</definedName>
    <definedName name="M_MEQ_GN2">systemcode_constants!$D$281</definedName>
    <definedName name="M_MEQ_GN2O">systemcode_constants!$D$284</definedName>
    <definedName name="M_MEQ_GNH3">systemcode_constants!$D$282</definedName>
    <definedName name="M_MEQ_GNO">systemcode_constants!$D$283</definedName>
    <definedName name="M_MEQ_GO2">systemcode_constants!$D$286</definedName>
    <definedName name="M_MFe2O3">systemcode_constants!$D$230</definedName>
    <definedName name="M_MFe2SO43">systemcode_constants!$D$231</definedName>
    <definedName name="M_MFeCl2">systemcode_constants!$D$232</definedName>
    <definedName name="M_MFeCl3">systemcode_constants!$D$233</definedName>
    <definedName name="M_MFeOH3">systemcode_constants!$D$234</definedName>
    <definedName name="M_MFeS">systemcode_constants!$D$235</definedName>
    <definedName name="M_MFeSO4">systemcode_constants!$D$236</definedName>
    <definedName name="M_MGCH4">systemcode_constants!$D$201</definedName>
    <definedName name="M_MGCO2">systemcode_constants!$D$202</definedName>
    <definedName name="M_MGH2">systemcode_constants!$D$200</definedName>
    <definedName name="M_MGH2S">systemcode_constants!$D$208</definedName>
    <definedName name="M_MGN2">systemcode_constants!$D$204</definedName>
    <definedName name="M_MGN2O">systemcode_constants!$D$207</definedName>
    <definedName name="M_MGNH3">systemcode_constants!$D$203</definedName>
    <definedName name="M_MGNO">systemcode_constants!$D$206</definedName>
    <definedName name="M_MGO2">systemcode_constants!$D$205</definedName>
    <definedName name="M_MH2CO3">systemcode_constants!$D$237</definedName>
    <definedName name="M_MH2O">systemcode_constants!$D$238</definedName>
    <definedName name="M_MH2S">systemcode_constants!$D$240</definedName>
    <definedName name="M_MH2SO4">systemcode_constants!$D$241</definedName>
    <definedName name="M_MH3PO4">systemcode_constants!$D$239</definedName>
    <definedName name="M_MHAP">systemcode_constants!$D$242</definedName>
    <definedName name="M_MHCl">systemcode_constants!$D$243</definedName>
    <definedName name="M_MHCO3">systemcode_constants!$D$244</definedName>
    <definedName name="M_MHDP">systemcode_constants!$D$245</definedName>
    <definedName name="M_MHNO3">systemcode_constants!$D$246</definedName>
    <definedName name="M_MHSO4">systemcode_constants!$D$247</definedName>
    <definedName name="M_MKNO2">systemcode_constants!$D$263</definedName>
    <definedName name="M_MKNO3">systemcode_constants!$D$264</definedName>
    <definedName name="M_MMgCO3">systemcode_constants!$D$248</definedName>
    <definedName name="M_MMgH2PO4">systemcode_constants!$D$249</definedName>
    <definedName name="M_MMgHCO3">systemcode_constants!$D$250</definedName>
    <definedName name="M_MMgHPO4">systemcode_constants!$D$251</definedName>
    <definedName name="M_MMgOH">systemcode_constants!$D$252</definedName>
    <definedName name="M_MMgOH2">systemcode_constants!$D$253</definedName>
    <definedName name="M_MMgPO4">systemcode_constants!$D$254</definedName>
    <definedName name="M_MMKP">systemcode_constants!$D$255</definedName>
    <definedName name="M_MMMC">systemcode_constants!$D$256</definedName>
    <definedName name="M_MN2">systemcode_constants!$D$257</definedName>
    <definedName name="M_MN2O">systemcode_constants!$D$258</definedName>
    <definedName name="M_MNa2CO3">systemcode_constants!$D$259</definedName>
    <definedName name="M_MNaCl">systemcode_constants!$D$260</definedName>
    <definedName name="M_MNaHCO3">systemcode_constants!$D$261</definedName>
    <definedName name="M_MNaHPO4">systemcode_constants!$D$262</definedName>
    <definedName name="M_MNaOH">systemcode_constants!$D$265</definedName>
    <definedName name="M_MNH3">systemcode_constants!$D$266</definedName>
    <definedName name="M_MNH4">systemcode_constants!$D$267</definedName>
    <definedName name="M_MNH4HCO3">systemcode_constants!$D$268</definedName>
    <definedName name="M_MNO">systemcode_constants!$D$269</definedName>
    <definedName name="M_MNO2">systemcode_constants!$D$270</definedName>
    <definedName name="M_MNO3">systemcode_constants!$D$271</definedName>
    <definedName name="M_MO2">systemcode_constants!$D$272</definedName>
    <definedName name="M_MPO4">systemcode_constants!$D$273</definedName>
    <definedName name="M_MSiO2">systemcode_constants!$D$274</definedName>
    <definedName name="M_MSO4">systemcode_constants!$D$275</definedName>
    <definedName name="M_MSTR">systemcode_constants!$D$276</definedName>
    <definedName name="M_MVivi">systemcode_constants!$D$277</definedName>
    <definedName name="M_RinhXPHA_XGAO_KPHA">'Calculated variables'!$E$335</definedName>
    <definedName name="M_RinhXPHA_XPAO_KPHA_cle">'Calculated variables'!$E$318</definedName>
    <definedName name="M_RinhXPP_XPAO_KPP">'Calculated variables'!$E$320</definedName>
    <definedName name="M_RinhXSTC_XCASTO_KSTC">'Calculated variables'!$E$319</definedName>
    <definedName name="M_RsatXB_XHET_KHYD">'Calculated variables'!$E$360</definedName>
    <definedName name="M_RsatXBe_XHET_KHYD">'Calculated variables'!$E$361</definedName>
    <definedName name="M_RsatXEana_XHET_KHYD">'Calculated variables'!$E$362</definedName>
    <definedName name="M_RsatXPHA_XGAO_KPHA">'Calculated variables'!$E$336</definedName>
    <definedName name="M_RsatXPHA_XPAO_KPHA">'Calculated variables'!$E$317</definedName>
    <definedName name="M_RsatXPP_XPAO_KPP">'Calculated variables'!$E$321</definedName>
    <definedName name="M_RsatXSTC_XCASTO_KSTC">'Calculated variables'!$E$316</definedName>
    <definedName name="M_satCB_KCB_FLOC">'Calculated variables'!$E$354</definedName>
    <definedName name="M_satCB_KCB_FLOC_HAO">'Calculated variables'!$E$358</definedName>
    <definedName name="M_satCB_KCB_FLOC_HFO">'Calculated variables'!$E$356</definedName>
    <definedName name="M_satCU_KCU_FLOC">'Calculated variables'!$E$355</definedName>
    <definedName name="M_satCU_KCU_FLOC_HAO">'Calculated variables'!$E$359</definedName>
    <definedName name="M_satCU_KCU_FLOC_HFO">'Calculated variables'!$E$357</definedName>
    <definedName name="M_satSAN_KAN">'Calculated variables'!$E$285</definedName>
    <definedName name="M_satSB_KSB">'Calculated variables'!$E$295</definedName>
    <definedName name="M_satSB_KSB_ana">'Calculated variables'!$E$296</definedName>
    <definedName name="M_satSCa_KCa">'Calculated variables'!$E$287</definedName>
    <definedName name="M_satSCa_KCa_PAO">'Calculated variables'!$E$322</definedName>
    <definedName name="M_satSCAT_KCAT">'Calculated variables'!$E$286</definedName>
    <definedName name="M_satSCO2_KCO2_ALGAE">'Calculated variables'!$E$347</definedName>
    <definedName name="M_satSCO2_KCO2_BIO">'Calculated variables'!$E$289</definedName>
    <definedName name="M_satSH2_KH2_HMETO">'Calculated variables'!$E$344</definedName>
    <definedName name="M_satSK_KK_PAO">'Calculated variables'!$E$323</definedName>
    <definedName name="M_satSMEOL_KMEOL">'Calculated variables'!$E$305</definedName>
    <definedName name="M_satSMEOL_KMEOL_OHO">'Calculated variables'!$E$297</definedName>
    <definedName name="M_satSMg_KMg">'Calculated variables'!$E$288</definedName>
    <definedName name="M_satSMg_KMg_PAO">'Calculated variables'!$E$324</definedName>
    <definedName name="M_satSNHx_KNHx_ALGAE">'Calculated variables'!$E$349</definedName>
    <definedName name="M_satSNHx_KNHx_BIO">'Calculated variables'!$E$290</definedName>
    <definedName name="M_satSNHx_KNHx_NITO">'Calculated variables'!$E$310</definedName>
    <definedName name="M_satSNOx_KNOx_ALGAE">'Calculated variables'!$E$348</definedName>
    <definedName name="M_satSNOx_KNOx_AMETO">'Calculated variables'!$E$339</definedName>
    <definedName name="M_satSNOx_KNOx_ASSIM">'Calculated variables'!$E$369</definedName>
    <definedName name="M_satSNOx_KNOx_CASTO">'Calculated variables'!$E$325</definedName>
    <definedName name="M_satSNOx_KNOx_HMETO">'Calculated variables'!$E$345</definedName>
    <definedName name="M_satSNOx_KNOx_MEOLO">'Calculated variables'!$E$306</definedName>
    <definedName name="M_satSNOx_KNOx_NITO">'Calculated variables'!$E$311</definedName>
    <definedName name="M_satSNOx_KNOx_OHO">'Calculated variables'!$E$298</definedName>
    <definedName name="M_satSO2_KiO2_AMETO">'Calculated variables'!$E$340</definedName>
    <definedName name="M_satSO2_KiO2_HMETO">'Calculated variables'!$E$346</definedName>
    <definedName name="M_satSO2_KiO2_MEOLO">'Calculated variables'!$E$307</definedName>
    <definedName name="M_satSO2_KO2_ALGAE">'Calculated variables'!$E$350</definedName>
    <definedName name="M_satSO2_KO2_CASTO">'Calculated variables'!$E$326</definedName>
    <definedName name="M_satSO2_KO2_NITO">'Calculated variables'!$E$312</definedName>
    <definedName name="M_satSO2_KO2_OHO">'Calculated variables'!$E$299</definedName>
    <definedName name="M_satSPO4_KP_HAO_BIND">'Calculated variables'!$E$376</definedName>
    <definedName name="M_satSPO4_KP_HFO_BIND">'Calculated variables'!$E$373</definedName>
    <definedName name="M_satSPO4_KPO4_BIO">'Calculated variables'!$E$291</definedName>
    <definedName name="M_satSPO4_KPO4_PAO">'Calculated variables'!$E$328</definedName>
    <definedName name="M_satSVFA_KVFA">'Calculated variables'!$E$300</definedName>
    <definedName name="M_satSVFA_KVFA_CASTO">'Calculated variables'!$E$329</definedName>
    <definedName name="M_satXACP_KACP_DISS">'Calculated variables'!$E$377</definedName>
    <definedName name="M_satXB_KXB_HYD">'Calculated variables'!$E$363</definedName>
    <definedName name="M_satXBe_KXBe_HYD">'Calculated variables'!$E$364</definedName>
    <definedName name="M_satXBSH_KBSH_DISS">'Calculated variables'!$E$378</definedName>
    <definedName name="M_satXCaCO3_KCaCO3_DISS">'Calculated variables'!$E$379</definedName>
    <definedName name="M_satXEana_KXEana_HYD">'Calculated variables'!$E$365</definedName>
    <definedName name="M_satXPP_KPP_lim">'Calculated variables'!$E$331</definedName>
    <definedName name="M_satXSTR_KSTR_DISS">'Calculated variables'!$E$380</definedName>
    <definedName name="M_satXU_KXU">'Calculated variables'!$E$370</definedName>
    <definedName name="M_satXVivi_KVivi_DISS">'Calculated variables'!$E$381</definedName>
    <definedName name="m_tox_aer">Parameters!$D$190</definedName>
    <definedName name="m_tox_ana">'Calculated variables'!$E$141</definedName>
    <definedName name="m_tox_ana_max">Parameters!$D$191</definedName>
    <definedName name="m_tox_anox">Parameters!$D$189</definedName>
    <definedName name="N_OUR">'Calculated variables'!$E$127</definedName>
    <definedName name="N_UR">'Calculated variables'!$E$128</definedName>
    <definedName name="o_ffsetORPswitch">Parameters!$D$77</definedName>
    <definedName name="O_RP">'Calculated variables'!$E$85</definedName>
    <definedName name="O_RPana">'Calculated variables'!$E$84</definedName>
    <definedName name="O_RPbase">Parameters!$D$392</definedName>
    <definedName name="O_RPmax_SNOx">Parameters!$D$394</definedName>
    <definedName name="O_RPmax_SO2">Parameters!$D$393</definedName>
    <definedName name="O_RPNOx">'Calculated variables'!$E$82</definedName>
    <definedName name="O_RPO2">'Calculated variables'!$E$81</definedName>
    <definedName name="O_UR">'Calculated variables'!$E$125</definedName>
    <definedName name="p_H">'Calculated variables'!$E$486</definedName>
    <definedName name="p_Hfield">Parameters!$D$401</definedName>
    <definedName name="p_Hhigh">Parameters!$D$193</definedName>
    <definedName name="p_Hhigh_AMETO">Parameters!$D$106</definedName>
    <definedName name="p_Hhigh_FLOC_HAO">Parameters!$D$207</definedName>
    <definedName name="p_Hhigh_FLOC_HFO">Parameters!$D$205</definedName>
    <definedName name="p_Hhigh_HMETO">Parameters!$D$116</definedName>
    <definedName name="p_Hhigh_NITO">Parameters!$D$93</definedName>
    <definedName name="p_Hlow">Parameters!$D$192</definedName>
    <definedName name="p_Hlow_AMETO">Parameters!$D$105</definedName>
    <definedName name="p_Hlow_FLOC_HAO">Parameters!$D$206</definedName>
    <definedName name="p_Hlow_FLOC_HFO">Parameters!$D$204</definedName>
    <definedName name="p_Hlow_HMETO">Parameters!$D$115</definedName>
    <definedName name="p_Hlow_NITO">Parameters!$D$92</definedName>
    <definedName name="p_i">systemcode_constants!$D$74</definedName>
    <definedName name="p_NTP">systemcode_constants!$D$52</definedName>
    <definedName name="p_owdamp_ALPHA">Parameters!$D$382</definedName>
    <definedName name="P_recipDrivingForceACP">'Calculated variables'!$E$106</definedName>
    <definedName name="P_recipDrivingForceBSH">'Calculated variables'!$E$110</definedName>
    <definedName name="P_recipDrivingForceCaCO3">'Calculated variables'!$E$114</definedName>
    <definedName name="P_recipDrivingForceSTR">'Calculated variables'!$E$102</definedName>
    <definedName name="P_recipDrivingForceVivi">'Calculated variables'!$E$118</definedName>
    <definedName name="P_RR">'Calculated variables'!$E$134</definedName>
    <definedName name="p_STP">systemcode_constants!$D$51</definedName>
    <definedName name="P_UR">'Calculated variables'!$E$130</definedName>
    <definedName name="P_URBIO">'Calculated variables'!$E$131</definedName>
    <definedName name="P_URBIOP">'Calculated variables'!$E$132</definedName>
    <definedName name="P_URCHEM">'Calculated variables'!$E$133</definedName>
    <definedName name="q_ACP">'Calculated variables'!$E$109</definedName>
    <definedName name="q_ACP_DISS">Parameters!$D$135</definedName>
    <definedName name="q_ACP_PREC">Parameters!$D$134</definedName>
    <definedName name="q_ALPHA">Parameters!$D$377</definedName>
    <definedName name="q_ALPHA_O2">'Calculated variables'!$E$617</definedName>
    <definedName name="q_AMMON">Parameters!$D$220</definedName>
    <definedName name="q_AMMON_T">'Calculated variables'!$E$412</definedName>
    <definedName name="q_ASSIM">Parameters!$D$225</definedName>
    <definedName name="q_ASSIM_T">'Calculated variables'!$E$416</definedName>
    <definedName name="q_BSH">'Calculated variables'!$E$113</definedName>
    <definedName name="q_BSH_DISS">Parameters!$D$137</definedName>
    <definedName name="q_BSH_PREC">Parameters!$D$136</definedName>
    <definedName name="q_CaCO3">'Calculated variables'!$E$117</definedName>
    <definedName name="q_CaCO3_DISS">Parameters!$D$131</definedName>
    <definedName name="q_CaCO3_PREC">Parameters!$D$130</definedName>
    <definedName name="q_Fe2_OX">Parameters!$D$158</definedName>
    <definedName name="q_Fe2_OX_T">'Calculated variables'!$E$417</definedName>
    <definedName name="q_FLOC">Parameters!$D$201</definedName>
    <definedName name="q_FLOC_HAO">Parameters!$D$203</definedName>
    <definedName name="q_FLOC_HAO_T">'Calculated variables'!$E$409</definedName>
    <definedName name="q_FLOC_HFO">Parameters!$D$202</definedName>
    <definedName name="q_FLOC_HFO_T">'Calculated variables'!$E$408</definedName>
    <definedName name="q_FLOC_T">'Calculated variables'!$E$407</definedName>
    <definedName name="q_GAO_PHA">Parameters!$D$40</definedName>
    <definedName name="q_GAO_PHA_T">'Calculated variables'!$E$395</definedName>
    <definedName name="q_HAO_DISS">Parameters!$D$172</definedName>
    <definedName name="q_HAOH_AGING">Parameters!$D$166</definedName>
    <definedName name="q_HAOH_DESORP">Parameters!$D$170</definedName>
    <definedName name="q_HAOL_AGING">Parameters!$D$167</definedName>
    <definedName name="q_HAOL_DESORP">Parameters!$D$171</definedName>
    <definedName name="q_HFO_DISS">Parameters!$D$154</definedName>
    <definedName name="q_HFO_RED">Parameters!$D$155</definedName>
    <definedName name="q_HFO_RED_T">'Calculated variables'!$E$418</definedName>
    <definedName name="q_HFOH_AGING">Parameters!$D$148</definedName>
    <definedName name="q_HFOH_DESORP">Parameters!$D$152</definedName>
    <definedName name="q_HFOL_AGING">Parameters!$D$149</definedName>
    <definedName name="q_HFOL_DESORP">Parameters!$D$153</definedName>
    <definedName name="q_HYD_XB">Parameters!$D$197</definedName>
    <definedName name="q_HYD_XB_T">'Calculated variables'!$E$410</definedName>
    <definedName name="q_HYD_XBe">Parameters!$D$198</definedName>
    <definedName name="q_HYD_XBe_T">'Calculated variables'!$E$411</definedName>
    <definedName name="q_MEOL">Parameters!$D$25</definedName>
    <definedName name="q_P_HAO_BIND">Parameters!$D$169</definedName>
    <definedName name="q_P_HAO_COPREC">Parameters!$D$168</definedName>
    <definedName name="q_P_HFO_BIND">Parameters!$D$151</definedName>
    <definedName name="q_P_HFO_COPREC">Parameters!$D$150</definedName>
    <definedName name="q_PAO_PHA">Parameters!$D$39</definedName>
    <definedName name="q_PAO_PHA_T">'Calculated variables'!$E$394</definedName>
    <definedName name="q_PAO_PP">Parameters!$D$33</definedName>
    <definedName name="q_PAO_PP_T">'Calculated variables'!$E$393</definedName>
    <definedName name="q_PFOA_SORP">Parameters!$D$228</definedName>
    <definedName name="q_PFOS_SORP">Parameters!$D$229</definedName>
    <definedName name="q_SPB">Parameters!$D$221</definedName>
    <definedName name="q_SPB_T">'Calculated variables'!$E$413</definedName>
    <definedName name="q_STR">'Calculated variables'!$E$105</definedName>
    <definedName name="q_STR_DISS">Parameters!$D$133</definedName>
    <definedName name="q_STR_PREC">Parameters!$D$132</definedName>
    <definedName name="q_Vivi">'Calculated variables'!$E$121</definedName>
    <definedName name="q_Vivi_DISS">Parameters!$D$139</definedName>
    <definedName name="q_Vivi_PREC">Parameters!$D$138</definedName>
    <definedName name="q_XE">Parameters!$D$222</definedName>
    <definedName name="q_XE_T">'Calculated variables'!$E$414</definedName>
    <definedName name="q_XU">Parameters!$D$223</definedName>
    <definedName name="q_XU_T">'Calculated variables'!$E$415</definedName>
    <definedName name="R__">systemcode_constants!$D$60</definedName>
    <definedName name="r_1">Model!$CI$115</definedName>
    <definedName name="r_10">Model!$CI$124</definedName>
    <definedName name="r_11">Model!$CI$125</definedName>
    <definedName name="r_12">Model!$CI$126</definedName>
    <definedName name="r_13">Model!$CI$127</definedName>
    <definedName name="r_14">Model!$CI$128</definedName>
    <definedName name="r_15">Model!$CI$129</definedName>
    <definedName name="r_16">Model!$CI$130</definedName>
    <definedName name="r_17">Model!$CI$131</definedName>
    <definedName name="r_18">Model!$CI$132</definedName>
    <definedName name="r_19">Model!$CI$133</definedName>
    <definedName name="r_2">Model!$CI$116</definedName>
    <definedName name="r_20">Model!$CI$134</definedName>
    <definedName name="r_21">Model!$CI$135</definedName>
    <definedName name="r_22">Model!$CI$136</definedName>
    <definedName name="r_23">Model!$CI$137</definedName>
    <definedName name="r_24">Model!$CI$138</definedName>
    <definedName name="r_25">Model!$CI$139</definedName>
    <definedName name="r_26">Model!$CI$140</definedName>
    <definedName name="r_27">Model!$CI$141</definedName>
    <definedName name="r_28">Model!$CI$142</definedName>
    <definedName name="r_29">Model!$CI$143</definedName>
    <definedName name="r_3">Model!$CI$117</definedName>
    <definedName name="r_30">Model!$CI$144</definedName>
    <definedName name="r_31">Model!$CI$145</definedName>
    <definedName name="r_32">Model!$CI$146</definedName>
    <definedName name="r_33">Model!$CI$147</definedName>
    <definedName name="r_34">Model!$CI$148</definedName>
    <definedName name="r_35">Model!$CI$149</definedName>
    <definedName name="r_36">Model!$CI$150</definedName>
    <definedName name="r_37">Model!$CI$151</definedName>
    <definedName name="r_38">Model!$CI$152</definedName>
    <definedName name="r_39">Model!$CI$153</definedName>
    <definedName name="r_4">Model!$CI$118</definedName>
    <definedName name="r_40">Model!$CI$154</definedName>
    <definedName name="r_41">Model!$CI$155</definedName>
    <definedName name="r_42">Model!$CI$156</definedName>
    <definedName name="r_43">Model!$CI$157</definedName>
    <definedName name="r_44">Model!$CI$158</definedName>
    <definedName name="r_45">Model!$CI$159</definedName>
    <definedName name="r_46">Model!$CI$160</definedName>
    <definedName name="r_47">Model!$CI$161</definedName>
    <definedName name="r_48">Model!$CI$162</definedName>
    <definedName name="r_49">Model!$CI$163</definedName>
    <definedName name="r_5">Model!$CI$119</definedName>
    <definedName name="r_50">Model!$CI$164</definedName>
    <definedName name="r_51">Model!$CI$165</definedName>
    <definedName name="r_52">Model!$CI$166</definedName>
    <definedName name="r_53">Model!$CI$167</definedName>
    <definedName name="r_54">Model!$CI$168</definedName>
    <definedName name="r_55">Model!$CI$170</definedName>
    <definedName name="r_56">Model!$CI$171</definedName>
    <definedName name="r_57">Model!$CI$172</definedName>
    <definedName name="r_58">Model!$CI$173</definedName>
    <definedName name="r_59">Model!$CI$174</definedName>
    <definedName name="r_6">Model!$CI$120</definedName>
    <definedName name="r_60">Model!$CI$175</definedName>
    <definedName name="r_61">Model!$CI$176</definedName>
    <definedName name="r_62">Model!$CI$177</definedName>
    <definedName name="r_63">Model!$CI$178</definedName>
    <definedName name="r_64">Model!$CI$179</definedName>
    <definedName name="r_65">Model!$CI$180</definedName>
    <definedName name="r_66">Model!$CI$181</definedName>
    <definedName name="r_67">Model!$CI$182</definedName>
    <definedName name="r_68">Model!$CI$183</definedName>
    <definedName name="r_69">Model!$CI$184</definedName>
    <definedName name="r_7">Model!$CI$121</definedName>
    <definedName name="r_70">Model!$CI$185</definedName>
    <definedName name="r_71">Model!$CI$186</definedName>
    <definedName name="r_72">Model!$CI$187</definedName>
    <definedName name="r_73">Model!$CI$188</definedName>
    <definedName name="r_74">Model!$CI$189</definedName>
    <definedName name="r_75">Model!$CI$190</definedName>
    <definedName name="r_76">Model!$CI$191</definedName>
    <definedName name="r_77">Model!$CI$192</definedName>
    <definedName name="r_78">Model!$CI$193</definedName>
    <definedName name="r_79">Model!$CI$194</definedName>
    <definedName name="r_8">Model!$CI$122</definedName>
    <definedName name="r_80">Model!$CI$195</definedName>
    <definedName name="r_81">Model!$CI$196</definedName>
    <definedName name="r_82">Model!$CI$197</definedName>
    <definedName name="r_83">Model!$CI$198</definedName>
    <definedName name="r_84">Model!$CI$199</definedName>
    <definedName name="r_85">Model!$CI$200</definedName>
    <definedName name="r_86">Model!$CI$201</definedName>
    <definedName name="r_87">Model!$CI$202</definedName>
    <definedName name="r_88">Model!$CI$203</definedName>
    <definedName name="r_89">Model!$CI$204</definedName>
    <definedName name="r_9">Model!$CI$123</definedName>
    <definedName name="r_90">Model!$CI$205</definedName>
    <definedName name="r_91">Model!$CI$206</definedName>
    <definedName name="R_air">systemcode_constants!$D$61</definedName>
    <definedName name="r_ate_DiffAer_ox_transf">'Calculated variables'!$E$691</definedName>
    <definedName name="r_ate_Hbio">'Calculated variables'!$E$634</definedName>
    <definedName name="r_ate_SCO2_ALGAE">'Calculated variables'!$E$685</definedName>
    <definedName name="r_ate_SCO2_Hydrolysis">'Calculated variables'!$E$686</definedName>
    <definedName name="r_ate_SCO2_NITOs">'Calculated variables'!$E$684</definedName>
    <definedName name="r_ate_SCO2_OHOs">'Calculated variables'!$E$683</definedName>
    <definedName name="r_ate_SCO2_Precipitation">'Calculated variables'!$E$687</definedName>
    <definedName name="r_ate_SCO2_stripping">'Calculated variables'!$E$682</definedName>
    <definedName name="r_ate_SNHx_ALGAE">'Calculated variables'!$E$663</definedName>
    <definedName name="r_ate_SNHx_Hydrolysis">'Calculated variables'!$E$664</definedName>
    <definedName name="r_ate_SNHx_NITOs">'Calculated variables'!$E$662</definedName>
    <definedName name="r_ate_SNHx_OHOs">'Calculated variables'!$E$661</definedName>
    <definedName name="r_ate_SNHx_stripping">'Calculated variables'!$E$646</definedName>
    <definedName name="r_ate_SNOx_ALGAE">'Calculated variables'!$E$670</definedName>
    <definedName name="r_ate_SNOx_NITOs">'Calculated variables'!$E$669</definedName>
    <definedName name="r_ate_SNOx_OHOs">'Calculated variables'!$E$668</definedName>
    <definedName name="r_ate_SO2_aerator">'Calculated variables'!$E$651</definedName>
    <definedName name="r_ate_SO2_ALGAE_resp">'Calculated variables'!$E$657</definedName>
    <definedName name="r_ate_SO2_C_oxidation">'Calculated variables'!$E$653</definedName>
    <definedName name="r_ate_SO2_Fe_oxidation">'Calculated variables'!$E$655</definedName>
    <definedName name="r_ate_SO2_nitrif">'Calculated variables'!$E$654</definedName>
    <definedName name="r_ate_SO2_photosynt">'Calculated variables'!$E$656</definedName>
    <definedName name="r_ate_SO2_sur">'Calculated variables'!$E$652</definedName>
    <definedName name="r_ate_SPO4_ALGAE">'Calculated variables'!$E$676</definedName>
    <definedName name="r_ate_SPO4_Hydrolysis">'Calculated variables'!$E$677</definedName>
    <definedName name="r_ate_SPO4_NITOs">'Calculated variables'!$E$675</definedName>
    <definedName name="r_ate_SPO4_OHOs">'Calculated variables'!$E$674</definedName>
    <definedName name="r_ate_SPO4_Precipitation">'Calculated variables'!$E$678</definedName>
    <definedName name="r_ate_SurfAer_ox_transf">'Calculated variables'!$E$692</definedName>
    <definedName name="r_ate_TCOD_autotrophs">'Calculated variables'!$E$642</definedName>
    <definedName name="r_ate_TCOD_oxydation_NO3">'Calculated variables'!$E$640</definedName>
    <definedName name="r_ate_TCOD_oxydation_O2">'Calculated variables'!$E$639</definedName>
    <definedName name="r_ate_TCOD_photosynt">'Calculated variables'!$E$641</definedName>
    <definedName name="r_ate_TCOD_stripping">'Calculated variables'!$E$638</definedName>
    <definedName name="r_ate_TN_denit">'Calculated variables'!$E$647</definedName>
    <definedName name="r_ateFLOC_CB_polymer">'other parameters'!$D$53</definedName>
    <definedName name="r_ateFLOC_CU_polymer">'other parameters'!$D$54</definedName>
    <definedName name="r_atioAAR_rbCODDR">'Calculated variables'!$E$83</definedName>
    <definedName name="r_atioVSS_TSS">'Calculated variables'!$E$56</definedName>
    <definedName name="r_bCODDR">'Calculated variables'!$E$135</definedName>
    <definedName name="S_ALK">'Calculated variables'!$E$470</definedName>
    <definedName name="S_ALK_calc">'Calculated variables'!$E$57</definedName>
    <definedName name="S_ALK_input">'other parameters'!$D$55</definedName>
    <definedName name="S_ALPHA">Components!$E$72</definedName>
    <definedName name="S_ALPHA_sat">Parameters!$D$378</definedName>
    <definedName name="S_AN">Components!$E$43</definedName>
    <definedName name="S_AN_ini">'other parameters'!$D$57</definedName>
    <definedName name="S_B">Components!$E$5</definedName>
    <definedName name="S_BOD_5">'Calculated variables'!$E$30</definedName>
    <definedName name="S_BOD_ult">'Calculated variables'!$E$27</definedName>
    <definedName name="S_Ca">Components!$E$44</definedName>
    <definedName name="S_CAT">Components!$E$42</definedName>
    <definedName name="S_CAT_ini">'other parameters'!$D$56</definedName>
    <definedName name="S_CCOD">'Calculated variables'!$E$34</definedName>
    <definedName name="S_CH4">Components!$E$38</definedName>
    <definedName name="S_CO2">Components!$E$40</definedName>
    <definedName name="S_COD">'Calculated variables'!$E$33</definedName>
    <definedName name="S_Fe2">Components!$E$47</definedName>
    <definedName name="S_GCH4_bub_sat">'other parameters'!$D$23</definedName>
    <definedName name="S_GCH4_sur_sat">'other parameters'!$D$40</definedName>
    <definedName name="S_GCO2_bub_sat">'other parameters'!$D$22</definedName>
    <definedName name="S_GCO2_sur_sat">'other parameters'!$D$39</definedName>
    <definedName name="S_GH2_bub_sat">'other parameters'!$D$24</definedName>
    <definedName name="S_GH2_sur_sat">'other parameters'!$D$41</definedName>
    <definedName name="S_GH2S_bub_sat">'other parameters'!$D$20</definedName>
    <definedName name="S_GH2S_sur_sat">'other parameters'!$D$37</definedName>
    <definedName name="S_GN2_bub_sat">'other parameters'!$D$26</definedName>
    <definedName name="S_GN2_sur_sat">'other parameters'!$D$43</definedName>
    <definedName name="S_GNH3_bub_sat">'other parameters'!$D$25</definedName>
    <definedName name="S_GNH3_sur_sat">'other parameters'!$D$42</definedName>
    <definedName name="S_GO2_bub_sat">'other parameters'!$D$21</definedName>
    <definedName name="S_GO2_sur_sat">'other parameters'!$D$38</definedName>
    <definedName name="S_H">Components!$E$71</definedName>
    <definedName name="S_H2">Components!$E$39</definedName>
    <definedName name="S_K">Components!$E$46</definedName>
    <definedName name="S_KN">'Calculated variables'!$E$42</definedName>
    <definedName name="s_lh_diff_α">Parameters!$D$383</definedName>
    <definedName name="S_lopeIS_corr">Parameters!$D$406</definedName>
    <definedName name="s_lORP_GAO_Half_T">'Calculated variables'!$E$90</definedName>
    <definedName name="s_lTSS_α_coarse">Parameters!$D$385</definedName>
    <definedName name="s_lTSS_α_def">Parameters!$D$384</definedName>
    <definedName name="S_MEOL">Components!$E$6</definedName>
    <definedName name="S_Mg">Components!$E$45</definedName>
    <definedName name="S_N_B">Components!$E$27</definedName>
    <definedName name="S_N2">Components!$E$26</definedName>
    <definedName name="S_NHx">Components!$E$24</definedName>
    <definedName name="S_NOx">Components!$E$25</definedName>
    <definedName name="S_O2">Components!$E$37</definedName>
    <definedName name="S_ORPswitch">Components!$E$73</definedName>
    <definedName name="S_OTRaerator">'other parameters'!$D$47</definedName>
    <definedName name="S_OTRsur">'other parameters'!$D$48</definedName>
    <definedName name="S_OTRsur_min">'other parameters'!$D$49</definedName>
    <definedName name="S_P">'Calculated variables'!$E$46</definedName>
    <definedName name="S_P_B">Components!$E$33</definedName>
    <definedName name="S_PFOA">Components!$E$67</definedName>
    <definedName name="S_PFOS">Components!$E$69</definedName>
    <definedName name="S_PO4">Components!$E$31</definedName>
    <definedName name="S_rbCOD">'Calculated variables'!$E$9</definedName>
    <definedName name="S_U">Components!$E$10</definedName>
    <definedName name="S_U_N">'Calculated variables'!$E$43</definedName>
    <definedName name="S_umo__MSatMin">'other parameters'!$D$4</definedName>
    <definedName name="S_umo__pHEffects">'other parameters'!$D$61</definedName>
    <definedName name="S_VFA">Components!$E$4</definedName>
    <definedName name="T__">'Calculated variables'!$E$630</definedName>
    <definedName name="T_Al">'Calculated variables'!$E$50</definedName>
    <definedName name="T_base">Parameters!$D$272</definedName>
    <definedName name="T_BOD_5">'Calculated variables'!$E$32</definedName>
    <definedName name="T_BOD_ult">'Calculated variables'!$E$29</definedName>
    <definedName name="T_Ca">'Calculated variables'!$E$51</definedName>
    <definedName name="T_COD">'Calculated variables'!$E$35</definedName>
    <definedName name="T_COD_Th">'Calculated variables'!$E$36</definedName>
    <definedName name="T_Fe">'Calculated variables'!$E$49</definedName>
    <definedName name="T_IN">'Calculated variables'!$E$39</definedName>
    <definedName name="T_K">'Calculated variables'!$E$629</definedName>
    <definedName name="T_KN">'Calculated variables'!$E$37</definedName>
    <definedName name="T_KN_B">'Calculated variables'!$E$38</definedName>
    <definedName name="T_Mg">'Calculated variables'!$E$52</definedName>
    <definedName name="T_N">'Calculated variables'!$E$40</definedName>
    <definedName name="T_NTP_K">systemcode_constants!$D$68</definedName>
    <definedName name="T_OC">'Calculated variables'!$E$58</definedName>
    <definedName name="T_P">'Calculated variables'!$E$44</definedName>
    <definedName name="T_PFOA">'Calculated variables'!$E$61</definedName>
    <definedName name="T_PFOS">'Calculated variables'!$E$62</definedName>
    <definedName name="T_st_K">systemcode_constants!$D$67</definedName>
    <definedName name="T_STP_K">systemcode_constants!$D$69</definedName>
    <definedName name="v_1_CB">Model!$H$115</definedName>
    <definedName name="v_1_CU">Model!$L$115</definedName>
    <definedName name="v_1_GCH4">Model!$BX$115</definedName>
    <definedName name="v_1_GCH4_atm">Model!$CD$115</definedName>
    <definedName name="v_1_GCO2">Model!$BW$115</definedName>
    <definedName name="v_1_GCO2_atm">Model!$CC$115</definedName>
    <definedName name="v_1_GH2">Model!$BY$115</definedName>
    <definedName name="v_1_GH2_atm">Model!$CE$115</definedName>
    <definedName name="v_1_GN2">Model!$CB$115</definedName>
    <definedName name="v_1_GN2_atm">Model!$CH$115</definedName>
    <definedName name="v_1_GNH3">Model!$CA$115</definedName>
    <definedName name="v_1_GNH3_atm">Model!$CG$115</definedName>
    <definedName name="v_1_GO2">Model!$BZ$115</definedName>
    <definedName name="v_1_GO2_atm">Model!$CF$115</definedName>
    <definedName name="v_1_SALPHA">Model!$BU$115</definedName>
    <definedName name="v_1_SAN">Model!$AR$115</definedName>
    <definedName name="v_1_SB">Model!$F$115</definedName>
    <definedName name="v_1_SCa">Model!$AS$115</definedName>
    <definedName name="v_1_SCAT">Model!$AQ$115</definedName>
    <definedName name="v_1_SCH4">Model!$AM$115</definedName>
    <definedName name="v_1_SCO2">Model!$AO$115</definedName>
    <definedName name="v_1_SFe2">Model!$AV$115</definedName>
    <definedName name="v_1_SH">Model!$BT$115</definedName>
    <definedName name="v_1_SH2">Model!$AN$115</definedName>
    <definedName name="v_1_SK">Model!$AU$115</definedName>
    <definedName name="v_1_SMEOL">Model!$G$115</definedName>
    <definedName name="v_1_SMg">Model!$AT$115</definedName>
    <definedName name="v_1_SN_B">Model!$AB$115</definedName>
    <definedName name="v_1_SN2">Model!$AA$115</definedName>
    <definedName name="v_1_SNHx">Model!$Y$115</definedName>
    <definedName name="v_1_SNOx">Model!$Z$115</definedName>
    <definedName name="v_1_SO2">Model!$AL$115</definedName>
    <definedName name="v_1_SORPswitch">Model!$BV$115</definedName>
    <definedName name="v_1_SP_B">Model!$AH$115</definedName>
    <definedName name="v_1_SPFOA">Model!$BP$115</definedName>
    <definedName name="v_1_SPFOS">Model!$BR$115</definedName>
    <definedName name="v_1_SPO4">Model!$AF$115</definedName>
    <definedName name="v_1_SU">Model!$K$115</definedName>
    <definedName name="v_1_SVFA">Model!$E$115</definedName>
    <definedName name="v_1_XACP">Model!$BL$115</definedName>
    <definedName name="v_1_XALGAE">Model!$X$115</definedName>
    <definedName name="v_1_XAMETO">Model!$V$115</definedName>
    <definedName name="v_1_XB">Model!$I$115</definedName>
    <definedName name="v_1_XB_e">Model!$J$115</definedName>
    <definedName name="v_1_XBSH">Model!$BM$115</definedName>
    <definedName name="v_1_XCaCO3">Model!$BK$115</definedName>
    <definedName name="v_1_XCASTO">Model!$S$115</definedName>
    <definedName name="v_1_XE">Model!$P$115</definedName>
    <definedName name="v_1_XE_ana">Model!$Q$115</definedName>
    <definedName name="v_1_XHAO_H">Model!$BD$115</definedName>
    <definedName name="v_1_XHAO_H_P">Model!$BG$115</definedName>
    <definedName name="v_1_XHAO_H_P_old">Model!$BI$115</definedName>
    <definedName name="v_1_XHAO_L">Model!$BE$115</definedName>
    <definedName name="v_1_XHAO_L_P">Model!$BH$115</definedName>
    <definedName name="v_1_XHAO_L_P_old">Model!$BJ$115</definedName>
    <definedName name="v_1_XHAO_old">Model!$BF$115</definedName>
    <definedName name="v_1_XHFO_H">Model!$AW$115</definedName>
    <definedName name="v_1_XHFO_H_P">Model!$AZ$115</definedName>
    <definedName name="v_1_XHFO_H_P_old">Model!$BB$115</definedName>
    <definedName name="v_1_XHFO_L">Model!$AX$115</definedName>
    <definedName name="v_1_XHFO_L_P">Model!$BA$115</definedName>
    <definedName name="v_1_XHFO_L_P_old">Model!$BC$115</definedName>
    <definedName name="v_1_XHFO_old">Model!$AY$115</definedName>
    <definedName name="v_1_XHMETO">Model!$W$115</definedName>
    <definedName name="v_1_XINORG">Model!$AP$115</definedName>
    <definedName name="v_1_XMEOLO">Model!$T$115</definedName>
    <definedName name="v_1_XN_B">Model!$AC$115</definedName>
    <definedName name="v_1_XN_Be">Model!$AD$115</definedName>
    <definedName name="v_1_XN_U">Model!$AE$115</definedName>
    <definedName name="v_1_XNITO">Model!$U$115</definedName>
    <definedName name="v_1_XOHO">Model!$R$115</definedName>
    <definedName name="v_1_XP_B">Model!$AI$115</definedName>
    <definedName name="v_1_XP_Be">Model!$AJ$115</definedName>
    <definedName name="v_1_XP_U">Model!$AK$115</definedName>
    <definedName name="v_1_XPFOA">Model!$BQ$115</definedName>
    <definedName name="v_1_XPFOS">Model!$BS$115</definedName>
    <definedName name="v_1_XPHA_GAO">Model!$O$115</definedName>
    <definedName name="v_1_XPHA_PAO">Model!$N$115</definedName>
    <definedName name="v_1_XPP">Model!$AG$115</definedName>
    <definedName name="v_1_XSTR">Model!$BN$115</definedName>
    <definedName name="v_1_XU">Model!$M$115</definedName>
    <definedName name="v_1_XVivi">Model!$BO$115</definedName>
    <definedName name="v_10_CB">Model!$H$124</definedName>
    <definedName name="v_10_CU">Model!$L$124</definedName>
    <definedName name="v_10_GCH4">Model!$BX$124</definedName>
    <definedName name="v_10_GCH4_atm">Model!$CD$124</definedName>
    <definedName name="v_10_GCO2">Model!$BW$124</definedName>
    <definedName name="v_10_GCO2_atm">Model!$CC$124</definedName>
    <definedName name="v_10_GH2">Model!$BY$124</definedName>
    <definedName name="v_10_GH2_atm">Model!$CE$124</definedName>
    <definedName name="v_10_GN2">Model!$CB$124</definedName>
    <definedName name="v_10_GN2_atm">Model!$CH$124</definedName>
    <definedName name="v_10_GNH3">Model!$CA$124</definedName>
    <definedName name="v_10_GNH3_atm">Model!$CG$124</definedName>
    <definedName name="v_10_GO2">Model!$BZ$124</definedName>
    <definedName name="v_10_GO2_atm">Model!$CF$124</definedName>
    <definedName name="v_10_SALPHA">Model!$BU$124</definedName>
    <definedName name="v_10_SAN">Model!$AR$124</definedName>
    <definedName name="v_10_SB">Model!$F$124</definedName>
    <definedName name="v_10_SCa">Model!$AS$124</definedName>
    <definedName name="v_10_SCAT">Model!$AQ$124</definedName>
    <definedName name="v_10_SCH4">Model!$AM$124</definedName>
    <definedName name="v_10_SCO2">Model!$AO$124</definedName>
    <definedName name="v_10_SFe2">Model!$AV$124</definedName>
    <definedName name="v_10_SH">Model!$BT$124</definedName>
    <definedName name="v_10_SH2">Model!$AN$124</definedName>
    <definedName name="v_10_SK">Model!$AU$124</definedName>
    <definedName name="v_10_SMEOL">Model!$G$124</definedName>
    <definedName name="v_10_SMg">Model!$AT$124</definedName>
    <definedName name="v_10_SN_B">Model!$AB$124</definedName>
    <definedName name="v_10_SN2">Model!$AA$124</definedName>
    <definedName name="v_10_SNHx">Model!$Y$124</definedName>
    <definedName name="v_10_SNOx">Model!$Z$124</definedName>
    <definedName name="v_10_SO2">Model!$AL$124</definedName>
    <definedName name="v_10_SORPswitch">Model!$BV$124</definedName>
    <definedName name="v_10_SP_B">Model!$AH$124</definedName>
    <definedName name="v_10_SPFOA">Model!$BP$124</definedName>
    <definedName name="v_10_SPFOS">Model!$BR$124</definedName>
    <definedName name="v_10_SPO4">Model!$AF$124</definedName>
    <definedName name="v_10_SU">Model!$K$124</definedName>
    <definedName name="v_10_SVFA">Model!$E$124</definedName>
    <definedName name="v_10_XACP">Model!$BL$124</definedName>
    <definedName name="v_10_XALGAE">Model!$X$124</definedName>
    <definedName name="v_10_XAMETO">Model!$V$124</definedName>
    <definedName name="v_10_XB">Model!$I$124</definedName>
    <definedName name="v_10_XB_e">Model!$J$124</definedName>
    <definedName name="v_10_XBSH">Model!$BM$124</definedName>
    <definedName name="v_10_XCaCO3">Model!$BK$124</definedName>
    <definedName name="v_10_XCASTO">Model!$S$124</definedName>
    <definedName name="v_10_XE">Model!$P$124</definedName>
    <definedName name="v_10_XE_ana">Model!$Q$124</definedName>
    <definedName name="v_10_XHAO_H">Model!$BD$124</definedName>
    <definedName name="v_10_XHAO_H_P">Model!$BG$124</definedName>
    <definedName name="v_10_XHAO_H_P_old">Model!$BI$124</definedName>
    <definedName name="v_10_XHAO_L">Model!$BE$124</definedName>
    <definedName name="v_10_XHAO_L_P">Model!$BH$124</definedName>
    <definedName name="v_10_XHAO_L_P_old">Model!$BJ$124</definedName>
    <definedName name="v_10_XHAO_old">Model!$BF$124</definedName>
    <definedName name="v_10_XHFO_H">Model!$AW$124</definedName>
    <definedName name="v_10_XHFO_H_P">Model!$AZ$124</definedName>
    <definedName name="v_10_XHFO_H_P_old">Model!$BB$124</definedName>
    <definedName name="v_10_XHFO_L">Model!$AX$124</definedName>
    <definedName name="v_10_XHFO_L_P">Model!$BA$124</definedName>
    <definedName name="v_10_XHFO_L_P_old">Model!$BC$124</definedName>
    <definedName name="v_10_XHFO_old">Model!$AY$124</definedName>
    <definedName name="v_10_XHMETO">Model!$W$124</definedName>
    <definedName name="v_10_XINORG">Model!$AP$124</definedName>
    <definedName name="v_10_XMEOLO">Model!$T$124</definedName>
    <definedName name="v_10_XN_B">Model!$AC$124</definedName>
    <definedName name="v_10_XN_Be">Model!$AD$124</definedName>
    <definedName name="v_10_XN_U">Model!$AE$124</definedName>
    <definedName name="v_10_XNITO">Model!$U$124</definedName>
    <definedName name="v_10_XOHO">Model!$R$124</definedName>
    <definedName name="v_10_XP_B">Model!$AI$124</definedName>
    <definedName name="v_10_XP_Be">Model!$AJ$124</definedName>
    <definedName name="v_10_XP_U">Model!$AK$124</definedName>
    <definedName name="v_10_XPFOA">Model!$BQ$124</definedName>
    <definedName name="v_10_XPFOS">Model!$BS$124</definedName>
    <definedName name="v_10_XPHA_GAO">Model!$O$124</definedName>
    <definedName name="v_10_XPHA_PAO">Model!$N$124</definedName>
    <definedName name="v_10_XPP">Model!$AG$124</definedName>
    <definedName name="v_10_XSTR">Model!$BN$124</definedName>
    <definedName name="v_10_XU">Model!$M$124</definedName>
    <definedName name="v_10_XVivi">Model!$BO$124</definedName>
    <definedName name="v_11_CB">Model!$H$125</definedName>
    <definedName name="v_11_CU">Model!$L$125</definedName>
    <definedName name="v_11_GCH4">Model!$BX$125</definedName>
    <definedName name="v_11_GCH4_atm">Model!$CD$125</definedName>
    <definedName name="v_11_GCO2">Model!$BW$125</definedName>
    <definedName name="v_11_GCO2_atm">Model!$CC$125</definedName>
    <definedName name="v_11_GH2">Model!$BY$125</definedName>
    <definedName name="v_11_GH2_atm">Model!$CE$125</definedName>
    <definedName name="v_11_GN2">Model!$CB$125</definedName>
    <definedName name="v_11_GN2_atm">Model!$CH$125</definedName>
    <definedName name="v_11_GNH3">Model!$CA$125</definedName>
    <definedName name="v_11_GNH3_atm">Model!$CG$125</definedName>
    <definedName name="v_11_GO2">Model!$BZ$125</definedName>
    <definedName name="v_11_GO2_atm">Model!$CF$125</definedName>
    <definedName name="v_11_SALPHA">Model!$BU$125</definedName>
    <definedName name="v_11_SAN">Model!$AR$125</definedName>
    <definedName name="v_11_SB">Model!$F$125</definedName>
    <definedName name="v_11_SCa">Model!$AS$125</definedName>
    <definedName name="v_11_SCAT">Model!$AQ$125</definedName>
    <definedName name="v_11_SCH4">Model!$AM$125</definedName>
    <definedName name="v_11_SCO2">Model!$AO$125</definedName>
    <definedName name="v_11_SFe2">Model!$AV$125</definedName>
    <definedName name="v_11_SH">Model!$BT$125</definedName>
    <definedName name="v_11_SH2">Model!$AN$125</definedName>
    <definedName name="v_11_SK">Model!$AU$125</definedName>
    <definedName name="v_11_SMEOL">Model!$G$125</definedName>
    <definedName name="v_11_SMg">Model!$AT$125</definedName>
    <definedName name="v_11_SN_B">Model!$AB$125</definedName>
    <definedName name="v_11_SN2">Model!$AA$125</definedName>
    <definedName name="v_11_SNHx">Model!$Y$125</definedName>
    <definedName name="v_11_SNOx">Model!$Z$125</definedName>
    <definedName name="v_11_SO2">Model!$AL$125</definedName>
    <definedName name="v_11_SORPswitch">Model!$BV$125</definedName>
    <definedName name="v_11_SP_B">Model!$AH$125</definedName>
    <definedName name="v_11_SPFOA">Model!$BP$125</definedName>
    <definedName name="v_11_SPFOS">Model!$BR$125</definedName>
    <definedName name="v_11_SPO4">Model!$AF$125</definedName>
    <definedName name="v_11_SU">Model!$K$125</definedName>
    <definedName name="v_11_SVFA">Model!$E$125</definedName>
    <definedName name="v_11_XACP">Model!$BL$125</definedName>
    <definedName name="v_11_XALGAE">Model!$X$125</definedName>
    <definedName name="v_11_XAMETO">Model!$V$125</definedName>
    <definedName name="v_11_XB">Model!$I$125</definedName>
    <definedName name="v_11_XB_e">Model!$J$125</definedName>
    <definedName name="v_11_XBSH">Model!$BM$125</definedName>
    <definedName name="v_11_XCaCO3">Model!$BK$125</definedName>
    <definedName name="v_11_XCASTO">Model!$S$125</definedName>
    <definedName name="v_11_XE">Model!$P$125</definedName>
    <definedName name="v_11_XE_ana">Model!$Q$125</definedName>
    <definedName name="v_11_XHAO_H">Model!$BD$125</definedName>
    <definedName name="v_11_XHAO_H_P">Model!$BG$125</definedName>
    <definedName name="v_11_XHAO_H_P_old">Model!$BI$125</definedName>
    <definedName name="v_11_XHAO_L">Model!$BE$125</definedName>
    <definedName name="v_11_XHAO_L_P">Model!$BH$125</definedName>
    <definedName name="v_11_XHAO_L_P_old">Model!$BJ$125</definedName>
    <definedName name="v_11_XHAO_old">Model!$BF$125</definedName>
    <definedName name="v_11_XHFO_H">Model!$AW$125</definedName>
    <definedName name="v_11_XHFO_H_P">Model!$AZ$125</definedName>
    <definedName name="v_11_XHFO_H_P_old">Model!$BB$125</definedName>
    <definedName name="v_11_XHFO_L">Model!$AX$125</definedName>
    <definedName name="v_11_XHFO_L_P">Model!$BA$125</definedName>
    <definedName name="v_11_XHFO_L_P_old">Model!$BC$125</definedName>
    <definedName name="v_11_XHFO_old">Model!$AY$125</definedName>
    <definedName name="v_11_XHMETO">Model!$W$125</definedName>
    <definedName name="v_11_XINORG">Model!$AP$125</definedName>
    <definedName name="v_11_XMEOLO">Model!$T$125</definedName>
    <definedName name="v_11_XN_B">Model!$AC$125</definedName>
    <definedName name="v_11_XN_Be">Model!$AD$125</definedName>
    <definedName name="v_11_XN_U">Model!$AE$125</definedName>
    <definedName name="v_11_XNITO">Model!$U$125</definedName>
    <definedName name="v_11_XOHO">Model!$R$125</definedName>
    <definedName name="v_11_XP_B">Model!$AI$125</definedName>
    <definedName name="v_11_XP_Be">Model!$AJ$125</definedName>
    <definedName name="v_11_XP_U">Model!$AK$125</definedName>
    <definedName name="v_11_XPFOA">Model!$BQ$125</definedName>
    <definedName name="v_11_XPFOS">Model!$BS$125</definedName>
    <definedName name="v_11_XPHA_GAO">Model!$O$125</definedName>
    <definedName name="v_11_XPHA_PAO">Model!$N$125</definedName>
    <definedName name="v_11_XPP">Model!$AG$125</definedName>
    <definedName name="v_11_XSTR">Model!$BN$125</definedName>
    <definedName name="v_11_XU">Model!$M$125</definedName>
    <definedName name="v_11_XVivi">Model!$BO$125</definedName>
    <definedName name="v_12_CB">Model!$H$126</definedName>
    <definedName name="v_12_CU">Model!$L$126</definedName>
    <definedName name="v_12_GCH4">Model!$BX$126</definedName>
    <definedName name="v_12_GCH4_atm">Model!$CD$126</definedName>
    <definedName name="v_12_GCO2">Model!$BW$126</definedName>
    <definedName name="v_12_GCO2_atm">Model!$CC$126</definedName>
    <definedName name="v_12_GH2">Model!$BY$126</definedName>
    <definedName name="v_12_GH2_atm">Model!$CE$126</definedName>
    <definedName name="v_12_GN2">Model!$CB$126</definedName>
    <definedName name="v_12_GN2_atm">Model!$CH$126</definedName>
    <definedName name="v_12_GNH3">Model!$CA$126</definedName>
    <definedName name="v_12_GNH3_atm">Model!$CG$126</definedName>
    <definedName name="v_12_GO2">Model!$BZ$126</definedName>
    <definedName name="v_12_GO2_atm">Model!$CF$126</definedName>
    <definedName name="v_12_SALPHA">Model!$BU$126</definedName>
    <definedName name="v_12_SAN">Model!$AR$126</definedName>
    <definedName name="v_12_SB">Model!$F$126</definedName>
    <definedName name="v_12_SCa">Model!$AS$126</definedName>
    <definedName name="v_12_SCAT">Model!$AQ$126</definedName>
    <definedName name="v_12_SCH4">Model!$AM$126</definedName>
    <definedName name="v_12_SCO2">Model!$AO$126</definedName>
    <definedName name="v_12_SFe2">Model!$AV$126</definedName>
    <definedName name="v_12_SH">Model!$BT$126</definedName>
    <definedName name="v_12_SH2">Model!$AN$126</definedName>
    <definedName name="v_12_SK">Model!$AU$126</definedName>
    <definedName name="v_12_SMEOL">Model!$G$126</definedName>
    <definedName name="v_12_SMg">Model!$AT$126</definedName>
    <definedName name="v_12_SN_B">Model!$AB$126</definedName>
    <definedName name="v_12_SN2">Model!$AA$126</definedName>
    <definedName name="v_12_SNHx">Model!$Y$126</definedName>
    <definedName name="v_12_SNOx">Model!$Z$126</definedName>
    <definedName name="v_12_SO2">Model!$AL$126</definedName>
    <definedName name="v_12_SORPswitch">Model!$BV$126</definedName>
    <definedName name="v_12_SP_B">Model!$AH$126</definedName>
    <definedName name="v_12_SPFOA">Model!$BP$126</definedName>
    <definedName name="v_12_SPFOS">Model!$BR$126</definedName>
    <definedName name="v_12_SPO4">Model!$AF$126</definedName>
    <definedName name="v_12_SU">Model!$K$126</definedName>
    <definedName name="v_12_SVFA">Model!$E$126</definedName>
    <definedName name="v_12_XACP">Model!$BL$126</definedName>
    <definedName name="v_12_XALGAE">Model!$X$126</definedName>
    <definedName name="v_12_XAMETO">Model!$V$126</definedName>
    <definedName name="v_12_XB">Model!$I$126</definedName>
    <definedName name="v_12_XB_e">Model!$J$126</definedName>
    <definedName name="v_12_XBSH">Model!$BM$126</definedName>
    <definedName name="v_12_XCaCO3">Model!$BK$126</definedName>
    <definedName name="v_12_XCASTO">Model!$S$126</definedName>
    <definedName name="v_12_XE">Model!$P$126</definedName>
    <definedName name="v_12_XE_ana">Model!$Q$126</definedName>
    <definedName name="v_12_XHAO_H">Model!$BD$126</definedName>
    <definedName name="v_12_XHAO_H_P">Model!$BG$126</definedName>
    <definedName name="v_12_XHAO_H_P_old">Model!$BI$126</definedName>
    <definedName name="v_12_XHAO_L">Model!$BE$126</definedName>
    <definedName name="v_12_XHAO_L_P">Model!$BH$126</definedName>
    <definedName name="v_12_XHAO_L_P_old">Model!$BJ$126</definedName>
    <definedName name="v_12_XHAO_old">Model!$BF$126</definedName>
    <definedName name="v_12_XHFO_H">Model!$AW$126</definedName>
    <definedName name="v_12_XHFO_H_P">Model!$AZ$126</definedName>
    <definedName name="v_12_XHFO_H_P_old">Model!$BB$126</definedName>
    <definedName name="v_12_XHFO_L">Model!$AX$126</definedName>
    <definedName name="v_12_XHFO_L_P">Model!$BA$126</definedName>
    <definedName name="v_12_XHFO_L_P_old">Model!$BC$126</definedName>
    <definedName name="v_12_XHFO_old">Model!$AY$126</definedName>
    <definedName name="v_12_XHMETO">Model!$W$126</definedName>
    <definedName name="v_12_XINORG">Model!$AP$126</definedName>
    <definedName name="v_12_XMEOLO">Model!$T$126</definedName>
    <definedName name="v_12_XN_B">Model!$AC$126</definedName>
    <definedName name="v_12_XN_Be">Model!$AD$126</definedName>
    <definedName name="v_12_XN_U">Model!$AE$126</definedName>
    <definedName name="v_12_XNITO">Model!$U$126</definedName>
    <definedName name="v_12_XOHO">Model!$R$126</definedName>
    <definedName name="v_12_XP_B">Model!$AI$126</definedName>
    <definedName name="v_12_XP_Be">Model!$AJ$126</definedName>
    <definedName name="v_12_XP_U">Model!$AK$126</definedName>
    <definedName name="v_12_XPFOA">Model!$BQ$126</definedName>
    <definedName name="v_12_XPFOS">Model!$BS$126</definedName>
    <definedName name="v_12_XPHA_GAO">Model!$O$126</definedName>
    <definedName name="v_12_XPHA_PAO">Model!$N$126</definedName>
    <definedName name="v_12_XPP">Model!$AG$126</definedName>
    <definedName name="v_12_XSTR">Model!$BN$126</definedName>
    <definedName name="v_12_XU">Model!$M$126</definedName>
    <definedName name="v_12_XVivi">Model!$BO$126</definedName>
    <definedName name="v_13_CB">Model!$H$127</definedName>
    <definedName name="v_13_CU">Model!$L$127</definedName>
    <definedName name="v_13_GCH4">Model!$BX$127</definedName>
    <definedName name="v_13_GCH4_atm">Model!$CD$127</definedName>
    <definedName name="v_13_GCO2">Model!$BW$127</definedName>
    <definedName name="v_13_GCO2_atm">Model!$CC$127</definedName>
    <definedName name="v_13_GH2">Model!$BY$127</definedName>
    <definedName name="v_13_GH2_atm">Model!$CE$127</definedName>
    <definedName name="v_13_GN2">Model!$CB$127</definedName>
    <definedName name="v_13_GN2_atm">Model!$CH$127</definedName>
    <definedName name="v_13_GNH3">Model!$CA$127</definedName>
    <definedName name="v_13_GNH3_atm">Model!$CG$127</definedName>
    <definedName name="v_13_GO2">Model!$BZ$127</definedName>
    <definedName name="v_13_GO2_atm">Model!$CF$127</definedName>
    <definedName name="v_13_SALPHA">Model!$BU$127</definedName>
    <definedName name="v_13_SAN">Model!$AR$127</definedName>
    <definedName name="v_13_SB">Model!$F$127</definedName>
    <definedName name="v_13_SCa">Model!$AS$127</definedName>
    <definedName name="v_13_SCAT">Model!$AQ$127</definedName>
    <definedName name="v_13_SCH4">Model!$AM$127</definedName>
    <definedName name="v_13_SCO2">Model!$AO$127</definedName>
    <definedName name="v_13_SFe2">Model!$AV$127</definedName>
    <definedName name="v_13_SH">Model!$BT$127</definedName>
    <definedName name="v_13_SH2">Model!$AN$127</definedName>
    <definedName name="v_13_SK">Model!$AU$127</definedName>
    <definedName name="v_13_SMEOL">Model!$G$127</definedName>
    <definedName name="v_13_SMg">Model!$AT$127</definedName>
    <definedName name="v_13_SN_B">Model!$AB$127</definedName>
    <definedName name="v_13_SN2">Model!$AA$127</definedName>
    <definedName name="v_13_SNHx">Model!$Y$127</definedName>
    <definedName name="v_13_SNOx">Model!$Z$127</definedName>
    <definedName name="v_13_SO2">Model!$AL$127</definedName>
    <definedName name="v_13_SORPswitch">Model!$BV$127</definedName>
    <definedName name="v_13_SP_B">Model!$AH$127</definedName>
    <definedName name="v_13_SPFOA">Model!$BP$127</definedName>
    <definedName name="v_13_SPFOS">Model!$BR$127</definedName>
    <definedName name="v_13_SPO4">Model!$AF$127</definedName>
    <definedName name="v_13_SU">Model!$K$127</definedName>
    <definedName name="v_13_SVFA">Model!$E$127</definedName>
    <definedName name="v_13_XACP">Model!$BL$127</definedName>
    <definedName name="v_13_XALGAE">Model!$X$127</definedName>
    <definedName name="v_13_XAMETO">Model!$V$127</definedName>
    <definedName name="v_13_XB">Model!$I$127</definedName>
    <definedName name="v_13_XB_e">Model!$J$127</definedName>
    <definedName name="v_13_XBSH">Model!$BM$127</definedName>
    <definedName name="v_13_XCaCO3">Model!$BK$127</definedName>
    <definedName name="v_13_XCASTO">Model!$S$127</definedName>
    <definedName name="v_13_XE">Model!$P$127</definedName>
    <definedName name="v_13_XE_ana">Model!$Q$127</definedName>
    <definedName name="v_13_XHAO_H">Model!$BD$127</definedName>
    <definedName name="v_13_XHAO_H_P">Model!$BG$127</definedName>
    <definedName name="v_13_XHAO_H_P_old">Model!$BI$127</definedName>
    <definedName name="v_13_XHAO_L">Model!$BE$127</definedName>
    <definedName name="v_13_XHAO_L_P">Model!$BH$127</definedName>
    <definedName name="v_13_XHAO_L_P_old">Model!$BJ$127</definedName>
    <definedName name="v_13_XHAO_old">Model!$BF$127</definedName>
    <definedName name="v_13_XHFO_H">Model!$AW$127</definedName>
    <definedName name="v_13_XHFO_H_P">Model!$AZ$127</definedName>
    <definedName name="v_13_XHFO_H_P_old">Model!$BB$127</definedName>
    <definedName name="v_13_XHFO_L">Model!$AX$127</definedName>
    <definedName name="v_13_XHFO_L_P">Model!$BA$127</definedName>
    <definedName name="v_13_XHFO_L_P_old">Model!$BC$127</definedName>
    <definedName name="v_13_XHFO_old">Model!$AY$127</definedName>
    <definedName name="v_13_XHMETO">Model!$W$127</definedName>
    <definedName name="v_13_XINORG">Model!$AP$127</definedName>
    <definedName name="v_13_XMEOLO">Model!$T$127</definedName>
    <definedName name="v_13_XN_B">Model!$AC$127</definedName>
    <definedName name="v_13_XN_Be">Model!$AD$127</definedName>
    <definedName name="v_13_XN_U">Model!$AE$127</definedName>
    <definedName name="v_13_XNITO">Model!$U$127</definedName>
    <definedName name="v_13_XOHO">Model!$R$127</definedName>
    <definedName name="v_13_XP_B">Model!$AI$127</definedName>
    <definedName name="v_13_XP_Be">Model!$AJ$127</definedName>
    <definedName name="v_13_XP_U">Model!$AK$127</definedName>
    <definedName name="v_13_XPFOA">Model!$BQ$127</definedName>
    <definedName name="v_13_XPFOS">Model!$BS$127</definedName>
    <definedName name="v_13_XPHA_GAO">Model!$O$127</definedName>
    <definedName name="v_13_XPHA_PAO">Model!$N$127</definedName>
    <definedName name="v_13_XPP">Model!$AG$127</definedName>
    <definedName name="v_13_XSTR">Model!$BN$127</definedName>
    <definedName name="v_13_XU">Model!$M$127</definedName>
    <definedName name="v_13_XVivi">Model!$BO$127</definedName>
    <definedName name="v_14_CB">Model!$H$128</definedName>
    <definedName name="v_14_CU">Model!$L$128</definedName>
    <definedName name="v_14_GCH4">Model!$BX$128</definedName>
    <definedName name="v_14_GCH4_atm">Model!$CD$128</definedName>
    <definedName name="v_14_GCO2">Model!$BW$128</definedName>
    <definedName name="v_14_GCO2_atm">Model!$CC$128</definedName>
    <definedName name="v_14_GH2">Model!$BY$128</definedName>
    <definedName name="v_14_GH2_atm">Model!$CE$128</definedName>
    <definedName name="v_14_GN2">Model!$CB$128</definedName>
    <definedName name="v_14_GN2_atm">Model!$CH$128</definedName>
    <definedName name="v_14_GNH3">Model!$CA$128</definedName>
    <definedName name="v_14_GNH3_atm">Model!$CG$128</definedName>
    <definedName name="v_14_GO2">Model!$BZ$128</definedName>
    <definedName name="v_14_GO2_atm">Model!$CF$128</definedName>
    <definedName name="v_14_SALPHA">Model!$BU$128</definedName>
    <definedName name="v_14_SAN">Model!$AR$128</definedName>
    <definedName name="v_14_SB">Model!$F$128</definedName>
    <definedName name="v_14_SCa">Model!$AS$128</definedName>
    <definedName name="v_14_SCAT">Model!$AQ$128</definedName>
    <definedName name="v_14_SCH4">Model!$AM$128</definedName>
    <definedName name="v_14_SCO2">Model!$AO$128</definedName>
    <definedName name="v_14_SFe2">Model!$AV$128</definedName>
    <definedName name="v_14_SH">Model!$BT$128</definedName>
    <definedName name="v_14_SH2">Model!$AN$128</definedName>
    <definedName name="v_14_SK">Model!$AU$128</definedName>
    <definedName name="v_14_SMEOL">Model!$G$128</definedName>
    <definedName name="v_14_SMg">Model!$AT$128</definedName>
    <definedName name="v_14_SN_B">Model!$AB$128</definedName>
    <definedName name="v_14_SN2">Model!$AA$128</definedName>
    <definedName name="v_14_SNHx">Model!$Y$128</definedName>
    <definedName name="v_14_SNOx">Model!$Z$128</definedName>
    <definedName name="v_14_SO2">Model!$AL$128</definedName>
    <definedName name="v_14_SORPswitch">Model!$BV$128</definedName>
    <definedName name="v_14_SP_B">Model!$AH$128</definedName>
    <definedName name="v_14_SPFOA">Model!$BP$128</definedName>
    <definedName name="v_14_SPFOS">Model!$BR$128</definedName>
    <definedName name="v_14_SPO4">Model!$AF$128</definedName>
    <definedName name="v_14_SU">Model!$K$128</definedName>
    <definedName name="v_14_SVFA">Model!$E$128</definedName>
    <definedName name="v_14_XACP">Model!$BL$128</definedName>
    <definedName name="v_14_XALGAE">Model!$X$128</definedName>
    <definedName name="v_14_XAMETO">Model!$V$128</definedName>
    <definedName name="v_14_XB">Model!$I$128</definedName>
    <definedName name="v_14_XB_e">Model!$J$128</definedName>
    <definedName name="v_14_XBSH">Model!$BM$128</definedName>
    <definedName name="v_14_XCaCO3">Model!$BK$128</definedName>
    <definedName name="v_14_XCASTO">Model!$S$128</definedName>
    <definedName name="v_14_XE">Model!$P$128</definedName>
    <definedName name="v_14_XE_ana">Model!$Q$128</definedName>
    <definedName name="v_14_XHAO_H">Model!$BD$128</definedName>
    <definedName name="v_14_XHAO_H_P">Model!$BG$128</definedName>
    <definedName name="v_14_XHAO_H_P_old">Model!$BI$128</definedName>
    <definedName name="v_14_XHAO_L">Model!$BE$128</definedName>
    <definedName name="v_14_XHAO_L_P">Model!$BH$128</definedName>
    <definedName name="v_14_XHAO_L_P_old">Model!$BJ$128</definedName>
    <definedName name="v_14_XHAO_old">Model!$BF$128</definedName>
    <definedName name="v_14_XHFO_H">Model!$AW$128</definedName>
    <definedName name="v_14_XHFO_H_P">Model!$AZ$128</definedName>
    <definedName name="v_14_XHFO_H_P_old">Model!$BB$128</definedName>
    <definedName name="v_14_XHFO_L">Model!$AX$128</definedName>
    <definedName name="v_14_XHFO_L_P">Model!$BA$128</definedName>
    <definedName name="v_14_XHFO_L_P_old">Model!$BC$128</definedName>
    <definedName name="v_14_XHFO_old">Model!$AY$128</definedName>
    <definedName name="v_14_XHMETO">Model!$W$128</definedName>
    <definedName name="v_14_XINORG">Model!$AP$128</definedName>
    <definedName name="v_14_XMEOLO">Model!$T$128</definedName>
    <definedName name="v_14_XN_B">Model!$AC$128</definedName>
    <definedName name="v_14_XN_Be">Model!$AD$128</definedName>
    <definedName name="v_14_XN_U">Model!$AE$128</definedName>
    <definedName name="v_14_XNITO">Model!$U$128</definedName>
    <definedName name="v_14_XOHO">Model!$R$128</definedName>
    <definedName name="v_14_XP_B">Model!$AI$128</definedName>
    <definedName name="v_14_XP_Be">Model!$AJ$128</definedName>
    <definedName name="v_14_XP_U">Model!$AK$128</definedName>
    <definedName name="v_14_XPFOA">Model!$BQ$128</definedName>
    <definedName name="v_14_XPFOS">Model!$BS$128</definedName>
    <definedName name="v_14_XPHA_GAO">Model!$O$128</definedName>
    <definedName name="v_14_XPHA_PAO">Model!$N$128</definedName>
    <definedName name="v_14_XPP">Model!$AG$128</definedName>
    <definedName name="v_14_XSTR">Model!$BN$128</definedName>
    <definedName name="v_14_XU">Model!$M$128</definedName>
    <definedName name="v_14_XVivi">Model!$BO$128</definedName>
    <definedName name="v_15_CB">Model!$H$129</definedName>
    <definedName name="v_15_CU">Model!$L$129</definedName>
    <definedName name="v_15_GCH4">Model!$BX$129</definedName>
    <definedName name="v_15_GCH4_atm">Model!$CD$129</definedName>
    <definedName name="v_15_GCO2">Model!$BW$129</definedName>
    <definedName name="v_15_GCO2_atm">Model!$CC$129</definedName>
    <definedName name="v_15_GH2">Model!$BY$129</definedName>
    <definedName name="v_15_GH2_atm">Model!$CE$129</definedName>
    <definedName name="v_15_GN2">Model!$CB$129</definedName>
    <definedName name="v_15_GN2_atm">Model!$CH$129</definedName>
    <definedName name="v_15_GNH3">Model!$CA$129</definedName>
    <definedName name="v_15_GNH3_atm">Model!$CG$129</definedName>
    <definedName name="v_15_GO2">Model!$BZ$129</definedName>
    <definedName name="v_15_GO2_atm">Model!$CF$129</definedName>
    <definedName name="v_15_SALPHA">Model!$BU$129</definedName>
    <definedName name="v_15_SAN">Model!$AR$129</definedName>
    <definedName name="v_15_SB">Model!$F$129</definedName>
    <definedName name="v_15_SCa">Model!$AS$129</definedName>
    <definedName name="v_15_SCAT">Model!$AQ$129</definedName>
    <definedName name="v_15_SCH4">Model!$AM$129</definedName>
    <definedName name="v_15_SCO2">Model!$AO$129</definedName>
    <definedName name="v_15_SFe2">Model!$AV$129</definedName>
    <definedName name="v_15_SH">Model!$BT$129</definedName>
    <definedName name="v_15_SH2">Model!$AN$129</definedName>
    <definedName name="v_15_SK">Model!$AU$129</definedName>
    <definedName name="v_15_SMEOL">Model!$G$129</definedName>
    <definedName name="v_15_SMg">Model!$AT$129</definedName>
    <definedName name="v_15_SN_B">Model!$AB$129</definedName>
    <definedName name="v_15_SN2">Model!$AA$129</definedName>
    <definedName name="v_15_SNHx">Model!$Y$129</definedName>
    <definedName name="v_15_SNOx">Model!$Z$129</definedName>
    <definedName name="v_15_SO2">Model!$AL$129</definedName>
    <definedName name="v_15_SORPswitch">Model!$BV$129</definedName>
    <definedName name="v_15_SP_B">Model!$AH$129</definedName>
    <definedName name="v_15_SPFOA">Model!$BP$129</definedName>
    <definedName name="v_15_SPFOS">Model!$BR$129</definedName>
    <definedName name="v_15_SPO4">Model!$AF$129</definedName>
    <definedName name="v_15_SU">Model!$K$129</definedName>
    <definedName name="v_15_SVFA">Model!$E$129</definedName>
    <definedName name="v_15_XACP">Model!$BL$129</definedName>
    <definedName name="v_15_XALGAE">Model!$X$129</definedName>
    <definedName name="v_15_XAMETO">Model!$V$129</definedName>
    <definedName name="v_15_XB">Model!$I$129</definedName>
    <definedName name="v_15_XB_e">Model!$J$129</definedName>
    <definedName name="v_15_XBSH">Model!$BM$129</definedName>
    <definedName name="v_15_XCaCO3">Model!$BK$129</definedName>
    <definedName name="v_15_XCASTO">Model!$S$129</definedName>
    <definedName name="v_15_XE">Model!$P$129</definedName>
    <definedName name="v_15_XE_ana">Model!$Q$129</definedName>
    <definedName name="v_15_XHAO_H">Model!$BD$129</definedName>
    <definedName name="v_15_XHAO_H_P">Model!$BG$129</definedName>
    <definedName name="v_15_XHAO_H_P_old">Model!$BI$129</definedName>
    <definedName name="v_15_XHAO_L">Model!$BE$129</definedName>
    <definedName name="v_15_XHAO_L_P">Model!$BH$129</definedName>
    <definedName name="v_15_XHAO_L_P_old">Model!$BJ$129</definedName>
    <definedName name="v_15_XHAO_old">Model!$BF$129</definedName>
    <definedName name="v_15_XHFO_H">Model!$AW$129</definedName>
    <definedName name="v_15_XHFO_H_P">Model!$AZ$129</definedName>
    <definedName name="v_15_XHFO_H_P_old">Model!$BB$129</definedName>
    <definedName name="v_15_XHFO_L">Model!$AX$129</definedName>
    <definedName name="v_15_XHFO_L_P">Model!$BA$129</definedName>
    <definedName name="v_15_XHFO_L_P_old">Model!$BC$129</definedName>
    <definedName name="v_15_XHFO_old">Model!$AY$129</definedName>
    <definedName name="v_15_XHMETO">Model!$W$129</definedName>
    <definedName name="v_15_XINORG">Model!$AP$129</definedName>
    <definedName name="v_15_XMEOLO">Model!$T$129</definedName>
    <definedName name="v_15_XN_B">Model!$AC$129</definedName>
    <definedName name="v_15_XN_Be">Model!$AD$129</definedName>
    <definedName name="v_15_XN_U">Model!$AE$129</definedName>
    <definedName name="v_15_XNITO">Model!$U$129</definedName>
    <definedName name="v_15_XOHO">Model!$R$129</definedName>
    <definedName name="v_15_XP_B">Model!$AI$129</definedName>
    <definedName name="v_15_XP_Be">Model!$AJ$129</definedName>
    <definedName name="v_15_XP_U">Model!$AK$129</definedName>
    <definedName name="v_15_XPFOA">Model!$BQ$129</definedName>
    <definedName name="v_15_XPFOS">Model!$BS$129</definedName>
    <definedName name="v_15_XPHA_GAO">Model!$O$129</definedName>
    <definedName name="v_15_XPHA_PAO">Model!$N$129</definedName>
    <definedName name="v_15_XPP">Model!$AG$129</definedName>
    <definedName name="v_15_XSTR">Model!$BN$129</definedName>
    <definedName name="v_15_XU">Model!$M$129</definedName>
    <definedName name="v_15_XVivi">Model!$BO$129</definedName>
    <definedName name="v_16_CB">Model!$H$130</definedName>
    <definedName name="v_16_CU">Model!$L$130</definedName>
    <definedName name="v_16_GCH4">Model!$BX$130</definedName>
    <definedName name="v_16_GCH4_atm">Model!$CD$130</definedName>
    <definedName name="v_16_GCO2">Model!$BW$130</definedName>
    <definedName name="v_16_GCO2_atm">Model!$CC$130</definedName>
    <definedName name="v_16_GH2">Model!$BY$130</definedName>
    <definedName name="v_16_GH2_atm">Model!$CE$130</definedName>
    <definedName name="v_16_GN2">Model!$CB$130</definedName>
    <definedName name="v_16_GN2_atm">Model!$CH$130</definedName>
    <definedName name="v_16_GNH3">Model!$CA$130</definedName>
    <definedName name="v_16_GNH3_atm">Model!$CG$130</definedName>
    <definedName name="v_16_GO2">Model!$BZ$130</definedName>
    <definedName name="v_16_GO2_atm">Model!$CF$130</definedName>
    <definedName name="v_16_SALPHA">Model!$BU$130</definedName>
    <definedName name="v_16_SAN">Model!$AR$130</definedName>
    <definedName name="v_16_SB">Model!$F$130</definedName>
    <definedName name="v_16_SCa">Model!$AS$130</definedName>
    <definedName name="v_16_SCAT">Model!$AQ$130</definedName>
    <definedName name="v_16_SCH4">Model!$AM$130</definedName>
    <definedName name="v_16_SCO2">Model!$AO$130</definedName>
    <definedName name="v_16_SFe2">Model!$AV$130</definedName>
    <definedName name="v_16_SH">Model!$BT$130</definedName>
    <definedName name="v_16_SH2">Model!$AN$130</definedName>
    <definedName name="v_16_SK">Model!$AU$130</definedName>
    <definedName name="v_16_SMEOL">Model!$G$130</definedName>
    <definedName name="v_16_SMg">Model!$AT$130</definedName>
    <definedName name="v_16_SN_B">Model!$AB$130</definedName>
    <definedName name="v_16_SN2">Model!$AA$130</definedName>
    <definedName name="v_16_SNHx">Model!$Y$130</definedName>
    <definedName name="v_16_SNOx">Model!$Z$130</definedName>
    <definedName name="v_16_SO2">Model!$AL$130</definedName>
    <definedName name="v_16_SORPswitch">Model!$BV$130</definedName>
    <definedName name="v_16_SP_B">Model!$AH$130</definedName>
    <definedName name="v_16_SPFOA">Model!$BP$130</definedName>
    <definedName name="v_16_SPFOS">Model!$BR$130</definedName>
    <definedName name="v_16_SPO4">Model!$AF$130</definedName>
    <definedName name="v_16_SU">Model!$K$130</definedName>
    <definedName name="v_16_SVFA">Model!$E$130</definedName>
    <definedName name="v_16_XACP">Model!$BL$130</definedName>
    <definedName name="v_16_XALGAE">Model!$X$130</definedName>
    <definedName name="v_16_XAMETO">Model!$V$130</definedName>
    <definedName name="v_16_XB">Model!$I$130</definedName>
    <definedName name="v_16_XB_e">Model!$J$130</definedName>
    <definedName name="v_16_XBSH">Model!$BM$130</definedName>
    <definedName name="v_16_XCaCO3">Model!$BK$130</definedName>
    <definedName name="v_16_XCASTO">Model!$S$130</definedName>
    <definedName name="v_16_XE">Model!$P$130</definedName>
    <definedName name="v_16_XE_ana">Model!$Q$130</definedName>
    <definedName name="v_16_XHAO_H">Model!$BD$130</definedName>
    <definedName name="v_16_XHAO_H_P">Model!$BG$130</definedName>
    <definedName name="v_16_XHAO_H_P_old">Model!$BI$130</definedName>
    <definedName name="v_16_XHAO_L">Model!$BE$130</definedName>
    <definedName name="v_16_XHAO_L_P">Model!$BH$130</definedName>
    <definedName name="v_16_XHAO_L_P_old">Model!$BJ$130</definedName>
    <definedName name="v_16_XHAO_old">Model!$BF$130</definedName>
    <definedName name="v_16_XHFO_H">Model!$AW$130</definedName>
    <definedName name="v_16_XHFO_H_P">Model!$AZ$130</definedName>
    <definedName name="v_16_XHFO_H_P_old">Model!$BB$130</definedName>
    <definedName name="v_16_XHFO_L">Model!$AX$130</definedName>
    <definedName name="v_16_XHFO_L_P">Model!$BA$130</definedName>
    <definedName name="v_16_XHFO_L_P_old">Model!$BC$130</definedName>
    <definedName name="v_16_XHFO_old">Model!$AY$130</definedName>
    <definedName name="v_16_XHMETO">Model!$W$130</definedName>
    <definedName name="v_16_XINORG">Model!$AP$130</definedName>
    <definedName name="v_16_XMEOLO">Model!$T$130</definedName>
    <definedName name="v_16_XN_B">Model!$AC$130</definedName>
    <definedName name="v_16_XN_Be">Model!$AD$130</definedName>
    <definedName name="v_16_XN_U">Model!$AE$130</definedName>
    <definedName name="v_16_XNITO">Model!$U$130</definedName>
    <definedName name="v_16_XOHO">Model!$R$130</definedName>
    <definedName name="v_16_XP_B">Model!$AI$130</definedName>
    <definedName name="v_16_XP_Be">Model!$AJ$130</definedName>
    <definedName name="v_16_XP_U">Model!$AK$130</definedName>
    <definedName name="v_16_XPFOA">Model!$BQ$130</definedName>
    <definedName name="v_16_XPFOS">Model!$BS$130</definedName>
    <definedName name="v_16_XPHA_GAO">Model!$O$130</definedName>
    <definedName name="v_16_XPHA_PAO">Model!$N$130</definedName>
    <definedName name="v_16_XPP">Model!$AG$130</definedName>
    <definedName name="v_16_XSTR">Model!$BN$130</definedName>
    <definedName name="v_16_XU">Model!$M$130</definedName>
    <definedName name="v_16_XVivi">Model!$BO$130</definedName>
    <definedName name="v_17_CB">Model!$H$131</definedName>
    <definedName name="v_17_CU">Model!$L$131</definedName>
    <definedName name="v_17_GCH4">Model!$BX$131</definedName>
    <definedName name="v_17_GCH4_atm">Model!$CD$131</definedName>
    <definedName name="v_17_GCO2">Model!$BW$131</definedName>
    <definedName name="v_17_GCO2_atm">Model!$CC$131</definedName>
    <definedName name="v_17_GH2">Model!$BY$131</definedName>
    <definedName name="v_17_GH2_atm">Model!$CE$131</definedName>
    <definedName name="v_17_GN2">Model!$CB$131</definedName>
    <definedName name="v_17_GN2_atm">Model!$CH$131</definedName>
    <definedName name="v_17_GNH3">Model!$CA$131</definedName>
    <definedName name="v_17_GNH3_atm">Model!$CG$131</definedName>
    <definedName name="v_17_GO2">Model!$BZ$131</definedName>
    <definedName name="v_17_GO2_atm">Model!$CF$131</definedName>
    <definedName name="v_17_SALPHA">Model!$BU$131</definedName>
    <definedName name="v_17_SAN">Model!$AR$131</definedName>
    <definedName name="v_17_SB">Model!$F$131</definedName>
    <definedName name="v_17_SCa">Model!$AS$131</definedName>
    <definedName name="v_17_SCAT">Model!$AQ$131</definedName>
    <definedName name="v_17_SCH4">Model!$AM$131</definedName>
    <definedName name="v_17_SCO2">Model!$AO$131</definedName>
    <definedName name="v_17_SFe2">Model!$AV$131</definedName>
    <definedName name="v_17_SH">Model!$BT$131</definedName>
    <definedName name="v_17_SH2">Model!$AN$131</definedName>
    <definedName name="v_17_SK">Model!$AU$131</definedName>
    <definedName name="v_17_SMEOL">Model!$G$131</definedName>
    <definedName name="v_17_SMg">Model!$AT$131</definedName>
    <definedName name="v_17_SN_B">Model!$AB$131</definedName>
    <definedName name="v_17_SN2">Model!$AA$131</definedName>
    <definedName name="v_17_SNHx">Model!$Y$131</definedName>
    <definedName name="v_17_SNOx">Model!$Z$131</definedName>
    <definedName name="v_17_SO2">Model!$AL$131</definedName>
    <definedName name="v_17_SORPswitch">Model!$BV$131</definedName>
    <definedName name="v_17_SP_B">Model!$AH$131</definedName>
    <definedName name="v_17_SPFOA">Model!$BP$131</definedName>
    <definedName name="v_17_SPFOS">Model!$BR$131</definedName>
    <definedName name="v_17_SPO4">Model!$AF$131</definedName>
    <definedName name="v_17_SU">Model!$K$131</definedName>
    <definedName name="v_17_SVFA">Model!$E$131</definedName>
    <definedName name="v_17_XACP">Model!$BL$131</definedName>
    <definedName name="v_17_XALGAE">Model!$X$131</definedName>
    <definedName name="v_17_XAMETO">Model!$V$131</definedName>
    <definedName name="v_17_XB">Model!$I$131</definedName>
    <definedName name="v_17_XB_e">Model!$J$131</definedName>
    <definedName name="v_17_XBSH">Model!$BM$131</definedName>
    <definedName name="v_17_XCaCO3">Model!$BK$131</definedName>
    <definedName name="v_17_XCASTO">Model!$S$131</definedName>
    <definedName name="v_17_XE">Model!$P$131</definedName>
    <definedName name="v_17_XE_ana">Model!$Q$131</definedName>
    <definedName name="v_17_XHAO_H">Model!$BD$131</definedName>
    <definedName name="v_17_XHAO_H_P">Model!$BG$131</definedName>
    <definedName name="v_17_XHAO_H_P_old">Model!$BI$131</definedName>
    <definedName name="v_17_XHAO_L">Model!$BE$131</definedName>
    <definedName name="v_17_XHAO_L_P">Model!$BH$131</definedName>
    <definedName name="v_17_XHAO_L_P_old">Model!$BJ$131</definedName>
    <definedName name="v_17_XHAO_old">Model!$BF$131</definedName>
    <definedName name="v_17_XHFO_H">Model!$AW$131</definedName>
    <definedName name="v_17_XHFO_H_P">Model!$AZ$131</definedName>
    <definedName name="v_17_XHFO_H_P_old">Model!$BB$131</definedName>
    <definedName name="v_17_XHFO_L">Model!$AX$131</definedName>
    <definedName name="v_17_XHFO_L_P">Model!$BA$131</definedName>
    <definedName name="v_17_XHFO_L_P_old">Model!$BC$131</definedName>
    <definedName name="v_17_XHFO_old">Model!$AY$131</definedName>
    <definedName name="v_17_XHMETO">Model!$W$131</definedName>
    <definedName name="v_17_XINORG">Model!$AP$131</definedName>
    <definedName name="v_17_XMEOLO">Model!$T$131</definedName>
    <definedName name="v_17_XN_B">Model!$AC$131</definedName>
    <definedName name="v_17_XN_Be">Model!$AD$131</definedName>
    <definedName name="v_17_XN_U">Model!$AE$131</definedName>
    <definedName name="v_17_XNITO">Model!$U$131</definedName>
    <definedName name="v_17_XOHO">Model!$R$131</definedName>
    <definedName name="v_17_XP_B">Model!$AI$131</definedName>
    <definedName name="v_17_XP_Be">Model!$AJ$131</definedName>
    <definedName name="v_17_XP_U">Model!$AK$131</definedName>
    <definedName name="v_17_XPFOA">Model!$BQ$131</definedName>
    <definedName name="v_17_XPFOS">Model!$BS$131</definedName>
    <definedName name="v_17_XPHA_GAO">Model!$O$131</definedName>
    <definedName name="v_17_XPHA_PAO">Model!$N$131</definedName>
    <definedName name="v_17_XPP">Model!$AG$131</definedName>
    <definedName name="v_17_XSTR">Model!$BN$131</definedName>
    <definedName name="v_17_XU">Model!$M$131</definedName>
    <definedName name="v_17_XVivi">Model!$BO$131</definedName>
    <definedName name="v_18_CB">Model!$H$132</definedName>
    <definedName name="v_18_CU">Model!$L$132</definedName>
    <definedName name="v_18_GCH4">Model!$BX$132</definedName>
    <definedName name="v_18_GCH4_atm">Model!$CD$132</definedName>
    <definedName name="v_18_GCO2">Model!$BW$132</definedName>
    <definedName name="v_18_GCO2_atm">Model!$CC$132</definedName>
    <definedName name="v_18_GH2">Model!$BY$132</definedName>
    <definedName name="v_18_GH2_atm">Model!$CE$132</definedName>
    <definedName name="v_18_GN2">Model!$CB$132</definedName>
    <definedName name="v_18_GN2_atm">Model!$CH$132</definedName>
    <definedName name="v_18_GNH3">Model!$CA$132</definedName>
    <definedName name="v_18_GNH3_atm">Model!$CG$132</definedName>
    <definedName name="v_18_GO2">Model!$BZ$132</definedName>
    <definedName name="v_18_GO2_atm">Model!$CF$132</definedName>
    <definedName name="v_18_SALPHA">Model!$BU$132</definedName>
    <definedName name="v_18_SAN">Model!$AR$132</definedName>
    <definedName name="v_18_SB">Model!$F$132</definedName>
    <definedName name="v_18_SCa">Model!$AS$132</definedName>
    <definedName name="v_18_SCAT">Model!$AQ$132</definedName>
    <definedName name="v_18_SCH4">Model!$AM$132</definedName>
    <definedName name="v_18_SCO2">Model!$AO$132</definedName>
    <definedName name="v_18_SFe2">Model!$AV$132</definedName>
    <definedName name="v_18_SH">Model!$BT$132</definedName>
    <definedName name="v_18_SH2">Model!$AN$132</definedName>
    <definedName name="v_18_SK">Model!$AU$132</definedName>
    <definedName name="v_18_SMEOL">Model!$G$132</definedName>
    <definedName name="v_18_SMg">Model!$AT$132</definedName>
    <definedName name="v_18_SN_B">Model!$AB$132</definedName>
    <definedName name="v_18_SN2">Model!$AA$132</definedName>
    <definedName name="v_18_SNHx">Model!$Y$132</definedName>
    <definedName name="v_18_SNOx">Model!$Z$132</definedName>
    <definedName name="v_18_SO2">Model!$AL$132</definedName>
    <definedName name="v_18_SORPswitch">Model!$BV$132</definedName>
    <definedName name="v_18_SP_B">Model!$AH$132</definedName>
    <definedName name="v_18_SPFOA">Model!$BP$132</definedName>
    <definedName name="v_18_SPFOS">Model!$BR$132</definedName>
    <definedName name="v_18_SPO4">Model!$AF$132</definedName>
    <definedName name="v_18_SU">Model!$K$132</definedName>
    <definedName name="v_18_SVFA">Model!$E$132</definedName>
    <definedName name="v_18_XACP">Model!$BL$132</definedName>
    <definedName name="v_18_XALGAE">Model!$X$132</definedName>
    <definedName name="v_18_XAMETO">Model!$V$132</definedName>
    <definedName name="v_18_XB">Model!$I$132</definedName>
    <definedName name="v_18_XB_e">Model!$J$132</definedName>
    <definedName name="v_18_XBSH">Model!$BM$132</definedName>
    <definedName name="v_18_XCaCO3">Model!$BK$132</definedName>
    <definedName name="v_18_XCASTO">Model!$S$132</definedName>
    <definedName name="v_18_XE">Model!$P$132</definedName>
    <definedName name="v_18_XE_ana">Model!$Q$132</definedName>
    <definedName name="v_18_XHAO_H">Model!$BD$132</definedName>
    <definedName name="v_18_XHAO_H_P">Model!$BG$132</definedName>
    <definedName name="v_18_XHAO_H_P_old">Model!$BI$132</definedName>
    <definedName name="v_18_XHAO_L">Model!$BE$132</definedName>
    <definedName name="v_18_XHAO_L_P">Model!$BH$132</definedName>
    <definedName name="v_18_XHAO_L_P_old">Model!$BJ$132</definedName>
    <definedName name="v_18_XHAO_old">Model!$BF$132</definedName>
    <definedName name="v_18_XHFO_H">Model!$AW$132</definedName>
    <definedName name="v_18_XHFO_H_P">Model!$AZ$132</definedName>
    <definedName name="v_18_XHFO_H_P_old">Model!$BB$132</definedName>
    <definedName name="v_18_XHFO_L">Model!$AX$132</definedName>
    <definedName name="v_18_XHFO_L_P">Model!$BA$132</definedName>
    <definedName name="v_18_XHFO_L_P_old">Model!$BC$132</definedName>
    <definedName name="v_18_XHFO_old">Model!$AY$132</definedName>
    <definedName name="v_18_XHMETO">Model!$W$132</definedName>
    <definedName name="v_18_XINORG">Model!$AP$132</definedName>
    <definedName name="v_18_XMEOLO">Model!$T$132</definedName>
    <definedName name="v_18_XN_B">Model!$AC$132</definedName>
    <definedName name="v_18_XN_Be">Model!$AD$132</definedName>
    <definedName name="v_18_XN_U">Model!$AE$132</definedName>
    <definedName name="v_18_XNITO">Model!$U$132</definedName>
    <definedName name="v_18_XOHO">Model!$R$132</definedName>
    <definedName name="v_18_XP_B">Model!$AI$132</definedName>
    <definedName name="v_18_XP_Be">Model!$AJ$132</definedName>
    <definedName name="v_18_XP_U">Model!$AK$132</definedName>
    <definedName name="v_18_XPFOA">Model!$BQ$132</definedName>
    <definedName name="v_18_XPFOS">Model!$BS$132</definedName>
    <definedName name="v_18_XPHA_GAO">Model!$O$132</definedName>
    <definedName name="v_18_XPHA_PAO">Model!$N$132</definedName>
    <definedName name="v_18_XPP">Model!$AG$132</definedName>
    <definedName name="v_18_XSTR">Model!$BN$132</definedName>
    <definedName name="v_18_XU">Model!$M$132</definedName>
    <definedName name="v_18_XVivi">Model!$BO$132</definedName>
    <definedName name="v_19_CB">Model!$H$133</definedName>
    <definedName name="v_19_CU">Model!$L$133</definedName>
    <definedName name="v_19_GCH4">Model!$BX$133</definedName>
    <definedName name="v_19_GCH4_atm">Model!$CD$133</definedName>
    <definedName name="v_19_GCO2">Model!$BW$133</definedName>
    <definedName name="v_19_GCO2_atm">Model!$CC$133</definedName>
    <definedName name="v_19_GH2">Model!$BY$133</definedName>
    <definedName name="v_19_GH2_atm">Model!$CE$133</definedName>
    <definedName name="v_19_GN2">Model!$CB$133</definedName>
    <definedName name="v_19_GN2_atm">Model!$CH$133</definedName>
    <definedName name="v_19_GNH3">Model!$CA$133</definedName>
    <definedName name="v_19_GNH3_atm">Model!$CG$133</definedName>
    <definedName name="v_19_GO2">Model!$BZ$133</definedName>
    <definedName name="v_19_GO2_atm">Model!$CF$133</definedName>
    <definedName name="v_19_SALPHA">Model!$BU$133</definedName>
    <definedName name="v_19_SAN">Model!$AR$133</definedName>
    <definedName name="v_19_SB">Model!$F$133</definedName>
    <definedName name="v_19_SCa">Model!$AS$133</definedName>
    <definedName name="v_19_SCAT">Model!$AQ$133</definedName>
    <definedName name="v_19_SCH4">Model!$AM$133</definedName>
    <definedName name="v_19_SCO2">Model!$AO$133</definedName>
    <definedName name="v_19_SFe2">Model!$AV$133</definedName>
    <definedName name="v_19_SH">Model!$BT$133</definedName>
    <definedName name="v_19_SH2">Model!$AN$133</definedName>
    <definedName name="v_19_SK">Model!$AU$133</definedName>
    <definedName name="v_19_SMEOL">Model!$G$133</definedName>
    <definedName name="v_19_SMg">Model!$AT$133</definedName>
    <definedName name="v_19_SN_B">Model!$AB$133</definedName>
    <definedName name="v_19_SN2">Model!$AA$133</definedName>
    <definedName name="v_19_SNHx">Model!$Y$133</definedName>
    <definedName name="v_19_SNOx">Model!$Z$133</definedName>
    <definedName name="v_19_SO2">Model!$AL$133</definedName>
    <definedName name="v_19_SORPswitch">Model!$BV$133</definedName>
    <definedName name="v_19_SP_B">Model!$AH$133</definedName>
    <definedName name="v_19_SPFOA">Model!$BP$133</definedName>
    <definedName name="v_19_SPFOS">Model!$BR$133</definedName>
    <definedName name="v_19_SPO4">Model!$AF$133</definedName>
    <definedName name="v_19_SU">Model!$K$133</definedName>
    <definedName name="v_19_SVFA">Model!$E$133</definedName>
    <definedName name="v_19_XACP">Model!$BL$133</definedName>
    <definedName name="v_19_XALGAE">Model!$X$133</definedName>
    <definedName name="v_19_XAMETO">Model!$V$133</definedName>
    <definedName name="v_19_XB">Model!$I$133</definedName>
    <definedName name="v_19_XB_e">Model!$J$133</definedName>
    <definedName name="v_19_XBSH">Model!$BM$133</definedName>
    <definedName name="v_19_XCaCO3">Model!$BK$133</definedName>
    <definedName name="v_19_XCASTO">Model!$S$133</definedName>
    <definedName name="v_19_XE">Model!$P$133</definedName>
    <definedName name="v_19_XE_ana">Model!$Q$133</definedName>
    <definedName name="v_19_XHAO_H">Model!$BD$133</definedName>
    <definedName name="v_19_XHAO_H_P">Model!$BG$133</definedName>
    <definedName name="v_19_XHAO_H_P_old">Model!$BI$133</definedName>
    <definedName name="v_19_XHAO_L">Model!$BE$133</definedName>
    <definedName name="v_19_XHAO_L_P">Model!$BH$133</definedName>
    <definedName name="v_19_XHAO_L_P_old">Model!$BJ$133</definedName>
    <definedName name="v_19_XHAO_old">Model!$BF$133</definedName>
    <definedName name="v_19_XHFO_H">Model!$AW$133</definedName>
    <definedName name="v_19_XHFO_H_P">Model!$AZ$133</definedName>
    <definedName name="v_19_XHFO_H_P_old">Model!$BB$133</definedName>
    <definedName name="v_19_XHFO_L">Model!$AX$133</definedName>
    <definedName name="v_19_XHFO_L_P">Model!$BA$133</definedName>
    <definedName name="v_19_XHFO_L_P_old">Model!$BC$133</definedName>
    <definedName name="v_19_XHFO_old">Model!$AY$133</definedName>
    <definedName name="v_19_XHMETO">Model!$W$133</definedName>
    <definedName name="v_19_XINORG">Model!$AP$133</definedName>
    <definedName name="v_19_XMEOLO">Model!$T$133</definedName>
    <definedName name="v_19_XN_B">Model!$AC$133</definedName>
    <definedName name="v_19_XN_Be">Model!$AD$133</definedName>
    <definedName name="v_19_XN_U">Model!$AE$133</definedName>
    <definedName name="v_19_XNITO">Model!$U$133</definedName>
    <definedName name="v_19_XOHO">Model!$R$133</definedName>
    <definedName name="v_19_XP_B">Model!$AI$133</definedName>
    <definedName name="v_19_XP_Be">Model!$AJ$133</definedName>
    <definedName name="v_19_XP_U">Model!$AK$133</definedName>
    <definedName name="v_19_XPFOA">Model!$BQ$133</definedName>
    <definedName name="v_19_XPFOS">Model!$BS$133</definedName>
    <definedName name="v_19_XPHA_GAO">Model!$O$133</definedName>
    <definedName name="v_19_XPHA_PAO">Model!$N$133</definedName>
    <definedName name="v_19_XPP">Model!$AG$133</definedName>
    <definedName name="v_19_XSTR">Model!$BN$133</definedName>
    <definedName name="v_19_XU">Model!$M$133</definedName>
    <definedName name="v_19_XVivi">Model!$BO$133</definedName>
    <definedName name="v_2_CB">Model!$H$116</definedName>
    <definedName name="v_2_CU">Model!$L$116</definedName>
    <definedName name="v_2_GCH4">Model!$BX$116</definedName>
    <definedName name="v_2_GCH4_atm">Model!$CD$116</definedName>
    <definedName name="v_2_GCO2">Model!$BW$116</definedName>
    <definedName name="v_2_GCO2_atm">Model!$CC$116</definedName>
    <definedName name="v_2_GH2">Model!$BY$116</definedName>
    <definedName name="v_2_GH2_atm">Model!$CE$116</definedName>
    <definedName name="v_2_GN2">Model!$CB$116</definedName>
    <definedName name="v_2_GN2_atm">Model!$CH$116</definedName>
    <definedName name="v_2_GNH3">Model!$CA$116</definedName>
    <definedName name="v_2_GNH3_atm">Model!$CG$116</definedName>
    <definedName name="v_2_GO2">Model!$BZ$116</definedName>
    <definedName name="v_2_GO2_atm">Model!$CF$116</definedName>
    <definedName name="v_2_SALPHA">Model!$BU$116</definedName>
    <definedName name="v_2_SAN">Model!$AR$116</definedName>
    <definedName name="v_2_SB">Model!$F$116</definedName>
    <definedName name="v_2_SCa">Model!$AS$116</definedName>
    <definedName name="v_2_SCAT">Model!$AQ$116</definedName>
    <definedName name="v_2_SCH4">Model!$AM$116</definedName>
    <definedName name="v_2_SCO2">Model!$AO$116</definedName>
    <definedName name="v_2_SFe2">Model!$AV$116</definedName>
    <definedName name="v_2_SH">Model!$BT$116</definedName>
    <definedName name="v_2_SH2">Model!$AN$116</definedName>
    <definedName name="v_2_SK">Model!$AU$116</definedName>
    <definedName name="v_2_SMEOL">Model!$G$116</definedName>
    <definedName name="v_2_SMg">Model!$AT$116</definedName>
    <definedName name="v_2_SN_B">Model!$AB$116</definedName>
    <definedName name="v_2_SN2">Model!$AA$116</definedName>
    <definedName name="v_2_SNHx">Model!$Y$116</definedName>
    <definedName name="v_2_SNOx">Model!$Z$116</definedName>
    <definedName name="v_2_SO2">Model!$AL$116</definedName>
    <definedName name="v_2_SORPswitch">Model!$BV$116</definedName>
    <definedName name="v_2_SP_B">Model!$AH$116</definedName>
    <definedName name="v_2_SPFOA">Model!$BP$116</definedName>
    <definedName name="v_2_SPFOS">Model!$BR$116</definedName>
    <definedName name="v_2_SPO4">Model!$AF$116</definedName>
    <definedName name="v_2_SU">Model!$K$116</definedName>
    <definedName name="v_2_SVFA">Model!$E$116</definedName>
    <definedName name="v_2_XACP">Model!$BL$116</definedName>
    <definedName name="v_2_XALGAE">Model!$X$116</definedName>
    <definedName name="v_2_XAMETO">Model!$V$116</definedName>
    <definedName name="v_2_XB">Model!$I$116</definedName>
    <definedName name="v_2_XB_e">Model!$J$116</definedName>
    <definedName name="v_2_XBSH">Model!$BM$116</definedName>
    <definedName name="v_2_XCaCO3">Model!$BK$116</definedName>
    <definedName name="v_2_XCASTO">Model!$S$116</definedName>
    <definedName name="v_2_XE">Model!$P$116</definedName>
    <definedName name="v_2_XE_ana">Model!$Q$116</definedName>
    <definedName name="v_2_XHAO_H">Model!$BD$116</definedName>
    <definedName name="v_2_XHAO_H_P">Model!$BG$116</definedName>
    <definedName name="v_2_XHAO_H_P_old">Model!$BI$116</definedName>
    <definedName name="v_2_XHAO_L">Model!$BE$116</definedName>
    <definedName name="v_2_XHAO_L_P">Model!$BH$116</definedName>
    <definedName name="v_2_XHAO_L_P_old">Model!$BJ$116</definedName>
    <definedName name="v_2_XHAO_old">Model!$BF$116</definedName>
    <definedName name="v_2_XHFO_H">Model!$AW$116</definedName>
    <definedName name="v_2_XHFO_H_P">Model!$AZ$116</definedName>
    <definedName name="v_2_XHFO_H_P_old">Model!$BB$116</definedName>
    <definedName name="v_2_XHFO_L">Model!$AX$116</definedName>
    <definedName name="v_2_XHFO_L_P">Model!$BA$116</definedName>
    <definedName name="v_2_XHFO_L_P_old">Model!$BC$116</definedName>
    <definedName name="v_2_XHFO_old">Model!$AY$116</definedName>
    <definedName name="v_2_XHMETO">Model!$W$116</definedName>
    <definedName name="v_2_XINORG">Model!$AP$116</definedName>
    <definedName name="v_2_XMEOLO">Model!$T$116</definedName>
    <definedName name="v_2_XN_B">Model!$AC$116</definedName>
    <definedName name="v_2_XN_Be">Model!$AD$116</definedName>
    <definedName name="v_2_XN_U">Model!$AE$116</definedName>
    <definedName name="v_2_XNITO">Model!$U$116</definedName>
    <definedName name="v_2_XOHO">Model!$R$116</definedName>
    <definedName name="v_2_XP_B">Model!$AI$116</definedName>
    <definedName name="v_2_XP_Be">Model!$AJ$116</definedName>
    <definedName name="v_2_XP_U">Model!$AK$116</definedName>
    <definedName name="v_2_XPFOA">Model!$BQ$116</definedName>
    <definedName name="v_2_XPFOS">Model!$BS$116</definedName>
    <definedName name="v_2_XPHA_GAO">Model!$O$116</definedName>
    <definedName name="v_2_XPHA_PAO">Model!$N$116</definedName>
    <definedName name="v_2_XPP">Model!$AG$116</definedName>
    <definedName name="v_2_XSTR">Model!$BN$116</definedName>
    <definedName name="v_2_XU">Model!$M$116</definedName>
    <definedName name="v_2_XVivi">Model!$BO$116</definedName>
    <definedName name="v_20_CB">Model!$H$134</definedName>
    <definedName name="v_20_CU">Model!$L$134</definedName>
    <definedName name="v_20_GCH4">Model!$BX$134</definedName>
    <definedName name="v_20_GCH4_atm">Model!$CD$134</definedName>
    <definedName name="v_20_GCO2">Model!$BW$134</definedName>
    <definedName name="v_20_GCO2_atm">Model!$CC$134</definedName>
    <definedName name="v_20_GH2">Model!$BY$134</definedName>
    <definedName name="v_20_GH2_atm">Model!$CE$134</definedName>
    <definedName name="v_20_GN2">Model!$CB$134</definedName>
    <definedName name="v_20_GN2_atm">Model!$CH$134</definedName>
    <definedName name="v_20_GNH3">Model!$CA$134</definedName>
    <definedName name="v_20_GNH3_atm">Model!$CG$134</definedName>
    <definedName name="v_20_GO2">Model!$BZ$134</definedName>
    <definedName name="v_20_GO2_atm">Model!$CF$134</definedName>
    <definedName name="v_20_SALPHA">Model!$BU$134</definedName>
    <definedName name="v_20_SAN">Model!$AR$134</definedName>
    <definedName name="v_20_SB">Model!$F$134</definedName>
    <definedName name="v_20_SCa">Model!$AS$134</definedName>
    <definedName name="v_20_SCAT">Model!$AQ$134</definedName>
    <definedName name="v_20_SCH4">Model!$AM$134</definedName>
    <definedName name="v_20_SCO2">Model!$AO$134</definedName>
    <definedName name="v_20_SFe2">Model!$AV$134</definedName>
    <definedName name="v_20_SH">Model!$BT$134</definedName>
    <definedName name="v_20_SH2">Model!$AN$134</definedName>
    <definedName name="v_20_SK">Model!$AU$134</definedName>
    <definedName name="v_20_SMEOL">Model!$G$134</definedName>
    <definedName name="v_20_SMg">Model!$AT$134</definedName>
    <definedName name="v_20_SN_B">Model!$AB$134</definedName>
    <definedName name="v_20_SN2">Model!$AA$134</definedName>
    <definedName name="v_20_SNHx">Model!$Y$134</definedName>
    <definedName name="v_20_SNOx">Model!$Z$134</definedName>
    <definedName name="v_20_SO2">Model!$AL$134</definedName>
    <definedName name="v_20_SORPswitch">Model!$BV$134</definedName>
    <definedName name="v_20_SP_B">Model!$AH$134</definedName>
    <definedName name="v_20_SPFOA">Model!$BP$134</definedName>
    <definedName name="v_20_SPFOS">Model!$BR$134</definedName>
    <definedName name="v_20_SPO4">Model!$AF$134</definedName>
    <definedName name="v_20_SU">Model!$K$134</definedName>
    <definedName name="v_20_SVFA">Model!$E$134</definedName>
    <definedName name="v_20_XACP">Model!$BL$134</definedName>
    <definedName name="v_20_XALGAE">Model!$X$134</definedName>
    <definedName name="v_20_XAMETO">Model!$V$134</definedName>
    <definedName name="v_20_XB">Model!$I$134</definedName>
    <definedName name="v_20_XB_e">Model!$J$134</definedName>
    <definedName name="v_20_XBSH">Model!$BM$134</definedName>
    <definedName name="v_20_XCaCO3">Model!$BK$134</definedName>
    <definedName name="v_20_XCASTO">Model!$S$134</definedName>
    <definedName name="v_20_XE">Model!$P$134</definedName>
    <definedName name="v_20_XE_ana">Model!$Q$134</definedName>
    <definedName name="v_20_XHAO_H">Model!$BD$134</definedName>
    <definedName name="v_20_XHAO_H_P">Model!$BG$134</definedName>
    <definedName name="v_20_XHAO_H_P_old">Model!$BI$134</definedName>
    <definedName name="v_20_XHAO_L">Model!$BE$134</definedName>
    <definedName name="v_20_XHAO_L_P">Model!$BH$134</definedName>
    <definedName name="v_20_XHAO_L_P_old">Model!$BJ$134</definedName>
    <definedName name="v_20_XHAO_old">Model!$BF$134</definedName>
    <definedName name="v_20_XHFO_H">Model!$AW$134</definedName>
    <definedName name="v_20_XHFO_H_P">Model!$AZ$134</definedName>
    <definedName name="v_20_XHFO_H_P_old">Model!$BB$134</definedName>
    <definedName name="v_20_XHFO_L">Model!$AX$134</definedName>
    <definedName name="v_20_XHFO_L_P">Model!$BA$134</definedName>
    <definedName name="v_20_XHFO_L_P_old">Model!$BC$134</definedName>
    <definedName name="v_20_XHFO_old">Model!$AY$134</definedName>
    <definedName name="v_20_XHMETO">Model!$W$134</definedName>
    <definedName name="v_20_XINORG">Model!$AP$134</definedName>
    <definedName name="v_20_XMEOLO">Model!$T$134</definedName>
    <definedName name="v_20_XN_B">Model!$AC$134</definedName>
    <definedName name="v_20_XN_Be">Model!$AD$134</definedName>
    <definedName name="v_20_XN_U">Model!$AE$134</definedName>
    <definedName name="v_20_XNITO">Model!$U$134</definedName>
    <definedName name="v_20_XOHO">Model!$R$134</definedName>
    <definedName name="v_20_XP_B">Model!$AI$134</definedName>
    <definedName name="v_20_XP_Be">Model!$AJ$134</definedName>
    <definedName name="v_20_XP_U">Model!$AK$134</definedName>
    <definedName name="v_20_XPFOA">Model!$BQ$134</definedName>
    <definedName name="v_20_XPFOS">Model!$BS$134</definedName>
    <definedName name="v_20_XPHA_GAO">Model!$O$134</definedName>
    <definedName name="v_20_XPHA_PAO">Model!$N$134</definedName>
    <definedName name="v_20_XPP">Model!$AG$134</definedName>
    <definedName name="v_20_XSTR">Model!$BN$134</definedName>
    <definedName name="v_20_XU">Model!$M$134</definedName>
    <definedName name="v_20_XVivi">Model!$BO$134</definedName>
    <definedName name="v_21_CB">Model!$H$135</definedName>
    <definedName name="v_21_CU">Model!$L$135</definedName>
    <definedName name="v_21_GCH4">Model!$BX$135</definedName>
    <definedName name="v_21_GCH4_atm">Model!$CD$135</definedName>
    <definedName name="v_21_GCO2">Model!$BW$135</definedName>
    <definedName name="v_21_GCO2_atm">Model!$CC$135</definedName>
    <definedName name="v_21_GH2">Model!$BY$135</definedName>
    <definedName name="v_21_GH2_atm">Model!$CE$135</definedName>
    <definedName name="v_21_GN2">Model!$CB$135</definedName>
    <definedName name="v_21_GN2_atm">Model!$CH$135</definedName>
    <definedName name="v_21_GNH3">Model!$CA$135</definedName>
    <definedName name="v_21_GNH3_atm">Model!$CG$135</definedName>
    <definedName name="v_21_GO2">Model!$BZ$135</definedName>
    <definedName name="v_21_GO2_atm">Model!$CF$135</definedName>
    <definedName name="v_21_SALPHA">Model!$BU$135</definedName>
    <definedName name="v_21_SAN">Model!$AR$135</definedName>
    <definedName name="v_21_SB">Model!$F$135</definedName>
    <definedName name="v_21_SCa">Model!$AS$135</definedName>
    <definedName name="v_21_SCAT">Model!$AQ$135</definedName>
    <definedName name="v_21_SCH4">Model!$AM$135</definedName>
    <definedName name="v_21_SCO2">Model!$AO$135</definedName>
    <definedName name="v_21_SFe2">Model!$AV$135</definedName>
    <definedName name="v_21_SH">Model!$BT$135</definedName>
    <definedName name="v_21_SH2">Model!$AN$135</definedName>
    <definedName name="v_21_SK">Model!$AU$135</definedName>
    <definedName name="v_21_SMEOL">Model!$G$135</definedName>
    <definedName name="v_21_SMg">Model!$AT$135</definedName>
    <definedName name="v_21_SN_B">Model!$AB$135</definedName>
    <definedName name="v_21_SN2">Model!$AA$135</definedName>
    <definedName name="v_21_SNHx">Model!$Y$135</definedName>
    <definedName name="v_21_SNOx">Model!$Z$135</definedName>
    <definedName name="v_21_SO2">Model!$AL$135</definedName>
    <definedName name="v_21_SORPswitch">Model!$BV$135</definedName>
    <definedName name="v_21_SP_B">Model!$AH$135</definedName>
    <definedName name="v_21_SPFOA">Model!$BP$135</definedName>
    <definedName name="v_21_SPFOS">Model!$BR$135</definedName>
    <definedName name="v_21_SPO4">Model!$AF$135</definedName>
    <definedName name="v_21_SU">Model!$K$135</definedName>
    <definedName name="v_21_SVFA">Model!$E$135</definedName>
    <definedName name="v_21_XACP">Model!$BL$135</definedName>
    <definedName name="v_21_XALGAE">Model!$X$135</definedName>
    <definedName name="v_21_XAMETO">Model!$V$135</definedName>
    <definedName name="v_21_XB">Model!$I$135</definedName>
    <definedName name="v_21_XB_e">Model!$J$135</definedName>
    <definedName name="v_21_XBSH">Model!$BM$135</definedName>
    <definedName name="v_21_XCaCO3">Model!$BK$135</definedName>
    <definedName name="v_21_XCASTO">Model!$S$135</definedName>
    <definedName name="v_21_XE">Model!$P$135</definedName>
    <definedName name="v_21_XE_ana">Model!$Q$135</definedName>
    <definedName name="v_21_XHAO_H">Model!$BD$135</definedName>
    <definedName name="v_21_XHAO_H_P">Model!$BG$135</definedName>
    <definedName name="v_21_XHAO_H_P_old">Model!$BI$135</definedName>
    <definedName name="v_21_XHAO_L">Model!$BE$135</definedName>
    <definedName name="v_21_XHAO_L_P">Model!$BH$135</definedName>
    <definedName name="v_21_XHAO_L_P_old">Model!$BJ$135</definedName>
    <definedName name="v_21_XHAO_old">Model!$BF$135</definedName>
    <definedName name="v_21_XHFO_H">Model!$AW$135</definedName>
    <definedName name="v_21_XHFO_H_P">Model!$AZ$135</definedName>
    <definedName name="v_21_XHFO_H_P_old">Model!$BB$135</definedName>
    <definedName name="v_21_XHFO_L">Model!$AX$135</definedName>
    <definedName name="v_21_XHFO_L_P">Model!$BA$135</definedName>
    <definedName name="v_21_XHFO_L_P_old">Model!$BC$135</definedName>
    <definedName name="v_21_XHFO_old">Model!$AY$135</definedName>
    <definedName name="v_21_XHMETO">Model!$W$135</definedName>
    <definedName name="v_21_XINORG">Model!$AP$135</definedName>
    <definedName name="v_21_XMEOLO">Model!$T$135</definedName>
    <definedName name="v_21_XN_B">Model!$AC$135</definedName>
    <definedName name="v_21_XN_Be">Model!$AD$135</definedName>
    <definedName name="v_21_XN_U">Model!$AE$135</definedName>
    <definedName name="v_21_XNITO">Model!$U$135</definedName>
    <definedName name="v_21_XOHO">Model!$R$135</definedName>
    <definedName name="v_21_XP_B">Model!$AI$135</definedName>
    <definedName name="v_21_XP_Be">Model!$AJ$135</definedName>
    <definedName name="v_21_XP_U">Model!$AK$135</definedName>
    <definedName name="v_21_XPFOA">Model!$BQ$135</definedName>
    <definedName name="v_21_XPFOS">Model!$BS$135</definedName>
    <definedName name="v_21_XPHA_GAO">Model!$O$135</definedName>
    <definedName name="v_21_XPHA_PAO">Model!$N$135</definedName>
    <definedName name="v_21_XPP">Model!$AG$135</definedName>
    <definedName name="v_21_XSTR">Model!$BN$135</definedName>
    <definedName name="v_21_XU">Model!$M$135</definedName>
    <definedName name="v_21_XVivi">Model!$BO$135</definedName>
    <definedName name="v_22_CB">Model!$H$136</definedName>
    <definedName name="v_22_CU">Model!$L$136</definedName>
    <definedName name="v_22_GCH4">Model!$BX$136</definedName>
    <definedName name="v_22_GCH4_atm">Model!$CD$136</definedName>
    <definedName name="v_22_GCO2">Model!$BW$136</definedName>
    <definedName name="v_22_GCO2_atm">Model!$CC$136</definedName>
    <definedName name="v_22_GH2">Model!$BY$136</definedName>
    <definedName name="v_22_GH2_atm">Model!$CE$136</definedName>
    <definedName name="v_22_GN2">Model!$CB$136</definedName>
    <definedName name="v_22_GN2_atm">Model!$CH$136</definedName>
    <definedName name="v_22_GNH3">Model!$CA$136</definedName>
    <definedName name="v_22_GNH3_atm">Model!$CG$136</definedName>
    <definedName name="v_22_GO2">Model!$BZ$136</definedName>
    <definedName name="v_22_GO2_atm">Model!$CF$136</definedName>
    <definedName name="v_22_SALPHA">Model!$BU$136</definedName>
    <definedName name="v_22_SAN">Model!$AR$136</definedName>
    <definedName name="v_22_SB">Model!$F$136</definedName>
    <definedName name="v_22_SCa">Model!$AS$136</definedName>
    <definedName name="v_22_SCAT">Model!$AQ$136</definedName>
    <definedName name="v_22_SCH4">Model!$AM$136</definedName>
    <definedName name="v_22_SCO2">Model!$AO$136</definedName>
    <definedName name="v_22_SFe2">Model!$AV$136</definedName>
    <definedName name="v_22_SH">Model!$BT$136</definedName>
    <definedName name="v_22_SH2">Model!$AN$136</definedName>
    <definedName name="v_22_SK">Model!$AU$136</definedName>
    <definedName name="v_22_SMEOL">Model!$G$136</definedName>
    <definedName name="v_22_SMg">Model!$AT$136</definedName>
    <definedName name="v_22_SN_B">Model!$AB$136</definedName>
    <definedName name="v_22_SN2">Model!$AA$136</definedName>
    <definedName name="v_22_SNHx">Model!$Y$136</definedName>
    <definedName name="v_22_SNOx">Model!$Z$136</definedName>
    <definedName name="v_22_SO2">Model!$AL$136</definedName>
    <definedName name="v_22_SORPswitch">Model!$BV$136</definedName>
    <definedName name="v_22_SP_B">Model!$AH$136</definedName>
    <definedName name="v_22_SPFOA">Model!$BP$136</definedName>
    <definedName name="v_22_SPFOS">Model!$BR$136</definedName>
    <definedName name="v_22_SPO4">Model!$AF$136</definedName>
    <definedName name="v_22_SU">Model!$K$136</definedName>
    <definedName name="v_22_SVFA">Model!$E$136</definedName>
    <definedName name="v_22_XACP">Model!$BL$136</definedName>
    <definedName name="v_22_XALGAE">Model!$X$136</definedName>
    <definedName name="v_22_XAMETO">Model!$V$136</definedName>
    <definedName name="v_22_XB">Model!$I$136</definedName>
    <definedName name="v_22_XB_e">Model!$J$136</definedName>
    <definedName name="v_22_XBSH">Model!$BM$136</definedName>
    <definedName name="v_22_XCaCO3">Model!$BK$136</definedName>
    <definedName name="v_22_XCASTO">Model!$S$136</definedName>
    <definedName name="v_22_XE">Model!$P$136</definedName>
    <definedName name="v_22_XE_ana">Model!$Q$136</definedName>
    <definedName name="v_22_XHAO_H">Model!$BD$136</definedName>
    <definedName name="v_22_XHAO_H_P">Model!$BG$136</definedName>
    <definedName name="v_22_XHAO_H_P_old">Model!$BI$136</definedName>
    <definedName name="v_22_XHAO_L">Model!$BE$136</definedName>
    <definedName name="v_22_XHAO_L_P">Model!$BH$136</definedName>
    <definedName name="v_22_XHAO_L_P_old">Model!$BJ$136</definedName>
    <definedName name="v_22_XHAO_old">Model!$BF$136</definedName>
    <definedName name="v_22_XHFO_H">Model!$AW$136</definedName>
    <definedName name="v_22_XHFO_H_P">Model!$AZ$136</definedName>
    <definedName name="v_22_XHFO_H_P_old">Model!$BB$136</definedName>
    <definedName name="v_22_XHFO_L">Model!$AX$136</definedName>
    <definedName name="v_22_XHFO_L_P">Model!$BA$136</definedName>
    <definedName name="v_22_XHFO_L_P_old">Model!$BC$136</definedName>
    <definedName name="v_22_XHFO_old">Model!$AY$136</definedName>
    <definedName name="v_22_XHMETO">Model!$W$136</definedName>
    <definedName name="v_22_XINORG">Model!$AP$136</definedName>
    <definedName name="v_22_XMEOLO">Model!$T$136</definedName>
    <definedName name="v_22_XN_B">Model!$AC$136</definedName>
    <definedName name="v_22_XN_Be">Model!$AD$136</definedName>
    <definedName name="v_22_XN_U">Model!$AE$136</definedName>
    <definedName name="v_22_XNITO">Model!$U$136</definedName>
    <definedName name="v_22_XOHO">Model!$R$136</definedName>
    <definedName name="v_22_XP_B">Model!$AI$136</definedName>
    <definedName name="v_22_XP_Be">Model!$AJ$136</definedName>
    <definedName name="v_22_XP_U">Model!$AK$136</definedName>
    <definedName name="v_22_XPFOA">Model!$BQ$136</definedName>
    <definedName name="v_22_XPFOS">Model!$BS$136</definedName>
    <definedName name="v_22_XPHA_GAO">Model!$O$136</definedName>
    <definedName name="v_22_XPHA_PAO">Model!$N$136</definedName>
    <definedName name="v_22_XPP">Model!$AG$136</definedName>
    <definedName name="v_22_XSTR">Model!$BN$136</definedName>
    <definedName name="v_22_XU">Model!$M$136</definedName>
    <definedName name="v_22_XVivi">Model!$BO$136</definedName>
    <definedName name="v_23_CB">Model!$H$137</definedName>
    <definedName name="v_23_CU">Model!$L$137</definedName>
    <definedName name="v_23_GCH4">Model!$BX$137</definedName>
    <definedName name="v_23_GCH4_atm">Model!$CD$137</definedName>
    <definedName name="v_23_GCO2">Model!$BW$137</definedName>
    <definedName name="v_23_GCO2_atm">Model!$CC$137</definedName>
    <definedName name="v_23_GH2">Model!$BY$137</definedName>
    <definedName name="v_23_GH2_atm">Model!$CE$137</definedName>
    <definedName name="v_23_GN2">Model!$CB$137</definedName>
    <definedName name="v_23_GN2_atm">Model!$CH$137</definedName>
    <definedName name="v_23_GNH3">Model!$CA$137</definedName>
    <definedName name="v_23_GNH3_atm">Model!$CG$137</definedName>
    <definedName name="v_23_GO2">Model!$BZ$137</definedName>
    <definedName name="v_23_GO2_atm">Model!$CF$137</definedName>
    <definedName name="v_23_SALPHA">Model!$BU$137</definedName>
    <definedName name="v_23_SAN">Model!$AR$137</definedName>
    <definedName name="v_23_SB">Model!$F$137</definedName>
    <definedName name="v_23_SCa">Model!$AS$137</definedName>
    <definedName name="v_23_SCAT">Model!$AQ$137</definedName>
    <definedName name="v_23_SCH4">Model!$AM$137</definedName>
    <definedName name="v_23_SCO2">Model!$AO$137</definedName>
    <definedName name="v_23_SFe2">Model!$AV$137</definedName>
    <definedName name="v_23_SH">Model!$BT$137</definedName>
    <definedName name="v_23_SH2">Model!$AN$137</definedName>
    <definedName name="v_23_SK">Model!$AU$137</definedName>
    <definedName name="v_23_SMEOL">Model!$G$137</definedName>
    <definedName name="v_23_SMg">Model!$AT$137</definedName>
    <definedName name="v_23_SN_B">Model!$AB$137</definedName>
    <definedName name="v_23_SN2">Model!$AA$137</definedName>
    <definedName name="v_23_SNHx">Model!$Y$137</definedName>
    <definedName name="v_23_SNOx">Model!$Z$137</definedName>
    <definedName name="v_23_SO2">Model!$AL$137</definedName>
    <definedName name="v_23_SORPswitch">Model!$BV$137</definedName>
    <definedName name="v_23_SP_B">Model!$AH$137</definedName>
    <definedName name="v_23_SPFOA">Model!$BP$137</definedName>
    <definedName name="v_23_SPFOS">Model!$BR$137</definedName>
    <definedName name="v_23_SPO4">Model!$AF$137</definedName>
    <definedName name="v_23_SU">Model!$K$137</definedName>
    <definedName name="v_23_SVFA">Model!$E$137</definedName>
    <definedName name="v_23_XACP">Model!$BL$137</definedName>
    <definedName name="v_23_XALGAE">Model!$X$137</definedName>
    <definedName name="v_23_XAMETO">Model!$V$137</definedName>
    <definedName name="v_23_XB">Model!$I$137</definedName>
    <definedName name="v_23_XB_e">Model!$J$137</definedName>
    <definedName name="v_23_XBSH">Model!$BM$137</definedName>
    <definedName name="v_23_XCaCO3">Model!$BK$137</definedName>
    <definedName name="v_23_XCASTO">Model!$S$137</definedName>
    <definedName name="v_23_XE">Model!$P$137</definedName>
    <definedName name="v_23_XE_ana">Model!$Q$137</definedName>
    <definedName name="v_23_XHAO_H">Model!$BD$137</definedName>
    <definedName name="v_23_XHAO_H_P">Model!$BG$137</definedName>
    <definedName name="v_23_XHAO_H_P_old">Model!$BI$137</definedName>
    <definedName name="v_23_XHAO_L">Model!$BE$137</definedName>
    <definedName name="v_23_XHAO_L_P">Model!$BH$137</definedName>
    <definedName name="v_23_XHAO_L_P_old">Model!$BJ$137</definedName>
    <definedName name="v_23_XHAO_old">Model!$BF$137</definedName>
    <definedName name="v_23_XHFO_H">Model!$AW$137</definedName>
    <definedName name="v_23_XHFO_H_P">Model!$AZ$137</definedName>
    <definedName name="v_23_XHFO_H_P_old">Model!$BB$137</definedName>
    <definedName name="v_23_XHFO_L">Model!$AX$137</definedName>
    <definedName name="v_23_XHFO_L_P">Model!$BA$137</definedName>
    <definedName name="v_23_XHFO_L_P_old">Model!$BC$137</definedName>
    <definedName name="v_23_XHFO_old">Model!$AY$137</definedName>
    <definedName name="v_23_XHMETO">Model!$W$137</definedName>
    <definedName name="v_23_XINORG">Model!$AP$137</definedName>
    <definedName name="v_23_XMEOLO">Model!$T$137</definedName>
    <definedName name="v_23_XN_B">Model!$AC$137</definedName>
    <definedName name="v_23_XN_Be">Model!$AD$137</definedName>
    <definedName name="v_23_XN_U">Model!$AE$137</definedName>
    <definedName name="v_23_XNITO">Model!$U$137</definedName>
    <definedName name="v_23_XOHO">Model!$R$137</definedName>
    <definedName name="v_23_XP_B">Model!$AI$137</definedName>
    <definedName name="v_23_XP_Be">Model!$AJ$137</definedName>
    <definedName name="v_23_XP_U">Model!$AK$137</definedName>
    <definedName name="v_23_XPFOA">Model!$BQ$137</definedName>
    <definedName name="v_23_XPFOS">Model!$BS$137</definedName>
    <definedName name="v_23_XPHA_GAO">Model!$O$137</definedName>
    <definedName name="v_23_XPHA_PAO">Model!$N$137</definedName>
    <definedName name="v_23_XPP">Model!$AG$137</definedName>
    <definedName name="v_23_XSTR">Model!$BN$137</definedName>
    <definedName name="v_23_XU">Model!$M$137</definedName>
    <definedName name="v_23_XVivi">Model!$BO$137</definedName>
    <definedName name="v_24_CB">Model!$H$138</definedName>
    <definedName name="v_24_CU">Model!$L$138</definedName>
    <definedName name="v_24_GCH4">Model!$BX$138</definedName>
    <definedName name="v_24_GCH4_atm">Model!$CD$138</definedName>
    <definedName name="v_24_GCO2">Model!$BW$138</definedName>
    <definedName name="v_24_GCO2_atm">Model!$CC$138</definedName>
    <definedName name="v_24_GH2">Model!$BY$138</definedName>
    <definedName name="v_24_GH2_atm">Model!$CE$138</definedName>
    <definedName name="v_24_GN2">Model!$CB$138</definedName>
    <definedName name="v_24_GN2_atm">Model!$CH$138</definedName>
    <definedName name="v_24_GNH3">Model!$CA$138</definedName>
    <definedName name="v_24_GNH3_atm">Model!$CG$138</definedName>
    <definedName name="v_24_GO2">Model!$BZ$138</definedName>
    <definedName name="v_24_GO2_atm">Model!$CF$138</definedName>
    <definedName name="v_24_SALPHA">Model!$BU$138</definedName>
    <definedName name="v_24_SAN">Model!$AR$138</definedName>
    <definedName name="v_24_SB">Model!$F$138</definedName>
    <definedName name="v_24_SCa">Model!$AS$138</definedName>
    <definedName name="v_24_SCAT">Model!$AQ$138</definedName>
    <definedName name="v_24_SCH4">Model!$AM$138</definedName>
    <definedName name="v_24_SCO2">Model!$AO$138</definedName>
    <definedName name="v_24_SFe2">Model!$AV$138</definedName>
    <definedName name="v_24_SH">Model!$BT$138</definedName>
    <definedName name="v_24_SH2">Model!$AN$138</definedName>
    <definedName name="v_24_SK">Model!$AU$138</definedName>
    <definedName name="v_24_SMEOL">Model!$G$138</definedName>
    <definedName name="v_24_SMg">Model!$AT$138</definedName>
    <definedName name="v_24_SN_B">Model!$AB$138</definedName>
    <definedName name="v_24_SN2">Model!$AA$138</definedName>
    <definedName name="v_24_SNHx">Model!$Y$138</definedName>
    <definedName name="v_24_SNOx">Model!$Z$138</definedName>
    <definedName name="v_24_SO2">Model!$AL$138</definedName>
    <definedName name="v_24_SORPswitch">Model!$BV$138</definedName>
    <definedName name="v_24_SP_B">Model!$AH$138</definedName>
    <definedName name="v_24_SPFOA">Model!$BP$138</definedName>
    <definedName name="v_24_SPFOS">Model!$BR$138</definedName>
    <definedName name="v_24_SPO4">Model!$AF$138</definedName>
    <definedName name="v_24_SU">Model!$K$138</definedName>
    <definedName name="v_24_SVFA">Model!$E$138</definedName>
    <definedName name="v_24_XACP">Model!$BL$138</definedName>
    <definedName name="v_24_XALGAE">Model!$X$138</definedName>
    <definedName name="v_24_XAMETO">Model!$V$138</definedName>
    <definedName name="v_24_XB">Model!$I$138</definedName>
    <definedName name="v_24_XB_e">Model!$J$138</definedName>
    <definedName name="v_24_XBSH">Model!$BM$138</definedName>
    <definedName name="v_24_XCaCO3">Model!$BK$138</definedName>
    <definedName name="v_24_XCASTO">Model!$S$138</definedName>
    <definedName name="v_24_XE">Model!$P$138</definedName>
    <definedName name="v_24_XE_ana">Model!$Q$138</definedName>
    <definedName name="v_24_XHAO_H">Model!$BD$138</definedName>
    <definedName name="v_24_XHAO_H_P">Model!$BG$138</definedName>
    <definedName name="v_24_XHAO_H_P_old">Model!$BI$138</definedName>
    <definedName name="v_24_XHAO_L">Model!$BE$138</definedName>
    <definedName name="v_24_XHAO_L_P">Model!$BH$138</definedName>
    <definedName name="v_24_XHAO_L_P_old">Model!$BJ$138</definedName>
    <definedName name="v_24_XHAO_old">Model!$BF$138</definedName>
    <definedName name="v_24_XHFO_H">Model!$AW$138</definedName>
    <definedName name="v_24_XHFO_H_P">Model!$AZ$138</definedName>
    <definedName name="v_24_XHFO_H_P_old">Model!$BB$138</definedName>
    <definedName name="v_24_XHFO_L">Model!$AX$138</definedName>
    <definedName name="v_24_XHFO_L_P">Model!$BA$138</definedName>
    <definedName name="v_24_XHFO_L_P_old">Model!$BC$138</definedName>
    <definedName name="v_24_XHFO_old">Model!$AY$138</definedName>
    <definedName name="v_24_XHMETO">Model!$W$138</definedName>
    <definedName name="v_24_XINORG">Model!$AP$138</definedName>
    <definedName name="v_24_XMEOLO">Model!$T$138</definedName>
    <definedName name="v_24_XN_B">Model!$AC$138</definedName>
    <definedName name="v_24_XN_Be">Model!$AD$138</definedName>
    <definedName name="v_24_XN_U">Model!$AE$138</definedName>
    <definedName name="v_24_XNITO">Model!$U$138</definedName>
    <definedName name="v_24_XOHO">Model!$R$138</definedName>
    <definedName name="v_24_XP_B">Model!$AI$138</definedName>
    <definedName name="v_24_XP_Be">Model!$AJ$138</definedName>
    <definedName name="v_24_XP_U">Model!$AK$138</definedName>
    <definedName name="v_24_XPFOA">Model!$BQ$138</definedName>
    <definedName name="v_24_XPFOS">Model!$BS$138</definedName>
    <definedName name="v_24_XPHA_GAO">Model!$O$138</definedName>
    <definedName name="v_24_XPHA_PAO">Model!$N$138</definedName>
    <definedName name="v_24_XPP">Model!$AG$138</definedName>
    <definedName name="v_24_XSTR">Model!$BN$138</definedName>
    <definedName name="v_24_XU">Model!$M$138</definedName>
    <definedName name="v_24_XVivi">Model!$BO$138</definedName>
    <definedName name="v_25_CB">Model!$H$139</definedName>
    <definedName name="v_25_CU">Model!$L$139</definedName>
    <definedName name="v_25_GCH4">Model!$BX$139</definedName>
    <definedName name="v_25_GCH4_atm">Model!$CD$139</definedName>
    <definedName name="v_25_GCO2">Model!$BW$139</definedName>
    <definedName name="v_25_GCO2_atm">Model!$CC$139</definedName>
    <definedName name="v_25_GH2">Model!$BY$139</definedName>
    <definedName name="v_25_GH2_atm">Model!$CE$139</definedName>
    <definedName name="v_25_GN2">Model!$CB$139</definedName>
    <definedName name="v_25_GN2_atm">Model!$CH$139</definedName>
    <definedName name="v_25_GNH3">Model!$CA$139</definedName>
    <definedName name="v_25_GNH3_atm">Model!$CG$139</definedName>
    <definedName name="v_25_GO2">Model!$BZ$139</definedName>
    <definedName name="v_25_GO2_atm">Model!$CF$139</definedName>
    <definedName name="v_25_SALPHA">Model!$BU$139</definedName>
    <definedName name="v_25_SAN">Model!$AR$139</definedName>
    <definedName name="v_25_SB">Model!$F$139</definedName>
    <definedName name="v_25_SCa">Model!$AS$139</definedName>
    <definedName name="v_25_SCAT">Model!$AQ$139</definedName>
    <definedName name="v_25_SCH4">Model!$AM$139</definedName>
    <definedName name="v_25_SCO2">Model!$AO$139</definedName>
    <definedName name="v_25_SFe2">Model!$AV$139</definedName>
    <definedName name="v_25_SH">Model!$BT$139</definedName>
    <definedName name="v_25_SH2">Model!$AN$139</definedName>
    <definedName name="v_25_SK">Model!$AU$139</definedName>
    <definedName name="v_25_SMEOL">Model!$G$139</definedName>
    <definedName name="v_25_SMg">Model!$AT$139</definedName>
    <definedName name="v_25_SN_B">Model!$AB$139</definedName>
    <definedName name="v_25_SN2">Model!$AA$139</definedName>
    <definedName name="v_25_SNHx">Model!$Y$139</definedName>
    <definedName name="v_25_SNOx">Model!$Z$139</definedName>
    <definedName name="v_25_SO2">Model!$AL$139</definedName>
    <definedName name="v_25_SORPswitch">Model!$BV$139</definedName>
    <definedName name="v_25_SP_B">Model!$AH$139</definedName>
    <definedName name="v_25_SPFOA">Model!$BP$139</definedName>
    <definedName name="v_25_SPFOS">Model!$BR$139</definedName>
    <definedName name="v_25_SPO4">Model!$AF$139</definedName>
    <definedName name="v_25_SU">Model!$K$139</definedName>
    <definedName name="v_25_SVFA">Model!$E$139</definedName>
    <definedName name="v_25_XACP">Model!$BL$139</definedName>
    <definedName name="v_25_XALGAE">Model!$X$139</definedName>
    <definedName name="v_25_XAMETO">Model!$V$139</definedName>
    <definedName name="v_25_XB">Model!$I$139</definedName>
    <definedName name="v_25_XB_e">Model!$J$139</definedName>
    <definedName name="v_25_XBSH">Model!$BM$139</definedName>
    <definedName name="v_25_XCaCO3">Model!$BK$139</definedName>
    <definedName name="v_25_XCASTO">Model!$S$139</definedName>
    <definedName name="v_25_XE">Model!$P$139</definedName>
    <definedName name="v_25_XE_ana">Model!$Q$139</definedName>
    <definedName name="v_25_XHAO_H">Model!$BD$139</definedName>
    <definedName name="v_25_XHAO_H_P">Model!$BG$139</definedName>
    <definedName name="v_25_XHAO_H_P_old">Model!$BI$139</definedName>
    <definedName name="v_25_XHAO_L">Model!$BE$139</definedName>
    <definedName name="v_25_XHAO_L_P">Model!$BH$139</definedName>
    <definedName name="v_25_XHAO_L_P_old">Model!$BJ$139</definedName>
    <definedName name="v_25_XHAO_old">Model!$BF$139</definedName>
    <definedName name="v_25_XHFO_H">Model!$AW$139</definedName>
    <definedName name="v_25_XHFO_H_P">Model!$AZ$139</definedName>
    <definedName name="v_25_XHFO_H_P_old">Model!$BB$139</definedName>
    <definedName name="v_25_XHFO_L">Model!$AX$139</definedName>
    <definedName name="v_25_XHFO_L_P">Model!$BA$139</definedName>
    <definedName name="v_25_XHFO_L_P_old">Model!$BC$139</definedName>
    <definedName name="v_25_XHFO_old">Model!$AY$139</definedName>
    <definedName name="v_25_XHMETO">Model!$W$139</definedName>
    <definedName name="v_25_XINORG">Model!$AP$139</definedName>
    <definedName name="v_25_XMEOLO">Model!$T$139</definedName>
    <definedName name="v_25_XN_B">Model!$AC$139</definedName>
    <definedName name="v_25_XN_Be">Model!$AD$139</definedName>
    <definedName name="v_25_XN_U">Model!$AE$139</definedName>
    <definedName name="v_25_XNITO">Model!$U$139</definedName>
    <definedName name="v_25_XOHO">Model!$R$139</definedName>
    <definedName name="v_25_XP_B">Model!$AI$139</definedName>
    <definedName name="v_25_XP_Be">Model!$AJ$139</definedName>
    <definedName name="v_25_XP_U">Model!$AK$139</definedName>
    <definedName name="v_25_XPFOA">Model!$BQ$139</definedName>
    <definedName name="v_25_XPFOS">Model!$BS$139</definedName>
    <definedName name="v_25_XPHA_GAO">Model!$O$139</definedName>
    <definedName name="v_25_XPHA_PAO">Model!$N$139</definedName>
    <definedName name="v_25_XPP">Model!$AG$139</definedName>
    <definedName name="v_25_XSTR">Model!$BN$139</definedName>
    <definedName name="v_25_XU">Model!$M$139</definedName>
    <definedName name="v_25_XVivi">Model!$BO$139</definedName>
    <definedName name="v_26_CB">Model!$H$140</definedName>
    <definedName name="v_26_CU">Model!$L$140</definedName>
    <definedName name="v_26_GCH4">Model!$BX$140</definedName>
    <definedName name="v_26_GCH4_atm">Model!$CD$140</definedName>
    <definedName name="v_26_GCO2">Model!$BW$140</definedName>
    <definedName name="v_26_GCO2_atm">Model!$CC$140</definedName>
    <definedName name="v_26_GH2">Model!$BY$140</definedName>
    <definedName name="v_26_GH2_atm">Model!$CE$140</definedName>
    <definedName name="v_26_GN2">Model!$CB$140</definedName>
    <definedName name="v_26_GN2_atm">Model!$CH$140</definedName>
    <definedName name="v_26_GNH3">Model!$CA$140</definedName>
    <definedName name="v_26_GNH3_atm">Model!$CG$140</definedName>
    <definedName name="v_26_GO2">Model!$BZ$140</definedName>
    <definedName name="v_26_GO2_atm">Model!$CF$140</definedName>
    <definedName name="v_26_SALPHA">Model!$BU$140</definedName>
    <definedName name="v_26_SAN">Model!$AR$140</definedName>
    <definedName name="v_26_SB">Model!$F$140</definedName>
    <definedName name="v_26_SCa">Model!$AS$140</definedName>
    <definedName name="v_26_SCAT">Model!$AQ$140</definedName>
    <definedName name="v_26_SCH4">Model!$AM$140</definedName>
    <definedName name="v_26_SCO2">Model!$AO$140</definedName>
    <definedName name="v_26_SFe2">Model!$AV$140</definedName>
    <definedName name="v_26_SH">Model!$BT$140</definedName>
    <definedName name="v_26_SH2">Model!$AN$140</definedName>
    <definedName name="v_26_SK">Model!$AU$140</definedName>
    <definedName name="v_26_SMEOL">Model!$G$140</definedName>
    <definedName name="v_26_SMg">Model!$AT$140</definedName>
    <definedName name="v_26_SN_B">Model!$AB$140</definedName>
    <definedName name="v_26_SN2">Model!$AA$140</definedName>
    <definedName name="v_26_SNHx">Model!$Y$140</definedName>
    <definedName name="v_26_SNOx">Model!$Z$140</definedName>
    <definedName name="v_26_SO2">Model!$AL$140</definedName>
    <definedName name="v_26_SORPswitch">Model!$BV$140</definedName>
    <definedName name="v_26_SP_B">Model!$AH$140</definedName>
    <definedName name="v_26_SPFOA">Model!$BP$140</definedName>
    <definedName name="v_26_SPFOS">Model!$BR$140</definedName>
    <definedName name="v_26_SPO4">Model!$AF$140</definedName>
    <definedName name="v_26_SU">Model!$K$140</definedName>
    <definedName name="v_26_SVFA">Model!$E$140</definedName>
    <definedName name="v_26_XACP">Model!$BL$140</definedName>
    <definedName name="v_26_XALGAE">Model!$X$140</definedName>
    <definedName name="v_26_XAMETO">Model!$V$140</definedName>
    <definedName name="v_26_XB">Model!$I$140</definedName>
    <definedName name="v_26_XB_e">Model!$J$140</definedName>
    <definedName name="v_26_XBSH">Model!$BM$140</definedName>
    <definedName name="v_26_XCaCO3">Model!$BK$140</definedName>
    <definedName name="v_26_XCASTO">Model!$S$140</definedName>
    <definedName name="v_26_XE">Model!$P$140</definedName>
    <definedName name="v_26_XE_ana">Model!$Q$140</definedName>
    <definedName name="v_26_XHAO_H">Model!$BD$140</definedName>
    <definedName name="v_26_XHAO_H_P">Model!$BG$140</definedName>
    <definedName name="v_26_XHAO_H_P_old">Model!$BI$140</definedName>
    <definedName name="v_26_XHAO_L">Model!$BE$140</definedName>
    <definedName name="v_26_XHAO_L_P">Model!$BH$140</definedName>
    <definedName name="v_26_XHAO_L_P_old">Model!$BJ$140</definedName>
    <definedName name="v_26_XHAO_old">Model!$BF$140</definedName>
    <definedName name="v_26_XHFO_H">Model!$AW$140</definedName>
    <definedName name="v_26_XHFO_H_P">Model!$AZ$140</definedName>
    <definedName name="v_26_XHFO_H_P_old">Model!$BB$140</definedName>
    <definedName name="v_26_XHFO_L">Model!$AX$140</definedName>
    <definedName name="v_26_XHFO_L_P">Model!$BA$140</definedName>
    <definedName name="v_26_XHFO_L_P_old">Model!$BC$140</definedName>
    <definedName name="v_26_XHFO_old">Model!$AY$140</definedName>
    <definedName name="v_26_XHMETO">Model!$W$140</definedName>
    <definedName name="v_26_XINORG">Model!$AP$140</definedName>
    <definedName name="v_26_XMEOLO">Model!$T$140</definedName>
    <definedName name="v_26_XN_B">Model!$AC$140</definedName>
    <definedName name="v_26_XN_Be">Model!$AD$140</definedName>
    <definedName name="v_26_XN_U">Model!$AE$140</definedName>
    <definedName name="v_26_XNITO">Model!$U$140</definedName>
    <definedName name="v_26_XOHO">Model!$R$140</definedName>
    <definedName name="v_26_XP_B">Model!$AI$140</definedName>
    <definedName name="v_26_XP_Be">Model!$AJ$140</definedName>
    <definedName name="v_26_XP_U">Model!$AK$140</definedName>
    <definedName name="v_26_XPFOA">Model!$BQ$140</definedName>
    <definedName name="v_26_XPFOS">Model!$BS$140</definedName>
    <definedName name="v_26_XPHA_GAO">Model!$O$140</definedName>
    <definedName name="v_26_XPHA_PAO">Model!$N$140</definedName>
    <definedName name="v_26_XPP">Model!$AG$140</definedName>
    <definedName name="v_26_XSTR">Model!$BN$140</definedName>
    <definedName name="v_26_XU">Model!$M$140</definedName>
    <definedName name="v_26_XVivi">Model!$BO$140</definedName>
    <definedName name="v_27_CB">Model!$H$141</definedName>
    <definedName name="v_27_CU">Model!$L$141</definedName>
    <definedName name="v_27_GCH4">Model!$BX$141</definedName>
    <definedName name="v_27_GCH4_atm">Model!$CD$141</definedName>
    <definedName name="v_27_GCO2">Model!$BW$141</definedName>
    <definedName name="v_27_GCO2_atm">Model!$CC$141</definedName>
    <definedName name="v_27_GH2">Model!$BY$141</definedName>
    <definedName name="v_27_GH2_atm">Model!$CE$141</definedName>
    <definedName name="v_27_GN2">Model!$CB$141</definedName>
    <definedName name="v_27_GN2_atm">Model!$CH$141</definedName>
    <definedName name="v_27_GNH3">Model!$CA$141</definedName>
    <definedName name="v_27_GNH3_atm">Model!$CG$141</definedName>
    <definedName name="v_27_GO2">Model!$BZ$141</definedName>
    <definedName name="v_27_GO2_atm">Model!$CF$141</definedName>
    <definedName name="v_27_SALPHA">Model!$BU$141</definedName>
    <definedName name="v_27_SAN">Model!$AR$141</definedName>
    <definedName name="v_27_SB">Model!$F$141</definedName>
    <definedName name="v_27_SCa">Model!$AS$141</definedName>
    <definedName name="v_27_SCAT">Model!$AQ$141</definedName>
    <definedName name="v_27_SCH4">Model!$AM$141</definedName>
    <definedName name="v_27_SCO2">Model!$AO$141</definedName>
    <definedName name="v_27_SFe2">Model!$AV$141</definedName>
    <definedName name="v_27_SH">Model!$BT$141</definedName>
    <definedName name="v_27_SH2">Model!$AN$141</definedName>
    <definedName name="v_27_SK">Model!$AU$141</definedName>
    <definedName name="v_27_SMEOL">Model!$G$141</definedName>
    <definedName name="v_27_SMg">Model!$AT$141</definedName>
    <definedName name="v_27_SN_B">Model!$AB$141</definedName>
    <definedName name="v_27_SN2">Model!$AA$141</definedName>
    <definedName name="v_27_SNHx">Model!$Y$141</definedName>
    <definedName name="v_27_SNOx">Model!$Z$141</definedName>
    <definedName name="v_27_SO2">Model!$AL$141</definedName>
    <definedName name="v_27_SORPswitch">Model!$BV$141</definedName>
    <definedName name="v_27_SP_B">Model!$AH$141</definedName>
    <definedName name="v_27_SPFOA">Model!$BP$141</definedName>
    <definedName name="v_27_SPFOS">Model!$BR$141</definedName>
    <definedName name="v_27_SPO4">Model!$AF$141</definedName>
    <definedName name="v_27_SU">Model!$K$141</definedName>
    <definedName name="v_27_SVFA">Model!$E$141</definedName>
    <definedName name="v_27_XACP">Model!$BL$141</definedName>
    <definedName name="v_27_XALGAE">Model!$X$141</definedName>
    <definedName name="v_27_XAMETO">Model!$V$141</definedName>
    <definedName name="v_27_XB">Model!$I$141</definedName>
    <definedName name="v_27_XB_e">Model!$J$141</definedName>
    <definedName name="v_27_XBSH">Model!$BM$141</definedName>
    <definedName name="v_27_XCaCO3">Model!$BK$141</definedName>
    <definedName name="v_27_XCASTO">Model!$S$141</definedName>
    <definedName name="v_27_XE">Model!$P$141</definedName>
    <definedName name="v_27_XE_ana">Model!$Q$141</definedName>
    <definedName name="v_27_XHAO_H">Model!$BD$141</definedName>
    <definedName name="v_27_XHAO_H_P">Model!$BG$141</definedName>
    <definedName name="v_27_XHAO_H_P_old">Model!$BI$141</definedName>
    <definedName name="v_27_XHAO_L">Model!$BE$141</definedName>
    <definedName name="v_27_XHAO_L_P">Model!$BH$141</definedName>
    <definedName name="v_27_XHAO_L_P_old">Model!$BJ$141</definedName>
    <definedName name="v_27_XHAO_old">Model!$BF$141</definedName>
    <definedName name="v_27_XHFO_H">Model!$AW$141</definedName>
    <definedName name="v_27_XHFO_H_P">Model!$AZ$141</definedName>
    <definedName name="v_27_XHFO_H_P_old">Model!$BB$141</definedName>
    <definedName name="v_27_XHFO_L">Model!$AX$141</definedName>
    <definedName name="v_27_XHFO_L_P">Model!$BA$141</definedName>
    <definedName name="v_27_XHFO_L_P_old">Model!$BC$141</definedName>
    <definedName name="v_27_XHFO_old">Model!$AY$141</definedName>
    <definedName name="v_27_XHMETO">Model!$W$141</definedName>
    <definedName name="v_27_XINORG">Model!$AP$141</definedName>
    <definedName name="v_27_XMEOLO">Model!$T$141</definedName>
    <definedName name="v_27_XN_B">Model!$AC$141</definedName>
    <definedName name="v_27_XN_Be">Model!$AD$141</definedName>
    <definedName name="v_27_XN_U">Model!$AE$141</definedName>
    <definedName name="v_27_XNITO">Model!$U$141</definedName>
    <definedName name="v_27_XOHO">Model!$R$141</definedName>
    <definedName name="v_27_XP_B">Model!$AI$141</definedName>
    <definedName name="v_27_XP_Be">Model!$AJ$141</definedName>
    <definedName name="v_27_XP_U">Model!$AK$141</definedName>
    <definedName name="v_27_XPFOA">Model!$BQ$141</definedName>
    <definedName name="v_27_XPFOS">Model!$BS$141</definedName>
    <definedName name="v_27_XPHA_GAO">Model!$O$141</definedName>
    <definedName name="v_27_XPHA_PAO">Model!$N$141</definedName>
    <definedName name="v_27_XPP">Model!$AG$141</definedName>
    <definedName name="v_27_XSTR">Model!$BN$141</definedName>
    <definedName name="v_27_XU">Model!$M$141</definedName>
    <definedName name="v_27_XVivi">Model!$BO$141</definedName>
    <definedName name="v_28_CB">Model!$H$142</definedName>
    <definedName name="v_28_CU">Model!$L$142</definedName>
    <definedName name="v_28_GCH4">Model!$BX$142</definedName>
    <definedName name="v_28_GCH4_atm">Model!$CD$142</definedName>
    <definedName name="v_28_GCO2">Model!$BW$142</definedName>
    <definedName name="v_28_GCO2_atm">Model!$CC$142</definedName>
    <definedName name="v_28_GH2">Model!$BY$142</definedName>
    <definedName name="v_28_GH2_atm">Model!$CE$142</definedName>
    <definedName name="v_28_GN2">Model!$CB$142</definedName>
    <definedName name="v_28_GN2_atm">Model!$CH$142</definedName>
    <definedName name="v_28_GNH3">Model!$CA$142</definedName>
    <definedName name="v_28_GNH3_atm">Model!$CG$142</definedName>
    <definedName name="v_28_GO2">Model!$BZ$142</definedName>
    <definedName name="v_28_GO2_atm">Model!$CF$142</definedName>
    <definedName name="v_28_SALPHA">Model!$BU$142</definedName>
    <definedName name="v_28_SAN">Model!$AR$142</definedName>
    <definedName name="v_28_SB">Model!$F$142</definedName>
    <definedName name="v_28_SCa">Model!$AS$142</definedName>
    <definedName name="v_28_SCAT">Model!$AQ$142</definedName>
    <definedName name="v_28_SCH4">Model!$AM$142</definedName>
    <definedName name="v_28_SCO2">Model!$AO$142</definedName>
    <definedName name="v_28_SFe2">Model!$AV$142</definedName>
    <definedName name="v_28_SH">Model!$BT$142</definedName>
    <definedName name="v_28_SH2">Model!$AN$142</definedName>
    <definedName name="v_28_SK">Model!$AU$142</definedName>
    <definedName name="v_28_SMEOL">Model!$G$142</definedName>
    <definedName name="v_28_SMg">Model!$AT$142</definedName>
    <definedName name="v_28_SN_B">Model!$AB$142</definedName>
    <definedName name="v_28_SN2">Model!$AA$142</definedName>
    <definedName name="v_28_SNHx">Model!$Y$142</definedName>
    <definedName name="v_28_SNOx">Model!$Z$142</definedName>
    <definedName name="v_28_SO2">Model!$AL$142</definedName>
    <definedName name="v_28_SORPswitch">Model!$BV$142</definedName>
    <definedName name="v_28_SP_B">Model!$AH$142</definedName>
    <definedName name="v_28_SPFOA">Model!$BP$142</definedName>
    <definedName name="v_28_SPFOS">Model!$BR$142</definedName>
    <definedName name="v_28_SPO4">Model!$AF$142</definedName>
    <definedName name="v_28_SU">Model!$K$142</definedName>
    <definedName name="v_28_SVFA">Model!$E$142</definedName>
    <definedName name="v_28_XACP">Model!$BL$142</definedName>
    <definedName name="v_28_XALGAE">Model!$X$142</definedName>
    <definedName name="v_28_XAMETO">Model!$V$142</definedName>
    <definedName name="v_28_XB">Model!$I$142</definedName>
    <definedName name="v_28_XB_e">Model!$J$142</definedName>
    <definedName name="v_28_XBSH">Model!$BM$142</definedName>
    <definedName name="v_28_XCaCO3">Model!$BK$142</definedName>
    <definedName name="v_28_XCASTO">Model!$S$142</definedName>
    <definedName name="v_28_XE">Model!$P$142</definedName>
    <definedName name="v_28_XE_ana">Model!$Q$142</definedName>
    <definedName name="v_28_XHAO_H">Model!$BD$142</definedName>
    <definedName name="v_28_XHAO_H_P">Model!$BG$142</definedName>
    <definedName name="v_28_XHAO_H_P_old">Model!$BI$142</definedName>
    <definedName name="v_28_XHAO_L">Model!$BE$142</definedName>
    <definedName name="v_28_XHAO_L_P">Model!$BH$142</definedName>
    <definedName name="v_28_XHAO_L_P_old">Model!$BJ$142</definedName>
    <definedName name="v_28_XHAO_old">Model!$BF$142</definedName>
    <definedName name="v_28_XHFO_H">Model!$AW$142</definedName>
    <definedName name="v_28_XHFO_H_P">Model!$AZ$142</definedName>
    <definedName name="v_28_XHFO_H_P_old">Model!$BB$142</definedName>
    <definedName name="v_28_XHFO_L">Model!$AX$142</definedName>
    <definedName name="v_28_XHFO_L_P">Model!$BA$142</definedName>
    <definedName name="v_28_XHFO_L_P_old">Model!$BC$142</definedName>
    <definedName name="v_28_XHFO_old">Model!$AY$142</definedName>
    <definedName name="v_28_XHMETO">Model!$W$142</definedName>
    <definedName name="v_28_XINORG">Model!$AP$142</definedName>
    <definedName name="v_28_XMEOLO">Model!$T$142</definedName>
    <definedName name="v_28_XN_B">Model!$AC$142</definedName>
    <definedName name="v_28_XN_Be">Model!$AD$142</definedName>
    <definedName name="v_28_XN_U">Model!$AE$142</definedName>
    <definedName name="v_28_XNITO">Model!$U$142</definedName>
    <definedName name="v_28_XOHO">Model!$R$142</definedName>
    <definedName name="v_28_XP_B">Model!$AI$142</definedName>
    <definedName name="v_28_XP_Be">Model!$AJ$142</definedName>
    <definedName name="v_28_XP_U">Model!$AK$142</definedName>
    <definedName name="v_28_XPFOA">Model!$BQ$142</definedName>
    <definedName name="v_28_XPFOS">Model!$BS$142</definedName>
    <definedName name="v_28_XPHA_GAO">Model!$O$142</definedName>
    <definedName name="v_28_XPHA_PAO">Model!$N$142</definedName>
    <definedName name="v_28_XPP">Model!$AG$142</definedName>
    <definedName name="v_28_XSTR">Model!$BN$142</definedName>
    <definedName name="v_28_XU">Model!$M$142</definedName>
    <definedName name="v_28_XVivi">Model!$BO$142</definedName>
    <definedName name="v_29_CB">Model!$H$143</definedName>
    <definedName name="v_29_CU">Model!$L$143</definedName>
    <definedName name="v_29_GCH4">Model!$BX$143</definedName>
    <definedName name="v_29_GCH4_atm">Model!$CD$143</definedName>
    <definedName name="v_29_GCO2">Model!$BW$143</definedName>
    <definedName name="v_29_GCO2_atm">Model!$CC$143</definedName>
    <definedName name="v_29_GH2">Model!$BY$143</definedName>
    <definedName name="v_29_GH2_atm">Model!$CE$143</definedName>
    <definedName name="v_29_GN2">Model!$CB$143</definedName>
    <definedName name="v_29_GN2_atm">Model!$CH$143</definedName>
    <definedName name="v_29_GNH3">Model!$CA$143</definedName>
    <definedName name="v_29_GNH3_atm">Model!$CG$143</definedName>
    <definedName name="v_29_GO2">Model!$BZ$143</definedName>
    <definedName name="v_29_GO2_atm">Model!$CF$143</definedName>
    <definedName name="v_29_SALPHA">Model!$BU$143</definedName>
    <definedName name="v_29_SAN">Model!$AR$143</definedName>
    <definedName name="v_29_SB">Model!$F$143</definedName>
    <definedName name="v_29_SCa">Model!$AS$143</definedName>
    <definedName name="v_29_SCAT">Model!$AQ$143</definedName>
    <definedName name="v_29_SCH4">Model!$AM$143</definedName>
    <definedName name="v_29_SCO2">Model!$AO$143</definedName>
    <definedName name="v_29_SFe2">Model!$AV$143</definedName>
    <definedName name="v_29_SH">Model!$BT$143</definedName>
    <definedName name="v_29_SH2">Model!$AN$143</definedName>
    <definedName name="v_29_SK">Model!$AU$143</definedName>
    <definedName name="v_29_SMEOL">Model!$G$143</definedName>
    <definedName name="v_29_SMg">Model!$AT$143</definedName>
    <definedName name="v_29_SN_B">Model!$AB$143</definedName>
    <definedName name="v_29_SN2">Model!$AA$143</definedName>
    <definedName name="v_29_SNHx">Model!$Y$143</definedName>
    <definedName name="v_29_SNOx">Model!$Z$143</definedName>
    <definedName name="v_29_SO2">Model!$AL$143</definedName>
    <definedName name="v_29_SORPswitch">Model!$BV$143</definedName>
    <definedName name="v_29_SP_B">Model!$AH$143</definedName>
    <definedName name="v_29_SPFOA">Model!$BP$143</definedName>
    <definedName name="v_29_SPFOS">Model!$BR$143</definedName>
    <definedName name="v_29_SPO4">Model!$AF$143</definedName>
    <definedName name="v_29_SU">Model!$K$143</definedName>
    <definedName name="v_29_SVFA">Model!$E$143</definedName>
    <definedName name="v_29_XACP">Model!$BL$143</definedName>
    <definedName name="v_29_XALGAE">Model!$X$143</definedName>
    <definedName name="v_29_XAMETO">Model!$V$143</definedName>
    <definedName name="v_29_XB">Model!$I$143</definedName>
    <definedName name="v_29_XB_e">Model!$J$143</definedName>
    <definedName name="v_29_XBSH">Model!$BM$143</definedName>
    <definedName name="v_29_XCaCO3">Model!$BK$143</definedName>
    <definedName name="v_29_XCASTO">Model!$S$143</definedName>
    <definedName name="v_29_XE">Model!$P$143</definedName>
    <definedName name="v_29_XE_ana">Model!$Q$143</definedName>
    <definedName name="v_29_XHAO_H">Model!$BD$143</definedName>
    <definedName name="v_29_XHAO_H_P">Model!$BG$143</definedName>
    <definedName name="v_29_XHAO_H_P_old">Model!$BI$143</definedName>
    <definedName name="v_29_XHAO_L">Model!$BE$143</definedName>
    <definedName name="v_29_XHAO_L_P">Model!$BH$143</definedName>
    <definedName name="v_29_XHAO_L_P_old">Model!$BJ$143</definedName>
    <definedName name="v_29_XHAO_old">Model!$BF$143</definedName>
    <definedName name="v_29_XHFO_H">Model!$AW$143</definedName>
    <definedName name="v_29_XHFO_H_P">Model!$AZ$143</definedName>
    <definedName name="v_29_XHFO_H_P_old">Model!$BB$143</definedName>
    <definedName name="v_29_XHFO_L">Model!$AX$143</definedName>
    <definedName name="v_29_XHFO_L_P">Model!$BA$143</definedName>
    <definedName name="v_29_XHFO_L_P_old">Model!$BC$143</definedName>
    <definedName name="v_29_XHFO_old">Model!$AY$143</definedName>
    <definedName name="v_29_XHMETO">Model!$W$143</definedName>
    <definedName name="v_29_XINORG">Model!$AP$143</definedName>
    <definedName name="v_29_XMEOLO">Model!$T$143</definedName>
    <definedName name="v_29_XN_B">Model!$AC$143</definedName>
    <definedName name="v_29_XN_Be">Model!$AD$143</definedName>
    <definedName name="v_29_XN_U">Model!$AE$143</definedName>
    <definedName name="v_29_XNITO">Model!$U$143</definedName>
    <definedName name="v_29_XOHO">Model!$R$143</definedName>
    <definedName name="v_29_XP_B">Model!$AI$143</definedName>
    <definedName name="v_29_XP_Be">Model!$AJ$143</definedName>
    <definedName name="v_29_XP_U">Model!$AK$143</definedName>
    <definedName name="v_29_XPFOA">Model!$BQ$143</definedName>
    <definedName name="v_29_XPFOS">Model!$BS$143</definedName>
    <definedName name="v_29_XPHA_GAO">Model!$O$143</definedName>
    <definedName name="v_29_XPHA_PAO">Model!$N$143</definedName>
    <definedName name="v_29_XPP">Model!$AG$143</definedName>
    <definedName name="v_29_XSTR">Model!$BN$143</definedName>
    <definedName name="v_29_XU">Model!$M$143</definedName>
    <definedName name="v_29_XVivi">Model!$BO$143</definedName>
    <definedName name="v_3_CB">Model!$H$117</definedName>
    <definedName name="v_3_CU">Model!$L$117</definedName>
    <definedName name="v_3_GCH4">Model!$BX$117</definedName>
    <definedName name="v_3_GCH4_atm">Model!$CD$117</definedName>
    <definedName name="v_3_GCO2">Model!$BW$117</definedName>
    <definedName name="v_3_GCO2_atm">Model!$CC$117</definedName>
    <definedName name="v_3_GH2">Model!$BY$117</definedName>
    <definedName name="v_3_GH2_atm">Model!$CE$117</definedName>
    <definedName name="v_3_GN2">Model!$CB$117</definedName>
    <definedName name="v_3_GN2_atm">Model!$CH$117</definedName>
    <definedName name="v_3_GNH3">Model!$CA$117</definedName>
    <definedName name="v_3_GNH3_atm">Model!$CG$117</definedName>
    <definedName name="v_3_GO2">Model!$BZ$117</definedName>
    <definedName name="v_3_GO2_atm">Model!$CF$117</definedName>
    <definedName name="v_3_SALPHA">Model!$BU$117</definedName>
    <definedName name="v_3_SAN">Model!$AR$117</definedName>
    <definedName name="v_3_SB">Model!$F$117</definedName>
    <definedName name="v_3_SCa">Model!$AS$117</definedName>
    <definedName name="v_3_SCAT">Model!$AQ$117</definedName>
    <definedName name="v_3_SCH4">Model!$AM$117</definedName>
    <definedName name="v_3_SCO2">Model!$AO$117</definedName>
    <definedName name="v_3_SFe2">Model!$AV$117</definedName>
    <definedName name="v_3_SH">Model!$BT$117</definedName>
    <definedName name="v_3_SH2">Model!$AN$117</definedName>
    <definedName name="v_3_SK">Model!$AU$117</definedName>
    <definedName name="v_3_SMEOL">Model!$G$117</definedName>
    <definedName name="v_3_SMg">Model!$AT$117</definedName>
    <definedName name="v_3_SN_B">Model!$AB$117</definedName>
    <definedName name="v_3_SN2">Model!$AA$117</definedName>
    <definedName name="v_3_SNHx">Model!$Y$117</definedName>
    <definedName name="v_3_SNOx">Model!$Z$117</definedName>
    <definedName name="v_3_SO2">Model!$AL$117</definedName>
    <definedName name="v_3_SORPswitch">Model!$BV$117</definedName>
    <definedName name="v_3_SP_B">Model!$AH$117</definedName>
    <definedName name="v_3_SPFOA">Model!$BP$117</definedName>
    <definedName name="v_3_SPFOS">Model!$BR$117</definedName>
    <definedName name="v_3_SPO4">Model!$AF$117</definedName>
    <definedName name="v_3_SU">Model!$K$117</definedName>
    <definedName name="v_3_SVFA">Model!$E$117</definedName>
    <definedName name="v_3_XACP">Model!$BL$117</definedName>
    <definedName name="v_3_XALGAE">Model!$X$117</definedName>
    <definedName name="v_3_XAMETO">Model!$V$117</definedName>
    <definedName name="v_3_XB">Model!$I$117</definedName>
    <definedName name="v_3_XB_e">Model!$J$117</definedName>
    <definedName name="v_3_XBSH">Model!$BM$117</definedName>
    <definedName name="v_3_XCaCO3">Model!$BK$117</definedName>
    <definedName name="v_3_XCASTO">Model!$S$117</definedName>
    <definedName name="v_3_XE">Model!$P$117</definedName>
    <definedName name="v_3_XE_ana">Model!$Q$117</definedName>
    <definedName name="v_3_XHAO_H">Model!$BD$117</definedName>
    <definedName name="v_3_XHAO_H_P">Model!$BG$117</definedName>
    <definedName name="v_3_XHAO_H_P_old">Model!$BI$117</definedName>
    <definedName name="v_3_XHAO_L">Model!$BE$117</definedName>
    <definedName name="v_3_XHAO_L_P">Model!$BH$117</definedName>
    <definedName name="v_3_XHAO_L_P_old">Model!$BJ$117</definedName>
    <definedName name="v_3_XHAO_old">Model!$BF$117</definedName>
    <definedName name="v_3_XHFO_H">Model!$AW$117</definedName>
    <definedName name="v_3_XHFO_H_P">Model!$AZ$117</definedName>
    <definedName name="v_3_XHFO_H_P_old">Model!$BB$117</definedName>
    <definedName name="v_3_XHFO_L">Model!$AX$117</definedName>
    <definedName name="v_3_XHFO_L_P">Model!$BA$117</definedName>
    <definedName name="v_3_XHFO_L_P_old">Model!$BC$117</definedName>
    <definedName name="v_3_XHFO_old">Model!$AY$117</definedName>
    <definedName name="v_3_XHMETO">Model!$W$117</definedName>
    <definedName name="v_3_XINORG">Model!$AP$117</definedName>
    <definedName name="v_3_XMEOLO">Model!$T$117</definedName>
    <definedName name="v_3_XN_B">Model!$AC$117</definedName>
    <definedName name="v_3_XN_Be">Model!$AD$117</definedName>
    <definedName name="v_3_XN_U">Model!$AE$117</definedName>
    <definedName name="v_3_XNITO">Model!$U$117</definedName>
    <definedName name="v_3_XOHO">Model!$R$117</definedName>
    <definedName name="v_3_XP_B">Model!$AI$117</definedName>
    <definedName name="v_3_XP_Be">Model!$AJ$117</definedName>
    <definedName name="v_3_XP_U">Model!$AK$117</definedName>
    <definedName name="v_3_XPFOA">Model!$BQ$117</definedName>
    <definedName name="v_3_XPFOS">Model!$BS$117</definedName>
    <definedName name="v_3_XPHA_GAO">Model!$O$117</definedName>
    <definedName name="v_3_XPHA_PAO">Model!$N$117</definedName>
    <definedName name="v_3_XPP">Model!$AG$117</definedName>
    <definedName name="v_3_XSTR">Model!$BN$117</definedName>
    <definedName name="v_3_XU">Model!$M$117</definedName>
    <definedName name="v_3_XVivi">Model!$BO$117</definedName>
    <definedName name="v_30_CB">Model!$H$144</definedName>
    <definedName name="v_30_CU">Model!$L$144</definedName>
    <definedName name="v_30_GCH4">Model!$BX$144</definedName>
    <definedName name="v_30_GCH4_atm">Model!$CD$144</definedName>
    <definedName name="v_30_GCO2">Model!$BW$144</definedName>
    <definedName name="v_30_GCO2_atm">Model!$CC$144</definedName>
    <definedName name="v_30_GH2">Model!$BY$144</definedName>
    <definedName name="v_30_GH2_atm">Model!$CE$144</definedName>
    <definedName name="v_30_GN2">Model!$CB$144</definedName>
    <definedName name="v_30_GN2_atm">Model!$CH$144</definedName>
    <definedName name="v_30_GNH3">Model!$CA$144</definedName>
    <definedName name="v_30_GNH3_atm">Model!$CG$144</definedName>
    <definedName name="v_30_GO2">Model!$BZ$144</definedName>
    <definedName name="v_30_GO2_atm">Model!$CF$144</definedName>
    <definedName name="v_30_SALPHA">Model!$BU$144</definedName>
    <definedName name="v_30_SAN">Model!$AR$144</definedName>
    <definedName name="v_30_SB">Model!$F$144</definedName>
    <definedName name="v_30_SCa">Model!$AS$144</definedName>
    <definedName name="v_30_SCAT">Model!$AQ$144</definedName>
    <definedName name="v_30_SCH4">Model!$AM$144</definedName>
    <definedName name="v_30_SCO2">Model!$AO$144</definedName>
    <definedName name="v_30_SFe2">Model!$AV$144</definedName>
    <definedName name="v_30_SH">Model!$BT$144</definedName>
    <definedName name="v_30_SH2">Model!$AN$144</definedName>
    <definedName name="v_30_SK">Model!$AU$144</definedName>
    <definedName name="v_30_SMEOL">Model!$G$144</definedName>
    <definedName name="v_30_SMg">Model!$AT$144</definedName>
    <definedName name="v_30_SN_B">Model!$AB$144</definedName>
    <definedName name="v_30_SN2">Model!$AA$144</definedName>
    <definedName name="v_30_SNHx">Model!$Y$144</definedName>
    <definedName name="v_30_SNOx">Model!$Z$144</definedName>
    <definedName name="v_30_SO2">Model!$AL$144</definedName>
    <definedName name="v_30_SORPswitch">Model!$BV$144</definedName>
    <definedName name="v_30_SP_B">Model!$AH$144</definedName>
    <definedName name="v_30_SPFOA">Model!$BP$144</definedName>
    <definedName name="v_30_SPFOS">Model!$BR$144</definedName>
    <definedName name="v_30_SPO4">Model!$AF$144</definedName>
    <definedName name="v_30_SU">Model!$K$144</definedName>
    <definedName name="v_30_SVFA">Model!$E$144</definedName>
    <definedName name="v_30_XACP">Model!$BL$144</definedName>
    <definedName name="v_30_XALGAE">Model!$X$144</definedName>
    <definedName name="v_30_XAMETO">Model!$V$144</definedName>
    <definedName name="v_30_XB">Model!$I$144</definedName>
    <definedName name="v_30_XB_e">Model!$J$144</definedName>
    <definedName name="v_30_XBSH">Model!$BM$144</definedName>
    <definedName name="v_30_XCaCO3">Model!$BK$144</definedName>
    <definedName name="v_30_XCASTO">Model!$S$144</definedName>
    <definedName name="v_30_XE">Model!$P$144</definedName>
    <definedName name="v_30_XE_ana">Model!$Q$144</definedName>
    <definedName name="v_30_XHAO_H">Model!$BD$144</definedName>
    <definedName name="v_30_XHAO_H_P">Model!$BG$144</definedName>
    <definedName name="v_30_XHAO_H_P_old">Model!$BI$144</definedName>
    <definedName name="v_30_XHAO_L">Model!$BE$144</definedName>
    <definedName name="v_30_XHAO_L_P">Model!$BH$144</definedName>
    <definedName name="v_30_XHAO_L_P_old">Model!$BJ$144</definedName>
    <definedName name="v_30_XHAO_old">Model!$BF$144</definedName>
    <definedName name="v_30_XHFO_H">Model!$AW$144</definedName>
    <definedName name="v_30_XHFO_H_P">Model!$AZ$144</definedName>
    <definedName name="v_30_XHFO_H_P_old">Model!$BB$144</definedName>
    <definedName name="v_30_XHFO_L">Model!$AX$144</definedName>
    <definedName name="v_30_XHFO_L_P">Model!$BA$144</definedName>
    <definedName name="v_30_XHFO_L_P_old">Model!$BC$144</definedName>
    <definedName name="v_30_XHFO_old">Model!$AY$144</definedName>
    <definedName name="v_30_XHMETO">Model!$W$144</definedName>
    <definedName name="v_30_XINORG">Model!$AP$144</definedName>
    <definedName name="v_30_XMEOLO">Model!$T$144</definedName>
    <definedName name="v_30_XN_B">Model!$AC$144</definedName>
    <definedName name="v_30_XN_Be">Model!$AD$144</definedName>
    <definedName name="v_30_XN_U">Model!$AE$144</definedName>
    <definedName name="v_30_XNITO">Model!$U$144</definedName>
    <definedName name="v_30_XOHO">Model!$R$144</definedName>
    <definedName name="v_30_XP_B">Model!$AI$144</definedName>
    <definedName name="v_30_XP_Be">Model!$AJ$144</definedName>
    <definedName name="v_30_XP_U">Model!$AK$144</definedName>
    <definedName name="v_30_XPFOA">Model!$BQ$144</definedName>
    <definedName name="v_30_XPFOS">Model!$BS$144</definedName>
    <definedName name="v_30_XPHA_GAO">Model!$O$144</definedName>
    <definedName name="v_30_XPHA_PAO">Model!$N$144</definedName>
    <definedName name="v_30_XPP">Model!$AG$144</definedName>
    <definedName name="v_30_XSTR">Model!$BN$144</definedName>
    <definedName name="v_30_XU">Model!$M$144</definedName>
    <definedName name="v_30_XVivi">Model!$BO$144</definedName>
    <definedName name="v_31_CB">Model!$H$145</definedName>
    <definedName name="v_31_CU">Model!$L$145</definedName>
    <definedName name="v_31_GCH4">Model!$BX$145</definedName>
    <definedName name="v_31_GCH4_atm">Model!$CD$145</definedName>
    <definedName name="v_31_GCO2">Model!$BW$145</definedName>
    <definedName name="v_31_GCO2_atm">Model!$CC$145</definedName>
    <definedName name="v_31_GH2">Model!$BY$145</definedName>
    <definedName name="v_31_GH2_atm">Model!$CE$145</definedName>
    <definedName name="v_31_GN2">Model!$CB$145</definedName>
    <definedName name="v_31_GN2_atm">Model!$CH$145</definedName>
    <definedName name="v_31_GNH3">Model!$CA$145</definedName>
    <definedName name="v_31_GNH3_atm">Model!$CG$145</definedName>
    <definedName name="v_31_GO2">Model!$BZ$145</definedName>
    <definedName name="v_31_GO2_atm">Model!$CF$145</definedName>
    <definedName name="v_31_SALPHA">Model!$BU$145</definedName>
    <definedName name="v_31_SAN">Model!$AR$145</definedName>
    <definedName name="v_31_SB">Model!$F$145</definedName>
    <definedName name="v_31_SCa">Model!$AS$145</definedName>
    <definedName name="v_31_SCAT">Model!$AQ$145</definedName>
    <definedName name="v_31_SCH4">Model!$AM$145</definedName>
    <definedName name="v_31_SCO2">Model!$AO$145</definedName>
    <definedName name="v_31_SFe2">Model!$AV$145</definedName>
    <definedName name="v_31_SH">Model!$BT$145</definedName>
    <definedName name="v_31_SH2">Model!$AN$145</definedName>
    <definedName name="v_31_SK">Model!$AU$145</definedName>
    <definedName name="v_31_SMEOL">Model!$G$145</definedName>
    <definedName name="v_31_SMg">Model!$AT$145</definedName>
    <definedName name="v_31_SN_B">Model!$AB$145</definedName>
    <definedName name="v_31_SN2">Model!$AA$145</definedName>
    <definedName name="v_31_SNHx">Model!$Y$145</definedName>
    <definedName name="v_31_SNOx">Model!$Z$145</definedName>
    <definedName name="v_31_SO2">Model!$AL$145</definedName>
    <definedName name="v_31_SORPswitch">Model!$BV$145</definedName>
    <definedName name="v_31_SP_B">Model!$AH$145</definedName>
    <definedName name="v_31_SPFOA">Model!$BP$145</definedName>
    <definedName name="v_31_SPFOS">Model!$BR$145</definedName>
    <definedName name="v_31_SPO4">Model!$AF$145</definedName>
    <definedName name="v_31_SU">Model!$K$145</definedName>
    <definedName name="v_31_SVFA">Model!$E$145</definedName>
    <definedName name="v_31_XACP">Model!$BL$145</definedName>
    <definedName name="v_31_XALGAE">Model!$X$145</definedName>
    <definedName name="v_31_XAMETO">Model!$V$145</definedName>
    <definedName name="v_31_XB">Model!$I$145</definedName>
    <definedName name="v_31_XB_e">Model!$J$145</definedName>
    <definedName name="v_31_XBSH">Model!$BM$145</definedName>
    <definedName name="v_31_XCaCO3">Model!$BK$145</definedName>
    <definedName name="v_31_XCASTO">Model!$S$145</definedName>
    <definedName name="v_31_XE">Model!$P$145</definedName>
    <definedName name="v_31_XE_ana">Model!$Q$145</definedName>
    <definedName name="v_31_XHAO_H">Model!$BD$145</definedName>
    <definedName name="v_31_XHAO_H_P">Model!$BG$145</definedName>
    <definedName name="v_31_XHAO_H_P_old">Model!$BI$145</definedName>
    <definedName name="v_31_XHAO_L">Model!$BE$145</definedName>
    <definedName name="v_31_XHAO_L_P">Model!$BH$145</definedName>
    <definedName name="v_31_XHAO_L_P_old">Model!$BJ$145</definedName>
    <definedName name="v_31_XHAO_old">Model!$BF$145</definedName>
    <definedName name="v_31_XHFO_H">Model!$AW$145</definedName>
    <definedName name="v_31_XHFO_H_P">Model!$AZ$145</definedName>
    <definedName name="v_31_XHFO_H_P_old">Model!$BB$145</definedName>
    <definedName name="v_31_XHFO_L">Model!$AX$145</definedName>
    <definedName name="v_31_XHFO_L_P">Model!$BA$145</definedName>
    <definedName name="v_31_XHFO_L_P_old">Model!$BC$145</definedName>
    <definedName name="v_31_XHFO_old">Model!$AY$145</definedName>
    <definedName name="v_31_XHMETO">Model!$W$145</definedName>
    <definedName name="v_31_XINORG">Model!$AP$145</definedName>
    <definedName name="v_31_XMEOLO">Model!$T$145</definedName>
    <definedName name="v_31_XN_B">Model!$AC$145</definedName>
    <definedName name="v_31_XN_Be">Model!$AD$145</definedName>
    <definedName name="v_31_XN_U">Model!$AE$145</definedName>
    <definedName name="v_31_XNITO">Model!$U$145</definedName>
    <definedName name="v_31_XOHO">Model!$R$145</definedName>
    <definedName name="v_31_XP_B">Model!$AI$145</definedName>
    <definedName name="v_31_XP_Be">Model!$AJ$145</definedName>
    <definedName name="v_31_XP_U">Model!$AK$145</definedName>
    <definedName name="v_31_XPFOA">Model!$BQ$145</definedName>
    <definedName name="v_31_XPFOS">Model!$BS$145</definedName>
    <definedName name="v_31_XPHA_GAO">Model!$O$145</definedName>
    <definedName name="v_31_XPHA_PAO">Model!$N$145</definedName>
    <definedName name="v_31_XPP">Model!$AG$145</definedName>
    <definedName name="v_31_XSTR">Model!$BN$145</definedName>
    <definedName name="v_31_XU">Model!$M$145</definedName>
    <definedName name="v_31_XVivi">Model!$BO$145</definedName>
    <definedName name="v_32_CB">Model!$H$146</definedName>
    <definedName name="v_32_CU">Model!$L$146</definedName>
    <definedName name="v_32_GCH4">Model!$BX$146</definedName>
    <definedName name="v_32_GCH4_atm">Model!$CD$146</definedName>
    <definedName name="v_32_GCO2">Model!$BW$146</definedName>
    <definedName name="v_32_GCO2_atm">Model!$CC$146</definedName>
    <definedName name="v_32_GH2">Model!$BY$146</definedName>
    <definedName name="v_32_GH2_atm">Model!$CE$146</definedName>
    <definedName name="v_32_GN2">Model!$CB$146</definedName>
    <definedName name="v_32_GN2_atm">Model!$CH$146</definedName>
    <definedName name="v_32_GNH3">Model!$CA$146</definedName>
    <definedName name="v_32_GNH3_atm">Model!$CG$146</definedName>
    <definedName name="v_32_GO2">Model!$BZ$146</definedName>
    <definedName name="v_32_GO2_atm">Model!$CF$146</definedName>
    <definedName name="v_32_SALPHA">Model!$BU$146</definedName>
    <definedName name="v_32_SAN">Model!$AR$146</definedName>
    <definedName name="v_32_SB">Model!$F$146</definedName>
    <definedName name="v_32_SCa">Model!$AS$146</definedName>
    <definedName name="v_32_SCAT">Model!$AQ$146</definedName>
    <definedName name="v_32_SCH4">Model!$AM$146</definedName>
    <definedName name="v_32_SCO2">Model!$AO$146</definedName>
    <definedName name="v_32_SFe2">Model!$AV$146</definedName>
    <definedName name="v_32_SH">Model!$BT$146</definedName>
    <definedName name="v_32_SH2">Model!$AN$146</definedName>
    <definedName name="v_32_SK">Model!$AU$146</definedName>
    <definedName name="v_32_SMEOL">Model!$G$146</definedName>
    <definedName name="v_32_SMg">Model!$AT$146</definedName>
    <definedName name="v_32_SN_B">Model!$AB$146</definedName>
    <definedName name="v_32_SN2">Model!$AA$146</definedName>
    <definedName name="v_32_SNHx">Model!$Y$146</definedName>
    <definedName name="v_32_SNOx">Model!$Z$146</definedName>
    <definedName name="v_32_SO2">Model!$AL$146</definedName>
    <definedName name="v_32_SORPswitch">Model!$BV$146</definedName>
    <definedName name="v_32_SP_B">Model!$AH$146</definedName>
    <definedName name="v_32_SPFOA">Model!$BP$146</definedName>
    <definedName name="v_32_SPFOS">Model!$BR$146</definedName>
    <definedName name="v_32_SPO4">Model!$AF$146</definedName>
    <definedName name="v_32_SU">Model!$K$146</definedName>
    <definedName name="v_32_SVFA">Model!$E$146</definedName>
    <definedName name="v_32_XACP">Model!$BL$146</definedName>
    <definedName name="v_32_XALGAE">Model!$X$146</definedName>
    <definedName name="v_32_XAMETO">Model!$V$146</definedName>
    <definedName name="v_32_XB">Model!$I$146</definedName>
    <definedName name="v_32_XB_e">Model!$J$146</definedName>
    <definedName name="v_32_XBSH">Model!$BM$146</definedName>
    <definedName name="v_32_XCaCO3">Model!$BK$146</definedName>
    <definedName name="v_32_XCASTO">Model!$S$146</definedName>
    <definedName name="v_32_XE">Model!$P$146</definedName>
    <definedName name="v_32_XE_ana">Model!$Q$146</definedName>
    <definedName name="v_32_XHAO_H">Model!$BD$146</definedName>
    <definedName name="v_32_XHAO_H_P">Model!$BG$146</definedName>
    <definedName name="v_32_XHAO_H_P_old">Model!$BI$146</definedName>
    <definedName name="v_32_XHAO_L">Model!$BE$146</definedName>
    <definedName name="v_32_XHAO_L_P">Model!$BH$146</definedName>
    <definedName name="v_32_XHAO_L_P_old">Model!$BJ$146</definedName>
    <definedName name="v_32_XHAO_old">Model!$BF$146</definedName>
    <definedName name="v_32_XHFO_H">Model!$AW$146</definedName>
    <definedName name="v_32_XHFO_H_P">Model!$AZ$146</definedName>
    <definedName name="v_32_XHFO_H_P_old">Model!$BB$146</definedName>
    <definedName name="v_32_XHFO_L">Model!$AX$146</definedName>
    <definedName name="v_32_XHFO_L_P">Model!$BA$146</definedName>
    <definedName name="v_32_XHFO_L_P_old">Model!$BC$146</definedName>
    <definedName name="v_32_XHFO_old">Model!$AY$146</definedName>
    <definedName name="v_32_XHMETO">Model!$W$146</definedName>
    <definedName name="v_32_XINORG">Model!$AP$146</definedName>
    <definedName name="v_32_XMEOLO">Model!$T$146</definedName>
    <definedName name="v_32_XN_B">Model!$AC$146</definedName>
    <definedName name="v_32_XN_Be">Model!$AD$146</definedName>
    <definedName name="v_32_XN_U">Model!$AE$146</definedName>
    <definedName name="v_32_XNITO">Model!$U$146</definedName>
    <definedName name="v_32_XOHO">Model!$R$146</definedName>
    <definedName name="v_32_XP_B">Model!$AI$146</definedName>
    <definedName name="v_32_XP_Be">Model!$AJ$146</definedName>
    <definedName name="v_32_XP_U">Model!$AK$146</definedName>
    <definedName name="v_32_XPFOA">Model!$BQ$146</definedName>
    <definedName name="v_32_XPFOS">Model!$BS$146</definedName>
    <definedName name="v_32_XPHA_GAO">Model!$O$146</definedName>
    <definedName name="v_32_XPHA_PAO">Model!$N$146</definedName>
    <definedName name="v_32_XPP">Model!$AG$146</definedName>
    <definedName name="v_32_XSTR">Model!$BN$146</definedName>
    <definedName name="v_32_XU">Model!$M$146</definedName>
    <definedName name="v_32_XVivi">Model!$BO$146</definedName>
    <definedName name="v_33_CB">Model!$H$147</definedName>
    <definedName name="v_33_CU">Model!$L$147</definedName>
    <definedName name="v_33_GCH4">Model!$BX$147</definedName>
    <definedName name="v_33_GCH4_atm">Model!$CD$147</definedName>
    <definedName name="v_33_GCO2">Model!$BW$147</definedName>
    <definedName name="v_33_GCO2_atm">Model!$CC$147</definedName>
    <definedName name="v_33_GH2">Model!$BY$147</definedName>
    <definedName name="v_33_GH2_atm">Model!$CE$147</definedName>
    <definedName name="v_33_GN2">Model!$CB$147</definedName>
    <definedName name="v_33_GN2_atm">Model!$CH$147</definedName>
    <definedName name="v_33_GNH3">Model!$CA$147</definedName>
    <definedName name="v_33_GNH3_atm">Model!$CG$147</definedName>
    <definedName name="v_33_GO2">Model!$BZ$147</definedName>
    <definedName name="v_33_GO2_atm">Model!$CF$147</definedName>
    <definedName name="v_33_SALPHA">Model!$BU$147</definedName>
    <definedName name="v_33_SAN">Model!$AR$147</definedName>
    <definedName name="v_33_SB">Model!$F$147</definedName>
    <definedName name="v_33_SCa">Model!$AS$147</definedName>
    <definedName name="v_33_SCAT">Model!$AQ$147</definedName>
    <definedName name="v_33_SCH4">Model!$AM$147</definedName>
    <definedName name="v_33_SCO2">Model!$AO$147</definedName>
    <definedName name="v_33_SFe2">Model!$AV$147</definedName>
    <definedName name="v_33_SH">Model!$BT$147</definedName>
    <definedName name="v_33_SH2">Model!$AN$147</definedName>
    <definedName name="v_33_SK">Model!$AU$147</definedName>
    <definedName name="v_33_SMEOL">Model!$G$147</definedName>
    <definedName name="v_33_SMg">Model!$AT$147</definedName>
    <definedName name="v_33_SN_B">Model!$AB$147</definedName>
    <definedName name="v_33_SN2">Model!$AA$147</definedName>
    <definedName name="v_33_SNHx">Model!$Y$147</definedName>
    <definedName name="v_33_SNOx">Model!$Z$147</definedName>
    <definedName name="v_33_SO2">Model!$AL$147</definedName>
    <definedName name="v_33_SORPswitch">Model!$BV$147</definedName>
    <definedName name="v_33_SP_B">Model!$AH$147</definedName>
    <definedName name="v_33_SPFOA">Model!$BP$147</definedName>
    <definedName name="v_33_SPFOS">Model!$BR$147</definedName>
    <definedName name="v_33_SPO4">Model!$AF$147</definedName>
    <definedName name="v_33_SU">Model!$K$147</definedName>
    <definedName name="v_33_SVFA">Model!$E$147</definedName>
    <definedName name="v_33_XACP">Model!$BL$147</definedName>
    <definedName name="v_33_XALGAE">Model!$X$147</definedName>
    <definedName name="v_33_XAMETO">Model!$V$147</definedName>
    <definedName name="v_33_XB">Model!$I$147</definedName>
    <definedName name="v_33_XB_e">Model!$J$147</definedName>
    <definedName name="v_33_XBSH">Model!$BM$147</definedName>
    <definedName name="v_33_XCaCO3">Model!$BK$147</definedName>
    <definedName name="v_33_XCASTO">Model!$S$147</definedName>
    <definedName name="v_33_XE">Model!$P$147</definedName>
    <definedName name="v_33_XE_ana">Model!$Q$147</definedName>
    <definedName name="v_33_XHAO_H">Model!$BD$147</definedName>
    <definedName name="v_33_XHAO_H_P">Model!$BG$147</definedName>
    <definedName name="v_33_XHAO_H_P_old">Model!$BI$147</definedName>
    <definedName name="v_33_XHAO_L">Model!$BE$147</definedName>
    <definedName name="v_33_XHAO_L_P">Model!$BH$147</definedName>
    <definedName name="v_33_XHAO_L_P_old">Model!$BJ$147</definedName>
    <definedName name="v_33_XHAO_old">Model!$BF$147</definedName>
    <definedName name="v_33_XHFO_H">Model!$AW$147</definedName>
    <definedName name="v_33_XHFO_H_P">Model!$AZ$147</definedName>
    <definedName name="v_33_XHFO_H_P_old">Model!$BB$147</definedName>
    <definedName name="v_33_XHFO_L">Model!$AX$147</definedName>
    <definedName name="v_33_XHFO_L_P">Model!$BA$147</definedName>
    <definedName name="v_33_XHFO_L_P_old">Model!$BC$147</definedName>
    <definedName name="v_33_XHFO_old">Model!$AY$147</definedName>
    <definedName name="v_33_XHMETO">Model!$W$147</definedName>
    <definedName name="v_33_XINORG">Model!$AP$147</definedName>
    <definedName name="v_33_XMEOLO">Model!$T$147</definedName>
    <definedName name="v_33_XN_B">Model!$AC$147</definedName>
    <definedName name="v_33_XN_Be">Model!$AD$147</definedName>
    <definedName name="v_33_XN_U">Model!$AE$147</definedName>
    <definedName name="v_33_XNITO">Model!$U$147</definedName>
    <definedName name="v_33_XOHO">Model!$R$147</definedName>
    <definedName name="v_33_XP_B">Model!$AI$147</definedName>
    <definedName name="v_33_XP_Be">Model!$AJ$147</definedName>
    <definedName name="v_33_XP_U">Model!$AK$147</definedName>
    <definedName name="v_33_XPFOA">Model!$BQ$147</definedName>
    <definedName name="v_33_XPFOS">Model!$BS$147</definedName>
    <definedName name="v_33_XPHA_GAO">Model!$O$147</definedName>
    <definedName name="v_33_XPHA_PAO">Model!$N$147</definedName>
    <definedName name="v_33_XPP">Model!$AG$147</definedName>
    <definedName name="v_33_XSTR">Model!$BN$147</definedName>
    <definedName name="v_33_XU">Model!$M$147</definedName>
    <definedName name="v_33_XVivi">Model!$BO$147</definedName>
    <definedName name="v_34_CB">Model!$H$148</definedName>
    <definedName name="v_34_CU">Model!$L$148</definedName>
    <definedName name="v_34_GCH4">Model!$BX$148</definedName>
    <definedName name="v_34_GCH4_atm">Model!$CD$148</definedName>
    <definedName name="v_34_GCO2">Model!$BW$148</definedName>
    <definedName name="v_34_GCO2_atm">Model!$CC$148</definedName>
    <definedName name="v_34_GH2">Model!$BY$148</definedName>
    <definedName name="v_34_GH2_atm">Model!$CE$148</definedName>
    <definedName name="v_34_GN2">Model!$CB$148</definedName>
    <definedName name="v_34_GN2_atm">Model!$CH$148</definedName>
    <definedName name="v_34_GNH3">Model!$CA$148</definedName>
    <definedName name="v_34_GNH3_atm">Model!$CG$148</definedName>
    <definedName name="v_34_GO2">Model!$BZ$148</definedName>
    <definedName name="v_34_GO2_atm">Model!$CF$148</definedName>
    <definedName name="v_34_SALPHA">Model!$BU$148</definedName>
    <definedName name="v_34_SAN">Model!$AR$148</definedName>
    <definedName name="v_34_SB">Model!$F$148</definedName>
    <definedName name="v_34_SCa">Model!$AS$148</definedName>
    <definedName name="v_34_SCAT">Model!$AQ$148</definedName>
    <definedName name="v_34_SCH4">Model!$AM$148</definedName>
    <definedName name="v_34_SCO2">Model!$AO$148</definedName>
    <definedName name="v_34_SFe2">Model!$AV$148</definedName>
    <definedName name="v_34_SH">Model!$BT$148</definedName>
    <definedName name="v_34_SH2">Model!$AN$148</definedName>
    <definedName name="v_34_SK">Model!$AU$148</definedName>
    <definedName name="v_34_SMEOL">Model!$G$148</definedName>
    <definedName name="v_34_SMg">Model!$AT$148</definedName>
    <definedName name="v_34_SN_B">Model!$AB$148</definedName>
    <definedName name="v_34_SN2">Model!$AA$148</definedName>
    <definedName name="v_34_SNHx">Model!$Y$148</definedName>
    <definedName name="v_34_SNOx">Model!$Z$148</definedName>
    <definedName name="v_34_SO2">Model!$AL$148</definedName>
    <definedName name="v_34_SORPswitch">Model!$BV$148</definedName>
    <definedName name="v_34_SP_B">Model!$AH$148</definedName>
    <definedName name="v_34_SPFOA">Model!$BP$148</definedName>
    <definedName name="v_34_SPFOS">Model!$BR$148</definedName>
    <definedName name="v_34_SPO4">Model!$AF$148</definedName>
    <definedName name="v_34_SU">Model!$K$148</definedName>
    <definedName name="v_34_SVFA">Model!$E$148</definedName>
    <definedName name="v_34_XACP">Model!$BL$148</definedName>
    <definedName name="v_34_XALGAE">Model!$X$148</definedName>
    <definedName name="v_34_XAMETO">Model!$V$148</definedName>
    <definedName name="v_34_XB">Model!$I$148</definedName>
    <definedName name="v_34_XB_e">Model!$J$148</definedName>
    <definedName name="v_34_XBSH">Model!$BM$148</definedName>
    <definedName name="v_34_XCaCO3">Model!$BK$148</definedName>
    <definedName name="v_34_XCASTO">Model!$S$148</definedName>
    <definedName name="v_34_XE">Model!$P$148</definedName>
    <definedName name="v_34_XE_ana">Model!$Q$148</definedName>
    <definedName name="v_34_XHAO_H">Model!$BD$148</definedName>
    <definedName name="v_34_XHAO_H_P">Model!$BG$148</definedName>
    <definedName name="v_34_XHAO_H_P_old">Model!$BI$148</definedName>
    <definedName name="v_34_XHAO_L">Model!$BE$148</definedName>
    <definedName name="v_34_XHAO_L_P">Model!$BH$148</definedName>
    <definedName name="v_34_XHAO_L_P_old">Model!$BJ$148</definedName>
    <definedName name="v_34_XHAO_old">Model!$BF$148</definedName>
    <definedName name="v_34_XHFO_H">Model!$AW$148</definedName>
    <definedName name="v_34_XHFO_H_P">Model!$AZ$148</definedName>
    <definedName name="v_34_XHFO_H_P_old">Model!$BB$148</definedName>
    <definedName name="v_34_XHFO_L">Model!$AX$148</definedName>
    <definedName name="v_34_XHFO_L_P">Model!$BA$148</definedName>
    <definedName name="v_34_XHFO_L_P_old">Model!$BC$148</definedName>
    <definedName name="v_34_XHFO_old">Model!$AY$148</definedName>
    <definedName name="v_34_XHMETO">Model!$W$148</definedName>
    <definedName name="v_34_XINORG">Model!$AP$148</definedName>
    <definedName name="v_34_XMEOLO">Model!$T$148</definedName>
    <definedName name="v_34_XN_B">Model!$AC$148</definedName>
    <definedName name="v_34_XN_Be">Model!$AD$148</definedName>
    <definedName name="v_34_XN_U">Model!$AE$148</definedName>
    <definedName name="v_34_XNITO">Model!$U$148</definedName>
    <definedName name="v_34_XOHO">Model!$R$148</definedName>
    <definedName name="v_34_XP_B">Model!$AI$148</definedName>
    <definedName name="v_34_XP_Be">Model!$AJ$148</definedName>
    <definedName name="v_34_XP_U">Model!$AK$148</definedName>
    <definedName name="v_34_XPFOA">Model!$BQ$148</definedName>
    <definedName name="v_34_XPFOS">Model!$BS$148</definedName>
    <definedName name="v_34_XPHA_GAO">Model!$O$148</definedName>
    <definedName name="v_34_XPHA_PAO">Model!$N$148</definedName>
    <definedName name="v_34_XPP">Model!$AG$148</definedName>
    <definedName name="v_34_XSTR">Model!$BN$148</definedName>
    <definedName name="v_34_XU">Model!$M$148</definedName>
    <definedName name="v_34_XVivi">Model!$BO$148</definedName>
    <definedName name="v_35_CB">Model!$H$149</definedName>
    <definedName name="v_35_CU">Model!$L$149</definedName>
    <definedName name="v_35_GCH4">Model!$BX$149</definedName>
    <definedName name="v_35_GCH4_atm">Model!$CD$149</definedName>
    <definedName name="v_35_GCO2">Model!$BW$149</definedName>
    <definedName name="v_35_GCO2_atm">Model!$CC$149</definedName>
    <definedName name="v_35_GH2">Model!$BY$149</definedName>
    <definedName name="v_35_GH2_atm">Model!$CE$149</definedName>
    <definedName name="v_35_GN2">Model!$CB$149</definedName>
    <definedName name="v_35_GN2_atm">Model!$CH$149</definedName>
    <definedName name="v_35_GNH3">Model!$CA$149</definedName>
    <definedName name="v_35_GNH3_atm">Model!$CG$149</definedName>
    <definedName name="v_35_GO2">Model!$BZ$149</definedName>
    <definedName name="v_35_GO2_atm">Model!$CF$149</definedName>
    <definedName name="v_35_SALPHA">Model!$BU$149</definedName>
    <definedName name="v_35_SAN">Model!$AR$149</definedName>
    <definedName name="v_35_SB">Model!$F$149</definedName>
    <definedName name="v_35_SCa">Model!$AS$149</definedName>
    <definedName name="v_35_SCAT">Model!$AQ$149</definedName>
    <definedName name="v_35_SCH4">Model!$AM$149</definedName>
    <definedName name="v_35_SCO2">Model!$AO$149</definedName>
    <definedName name="v_35_SFe2">Model!$AV$149</definedName>
    <definedName name="v_35_SH">Model!$BT$149</definedName>
    <definedName name="v_35_SH2">Model!$AN$149</definedName>
    <definedName name="v_35_SK">Model!$AU$149</definedName>
    <definedName name="v_35_SMEOL">Model!$G$149</definedName>
    <definedName name="v_35_SMg">Model!$AT$149</definedName>
    <definedName name="v_35_SN_B">Model!$AB$149</definedName>
    <definedName name="v_35_SN2">Model!$AA$149</definedName>
    <definedName name="v_35_SNHx">Model!$Y$149</definedName>
    <definedName name="v_35_SNOx">Model!$Z$149</definedName>
    <definedName name="v_35_SO2">Model!$AL$149</definedName>
    <definedName name="v_35_SORPswitch">Model!$BV$149</definedName>
    <definedName name="v_35_SP_B">Model!$AH$149</definedName>
    <definedName name="v_35_SPFOA">Model!$BP$149</definedName>
    <definedName name="v_35_SPFOS">Model!$BR$149</definedName>
    <definedName name="v_35_SPO4">Model!$AF$149</definedName>
    <definedName name="v_35_SU">Model!$K$149</definedName>
    <definedName name="v_35_SVFA">Model!$E$149</definedName>
    <definedName name="v_35_XACP">Model!$BL$149</definedName>
    <definedName name="v_35_XALGAE">Model!$X$149</definedName>
    <definedName name="v_35_XAMETO">Model!$V$149</definedName>
    <definedName name="v_35_XB">Model!$I$149</definedName>
    <definedName name="v_35_XB_e">Model!$J$149</definedName>
    <definedName name="v_35_XBSH">Model!$BM$149</definedName>
    <definedName name="v_35_XCaCO3">Model!$BK$149</definedName>
    <definedName name="v_35_XCASTO">Model!$S$149</definedName>
    <definedName name="v_35_XE">Model!$P$149</definedName>
    <definedName name="v_35_XE_ana">Model!$Q$149</definedName>
    <definedName name="v_35_XHAO_H">Model!$BD$149</definedName>
    <definedName name="v_35_XHAO_H_P">Model!$BG$149</definedName>
    <definedName name="v_35_XHAO_H_P_old">Model!$BI$149</definedName>
    <definedName name="v_35_XHAO_L">Model!$BE$149</definedName>
    <definedName name="v_35_XHAO_L_P">Model!$BH$149</definedName>
    <definedName name="v_35_XHAO_L_P_old">Model!$BJ$149</definedName>
    <definedName name="v_35_XHAO_old">Model!$BF$149</definedName>
    <definedName name="v_35_XHFO_H">Model!$AW$149</definedName>
    <definedName name="v_35_XHFO_H_P">Model!$AZ$149</definedName>
    <definedName name="v_35_XHFO_H_P_old">Model!$BB$149</definedName>
    <definedName name="v_35_XHFO_L">Model!$AX$149</definedName>
    <definedName name="v_35_XHFO_L_P">Model!$BA$149</definedName>
    <definedName name="v_35_XHFO_L_P_old">Model!$BC$149</definedName>
    <definedName name="v_35_XHFO_old">Model!$AY$149</definedName>
    <definedName name="v_35_XHMETO">Model!$W$149</definedName>
    <definedName name="v_35_XINORG">Model!$AP$149</definedName>
    <definedName name="v_35_XMEOLO">Model!$T$149</definedName>
    <definedName name="v_35_XN_B">Model!$AC$149</definedName>
    <definedName name="v_35_XN_Be">Model!$AD$149</definedName>
    <definedName name="v_35_XN_U">Model!$AE$149</definedName>
    <definedName name="v_35_XNITO">Model!$U$149</definedName>
    <definedName name="v_35_XOHO">Model!$R$149</definedName>
    <definedName name="v_35_XP_B">Model!$AI$149</definedName>
    <definedName name="v_35_XP_Be">Model!$AJ$149</definedName>
    <definedName name="v_35_XP_U">Model!$AK$149</definedName>
    <definedName name="v_35_XPFOA">Model!$BQ$149</definedName>
    <definedName name="v_35_XPFOS">Model!$BS$149</definedName>
    <definedName name="v_35_XPHA_GAO">Model!$O$149</definedName>
    <definedName name="v_35_XPHA_PAO">Model!$N$149</definedName>
    <definedName name="v_35_XPP">Model!$AG$149</definedName>
    <definedName name="v_35_XSTR">Model!$BN$149</definedName>
    <definedName name="v_35_XU">Model!$M$149</definedName>
    <definedName name="v_35_XVivi">Model!$BO$149</definedName>
    <definedName name="v_36_CB">Model!$H$150</definedName>
    <definedName name="v_36_CU">Model!$L$150</definedName>
    <definedName name="v_36_GCH4">Model!$BX$150</definedName>
    <definedName name="v_36_GCH4_atm">Model!$CD$150</definedName>
    <definedName name="v_36_GCO2">Model!$BW$150</definedName>
    <definedName name="v_36_GCO2_atm">Model!$CC$150</definedName>
    <definedName name="v_36_GH2">Model!$BY$150</definedName>
    <definedName name="v_36_GH2_atm">Model!$CE$150</definedName>
    <definedName name="v_36_GN2">Model!$CB$150</definedName>
    <definedName name="v_36_GN2_atm">Model!$CH$150</definedName>
    <definedName name="v_36_GNH3">Model!$CA$150</definedName>
    <definedName name="v_36_GNH3_atm">Model!$CG$150</definedName>
    <definedName name="v_36_GO2">Model!$BZ$150</definedName>
    <definedName name="v_36_GO2_atm">Model!$CF$150</definedName>
    <definedName name="v_36_SALPHA">Model!$BU$150</definedName>
    <definedName name="v_36_SAN">Model!$AR$150</definedName>
    <definedName name="v_36_SB">Model!$F$150</definedName>
    <definedName name="v_36_SCa">Model!$AS$150</definedName>
    <definedName name="v_36_SCAT">Model!$AQ$150</definedName>
    <definedName name="v_36_SCH4">Model!$AM$150</definedName>
    <definedName name="v_36_SCO2">Model!$AO$150</definedName>
    <definedName name="v_36_SFe2">Model!$AV$150</definedName>
    <definedName name="v_36_SH">Model!$BT$150</definedName>
    <definedName name="v_36_SH2">Model!$AN$150</definedName>
    <definedName name="v_36_SK">Model!$AU$150</definedName>
    <definedName name="v_36_SMEOL">Model!$G$150</definedName>
    <definedName name="v_36_SMg">Model!$AT$150</definedName>
    <definedName name="v_36_SN_B">Model!$AB$150</definedName>
    <definedName name="v_36_SN2">Model!$AA$150</definedName>
    <definedName name="v_36_SNHx">Model!$Y$150</definedName>
    <definedName name="v_36_SNOx">Model!$Z$150</definedName>
    <definedName name="v_36_SO2">Model!$AL$150</definedName>
    <definedName name="v_36_SORPswitch">Model!$BV$150</definedName>
    <definedName name="v_36_SP_B">Model!$AH$150</definedName>
    <definedName name="v_36_SPFOA">Model!$BP$150</definedName>
    <definedName name="v_36_SPFOS">Model!$BR$150</definedName>
    <definedName name="v_36_SPO4">Model!$AF$150</definedName>
    <definedName name="v_36_SU">Model!$K$150</definedName>
    <definedName name="v_36_SVFA">Model!$E$150</definedName>
    <definedName name="v_36_XACP">Model!$BL$150</definedName>
    <definedName name="v_36_XALGAE">Model!$X$150</definedName>
    <definedName name="v_36_XAMETO">Model!$V$150</definedName>
    <definedName name="v_36_XB">Model!$I$150</definedName>
    <definedName name="v_36_XB_e">Model!$J$150</definedName>
    <definedName name="v_36_XBSH">Model!$BM$150</definedName>
    <definedName name="v_36_XCaCO3">Model!$BK$150</definedName>
    <definedName name="v_36_XCASTO">Model!$S$150</definedName>
    <definedName name="v_36_XE">Model!$P$150</definedName>
    <definedName name="v_36_XE_ana">Model!$Q$150</definedName>
    <definedName name="v_36_XHAO_H">Model!$BD$150</definedName>
    <definedName name="v_36_XHAO_H_P">Model!$BG$150</definedName>
    <definedName name="v_36_XHAO_H_P_old">Model!$BI$150</definedName>
    <definedName name="v_36_XHAO_L">Model!$BE$150</definedName>
    <definedName name="v_36_XHAO_L_P">Model!$BH$150</definedName>
    <definedName name="v_36_XHAO_L_P_old">Model!$BJ$150</definedName>
    <definedName name="v_36_XHAO_old">Model!$BF$150</definedName>
    <definedName name="v_36_XHFO_H">Model!$AW$150</definedName>
    <definedName name="v_36_XHFO_H_P">Model!$AZ$150</definedName>
    <definedName name="v_36_XHFO_H_P_old">Model!$BB$150</definedName>
    <definedName name="v_36_XHFO_L">Model!$AX$150</definedName>
    <definedName name="v_36_XHFO_L_P">Model!$BA$150</definedName>
    <definedName name="v_36_XHFO_L_P_old">Model!$BC$150</definedName>
    <definedName name="v_36_XHFO_old">Model!$AY$150</definedName>
    <definedName name="v_36_XHMETO">Model!$W$150</definedName>
    <definedName name="v_36_XINORG">Model!$AP$150</definedName>
    <definedName name="v_36_XMEOLO">Model!$T$150</definedName>
    <definedName name="v_36_XN_B">Model!$AC$150</definedName>
    <definedName name="v_36_XN_Be">Model!$AD$150</definedName>
    <definedName name="v_36_XN_U">Model!$AE$150</definedName>
    <definedName name="v_36_XNITO">Model!$U$150</definedName>
    <definedName name="v_36_XOHO">Model!$R$150</definedName>
    <definedName name="v_36_XP_B">Model!$AI$150</definedName>
    <definedName name="v_36_XP_Be">Model!$AJ$150</definedName>
    <definedName name="v_36_XP_U">Model!$AK$150</definedName>
    <definedName name="v_36_XPFOA">Model!$BQ$150</definedName>
    <definedName name="v_36_XPFOS">Model!$BS$150</definedName>
    <definedName name="v_36_XPHA_GAO">Model!$O$150</definedName>
    <definedName name="v_36_XPHA_PAO">Model!$N$150</definedName>
    <definedName name="v_36_XPP">Model!$AG$150</definedName>
    <definedName name="v_36_XSTR">Model!$BN$150</definedName>
    <definedName name="v_36_XU">Model!$M$150</definedName>
    <definedName name="v_36_XVivi">Model!$BO$150</definedName>
    <definedName name="v_37_CB">Model!$H$151</definedName>
    <definedName name="v_37_CU">Model!$L$151</definedName>
    <definedName name="v_37_GCH4">Model!$BX$151</definedName>
    <definedName name="v_37_GCH4_atm">Model!$CD$151</definedName>
    <definedName name="v_37_GCO2">Model!$BW$151</definedName>
    <definedName name="v_37_GCO2_atm">Model!$CC$151</definedName>
    <definedName name="v_37_GH2">Model!$BY$151</definedName>
    <definedName name="v_37_GH2_atm">Model!$CE$151</definedName>
    <definedName name="v_37_GN2">Model!$CB$151</definedName>
    <definedName name="v_37_GN2_atm">Model!$CH$151</definedName>
    <definedName name="v_37_GNH3">Model!$CA$151</definedName>
    <definedName name="v_37_GNH3_atm">Model!$CG$151</definedName>
    <definedName name="v_37_GO2">Model!$BZ$151</definedName>
    <definedName name="v_37_GO2_atm">Model!$CF$151</definedName>
    <definedName name="v_37_SALPHA">Model!$BU$151</definedName>
    <definedName name="v_37_SAN">Model!$AR$151</definedName>
    <definedName name="v_37_SB">Model!$F$151</definedName>
    <definedName name="v_37_SCa">Model!$AS$151</definedName>
    <definedName name="v_37_SCAT">Model!$AQ$151</definedName>
    <definedName name="v_37_SCH4">Model!$AM$151</definedName>
    <definedName name="v_37_SCO2">Model!$AO$151</definedName>
    <definedName name="v_37_SFe2">Model!$AV$151</definedName>
    <definedName name="v_37_SH">Model!$BT$151</definedName>
    <definedName name="v_37_SH2">Model!$AN$151</definedName>
    <definedName name="v_37_SK">Model!$AU$151</definedName>
    <definedName name="v_37_SMEOL">Model!$G$151</definedName>
    <definedName name="v_37_SMg">Model!$AT$151</definedName>
    <definedName name="v_37_SN_B">Model!$AB$151</definedName>
    <definedName name="v_37_SN2">Model!$AA$151</definedName>
    <definedName name="v_37_SNHx">Model!$Y$151</definedName>
    <definedName name="v_37_SNOx">Model!$Z$151</definedName>
    <definedName name="v_37_SO2">Model!$AL$151</definedName>
    <definedName name="v_37_SORPswitch">Model!$BV$151</definedName>
    <definedName name="v_37_SP_B">Model!$AH$151</definedName>
    <definedName name="v_37_SPFOA">Model!$BP$151</definedName>
    <definedName name="v_37_SPFOS">Model!$BR$151</definedName>
    <definedName name="v_37_SPO4">Model!$AF$151</definedName>
    <definedName name="v_37_SU">Model!$K$151</definedName>
    <definedName name="v_37_SVFA">Model!$E$151</definedName>
    <definedName name="v_37_XACP">Model!$BL$151</definedName>
    <definedName name="v_37_XALGAE">Model!$X$151</definedName>
    <definedName name="v_37_XAMETO">Model!$V$151</definedName>
    <definedName name="v_37_XB">Model!$I$151</definedName>
    <definedName name="v_37_XB_e">Model!$J$151</definedName>
    <definedName name="v_37_XBSH">Model!$BM$151</definedName>
    <definedName name="v_37_XCaCO3">Model!$BK$151</definedName>
    <definedName name="v_37_XCASTO">Model!$S$151</definedName>
    <definedName name="v_37_XE">Model!$P$151</definedName>
    <definedName name="v_37_XE_ana">Model!$Q$151</definedName>
    <definedName name="v_37_XHAO_H">Model!$BD$151</definedName>
    <definedName name="v_37_XHAO_H_P">Model!$BG$151</definedName>
    <definedName name="v_37_XHAO_H_P_old">Model!$BI$151</definedName>
    <definedName name="v_37_XHAO_L">Model!$BE$151</definedName>
    <definedName name="v_37_XHAO_L_P">Model!$BH$151</definedName>
    <definedName name="v_37_XHAO_L_P_old">Model!$BJ$151</definedName>
    <definedName name="v_37_XHAO_old">Model!$BF$151</definedName>
    <definedName name="v_37_XHFO_H">Model!$AW$151</definedName>
    <definedName name="v_37_XHFO_H_P">Model!$AZ$151</definedName>
    <definedName name="v_37_XHFO_H_P_old">Model!$BB$151</definedName>
    <definedName name="v_37_XHFO_L">Model!$AX$151</definedName>
    <definedName name="v_37_XHFO_L_P">Model!$BA$151</definedName>
    <definedName name="v_37_XHFO_L_P_old">Model!$BC$151</definedName>
    <definedName name="v_37_XHFO_old">Model!$AY$151</definedName>
    <definedName name="v_37_XHMETO">Model!$W$151</definedName>
    <definedName name="v_37_XINORG">Model!$AP$151</definedName>
    <definedName name="v_37_XMEOLO">Model!$T$151</definedName>
    <definedName name="v_37_XN_B">Model!$AC$151</definedName>
    <definedName name="v_37_XN_Be">Model!$AD$151</definedName>
    <definedName name="v_37_XN_U">Model!$AE$151</definedName>
    <definedName name="v_37_XNITO">Model!$U$151</definedName>
    <definedName name="v_37_XOHO">Model!$R$151</definedName>
    <definedName name="v_37_XP_B">Model!$AI$151</definedName>
    <definedName name="v_37_XP_Be">Model!$AJ$151</definedName>
    <definedName name="v_37_XP_U">Model!$AK$151</definedName>
    <definedName name="v_37_XPFOA">Model!$BQ$151</definedName>
    <definedName name="v_37_XPFOS">Model!$BS$151</definedName>
    <definedName name="v_37_XPHA_GAO">Model!$O$151</definedName>
    <definedName name="v_37_XPHA_PAO">Model!$N$151</definedName>
    <definedName name="v_37_XPP">Model!$AG$151</definedName>
    <definedName name="v_37_XSTR">Model!$BN$151</definedName>
    <definedName name="v_37_XU">Model!$M$151</definedName>
    <definedName name="v_37_XVivi">Model!$BO$151</definedName>
    <definedName name="v_38_CB">Model!$H$152</definedName>
    <definedName name="v_38_CU">Model!$L$152</definedName>
    <definedName name="v_38_GCH4">Model!$BX$152</definedName>
    <definedName name="v_38_GCH4_atm">Model!$CD$152</definedName>
    <definedName name="v_38_GCO2">Model!$BW$152</definedName>
    <definedName name="v_38_GCO2_atm">Model!$CC$152</definedName>
    <definedName name="v_38_GH2">Model!$BY$152</definedName>
    <definedName name="v_38_GH2_atm">Model!$CE$152</definedName>
    <definedName name="v_38_GN2">Model!$CB$152</definedName>
    <definedName name="v_38_GN2_atm">Model!$CH$152</definedName>
    <definedName name="v_38_GNH3">Model!$CA$152</definedName>
    <definedName name="v_38_GNH3_atm">Model!$CG$152</definedName>
    <definedName name="v_38_GO2">Model!$BZ$152</definedName>
    <definedName name="v_38_GO2_atm">Model!$CF$152</definedName>
    <definedName name="v_38_SALPHA">Model!$BU$152</definedName>
    <definedName name="v_38_SAN">Model!$AR$152</definedName>
    <definedName name="v_38_SB">Model!$F$152</definedName>
    <definedName name="v_38_SCa">Model!$AS$152</definedName>
    <definedName name="v_38_SCAT">Model!$AQ$152</definedName>
    <definedName name="v_38_SCH4">Model!$AM$152</definedName>
    <definedName name="v_38_SCO2">Model!$AO$152</definedName>
    <definedName name="v_38_SFe2">Model!$AV$152</definedName>
    <definedName name="v_38_SH">Model!$BT$152</definedName>
    <definedName name="v_38_SH2">Model!$AN$152</definedName>
    <definedName name="v_38_SK">Model!$AU$152</definedName>
    <definedName name="v_38_SMEOL">Model!$G$152</definedName>
    <definedName name="v_38_SMg">Model!$AT$152</definedName>
    <definedName name="v_38_SN_B">Model!$AB$152</definedName>
    <definedName name="v_38_SN2">Model!$AA$152</definedName>
    <definedName name="v_38_SNHx">Model!$Y$152</definedName>
    <definedName name="v_38_SNOx">Model!$Z$152</definedName>
    <definedName name="v_38_SO2">Model!$AL$152</definedName>
    <definedName name="v_38_SORPswitch">Model!$BV$152</definedName>
    <definedName name="v_38_SP_B">Model!$AH$152</definedName>
    <definedName name="v_38_SPFOA">Model!$BP$152</definedName>
    <definedName name="v_38_SPFOS">Model!$BR$152</definedName>
    <definedName name="v_38_SPO4">Model!$AF$152</definedName>
    <definedName name="v_38_SU">Model!$K$152</definedName>
    <definedName name="v_38_SVFA">Model!$E$152</definedName>
    <definedName name="v_38_XACP">Model!$BL$152</definedName>
    <definedName name="v_38_XALGAE">Model!$X$152</definedName>
    <definedName name="v_38_XAMETO">Model!$V$152</definedName>
    <definedName name="v_38_XB">Model!$I$152</definedName>
    <definedName name="v_38_XB_e">Model!$J$152</definedName>
    <definedName name="v_38_XBSH">Model!$BM$152</definedName>
    <definedName name="v_38_XCaCO3">Model!$BK$152</definedName>
    <definedName name="v_38_XCASTO">Model!$S$152</definedName>
    <definedName name="v_38_XE">Model!$P$152</definedName>
    <definedName name="v_38_XE_ana">Model!$Q$152</definedName>
    <definedName name="v_38_XHAO_H">Model!$BD$152</definedName>
    <definedName name="v_38_XHAO_H_P">Model!$BG$152</definedName>
    <definedName name="v_38_XHAO_H_P_old">Model!$BI$152</definedName>
    <definedName name="v_38_XHAO_L">Model!$BE$152</definedName>
    <definedName name="v_38_XHAO_L_P">Model!$BH$152</definedName>
    <definedName name="v_38_XHAO_L_P_old">Model!$BJ$152</definedName>
    <definedName name="v_38_XHAO_old">Model!$BF$152</definedName>
    <definedName name="v_38_XHFO_H">Model!$AW$152</definedName>
    <definedName name="v_38_XHFO_H_P">Model!$AZ$152</definedName>
    <definedName name="v_38_XHFO_H_P_old">Model!$BB$152</definedName>
    <definedName name="v_38_XHFO_L">Model!$AX$152</definedName>
    <definedName name="v_38_XHFO_L_P">Model!$BA$152</definedName>
    <definedName name="v_38_XHFO_L_P_old">Model!$BC$152</definedName>
    <definedName name="v_38_XHFO_old">Model!$AY$152</definedName>
    <definedName name="v_38_XHMETO">Model!$W$152</definedName>
    <definedName name="v_38_XINORG">Model!$AP$152</definedName>
    <definedName name="v_38_XMEOLO">Model!$T$152</definedName>
    <definedName name="v_38_XN_B">Model!$AC$152</definedName>
    <definedName name="v_38_XN_Be">Model!$AD$152</definedName>
    <definedName name="v_38_XN_U">Model!$AE$152</definedName>
    <definedName name="v_38_XNITO">Model!$U$152</definedName>
    <definedName name="v_38_XOHO">Model!$R$152</definedName>
    <definedName name="v_38_XP_B">Model!$AI$152</definedName>
    <definedName name="v_38_XP_Be">Model!$AJ$152</definedName>
    <definedName name="v_38_XP_U">Model!$AK$152</definedName>
    <definedName name="v_38_XPFOA">Model!$BQ$152</definedName>
    <definedName name="v_38_XPFOS">Model!$BS$152</definedName>
    <definedName name="v_38_XPHA_GAO">Model!$O$152</definedName>
    <definedName name="v_38_XPHA_PAO">Model!$N$152</definedName>
    <definedName name="v_38_XPP">Model!$AG$152</definedName>
    <definedName name="v_38_XSTR">Model!$BN$152</definedName>
    <definedName name="v_38_XU">Model!$M$152</definedName>
    <definedName name="v_38_XVivi">Model!$BO$152</definedName>
    <definedName name="v_39_CB">Model!$H$153</definedName>
    <definedName name="v_39_CU">Model!$L$153</definedName>
    <definedName name="v_39_GCH4">Model!$BX$153</definedName>
    <definedName name="v_39_GCH4_atm">Model!$CD$153</definedName>
    <definedName name="v_39_GCO2">Model!$BW$153</definedName>
    <definedName name="v_39_GCO2_atm">Model!$CC$153</definedName>
    <definedName name="v_39_GH2">Model!$BY$153</definedName>
    <definedName name="v_39_GH2_atm">Model!$CE$153</definedName>
    <definedName name="v_39_GN2">Model!$CB$153</definedName>
    <definedName name="v_39_GN2_atm">Model!$CH$153</definedName>
    <definedName name="v_39_GNH3">Model!$CA$153</definedName>
    <definedName name="v_39_GNH3_atm">Model!$CG$153</definedName>
    <definedName name="v_39_GO2">Model!$BZ$153</definedName>
    <definedName name="v_39_GO2_atm">Model!$CF$153</definedName>
    <definedName name="v_39_SALPHA">Model!$BU$153</definedName>
    <definedName name="v_39_SAN">Model!$AR$153</definedName>
    <definedName name="v_39_SB">Model!$F$153</definedName>
    <definedName name="v_39_SCa">Model!$AS$153</definedName>
    <definedName name="v_39_SCAT">Model!$AQ$153</definedName>
    <definedName name="v_39_SCH4">Model!$AM$153</definedName>
    <definedName name="v_39_SCO2">Model!$AO$153</definedName>
    <definedName name="v_39_SFe2">Model!$AV$153</definedName>
    <definedName name="v_39_SH">Model!$BT$153</definedName>
    <definedName name="v_39_SH2">Model!$AN$153</definedName>
    <definedName name="v_39_SK">Model!$AU$153</definedName>
    <definedName name="v_39_SMEOL">Model!$G$153</definedName>
    <definedName name="v_39_SMg">Model!$AT$153</definedName>
    <definedName name="v_39_SN_B">Model!$AB$153</definedName>
    <definedName name="v_39_SN2">Model!$AA$153</definedName>
    <definedName name="v_39_SNHx">Model!$Y$153</definedName>
    <definedName name="v_39_SNOx">Model!$Z$153</definedName>
    <definedName name="v_39_SO2">Model!$AL$153</definedName>
    <definedName name="v_39_SORPswitch">Model!$BV$153</definedName>
    <definedName name="v_39_SP_B">Model!$AH$153</definedName>
    <definedName name="v_39_SPFOA">Model!$BP$153</definedName>
    <definedName name="v_39_SPFOS">Model!$BR$153</definedName>
    <definedName name="v_39_SPO4">Model!$AF$153</definedName>
    <definedName name="v_39_SU">Model!$K$153</definedName>
    <definedName name="v_39_SVFA">Model!$E$153</definedName>
    <definedName name="v_39_XACP">Model!$BL$153</definedName>
    <definedName name="v_39_XALGAE">Model!$X$153</definedName>
    <definedName name="v_39_XAMETO">Model!$V$153</definedName>
    <definedName name="v_39_XB">Model!$I$153</definedName>
    <definedName name="v_39_XB_e">Model!$J$153</definedName>
    <definedName name="v_39_XBSH">Model!$BM$153</definedName>
    <definedName name="v_39_XCaCO3">Model!$BK$153</definedName>
    <definedName name="v_39_XCASTO">Model!$S$153</definedName>
    <definedName name="v_39_XE">Model!$P$153</definedName>
    <definedName name="v_39_XE_ana">Model!$Q$153</definedName>
    <definedName name="v_39_XHAO_H">Model!$BD$153</definedName>
    <definedName name="v_39_XHAO_H_P">Model!$BG$153</definedName>
    <definedName name="v_39_XHAO_H_P_old">Model!$BI$153</definedName>
    <definedName name="v_39_XHAO_L">Model!$BE$153</definedName>
    <definedName name="v_39_XHAO_L_P">Model!$BH$153</definedName>
    <definedName name="v_39_XHAO_L_P_old">Model!$BJ$153</definedName>
    <definedName name="v_39_XHAO_old">Model!$BF$153</definedName>
    <definedName name="v_39_XHFO_H">Model!$AW$153</definedName>
    <definedName name="v_39_XHFO_H_P">Model!$AZ$153</definedName>
    <definedName name="v_39_XHFO_H_P_old">Model!$BB$153</definedName>
    <definedName name="v_39_XHFO_L">Model!$AX$153</definedName>
    <definedName name="v_39_XHFO_L_P">Model!$BA$153</definedName>
    <definedName name="v_39_XHFO_L_P_old">Model!$BC$153</definedName>
    <definedName name="v_39_XHFO_old">Model!$AY$153</definedName>
    <definedName name="v_39_XHMETO">Model!$W$153</definedName>
    <definedName name="v_39_XINORG">Model!$AP$153</definedName>
    <definedName name="v_39_XMEOLO">Model!$T$153</definedName>
    <definedName name="v_39_XN_B">Model!$AC$153</definedName>
    <definedName name="v_39_XN_Be">Model!$AD$153</definedName>
    <definedName name="v_39_XN_U">Model!$AE$153</definedName>
    <definedName name="v_39_XNITO">Model!$U$153</definedName>
    <definedName name="v_39_XOHO">Model!$R$153</definedName>
    <definedName name="v_39_XP_B">Model!$AI$153</definedName>
    <definedName name="v_39_XP_Be">Model!$AJ$153</definedName>
    <definedName name="v_39_XP_U">Model!$AK$153</definedName>
    <definedName name="v_39_XPFOA">Model!$BQ$153</definedName>
    <definedName name="v_39_XPFOS">Model!$BS$153</definedName>
    <definedName name="v_39_XPHA_GAO">Model!$O$153</definedName>
    <definedName name="v_39_XPHA_PAO">Model!$N$153</definedName>
    <definedName name="v_39_XPP">Model!$AG$153</definedName>
    <definedName name="v_39_XSTR">Model!$BN$153</definedName>
    <definedName name="v_39_XU">Model!$M$153</definedName>
    <definedName name="v_39_XVivi">Model!$BO$153</definedName>
    <definedName name="v_4_CB">Model!$H$118</definedName>
    <definedName name="v_4_CU">Model!$L$118</definedName>
    <definedName name="v_4_GCH4">Model!$BX$118</definedName>
    <definedName name="v_4_GCH4_atm">Model!$CD$118</definedName>
    <definedName name="v_4_GCO2">Model!$BW$118</definedName>
    <definedName name="v_4_GCO2_atm">Model!$CC$118</definedName>
    <definedName name="v_4_GH2">Model!$BY$118</definedName>
    <definedName name="v_4_GH2_atm">Model!$CE$118</definedName>
    <definedName name="v_4_GN2">Model!$CB$118</definedName>
    <definedName name="v_4_GN2_atm">Model!$CH$118</definedName>
    <definedName name="v_4_GNH3">Model!$CA$118</definedName>
    <definedName name="v_4_GNH3_atm">Model!$CG$118</definedName>
    <definedName name="v_4_GO2">Model!$BZ$118</definedName>
    <definedName name="v_4_GO2_atm">Model!$CF$118</definedName>
    <definedName name="v_4_SALPHA">Model!$BU$118</definedName>
    <definedName name="v_4_SAN">Model!$AR$118</definedName>
    <definedName name="v_4_SB">Model!$F$118</definedName>
    <definedName name="v_4_SCa">Model!$AS$118</definedName>
    <definedName name="v_4_SCAT">Model!$AQ$118</definedName>
    <definedName name="v_4_SCH4">Model!$AM$118</definedName>
    <definedName name="v_4_SCO2">Model!$AO$118</definedName>
    <definedName name="v_4_SFe2">Model!$AV$118</definedName>
    <definedName name="v_4_SH">Model!$BT$118</definedName>
    <definedName name="v_4_SH2">Model!$AN$118</definedName>
    <definedName name="v_4_SK">Model!$AU$118</definedName>
    <definedName name="v_4_SMEOL">Model!$G$118</definedName>
    <definedName name="v_4_SMg">Model!$AT$118</definedName>
    <definedName name="v_4_SN_B">Model!$AB$118</definedName>
    <definedName name="v_4_SN2">Model!$AA$118</definedName>
    <definedName name="v_4_SNHx">Model!$Y$118</definedName>
    <definedName name="v_4_SNOx">Model!$Z$118</definedName>
    <definedName name="v_4_SO2">Model!$AL$118</definedName>
    <definedName name="v_4_SORPswitch">Model!$BV$118</definedName>
    <definedName name="v_4_SP_B">Model!$AH$118</definedName>
    <definedName name="v_4_SPFOA">Model!$BP$118</definedName>
    <definedName name="v_4_SPFOS">Model!$BR$118</definedName>
    <definedName name="v_4_SPO4">Model!$AF$118</definedName>
    <definedName name="v_4_SU">Model!$K$118</definedName>
    <definedName name="v_4_SVFA">Model!$E$118</definedName>
    <definedName name="v_4_XACP">Model!$BL$118</definedName>
    <definedName name="v_4_XALGAE">Model!$X$118</definedName>
    <definedName name="v_4_XAMETO">Model!$V$118</definedName>
    <definedName name="v_4_XB">Model!$I$118</definedName>
    <definedName name="v_4_XB_e">Model!$J$118</definedName>
    <definedName name="v_4_XBSH">Model!$BM$118</definedName>
    <definedName name="v_4_XCaCO3">Model!$BK$118</definedName>
    <definedName name="v_4_XCASTO">Model!$S$118</definedName>
    <definedName name="v_4_XE">Model!$P$118</definedName>
    <definedName name="v_4_XE_ana">Model!$Q$118</definedName>
    <definedName name="v_4_XHAO_H">Model!$BD$118</definedName>
    <definedName name="v_4_XHAO_H_P">Model!$BG$118</definedName>
    <definedName name="v_4_XHAO_H_P_old">Model!$BI$118</definedName>
    <definedName name="v_4_XHAO_L">Model!$BE$118</definedName>
    <definedName name="v_4_XHAO_L_P">Model!$BH$118</definedName>
    <definedName name="v_4_XHAO_L_P_old">Model!$BJ$118</definedName>
    <definedName name="v_4_XHAO_old">Model!$BF$118</definedName>
    <definedName name="v_4_XHFO_H">Model!$AW$118</definedName>
    <definedName name="v_4_XHFO_H_P">Model!$AZ$118</definedName>
    <definedName name="v_4_XHFO_H_P_old">Model!$BB$118</definedName>
    <definedName name="v_4_XHFO_L">Model!$AX$118</definedName>
    <definedName name="v_4_XHFO_L_P">Model!$BA$118</definedName>
    <definedName name="v_4_XHFO_L_P_old">Model!$BC$118</definedName>
    <definedName name="v_4_XHFO_old">Model!$AY$118</definedName>
    <definedName name="v_4_XHMETO">Model!$W$118</definedName>
    <definedName name="v_4_XINORG">Model!$AP$118</definedName>
    <definedName name="v_4_XMEOLO">Model!$T$118</definedName>
    <definedName name="v_4_XN_B">Model!$AC$118</definedName>
    <definedName name="v_4_XN_Be">Model!$AD$118</definedName>
    <definedName name="v_4_XN_U">Model!$AE$118</definedName>
    <definedName name="v_4_XNITO">Model!$U$118</definedName>
    <definedName name="v_4_XOHO">Model!$R$118</definedName>
    <definedName name="v_4_XP_B">Model!$AI$118</definedName>
    <definedName name="v_4_XP_Be">Model!$AJ$118</definedName>
    <definedName name="v_4_XP_U">Model!$AK$118</definedName>
    <definedName name="v_4_XPFOA">Model!$BQ$118</definedName>
    <definedName name="v_4_XPFOS">Model!$BS$118</definedName>
    <definedName name="v_4_XPHA_GAO">Model!$O$118</definedName>
    <definedName name="v_4_XPHA_PAO">Model!$N$118</definedName>
    <definedName name="v_4_XPP">Model!$AG$118</definedName>
    <definedName name="v_4_XSTR">Model!$BN$118</definedName>
    <definedName name="v_4_XU">Model!$M$118</definedName>
    <definedName name="v_4_XVivi">Model!$BO$118</definedName>
    <definedName name="v_40_CB">Model!$H$154</definedName>
    <definedName name="v_40_CU">Model!$L$154</definedName>
    <definedName name="v_40_GCH4">Model!$BX$154</definedName>
    <definedName name="v_40_GCH4_atm">Model!$CD$154</definedName>
    <definedName name="v_40_GCO2">Model!$BW$154</definedName>
    <definedName name="v_40_GCO2_atm">Model!$CC$154</definedName>
    <definedName name="v_40_GH2">Model!$BY$154</definedName>
    <definedName name="v_40_GH2_atm">Model!$CE$154</definedName>
    <definedName name="v_40_GN2">Model!$CB$154</definedName>
    <definedName name="v_40_GN2_atm">Model!$CH$154</definedName>
    <definedName name="v_40_GNH3">Model!$CA$154</definedName>
    <definedName name="v_40_GNH3_atm">Model!$CG$154</definedName>
    <definedName name="v_40_GO2">Model!$BZ$154</definedName>
    <definedName name="v_40_GO2_atm">Model!$CF$154</definedName>
    <definedName name="v_40_SALPHA">Model!$BU$154</definedName>
    <definedName name="v_40_SAN">Model!$AR$154</definedName>
    <definedName name="v_40_SB">Model!$F$154</definedName>
    <definedName name="v_40_SCa">Model!$AS$154</definedName>
    <definedName name="v_40_SCAT">Model!$AQ$154</definedName>
    <definedName name="v_40_SCH4">Model!$AM$154</definedName>
    <definedName name="v_40_SCO2">Model!$AO$154</definedName>
    <definedName name="v_40_SFe2">Model!$AV$154</definedName>
    <definedName name="v_40_SH">Model!$BT$154</definedName>
    <definedName name="v_40_SH2">Model!$AN$154</definedName>
    <definedName name="v_40_SK">Model!$AU$154</definedName>
    <definedName name="v_40_SMEOL">Model!$G$154</definedName>
    <definedName name="v_40_SMg">Model!$AT$154</definedName>
    <definedName name="v_40_SN_B">Model!$AB$154</definedName>
    <definedName name="v_40_SN2">Model!$AA$154</definedName>
    <definedName name="v_40_SNHx">Model!$Y$154</definedName>
    <definedName name="v_40_SNOx">Model!$Z$154</definedName>
    <definedName name="v_40_SO2">Model!$AL$154</definedName>
    <definedName name="v_40_SORPswitch">Model!$BV$154</definedName>
    <definedName name="v_40_SP_B">Model!$AH$154</definedName>
    <definedName name="v_40_SPFOA">Model!$BP$154</definedName>
    <definedName name="v_40_SPFOS">Model!$BR$154</definedName>
    <definedName name="v_40_SPO4">Model!$AF$154</definedName>
    <definedName name="v_40_SU">Model!$K$154</definedName>
    <definedName name="v_40_SVFA">Model!$E$154</definedName>
    <definedName name="v_40_XACP">Model!$BL$154</definedName>
    <definedName name="v_40_XALGAE">Model!$X$154</definedName>
    <definedName name="v_40_XAMETO">Model!$V$154</definedName>
    <definedName name="v_40_XB">Model!$I$154</definedName>
    <definedName name="v_40_XB_e">Model!$J$154</definedName>
    <definedName name="v_40_XBSH">Model!$BM$154</definedName>
    <definedName name="v_40_XCaCO3">Model!$BK$154</definedName>
    <definedName name="v_40_XCASTO">Model!$S$154</definedName>
    <definedName name="v_40_XE">Model!$P$154</definedName>
    <definedName name="v_40_XE_ana">Model!$Q$154</definedName>
    <definedName name="v_40_XHAO_H">Model!$BD$154</definedName>
    <definedName name="v_40_XHAO_H_P">Model!$BG$154</definedName>
    <definedName name="v_40_XHAO_H_P_old">Model!$BI$154</definedName>
    <definedName name="v_40_XHAO_L">Model!$BE$154</definedName>
    <definedName name="v_40_XHAO_L_P">Model!$BH$154</definedName>
    <definedName name="v_40_XHAO_L_P_old">Model!$BJ$154</definedName>
    <definedName name="v_40_XHAO_old">Model!$BF$154</definedName>
    <definedName name="v_40_XHFO_H">Model!$AW$154</definedName>
    <definedName name="v_40_XHFO_H_P">Model!$AZ$154</definedName>
    <definedName name="v_40_XHFO_H_P_old">Model!$BB$154</definedName>
    <definedName name="v_40_XHFO_L">Model!$AX$154</definedName>
    <definedName name="v_40_XHFO_L_P">Model!$BA$154</definedName>
    <definedName name="v_40_XHFO_L_P_old">Model!$BC$154</definedName>
    <definedName name="v_40_XHFO_old">Model!$AY$154</definedName>
    <definedName name="v_40_XHMETO">Model!$W$154</definedName>
    <definedName name="v_40_XINORG">Model!$AP$154</definedName>
    <definedName name="v_40_XMEOLO">Model!$T$154</definedName>
    <definedName name="v_40_XN_B">Model!$AC$154</definedName>
    <definedName name="v_40_XN_Be">Model!$AD$154</definedName>
    <definedName name="v_40_XN_U">Model!$AE$154</definedName>
    <definedName name="v_40_XNITO">Model!$U$154</definedName>
    <definedName name="v_40_XOHO">Model!$R$154</definedName>
    <definedName name="v_40_XP_B">Model!$AI$154</definedName>
    <definedName name="v_40_XP_Be">Model!$AJ$154</definedName>
    <definedName name="v_40_XP_U">Model!$AK$154</definedName>
    <definedName name="v_40_XPFOA">Model!$BQ$154</definedName>
    <definedName name="v_40_XPFOS">Model!$BS$154</definedName>
    <definedName name="v_40_XPHA_GAO">Model!$O$154</definedName>
    <definedName name="v_40_XPHA_PAO">Model!$N$154</definedName>
    <definedName name="v_40_XPP">Model!$AG$154</definedName>
    <definedName name="v_40_XSTR">Model!$BN$154</definedName>
    <definedName name="v_40_XU">Model!$M$154</definedName>
    <definedName name="v_40_XVivi">Model!$BO$154</definedName>
    <definedName name="v_41_CB">Model!$H$155</definedName>
    <definedName name="v_41_CU">Model!$L$155</definedName>
    <definedName name="v_41_GCH4">Model!$BX$155</definedName>
    <definedName name="v_41_GCH4_atm">Model!$CD$155</definedName>
    <definedName name="v_41_GCO2">Model!$BW$155</definedName>
    <definedName name="v_41_GCO2_atm">Model!$CC$155</definedName>
    <definedName name="v_41_GH2">Model!$BY$155</definedName>
    <definedName name="v_41_GH2_atm">Model!$CE$155</definedName>
    <definedName name="v_41_GN2">Model!$CB$155</definedName>
    <definedName name="v_41_GN2_atm">Model!$CH$155</definedName>
    <definedName name="v_41_GNH3">Model!$CA$155</definedName>
    <definedName name="v_41_GNH3_atm">Model!$CG$155</definedName>
    <definedName name="v_41_GO2">Model!$BZ$155</definedName>
    <definedName name="v_41_GO2_atm">Model!$CF$155</definedName>
    <definedName name="v_41_SALPHA">Model!$BU$155</definedName>
    <definedName name="v_41_SAN">Model!$AR$155</definedName>
    <definedName name="v_41_SB">Model!$F$155</definedName>
    <definedName name="v_41_SCa">Model!$AS$155</definedName>
    <definedName name="v_41_SCAT">Model!$AQ$155</definedName>
    <definedName name="v_41_SCH4">Model!$AM$155</definedName>
    <definedName name="v_41_SCO2">Model!$AO$155</definedName>
    <definedName name="v_41_SFe2">Model!$AV$155</definedName>
    <definedName name="v_41_SH">Model!$BT$155</definedName>
    <definedName name="v_41_SH2">Model!$AN$155</definedName>
    <definedName name="v_41_SK">Model!$AU$155</definedName>
    <definedName name="v_41_SMEOL">Model!$G$155</definedName>
    <definedName name="v_41_SMg">Model!$AT$155</definedName>
    <definedName name="v_41_SN_B">Model!$AB$155</definedName>
    <definedName name="v_41_SN2">Model!$AA$155</definedName>
    <definedName name="v_41_SNHx">Model!$Y$155</definedName>
    <definedName name="v_41_SNOx">Model!$Z$155</definedName>
    <definedName name="v_41_SO2">Model!$AL$155</definedName>
    <definedName name="v_41_SORPswitch">Model!$BV$155</definedName>
    <definedName name="v_41_SP_B">Model!$AH$155</definedName>
    <definedName name="v_41_SPFOA">Model!$BP$155</definedName>
    <definedName name="v_41_SPFOS">Model!$BR$155</definedName>
    <definedName name="v_41_SPO4">Model!$AF$155</definedName>
    <definedName name="v_41_SU">Model!$K$155</definedName>
    <definedName name="v_41_SVFA">Model!$E$155</definedName>
    <definedName name="v_41_XACP">Model!$BL$155</definedName>
    <definedName name="v_41_XALGAE">Model!$X$155</definedName>
    <definedName name="v_41_XAMETO">Model!$V$155</definedName>
    <definedName name="v_41_XB">Model!$I$155</definedName>
    <definedName name="v_41_XB_e">Model!$J$155</definedName>
    <definedName name="v_41_XBSH">Model!$BM$155</definedName>
    <definedName name="v_41_XCaCO3">Model!$BK$155</definedName>
    <definedName name="v_41_XCASTO">Model!$S$155</definedName>
    <definedName name="v_41_XE">Model!$P$155</definedName>
    <definedName name="v_41_XE_ana">Model!$Q$155</definedName>
    <definedName name="v_41_XHAO_H">Model!$BD$155</definedName>
    <definedName name="v_41_XHAO_H_P">Model!$BG$155</definedName>
    <definedName name="v_41_XHAO_H_P_old">Model!$BI$155</definedName>
    <definedName name="v_41_XHAO_L">Model!$BE$155</definedName>
    <definedName name="v_41_XHAO_L_P">Model!$BH$155</definedName>
    <definedName name="v_41_XHAO_L_P_old">Model!$BJ$155</definedName>
    <definedName name="v_41_XHAO_old">Model!$BF$155</definedName>
    <definedName name="v_41_XHFO_H">Model!$AW$155</definedName>
    <definedName name="v_41_XHFO_H_P">Model!$AZ$155</definedName>
    <definedName name="v_41_XHFO_H_P_old">Model!$BB$155</definedName>
    <definedName name="v_41_XHFO_L">Model!$AX$155</definedName>
    <definedName name="v_41_XHFO_L_P">Model!$BA$155</definedName>
    <definedName name="v_41_XHFO_L_P_old">Model!$BC$155</definedName>
    <definedName name="v_41_XHFO_old">Model!$AY$155</definedName>
    <definedName name="v_41_XHMETO">Model!$W$155</definedName>
    <definedName name="v_41_XINORG">Model!$AP$155</definedName>
    <definedName name="v_41_XMEOLO">Model!$T$155</definedName>
    <definedName name="v_41_XN_B">Model!$AC$155</definedName>
    <definedName name="v_41_XN_Be">Model!$AD$155</definedName>
    <definedName name="v_41_XN_U">Model!$AE$155</definedName>
    <definedName name="v_41_XNITO">Model!$U$155</definedName>
    <definedName name="v_41_XOHO">Model!$R$155</definedName>
    <definedName name="v_41_XP_B">Model!$AI$155</definedName>
    <definedName name="v_41_XP_Be">Model!$AJ$155</definedName>
    <definedName name="v_41_XP_U">Model!$AK$155</definedName>
    <definedName name="v_41_XPFOA">Model!$BQ$155</definedName>
    <definedName name="v_41_XPFOS">Model!$BS$155</definedName>
    <definedName name="v_41_XPHA_GAO">Model!$O$155</definedName>
    <definedName name="v_41_XPHA_PAO">Model!$N$155</definedName>
    <definedName name="v_41_XPP">Model!$AG$155</definedName>
    <definedName name="v_41_XSTR">Model!$BN$155</definedName>
    <definedName name="v_41_XU">Model!$M$155</definedName>
    <definedName name="v_41_XVivi">Model!$BO$155</definedName>
    <definedName name="v_42_CB">Model!$H$156</definedName>
    <definedName name="v_42_CU">Model!$L$156</definedName>
    <definedName name="v_42_GCH4">Model!$BX$156</definedName>
    <definedName name="v_42_GCH4_atm">Model!$CD$156</definedName>
    <definedName name="v_42_GCO2">Model!$BW$156</definedName>
    <definedName name="v_42_GCO2_atm">Model!$CC$156</definedName>
    <definedName name="v_42_GH2">Model!$BY$156</definedName>
    <definedName name="v_42_GH2_atm">Model!$CE$156</definedName>
    <definedName name="v_42_GN2">Model!$CB$156</definedName>
    <definedName name="v_42_GN2_atm">Model!$CH$156</definedName>
    <definedName name="v_42_GNH3">Model!$CA$156</definedName>
    <definedName name="v_42_GNH3_atm">Model!$CG$156</definedName>
    <definedName name="v_42_GO2">Model!$BZ$156</definedName>
    <definedName name="v_42_GO2_atm">Model!$CF$156</definedName>
    <definedName name="v_42_SALPHA">Model!$BU$156</definedName>
    <definedName name="v_42_SAN">Model!$AR$156</definedName>
    <definedName name="v_42_SB">Model!$F$156</definedName>
    <definedName name="v_42_SCa">Model!$AS$156</definedName>
    <definedName name="v_42_SCAT">Model!$AQ$156</definedName>
    <definedName name="v_42_SCH4">Model!$AM$156</definedName>
    <definedName name="v_42_SCO2">Model!$AO$156</definedName>
    <definedName name="v_42_SFe2">Model!$AV$156</definedName>
    <definedName name="v_42_SH">Model!$BT$156</definedName>
    <definedName name="v_42_SH2">Model!$AN$156</definedName>
    <definedName name="v_42_SK">Model!$AU$156</definedName>
    <definedName name="v_42_SMEOL">Model!$G$156</definedName>
    <definedName name="v_42_SMg">Model!$AT$156</definedName>
    <definedName name="v_42_SN_B">Model!$AB$156</definedName>
    <definedName name="v_42_SN2">Model!$AA$156</definedName>
    <definedName name="v_42_SNHx">Model!$Y$156</definedName>
    <definedName name="v_42_SNOx">Model!$Z$156</definedName>
    <definedName name="v_42_SO2">Model!$AL$156</definedName>
    <definedName name="v_42_SORPswitch">Model!$BV$156</definedName>
    <definedName name="v_42_SP_B">Model!$AH$156</definedName>
    <definedName name="v_42_SPFOA">Model!$BP$156</definedName>
    <definedName name="v_42_SPFOS">Model!$BR$156</definedName>
    <definedName name="v_42_SPO4">Model!$AF$156</definedName>
    <definedName name="v_42_SU">Model!$K$156</definedName>
    <definedName name="v_42_SVFA">Model!$E$156</definedName>
    <definedName name="v_42_XACP">Model!$BL$156</definedName>
    <definedName name="v_42_XALGAE">Model!$X$156</definedName>
    <definedName name="v_42_XAMETO">Model!$V$156</definedName>
    <definedName name="v_42_XB">Model!$I$156</definedName>
    <definedName name="v_42_XB_e">Model!$J$156</definedName>
    <definedName name="v_42_XBSH">Model!$BM$156</definedName>
    <definedName name="v_42_XCaCO3">Model!$BK$156</definedName>
    <definedName name="v_42_XCASTO">Model!$S$156</definedName>
    <definedName name="v_42_XE">Model!$P$156</definedName>
    <definedName name="v_42_XE_ana">Model!$Q$156</definedName>
    <definedName name="v_42_XHAO_H">Model!$BD$156</definedName>
    <definedName name="v_42_XHAO_H_P">Model!$BG$156</definedName>
    <definedName name="v_42_XHAO_H_P_old">Model!$BI$156</definedName>
    <definedName name="v_42_XHAO_L">Model!$BE$156</definedName>
    <definedName name="v_42_XHAO_L_P">Model!$BH$156</definedName>
    <definedName name="v_42_XHAO_L_P_old">Model!$BJ$156</definedName>
    <definedName name="v_42_XHAO_old">Model!$BF$156</definedName>
    <definedName name="v_42_XHFO_H">Model!$AW$156</definedName>
    <definedName name="v_42_XHFO_H_P">Model!$AZ$156</definedName>
    <definedName name="v_42_XHFO_H_P_old">Model!$BB$156</definedName>
    <definedName name="v_42_XHFO_L">Model!$AX$156</definedName>
    <definedName name="v_42_XHFO_L_P">Model!$BA$156</definedName>
    <definedName name="v_42_XHFO_L_P_old">Model!$BC$156</definedName>
    <definedName name="v_42_XHFO_old">Model!$AY$156</definedName>
    <definedName name="v_42_XHMETO">Model!$W$156</definedName>
    <definedName name="v_42_XINORG">Model!$AP$156</definedName>
    <definedName name="v_42_XMEOLO">Model!$T$156</definedName>
    <definedName name="v_42_XN_B">Model!$AC$156</definedName>
    <definedName name="v_42_XN_Be">Model!$AD$156</definedName>
    <definedName name="v_42_XN_U">Model!$AE$156</definedName>
    <definedName name="v_42_XNITO">Model!$U$156</definedName>
    <definedName name="v_42_XOHO">Model!$R$156</definedName>
    <definedName name="v_42_XP_B">Model!$AI$156</definedName>
    <definedName name="v_42_XP_Be">Model!$AJ$156</definedName>
    <definedName name="v_42_XP_U">Model!$AK$156</definedName>
    <definedName name="v_42_XPFOA">Model!$BQ$156</definedName>
    <definedName name="v_42_XPFOS">Model!$BS$156</definedName>
    <definedName name="v_42_XPHA_GAO">Model!$O$156</definedName>
    <definedName name="v_42_XPHA_PAO">Model!$N$156</definedName>
    <definedName name="v_42_XPP">Model!$AG$156</definedName>
    <definedName name="v_42_XSTR">Model!$BN$156</definedName>
    <definedName name="v_42_XU">Model!$M$156</definedName>
    <definedName name="v_42_XVivi">Model!$BO$156</definedName>
    <definedName name="v_43_CB">Model!$H$157</definedName>
    <definedName name="v_43_CU">Model!$L$157</definedName>
    <definedName name="v_43_GCH4">Model!$BX$157</definedName>
    <definedName name="v_43_GCH4_atm">Model!$CD$157</definedName>
    <definedName name="v_43_GCO2">Model!$BW$157</definedName>
    <definedName name="v_43_GCO2_atm">Model!$CC$157</definedName>
    <definedName name="v_43_GH2">Model!$BY$157</definedName>
    <definedName name="v_43_GH2_atm">Model!$CE$157</definedName>
    <definedName name="v_43_GN2">Model!$CB$157</definedName>
    <definedName name="v_43_GN2_atm">Model!$CH$157</definedName>
    <definedName name="v_43_GNH3">Model!$CA$157</definedName>
    <definedName name="v_43_GNH3_atm">Model!$CG$157</definedName>
    <definedName name="v_43_GO2">Model!$BZ$157</definedName>
    <definedName name="v_43_GO2_atm">Model!$CF$157</definedName>
    <definedName name="v_43_SALPHA">Model!$BU$157</definedName>
    <definedName name="v_43_SAN">Model!$AR$157</definedName>
    <definedName name="v_43_SB">Model!$F$157</definedName>
    <definedName name="v_43_SCa">Model!$AS$157</definedName>
    <definedName name="v_43_SCAT">Model!$AQ$157</definedName>
    <definedName name="v_43_SCH4">Model!$AM$157</definedName>
    <definedName name="v_43_SCO2">Model!$AO$157</definedName>
    <definedName name="v_43_SFe2">Model!$AV$157</definedName>
    <definedName name="v_43_SH">Model!$BT$157</definedName>
    <definedName name="v_43_SH2">Model!$AN$157</definedName>
    <definedName name="v_43_SK">Model!$AU$157</definedName>
    <definedName name="v_43_SMEOL">Model!$G$157</definedName>
    <definedName name="v_43_SMg">Model!$AT$157</definedName>
    <definedName name="v_43_SN_B">Model!$AB$157</definedName>
    <definedName name="v_43_SN2">Model!$AA$157</definedName>
    <definedName name="v_43_SNHx">Model!$Y$157</definedName>
    <definedName name="v_43_SNOx">Model!$Z$157</definedName>
    <definedName name="v_43_SO2">Model!$AL$157</definedName>
    <definedName name="v_43_SORPswitch">Model!$BV$157</definedName>
    <definedName name="v_43_SP_B">Model!$AH$157</definedName>
    <definedName name="v_43_SPFOA">Model!$BP$157</definedName>
    <definedName name="v_43_SPFOS">Model!$BR$157</definedName>
    <definedName name="v_43_SPO4">Model!$AF$157</definedName>
    <definedName name="v_43_SU">Model!$K$157</definedName>
    <definedName name="v_43_SVFA">Model!$E$157</definedName>
    <definedName name="v_43_XACP">Model!$BL$157</definedName>
    <definedName name="v_43_XALGAE">Model!$X$157</definedName>
    <definedName name="v_43_XAMETO">Model!$V$157</definedName>
    <definedName name="v_43_XB">Model!$I$157</definedName>
    <definedName name="v_43_XB_e">Model!$J$157</definedName>
    <definedName name="v_43_XBSH">Model!$BM$157</definedName>
    <definedName name="v_43_XCaCO3">Model!$BK$157</definedName>
    <definedName name="v_43_XCASTO">Model!$S$157</definedName>
    <definedName name="v_43_XE">Model!$P$157</definedName>
    <definedName name="v_43_XE_ana">Model!$Q$157</definedName>
    <definedName name="v_43_XHAO_H">Model!$BD$157</definedName>
    <definedName name="v_43_XHAO_H_P">Model!$BG$157</definedName>
    <definedName name="v_43_XHAO_H_P_old">Model!$BI$157</definedName>
    <definedName name="v_43_XHAO_L">Model!$BE$157</definedName>
    <definedName name="v_43_XHAO_L_P">Model!$BH$157</definedName>
    <definedName name="v_43_XHAO_L_P_old">Model!$BJ$157</definedName>
    <definedName name="v_43_XHAO_old">Model!$BF$157</definedName>
    <definedName name="v_43_XHFO_H">Model!$AW$157</definedName>
    <definedName name="v_43_XHFO_H_P">Model!$AZ$157</definedName>
    <definedName name="v_43_XHFO_H_P_old">Model!$BB$157</definedName>
    <definedName name="v_43_XHFO_L">Model!$AX$157</definedName>
    <definedName name="v_43_XHFO_L_P">Model!$BA$157</definedName>
    <definedName name="v_43_XHFO_L_P_old">Model!$BC$157</definedName>
    <definedName name="v_43_XHFO_old">Model!$AY$157</definedName>
    <definedName name="v_43_XHMETO">Model!$W$157</definedName>
    <definedName name="v_43_XINORG">Model!$AP$157</definedName>
    <definedName name="v_43_XMEOLO">Model!$T$157</definedName>
    <definedName name="v_43_XN_B">Model!$AC$157</definedName>
    <definedName name="v_43_XN_Be">Model!$AD$157</definedName>
    <definedName name="v_43_XN_U">Model!$AE$157</definedName>
    <definedName name="v_43_XNITO">Model!$U$157</definedName>
    <definedName name="v_43_XOHO">Model!$R$157</definedName>
    <definedName name="v_43_XP_B">Model!$AI$157</definedName>
    <definedName name="v_43_XP_Be">Model!$AJ$157</definedName>
    <definedName name="v_43_XP_U">Model!$AK$157</definedName>
    <definedName name="v_43_XPFOA">Model!$BQ$157</definedName>
    <definedName name="v_43_XPFOS">Model!$BS$157</definedName>
    <definedName name="v_43_XPHA_GAO">Model!$O$157</definedName>
    <definedName name="v_43_XPHA_PAO">Model!$N$157</definedName>
    <definedName name="v_43_XPP">Model!$AG$157</definedName>
    <definedName name="v_43_XSTR">Model!$BN$157</definedName>
    <definedName name="v_43_XU">Model!$M$157</definedName>
    <definedName name="v_43_XVivi">Model!$BO$157</definedName>
    <definedName name="v_44_CB">Model!$H$158</definedName>
    <definedName name="v_44_CU">Model!$L$158</definedName>
    <definedName name="v_44_GCH4">Model!$BX$158</definedName>
    <definedName name="v_44_GCH4_atm">Model!$CD$158</definedName>
    <definedName name="v_44_GCO2">Model!$BW$158</definedName>
    <definedName name="v_44_GCO2_atm">Model!$CC$158</definedName>
    <definedName name="v_44_GH2">Model!$BY$158</definedName>
    <definedName name="v_44_GH2_atm">Model!$CE$158</definedName>
    <definedName name="v_44_GN2">Model!$CB$158</definedName>
    <definedName name="v_44_GN2_atm">Model!$CH$158</definedName>
    <definedName name="v_44_GNH3">Model!$CA$158</definedName>
    <definedName name="v_44_GNH3_atm">Model!$CG$158</definedName>
    <definedName name="v_44_GO2">Model!$BZ$158</definedName>
    <definedName name="v_44_GO2_atm">Model!$CF$158</definedName>
    <definedName name="v_44_SALPHA">Model!$BU$158</definedName>
    <definedName name="v_44_SAN">Model!$AR$158</definedName>
    <definedName name="v_44_SB">Model!$F$158</definedName>
    <definedName name="v_44_SCa">Model!$AS$158</definedName>
    <definedName name="v_44_SCAT">Model!$AQ$158</definedName>
    <definedName name="v_44_SCH4">Model!$AM$158</definedName>
    <definedName name="v_44_SCO2">Model!$AO$158</definedName>
    <definedName name="v_44_SFe2">Model!$AV$158</definedName>
    <definedName name="v_44_SH">Model!$BT$158</definedName>
    <definedName name="v_44_SH2">Model!$AN$158</definedName>
    <definedName name="v_44_SK">Model!$AU$158</definedName>
    <definedName name="v_44_SMEOL">Model!$G$158</definedName>
    <definedName name="v_44_SMg">Model!$AT$158</definedName>
    <definedName name="v_44_SN_B">Model!$AB$158</definedName>
    <definedName name="v_44_SN2">Model!$AA$158</definedName>
    <definedName name="v_44_SNHx">Model!$Y$158</definedName>
    <definedName name="v_44_SNOx">Model!$Z$158</definedName>
    <definedName name="v_44_SO2">Model!$AL$158</definedName>
    <definedName name="v_44_SORPswitch">Model!$BV$158</definedName>
    <definedName name="v_44_SP_B">Model!$AH$158</definedName>
    <definedName name="v_44_SPFOA">Model!$BP$158</definedName>
    <definedName name="v_44_SPFOS">Model!$BR$158</definedName>
    <definedName name="v_44_SPO4">Model!$AF$158</definedName>
    <definedName name="v_44_SU">Model!$K$158</definedName>
    <definedName name="v_44_SVFA">Model!$E$158</definedName>
    <definedName name="v_44_XACP">Model!$BL$158</definedName>
    <definedName name="v_44_XALGAE">Model!$X$158</definedName>
    <definedName name="v_44_XAMETO">Model!$V$158</definedName>
    <definedName name="v_44_XB">Model!$I$158</definedName>
    <definedName name="v_44_XB_e">Model!$J$158</definedName>
    <definedName name="v_44_XBSH">Model!$BM$158</definedName>
    <definedName name="v_44_XCaCO3">Model!$BK$158</definedName>
    <definedName name="v_44_XCASTO">Model!$S$158</definedName>
    <definedName name="v_44_XE">Model!$P$158</definedName>
    <definedName name="v_44_XE_ana">Model!$Q$158</definedName>
    <definedName name="v_44_XHAO_H">Model!$BD$158</definedName>
    <definedName name="v_44_XHAO_H_P">Model!$BG$158</definedName>
    <definedName name="v_44_XHAO_H_P_old">Model!$BI$158</definedName>
    <definedName name="v_44_XHAO_L">Model!$BE$158</definedName>
    <definedName name="v_44_XHAO_L_P">Model!$BH$158</definedName>
    <definedName name="v_44_XHAO_L_P_old">Model!$BJ$158</definedName>
    <definedName name="v_44_XHAO_old">Model!$BF$158</definedName>
    <definedName name="v_44_XHFO_H">Model!$AW$158</definedName>
    <definedName name="v_44_XHFO_H_P">Model!$AZ$158</definedName>
    <definedName name="v_44_XHFO_H_P_old">Model!$BB$158</definedName>
    <definedName name="v_44_XHFO_L">Model!$AX$158</definedName>
    <definedName name="v_44_XHFO_L_P">Model!$BA$158</definedName>
    <definedName name="v_44_XHFO_L_P_old">Model!$BC$158</definedName>
    <definedName name="v_44_XHFO_old">Model!$AY$158</definedName>
    <definedName name="v_44_XHMETO">Model!$W$158</definedName>
    <definedName name="v_44_XINORG">Model!$AP$158</definedName>
    <definedName name="v_44_XMEOLO">Model!$T$158</definedName>
    <definedName name="v_44_XN_B">Model!$AC$158</definedName>
    <definedName name="v_44_XN_Be">Model!$AD$158</definedName>
    <definedName name="v_44_XN_U">Model!$AE$158</definedName>
    <definedName name="v_44_XNITO">Model!$U$158</definedName>
    <definedName name="v_44_XOHO">Model!$R$158</definedName>
    <definedName name="v_44_XP_B">Model!$AI$158</definedName>
    <definedName name="v_44_XP_Be">Model!$AJ$158</definedName>
    <definedName name="v_44_XP_U">Model!$AK$158</definedName>
    <definedName name="v_44_XPFOA">Model!$BQ$158</definedName>
    <definedName name="v_44_XPFOS">Model!$BS$158</definedName>
    <definedName name="v_44_XPHA_GAO">Model!$O$158</definedName>
    <definedName name="v_44_XPHA_PAO">Model!$N$158</definedName>
    <definedName name="v_44_XPP">Model!$AG$158</definedName>
    <definedName name="v_44_XSTR">Model!$BN$158</definedName>
    <definedName name="v_44_XU">Model!$M$158</definedName>
    <definedName name="v_44_XVivi">Model!$BO$158</definedName>
    <definedName name="v_45_CB">Model!$H$159</definedName>
    <definedName name="v_45_CU">Model!$L$159</definedName>
    <definedName name="v_45_GCH4">Model!$BX$159</definedName>
    <definedName name="v_45_GCH4_atm">Model!$CD$159</definedName>
    <definedName name="v_45_GCO2">Model!$BW$159</definedName>
    <definedName name="v_45_GCO2_atm">Model!$CC$159</definedName>
    <definedName name="v_45_GH2">Model!$BY$159</definedName>
    <definedName name="v_45_GH2_atm">Model!$CE$159</definedName>
    <definedName name="v_45_GN2">Model!$CB$159</definedName>
    <definedName name="v_45_GN2_atm">Model!$CH$159</definedName>
    <definedName name="v_45_GNH3">Model!$CA$159</definedName>
    <definedName name="v_45_GNH3_atm">Model!$CG$159</definedName>
    <definedName name="v_45_GO2">Model!$BZ$159</definedName>
    <definedName name="v_45_GO2_atm">Model!$CF$159</definedName>
    <definedName name="v_45_SALPHA">Model!$BU$159</definedName>
    <definedName name="v_45_SAN">Model!$AR$159</definedName>
    <definedName name="v_45_SB">Model!$F$159</definedName>
    <definedName name="v_45_SCa">Model!$AS$159</definedName>
    <definedName name="v_45_SCAT">Model!$AQ$159</definedName>
    <definedName name="v_45_SCH4">Model!$AM$159</definedName>
    <definedName name="v_45_SCO2">Model!$AO$159</definedName>
    <definedName name="v_45_SFe2">Model!$AV$159</definedName>
    <definedName name="v_45_SH">Model!$BT$159</definedName>
    <definedName name="v_45_SH2">Model!$AN$159</definedName>
    <definedName name="v_45_SK">Model!$AU$159</definedName>
    <definedName name="v_45_SMEOL">Model!$G$159</definedName>
    <definedName name="v_45_SMg">Model!$AT$159</definedName>
    <definedName name="v_45_SN_B">Model!$AB$159</definedName>
    <definedName name="v_45_SN2">Model!$AA$159</definedName>
    <definedName name="v_45_SNHx">Model!$Y$159</definedName>
    <definedName name="v_45_SNOx">Model!$Z$159</definedName>
    <definedName name="v_45_SO2">Model!$AL$159</definedName>
    <definedName name="v_45_SORPswitch">Model!$BV$159</definedName>
    <definedName name="v_45_SP_B">Model!$AH$159</definedName>
    <definedName name="v_45_SPFOA">Model!$BP$159</definedName>
    <definedName name="v_45_SPFOS">Model!$BR$159</definedName>
    <definedName name="v_45_SPO4">Model!$AF$159</definedName>
    <definedName name="v_45_SU">Model!$K$159</definedName>
    <definedName name="v_45_SVFA">Model!$E$159</definedName>
    <definedName name="v_45_XACP">Model!$BL$159</definedName>
    <definedName name="v_45_XALGAE">Model!$X$159</definedName>
    <definedName name="v_45_XAMETO">Model!$V$159</definedName>
    <definedName name="v_45_XB">Model!$I$159</definedName>
    <definedName name="v_45_XB_e">Model!$J$159</definedName>
    <definedName name="v_45_XBSH">Model!$BM$159</definedName>
    <definedName name="v_45_XCaCO3">Model!$BK$159</definedName>
    <definedName name="v_45_XCASTO">Model!$S$159</definedName>
    <definedName name="v_45_XE">Model!$P$159</definedName>
    <definedName name="v_45_XE_ana">Model!$Q$159</definedName>
    <definedName name="v_45_XHAO_H">Model!$BD$159</definedName>
    <definedName name="v_45_XHAO_H_P">Model!$BG$159</definedName>
    <definedName name="v_45_XHAO_H_P_old">Model!$BI$159</definedName>
    <definedName name="v_45_XHAO_L">Model!$BE$159</definedName>
    <definedName name="v_45_XHAO_L_P">Model!$BH$159</definedName>
    <definedName name="v_45_XHAO_L_P_old">Model!$BJ$159</definedName>
    <definedName name="v_45_XHAO_old">Model!$BF$159</definedName>
    <definedName name="v_45_XHFO_H">Model!$AW$159</definedName>
    <definedName name="v_45_XHFO_H_P">Model!$AZ$159</definedName>
    <definedName name="v_45_XHFO_H_P_old">Model!$BB$159</definedName>
    <definedName name="v_45_XHFO_L">Model!$AX$159</definedName>
    <definedName name="v_45_XHFO_L_P">Model!$BA$159</definedName>
    <definedName name="v_45_XHFO_L_P_old">Model!$BC$159</definedName>
    <definedName name="v_45_XHFO_old">Model!$AY$159</definedName>
    <definedName name="v_45_XHMETO">Model!$W$159</definedName>
    <definedName name="v_45_XINORG">Model!$AP$159</definedName>
    <definedName name="v_45_XMEOLO">Model!$T$159</definedName>
    <definedName name="v_45_XN_B">Model!$AC$159</definedName>
    <definedName name="v_45_XN_Be">Model!$AD$159</definedName>
    <definedName name="v_45_XN_U">Model!$AE$159</definedName>
    <definedName name="v_45_XNITO">Model!$U$159</definedName>
    <definedName name="v_45_XOHO">Model!$R$159</definedName>
    <definedName name="v_45_XP_B">Model!$AI$159</definedName>
    <definedName name="v_45_XP_Be">Model!$AJ$159</definedName>
    <definedName name="v_45_XP_U">Model!$AK$159</definedName>
    <definedName name="v_45_XPFOA">Model!$BQ$159</definedName>
    <definedName name="v_45_XPFOS">Model!$BS$159</definedName>
    <definedName name="v_45_XPHA_GAO">Model!$O$159</definedName>
    <definedName name="v_45_XPHA_PAO">Model!$N$159</definedName>
    <definedName name="v_45_XPP">Model!$AG$159</definedName>
    <definedName name="v_45_XSTR">Model!$BN$159</definedName>
    <definedName name="v_45_XU">Model!$M$159</definedName>
    <definedName name="v_45_XVivi">Model!$BO$159</definedName>
    <definedName name="v_46_CB">Model!$H$160</definedName>
    <definedName name="v_46_CU">Model!$L$160</definedName>
    <definedName name="v_46_GCH4">Model!$BX$160</definedName>
    <definedName name="v_46_GCH4_atm">Model!$CD$160</definedName>
    <definedName name="v_46_GCO2">Model!$BW$160</definedName>
    <definedName name="v_46_GCO2_atm">Model!$CC$160</definedName>
    <definedName name="v_46_GH2">Model!$BY$160</definedName>
    <definedName name="v_46_GH2_atm">Model!$CE$160</definedName>
    <definedName name="v_46_GN2">Model!$CB$160</definedName>
    <definedName name="v_46_GN2_atm">Model!$CH$160</definedName>
    <definedName name="v_46_GNH3">Model!$CA$160</definedName>
    <definedName name="v_46_GNH3_atm">Model!$CG$160</definedName>
    <definedName name="v_46_GO2">Model!$BZ$160</definedName>
    <definedName name="v_46_GO2_atm">Model!$CF$160</definedName>
    <definedName name="v_46_SALPHA">Model!$BU$160</definedName>
    <definedName name="v_46_SAN">Model!$AR$160</definedName>
    <definedName name="v_46_SB">Model!$F$160</definedName>
    <definedName name="v_46_SCa">Model!$AS$160</definedName>
    <definedName name="v_46_SCAT">Model!$AQ$160</definedName>
    <definedName name="v_46_SCH4">Model!$AM$160</definedName>
    <definedName name="v_46_SCO2">Model!$AO$160</definedName>
    <definedName name="v_46_SFe2">Model!$AV$160</definedName>
    <definedName name="v_46_SH">Model!$BT$160</definedName>
    <definedName name="v_46_SH2">Model!$AN$160</definedName>
    <definedName name="v_46_SK">Model!$AU$160</definedName>
    <definedName name="v_46_SMEOL">Model!$G$160</definedName>
    <definedName name="v_46_SMg">Model!$AT$160</definedName>
    <definedName name="v_46_SN_B">Model!$AB$160</definedName>
    <definedName name="v_46_SN2">Model!$AA$160</definedName>
    <definedName name="v_46_SNHx">Model!$Y$160</definedName>
    <definedName name="v_46_SNOx">Model!$Z$160</definedName>
    <definedName name="v_46_SO2">Model!$AL$160</definedName>
    <definedName name="v_46_SORPswitch">Model!$BV$160</definedName>
    <definedName name="v_46_SP_B">Model!$AH$160</definedName>
    <definedName name="v_46_SPFOA">Model!$BP$160</definedName>
    <definedName name="v_46_SPFOS">Model!$BR$160</definedName>
    <definedName name="v_46_SPO4">Model!$AF$160</definedName>
    <definedName name="v_46_SU">Model!$K$160</definedName>
    <definedName name="v_46_SVFA">Model!$E$160</definedName>
    <definedName name="v_46_XACP">Model!$BL$160</definedName>
    <definedName name="v_46_XALGAE">Model!$X$160</definedName>
    <definedName name="v_46_XAMETO">Model!$V$160</definedName>
    <definedName name="v_46_XB">Model!$I$160</definedName>
    <definedName name="v_46_XB_e">Model!$J$160</definedName>
    <definedName name="v_46_XBSH">Model!$BM$160</definedName>
    <definedName name="v_46_XCaCO3">Model!$BK$160</definedName>
    <definedName name="v_46_XCASTO">Model!$S$160</definedName>
    <definedName name="v_46_XE">Model!$P$160</definedName>
    <definedName name="v_46_XE_ana">Model!$Q$160</definedName>
    <definedName name="v_46_XHAO_H">Model!$BD$160</definedName>
    <definedName name="v_46_XHAO_H_P">Model!$BG$160</definedName>
    <definedName name="v_46_XHAO_H_P_old">Model!$BI$160</definedName>
    <definedName name="v_46_XHAO_L">Model!$BE$160</definedName>
    <definedName name="v_46_XHAO_L_P">Model!$BH$160</definedName>
    <definedName name="v_46_XHAO_L_P_old">Model!$BJ$160</definedName>
    <definedName name="v_46_XHAO_old">Model!$BF$160</definedName>
    <definedName name="v_46_XHFO_H">Model!$AW$160</definedName>
    <definedName name="v_46_XHFO_H_P">Model!$AZ$160</definedName>
    <definedName name="v_46_XHFO_H_P_old">Model!$BB$160</definedName>
    <definedName name="v_46_XHFO_L">Model!$AX$160</definedName>
    <definedName name="v_46_XHFO_L_P">Model!$BA$160</definedName>
    <definedName name="v_46_XHFO_L_P_old">Model!$BC$160</definedName>
    <definedName name="v_46_XHFO_old">Model!$AY$160</definedName>
    <definedName name="v_46_XHMETO">Model!$W$160</definedName>
    <definedName name="v_46_XINORG">Model!$AP$160</definedName>
    <definedName name="v_46_XMEOLO">Model!$T$160</definedName>
    <definedName name="v_46_XN_B">Model!$AC$160</definedName>
    <definedName name="v_46_XN_Be">Model!$AD$160</definedName>
    <definedName name="v_46_XN_U">Model!$AE$160</definedName>
    <definedName name="v_46_XNITO">Model!$U$160</definedName>
    <definedName name="v_46_XOHO">Model!$R$160</definedName>
    <definedName name="v_46_XP_B">Model!$AI$160</definedName>
    <definedName name="v_46_XP_Be">Model!$AJ$160</definedName>
    <definedName name="v_46_XP_U">Model!$AK$160</definedName>
    <definedName name="v_46_XPFOA">Model!$BQ$160</definedName>
    <definedName name="v_46_XPFOS">Model!$BS$160</definedName>
    <definedName name="v_46_XPHA_GAO">Model!$O$160</definedName>
    <definedName name="v_46_XPHA_PAO">Model!$N$160</definedName>
    <definedName name="v_46_XPP">Model!$AG$160</definedName>
    <definedName name="v_46_XSTR">Model!$BN$160</definedName>
    <definedName name="v_46_XU">Model!$M$160</definedName>
    <definedName name="v_46_XVivi">Model!$BO$160</definedName>
    <definedName name="v_47_CB">Model!$H$161</definedName>
    <definedName name="v_47_CU">Model!$L$161</definedName>
    <definedName name="v_47_GCH4">Model!$BX$161</definedName>
    <definedName name="v_47_GCH4_atm">Model!$CD$161</definedName>
    <definedName name="v_47_GCO2">Model!$BW$161</definedName>
    <definedName name="v_47_GCO2_atm">Model!$CC$161</definedName>
    <definedName name="v_47_GH2">Model!$BY$161</definedName>
    <definedName name="v_47_GH2_atm">Model!$CE$161</definedName>
    <definedName name="v_47_GN2">Model!$CB$161</definedName>
    <definedName name="v_47_GN2_atm">Model!$CH$161</definedName>
    <definedName name="v_47_GNH3">Model!$CA$161</definedName>
    <definedName name="v_47_GNH3_atm">Model!$CG$161</definedName>
    <definedName name="v_47_GO2">Model!$BZ$161</definedName>
    <definedName name="v_47_GO2_atm">Model!$CF$161</definedName>
    <definedName name="v_47_SALPHA">Model!$BU$161</definedName>
    <definedName name="v_47_SAN">Model!$AR$161</definedName>
    <definedName name="v_47_SB">Model!$F$161</definedName>
    <definedName name="v_47_SCa">Model!$AS$161</definedName>
    <definedName name="v_47_SCAT">Model!$AQ$161</definedName>
    <definedName name="v_47_SCH4">Model!$AM$161</definedName>
    <definedName name="v_47_SCO2">Model!$AO$161</definedName>
    <definedName name="v_47_SFe2">Model!$AV$161</definedName>
    <definedName name="v_47_SH">Model!$BT$161</definedName>
    <definedName name="v_47_SH2">Model!$AN$161</definedName>
    <definedName name="v_47_SK">Model!$AU$161</definedName>
    <definedName name="v_47_SMEOL">Model!$G$161</definedName>
    <definedName name="v_47_SMg">Model!$AT$161</definedName>
    <definedName name="v_47_SN_B">Model!$AB$161</definedName>
    <definedName name="v_47_SN2">Model!$AA$161</definedName>
    <definedName name="v_47_SNHx">Model!$Y$161</definedName>
    <definedName name="v_47_SNOx">Model!$Z$161</definedName>
    <definedName name="v_47_SO2">Model!$AL$161</definedName>
    <definedName name="v_47_SORPswitch">Model!$BV$161</definedName>
    <definedName name="v_47_SP_B">Model!$AH$161</definedName>
    <definedName name="v_47_SPFOA">Model!$BP$161</definedName>
    <definedName name="v_47_SPFOS">Model!$BR$161</definedName>
    <definedName name="v_47_SPO4">Model!$AF$161</definedName>
    <definedName name="v_47_SU">Model!$K$161</definedName>
    <definedName name="v_47_SVFA">Model!$E$161</definedName>
    <definedName name="v_47_XACP">Model!$BL$161</definedName>
    <definedName name="v_47_XALGAE">Model!$X$161</definedName>
    <definedName name="v_47_XAMETO">Model!$V$161</definedName>
    <definedName name="v_47_XB">Model!$I$161</definedName>
    <definedName name="v_47_XB_e">Model!$J$161</definedName>
    <definedName name="v_47_XBSH">Model!$BM$161</definedName>
    <definedName name="v_47_XCaCO3">Model!$BK$161</definedName>
    <definedName name="v_47_XCASTO">Model!$S$161</definedName>
    <definedName name="v_47_XE">Model!$P$161</definedName>
    <definedName name="v_47_XE_ana">Model!$Q$161</definedName>
    <definedName name="v_47_XHAO_H">Model!$BD$161</definedName>
    <definedName name="v_47_XHAO_H_P">Model!$BG$161</definedName>
    <definedName name="v_47_XHAO_H_P_old">Model!$BI$161</definedName>
    <definedName name="v_47_XHAO_L">Model!$BE$161</definedName>
    <definedName name="v_47_XHAO_L_P">Model!$BH$161</definedName>
    <definedName name="v_47_XHAO_L_P_old">Model!$BJ$161</definedName>
    <definedName name="v_47_XHAO_old">Model!$BF$161</definedName>
    <definedName name="v_47_XHFO_H">Model!$AW$161</definedName>
    <definedName name="v_47_XHFO_H_P">Model!$AZ$161</definedName>
    <definedName name="v_47_XHFO_H_P_old">Model!$BB$161</definedName>
    <definedName name="v_47_XHFO_L">Model!$AX$161</definedName>
    <definedName name="v_47_XHFO_L_P">Model!$BA$161</definedName>
    <definedName name="v_47_XHFO_L_P_old">Model!$BC$161</definedName>
    <definedName name="v_47_XHFO_old">Model!$AY$161</definedName>
    <definedName name="v_47_XHMETO">Model!$W$161</definedName>
    <definedName name="v_47_XINORG">Model!$AP$161</definedName>
    <definedName name="v_47_XMEOLO">Model!$T$161</definedName>
    <definedName name="v_47_XN_B">Model!$AC$161</definedName>
    <definedName name="v_47_XN_Be">Model!$AD$161</definedName>
    <definedName name="v_47_XN_U">Model!$AE$161</definedName>
    <definedName name="v_47_XNITO">Model!$U$161</definedName>
    <definedName name="v_47_XOHO">Model!$R$161</definedName>
    <definedName name="v_47_XP_B">Model!$AI$161</definedName>
    <definedName name="v_47_XP_Be">Model!$AJ$161</definedName>
    <definedName name="v_47_XP_U">Model!$AK$161</definedName>
    <definedName name="v_47_XPFOA">Model!$BQ$161</definedName>
    <definedName name="v_47_XPFOS">Model!$BS$161</definedName>
    <definedName name="v_47_XPHA_GAO">Model!$O$161</definedName>
    <definedName name="v_47_XPHA_PAO">Model!$N$161</definedName>
    <definedName name="v_47_XPP">Model!$AG$161</definedName>
    <definedName name="v_47_XSTR">Model!$BN$161</definedName>
    <definedName name="v_47_XU">Model!$M$161</definedName>
    <definedName name="v_47_XVivi">Model!$BO$161</definedName>
    <definedName name="v_48_CB">Model!$H$162</definedName>
    <definedName name="v_48_CU">Model!$L$162</definedName>
    <definedName name="v_48_GCH4">Model!$BX$162</definedName>
    <definedName name="v_48_GCH4_atm">Model!$CD$162</definedName>
    <definedName name="v_48_GCO2">Model!$BW$162</definedName>
    <definedName name="v_48_GCO2_atm">Model!$CC$162</definedName>
    <definedName name="v_48_GH2">Model!$BY$162</definedName>
    <definedName name="v_48_GH2_atm">Model!$CE$162</definedName>
    <definedName name="v_48_GN2">Model!$CB$162</definedName>
    <definedName name="v_48_GN2_atm">Model!$CH$162</definedName>
    <definedName name="v_48_GNH3">Model!$CA$162</definedName>
    <definedName name="v_48_GNH3_atm">Model!$CG$162</definedName>
    <definedName name="v_48_GO2">Model!$BZ$162</definedName>
    <definedName name="v_48_GO2_atm">Model!$CF$162</definedName>
    <definedName name="v_48_SALPHA">Model!$BU$162</definedName>
    <definedName name="v_48_SAN">Model!$AR$162</definedName>
    <definedName name="v_48_SB">Model!$F$162</definedName>
    <definedName name="v_48_SCa">Model!$AS$162</definedName>
    <definedName name="v_48_SCAT">Model!$AQ$162</definedName>
    <definedName name="v_48_SCH4">Model!$AM$162</definedName>
    <definedName name="v_48_SCO2">Model!$AO$162</definedName>
    <definedName name="v_48_SFe2">Model!$AV$162</definedName>
    <definedName name="v_48_SH">Model!$BT$162</definedName>
    <definedName name="v_48_SH2">Model!$AN$162</definedName>
    <definedName name="v_48_SK">Model!$AU$162</definedName>
    <definedName name="v_48_SMEOL">Model!$G$162</definedName>
    <definedName name="v_48_SMg">Model!$AT$162</definedName>
    <definedName name="v_48_SN_B">Model!$AB$162</definedName>
    <definedName name="v_48_SN2">Model!$AA$162</definedName>
    <definedName name="v_48_SNHx">Model!$Y$162</definedName>
    <definedName name="v_48_SNOx">Model!$Z$162</definedName>
    <definedName name="v_48_SO2">Model!$AL$162</definedName>
    <definedName name="v_48_SORPswitch">Model!$BV$162</definedName>
    <definedName name="v_48_SP_B">Model!$AH$162</definedName>
    <definedName name="v_48_SPFOA">Model!$BP$162</definedName>
    <definedName name="v_48_SPFOS">Model!$BR$162</definedName>
    <definedName name="v_48_SPO4">Model!$AF$162</definedName>
    <definedName name="v_48_SU">Model!$K$162</definedName>
    <definedName name="v_48_SVFA">Model!$E$162</definedName>
    <definedName name="v_48_XACP">Model!$BL$162</definedName>
    <definedName name="v_48_XALGAE">Model!$X$162</definedName>
    <definedName name="v_48_XAMETO">Model!$V$162</definedName>
    <definedName name="v_48_XB">Model!$I$162</definedName>
    <definedName name="v_48_XB_e">Model!$J$162</definedName>
    <definedName name="v_48_XBSH">Model!$BM$162</definedName>
    <definedName name="v_48_XCaCO3">Model!$BK$162</definedName>
    <definedName name="v_48_XCASTO">Model!$S$162</definedName>
    <definedName name="v_48_XE">Model!$P$162</definedName>
    <definedName name="v_48_XE_ana">Model!$Q$162</definedName>
    <definedName name="v_48_XHAO_H">Model!$BD$162</definedName>
    <definedName name="v_48_XHAO_H_P">Model!$BG$162</definedName>
    <definedName name="v_48_XHAO_H_P_old">Model!$BI$162</definedName>
    <definedName name="v_48_XHAO_L">Model!$BE$162</definedName>
    <definedName name="v_48_XHAO_L_P">Model!$BH$162</definedName>
    <definedName name="v_48_XHAO_L_P_old">Model!$BJ$162</definedName>
    <definedName name="v_48_XHAO_old">Model!$BF$162</definedName>
    <definedName name="v_48_XHFO_H">Model!$AW$162</definedName>
    <definedName name="v_48_XHFO_H_P">Model!$AZ$162</definedName>
    <definedName name="v_48_XHFO_H_P_old">Model!$BB$162</definedName>
    <definedName name="v_48_XHFO_L">Model!$AX$162</definedName>
    <definedName name="v_48_XHFO_L_P">Model!$BA$162</definedName>
    <definedName name="v_48_XHFO_L_P_old">Model!$BC$162</definedName>
    <definedName name="v_48_XHFO_old">Model!$AY$162</definedName>
    <definedName name="v_48_XHMETO">Model!$W$162</definedName>
    <definedName name="v_48_XINORG">Model!$AP$162</definedName>
    <definedName name="v_48_XMEOLO">Model!$T$162</definedName>
    <definedName name="v_48_XN_B">Model!$AC$162</definedName>
    <definedName name="v_48_XN_Be">Model!$AD$162</definedName>
    <definedName name="v_48_XN_U">Model!$AE$162</definedName>
    <definedName name="v_48_XNITO">Model!$U$162</definedName>
    <definedName name="v_48_XOHO">Model!$R$162</definedName>
    <definedName name="v_48_XP_B">Model!$AI$162</definedName>
    <definedName name="v_48_XP_Be">Model!$AJ$162</definedName>
    <definedName name="v_48_XP_U">Model!$AK$162</definedName>
    <definedName name="v_48_XPFOA">Model!$BQ$162</definedName>
    <definedName name="v_48_XPFOS">Model!$BS$162</definedName>
    <definedName name="v_48_XPHA_GAO">Model!$O$162</definedName>
    <definedName name="v_48_XPHA_PAO">Model!$N$162</definedName>
    <definedName name="v_48_XPP">Model!$AG$162</definedName>
    <definedName name="v_48_XSTR">Model!$BN$162</definedName>
    <definedName name="v_48_XU">Model!$M$162</definedName>
    <definedName name="v_48_XVivi">Model!$BO$162</definedName>
    <definedName name="v_49_CB">Model!$H$163</definedName>
    <definedName name="v_49_CU">Model!$L$163</definedName>
    <definedName name="v_49_GCH4">Model!$BX$163</definedName>
    <definedName name="v_49_GCH4_atm">Model!$CD$163</definedName>
    <definedName name="v_49_GCO2">Model!$BW$163</definedName>
    <definedName name="v_49_GCO2_atm">Model!$CC$163</definedName>
    <definedName name="v_49_GH2">Model!$BY$163</definedName>
    <definedName name="v_49_GH2_atm">Model!$CE$163</definedName>
    <definedName name="v_49_GN2">Model!$CB$163</definedName>
    <definedName name="v_49_GN2_atm">Model!$CH$163</definedName>
    <definedName name="v_49_GNH3">Model!$CA$163</definedName>
    <definedName name="v_49_GNH3_atm">Model!$CG$163</definedName>
    <definedName name="v_49_GO2">Model!$BZ$163</definedName>
    <definedName name="v_49_GO2_atm">Model!$CF$163</definedName>
    <definedName name="v_49_SALPHA">Model!$BU$163</definedName>
    <definedName name="v_49_SAN">Model!$AR$163</definedName>
    <definedName name="v_49_SB">Model!$F$163</definedName>
    <definedName name="v_49_SCa">Model!$AS$163</definedName>
    <definedName name="v_49_SCAT">Model!$AQ$163</definedName>
    <definedName name="v_49_SCH4">Model!$AM$163</definedName>
    <definedName name="v_49_SCO2">Model!$AO$163</definedName>
    <definedName name="v_49_SFe2">Model!$AV$163</definedName>
    <definedName name="v_49_SH">Model!$BT$163</definedName>
    <definedName name="v_49_SH2">Model!$AN$163</definedName>
    <definedName name="v_49_SK">Model!$AU$163</definedName>
    <definedName name="v_49_SMEOL">Model!$G$163</definedName>
    <definedName name="v_49_SMg">Model!$AT$163</definedName>
    <definedName name="v_49_SN_B">Model!$AB$163</definedName>
    <definedName name="v_49_SN2">Model!$AA$163</definedName>
    <definedName name="v_49_SNHx">Model!$Y$163</definedName>
    <definedName name="v_49_SNOx">Model!$Z$163</definedName>
    <definedName name="v_49_SO2">Model!$AL$163</definedName>
    <definedName name="v_49_SORPswitch">Model!$BV$163</definedName>
    <definedName name="v_49_SP_B">Model!$AH$163</definedName>
    <definedName name="v_49_SPFOA">Model!$BP$163</definedName>
    <definedName name="v_49_SPFOS">Model!$BR$163</definedName>
    <definedName name="v_49_SPO4">Model!$AF$163</definedName>
    <definedName name="v_49_SU">Model!$K$163</definedName>
    <definedName name="v_49_SVFA">Model!$E$163</definedName>
    <definedName name="v_49_XACP">Model!$BL$163</definedName>
    <definedName name="v_49_XALGAE">Model!$X$163</definedName>
    <definedName name="v_49_XAMETO">Model!$V$163</definedName>
    <definedName name="v_49_XB">Model!$I$163</definedName>
    <definedName name="v_49_XB_e">Model!$J$163</definedName>
    <definedName name="v_49_XBSH">Model!$BM$163</definedName>
    <definedName name="v_49_XCaCO3">Model!$BK$163</definedName>
    <definedName name="v_49_XCASTO">Model!$S$163</definedName>
    <definedName name="v_49_XE">Model!$P$163</definedName>
    <definedName name="v_49_XE_ana">Model!$Q$163</definedName>
    <definedName name="v_49_XHAO_H">Model!$BD$163</definedName>
    <definedName name="v_49_XHAO_H_P">Model!$BG$163</definedName>
    <definedName name="v_49_XHAO_H_P_old">Model!$BI$163</definedName>
    <definedName name="v_49_XHAO_L">Model!$BE$163</definedName>
    <definedName name="v_49_XHAO_L_P">Model!$BH$163</definedName>
    <definedName name="v_49_XHAO_L_P_old">Model!$BJ$163</definedName>
    <definedName name="v_49_XHAO_old">Model!$BF$163</definedName>
    <definedName name="v_49_XHFO_H">Model!$AW$163</definedName>
    <definedName name="v_49_XHFO_H_P">Model!$AZ$163</definedName>
    <definedName name="v_49_XHFO_H_P_old">Model!$BB$163</definedName>
    <definedName name="v_49_XHFO_L">Model!$AX$163</definedName>
    <definedName name="v_49_XHFO_L_P">Model!$BA$163</definedName>
    <definedName name="v_49_XHFO_L_P_old">Model!$BC$163</definedName>
    <definedName name="v_49_XHFO_old">Model!$AY$163</definedName>
    <definedName name="v_49_XHMETO">Model!$W$163</definedName>
    <definedName name="v_49_XINORG">Model!$AP$163</definedName>
    <definedName name="v_49_XMEOLO">Model!$T$163</definedName>
    <definedName name="v_49_XN_B">Model!$AC$163</definedName>
    <definedName name="v_49_XN_Be">Model!$AD$163</definedName>
    <definedName name="v_49_XN_U">Model!$AE$163</definedName>
    <definedName name="v_49_XNITO">Model!$U$163</definedName>
    <definedName name="v_49_XOHO">Model!$R$163</definedName>
    <definedName name="v_49_XP_B">Model!$AI$163</definedName>
    <definedName name="v_49_XP_Be">Model!$AJ$163</definedName>
    <definedName name="v_49_XP_U">Model!$AK$163</definedName>
    <definedName name="v_49_XPFOA">Model!$BQ$163</definedName>
    <definedName name="v_49_XPFOS">Model!$BS$163</definedName>
    <definedName name="v_49_XPHA_GAO">Model!$O$163</definedName>
    <definedName name="v_49_XPHA_PAO">Model!$N$163</definedName>
    <definedName name="v_49_XPP">Model!$AG$163</definedName>
    <definedName name="v_49_XSTR">Model!$BN$163</definedName>
    <definedName name="v_49_XU">Model!$M$163</definedName>
    <definedName name="v_49_XVivi">Model!$BO$163</definedName>
    <definedName name="v_5_CB">Model!$H$119</definedName>
    <definedName name="v_5_CU">Model!$L$119</definedName>
    <definedName name="v_5_GCH4">Model!$BX$119</definedName>
    <definedName name="v_5_GCH4_atm">Model!$CD$119</definedName>
    <definedName name="v_5_GCO2">Model!$BW$119</definedName>
    <definedName name="v_5_GCO2_atm">Model!$CC$119</definedName>
    <definedName name="v_5_GH2">Model!$BY$119</definedName>
    <definedName name="v_5_GH2_atm">Model!$CE$119</definedName>
    <definedName name="v_5_GN2">Model!$CB$119</definedName>
    <definedName name="v_5_GN2_atm">Model!$CH$119</definedName>
    <definedName name="v_5_GNH3">Model!$CA$119</definedName>
    <definedName name="v_5_GNH3_atm">Model!$CG$119</definedName>
    <definedName name="v_5_GO2">Model!$BZ$119</definedName>
    <definedName name="v_5_GO2_atm">Model!$CF$119</definedName>
    <definedName name="v_5_SALPHA">Model!$BU$119</definedName>
    <definedName name="v_5_SAN">Model!$AR$119</definedName>
    <definedName name="v_5_SB">Model!$F$119</definedName>
    <definedName name="v_5_SCa">Model!$AS$119</definedName>
    <definedName name="v_5_SCAT">Model!$AQ$119</definedName>
    <definedName name="v_5_SCH4">Model!$AM$119</definedName>
    <definedName name="v_5_SCO2">Model!$AO$119</definedName>
    <definedName name="v_5_SFe2">Model!$AV$119</definedName>
    <definedName name="v_5_SH">Model!$BT$119</definedName>
    <definedName name="v_5_SH2">Model!$AN$119</definedName>
    <definedName name="v_5_SK">Model!$AU$119</definedName>
    <definedName name="v_5_SMEOL">Model!$G$119</definedName>
    <definedName name="v_5_SMg">Model!$AT$119</definedName>
    <definedName name="v_5_SN_B">Model!$AB$119</definedName>
    <definedName name="v_5_SN2">Model!$AA$119</definedName>
    <definedName name="v_5_SNHx">Model!$Y$119</definedName>
    <definedName name="v_5_SNOx">Model!$Z$119</definedName>
    <definedName name="v_5_SO2">Model!$AL$119</definedName>
    <definedName name="v_5_SORPswitch">Model!$BV$119</definedName>
    <definedName name="v_5_SP_B">Model!$AH$119</definedName>
    <definedName name="v_5_SPFOA">Model!$BP$119</definedName>
    <definedName name="v_5_SPFOS">Model!$BR$119</definedName>
    <definedName name="v_5_SPO4">Model!$AF$119</definedName>
    <definedName name="v_5_SU">Model!$K$119</definedName>
    <definedName name="v_5_SVFA">Model!$E$119</definedName>
    <definedName name="v_5_XACP">Model!$BL$119</definedName>
    <definedName name="v_5_XALGAE">Model!$X$119</definedName>
    <definedName name="v_5_XAMETO">Model!$V$119</definedName>
    <definedName name="v_5_XB">Model!$I$119</definedName>
    <definedName name="v_5_XB_e">Model!$J$119</definedName>
    <definedName name="v_5_XBSH">Model!$BM$119</definedName>
    <definedName name="v_5_XCaCO3">Model!$BK$119</definedName>
    <definedName name="v_5_XCASTO">Model!$S$119</definedName>
    <definedName name="v_5_XE">Model!$P$119</definedName>
    <definedName name="v_5_XE_ana">Model!$Q$119</definedName>
    <definedName name="v_5_XHAO_H">Model!$BD$119</definedName>
    <definedName name="v_5_XHAO_H_P">Model!$BG$119</definedName>
    <definedName name="v_5_XHAO_H_P_old">Model!$BI$119</definedName>
    <definedName name="v_5_XHAO_L">Model!$BE$119</definedName>
    <definedName name="v_5_XHAO_L_P">Model!$BH$119</definedName>
    <definedName name="v_5_XHAO_L_P_old">Model!$BJ$119</definedName>
    <definedName name="v_5_XHAO_old">Model!$BF$119</definedName>
    <definedName name="v_5_XHFO_H">Model!$AW$119</definedName>
    <definedName name="v_5_XHFO_H_P">Model!$AZ$119</definedName>
    <definedName name="v_5_XHFO_H_P_old">Model!$BB$119</definedName>
    <definedName name="v_5_XHFO_L">Model!$AX$119</definedName>
    <definedName name="v_5_XHFO_L_P">Model!$BA$119</definedName>
    <definedName name="v_5_XHFO_L_P_old">Model!$BC$119</definedName>
    <definedName name="v_5_XHFO_old">Model!$AY$119</definedName>
    <definedName name="v_5_XHMETO">Model!$W$119</definedName>
    <definedName name="v_5_XINORG">Model!$AP$119</definedName>
    <definedName name="v_5_XMEOLO">Model!$T$119</definedName>
    <definedName name="v_5_XN_B">Model!$AC$119</definedName>
    <definedName name="v_5_XN_Be">Model!$AD$119</definedName>
    <definedName name="v_5_XN_U">Model!$AE$119</definedName>
    <definedName name="v_5_XNITO">Model!$U$119</definedName>
    <definedName name="v_5_XOHO">Model!$R$119</definedName>
    <definedName name="v_5_XP_B">Model!$AI$119</definedName>
    <definedName name="v_5_XP_Be">Model!$AJ$119</definedName>
    <definedName name="v_5_XP_U">Model!$AK$119</definedName>
    <definedName name="v_5_XPFOA">Model!$BQ$119</definedName>
    <definedName name="v_5_XPFOS">Model!$BS$119</definedName>
    <definedName name="v_5_XPHA_GAO">Model!$O$119</definedName>
    <definedName name="v_5_XPHA_PAO">Model!$N$119</definedName>
    <definedName name="v_5_XPP">Model!$AG$119</definedName>
    <definedName name="v_5_XSTR">Model!$BN$119</definedName>
    <definedName name="v_5_XU">Model!$M$119</definedName>
    <definedName name="v_5_XVivi">Model!$BO$119</definedName>
    <definedName name="v_50_CB">Model!$H$164</definedName>
    <definedName name="v_50_CU">Model!$L$164</definedName>
    <definedName name="v_50_GCH4">Model!$BX$164</definedName>
    <definedName name="v_50_GCH4_atm">Model!$CD$164</definedName>
    <definedName name="v_50_GCO2">Model!$BW$164</definedName>
    <definedName name="v_50_GCO2_atm">Model!$CC$164</definedName>
    <definedName name="v_50_GH2">Model!$BY$164</definedName>
    <definedName name="v_50_GH2_atm">Model!$CE$164</definedName>
    <definedName name="v_50_GN2">Model!$CB$164</definedName>
    <definedName name="v_50_GN2_atm">Model!$CH$164</definedName>
    <definedName name="v_50_GNH3">Model!$CA$164</definedName>
    <definedName name="v_50_GNH3_atm">Model!$CG$164</definedName>
    <definedName name="v_50_GO2">Model!$BZ$164</definedName>
    <definedName name="v_50_GO2_atm">Model!$CF$164</definedName>
    <definedName name="v_50_SALPHA">Model!$BU$164</definedName>
    <definedName name="v_50_SAN">Model!$AR$164</definedName>
    <definedName name="v_50_SB">Model!$F$164</definedName>
    <definedName name="v_50_SCa">Model!$AS$164</definedName>
    <definedName name="v_50_SCAT">Model!$AQ$164</definedName>
    <definedName name="v_50_SCH4">Model!$AM$164</definedName>
    <definedName name="v_50_SCO2">Model!$AO$164</definedName>
    <definedName name="v_50_SFe2">Model!$AV$164</definedName>
    <definedName name="v_50_SH">Model!$BT$164</definedName>
    <definedName name="v_50_SH2">Model!$AN$164</definedName>
    <definedName name="v_50_SK">Model!$AU$164</definedName>
    <definedName name="v_50_SMEOL">Model!$G$164</definedName>
    <definedName name="v_50_SMg">Model!$AT$164</definedName>
    <definedName name="v_50_SN_B">Model!$AB$164</definedName>
    <definedName name="v_50_SN2">Model!$AA$164</definedName>
    <definedName name="v_50_SNHx">Model!$Y$164</definedName>
    <definedName name="v_50_SNOx">Model!$Z$164</definedName>
    <definedName name="v_50_SO2">Model!$AL$164</definedName>
    <definedName name="v_50_SORPswitch">Model!$BV$164</definedName>
    <definedName name="v_50_SP_B">Model!$AH$164</definedName>
    <definedName name="v_50_SPFOA">Model!$BP$164</definedName>
    <definedName name="v_50_SPFOS">Model!$BR$164</definedName>
    <definedName name="v_50_SPO4">Model!$AF$164</definedName>
    <definedName name="v_50_SU">Model!$K$164</definedName>
    <definedName name="v_50_SVFA">Model!$E$164</definedName>
    <definedName name="v_50_XACP">Model!$BL$164</definedName>
    <definedName name="v_50_XALGAE">Model!$X$164</definedName>
    <definedName name="v_50_XAMETO">Model!$V$164</definedName>
    <definedName name="v_50_XB">Model!$I$164</definedName>
    <definedName name="v_50_XB_e">Model!$J$164</definedName>
    <definedName name="v_50_XBSH">Model!$BM$164</definedName>
    <definedName name="v_50_XCaCO3">Model!$BK$164</definedName>
    <definedName name="v_50_XCASTO">Model!$S$164</definedName>
    <definedName name="v_50_XE">Model!$P$164</definedName>
    <definedName name="v_50_XE_ana">Model!$Q$164</definedName>
    <definedName name="v_50_XHAO_H">Model!$BD$164</definedName>
    <definedName name="v_50_XHAO_H_P">Model!$BG$164</definedName>
    <definedName name="v_50_XHAO_H_P_old">Model!$BI$164</definedName>
    <definedName name="v_50_XHAO_L">Model!$BE$164</definedName>
    <definedName name="v_50_XHAO_L_P">Model!$BH$164</definedName>
    <definedName name="v_50_XHAO_L_P_old">Model!$BJ$164</definedName>
    <definedName name="v_50_XHAO_old">Model!$BF$164</definedName>
    <definedName name="v_50_XHFO_H">Model!$AW$164</definedName>
    <definedName name="v_50_XHFO_H_P">Model!$AZ$164</definedName>
    <definedName name="v_50_XHFO_H_P_old">Model!$BB$164</definedName>
    <definedName name="v_50_XHFO_L">Model!$AX$164</definedName>
    <definedName name="v_50_XHFO_L_P">Model!$BA$164</definedName>
    <definedName name="v_50_XHFO_L_P_old">Model!$BC$164</definedName>
    <definedName name="v_50_XHFO_old">Model!$AY$164</definedName>
    <definedName name="v_50_XHMETO">Model!$W$164</definedName>
    <definedName name="v_50_XINORG">Model!$AP$164</definedName>
    <definedName name="v_50_XMEOLO">Model!$T$164</definedName>
    <definedName name="v_50_XN_B">Model!$AC$164</definedName>
    <definedName name="v_50_XN_Be">Model!$AD$164</definedName>
    <definedName name="v_50_XN_U">Model!$AE$164</definedName>
    <definedName name="v_50_XNITO">Model!$U$164</definedName>
    <definedName name="v_50_XOHO">Model!$R$164</definedName>
    <definedName name="v_50_XP_B">Model!$AI$164</definedName>
    <definedName name="v_50_XP_Be">Model!$AJ$164</definedName>
    <definedName name="v_50_XP_U">Model!$AK$164</definedName>
    <definedName name="v_50_XPFOA">Model!$BQ$164</definedName>
    <definedName name="v_50_XPFOS">Model!$BS$164</definedName>
    <definedName name="v_50_XPHA_GAO">Model!$O$164</definedName>
    <definedName name="v_50_XPHA_PAO">Model!$N$164</definedName>
    <definedName name="v_50_XPP">Model!$AG$164</definedName>
    <definedName name="v_50_XSTR">Model!$BN$164</definedName>
    <definedName name="v_50_XU">Model!$M$164</definedName>
    <definedName name="v_50_XVivi">Model!$BO$164</definedName>
    <definedName name="v_51_CB">Model!$H$165</definedName>
    <definedName name="v_51_CU">Model!$L$165</definedName>
    <definedName name="v_51_GCH4">Model!$BX$165</definedName>
    <definedName name="v_51_GCH4_atm">Model!$CD$165</definedName>
    <definedName name="v_51_GCO2">Model!$BW$165</definedName>
    <definedName name="v_51_GCO2_atm">Model!$CC$165</definedName>
    <definedName name="v_51_GH2">Model!$BY$165</definedName>
    <definedName name="v_51_GH2_atm">Model!$CE$165</definedName>
    <definedName name="v_51_GN2">Model!$CB$165</definedName>
    <definedName name="v_51_GN2_atm">Model!$CH$165</definedName>
    <definedName name="v_51_GNH3">Model!$CA$165</definedName>
    <definedName name="v_51_GNH3_atm">Model!$CG$165</definedName>
    <definedName name="v_51_GO2">Model!$BZ$165</definedName>
    <definedName name="v_51_GO2_atm">Model!$CF$165</definedName>
    <definedName name="v_51_SALPHA">Model!$BU$165</definedName>
    <definedName name="v_51_SAN">Model!$AR$165</definedName>
    <definedName name="v_51_SB">Model!$F$165</definedName>
    <definedName name="v_51_SCa">Model!$AS$165</definedName>
    <definedName name="v_51_SCAT">Model!$AQ$165</definedName>
    <definedName name="v_51_SCH4">Model!$AM$165</definedName>
    <definedName name="v_51_SCO2">Model!$AO$165</definedName>
    <definedName name="v_51_SFe2">Model!$AV$165</definedName>
    <definedName name="v_51_SH">Model!$BT$165</definedName>
    <definedName name="v_51_SH2">Model!$AN$165</definedName>
    <definedName name="v_51_SK">Model!$AU$165</definedName>
    <definedName name="v_51_SMEOL">Model!$G$165</definedName>
    <definedName name="v_51_SMg">Model!$AT$165</definedName>
    <definedName name="v_51_SN_B">Model!$AB$165</definedName>
    <definedName name="v_51_SN2">Model!$AA$165</definedName>
    <definedName name="v_51_SNHx">Model!$Y$165</definedName>
    <definedName name="v_51_SNOx">Model!$Z$165</definedName>
    <definedName name="v_51_SO2">Model!$AL$165</definedName>
    <definedName name="v_51_SORPswitch">Model!$BV$165</definedName>
    <definedName name="v_51_SP_B">Model!$AH$165</definedName>
    <definedName name="v_51_SPFOA">Model!$BP$165</definedName>
    <definedName name="v_51_SPFOS">Model!$BR$165</definedName>
    <definedName name="v_51_SPO4">Model!$AF$165</definedName>
    <definedName name="v_51_SU">Model!$K$165</definedName>
    <definedName name="v_51_SVFA">Model!$E$165</definedName>
    <definedName name="v_51_XACP">Model!$BL$165</definedName>
    <definedName name="v_51_XALGAE">Model!$X$165</definedName>
    <definedName name="v_51_XAMETO">Model!$V$165</definedName>
    <definedName name="v_51_XB">Model!$I$165</definedName>
    <definedName name="v_51_XB_e">Model!$J$165</definedName>
    <definedName name="v_51_XBSH">Model!$BM$165</definedName>
    <definedName name="v_51_XCaCO3">Model!$BK$165</definedName>
    <definedName name="v_51_XCASTO">Model!$S$165</definedName>
    <definedName name="v_51_XE">Model!$P$165</definedName>
    <definedName name="v_51_XE_ana">Model!$Q$165</definedName>
    <definedName name="v_51_XHAO_H">Model!$BD$165</definedName>
    <definedName name="v_51_XHAO_H_P">Model!$BG$165</definedName>
    <definedName name="v_51_XHAO_H_P_old">Model!$BI$165</definedName>
    <definedName name="v_51_XHAO_L">Model!$BE$165</definedName>
    <definedName name="v_51_XHAO_L_P">Model!$BH$165</definedName>
    <definedName name="v_51_XHAO_L_P_old">Model!$BJ$165</definedName>
    <definedName name="v_51_XHAO_old">Model!$BF$165</definedName>
    <definedName name="v_51_XHFO_H">Model!$AW$165</definedName>
    <definedName name="v_51_XHFO_H_P">Model!$AZ$165</definedName>
    <definedName name="v_51_XHFO_H_P_old">Model!$BB$165</definedName>
    <definedName name="v_51_XHFO_L">Model!$AX$165</definedName>
    <definedName name="v_51_XHFO_L_P">Model!$BA$165</definedName>
    <definedName name="v_51_XHFO_L_P_old">Model!$BC$165</definedName>
    <definedName name="v_51_XHFO_old">Model!$AY$165</definedName>
    <definedName name="v_51_XHMETO">Model!$W$165</definedName>
    <definedName name="v_51_XINORG">Model!$AP$165</definedName>
    <definedName name="v_51_XMEOLO">Model!$T$165</definedName>
    <definedName name="v_51_XN_B">Model!$AC$165</definedName>
    <definedName name="v_51_XN_Be">Model!$AD$165</definedName>
    <definedName name="v_51_XN_U">Model!$AE$165</definedName>
    <definedName name="v_51_XNITO">Model!$U$165</definedName>
    <definedName name="v_51_XOHO">Model!$R$165</definedName>
    <definedName name="v_51_XP_B">Model!$AI$165</definedName>
    <definedName name="v_51_XP_Be">Model!$AJ$165</definedName>
    <definedName name="v_51_XP_U">Model!$AK$165</definedName>
    <definedName name="v_51_XPFOA">Model!$BQ$165</definedName>
    <definedName name="v_51_XPFOS">Model!$BS$165</definedName>
    <definedName name="v_51_XPHA_GAO">Model!$O$165</definedName>
    <definedName name="v_51_XPHA_PAO">Model!$N$165</definedName>
    <definedName name="v_51_XPP">Model!$AG$165</definedName>
    <definedName name="v_51_XSTR">Model!$BN$165</definedName>
    <definedName name="v_51_XU">Model!$M$165</definedName>
    <definedName name="v_51_XVivi">Model!$BO$165</definedName>
    <definedName name="v_52_CB">Model!$H$166</definedName>
    <definedName name="v_52_CU">Model!$L$166</definedName>
    <definedName name="v_52_GCH4">Model!$BX$166</definedName>
    <definedName name="v_52_GCH4_atm">Model!$CD$166</definedName>
    <definedName name="v_52_GCO2">Model!$BW$166</definedName>
    <definedName name="v_52_GCO2_atm">Model!$CC$166</definedName>
    <definedName name="v_52_GH2">Model!$BY$166</definedName>
    <definedName name="v_52_GH2_atm">Model!$CE$166</definedName>
    <definedName name="v_52_GN2">Model!$CB$166</definedName>
    <definedName name="v_52_GN2_atm">Model!$CH$166</definedName>
    <definedName name="v_52_GNH3">Model!$CA$166</definedName>
    <definedName name="v_52_GNH3_atm">Model!$CG$166</definedName>
    <definedName name="v_52_GO2">Model!$BZ$166</definedName>
    <definedName name="v_52_GO2_atm">Model!$CF$166</definedName>
    <definedName name="v_52_SALPHA">Model!$BU$166</definedName>
    <definedName name="v_52_SAN">Model!$AR$166</definedName>
    <definedName name="v_52_SB">Model!$F$166</definedName>
    <definedName name="v_52_SCa">Model!$AS$166</definedName>
    <definedName name="v_52_SCAT">Model!$AQ$166</definedName>
    <definedName name="v_52_SCH4">Model!$AM$166</definedName>
    <definedName name="v_52_SCO2">Model!$AO$166</definedName>
    <definedName name="v_52_SFe2">Model!$AV$166</definedName>
    <definedName name="v_52_SH">Model!$BT$166</definedName>
    <definedName name="v_52_SH2">Model!$AN$166</definedName>
    <definedName name="v_52_SK">Model!$AU$166</definedName>
    <definedName name="v_52_SMEOL">Model!$G$166</definedName>
    <definedName name="v_52_SMg">Model!$AT$166</definedName>
    <definedName name="v_52_SN_B">Model!$AB$166</definedName>
    <definedName name="v_52_SN2">Model!$AA$166</definedName>
    <definedName name="v_52_SNHx">Model!$Y$166</definedName>
    <definedName name="v_52_SNOx">Model!$Z$166</definedName>
    <definedName name="v_52_SO2">Model!$AL$166</definedName>
    <definedName name="v_52_SORPswitch">Model!$BV$166</definedName>
    <definedName name="v_52_SP_B">Model!$AH$166</definedName>
    <definedName name="v_52_SPFOA">Model!$BP$166</definedName>
    <definedName name="v_52_SPFOS">Model!$BR$166</definedName>
    <definedName name="v_52_SPO4">Model!$AF$166</definedName>
    <definedName name="v_52_SU">Model!$K$166</definedName>
    <definedName name="v_52_SVFA">Model!$E$166</definedName>
    <definedName name="v_52_XACP">Model!$BL$166</definedName>
    <definedName name="v_52_XALGAE">Model!$X$166</definedName>
    <definedName name="v_52_XAMETO">Model!$V$166</definedName>
    <definedName name="v_52_XB">Model!$I$166</definedName>
    <definedName name="v_52_XB_e">Model!$J$166</definedName>
    <definedName name="v_52_XBSH">Model!$BM$166</definedName>
    <definedName name="v_52_XCaCO3">Model!$BK$166</definedName>
    <definedName name="v_52_XCASTO">Model!$S$166</definedName>
    <definedName name="v_52_XE">Model!$P$166</definedName>
    <definedName name="v_52_XE_ana">Model!$Q$166</definedName>
    <definedName name="v_52_XHAO_H">Model!$BD$166</definedName>
    <definedName name="v_52_XHAO_H_P">Model!$BG$166</definedName>
    <definedName name="v_52_XHAO_H_P_old">Model!$BI$166</definedName>
    <definedName name="v_52_XHAO_L">Model!$BE$166</definedName>
    <definedName name="v_52_XHAO_L_P">Model!$BH$166</definedName>
    <definedName name="v_52_XHAO_L_P_old">Model!$BJ$166</definedName>
    <definedName name="v_52_XHAO_old">Model!$BF$166</definedName>
    <definedName name="v_52_XHFO_H">Model!$AW$166</definedName>
    <definedName name="v_52_XHFO_H_P">Model!$AZ$166</definedName>
    <definedName name="v_52_XHFO_H_P_old">Model!$BB$166</definedName>
    <definedName name="v_52_XHFO_L">Model!$AX$166</definedName>
    <definedName name="v_52_XHFO_L_P">Model!$BA$166</definedName>
    <definedName name="v_52_XHFO_L_P_old">Model!$BC$166</definedName>
    <definedName name="v_52_XHFO_old">Model!$AY$166</definedName>
    <definedName name="v_52_XHMETO">Model!$W$166</definedName>
    <definedName name="v_52_XINORG">Model!$AP$166</definedName>
    <definedName name="v_52_XMEOLO">Model!$T$166</definedName>
    <definedName name="v_52_XN_B">Model!$AC$166</definedName>
    <definedName name="v_52_XN_Be">Model!$AD$166</definedName>
    <definedName name="v_52_XN_U">Model!$AE$166</definedName>
    <definedName name="v_52_XNITO">Model!$U$166</definedName>
    <definedName name="v_52_XOHO">Model!$R$166</definedName>
    <definedName name="v_52_XP_B">Model!$AI$166</definedName>
    <definedName name="v_52_XP_Be">Model!$AJ$166</definedName>
    <definedName name="v_52_XP_U">Model!$AK$166</definedName>
    <definedName name="v_52_XPFOA">Model!$BQ$166</definedName>
    <definedName name="v_52_XPFOS">Model!$BS$166</definedName>
    <definedName name="v_52_XPHA_GAO">Model!$O$166</definedName>
    <definedName name="v_52_XPHA_PAO">Model!$N$166</definedName>
    <definedName name="v_52_XPP">Model!$AG$166</definedName>
    <definedName name="v_52_XSTR">Model!$BN$166</definedName>
    <definedName name="v_52_XU">Model!$M$166</definedName>
    <definedName name="v_52_XVivi">Model!$BO$166</definedName>
    <definedName name="v_53_CB">Model!$H$167</definedName>
    <definedName name="v_53_CU">Model!$L$167</definedName>
    <definedName name="v_53_GCH4">Model!$BX$167</definedName>
    <definedName name="v_53_GCH4_atm">Model!$CD$167</definedName>
    <definedName name="v_53_GCO2">Model!$BW$167</definedName>
    <definedName name="v_53_GCO2_atm">Model!$CC$167</definedName>
    <definedName name="v_53_GH2">Model!$BY$167</definedName>
    <definedName name="v_53_GH2_atm">Model!$CE$167</definedName>
    <definedName name="v_53_GN2">Model!$CB$167</definedName>
    <definedName name="v_53_GN2_atm">Model!$CH$167</definedName>
    <definedName name="v_53_GNH3">Model!$CA$167</definedName>
    <definedName name="v_53_GNH3_atm">Model!$CG$167</definedName>
    <definedName name="v_53_GO2">Model!$BZ$167</definedName>
    <definedName name="v_53_GO2_atm">Model!$CF$167</definedName>
    <definedName name="v_53_SALPHA">Model!$BU$167</definedName>
    <definedName name="v_53_SAN">Model!$AR$167</definedName>
    <definedName name="v_53_SB">Model!$F$167</definedName>
    <definedName name="v_53_SCa">Model!$AS$167</definedName>
    <definedName name="v_53_SCAT">Model!$AQ$167</definedName>
    <definedName name="v_53_SCH4">Model!$AM$167</definedName>
    <definedName name="v_53_SCO2">Model!$AO$167</definedName>
    <definedName name="v_53_SFe2">Model!$AV$167</definedName>
    <definedName name="v_53_SH">Model!$BT$167</definedName>
    <definedName name="v_53_SH2">Model!$AN$167</definedName>
    <definedName name="v_53_SK">Model!$AU$167</definedName>
    <definedName name="v_53_SMEOL">Model!$G$167</definedName>
    <definedName name="v_53_SMg">Model!$AT$167</definedName>
    <definedName name="v_53_SN_B">Model!$AB$167</definedName>
    <definedName name="v_53_SN2">Model!$AA$167</definedName>
    <definedName name="v_53_SNHx">Model!$Y$167</definedName>
    <definedName name="v_53_SNOx">Model!$Z$167</definedName>
    <definedName name="v_53_SO2">Model!$AL$167</definedName>
    <definedName name="v_53_SORPswitch">Model!$BV$167</definedName>
    <definedName name="v_53_SP_B">Model!$AH$167</definedName>
    <definedName name="v_53_SPFOA">Model!$BP$167</definedName>
    <definedName name="v_53_SPFOS">Model!$BR$167</definedName>
    <definedName name="v_53_SPO4">Model!$AF$167</definedName>
    <definedName name="v_53_SU">Model!$K$167</definedName>
    <definedName name="v_53_SVFA">Model!$E$167</definedName>
    <definedName name="v_53_XACP">Model!$BL$167</definedName>
    <definedName name="v_53_XALGAE">Model!$X$167</definedName>
    <definedName name="v_53_XAMETO">Model!$V$167</definedName>
    <definedName name="v_53_XB">Model!$I$167</definedName>
    <definedName name="v_53_XB_e">Model!$J$167</definedName>
    <definedName name="v_53_XBSH">Model!$BM$167</definedName>
    <definedName name="v_53_XCaCO3">Model!$BK$167</definedName>
    <definedName name="v_53_XCASTO">Model!$S$167</definedName>
    <definedName name="v_53_XE">Model!$P$167</definedName>
    <definedName name="v_53_XE_ana">Model!$Q$167</definedName>
    <definedName name="v_53_XHAO_H">Model!$BD$167</definedName>
    <definedName name="v_53_XHAO_H_P">Model!$BG$167</definedName>
    <definedName name="v_53_XHAO_H_P_old">Model!$BI$167</definedName>
    <definedName name="v_53_XHAO_L">Model!$BE$167</definedName>
    <definedName name="v_53_XHAO_L_P">Model!$BH$167</definedName>
    <definedName name="v_53_XHAO_L_P_old">Model!$BJ$167</definedName>
    <definedName name="v_53_XHAO_old">Model!$BF$167</definedName>
    <definedName name="v_53_XHFO_H">Model!$AW$167</definedName>
    <definedName name="v_53_XHFO_H_P">Model!$AZ$167</definedName>
    <definedName name="v_53_XHFO_H_P_old">Model!$BB$167</definedName>
    <definedName name="v_53_XHFO_L">Model!$AX$167</definedName>
    <definedName name="v_53_XHFO_L_P">Model!$BA$167</definedName>
    <definedName name="v_53_XHFO_L_P_old">Model!$BC$167</definedName>
    <definedName name="v_53_XHFO_old">Model!$AY$167</definedName>
    <definedName name="v_53_XHMETO">Model!$W$167</definedName>
    <definedName name="v_53_XINORG">Model!$AP$167</definedName>
    <definedName name="v_53_XMEOLO">Model!$T$167</definedName>
    <definedName name="v_53_XN_B">Model!$AC$167</definedName>
    <definedName name="v_53_XN_Be">Model!$AD$167</definedName>
    <definedName name="v_53_XN_U">Model!$AE$167</definedName>
    <definedName name="v_53_XNITO">Model!$U$167</definedName>
    <definedName name="v_53_XOHO">Model!$R$167</definedName>
    <definedName name="v_53_XP_B">Model!$AI$167</definedName>
    <definedName name="v_53_XP_Be">Model!$AJ$167</definedName>
    <definedName name="v_53_XP_U">Model!$AK$167</definedName>
    <definedName name="v_53_XPFOA">Model!$BQ$167</definedName>
    <definedName name="v_53_XPFOS">Model!$BS$167</definedName>
    <definedName name="v_53_XPHA_GAO">Model!$O$167</definedName>
    <definedName name="v_53_XPHA_PAO">Model!$N$167</definedName>
    <definedName name="v_53_XPP">Model!$AG$167</definedName>
    <definedName name="v_53_XSTR">Model!$BN$167</definedName>
    <definedName name="v_53_XU">Model!$M$167</definedName>
    <definedName name="v_53_XVivi">Model!$BO$167</definedName>
    <definedName name="v_54_CB">Model!$H$168</definedName>
    <definedName name="v_54_CU">Model!$L$168</definedName>
    <definedName name="v_54_GCH4">Model!$BX$168</definedName>
    <definedName name="v_54_GCH4_atm">Model!$CD$168</definedName>
    <definedName name="v_54_GCO2">Model!$BW$168</definedName>
    <definedName name="v_54_GCO2_atm">Model!$CC$168</definedName>
    <definedName name="v_54_GH2">Model!$BY$168</definedName>
    <definedName name="v_54_GH2_atm">Model!$CE$168</definedName>
    <definedName name="v_54_GN2">Model!$CB$168</definedName>
    <definedName name="v_54_GN2_atm">Model!$CH$168</definedName>
    <definedName name="v_54_GNH3">Model!$CA$168</definedName>
    <definedName name="v_54_GNH3_atm">Model!$CG$168</definedName>
    <definedName name="v_54_GO2">Model!$BZ$168</definedName>
    <definedName name="v_54_GO2_atm">Model!$CF$168</definedName>
    <definedName name="v_54_SALPHA">Model!$BU$168</definedName>
    <definedName name="v_54_SAN">Model!$AR$168</definedName>
    <definedName name="v_54_SB">Model!$F$168</definedName>
    <definedName name="v_54_SCa">Model!$AS$168</definedName>
    <definedName name="v_54_SCAT">Model!$AQ$168</definedName>
    <definedName name="v_54_SCH4">Model!$AM$168</definedName>
    <definedName name="v_54_SCO2">Model!$AO$168</definedName>
    <definedName name="v_54_SFe2">Model!$AV$168</definedName>
    <definedName name="v_54_SH">Model!$BT$168</definedName>
    <definedName name="v_54_SH2">Model!$AN$168</definedName>
    <definedName name="v_54_SK">Model!$AU$168</definedName>
    <definedName name="v_54_SMEOL">Model!$G$168</definedName>
    <definedName name="v_54_SMg">Model!$AT$168</definedName>
    <definedName name="v_54_SN_B">Model!$AB$168</definedName>
    <definedName name="v_54_SN2">Model!$AA$168</definedName>
    <definedName name="v_54_SNHx">Model!$Y$168</definedName>
    <definedName name="v_54_SNOx">Model!$Z$168</definedName>
    <definedName name="v_54_SO2">Model!$AL$168</definedName>
    <definedName name="v_54_SORPswitch">Model!$BV$168</definedName>
    <definedName name="v_54_SP_B">Model!$AH$168</definedName>
    <definedName name="v_54_SPFOA">Model!$BP$168</definedName>
    <definedName name="v_54_SPFOS">Model!$BR$168</definedName>
    <definedName name="v_54_SPO4">Model!$AF$168</definedName>
    <definedName name="v_54_SU">Model!$K$168</definedName>
    <definedName name="v_54_SVFA">Model!$E$168</definedName>
    <definedName name="v_54_XACP">Model!$BL$168</definedName>
    <definedName name="v_54_XALGAE">Model!$X$168</definedName>
    <definedName name="v_54_XAMETO">Model!$V$168</definedName>
    <definedName name="v_54_XB">Model!$I$168</definedName>
    <definedName name="v_54_XB_e">Model!$J$168</definedName>
    <definedName name="v_54_XBSH">Model!$BM$168</definedName>
    <definedName name="v_54_XCaCO3">Model!$BK$168</definedName>
    <definedName name="v_54_XCASTO">Model!$S$168</definedName>
    <definedName name="v_54_XE">Model!$P$168</definedName>
    <definedName name="v_54_XE_ana">Model!$Q$168</definedName>
    <definedName name="v_54_XHAO_H">Model!$BD$168</definedName>
    <definedName name="v_54_XHAO_H_P">Model!$BG$168</definedName>
    <definedName name="v_54_XHAO_H_P_old">Model!$BI$168</definedName>
    <definedName name="v_54_XHAO_L">Model!$BE$168</definedName>
    <definedName name="v_54_XHAO_L_P">Model!$BH$168</definedName>
    <definedName name="v_54_XHAO_L_P_old">Model!$BJ$168</definedName>
    <definedName name="v_54_XHAO_old">Model!$BF$168</definedName>
    <definedName name="v_54_XHFO_H">Model!$AW$168</definedName>
    <definedName name="v_54_XHFO_H_P">Model!$AZ$168</definedName>
    <definedName name="v_54_XHFO_H_P_old">Model!$BB$168</definedName>
    <definedName name="v_54_XHFO_L">Model!$AX$168</definedName>
    <definedName name="v_54_XHFO_L_P">Model!$BA$168</definedName>
    <definedName name="v_54_XHFO_L_P_old">Model!$BC$168</definedName>
    <definedName name="v_54_XHFO_old">Model!$AY$168</definedName>
    <definedName name="v_54_XHMETO">Model!$W$168</definedName>
    <definedName name="v_54_XINORG">Model!$AP$168</definedName>
    <definedName name="v_54_XMEOLO">Model!$T$168</definedName>
    <definedName name="v_54_XN_B">Model!$AC$168</definedName>
    <definedName name="v_54_XN_Be">Model!$AD$168</definedName>
    <definedName name="v_54_XN_U">Model!$AE$168</definedName>
    <definedName name="v_54_XNITO">Model!$U$168</definedName>
    <definedName name="v_54_XOHO">Model!$R$168</definedName>
    <definedName name="v_54_XP_B">Model!$AI$168</definedName>
    <definedName name="v_54_XP_Be">Model!$AJ$168</definedName>
    <definedName name="v_54_XP_U">Model!$AK$168</definedName>
    <definedName name="v_54_XPFOA">Model!$BQ$168</definedName>
    <definedName name="v_54_XPFOS">Model!$BS$168</definedName>
    <definedName name="v_54_XPHA_GAO">Model!$O$168</definedName>
    <definedName name="v_54_XPHA_PAO">Model!$N$168</definedName>
    <definedName name="v_54_XPP">Model!$AG$168</definedName>
    <definedName name="v_54_XSTR">Model!$BN$168</definedName>
    <definedName name="v_54_XU">Model!$M$168</definedName>
    <definedName name="v_54_XVivi">Model!$BO$168</definedName>
    <definedName name="v_55_CB">Model!$H$170</definedName>
    <definedName name="v_55_CU">Model!$L$170</definedName>
    <definedName name="v_55_GCH4">Model!$BX$170</definedName>
    <definedName name="v_55_GCH4_atm">Model!$CD$170</definedName>
    <definedName name="v_55_GCO2">Model!$BW$170</definedName>
    <definedName name="v_55_GCO2_atm">Model!$CC$170</definedName>
    <definedName name="v_55_GH2">Model!$BY$170</definedName>
    <definedName name="v_55_GH2_atm">Model!$CE$170</definedName>
    <definedName name="v_55_GN2">Model!$CB$170</definedName>
    <definedName name="v_55_GN2_atm">Model!$CH$170</definedName>
    <definedName name="v_55_GNH3">Model!$CA$170</definedName>
    <definedName name="v_55_GNH3_atm">Model!$CG$170</definedName>
    <definedName name="v_55_GO2">Model!$BZ$170</definedName>
    <definedName name="v_55_GO2_atm">Model!$CF$170</definedName>
    <definedName name="v_55_SALPHA">Model!$BU$170</definedName>
    <definedName name="v_55_SAN">Model!$AR$170</definedName>
    <definedName name="v_55_SB">Model!$F$170</definedName>
    <definedName name="v_55_SCa">Model!$AS$170</definedName>
    <definedName name="v_55_SCAT">Model!$AQ$170</definedName>
    <definedName name="v_55_SCH4">Model!$AM$170</definedName>
    <definedName name="v_55_SCO2">Model!$AO$170</definedName>
    <definedName name="v_55_SFe2">Model!$AV$170</definedName>
    <definedName name="v_55_SH">Model!$BT$170</definedName>
    <definedName name="v_55_SH2">Model!$AN$170</definedName>
    <definedName name="v_55_SK">Model!$AU$170</definedName>
    <definedName name="v_55_SMEOL">Model!$G$170</definedName>
    <definedName name="v_55_SMg">Model!$AT$170</definedName>
    <definedName name="v_55_SN_B">Model!$AB$170</definedName>
    <definedName name="v_55_SN2">Model!$AA$170</definedName>
    <definedName name="v_55_SNHx">Model!$Y$170</definedName>
    <definedName name="v_55_SNOx">Model!$Z$170</definedName>
    <definedName name="v_55_SO2">Model!$AL$170</definedName>
    <definedName name="v_55_SORPswitch">Model!$BV$170</definedName>
    <definedName name="v_55_SP_B">Model!$AH$170</definedName>
    <definedName name="v_55_SPFOA">Model!$BP$170</definedName>
    <definedName name="v_55_SPFOS">Model!$BR$170</definedName>
    <definedName name="v_55_SPO4">Model!$AF$170</definedName>
    <definedName name="v_55_SU">Model!$K$170</definedName>
    <definedName name="v_55_SVFA">Model!$E$170</definedName>
    <definedName name="v_55_XACP">Model!$BL$170</definedName>
    <definedName name="v_55_XALGAE">Model!$X$170</definedName>
    <definedName name="v_55_XAMETO">Model!$V$170</definedName>
    <definedName name="v_55_XB">Model!$I$170</definedName>
    <definedName name="v_55_XB_e">Model!$J$170</definedName>
    <definedName name="v_55_XBSH">Model!$BM$170</definedName>
    <definedName name="v_55_XCaCO3">Model!$BK$170</definedName>
    <definedName name="v_55_XCASTO">Model!$S$170</definedName>
    <definedName name="v_55_XE">Model!$P$170</definedName>
    <definedName name="v_55_XE_ana">Model!$Q$170</definedName>
    <definedName name="v_55_XHAO_H">Model!$BD$170</definedName>
    <definedName name="v_55_XHAO_H_P">Model!$BG$170</definedName>
    <definedName name="v_55_XHAO_H_P_old">Model!$BI$170</definedName>
    <definedName name="v_55_XHAO_L">Model!$BE$170</definedName>
    <definedName name="v_55_XHAO_L_P">Model!$BH$170</definedName>
    <definedName name="v_55_XHAO_L_P_old">Model!$BJ$170</definedName>
    <definedName name="v_55_XHAO_old">Model!$BF$170</definedName>
    <definedName name="v_55_XHFO_H">Model!$AW$170</definedName>
    <definedName name="v_55_XHFO_H_P">Model!$AZ$170</definedName>
    <definedName name="v_55_XHFO_H_P_old">Model!$BB$170</definedName>
    <definedName name="v_55_XHFO_L">Model!$AX$170</definedName>
    <definedName name="v_55_XHFO_L_P">Model!$BA$170</definedName>
    <definedName name="v_55_XHFO_L_P_old">Model!$BC$170</definedName>
    <definedName name="v_55_XHFO_old">Model!$AY$170</definedName>
    <definedName name="v_55_XHMETO">Model!$W$170</definedName>
    <definedName name="v_55_XINORG">Model!$AP$170</definedName>
    <definedName name="v_55_XMEOLO">Model!$T$170</definedName>
    <definedName name="v_55_XN_B">Model!$AC$170</definedName>
    <definedName name="v_55_XN_Be">Model!$AD$170</definedName>
    <definedName name="v_55_XN_U">Model!$AE$170</definedName>
    <definedName name="v_55_XNITO">Model!$U$170</definedName>
    <definedName name="v_55_XOHO">Model!$R$170</definedName>
    <definedName name="v_55_XP_B">Model!$AI$170</definedName>
    <definedName name="v_55_XP_Be">Model!$AJ$170</definedName>
    <definedName name="v_55_XP_U">Model!$AK$170</definedName>
    <definedName name="v_55_XPFOA">Model!$BQ$170</definedName>
    <definedName name="v_55_XPFOS">Model!$BS$170</definedName>
    <definedName name="v_55_XPHA_GAO">Model!$O$170</definedName>
    <definedName name="v_55_XPHA_PAO">Model!$N$170</definedName>
    <definedName name="v_55_XPP">Model!$AG$170</definedName>
    <definedName name="v_55_XSTR">Model!$BN$170</definedName>
    <definedName name="v_55_XU">Model!$M$170</definedName>
    <definedName name="v_55_XVivi">Model!$BO$170</definedName>
    <definedName name="v_56_CB">Model!$H$171</definedName>
    <definedName name="v_56_CU">Model!$L$171</definedName>
    <definedName name="v_56_GCH4">Model!$BX$171</definedName>
    <definedName name="v_56_GCH4_atm">Model!$CD$171</definedName>
    <definedName name="v_56_GCO2">Model!$BW$171</definedName>
    <definedName name="v_56_GCO2_atm">Model!$CC$171</definedName>
    <definedName name="v_56_GH2">Model!$BY$171</definedName>
    <definedName name="v_56_GH2_atm">Model!$CE$171</definedName>
    <definedName name="v_56_GN2">Model!$CB$171</definedName>
    <definedName name="v_56_GN2_atm">Model!$CH$171</definedName>
    <definedName name="v_56_GNH3">Model!$CA$171</definedName>
    <definedName name="v_56_GNH3_atm">Model!$CG$171</definedName>
    <definedName name="v_56_GO2">Model!$BZ$171</definedName>
    <definedName name="v_56_GO2_atm">Model!$CF$171</definedName>
    <definedName name="v_56_SALPHA">Model!$BU$171</definedName>
    <definedName name="v_56_SAN">Model!$AR$171</definedName>
    <definedName name="v_56_SB">Model!$F$171</definedName>
    <definedName name="v_56_SCa">Model!$AS$171</definedName>
    <definedName name="v_56_SCAT">Model!$AQ$171</definedName>
    <definedName name="v_56_SCH4">Model!$AM$171</definedName>
    <definedName name="v_56_SCO2">Model!$AO$171</definedName>
    <definedName name="v_56_SFe2">Model!$AV$171</definedName>
    <definedName name="v_56_SH">Model!$BT$171</definedName>
    <definedName name="v_56_SH2">Model!$AN$171</definedName>
    <definedName name="v_56_SK">Model!$AU$171</definedName>
    <definedName name="v_56_SMEOL">Model!$G$171</definedName>
    <definedName name="v_56_SMg">Model!$AT$171</definedName>
    <definedName name="v_56_SN_B">Model!$AB$171</definedName>
    <definedName name="v_56_SN2">Model!$AA$171</definedName>
    <definedName name="v_56_SNHx">Model!$Y$171</definedName>
    <definedName name="v_56_SNOx">Model!$Z$171</definedName>
    <definedName name="v_56_SO2">Model!$AL$171</definedName>
    <definedName name="v_56_SORPswitch">Model!$BV$171</definedName>
    <definedName name="v_56_SP_B">Model!$AH$171</definedName>
    <definedName name="v_56_SPFOA">Model!$BP$171</definedName>
    <definedName name="v_56_SPFOS">Model!$BR$171</definedName>
    <definedName name="v_56_SPO4">Model!$AF$171</definedName>
    <definedName name="v_56_SU">Model!$K$171</definedName>
    <definedName name="v_56_SVFA">Model!$E$171</definedName>
    <definedName name="v_56_XACP">Model!$BL$171</definedName>
    <definedName name="v_56_XALGAE">Model!$X$171</definedName>
    <definedName name="v_56_XAMETO">Model!$V$171</definedName>
    <definedName name="v_56_XB">Model!$I$171</definedName>
    <definedName name="v_56_XB_e">Model!$J$171</definedName>
    <definedName name="v_56_XBSH">Model!$BM$171</definedName>
    <definedName name="v_56_XCaCO3">Model!$BK$171</definedName>
    <definedName name="v_56_XCASTO">Model!$S$171</definedName>
    <definedName name="v_56_XE">Model!$P$171</definedName>
    <definedName name="v_56_XE_ana">Model!$Q$171</definedName>
    <definedName name="v_56_XHAO_H">Model!$BD$171</definedName>
    <definedName name="v_56_XHAO_H_P">Model!$BG$171</definedName>
    <definedName name="v_56_XHAO_H_P_old">Model!$BI$171</definedName>
    <definedName name="v_56_XHAO_L">Model!$BE$171</definedName>
    <definedName name="v_56_XHAO_L_P">Model!$BH$171</definedName>
    <definedName name="v_56_XHAO_L_P_old">Model!$BJ$171</definedName>
    <definedName name="v_56_XHAO_old">Model!$BF$171</definedName>
    <definedName name="v_56_XHFO_H">Model!$AW$171</definedName>
    <definedName name="v_56_XHFO_H_P">Model!$AZ$171</definedName>
    <definedName name="v_56_XHFO_H_P_old">Model!$BB$171</definedName>
    <definedName name="v_56_XHFO_L">Model!$AX$171</definedName>
    <definedName name="v_56_XHFO_L_P">Model!$BA$171</definedName>
    <definedName name="v_56_XHFO_L_P_old">Model!$BC$171</definedName>
    <definedName name="v_56_XHFO_old">Model!$AY$171</definedName>
    <definedName name="v_56_XHMETO">Model!$W$171</definedName>
    <definedName name="v_56_XINORG">Model!$AP$171</definedName>
    <definedName name="v_56_XMEOLO">Model!$T$171</definedName>
    <definedName name="v_56_XN_B">Model!$AC$171</definedName>
    <definedName name="v_56_XN_Be">Model!$AD$171</definedName>
    <definedName name="v_56_XN_U">Model!$AE$171</definedName>
    <definedName name="v_56_XNITO">Model!$U$171</definedName>
    <definedName name="v_56_XOHO">Model!$R$171</definedName>
    <definedName name="v_56_XP_B">Model!$AI$171</definedName>
    <definedName name="v_56_XP_Be">Model!$AJ$171</definedName>
    <definedName name="v_56_XP_U">Model!$AK$171</definedName>
    <definedName name="v_56_XPFOA">Model!$BQ$171</definedName>
    <definedName name="v_56_XPFOS">Model!$BS$171</definedName>
    <definedName name="v_56_XPHA_GAO">Model!$O$171</definedName>
    <definedName name="v_56_XPHA_PAO">Model!$N$171</definedName>
    <definedName name="v_56_XPP">Model!$AG$171</definedName>
    <definedName name="v_56_XSTR">Model!$BN$171</definedName>
    <definedName name="v_56_XU">Model!$M$171</definedName>
    <definedName name="v_56_XVivi">Model!$BO$171</definedName>
    <definedName name="v_57_CB">Model!$H$172</definedName>
    <definedName name="v_57_CU">Model!$L$172</definedName>
    <definedName name="v_57_GCH4">Model!$BX$172</definedName>
    <definedName name="v_57_GCH4_atm">Model!$CD$172</definedName>
    <definedName name="v_57_GCO2">Model!$BW$172</definedName>
    <definedName name="v_57_GCO2_atm">Model!$CC$172</definedName>
    <definedName name="v_57_GH2">Model!$BY$172</definedName>
    <definedName name="v_57_GH2_atm">Model!$CE$172</definedName>
    <definedName name="v_57_GN2">Model!$CB$172</definedName>
    <definedName name="v_57_GN2_atm">Model!$CH$172</definedName>
    <definedName name="v_57_GNH3">Model!$CA$172</definedName>
    <definedName name="v_57_GNH3_atm">Model!$CG$172</definedName>
    <definedName name="v_57_GO2">Model!$BZ$172</definedName>
    <definedName name="v_57_GO2_atm">Model!$CF$172</definedName>
    <definedName name="v_57_SALPHA">Model!$BU$172</definedName>
    <definedName name="v_57_SAN">Model!$AR$172</definedName>
    <definedName name="v_57_SB">Model!$F$172</definedName>
    <definedName name="v_57_SCa">Model!$AS$172</definedName>
    <definedName name="v_57_SCAT">Model!$AQ$172</definedName>
    <definedName name="v_57_SCH4">Model!$AM$172</definedName>
    <definedName name="v_57_SCO2">Model!$AO$172</definedName>
    <definedName name="v_57_SFe2">Model!$AV$172</definedName>
    <definedName name="v_57_SH">Model!$BT$172</definedName>
    <definedName name="v_57_SH2">Model!$AN$172</definedName>
    <definedName name="v_57_SK">Model!$AU$172</definedName>
    <definedName name="v_57_SMEOL">Model!$G$172</definedName>
    <definedName name="v_57_SMg">Model!$AT$172</definedName>
    <definedName name="v_57_SN_B">Model!$AB$172</definedName>
    <definedName name="v_57_SN2">Model!$AA$172</definedName>
    <definedName name="v_57_SNHx">Model!$Y$172</definedName>
    <definedName name="v_57_SNOx">Model!$Z$172</definedName>
    <definedName name="v_57_SO2">Model!$AL$172</definedName>
    <definedName name="v_57_SORPswitch">Model!$BV$172</definedName>
    <definedName name="v_57_SP_B">Model!$AH$172</definedName>
    <definedName name="v_57_SPFOA">Model!$BP$172</definedName>
    <definedName name="v_57_SPFOS">Model!$BR$172</definedName>
    <definedName name="v_57_SPO4">Model!$AF$172</definedName>
    <definedName name="v_57_SU">Model!$K$172</definedName>
    <definedName name="v_57_SVFA">Model!$E$172</definedName>
    <definedName name="v_57_XACP">Model!$BL$172</definedName>
    <definedName name="v_57_XALGAE">Model!$X$172</definedName>
    <definedName name="v_57_XAMETO">Model!$V$172</definedName>
    <definedName name="v_57_XB">Model!$I$172</definedName>
    <definedName name="v_57_XB_e">Model!$J$172</definedName>
    <definedName name="v_57_XBSH">Model!$BM$172</definedName>
    <definedName name="v_57_XCaCO3">Model!$BK$172</definedName>
    <definedName name="v_57_XCASTO">Model!$S$172</definedName>
    <definedName name="v_57_XE">Model!$P$172</definedName>
    <definedName name="v_57_XE_ana">Model!$Q$172</definedName>
    <definedName name="v_57_XHAO_H">Model!$BD$172</definedName>
    <definedName name="v_57_XHAO_H_P">Model!$BG$172</definedName>
    <definedName name="v_57_XHAO_H_P_old">Model!$BI$172</definedName>
    <definedName name="v_57_XHAO_L">Model!$BE$172</definedName>
    <definedName name="v_57_XHAO_L_P">Model!$BH$172</definedName>
    <definedName name="v_57_XHAO_L_P_old">Model!$BJ$172</definedName>
    <definedName name="v_57_XHAO_old">Model!$BF$172</definedName>
    <definedName name="v_57_XHFO_H">Model!$AW$172</definedName>
    <definedName name="v_57_XHFO_H_P">Model!$AZ$172</definedName>
    <definedName name="v_57_XHFO_H_P_old">Model!$BB$172</definedName>
    <definedName name="v_57_XHFO_L">Model!$AX$172</definedName>
    <definedName name="v_57_XHFO_L_P">Model!$BA$172</definedName>
    <definedName name="v_57_XHFO_L_P_old">Model!$BC$172</definedName>
    <definedName name="v_57_XHFO_old">Model!$AY$172</definedName>
    <definedName name="v_57_XHMETO">Model!$W$172</definedName>
    <definedName name="v_57_XINORG">Model!$AP$172</definedName>
    <definedName name="v_57_XMEOLO">Model!$T$172</definedName>
    <definedName name="v_57_XN_B">Model!$AC$172</definedName>
    <definedName name="v_57_XN_Be">Model!$AD$172</definedName>
    <definedName name="v_57_XN_U">Model!$AE$172</definedName>
    <definedName name="v_57_XNITO">Model!$U$172</definedName>
    <definedName name="v_57_XOHO">Model!$R$172</definedName>
    <definedName name="v_57_XP_B">Model!$AI$172</definedName>
    <definedName name="v_57_XP_Be">Model!$AJ$172</definedName>
    <definedName name="v_57_XP_U">Model!$AK$172</definedName>
    <definedName name="v_57_XPFOA">Model!$BQ$172</definedName>
    <definedName name="v_57_XPFOS">Model!$BS$172</definedName>
    <definedName name="v_57_XPHA_GAO">Model!$O$172</definedName>
    <definedName name="v_57_XPHA_PAO">Model!$N$172</definedName>
    <definedName name="v_57_XPP">Model!$AG$172</definedName>
    <definedName name="v_57_XSTR">Model!$BN$172</definedName>
    <definedName name="v_57_XU">Model!$M$172</definedName>
    <definedName name="v_57_XVivi">Model!$BO$172</definedName>
    <definedName name="v_58_CB">Model!$H$173</definedName>
    <definedName name="v_58_CU">Model!$L$173</definedName>
    <definedName name="v_58_GCH4">Model!$BX$173</definedName>
    <definedName name="v_58_GCH4_atm">Model!$CD$173</definedName>
    <definedName name="v_58_GCO2">Model!$BW$173</definedName>
    <definedName name="v_58_GCO2_atm">Model!$CC$173</definedName>
    <definedName name="v_58_GH2">Model!$BY$173</definedName>
    <definedName name="v_58_GH2_atm">Model!$CE$173</definedName>
    <definedName name="v_58_GN2">Model!$CB$173</definedName>
    <definedName name="v_58_GN2_atm">Model!$CH$173</definedName>
    <definedName name="v_58_GNH3">Model!$CA$173</definedName>
    <definedName name="v_58_GNH3_atm">Model!$CG$173</definedName>
    <definedName name="v_58_GO2">Model!$BZ$173</definedName>
    <definedName name="v_58_GO2_atm">Model!$CF$173</definedName>
    <definedName name="v_58_SALPHA">Model!$BU$173</definedName>
    <definedName name="v_58_SAN">Model!$AR$173</definedName>
    <definedName name="v_58_SB">Model!$F$173</definedName>
    <definedName name="v_58_SCa">Model!$AS$173</definedName>
    <definedName name="v_58_SCAT">Model!$AQ$173</definedName>
    <definedName name="v_58_SCH4">Model!$AM$173</definedName>
    <definedName name="v_58_SCO2">Model!$AO$173</definedName>
    <definedName name="v_58_SFe2">Model!$AV$173</definedName>
    <definedName name="v_58_SH">Model!$BT$173</definedName>
    <definedName name="v_58_SH2">Model!$AN$173</definedName>
    <definedName name="v_58_SK">Model!$AU$173</definedName>
    <definedName name="v_58_SMEOL">Model!$G$173</definedName>
    <definedName name="v_58_SMg">Model!$AT$173</definedName>
    <definedName name="v_58_SN_B">Model!$AB$173</definedName>
    <definedName name="v_58_SN2">Model!$AA$173</definedName>
    <definedName name="v_58_SNHx">Model!$Y$173</definedName>
    <definedName name="v_58_SNOx">Model!$Z$173</definedName>
    <definedName name="v_58_SO2">Model!$AL$173</definedName>
    <definedName name="v_58_SORPswitch">Model!$BV$173</definedName>
    <definedName name="v_58_SP_B">Model!$AH$173</definedName>
    <definedName name="v_58_SPFOA">Model!$BP$173</definedName>
    <definedName name="v_58_SPFOS">Model!$BR$173</definedName>
    <definedName name="v_58_SPO4">Model!$AF$173</definedName>
    <definedName name="v_58_SU">Model!$K$173</definedName>
    <definedName name="v_58_SVFA">Model!$E$173</definedName>
    <definedName name="v_58_XACP">Model!$BL$173</definedName>
    <definedName name="v_58_XALGAE">Model!$X$173</definedName>
    <definedName name="v_58_XAMETO">Model!$V$173</definedName>
    <definedName name="v_58_XB">Model!$I$173</definedName>
    <definedName name="v_58_XB_e">Model!$J$173</definedName>
    <definedName name="v_58_XBSH">Model!$BM$173</definedName>
    <definedName name="v_58_XCaCO3">Model!$BK$173</definedName>
    <definedName name="v_58_XCASTO">Model!$S$173</definedName>
    <definedName name="v_58_XE">Model!$P$173</definedName>
    <definedName name="v_58_XE_ana">Model!$Q$173</definedName>
    <definedName name="v_58_XHAO_H">Model!$BD$173</definedName>
    <definedName name="v_58_XHAO_H_P">Model!$BG$173</definedName>
    <definedName name="v_58_XHAO_H_P_old">Model!$BI$173</definedName>
    <definedName name="v_58_XHAO_L">Model!$BE$173</definedName>
    <definedName name="v_58_XHAO_L_P">Model!$BH$173</definedName>
    <definedName name="v_58_XHAO_L_P_old">Model!$BJ$173</definedName>
    <definedName name="v_58_XHAO_old">Model!$BF$173</definedName>
    <definedName name="v_58_XHFO_H">Model!$AW$173</definedName>
    <definedName name="v_58_XHFO_H_P">Model!$AZ$173</definedName>
    <definedName name="v_58_XHFO_H_P_old">Model!$BB$173</definedName>
    <definedName name="v_58_XHFO_L">Model!$AX$173</definedName>
    <definedName name="v_58_XHFO_L_P">Model!$BA$173</definedName>
    <definedName name="v_58_XHFO_L_P_old">Model!$BC$173</definedName>
    <definedName name="v_58_XHFO_old">Model!$AY$173</definedName>
    <definedName name="v_58_XHMETO">Model!$W$173</definedName>
    <definedName name="v_58_XINORG">Model!$AP$173</definedName>
    <definedName name="v_58_XMEOLO">Model!$T$173</definedName>
    <definedName name="v_58_XN_B">Model!$AC$173</definedName>
    <definedName name="v_58_XN_Be">Model!$AD$173</definedName>
    <definedName name="v_58_XN_U">Model!$AE$173</definedName>
    <definedName name="v_58_XNITO">Model!$U$173</definedName>
    <definedName name="v_58_XOHO">Model!$R$173</definedName>
    <definedName name="v_58_XP_B">Model!$AI$173</definedName>
    <definedName name="v_58_XP_Be">Model!$AJ$173</definedName>
    <definedName name="v_58_XP_U">Model!$AK$173</definedName>
    <definedName name="v_58_XPFOA">Model!$BQ$173</definedName>
    <definedName name="v_58_XPFOS">Model!$BS$173</definedName>
    <definedName name="v_58_XPHA_GAO">Model!$O$173</definedName>
    <definedName name="v_58_XPHA_PAO">Model!$N$173</definedName>
    <definedName name="v_58_XPP">Model!$AG$173</definedName>
    <definedName name="v_58_XSTR">Model!$BN$173</definedName>
    <definedName name="v_58_XU">Model!$M$173</definedName>
    <definedName name="v_58_XVivi">Model!$BO$173</definedName>
    <definedName name="v_59_CB">Model!$H$174</definedName>
    <definedName name="v_59_CU">Model!$L$174</definedName>
    <definedName name="v_59_GCH4">Model!$BX$174</definedName>
    <definedName name="v_59_GCH4_atm">Model!$CD$174</definedName>
    <definedName name="v_59_GCO2">Model!$BW$174</definedName>
    <definedName name="v_59_GCO2_atm">Model!$CC$174</definedName>
    <definedName name="v_59_GH2">Model!$BY$174</definedName>
    <definedName name="v_59_GH2_atm">Model!$CE$174</definedName>
    <definedName name="v_59_GN2">Model!$CB$174</definedName>
    <definedName name="v_59_GN2_atm">Model!$CH$174</definedName>
    <definedName name="v_59_GNH3">Model!$CA$174</definedName>
    <definedName name="v_59_GNH3_atm">Model!$CG$174</definedName>
    <definedName name="v_59_GO2">Model!$BZ$174</definedName>
    <definedName name="v_59_GO2_atm">Model!$CF$174</definedName>
    <definedName name="v_59_SALPHA">Model!$BU$174</definedName>
    <definedName name="v_59_SAN">Model!$AR$174</definedName>
    <definedName name="v_59_SB">Model!$F$174</definedName>
    <definedName name="v_59_SCa">Model!$AS$174</definedName>
    <definedName name="v_59_SCAT">Model!$AQ$174</definedName>
    <definedName name="v_59_SCH4">Model!$AM$174</definedName>
    <definedName name="v_59_SCO2">Model!$AO$174</definedName>
    <definedName name="v_59_SFe2">Model!$AV$174</definedName>
    <definedName name="v_59_SH">Model!$BT$174</definedName>
    <definedName name="v_59_SH2">Model!$AN$174</definedName>
    <definedName name="v_59_SK">Model!$AU$174</definedName>
    <definedName name="v_59_SMEOL">Model!$G$174</definedName>
    <definedName name="v_59_SMg">Model!$AT$174</definedName>
    <definedName name="v_59_SN_B">Model!$AB$174</definedName>
    <definedName name="v_59_SN2">Model!$AA$174</definedName>
    <definedName name="v_59_SNHx">Model!$Y$174</definedName>
    <definedName name="v_59_SNOx">Model!$Z$174</definedName>
    <definedName name="v_59_SO2">Model!$AL$174</definedName>
    <definedName name="v_59_SORPswitch">Model!$BV$174</definedName>
    <definedName name="v_59_SP_B">Model!$AH$174</definedName>
    <definedName name="v_59_SPFOA">Model!$BP$174</definedName>
    <definedName name="v_59_SPFOS">Model!$BR$174</definedName>
    <definedName name="v_59_SPO4">Model!$AF$174</definedName>
    <definedName name="v_59_SU">Model!$K$174</definedName>
    <definedName name="v_59_SVFA">Model!$E$174</definedName>
    <definedName name="v_59_XACP">Model!$BL$174</definedName>
    <definedName name="v_59_XALGAE">Model!$X$174</definedName>
    <definedName name="v_59_XAMETO">Model!$V$174</definedName>
    <definedName name="v_59_XB">Model!$I$174</definedName>
    <definedName name="v_59_XB_e">Model!$J$174</definedName>
    <definedName name="v_59_XBSH">Model!$BM$174</definedName>
    <definedName name="v_59_XCaCO3">Model!$BK$174</definedName>
    <definedName name="v_59_XCASTO">Model!$S$174</definedName>
    <definedName name="v_59_XE">Model!$P$174</definedName>
    <definedName name="v_59_XE_ana">Model!$Q$174</definedName>
    <definedName name="v_59_XHAO_H">Model!$BD$174</definedName>
    <definedName name="v_59_XHAO_H_P">Model!$BG$174</definedName>
    <definedName name="v_59_XHAO_H_P_old">Model!$BI$174</definedName>
    <definedName name="v_59_XHAO_L">Model!$BE$174</definedName>
    <definedName name="v_59_XHAO_L_P">Model!$BH$174</definedName>
    <definedName name="v_59_XHAO_L_P_old">Model!$BJ$174</definedName>
    <definedName name="v_59_XHAO_old">Model!$BF$174</definedName>
    <definedName name="v_59_XHFO_H">Model!$AW$174</definedName>
    <definedName name="v_59_XHFO_H_P">Model!$AZ$174</definedName>
    <definedName name="v_59_XHFO_H_P_old">Model!$BB$174</definedName>
    <definedName name="v_59_XHFO_L">Model!$AX$174</definedName>
    <definedName name="v_59_XHFO_L_P">Model!$BA$174</definedName>
    <definedName name="v_59_XHFO_L_P_old">Model!$BC$174</definedName>
    <definedName name="v_59_XHFO_old">Model!$AY$174</definedName>
    <definedName name="v_59_XHMETO">Model!$W$174</definedName>
    <definedName name="v_59_XINORG">Model!$AP$174</definedName>
    <definedName name="v_59_XMEOLO">Model!$T$174</definedName>
    <definedName name="v_59_XN_B">Model!$AC$174</definedName>
    <definedName name="v_59_XN_Be">Model!$AD$174</definedName>
    <definedName name="v_59_XN_U">Model!$AE$174</definedName>
    <definedName name="v_59_XNITO">Model!$U$174</definedName>
    <definedName name="v_59_XOHO">Model!$R$174</definedName>
    <definedName name="v_59_XP_B">Model!$AI$174</definedName>
    <definedName name="v_59_XP_Be">Model!$AJ$174</definedName>
    <definedName name="v_59_XP_U">Model!$AK$174</definedName>
    <definedName name="v_59_XPFOA">Model!$BQ$174</definedName>
    <definedName name="v_59_XPFOS">Model!$BS$174</definedName>
    <definedName name="v_59_XPHA_GAO">Model!$O$174</definedName>
    <definedName name="v_59_XPHA_PAO">Model!$N$174</definedName>
    <definedName name="v_59_XPP">Model!$AG$174</definedName>
    <definedName name="v_59_XSTR">Model!$BN$174</definedName>
    <definedName name="v_59_XU">Model!$M$174</definedName>
    <definedName name="v_59_XVivi">Model!$BO$174</definedName>
    <definedName name="v_6_CB">Model!$H$120</definedName>
    <definedName name="v_6_CU">Model!$L$120</definedName>
    <definedName name="v_6_GCH4">Model!$BX$120</definedName>
    <definedName name="v_6_GCH4_atm">Model!$CD$120</definedName>
    <definedName name="v_6_GCO2">Model!$BW$120</definedName>
    <definedName name="v_6_GCO2_atm">Model!$CC$120</definedName>
    <definedName name="v_6_GH2">Model!$BY$120</definedName>
    <definedName name="v_6_GH2_atm">Model!$CE$120</definedName>
    <definedName name="v_6_GN2">Model!$CB$120</definedName>
    <definedName name="v_6_GN2_atm">Model!$CH$120</definedName>
    <definedName name="v_6_GNH3">Model!$CA$120</definedName>
    <definedName name="v_6_GNH3_atm">Model!$CG$120</definedName>
    <definedName name="v_6_GO2">Model!$BZ$120</definedName>
    <definedName name="v_6_GO2_atm">Model!$CF$120</definedName>
    <definedName name="v_6_SALPHA">Model!$BU$120</definedName>
    <definedName name="v_6_SAN">Model!$AR$120</definedName>
    <definedName name="v_6_SB">Model!$F$120</definedName>
    <definedName name="v_6_SCa">Model!$AS$120</definedName>
    <definedName name="v_6_SCAT">Model!$AQ$120</definedName>
    <definedName name="v_6_SCH4">Model!$AM$120</definedName>
    <definedName name="v_6_SCO2">Model!$AO$120</definedName>
    <definedName name="v_6_SFe2">Model!$AV$120</definedName>
    <definedName name="v_6_SH">Model!$BT$120</definedName>
    <definedName name="v_6_SH2">Model!$AN$120</definedName>
    <definedName name="v_6_SK">Model!$AU$120</definedName>
    <definedName name="v_6_SMEOL">Model!$G$120</definedName>
    <definedName name="v_6_SMg">Model!$AT$120</definedName>
    <definedName name="v_6_SN_B">Model!$AB$120</definedName>
    <definedName name="v_6_SN2">Model!$AA$120</definedName>
    <definedName name="v_6_SNHx">Model!$Y$120</definedName>
    <definedName name="v_6_SNOx">Model!$Z$120</definedName>
    <definedName name="v_6_SO2">Model!$AL$120</definedName>
    <definedName name="v_6_SORPswitch">Model!$BV$120</definedName>
    <definedName name="v_6_SP_B">Model!$AH$120</definedName>
    <definedName name="v_6_SPFOA">Model!$BP$120</definedName>
    <definedName name="v_6_SPFOS">Model!$BR$120</definedName>
    <definedName name="v_6_SPO4">Model!$AF$120</definedName>
    <definedName name="v_6_SU">Model!$K$120</definedName>
    <definedName name="v_6_SVFA">Model!$E$120</definedName>
    <definedName name="v_6_XACP">Model!$BL$120</definedName>
    <definedName name="v_6_XALGAE">Model!$X$120</definedName>
    <definedName name="v_6_XAMETO">Model!$V$120</definedName>
    <definedName name="v_6_XB">Model!$I$120</definedName>
    <definedName name="v_6_XB_e">Model!$J$120</definedName>
    <definedName name="v_6_XBSH">Model!$BM$120</definedName>
    <definedName name="v_6_XCaCO3">Model!$BK$120</definedName>
    <definedName name="v_6_XCASTO">Model!$S$120</definedName>
    <definedName name="v_6_XE">Model!$P$120</definedName>
    <definedName name="v_6_XE_ana">Model!$Q$120</definedName>
    <definedName name="v_6_XHAO_H">Model!$BD$120</definedName>
    <definedName name="v_6_XHAO_H_P">Model!$BG$120</definedName>
    <definedName name="v_6_XHAO_H_P_old">Model!$BI$120</definedName>
    <definedName name="v_6_XHAO_L">Model!$BE$120</definedName>
    <definedName name="v_6_XHAO_L_P">Model!$BH$120</definedName>
    <definedName name="v_6_XHAO_L_P_old">Model!$BJ$120</definedName>
    <definedName name="v_6_XHAO_old">Model!$BF$120</definedName>
    <definedName name="v_6_XHFO_H">Model!$AW$120</definedName>
    <definedName name="v_6_XHFO_H_P">Model!$AZ$120</definedName>
    <definedName name="v_6_XHFO_H_P_old">Model!$BB$120</definedName>
    <definedName name="v_6_XHFO_L">Model!$AX$120</definedName>
    <definedName name="v_6_XHFO_L_P">Model!$BA$120</definedName>
    <definedName name="v_6_XHFO_L_P_old">Model!$BC$120</definedName>
    <definedName name="v_6_XHFO_old">Model!$AY$120</definedName>
    <definedName name="v_6_XHMETO">Model!$W$120</definedName>
    <definedName name="v_6_XINORG">Model!$AP$120</definedName>
    <definedName name="v_6_XMEOLO">Model!$T$120</definedName>
    <definedName name="v_6_XN_B">Model!$AC$120</definedName>
    <definedName name="v_6_XN_Be">Model!$AD$120</definedName>
    <definedName name="v_6_XN_U">Model!$AE$120</definedName>
    <definedName name="v_6_XNITO">Model!$U$120</definedName>
    <definedName name="v_6_XOHO">Model!$R$120</definedName>
    <definedName name="v_6_XP_B">Model!$AI$120</definedName>
    <definedName name="v_6_XP_Be">Model!$AJ$120</definedName>
    <definedName name="v_6_XP_U">Model!$AK$120</definedName>
    <definedName name="v_6_XPFOA">Model!$BQ$120</definedName>
    <definedName name="v_6_XPFOS">Model!$BS$120</definedName>
    <definedName name="v_6_XPHA_GAO">Model!$O$120</definedName>
    <definedName name="v_6_XPHA_PAO">Model!$N$120</definedName>
    <definedName name="v_6_XPP">Model!$AG$120</definedName>
    <definedName name="v_6_XSTR">Model!$BN$120</definedName>
    <definedName name="v_6_XU">Model!$M$120</definedName>
    <definedName name="v_6_XVivi">Model!$BO$120</definedName>
    <definedName name="v_60_CB">Model!$H$175</definedName>
    <definedName name="v_60_CU">Model!$L$175</definedName>
    <definedName name="v_60_GCH4">Model!$BX$175</definedName>
    <definedName name="v_60_GCH4_atm">Model!$CD$175</definedName>
    <definedName name="v_60_GCO2">Model!$BW$175</definedName>
    <definedName name="v_60_GCO2_atm">Model!$CC$175</definedName>
    <definedName name="v_60_GH2">Model!$BY$175</definedName>
    <definedName name="v_60_GH2_atm">Model!$CE$175</definedName>
    <definedName name="v_60_GN2">Model!$CB$175</definedName>
    <definedName name="v_60_GN2_atm">Model!$CH$175</definedName>
    <definedName name="v_60_GNH3">Model!$CA$175</definedName>
    <definedName name="v_60_GNH3_atm">Model!$CG$175</definedName>
    <definedName name="v_60_GO2">Model!$BZ$175</definedName>
    <definedName name="v_60_GO2_atm">Model!$CF$175</definedName>
    <definedName name="v_60_SALPHA">Model!$BU$175</definedName>
    <definedName name="v_60_SAN">Model!$AR$175</definedName>
    <definedName name="v_60_SB">Model!$F$175</definedName>
    <definedName name="v_60_SCa">Model!$AS$175</definedName>
    <definedName name="v_60_SCAT">Model!$AQ$175</definedName>
    <definedName name="v_60_SCH4">Model!$AM$175</definedName>
    <definedName name="v_60_SCO2">Model!$AO$175</definedName>
    <definedName name="v_60_SFe2">Model!$AV$175</definedName>
    <definedName name="v_60_SH">Model!$BT$175</definedName>
    <definedName name="v_60_SH2">Model!$AN$175</definedName>
    <definedName name="v_60_SK">Model!$AU$175</definedName>
    <definedName name="v_60_SMEOL">Model!$G$175</definedName>
    <definedName name="v_60_SMg">Model!$AT$175</definedName>
    <definedName name="v_60_SN_B">Model!$AB$175</definedName>
    <definedName name="v_60_SN2">Model!$AA$175</definedName>
    <definedName name="v_60_SNHx">Model!$Y$175</definedName>
    <definedName name="v_60_SNOx">Model!$Z$175</definedName>
    <definedName name="v_60_SO2">Model!$AL$175</definedName>
    <definedName name="v_60_SORPswitch">Model!$BV$175</definedName>
    <definedName name="v_60_SP_B">Model!$AH$175</definedName>
    <definedName name="v_60_SPFOA">Model!$BP$175</definedName>
    <definedName name="v_60_SPFOS">Model!$BR$175</definedName>
    <definedName name="v_60_SPO4">Model!$AF$175</definedName>
    <definedName name="v_60_SU">Model!$K$175</definedName>
    <definedName name="v_60_SVFA">Model!$E$175</definedName>
    <definedName name="v_60_XACP">Model!$BL$175</definedName>
    <definedName name="v_60_XALGAE">Model!$X$175</definedName>
    <definedName name="v_60_XAMETO">Model!$V$175</definedName>
    <definedName name="v_60_XB">Model!$I$175</definedName>
    <definedName name="v_60_XB_e">Model!$J$175</definedName>
    <definedName name="v_60_XBSH">Model!$BM$175</definedName>
    <definedName name="v_60_XCaCO3">Model!$BK$175</definedName>
    <definedName name="v_60_XCASTO">Model!$S$175</definedName>
    <definedName name="v_60_XE">Model!$P$175</definedName>
    <definedName name="v_60_XE_ana">Model!$Q$175</definedName>
    <definedName name="v_60_XHAO_H">Model!$BD$175</definedName>
    <definedName name="v_60_XHAO_H_P">Model!$BG$175</definedName>
    <definedName name="v_60_XHAO_H_P_old">Model!$BI$175</definedName>
    <definedName name="v_60_XHAO_L">Model!$BE$175</definedName>
    <definedName name="v_60_XHAO_L_P">Model!$BH$175</definedName>
    <definedName name="v_60_XHAO_L_P_old">Model!$BJ$175</definedName>
    <definedName name="v_60_XHAO_old">Model!$BF$175</definedName>
    <definedName name="v_60_XHFO_H">Model!$AW$175</definedName>
    <definedName name="v_60_XHFO_H_P">Model!$AZ$175</definedName>
    <definedName name="v_60_XHFO_H_P_old">Model!$BB$175</definedName>
    <definedName name="v_60_XHFO_L">Model!$AX$175</definedName>
    <definedName name="v_60_XHFO_L_P">Model!$BA$175</definedName>
    <definedName name="v_60_XHFO_L_P_old">Model!$BC$175</definedName>
    <definedName name="v_60_XHFO_old">Model!$AY$175</definedName>
    <definedName name="v_60_XHMETO">Model!$W$175</definedName>
    <definedName name="v_60_XINORG">Model!$AP$175</definedName>
    <definedName name="v_60_XMEOLO">Model!$T$175</definedName>
    <definedName name="v_60_XN_B">Model!$AC$175</definedName>
    <definedName name="v_60_XN_Be">Model!$AD$175</definedName>
    <definedName name="v_60_XN_U">Model!$AE$175</definedName>
    <definedName name="v_60_XNITO">Model!$U$175</definedName>
    <definedName name="v_60_XOHO">Model!$R$175</definedName>
    <definedName name="v_60_XP_B">Model!$AI$175</definedName>
    <definedName name="v_60_XP_Be">Model!$AJ$175</definedName>
    <definedName name="v_60_XP_U">Model!$AK$175</definedName>
    <definedName name="v_60_XPFOA">Model!$BQ$175</definedName>
    <definedName name="v_60_XPFOS">Model!$BS$175</definedName>
    <definedName name="v_60_XPHA_GAO">Model!$O$175</definedName>
    <definedName name="v_60_XPHA_PAO">Model!$N$175</definedName>
    <definedName name="v_60_XPP">Model!$AG$175</definedName>
    <definedName name="v_60_XSTR">Model!$BN$175</definedName>
    <definedName name="v_60_XU">Model!$M$175</definedName>
    <definedName name="v_60_XVivi">Model!$BO$175</definedName>
    <definedName name="v_61_CB">Model!$H$176</definedName>
    <definedName name="v_61_CU">Model!$L$176</definedName>
    <definedName name="v_61_GCH4">Model!$BX$176</definedName>
    <definedName name="v_61_GCH4_atm">Model!$CD$176</definedName>
    <definedName name="v_61_GCO2">Model!$BW$176</definedName>
    <definedName name="v_61_GCO2_atm">Model!$CC$176</definedName>
    <definedName name="v_61_GH2">Model!$BY$176</definedName>
    <definedName name="v_61_GH2_atm">Model!$CE$176</definedName>
    <definedName name="v_61_GN2">Model!$CB$176</definedName>
    <definedName name="v_61_GN2_atm">Model!$CH$176</definedName>
    <definedName name="v_61_GNH3">Model!$CA$176</definedName>
    <definedName name="v_61_GNH3_atm">Model!$CG$176</definedName>
    <definedName name="v_61_GO2">Model!$BZ$176</definedName>
    <definedName name="v_61_GO2_atm">Model!$CF$176</definedName>
    <definedName name="v_61_SALPHA">Model!$BU$176</definedName>
    <definedName name="v_61_SAN">Model!$AR$176</definedName>
    <definedName name="v_61_SB">Model!$F$176</definedName>
    <definedName name="v_61_SCa">Model!$AS$176</definedName>
    <definedName name="v_61_SCAT">Model!$AQ$176</definedName>
    <definedName name="v_61_SCH4">Model!$AM$176</definedName>
    <definedName name="v_61_SCO2">Model!$AO$176</definedName>
    <definedName name="v_61_SFe2">Model!$AV$176</definedName>
    <definedName name="v_61_SH">Model!$BT$176</definedName>
    <definedName name="v_61_SH2">Model!$AN$176</definedName>
    <definedName name="v_61_SK">Model!$AU$176</definedName>
    <definedName name="v_61_SMEOL">Model!$G$176</definedName>
    <definedName name="v_61_SMg">Model!$AT$176</definedName>
    <definedName name="v_61_SN_B">Model!$AB$176</definedName>
    <definedName name="v_61_SN2">Model!$AA$176</definedName>
    <definedName name="v_61_SNHx">Model!$Y$176</definedName>
    <definedName name="v_61_SNOx">Model!$Z$176</definedName>
    <definedName name="v_61_SO2">Model!$AL$176</definedName>
    <definedName name="v_61_SORPswitch">Model!$BV$176</definedName>
    <definedName name="v_61_SP_B">Model!$AH$176</definedName>
    <definedName name="v_61_SPFOA">Model!$BP$176</definedName>
    <definedName name="v_61_SPFOS">Model!$BR$176</definedName>
    <definedName name="v_61_SPO4">Model!$AF$176</definedName>
    <definedName name="v_61_SU">Model!$K$176</definedName>
    <definedName name="v_61_SVFA">Model!$E$176</definedName>
    <definedName name="v_61_XACP">Model!$BL$176</definedName>
    <definedName name="v_61_XALGAE">Model!$X$176</definedName>
    <definedName name="v_61_XAMETO">Model!$V$176</definedName>
    <definedName name="v_61_XB">Model!$I$176</definedName>
    <definedName name="v_61_XB_e">Model!$J$176</definedName>
    <definedName name="v_61_XBSH">Model!$BM$176</definedName>
    <definedName name="v_61_XCaCO3">Model!$BK$176</definedName>
    <definedName name="v_61_XCASTO">Model!$S$176</definedName>
    <definedName name="v_61_XE">Model!$P$176</definedName>
    <definedName name="v_61_XE_ana">Model!$Q$176</definedName>
    <definedName name="v_61_XHAO_H">Model!$BD$176</definedName>
    <definedName name="v_61_XHAO_H_P">Model!$BG$176</definedName>
    <definedName name="v_61_XHAO_H_P_old">Model!$BI$176</definedName>
    <definedName name="v_61_XHAO_L">Model!$BE$176</definedName>
    <definedName name="v_61_XHAO_L_P">Model!$BH$176</definedName>
    <definedName name="v_61_XHAO_L_P_old">Model!$BJ$176</definedName>
    <definedName name="v_61_XHAO_old">Model!$BF$176</definedName>
    <definedName name="v_61_XHFO_H">Model!$AW$176</definedName>
    <definedName name="v_61_XHFO_H_P">Model!$AZ$176</definedName>
    <definedName name="v_61_XHFO_H_P_old">Model!$BB$176</definedName>
    <definedName name="v_61_XHFO_L">Model!$AX$176</definedName>
    <definedName name="v_61_XHFO_L_P">Model!$BA$176</definedName>
    <definedName name="v_61_XHFO_L_P_old">Model!$BC$176</definedName>
    <definedName name="v_61_XHFO_old">Model!$AY$176</definedName>
    <definedName name="v_61_XHMETO">Model!$W$176</definedName>
    <definedName name="v_61_XINORG">Model!$AP$176</definedName>
    <definedName name="v_61_XMEOLO">Model!$T$176</definedName>
    <definedName name="v_61_XN_B">Model!$AC$176</definedName>
    <definedName name="v_61_XN_Be">Model!$AD$176</definedName>
    <definedName name="v_61_XN_U">Model!$AE$176</definedName>
    <definedName name="v_61_XNITO">Model!$U$176</definedName>
    <definedName name="v_61_XOHO">Model!$R$176</definedName>
    <definedName name="v_61_XP_B">Model!$AI$176</definedName>
    <definedName name="v_61_XP_Be">Model!$AJ$176</definedName>
    <definedName name="v_61_XP_U">Model!$AK$176</definedName>
    <definedName name="v_61_XPFOA">Model!$BQ$176</definedName>
    <definedName name="v_61_XPFOS">Model!$BS$176</definedName>
    <definedName name="v_61_XPHA_GAO">Model!$O$176</definedName>
    <definedName name="v_61_XPHA_PAO">Model!$N$176</definedName>
    <definedName name="v_61_XPP">Model!$AG$176</definedName>
    <definedName name="v_61_XSTR">Model!$BN$176</definedName>
    <definedName name="v_61_XU">Model!$M$176</definedName>
    <definedName name="v_61_XVivi">Model!$BO$176</definedName>
    <definedName name="v_62_CB">Model!$H$177</definedName>
    <definedName name="v_62_CU">Model!$L$177</definedName>
    <definedName name="v_62_GCH4">Model!$BX$177</definedName>
    <definedName name="v_62_GCH4_atm">Model!$CD$177</definedName>
    <definedName name="v_62_GCO2">Model!$BW$177</definedName>
    <definedName name="v_62_GCO2_atm">Model!$CC$177</definedName>
    <definedName name="v_62_GH2">Model!$BY$177</definedName>
    <definedName name="v_62_GH2_atm">Model!$CE$177</definedName>
    <definedName name="v_62_GN2">Model!$CB$177</definedName>
    <definedName name="v_62_GN2_atm">Model!$CH$177</definedName>
    <definedName name="v_62_GNH3">Model!$CA$177</definedName>
    <definedName name="v_62_GNH3_atm">Model!$CG$177</definedName>
    <definedName name="v_62_GO2">Model!$BZ$177</definedName>
    <definedName name="v_62_GO2_atm">Model!$CF$177</definedName>
    <definedName name="v_62_SALPHA">Model!$BU$177</definedName>
    <definedName name="v_62_SAN">Model!$AR$177</definedName>
    <definedName name="v_62_SB">Model!$F$177</definedName>
    <definedName name="v_62_SCa">Model!$AS$177</definedName>
    <definedName name="v_62_SCAT">Model!$AQ$177</definedName>
    <definedName name="v_62_SCH4">Model!$AM$177</definedName>
    <definedName name="v_62_SCO2">Model!$AO$177</definedName>
    <definedName name="v_62_SFe2">Model!$AV$177</definedName>
    <definedName name="v_62_SH">Model!$BT$177</definedName>
    <definedName name="v_62_SH2">Model!$AN$177</definedName>
    <definedName name="v_62_SK">Model!$AU$177</definedName>
    <definedName name="v_62_SMEOL">Model!$G$177</definedName>
    <definedName name="v_62_SMg">Model!$AT$177</definedName>
    <definedName name="v_62_SN_B">Model!$AB$177</definedName>
    <definedName name="v_62_SN2">Model!$AA$177</definedName>
    <definedName name="v_62_SNHx">Model!$Y$177</definedName>
    <definedName name="v_62_SNOx">Model!$Z$177</definedName>
    <definedName name="v_62_SO2">Model!$AL$177</definedName>
    <definedName name="v_62_SORPswitch">Model!$BV$177</definedName>
    <definedName name="v_62_SP_B">Model!$AH$177</definedName>
    <definedName name="v_62_SPFOA">Model!$BP$177</definedName>
    <definedName name="v_62_SPFOS">Model!$BR$177</definedName>
    <definedName name="v_62_SPO4">Model!$AF$177</definedName>
    <definedName name="v_62_SU">Model!$K$177</definedName>
    <definedName name="v_62_SVFA">Model!$E$177</definedName>
    <definedName name="v_62_XACP">Model!$BL$177</definedName>
    <definedName name="v_62_XALGAE">Model!$X$177</definedName>
    <definedName name="v_62_XAMETO">Model!$V$177</definedName>
    <definedName name="v_62_XB">Model!$I$177</definedName>
    <definedName name="v_62_XB_e">Model!$J$177</definedName>
    <definedName name="v_62_XBSH">Model!$BM$177</definedName>
    <definedName name="v_62_XCaCO3">Model!$BK$177</definedName>
    <definedName name="v_62_XCASTO">Model!$S$177</definedName>
    <definedName name="v_62_XE">Model!$P$177</definedName>
    <definedName name="v_62_XE_ana">Model!$Q$177</definedName>
    <definedName name="v_62_XHAO_H">Model!$BD$177</definedName>
    <definedName name="v_62_XHAO_H_P">Model!$BG$177</definedName>
    <definedName name="v_62_XHAO_H_P_old">Model!$BI$177</definedName>
    <definedName name="v_62_XHAO_L">Model!$BE$177</definedName>
    <definedName name="v_62_XHAO_L_P">Model!$BH$177</definedName>
    <definedName name="v_62_XHAO_L_P_old">Model!$BJ$177</definedName>
    <definedName name="v_62_XHAO_old">Model!$BF$177</definedName>
    <definedName name="v_62_XHFO_H">Model!$AW$177</definedName>
    <definedName name="v_62_XHFO_H_P">Model!$AZ$177</definedName>
    <definedName name="v_62_XHFO_H_P_old">Model!$BB$177</definedName>
    <definedName name="v_62_XHFO_L">Model!$AX$177</definedName>
    <definedName name="v_62_XHFO_L_P">Model!$BA$177</definedName>
    <definedName name="v_62_XHFO_L_P_old">Model!$BC$177</definedName>
    <definedName name="v_62_XHFO_old">Model!$AY$177</definedName>
    <definedName name="v_62_XHMETO">Model!$W$177</definedName>
    <definedName name="v_62_XINORG">Model!$AP$177</definedName>
    <definedName name="v_62_XMEOLO">Model!$T$177</definedName>
    <definedName name="v_62_XN_B">Model!$AC$177</definedName>
    <definedName name="v_62_XN_Be">Model!$AD$177</definedName>
    <definedName name="v_62_XN_U">Model!$AE$177</definedName>
    <definedName name="v_62_XNITO">Model!$U$177</definedName>
    <definedName name="v_62_XOHO">Model!$R$177</definedName>
    <definedName name="v_62_XP_B">Model!$AI$177</definedName>
    <definedName name="v_62_XP_Be">Model!$AJ$177</definedName>
    <definedName name="v_62_XP_U">Model!$AK$177</definedName>
    <definedName name="v_62_XPFOA">Model!$BQ$177</definedName>
    <definedName name="v_62_XPFOS">Model!$BS$177</definedName>
    <definedName name="v_62_XPHA_GAO">Model!$O$177</definedName>
    <definedName name="v_62_XPHA_PAO">Model!$N$177</definedName>
    <definedName name="v_62_XPP">Model!$AG$177</definedName>
    <definedName name="v_62_XSTR">Model!$BN$177</definedName>
    <definedName name="v_62_XU">Model!$M$177</definedName>
    <definedName name="v_62_XVivi">Model!$BO$177</definedName>
    <definedName name="v_63_CB">Model!$H$178</definedName>
    <definedName name="v_63_CU">Model!$L$178</definedName>
    <definedName name="v_63_GCH4">Model!$BX$178</definedName>
    <definedName name="v_63_GCH4_atm">Model!$CD$178</definedName>
    <definedName name="v_63_GCO2">Model!$BW$178</definedName>
    <definedName name="v_63_GCO2_atm">Model!$CC$178</definedName>
    <definedName name="v_63_GH2">Model!$BY$178</definedName>
    <definedName name="v_63_GH2_atm">Model!$CE$178</definedName>
    <definedName name="v_63_GN2">Model!$CB$178</definedName>
    <definedName name="v_63_GN2_atm">Model!$CH$178</definedName>
    <definedName name="v_63_GNH3">Model!$CA$178</definedName>
    <definedName name="v_63_GNH3_atm">Model!$CG$178</definedName>
    <definedName name="v_63_GO2">Model!$BZ$178</definedName>
    <definedName name="v_63_GO2_atm">Model!$CF$178</definedName>
    <definedName name="v_63_SALPHA">Model!$BU$178</definedName>
    <definedName name="v_63_SAN">Model!$AR$178</definedName>
    <definedName name="v_63_SB">Model!$F$178</definedName>
    <definedName name="v_63_SCa">Model!$AS$178</definedName>
    <definedName name="v_63_SCAT">Model!$AQ$178</definedName>
    <definedName name="v_63_SCH4">Model!$AM$178</definedName>
    <definedName name="v_63_SCO2">Model!$AO$178</definedName>
    <definedName name="v_63_SFe2">Model!$AV$178</definedName>
    <definedName name="v_63_SH">Model!$BT$178</definedName>
    <definedName name="v_63_SH2">Model!$AN$178</definedName>
    <definedName name="v_63_SK">Model!$AU$178</definedName>
    <definedName name="v_63_SMEOL">Model!$G$178</definedName>
    <definedName name="v_63_SMg">Model!$AT$178</definedName>
    <definedName name="v_63_SN_B">Model!$AB$178</definedName>
    <definedName name="v_63_SN2">Model!$AA$178</definedName>
    <definedName name="v_63_SNHx">Model!$Y$178</definedName>
    <definedName name="v_63_SNOx">Model!$Z$178</definedName>
    <definedName name="v_63_SO2">Model!$AL$178</definedName>
    <definedName name="v_63_SORPswitch">Model!$BV$178</definedName>
    <definedName name="v_63_SP_B">Model!$AH$178</definedName>
    <definedName name="v_63_SPFOA">Model!$BP$178</definedName>
    <definedName name="v_63_SPFOS">Model!$BR$178</definedName>
    <definedName name="v_63_SPO4">Model!$AF$178</definedName>
    <definedName name="v_63_SU">Model!$K$178</definedName>
    <definedName name="v_63_SVFA">Model!$E$178</definedName>
    <definedName name="v_63_XACP">Model!$BL$178</definedName>
    <definedName name="v_63_XALGAE">Model!$X$178</definedName>
    <definedName name="v_63_XAMETO">Model!$V$178</definedName>
    <definedName name="v_63_XB">Model!$I$178</definedName>
    <definedName name="v_63_XB_e">Model!$J$178</definedName>
    <definedName name="v_63_XBSH">Model!$BM$178</definedName>
    <definedName name="v_63_XCaCO3">Model!$BK$178</definedName>
    <definedName name="v_63_XCASTO">Model!$S$178</definedName>
    <definedName name="v_63_XE">Model!$P$178</definedName>
    <definedName name="v_63_XE_ana">Model!$Q$178</definedName>
    <definedName name="v_63_XHAO_H">Model!$BD$178</definedName>
    <definedName name="v_63_XHAO_H_P">Model!$BG$178</definedName>
    <definedName name="v_63_XHAO_H_P_old">Model!$BI$178</definedName>
    <definedName name="v_63_XHAO_L">Model!$BE$178</definedName>
    <definedName name="v_63_XHAO_L_P">Model!$BH$178</definedName>
    <definedName name="v_63_XHAO_L_P_old">Model!$BJ$178</definedName>
    <definedName name="v_63_XHAO_old">Model!$BF$178</definedName>
    <definedName name="v_63_XHFO_H">Model!$AW$178</definedName>
    <definedName name="v_63_XHFO_H_P">Model!$AZ$178</definedName>
    <definedName name="v_63_XHFO_H_P_old">Model!$BB$178</definedName>
    <definedName name="v_63_XHFO_L">Model!$AX$178</definedName>
    <definedName name="v_63_XHFO_L_P">Model!$BA$178</definedName>
    <definedName name="v_63_XHFO_L_P_old">Model!$BC$178</definedName>
    <definedName name="v_63_XHFO_old">Model!$AY$178</definedName>
    <definedName name="v_63_XHMETO">Model!$W$178</definedName>
    <definedName name="v_63_XINORG">Model!$AP$178</definedName>
    <definedName name="v_63_XMEOLO">Model!$T$178</definedName>
    <definedName name="v_63_XN_B">Model!$AC$178</definedName>
    <definedName name="v_63_XN_Be">Model!$AD$178</definedName>
    <definedName name="v_63_XN_U">Model!$AE$178</definedName>
    <definedName name="v_63_XNITO">Model!$U$178</definedName>
    <definedName name="v_63_XOHO">Model!$R$178</definedName>
    <definedName name="v_63_XP_B">Model!$AI$178</definedName>
    <definedName name="v_63_XP_Be">Model!$AJ$178</definedName>
    <definedName name="v_63_XP_U">Model!$AK$178</definedName>
    <definedName name="v_63_XPFOA">Model!$BQ$178</definedName>
    <definedName name="v_63_XPFOS">Model!$BS$178</definedName>
    <definedName name="v_63_XPHA_GAO">Model!$O$178</definedName>
    <definedName name="v_63_XPHA_PAO">Model!$N$178</definedName>
    <definedName name="v_63_XPP">Model!$AG$178</definedName>
    <definedName name="v_63_XSTR">Model!$BN$178</definedName>
    <definedName name="v_63_XU">Model!$M$178</definedName>
    <definedName name="v_63_XVivi">Model!$BO$178</definedName>
    <definedName name="v_64_CB">Model!$H$179</definedName>
    <definedName name="v_64_CU">Model!$L$179</definedName>
    <definedName name="v_64_GCH4">Model!$BX$179</definedName>
    <definedName name="v_64_GCH4_atm">Model!$CD$179</definedName>
    <definedName name="v_64_GCO2">Model!$BW$179</definedName>
    <definedName name="v_64_GCO2_atm">Model!$CC$179</definedName>
    <definedName name="v_64_GH2">Model!$BY$179</definedName>
    <definedName name="v_64_GH2_atm">Model!$CE$179</definedName>
    <definedName name="v_64_GN2">Model!$CB$179</definedName>
    <definedName name="v_64_GN2_atm">Model!$CH$179</definedName>
    <definedName name="v_64_GNH3">Model!$CA$179</definedName>
    <definedName name="v_64_GNH3_atm">Model!$CG$179</definedName>
    <definedName name="v_64_GO2">Model!$BZ$179</definedName>
    <definedName name="v_64_GO2_atm">Model!$CF$179</definedName>
    <definedName name="v_64_SALPHA">Model!$BU$179</definedName>
    <definedName name="v_64_SAN">Model!$AR$179</definedName>
    <definedName name="v_64_SB">Model!$F$179</definedName>
    <definedName name="v_64_SCa">Model!$AS$179</definedName>
    <definedName name="v_64_SCAT">Model!$AQ$179</definedName>
    <definedName name="v_64_SCH4">Model!$AM$179</definedName>
    <definedName name="v_64_SCO2">Model!$AO$179</definedName>
    <definedName name="v_64_SFe2">Model!$AV$179</definedName>
    <definedName name="v_64_SH">Model!$BT$179</definedName>
    <definedName name="v_64_SH2">Model!$AN$179</definedName>
    <definedName name="v_64_SK">Model!$AU$179</definedName>
    <definedName name="v_64_SMEOL">Model!$G$179</definedName>
    <definedName name="v_64_SMg">Model!$AT$179</definedName>
    <definedName name="v_64_SN_B">Model!$AB$179</definedName>
    <definedName name="v_64_SN2">Model!$AA$179</definedName>
    <definedName name="v_64_SNHx">Model!$Y$179</definedName>
    <definedName name="v_64_SNOx">Model!$Z$179</definedName>
    <definedName name="v_64_SO2">Model!$AL$179</definedName>
    <definedName name="v_64_SORPswitch">Model!$BV$179</definedName>
    <definedName name="v_64_SP_B">Model!$AH$179</definedName>
    <definedName name="v_64_SPFOA">Model!$BP$179</definedName>
    <definedName name="v_64_SPFOS">Model!$BR$179</definedName>
    <definedName name="v_64_SPO4">Model!$AF$179</definedName>
    <definedName name="v_64_SU">Model!$K$179</definedName>
    <definedName name="v_64_SVFA">Model!$E$179</definedName>
    <definedName name="v_64_XACP">Model!$BL$179</definedName>
    <definedName name="v_64_XALGAE">Model!$X$179</definedName>
    <definedName name="v_64_XAMETO">Model!$V$179</definedName>
    <definedName name="v_64_XB">Model!$I$179</definedName>
    <definedName name="v_64_XB_e">Model!$J$179</definedName>
    <definedName name="v_64_XBSH">Model!$BM$179</definedName>
    <definedName name="v_64_XCaCO3">Model!$BK$179</definedName>
    <definedName name="v_64_XCASTO">Model!$S$179</definedName>
    <definedName name="v_64_XE">Model!$P$179</definedName>
    <definedName name="v_64_XE_ana">Model!$Q$179</definedName>
    <definedName name="v_64_XHAO_H">Model!$BD$179</definedName>
    <definedName name="v_64_XHAO_H_P">Model!$BG$179</definedName>
    <definedName name="v_64_XHAO_H_P_old">Model!$BI$179</definedName>
    <definedName name="v_64_XHAO_L">Model!$BE$179</definedName>
    <definedName name="v_64_XHAO_L_P">Model!$BH$179</definedName>
    <definedName name="v_64_XHAO_L_P_old">Model!$BJ$179</definedName>
    <definedName name="v_64_XHAO_old">Model!$BF$179</definedName>
    <definedName name="v_64_XHFO_H">Model!$AW$179</definedName>
    <definedName name="v_64_XHFO_H_P">Model!$AZ$179</definedName>
    <definedName name="v_64_XHFO_H_P_old">Model!$BB$179</definedName>
    <definedName name="v_64_XHFO_L">Model!$AX$179</definedName>
    <definedName name="v_64_XHFO_L_P">Model!$BA$179</definedName>
    <definedName name="v_64_XHFO_L_P_old">Model!$BC$179</definedName>
    <definedName name="v_64_XHFO_old">Model!$AY$179</definedName>
    <definedName name="v_64_XHMETO">Model!$W$179</definedName>
    <definedName name="v_64_XINORG">Model!$AP$179</definedName>
    <definedName name="v_64_XMEOLO">Model!$T$179</definedName>
    <definedName name="v_64_XN_B">Model!$AC$179</definedName>
    <definedName name="v_64_XN_Be">Model!$AD$179</definedName>
    <definedName name="v_64_XN_U">Model!$AE$179</definedName>
    <definedName name="v_64_XNITO">Model!$U$179</definedName>
    <definedName name="v_64_XOHO">Model!$R$179</definedName>
    <definedName name="v_64_XP_B">Model!$AI$179</definedName>
    <definedName name="v_64_XP_Be">Model!$AJ$179</definedName>
    <definedName name="v_64_XP_U">Model!$AK$179</definedName>
    <definedName name="v_64_XPFOA">Model!$BQ$179</definedName>
    <definedName name="v_64_XPFOS">Model!$BS$179</definedName>
    <definedName name="v_64_XPHA_GAO">Model!$O$179</definedName>
    <definedName name="v_64_XPHA_PAO">Model!$N$179</definedName>
    <definedName name="v_64_XPP">Model!$AG$179</definedName>
    <definedName name="v_64_XSTR">Model!$BN$179</definedName>
    <definedName name="v_64_XU">Model!$M$179</definedName>
    <definedName name="v_64_XVivi">Model!$BO$179</definedName>
    <definedName name="v_65_CB">Model!$H$180</definedName>
    <definedName name="v_65_CU">Model!$L$180</definedName>
    <definedName name="v_65_GCH4">Model!$BX$180</definedName>
    <definedName name="v_65_GCH4_atm">Model!$CD$180</definedName>
    <definedName name="v_65_GCO2">Model!$BW$180</definedName>
    <definedName name="v_65_GCO2_atm">Model!$CC$180</definedName>
    <definedName name="v_65_GH2">Model!$BY$180</definedName>
    <definedName name="v_65_GH2_atm">Model!$CE$180</definedName>
    <definedName name="v_65_GN2">Model!$CB$180</definedName>
    <definedName name="v_65_GN2_atm">Model!$CH$180</definedName>
    <definedName name="v_65_GNH3">Model!$CA$180</definedName>
    <definedName name="v_65_GNH3_atm">Model!$CG$180</definedName>
    <definedName name="v_65_GO2">Model!$BZ$180</definedName>
    <definedName name="v_65_GO2_atm">Model!$CF$180</definedName>
    <definedName name="v_65_SALPHA">Model!$BU$180</definedName>
    <definedName name="v_65_SAN">Model!$AR$180</definedName>
    <definedName name="v_65_SB">Model!$F$180</definedName>
    <definedName name="v_65_SCa">Model!$AS$180</definedName>
    <definedName name="v_65_SCAT">Model!$AQ$180</definedName>
    <definedName name="v_65_SCH4">Model!$AM$180</definedName>
    <definedName name="v_65_SCO2">Model!$AO$180</definedName>
    <definedName name="v_65_SFe2">Model!$AV$180</definedName>
    <definedName name="v_65_SH">Model!$BT$180</definedName>
    <definedName name="v_65_SH2">Model!$AN$180</definedName>
    <definedName name="v_65_SK">Model!$AU$180</definedName>
    <definedName name="v_65_SMEOL">Model!$G$180</definedName>
    <definedName name="v_65_SMg">Model!$AT$180</definedName>
    <definedName name="v_65_SN_B">Model!$AB$180</definedName>
    <definedName name="v_65_SN2">Model!$AA$180</definedName>
    <definedName name="v_65_SNHx">Model!$Y$180</definedName>
    <definedName name="v_65_SNOx">Model!$Z$180</definedName>
    <definedName name="v_65_SO2">Model!$AL$180</definedName>
    <definedName name="v_65_SORPswitch">Model!$BV$180</definedName>
    <definedName name="v_65_SP_B">Model!$AH$180</definedName>
    <definedName name="v_65_SPFOA">Model!$BP$180</definedName>
    <definedName name="v_65_SPFOS">Model!$BR$180</definedName>
    <definedName name="v_65_SPO4">Model!$AF$180</definedName>
    <definedName name="v_65_SU">Model!$K$180</definedName>
    <definedName name="v_65_SVFA">Model!$E$180</definedName>
    <definedName name="v_65_XACP">Model!$BL$180</definedName>
    <definedName name="v_65_XALGAE">Model!$X$180</definedName>
    <definedName name="v_65_XAMETO">Model!$V$180</definedName>
    <definedName name="v_65_XB">Model!$I$180</definedName>
    <definedName name="v_65_XB_e">Model!$J$180</definedName>
    <definedName name="v_65_XBSH">Model!$BM$180</definedName>
    <definedName name="v_65_XCaCO3">Model!$BK$180</definedName>
    <definedName name="v_65_XCASTO">Model!$S$180</definedName>
    <definedName name="v_65_XE">Model!$P$180</definedName>
    <definedName name="v_65_XE_ana">Model!$Q$180</definedName>
    <definedName name="v_65_XHAO_H">Model!$BD$180</definedName>
    <definedName name="v_65_XHAO_H_P">Model!$BG$180</definedName>
    <definedName name="v_65_XHAO_H_P_old">Model!$BI$180</definedName>
    <definedName name="v_65_XHAO_L">Model!$BE$180</definedName>
    <definedName name="v_65_XHAO_L_P">Model!$BH$180</definedName>
    <definedName name="v_65_XHAO_L_P_old">Model!$BJ$180</definedName>
    <definedName name="v_65_XHAO_old">Model!$BF$180</definedName>
    <definedName name="v_65_XHFO_H">Model!$AW$180</definedName>
    <definedName name="v_65_XHFO_H_P">Model!$AZ$180</definedName>
    <definedName name="v_65_XHFO_H_P_old">Model!$BB$180</definedName>
    <definedName name="v_65_XHFO_L">Model!$AX$180</definedName>
    <definedName name="v_65_XHFO_L_P">Model!$BA$180</definedName>
    <definedName name="v_65_XHFO_L_P_old">Model!$BC$180</definedName>
    <definedName name="v_65_XHFO_old">Model!$AY$180</definedName>
    <definedName name="v_65_XHMETO">Model!$W$180</definedName>
    <definedName name="v_65_XINORG">Model!$AP$180</definedName>
    <definedName name="v_65_XMEOLO">Model!$T$180</definedName>
    <definedName name="v_65_XN_B">Model!$AC$180</definedName>
    <definedName name="v_65_XN_Be">Model!$AD$180</definedName>
    <definedName name="v_65_XN_U">Model!$AE$180</definedName>
    <definedName name="v_65_XNITO">Model!$U$180</definedName>
    <definedName name="v_65_XOHO">Model!$R$180</definedName>
    <definedName name="v_65_XP_B">Model!$AI$180</definedName>
    <definedName name="v_65_XP_Be">Model!$AJ$180</definedName>
    <definedName name="v_65_XP_U">Model!$AK$180</definedName>
    <definedName name="v_65_XPFOA">Model!$BQ$180</definedName>
    <definedName name="v_65_XPFOS">Model!$BS$180</definedName>
    <definedName name="v_65_XPHA_GAO">Model!$O$180</definedName>
    <definedName name="v_65_XPHA_PAO">Model!$N$180</definedName>
    <definedName name="v_65_XPP">Model!$AG$180</definedName>
    <definedName name="v_65_XSTR">Model!$BN$180</definedName>
    <definedName name="v_65_XU">Model!$M$180</definedName>
    <definedName name="v_65_XVivi">Model!$BO$180</definedName>
    <definedName name="v_66_CB">Model!$H$181</definedName>
    <definedName name="v_66_CU">Model!$L$181</definedName>
    <definedName name="v_66_GCH4">Model!$BX$181</definedName>
    <definedName name="v_66_GCH4_atm">Model!$CD$181</definedName>
    <definedName name="v_66_GCO2">Model!$BW$181</definedName>
    <definedName name="v_66_GCO2_atm">Model!$CC$181</definedName>
    <definedName name="v_66_GH2">Model!$BY$181</definedName>
    <definedName name="v_66_GH2_atm">Model!$CE$181</definedName>
    <definedName name="v_66_GN2">Model!$CB$181</definedName>
    <definedName name="v_66_GN2_atm">Model!$CH$181</definedName>
    <definedName name="v_66_GNH3">Model!$CA$181</definedName>
    <definedName name="v_66_GNH3_atm">Model!$CG$181</definedName>
    <definedName name="v_66_GO2">Model!$BZ$181</definedName>
    <definedName name="v_66_GO2_atm">Model!$CF$181</definedName>
    <definedName name="v_66_SALPHA">Model!$BU$181</definedName>
    <definedName name="v_66_SAN">Model!$AR$181</definedName>
    <definedName name="v_66_SB">Model!$F$181</definedName>
    <definedName name="v_66_SCa">Model!$AS$181</definedName>
    <definedName name="v_66_SCAT">Model!$AQ$181</definedName>
    <definedName name="v_66_SCH4">Model!$AM$181</definedName>
    <definedName name="v_66_SCO2">Model!$AO$181</definedName>
    <definedName name="v_66_SFe2">Model!$AV$181</definedName>
    <definedName name="v_66_SH">Model!$BT$181</definedName>
    <definedName name="v_66_SH2">Model!$AN$181</definedName>
    <definedName name="v_66_SK">Model!$AU$181</definedName>
    <definedName name="v_66_SMEOL">Model!$G$181</definedName>
    <definedName name="v_66_SMg">Model!$AT$181</definedName>
    <definedName name="v_66_SN_B">Model!$AB$181</definedName>
    <definedName name="v_66_SN2">Model!$AA$181</definedName>
    <definedName name="v_66_SNHx">Model!$Y$181</definedName>
    <definedName name="v_66_SNOx">Model!$Z$181</definedName>
    <definedName name="v_66_SO2">Model!$AL$181</definedName>
    <definedName name="v_66_SORPswitch">Model!$BV$181</definedName>
    <definedName name="v_66_SP_B">Model!$AH$181</definedName>
    <definedName name="v_66_SPFOA">Model!$BP$181</definedName>
    <definedName name="v_66_SPFOS">Model!$BR$181</definedName>
    <definedName name="v_66_SPO4">Model!$AF$181</definedName>
    <definedName name="v_66_SU">Model!$K$181</definedName>
    <definedName name="v_66_SVFA">Model!$E$181</definedName>
    <definedName name="v_66_XACP">Model!$BL$181</definedName>
    <definedName name="v_66_XALGAE">Model!$X$181</definedName>
    <definedName name="v_66_XAMETO">Model!$V$181</definedName>
    <definedName name="v_66_XB">Model!$I$181</definedName>
    <definedName name="v_66_XB_e">Model!$J$181</definedName>
    <definedName name="v_66_XBSH">Model!$BM$181</definedName>
    <definedName name="v_66_XCaCO3">Model!$BK$181</definedName>
    <definedName name="v_66_XCASTO">Model!$S$181</definedName>
    <definedName name="v_66_XE">Model!$P$181</definedName>
    <definedName name="v_66_XE_ana">Model!$Q$181</definedName>
    <definedName name="v_66_XHAO_H">Model!$BD$181</definedName>
    <definedName name="v_66_XHAO_H_P">Model!$BG$181</definedName>
    <definedName name="v_66_XHAO_H_P_old">Model!$BI$181</definedName>
    <definedName name="v_66_XHAO_L">Model!$BE$181</definedName>
    <definedName name="v_66_XHAO_L_P">Model!$BH$181</definedName>
    <definedName name="v_66_XHAO_L_P_old">Model!$BJ$181</definedName>
    <definedName name="v_66_XHAO_old">Model!$BF$181</definedName>
    <definedName name="v_66_XHFO_H">Model!$AW$181</definedName>
    <definedName name="v_66_XHFO_H_P">Model!$AZ$181</definedName>
    <definedName name="v_66_XHFO_H_P_old">Model!$BB$181</definedName>
    <definedName name="v_66_XHFO_L">Model!$AX$181</definedName>
    <definedName name="v_66_XHFO_L_P">Model!$BA$181</definedName>
    <definedName name="v_66_XHFO_L_P_old">Model!$BC$181</definedName>
    <definedName name="v_66_XHFO_old">Model!$AY$181</definedName>
    <definedName name="v_66_XHMETO">Model!$W$181</definedName>
    <definedName name="v_66_XINORG">Model!$AP$181</definedName>
    <definedName name="v_66_XMEOLO">Model!$T$181</definedName>
    <definedName name="v_66_XN_B">Model!$AC$181</definedName>
    <definedName name="v_66_XN_Be">Model!$AD$181</definedName>
    <definedName name="v_66_XN_U">Model!$AE$181</definedName>
    <definedName name="v_66_XNITO">Model!$U$181</definedName>
    <definedName name="v_66_XOHO">Model!$R$181</definedName>
    <definedName name="v_66_XP_B">Model!$AI$181</definedName>
    <definedName name="v_66_XP_Be">Model!$AJ$181</definedName>
    <definedName name="v_66_XP_U">Model!$AK$181</definedName>
    <definedName name="v_66_XPFOA">Model!$BQ$181</definedName>
    <definedName name="v_66_XPFOS">Model!$BS$181</definedName>
    <definedName name="v_66_XPHA_GAO">Model!$O$181</definedName>
    <definedName name="v_66_XPHA_PAO">Model!$N$181</definedName>
    <definedName name="v_66_XPP">Model!$AG$181</definedName>
    <definedName name="v_66_XSTR">Model!$BN$181</definedName>
    <definedName name="v_66_XU">Model!$M$181</definedName>
    <definedName name="v_66_XVivi">Model!$BO$181</definedName>
    <definedName name="v_67_CB">Model!$H$182</definedName>
    <definedName name="v_67_CU">Model!$L$182</definedName>
    <definedName name="v_67_GCH4">Model!$BX$182</definedName>
    <definedName name="v_67_GCH4_atm">Model!$CD$182</definedName>
    <definedName name="v_67_GCO2">Model!$BW$182</definedName>
    <definedName name="v_67_GCO2_atm">Model!$CC$182</definedName>
    <definedName name="v_67_GH2">Model!$BY$182</definedName>
    <definedName name="v_67_GH2_atm">Model!$CE$182</definedName>
    <definedName name="v_67_GN2">Model!$CB$182</definedName>
    <definedName name="v_67_GN2_atm">Model!$CH$182</definedName>
    <definedName name="v_67_GNH3">Model!$CA$182</definedName>
    <definedName name="v_67_GNH3_atm">Model!$CG$182</definedName>
    <definedName name="v_67_GO2">Model!$BZ$182</definedName>
    <definedName name="v_67_GO2_atm">Model!$CF$182</definedName>
    <definedName name="v_67_SALPHA">Model!$BU$182</definedName>
    <definedName name="v_67_SAN">Model!$AR$182</definedName>
    <definedName name="v_67_SB">Model!$F$182</definedName>
    <definedName name="v_67_SCa">Model!$AS$182</definedName>
    <definedName name="v_67_SCAT">Model!$AQ$182</definedName>
    <definedName name="v_67_SCH4">Model!$AM$182</definedName>
    <definedName name="v_67_SCO2">Model!$AO$182</definedName>
    <definedName name="v_67_SFe2">Model!$AV$182</definedName>
    <definedName name="v_67_SH">Model!$BT$182</definedName>
    <definedName name="v_67_SH2">Model!$AN$182</definedName>
    <definedName name="v_67_SK">Model!$AU$182</definedName>
    <definedName name="v_67_SMEOL">Model!$G$182</definedName>
    <definedName name="v_67_SMg">Model!$AT$182</definedName>
    <definedName name="v_67_SN_B">Model!$AB$182</definedName>
    <definedName name="v_67_SN2">Model!$AA$182</definedName>
    <definedName name="v_67_SNHx">Model!$Y$182</definedName>
    <definedName name="v_67_SNOx">Model!$Z$182</definedName>
    <definedName name="v_67_SO2">Model!$AL$182</definedName>
    <definedName name="v_67_SORPswitch">Model!$BV$182</definedName>
    <definedName name="v_67_SP_B">Model!$AH$182</definedName>
    <definedName name="v_67_SPFOA">Model!$BP$182</definedName>
    <definedName name="v_67_SPFOS">Model!$BR$182</definedName>
    <definedName name="v_67_SPO4">Model!$AF$182</definedName>
    <definedName name="v_67_SU">Model!$K$182</definedName>
    <definedName name="v_67_SVFA">Model!$E$182</definedName>
    <definedName name="v_67_XACP">Model!$BL$182</definedName>
    <definedName name="v_67_XALGAE">Model!$X$182</definedName>
    <definedName name="v_67_XAMETO">Model!$V$182</definedName>
    <definedName name="v_67_XB">Model!$I$182</definedName>
    <definedName name="v_67_XB_e">Model!$J$182</definedName>
    <definedName name="v_67_XBSH">Model!$BM$182</definedName>
    <definedName name="v_67_XCaCO3">Model!$BK$182</definedName>
    <definedName name="v_67_XCASTO">Model!$S$182</definedName>
    <definedName name="v_67_XE">Model!$P$182</definedName>
    <definedName name="v_67_XE_ana">Model!$Q$182</definedName>
    <definedName name="v_67_XHAO_H">Model!$BD$182</definedName>
    <definedName name="v_67_XHAO_H_P">Model!$BG$182</definedName>
    <definedName name="v_67_XHAO_H_P_old">Model!$BI$182</definedName>
    <definedName name="v_67_XHAO_L">Model!$BE$182</definedName>
    <definedName name="v_67_XHAO_L_P">Model!$BH$182</definedName>
    <definedName name="v_67_XHAO_L_P_old">Model!$BJ$182</definedName>
    <definedName name="v_67_XHAO_old">Model!$BF$182</definedName>
    <definedName name="v_67_XHFO_H">Model!$AW$182</definedName>
    <definedName name="v_67_XHFO_H_P">Model!$AZ$182</definedName>
    <definedName name="v_67_XHFO_H_P_old">Model!$BB$182</definedName>
    <definedName name="v_67_XHFO_L">Model!$AX$182</definedName>
    <definedName name="v_67_XHFO_L_P">Model!$BA$182</definedName>
    <definedName name="v_67_XHFO_L_P_old">Model!$BC$182</definedName>
    <definedName name="v_67_XHFO_old">Model!$AY$182</definedName>
    <definedName name="v_67_XHMETO">Model!$W$182</definedName>
    <definedName name="v_67_XINORG">Model!$AP$182</definedName>
    <definedName name="v_67_XMEOLO">Model!$T$182</definedName>
    <definedName name="v_67_XN_B">Model!$AC$182</definedName>
    <definedName name="v_67_XN_Be">Model!$AD$182</definedName>
    <definedName name="v_67_XN_U">Model!$AE$182</definedName>
    <definedName name="v_67_XNITO">Model!$U$182</definedName>
    <definedName name="v_67_XOHO">Model!$R$182</definedName>
    <definedName name="v_67_XP_B">Model!$AI$182</definedName>
    <definedName name="v_67_XP_Be">Model!$AJ$182</definedName>
    <definedName name="v_67_XP_U">Model!$AK$182</definedName>
    <definedName name="v_67_XPFOA">Model!$BQ$182</definedName>
    <definedName name="v_67_XPFOS">Model!$BS$182</definedName>
    <definedName name="v_67_XPHA_GAO">Model!$O$182</definedName>
    <definedName name="v_67_XPHA_PAO">Model!$N$182</definedName>
    <definedName name="v_67_XPP">Model!$AG$182</definedName>
    <definedName name="v_67_XSTR">Model!$BN$182</definedName>
    <definedName name="v_67_XU">Model!$M$182</definedName>
    <definedName name="v_67_XVivi">Model!$BO$182</definedName>
    <definedName name="v_68_CB">Model!$H$183</definedName>
    <definedName name="v_68_CU">Model!$L$183</definedName>
    <definedName name="v_68_GCH4">Model!$BX$183</definedName>
    <definedName name="v_68_GCH4_atm">Model!$CD$183</definedName>
    <definedName name="v_68_GCO2">Model!$BW$183</definedName>
    <definedName name="v_68_GCO2_atm">Model!$CC$183</definedName>
    <definedName name="v_68_GH2">Model!$BY$183</definedName>
    <definedName name="v_68_GH2_atm">Model!$CE$183</definedName>
    <definedName name="v_68_GN2">Model!$CB$183</definedName>
    <definedName name="v_68_GN2_atm">Model!$CH$183</definedName>
    <definedName name="v_68_GNH3">Model!$CA$183</definedName>
    <definedName name="v_68_GNH3_atm">Model!$CG$183</definedName>
    <definedName name="v_68_GO2">Model!$BZ$183</definedName>
    <definedName name="v_68_GO2_atm">Model!$CF$183</definedName>
    <definedName name="v_68_SALPHA">Model!$BU$183</definedName>
    <definedName name="v_68_SAN">Model!$AR$183</definedName>
    <definedName name="v_68_SB">Model!$F$183</definedName>
    <definedName name="v_68_SCa">Model!$AS$183</definedName>
    <definedName name="v_68_SCAT">Model!$AQ$183</definedName>
    <definedName name="v_68_SCH4">Model!$AM$183</definedName>
    <definedName name="v_68_SCO2">Model!$AO$183</definedName>
    <definedName name="v_68_SFe2">Model!$AV$183</definedName>
    <definedName name="v_68_SH">Model!$BT$183</definedName>
    <definedName name="v_68_SH2">Model!$AN$183</definedName>
    <definedName name="v_68_SK">Model!$AU$183</definedName>
    <definedName name="v_68_SMEOL">Model!$G$183</definedName>
    <definedName name="v_68_SMg">Model!$AT$183</definedName>
    <definedName name="v_68_SN_B">Model!$AB$183</definedName>
    <definedName name="v_68_SN2">Model!$AA$183</definedName>
    <definedName name="v_68_SNHx">Model!$Y$183</definedName>
    <definedName name="v_68_SNOx">Model!$Z$183</definedName>
    <definedName name="v_68_SO2">Model!$AL$183</definedName>
    <definedName name="v_68_SORPswitch">Model!$BV$183</definedName>
    <definedName name="v_68_SP_B">Model!$AH$183</definedName>
    <definedName name="v_68_SPFOA">Model!$BP$183</definedName>
    <definedName name="v_68_SPFOS">Model!$BR$183</definedName>
    <definedName name="v_68_SPO4">Model!$AF$183</definedName>
    <definedName name="v_68_SU">Model!$K$183</definedName>
    <definedName name="v_68_SVFA">Model!$E$183</definedName>
    <definedName name="v_68_XACP">Model!$BL$183</definedName>
    <definedName name="v_68_XALGAE">Model!$X$183</definedName>
    <definedName name="v_68_XAMETO">Model!$V$183</definedName>
    <definedName name="v_68_XB">Model!$I$183</definedName>
    <definedName name="v_68_XB_e">Model!$J$183</definedName>
    <definedName name="v_68_XBSH">Model!$BM$183</definedName>
    <definedName name="v_68_XCaCO3">Model!$BK$183</definedName>
    <definedName name="v_68_XCASTO">Model!$S$183</definedName>
    <definedName name="v_68_XE">Model!$P$183</definedName>
    <definedName name="v_68_XE_ana">Model!$Q$183</definedName>
    <definedName name="v_68_XHAO_H">Model!$BD$183</definedName>
    <definedName name="v_68_XHAO_H_P">Model!$BG$183</definedName>
    <definedName name="v_68_XHAO_H_P_old">Model!$BI$183</definedName>
    <definedName name="v_68_XHAO_L">Model!$BE$183</definedName>
    <definedName name="v_68_XHAO_L_P">Model!$BH$183</definedName>
    <definedName name="v_68_XHAO_L_P_old">Model!$BJ$183</definedName>
    <definedName name="v_68_XHAO_old">Model!$BF$183</definedName>
    <definedName name="v_68_XHFO_H">Model!$AW$183</definedName>
    <definedName name="v_68_XHFO_H_P">Model!$AZ$183</definedName>
    <definedName name="v_68_XHFO_H_P_old">Model!$BB$183</definedName>
    <definedName name="v_68_XHFO_L">Model!$AX$183</definedName>
    <definedName name="v_68_XHFO_L_P">Model!$BA$183</definedName>
    <definedName name="v_68_XHFO_L_P_old">Model!$BC$183</definedName>
    <definedName name="v_68_XHFO_old">Model!$AY$183</definedName>
    <definedName name="v_68_XHMETO">Model!$W$183</definedName>
    <definedName name="v_68_XINORG">Model!$AP$183</definedName>
    <definedName name="v_68_XMEOLO">Model!$T$183</definedName>
    <definedName name="v_68_XN_B">Model!$AC$183</definedName>
    <definedName name="v_68_XN_Be">Model!$AD$183</definedName>
    <definedName name="v_68_XN_U">Model!$AE$183</definedName>
    <definedName name="v_68_XNITO">Model!$U$183</definedName>
    <definedName name="v_68_XOHO">Model!$R$183</definedName>
    <definedName name="v_68_XP_B">Model!$AI$183</definedName>
    <definedName name="v_68_XP_Be">Model!$AJ$183</definedName>
    <definedName name="v_68_XP_U">Model!$AK$183</definedName>
    <definedName name="v_68_XPFOA">Model!$BQ$183</definedName>
    <definedName name="v_68_XPFOS">Model!$BS$183</definedName>
    <definedName name="v_68_XPHA_GAO">Model!$O$183</definedName>
    <definedName name="v_68_XPHA_PAO">Model!$N$183</definedName>
    <definedName name="v_68_XPP">Model!$AG$183</definedName>
    <definedName name="v_68_XSTR">Model!$BN$183</definedName>
    <definedName name="v_68_XU">Model!$M$183</definedName>
    <definedName name="v_68_XVivi">Model!$BO$183</definedName>
    <definedName name="v_69_CB">Model!$H$184</definedName>
    <definedName name="v_69_CU">Model!$L$184</definedName>
    <definedName name="v_69_GCH4">Model!$BX$184</definedName>
    <definedName name="v_69_GCH4_atm">Model!$CD$184</definedName>
    <definedName name="v_69_GCO2">Model!$BW$184</definedName>
    <definedName name="v_69_GCO2_atm">Model!$CC$184</definedName>
    <definedName name="v_69_GH2">Model!$BY$184</definedName>
    <definedName name="v_69_GH2_atm">Model!$CE$184</definedName>
    <definedName name="v_69_GN2">Model!$CB$184</definedName>
    <definedName name="v_69_GN2_atm">Model!$CH$184</definedName>
    <definedName name="v_69_GNH3">Model!$CA$184</definedName>
    <definedName name="v_69_GNH3_atm">Model!$CG$184</definedName>
    <definedName name="v_69_GO2">Model!$BZ$184</definedName>
    <definedName name="v_69_GO2_atm">Model!$CF$184</definedName>
    <definedName name="v_69_SALPHA">Model!$BU$184</definedName>
    <definedName name="v_69_SAN">Model!$AR$184</definedName>
    <definedName name="v_69_SB">Model!$F$184</definedName>
    <definedName name="v_69_SCa">Model!$AS$184</definedName>
    <definedName name="v_69_SCAT">Model!$AQ$184</definedName>
    <definedName name="v_69_SCH4">Model!$AM$184</definedName>
    <definedName name="v_69_SCO2">Model!$AO$184</definedName>
    <definedName name="v_69_SFe2">Model!$AV$184</definedName>
    <definedName name="v_69_SH">Model!$BT$184</definedName>
    <definedName name="v_69_SH2">Model!$AN$184</definedName>
    <definedName name="v_69_SK">Model!$AU$184</definedName>
    <definedName name="v_69_SMEOL">Model!$G$184</definedName>
    <definedName name="v_69_SMg">Model!$AT$184</definedName>
    <definedName name="v_69_SN_B">Model!$AB$184</definedName>
    <definedName name="v_69_SN2">Model!$AA$184</definedName>
    <definedName name="v_69_SNHx">Model!$Y$184</definedName>
    <definedName name="v_69_SNOx">Model!$Z$184</definedName>
    <definedName name="v_69_SO2">Model!$AL$184</definedName>
    <definedName name="v_69_SORPswitch">Model!$BV$184</definedName>
    <definedName name="v_69_SP_B">Model!$AH$184</definedName>
    <definedName name="v_69_SPFOA">Model!$BP$184</definedName>
    <definedName name="v_69_SPFOS">Model!$BR$184</definedName>
    <definedName name="v_69_SPO4">Model!$AF$184</definedName>
    <definedName name="v_69_SU">Model!$K$184</definedName>
    <definedName name="v_69_SVFA">Model!$E$184</definedName>
    <definedName name="v_69_XACP">Model!$BL$184</definedName>
    <definedName name="v_69_XALGAE">Model!$X$184</definedName>
    <definedName name="v_69_XAMETO">Model!$V$184</definedName>
    <definedName name="v_69_XB">Model!$I$184</definedName>
    <definedName name="v_69_XB_e">Model!$J$184</definedName>
    <definedName name="v_69_XBSH">Model!$BM$184</definedName>
    <definedName name="v_69_XCaCO3">Model!$BK$184</definedName>
    <definedName name="v_69_XCASTO">Model!$S$184</definedName>
    <definedName name="v_69_XE">Model!$P$184</definedName>
    <definedName name="v_69_XE_ana">Model!$Q$184</definedName>
    <definedName name="v_69_XHAO_H">Model!$BD$184</definedName>
    <definedName name="v_69_XHAO_H_P">Model!$BG$184</definedName>
    <definedName name="v_69_XHAO_H_P_old">Model!$BI$184</definedName>
    <definedName name="v_69_XHAO_L">Model!$BE$184</definedName>
    <definedName name="v_69_XHAO_L_P">Model!$BH$184</definedName>
    <definedName name="v_69_XHAO_L_P_old">Model!$BJ$184</definedName>
    <definedName name="v_69_XHAO_old">Model!$BF$184</definedName>
    <definedName name="v_69_XHFO_H">Model!$AW$184</definedName>
    <definedName name="v_69_XHFO_H_P">Model!$AZ$184</definedName>
    <definedName name="v_69_XHFO_H_P_old">Model!$BB$184</definedName>
    <definedName name="v_69_XHFO_L">Model!$AX$184</definedName>
    <definedName name="v_69_XHFO_L_P">Model!$BA$184</definedName>
    <definedName name="v_69_XHFO_L_P_old">Model!$BC$184</definedName>
    <definedName name="v_69_XHFO_old">Model!$AY$184</definedName>
    <definedName name="v_69_XHMETO">Model!$W$184</definedName>
    <definedName name="v_69_XINORG">Model!$AP$184</definedName>
    <definedName name="v_69_XMEOLO">Model!$T$184</definedName>
    <definedName name="v_69_XN_B">Model!$AC$184</definedName>
    <definedName name="v_69_XN_Be">Model!$AD$184</definedName>
    <definedName name="v_69_XN_U">Model!$AE$184</definedName>
    <definedName name="v_69_XNITO">Model!$U$184</definedName>
    <definedName name="v_69_XOHO">Model!$R$184</definedName>
    <definedName name="v_69_XP_B">Model!$AI$184</definedName>
    <definedName name="v_69_XP_Be">Model!$AJ$184</definedName>
    <definedName name="v_69_XP_U">Model!$AK$184</definedName>
    <definedName name="v_69_XPFOA">Model!$BQ$184</definedName>
    <definedName name="v_69_XPFOS">Model!$BS$184</definedName>
    <definedName name="v_69_XPHA_GAO">Model!$O$184</definedName>
    <definedName name="v_69_XPHA_PAO">Model!$N$184</definedName>
    <definedName name="v_69_XPP">Model!$AG$184</definedName>
    <definedName name="v_69_XSTR">Model!$BN$184</definedName>
    <definedName name="v_69_XU">Model!$M$184</definedName>
    <definedName name="v_69_XVivi">Model!$BO$184</definedName>
    <definedName name="v_7_CB">Model!$H$121</definedName>
    <definedName name="v_7_CU">Model!$L$121</definedName>
    <definedName name="v_7_GCH4">Model!$BX$121</definedName>
    <definedName name="v_7_GCH4_atm">Model!$CD$121</definedName>
    <definedName name="v_7_GCO2">Model!$BW$121</definedName>
    <definedName name="v_7_GCO2_atm">Model!$CC$121</definedName>
    <definedName name="v_7_GH2">Model!$BY$121</definedName>
    <definedName name="v_7_GH2_atm">Model!$CE$121</definedName>
    <definedName name="v_7_GN2">Model!$CB$121</definedName>
    <definedName name="v_7_GN2_atm">Model!$CH$121</definedName>
    <definedName name="v_7_GNH3">Model!$CA$121</definedName>
    <definedName name="v_7_GNH3_atm">Model!$CG$121</definedName>
    <definedName name="v_7_GO2">Model!$BZ$121</definedName>
    <definedName name="v_7_GO2_atm">Model!$CF$121</definedName>
    <definedName name="v_7_SALPHA">Model!$BU$121</definedName>
    <definedName name="v_7_SAN">Model!$AR$121</definedName>
    <definedName name="v_7_SB">Model!$F$121</definedName>
    <definedName name="v_7_SCa">Model!$AS$121</definedName>
    <definedName name="v_7_SCAT">Model!$AQ$121</definedName>
    <definedName name="v_7_SCH4">Model!$AM$121</definedName>
    <definedName name="v_7_SCO2">Model!$AO$121</definedName>
    <definedName name="v_7_SFe2">Model!$AV$121</definedName>
    <definedName name="v_7_SH">Model!$BT$121</definedName>
    <definedName name="v_7_SH2">Model!$AN$121</definedName>
    <definedName name="v_7_SK">Model!$AU$121</definedName>
    <definedName name="v_7_SMEOL">Model!$G$121</definedName>
    <definedName name="v_7_SMg">Model!$AT$121</definedName>
    <definedName name="v_7_SN_B">Model!$AB$121</definedName>
    <definedName name="v_7_SN2">Model!$AA$121</definedName>
    <definedName name="v_7_SNHx">Model!$Y$121</definedName>
    <definedName name="v_7_SNOx">Model!$Z$121</definedName>
    <definedName name="v_7_SO2">Model!$AL$121</definedName>
    <definedName name="v_7_SORPswitch">Model!$BV$121</definedName>
    <definedName name="v_7_SP_B">Model!$AH$121</definedName>
    <definedName name="v_7_SPFOA">Model!$BP$121</definedName>
    <definedName name="v_7_SPFOS">Model!$BR$121</definedName>
    <definedName name="v_7_SPO4">Model!$AF$121</definedName>
    <definedName name="v_7_SU">Model!$K$121</definedName>
    <definedName name="v_7_SVFA">Model!$E$121</definedName>
    <definedName name="v_7_XACP">Model!$BL$121</definedName>
    <definedName name="v_7_XALGAE">Model!$X$121</definedName>
    <definedName name="v_7_XAMETO">Model!$V$121</definedName>
    <definedName name="v_7_XB">Model!$I$121</definedName>
    <definedName name="v_7_XB_e">Model!$J$121</definedName>
    <definedName name="v_7_XBSH">Model!$BM$121</definedName>
    <definedName name="v_7_XCaCO3">Model!$BK$121</definedName>
    <definedName name="v_7_XCASTO">Model!$S$121</definedName>
    <definedName name="v_7_XE">Model!$P$121</definedName>
    <definedName name="v_7_XE_ana">Model!$Q$121</definedName>
    <definedName name="v_7_XHAO_H">Model!$BD$121</definedName>
    <definedName name="v_7_XHAO_H_P">Model!$BG$121</definedName>
    <definedName name="v_7_XHAO_H_P_old">Model!$BI$121</definedName>
    <definedName name="v_7_XHAO_L">Model!$BE$121</definedName>
    <definedName name="v_7_XHAO_L_P">Model!$BH$121</definedName>
    <definedName name="v_7_XHAO_L_P_old">Model!$BJ$121</definedName>
    <definedName name="v_7_XHAO_old">Model!$BF$121</definedName>
    <definedName name="v_7_XHFO_H">Model!$AW$121</definedName>
    <definedName name="v_7_XHFO_H_P">Model!$AZ$121</definedName>
    <definedName name="v_7_XHFO_H_P_old">Model!$BB$121</definedName>
    <definedName name="v_7_XHFO_L">Model!$AX$121</definedName>
    <definedName name="v_7_XHFO_L_P">Model!$BA$121</definedName>
    <definedName name="v_7_XHFO_L_P_old">Model!$BC$121</definedName>
    <definedName name="v_7_XHFO_old">Model!$AY$121</definedName>
    <definedName name="v_7_XHMETO">Model!$W$121</definedName>
    <definedName name="v_7_XINORG">Model!$AP$121</definedName>
    <definedName name="v_7_XMEOLO">Model!$T$121</definedName>
    <definedName name="v_7_XN_B">Model!$AC$121</definedName>
    <definedName name="v_7_XN_Be">Model!$AD$121</definedName>
    <definedName name="v_7_XN_U">Model!$AE$121</definedName>
    <definedName name="v_7_XNITO">Model!$U$121</definedName>
    <definedName name="v_7_XOHO">Model!$R$121</definedName>
    <definedName name="v_7_XP_B">Model!$AI$121</definedName>
    <definedName name="v_7_XP_Be">Model!$AJ$121</definedName>
    <definedName name="v_7_XP_U">Model!$AK$121</definedName>
    <definedName name="v_7_XPFOA">Model!$BQ$121</definedName>
    <definedName name="v_7_XPFOS">Model!$BS$121</definedName>
    <definedName name="v_7_XPHA_GAO">Model!$O$121</definedName>
    <definedName name="v_7_XPHA_PAO">Model!$N$121</definedName>
    <definedName name="v_7_XPP">Model!$AG$121</definedName>
    <definedName name="v_7_XSTR">Model!$BN$121</definedName>
    <definedName name="v_7_XU">Model!$M$121</definedName>
    <definedName name="v_7_XVivi">Model!$BO$121</definedName>
    <definedName name="v_70_CB">Model!$H$185</definedName>
    <definedName name="v_70_CU">Model!$L$185</definedName>
    <definedName name="v_70_GCH4">Model!$BX$185</definedName>
    <definedName name="v_70_GCH4_atm">Model!$CD$185</definedName>
    <definedName name="v_70_GCO2">Model!$BW$185</definedName>
    <definedName name="v_70_GCO2_atm">Model!$CC$185</definedName>
    <definedName name="v_70_GH2">Model!$BY$185</definedName>
    <definedName name="v_70_GH2_atm">Model!$CE$185</definedName>
    <definedName name="v_70_GN2">Model!$CB$185</definedName>
    <definedName name="v_70_GN2_atm">Model!$CH$185</definedName>
    <definedName name="v_70_GNH3">Model!$CA$185</definedName>
    <definedName name="v_70_GNH3_atm">Model!$CG$185</definedName>
    <definedName name="v_70_GO2">Model!$BZ$185</definedName>
    <definedName name="v_70_GO2_atm">Model!$CF$185</definedName>
    <definedName name="v_70_SALPHA">Model!$BU$185</definedName>
    <definedName name="v_70_SAN">Model!$AR$185</definedName>
    <definedName name="v_70_SB">Model!$F$185</definedName>
    <definedName name="v_70_SCa">Model!$AS$185</definedName>
    <definedName name="v_70_SCAT">Model!$AQ$185</definedName>
    <definedName name="v_70_SCH4">Model!$AM$185</definedName>
    <definedName name="v_70_SCO2">Model!$AO$185</definedName>
    <definedName name="v_70_SFe2">Model!$AV$185</definedName>
    <definedName name="v_70_SH">Model!$BT$185</definedName>
    <definedName name="v_70_SH2">Model!$AN$185</definedName>
    <definedName name="v_70_SK">Model!$AU$185</definedName>
    <definedName name="v_70_SMEOL">Model!$G$185</definedName>
    <definedName name="v_70_SMg">Model!$AT$185</definedName>
    <definedName name="v_70_SN_B">Model!$AB$185</definedName>
    <definedName name="v_70_SN2">Model!$AA$185</definedName>
    <definedName name="v_70_SNHx">Model!$Y$185</definedName>
    <definedName name="v_70_SNOx">Model!$Z$185</definedName>
    <definedName name="v_70_SO2">Model!$AL$185</definedName>
    <definedName name="v_70_SORPswitch">Model!$BV$185</definedName>
    <definedName name="v_70_SP_B">Model!$AH$185</definedName>
    <definedName name="v_70_SPFOA">Model!$BP$185</definedName>
    <definedName name="v_70_SPFOS">Model!$BR$185</definedName>
    <definedName name="v_70_SPO4">Model!$AF$185</definedName>
    <definedName name="v_70_SU">Model!$K$185</definedName>
    <definedName name="v_70_SVFA">Model!$E$185</definedName>
    <definedName name="v_70_XACP">Model!$BL$185</definedName>
    <definedName name="v_70_XALGAE">Model!$X$185</definedName>
    <definedName name="v_70_XAMETO">Model!$V$185</definedName>
    <definedName name="v_70_XB">Model!$I$185</definedName>
    <definedName name="v_70_XB_e">Model!$J$185</definedName>
    <definedName name="v_70_XBSH">Model!$BM$185</definedName>
    <definedName name="v_70_XCaCO3">Model!$BK$185</definedName>
    <definedName name="v_70_XCASTO">Model!$S$185</definedName>
    <definedName name="v_70_XE">Model!$P$185</definedName>
    <definedName name="v_70_XE_ana">Model!$Q$185</definedName>
    <definedName name="v_70_XHAO_H">Model!$BD$185</definedName>
    <definedName name="v_70_XHAO_H_P">Model!$BG$185</definedName>
    <definedName name="v_70_XHAO_H_P_old">Model!$BI$185</definedName>
    <definedName name="v_70_XHAO_L">Model!$BE$185</definedName>
    <definedName name="v_70_XHAO_L_P">Model!$BH$185</definedName>
    <definedName name="v_70_XHAO_L_P_old">Model!$BJ$185</definedName>
    <definedName name="v_70_XHAO_old">Model!$BF$185</definedName>
    <definedName name="v_70_XHFO_H">Model!$AW$185</definedName>
    <definedName name="v_70_XHFO_H_P">Model!$AZ$185</definedName>
    <definedName name="v_70_XHFO_H_P_old">Model!$BB$185</definedName>
    <definedName name="v_70_XHFO_L">Model!$AX$185</definedName>
    <definedName name="v_70_XHFO_L_P">Model!$BA$185</definedName>
    <definedName name="v_70_XHFO_L_P_old">Model!$BC$185</definedName>
    <definedName name="v_70_XHFO_old">Model!$AY$185</definedName>
    <definedName name="v_70_XHMETO">Model!$W$185</definedName>
    <definedName name="v_70_XINORG">Model!$AP$185</definedName>
    <definedName name="v_70_XMEOLO">Model!$T$185</definedName>
    <definedName name="v_70_XN_B">Model!$AC$185</definedName>
    <definedName name="v_70_XN_Be">Model!$AD$185</definedName>
    <definedName name="v_70_XN_U">Model!$AE$185</definedName>
    <definedName name="v_70_XNITO">Model!$U$185</definedName>
    <definedName name="v_70_XOHO">Model!$R$185</definedName>
    <definedName name="v_70_XP_B">Model!$AI$185</definedName>
    <definedName name="v_70_XP_Be">Model!$AJ$185</definedName>
    <definedName name="v_70_XP_U">Model!$AK$185</definedName>
    <definedName name="v_70_XPFOA">Model!$BQ$185</definedName>
    <definedName name="v_70_XPFOS">Model!$BS$185</definedName>
    <definedName name="v_70_XPHA_GAO">Model!$O$185</definedName>
    <definedName name="v_70_XPHA_PAO">Model!$N$185</definedName>
    <definedName name="v_70_XPP">Model!$AG$185</definedName>
    <definedName name="v_70_XSTR">Model!$BN$185</definedName>
    <definedName name="v_70_XU">Model!$M$185</definedName>
    <definedName name="v_70_XVivi">Model!$BO$185</definedName>
    <definedName name="v_71_CB">Model!$H$186</definedName>
    <definedName name="v_71_CU">Model!$L$186</definedName>
    <definedName name="v_71_GCH4">Model!$BX$186</definedName>
    <definedName name="v_71_GCH4_atm">Model!$CD$186</definedName>
    <definedName name="v_71_GCO2">Model!$BW$186</definedName>
    <definedName name="v_71_GCO2_atm">Model!$CC$186</definedName>
    <definedName name="v_71_GH2">Model!$BY$186</definedName>
    <definedName name="v_71_GH2_atm">Model!$CE$186</definedName>
    <definedName name="v_71_GN2">Model!$CB$186</definedName>
    <definedName name="v_71_GN2_atm">Model!$CH$186</definedName>
    <definedName name="v_71_GNH3">Model!$CA$186</definedName>
    <definedName name="v_71_GNH3_atm">Model!$CG$186</definedName>
    <definedName name="v_71_GO2">Model!$BZ$186</definedName>
    <definedName name="v_71_GO2_atm">Model!$CF$186</definedName>
    <definedName name="v_71_SALPHA">Model!$BU$186</definedName>
    <definedName name="v_71_SAN">Model!$AR$186</definedName>
    <definedName name="v_71_SB">Model!$F$186</definedName>
    <definedName name="v_71_SCa">Model!$AS$186</definedName>
    <definedName name="v_71_SCAT">Model!$AQ$186</definedName>
    <definedName name="v_71_SCH4">Model!$AM$186</definedName>
    <definedName name="v_71_SCO2">Model!$AO$186</definedName>
    <definedName name="v_71_SFe2">Model!$AV$186</definedName>
    <definedName name="v_71_SH">Model!$BT$186</definedName>
    <definedName name="v_71_SH2">Model!$AN$186</definedName>
    <definedName name="v_71_SK">Model!$AU$186</definedName>
    <definedName name="v_71_SMEOL">Model!$G$186</definedName>
    <definedName name="v_71_SMg">Model!$AT$186</definedName>
    <definedName name="v_71_SN_B">Model!$AB$186</definedName>
    <definedName name="v_71_SN2">Model!$AA$186</definedName>
    <definedName name="v_71_SNHx">Model!$Y$186</definedName>
    <definedName name="v_71_SNOx">Model!$Z$186</definedName>
    <definedName name="v_71_SO2">Model!$AL$186</definedName>
    <definedName name="v_71_SORPswitch">Model!$BV$186</definedName>
    <definedName name="v_71_SP_B">Model!$AH$186</definedName>
    <definedName name="v_71_SPFOA">Model!$BP$186</definedName>
    <definedName name="v_71_SPFOS">Model!$BR$186</definedName>
    <definedName name="v_71_SPO4">Model!$AF$186</definedName>
    <definedName name="v_71_SU">Model!$K$186</definedName>
    <definedName name="v_71_SVFA">Model!$E$186</definedName>
    <definedName name="v_71_XACP">Model!$BL$186</definedName>
    <definedName name="v_71_XALGAE">Model!$X$186</definedName>
    <definedName name="v_71_XAMETO">Model!$V$186</definedName>
    <definedName name="v_71_XB">Model!$I$186</definedName>
    <definedName name="v_71_XB_e">Model!$J$186</definedName>
    <definedName name="v_71_XBSH">Model!$BM$186</definedName>
    <definedName name="v_71_XCaCO3">Model!$BK$186</definedName>
    <definedName name="v_71_XCASTO">Model!$S$186</definedName>
    <definedName name="v_71_XE">Model!$P$186</definedName>
    <definedName name="v_71_XE_ana">Model!$Q$186</definedName>
    <definedName name="v_71_XHAO_H">Model!$BD$186</definedName>
    <definedName name="v_71_XHAO_H_P">Model!$BG$186</definedName>
    <definedName name="v_71_XHAO_H_P_old">Model!$BI$186</definedName>
    <definedName name="v_71_XHAO_L">Model!$BE$186</definedName>
    <definedName name="v_71_XHAO_L_P">Model!$BH$186</definedName>
    <definedName name="v_71_XHAO_L_P_old">Model!$BJ$186</definedName>
    <definedName name="v_71_XHAO_old">Model!$BF$186</definedName>
    <definedName name="v_71_XHFO_H">Model!$AW$186</definedName>
    <definedName name="v_71_XHFO_H_P">Model!$AZ$186</definedName>
    <definedName name="v_71_XHFO_H_P_old">Model!$BB$186</definedName>
    <definedName name="v_71_XHFO_L">Model!$AX$186</definedName>
    <definedName name="v_71_XHFO_L_P">Model!$BA$186</definedName>
    <definedName name="v_71_XHFO_L_P_old">Model!$BC$186</definedName>
    <definedName name="v_71_XHFO_old">Model!$AY$186</definedName>
    <definedName name="v_71_XHMETO">Model!$W$186</definedName>
    <definedName name="v_71_XINORG">Model!$AP$186</definedName>
    <definedName name="v_71_XMEOLO">Model!$T$186</definedName>
    <definedName name="v_71_XN_B">Model!$AC$186</definedName>
    <definedName name="v_71_XN_Be">Model!$AD$186</definedName>
    <definedName name="v_71_XN_U">Model!$AE$186</definedName>
    <definedName name="v_71_XNITO">Model!$U$186</definedName>
    <definedName name="v_71_XOHO">Model!$R$186</definedName>
    <definedName name="v_71_XP_B">Model!$AI$186</definedName>
    <definedName name="v_71_XP_Be">Model!$AJ$186</definedName>
    <definedName name="v_71_XP_U">Model!$AK$186</definedName>
    <definedName name="v_71_XPFOA">Model!$BQ$186</definedName>
    <definedName name="v_71_XPFOS">Model!$BS$186</definedName>
    <definedName name="v_71_XPHA_GAO">Model!$O$186</definedName>
    <definedName name="v_71_XPHA_PAO">Model!$N$186</definedName>
    <definedName name="v_71_XPP">Model!$AG$186</definedName>
    <definedName name="v_71_XSTR">Model!$BN$186</definedName>
    <definedName name="v_71_XU">Model!$M$186</definedName>
    <definedName name="v_71_XVivi">Model!$BO$186</definedName>
    <definedName name="v_72_CB">Model!$H$187</definedName>
    <definedName name="v_72_CU">Model!$L$187</definedName>
    <definedName name="v_72_GCH4">Model!$BX$187</definedName>
    <definedName name="v_72_GCH4_atm">Model!$CD$187</definedName>
    <definedName name="v_72_GCO2">Model!$BW$187</definedName>
    <definedName name="v_72_GCO2_atm">Model!$CC$187</definedName>
    <definedName name="v_72_GH2">Model!$BY$187</definedName>
    <definedName name="v_72_GH2_atm">Model!$CE$187</definedName>
    <definedName name="v_72_GN2">Model!$CB$187</definedName>
    <definedName name="v_72_GN2_atm">Model!$CH$187</definedName>
    <definedName name="v_72_GNH3">Model!$CA$187</definedName>
    <definedName name="v_72_GNH3_atm">Model!$CG$187</definedName>
    <definedName name="v_72_GO2">Model!$BZ$187</definedName>
    <definedName name="v_72_GO2_atm">Model!$CF$187</definedName>
    <definedName name="v_72_SALPHA">Model!$BU$187</definedName>
    <definedName name="v_72_SAN">Model!$AR$187</definedName>
    <definedName name="v_72_SB">Model!$F$187</definedName>
    <definedName name="v_72_SCa">Model!$AS$187</definedName>
    <definedName name="v_72_SCAT">Model!$AQ$187</definedName>
    <definedName name="v_72_SCH4">Model!$AM$187</definedName>
    <definedName name="v_72_SCO2">Model!$AO$187</definedName>
    <definedName name="v_72_SFe2">Model!$AV$187</definedName>
    <definedName name="v_72_SH">Model!$BT$187</definedName>
    <definedName name="v_72_SH2">Model!$AN$187</definedName>
    <definedName name="v_72_SK">Model!$AU$187</definedName>
    <definedName name="v_72_SMEOL">Model!$G$187</definedName>
    <definedName name="v_72_SMg">Model!$AT$187</definedName>
    <definedName name="v_72_SN_B">Model!$AB$187</definedName>
    <definedName name="v_72_SN2">Model!$AA$187</definedName>
    <definedName name="v_72_SNHx">Model!$Y$187</definedName>
    <definedName name="v_72_SNOx">Model!$Z$187</definedName>
    <definedName name="v_72_SO2">Model!$AL$187</definedName>
    <definedName name="v_72_SORPswitch">Model!$BV$187</definedName>
    <definedName name="v_72_SP_B">Model!$AH$187</definedName>
    <definedName name="v_72_SPFOA">Model!$BP$187</definedName>
    <definedName name="v_72_SPFOS">Model!$BR$187</definedName>
    <definedName name="v_72_SPO4">Model!$AF$187</definedName>
    <definedName name="v_72_SU">Model!$K$187</definedName>
    <definedName name="v_72_SVFA">Model!$E$187</definedName>
    <definedName name="v_72_XACP">Model!$BL$187</definedName>
    <definedName name="v_72_XALGAE">Model!$X$187</definedName>
    <definedName name="v_72_XAMETO">Model!$V$187</definedName>
    <definedName name="v_72_XB">Model!$I$187</definedName>
    <definedName name="v_72_XB_e">Model!$J$187</definedName>
    <definedName name="v_72_XBSH">Model!$BM$187</definedName>
    <definedName name="v_72_XCaCO3">Model!$BK$187</definedName>
    <definedName name="v_72_XCASTO">Model!$S$187</definedName>
    <definedName name="v_72_XE">Model!$P$187</definedName>
    <definedName name="v_72_XE_ana">Model!$Q$187</definedName>
    <definedName name="v_72_XHAO_H">Model!$BD$187</definedName>
    <definedName name="v_72_XHAO_H_P">Model!$BG$187</definedName>
    <definedName name="v_72_XHAO_H_P_old">Model!$BI$187</definedName>
    <definedName name="v_72_XHAO_L">Model!$BE$187</definedName>
    <definedName name="v_72_XHAO_L_P">Model!$BH$187</definedName>
    <definedName name="v_72_XHAO_L_P_old">Model!$BJ$187</definedName>
    <definedName name="v_72_XHAO_old">Model!$BF$187</definedName>
    <definedName name="v_72_XHFO_H">Model!$AW$187</definedName>
    <definedName name="v_72_XHFO_H_P">Model!$AZ$187</definedName>
    <definedName name="v_72_XHFO_H_P_old">Model!$BB$187</definedName>
    <definedName name="v_72_XHFO_L">Model!$AX$187</definedName>
    <definedName name="v_72_XHFO_L_P">Model!$BA$187</definedName>
    <definedName name="v_72_XHFO_L_P_old">Model!$BC$187</definedName>
    <definedName name="v_72_XHFO_old">Model!$AY$187</definedName>
    <definedName name="v_72_XHMETO">Model!$W$187</definedName>
    <definedName name="v_72_XINORG">Model!$AP$187</definedName>
    <definedName name="v_72_XMEOLO">Model!$T$187</definedName>
    <definedName name="v_72_XN_B">Model!$AC$187</definedName>
    <definedName name="v_72_XN_Be">Model!$AD$187</definedName>
    <definedName name="v_72_XN_U">Model!$AE$187</definedName>
    <definedName name="v_72_XNITO">Model!$U$187</definedName>
    <definedName name="v_72_XOHO">Model!$R$187</definedName>
    <definedName name="v_72_XP_B">Model!$AI$187</definedName>
    <definedName name="v_72_XP_Be">Model!$AJ$187</definedName>
    <definedName name="v_72_XP_U">Model!$AK$187</definedName>
    <definedName name="v_72_XPFOA">Model!$BQ$187</definedName>
    <definedName name="v_72_XPFOS">Model!$BS$187</definedName>
    <definedName name="v_72_XPHA_GAO">Model!$O$187</definedName>
    <definedName name="v_72_XPHA_PAO">Model!$N$187</definedName>
    <definedName name="v_72_XPP">Model!$AG$187</definedName>
    <definedName name="v_72_XSTR">Model!$BN$187</definedName>
    <definedName name="v_72_XU">Model!$M$187</definedName>
    <definedName name="v_72_XVivi">Model!$BO$187</definedName>
    <definedName name="v_73_CB">Model!$H$188</definedName>
    <definedName name="v_73_CU">Model!$L$188</definedName>
    <definedName name="v_73_GCH4">Model!$BX$188</definedName>
    <definedName name="v_73_GCH4_atm">Model!$CD$188</definedName>
    <definedName name="v_73_GCO2">Model!$BW$188</definedName>
    <definedName name="v_73_GCO2_atm">Model!$CC$188</definedName>
    <definedName name="v_73_GH2">Model!$BY$188</definedName>
    <definedName name="v_73_GH2_atm">Model!$CE$188</definedName>
    <definedName name="v_73_GN2">Model!$CB$188</definedName>
    <definedName name="v_73_GN2_atm">Model!$CH$188</definedName>
    <definedName name="v_73_GNH3">Model!$CA$188</definedName>
    <definedName name="v_73_GNH3_atm">Model!$CG$188</definedName>
    <definedName name="v_73_GO2">Model!$BZ$188</definedName>
    <definedName name="v_73_GO2_atm">Model!$CF$188</definedName>
    <definedName name="v_73_SALPHA">Model!$BU$188</definedName>
    <definedName name="v_73_SAN">Model!$AR$188</definedName>
    <definedName name="v_73_SB">Model!$F$188</definedName>
    <definedName name="v_73_SCa">Model!$AS$188</definedName>
    <definedName name="v_73_SCAT">Model!$AQ$188</definedName>
    <definedName name="v_73_SCH4">Model!$AM$188</definedName>
    <definedName name="v_73_SCO2">Model!$AO$188</definedName>
    <definedName name="v_73_SFe2">Model!$AV$188</definedName>
    <definedName name="v_73_SH">Model!$BT$188</definedName>
    <definedName name="v_73_SH2">Model!$AN$188</definedName>
    <definedName name="v_73_SK">Model!$AU$188</definedName>
    <definedName name="v_73_SMEOL">Model!$G$188</definedName>
    <definedName name="v_73_SMg">Model!$AT$188</definedName>
    <definedName name="v_73_SN_B">Model!$AB$188</definedName>
    <definedName name="v_73_SN2">Model!$AA$188</definedName>
    <definedName name="v_73_SNHx">Model!$Y$188</definedName>
    <definedName name="v_73_SNOx">Model!$Z$188</definedName>
    <definedName name="v_73_SO2">Model!$AL$188</definedName>
    <definedName name="v_73_SORPswitch">Model!$BV$188</definedName>
    <definedName name="v_73_SP_B">Model!$AH$188</definedName>
    <definedName name="v_73_SPFOA">Model!$BP$188</definedName>
    <definedName name="v_73_SPFOS">Model!$BR$188</definedName>
    <definedName name="v_73_SPO4">Model!$AF$188</definedName>
    <definedName name="v_73_SU">Model!$K$188</definedName>
    <definedName name="v_73_SVFA">Model!$E$188</definedName>
    <definedName name="v_73_XACP">Model!$BL$188</definedName>
    <definedName name="v_73_XALGAE">Model!$X$188</definedName>
    <definedName name="v_73_XAMETO">Model!$V$188</definedName>
    <definedName name="v_73_XB">Model!$I$188</definedName>
    <definedName name="v_73_XB_e">Model!$J$188</definedName>
    <definedName name="v_73_XBSH">Model!$BM$188</definedName>
    <definedName name="v_73_XCaCO3">Model!$BK$188</definedName>
    <definedName name="v_73_XCASTO">Model!$S$188</definedName>
    <definedName name="v_73_XE">Model!$P$188</definedName>
    <definedName name="v_73_XE_ana">Model!$Q$188</definedName>
    <definedName name="v_73_XHAO_H">Model!$BD$188</definedName>
    <definedName name="v_73_XHAO_H_P">Model!$BG$188</definedName>
    <definedName name="v_73_XHAO_H_P_old">Model!$BI$188</definedName>
    <definedName name="v_73_XHAO_L">Model!$BE$188</definedName>
    <definedName name="v_73_XHAO_L_P">Model!$BH$188</definedName>
    <definedName name="v_73_XHAO_L_P_old">Model!$BJ$188</definedName>
    <definedName name="v_73_XHAO_old">Model!$BF$188</definedName>
    <definedName name="v_73_XHFO_H">Model!$AW$188</definedName>
    <definedName name="v_73_XHFO_H_P">Model!$AZ$188</definedName>
    <definedName name="v_73_XHFO_H_P_old">Model!$BB$188</definedName>
    <definedName name="v_73_XHFO_L">Model!$AX$188</definedName>
    <definedName name="v_73_XHFO_L_P">Model!$BA$188</definedName>
    <definedName name="v_73_XHFO_L_P_old">Model!$BC$188</definedName>
    <definedName name="v_73_XHFO_old">Model!$AY$188</definedName>
    <definedName name="v_73_XHMETO">Model!$W$188</definedName>
    <definedName name="v_73_XINORG">Model!$AP$188</definedName>
    <definedName name="v_73_XMEOLO">Model!$T$188</definedName>
    <definedName name="v_73_XN_B">Model!$AC$188</definedName>
    <definedName name="v_73_XN_Be">Model!$AD$188</definedName>
    <definedName name="v_73_XN_U">Model!$AE$188</definedName>
    <definedName name="v_73_XNITO">Model!$U$188</definedName>
    <definedName name="v_73_XOHO">Model!$R$188</definedName>
    <definedName name="v_73_XP_B">Model!$AI$188</definedName>
    <definedName name="v_73_XP_Be">Model!$AJ$188</definedName>
    <definedName name="v_73_XP_U">Model!$AK$188</definedName>
    <definedName name="v_73_XPFOA">Model!$BQ$188</definedName>
    <definedName name="v_73_XPFOS">Model!$BS$188</definedName>
    <definedName name="v_73_XPHA_GAO">Model!$O$188</definedName>
    <definedName name="v_73_XPHA_PAO">Model!$N$188</definedName>
    <definedName name="v_73_XPP">Model!$AG$188</definedName>
    <definedName name="v_73_XSTR">Model!$BN$188</definedName>
    <definedName name="v_73_XU">Model!$M$188</definedName>
    <definedName name="v_73_XVivi">Model!$BO$188</definedName>
    <definedName name="v_74_CB">Model!$H$189</definedName>
    <definedName name="v_74_CU">Model!$L$189</definedName>
    <definedName name="v_74_GCH4">Model!$BX$189</definedName>
    <definedName name="v_74_GCH4_atm">Model!$CD$189</definedName>
    <definedName name="v_74_GCO2">Model!$BW$189</definedName>
    <definedName name="v_74_GCO2_atm">Model!$CC$189</definedName>
    <definedName name="v_74_GH2">Model!$BY$189</definedName>
    <definedName name="v_74_GH2_atm">Model!$CE$189</definedName>
    <definedName name="v_74_GN2">Model!$CB$189</definedName>
    <definedName name="v_74_GN2_atm">Model!$CH$189</definedName>
    <definedName name="v_74_GNH3">Model!$CA$189</definedName>
    <definedName name="v_74_GNH3_atm">Model!$CG$189</definedName>
    <definedName name="v_74_GO2">Model!$BZ$189</definedName>
    <definedName name="v_74_GO2_atm">Model!$CF$189</definedName>
    <definedName name="v_74_SALPHA">Model!$BU$189</definedName>
    <definedName name="v_74_SAN">Model!$AR$189</definedName>
    <definedName name="v_74_SB">Model!$F$189</definedName>
    <definedName name="v_74_SCa">Model!$AS$189</definedName>
    <definedName name="v_74_SCAT">Model!$AQ$189</definedName>
    <definedName name="v_74_SCH4">Model!$AM$189</definedName>
    <definedName name="v_74_SCO2">Model!$AO$189</definedName>
    <definedName name="v_74_SFe2">Model!$AV$189</definedName>
    <definedName name="v_74_SH">Model!$BT$189</definedName>
    <definedName name="v_74_SH2">Model!$AN$189</definedName>
    <definedName name="v_74_SK">Model!$AU$189</definedName>
    <definedName name="v_74_SMEOL">Model!$G$189</definedName>
    <definedName name="v_74_SMg">Model!$AT$189</definedName>
    <definedName name="v_74_SN_B">Model!$AB$189</definedName>
    <definedName name="v_74_SN2">Model!$AA$189</definedName>
    <definedName name="v_74_SNHx">Model!$Y$189</definedName>
    <definedName name="v_74_SNOx">Model!$Z$189</definedName>
    <definedName name="v_74_SO2">Model!$AL$189</definedName>
    <definedName name="v_74_SORPswitch">Model!$BV$189</definedName>
    <definedName name="v_74_SP_B">Model!$AH$189</definedName>
    <definedName name="v_74_SPFOA">Model!$BP$189</definedName>
    <definedName name="v_74_SPFOS">Model!$BR$189</definedName>
    <definedName name="v_74_SPO4">Model!$AF$189</definedName>
    <definedName name="v_74_SU">Model!$K$189</definedName>
    <definedName name="v_74_SVFA">Model!$E$189</definedName>
    <definedName name="v_74_XACP">Model!$BL$189</definedName>
    <definedName name="v_74_XALGAE">Model!$X$189</definedName>
    <definedName name="v_74_XAMETO">Model!$V$189</definedName>
    <definedName name="v_74_XB">Model!$I$189</definedName>
    <definedName name="v_74_XB_e">Model!$J$189</definedName>
    <definedName name="v_74_XBSH">Model!$BM$189</definedName>
    <definedName name="v_74_XCaCO3">Model!$BK$189</definedName>
    <definedName name="v_74_XCASTO">Model!$S$189</definedName>
    <definedName name="v_74_XE">Model!$P$189</definedName>
    <definedName name="v_74_XE_ana">Model!$Q$189</definedName>
    <definedName name="v_74_XHAO_H">Model!$BD$189</definedName>
    <definedName name="v_74_XHAO_H_P">Model!$BG$189</definedName>
    <definedName name="v_74_XHAO_H_P_old">Model!$BI$189</definedName>
    <definedName name="v_74_XHAO_L">Model!$BE$189</definedName>
    <definedName name="v_74_XHAO_L_P">Model!$BH$189</definedName>
    <definedName name="v_74_XHAO_L_P_old">Model!$BJ$189</definedName>
    <definedName name="v_74_XHAO_old">Model!$BF$189</definedName>
    <definedName name="v_74_XHFO_H">Model!$AW$189</definedName>
    <definedName name="v_74_XHFO_H_P">Model!$AZ$189</definedName>
    <definedName name="v_74_XHFO_H_P_old">Model!$BB$189</definedName>
    <definedName name="v_74_XHFO_L">Model!$AX$189</definedName>
    <definedName name="v_74_XHFO_L_P">Model!$BA$189</definedName>
    <definedName name="v_74_XHFO_L_P_old">Model!$BC$189</definedName>
    <definedName name="v_74_XHFO_old">Model!$AY$189</definedName>
    <definedName name="v_74_XHMETO">Model!$W$189</definedName>
    <definedName name="v_74_XINORG">Model!$AP$189</definedName>
    <definedName name="v_74_XMEOLO">Model!$T$189</definedName>
    <definedName name="v_74_XN_B">Model!$AC$189</definedName>
    <definedName name="v_74_XN_Be">Model!$AD$189</definedName>
    <definedName name="v_74_XN_U">Model!$AE$189</definedName>
    <definedName name="v_74_XNITO">Model!$U$189</definedName>
    <definedName name="v_74_XOHO">Model!$R$189</definedName>
    <definedName name="v_74_XP_B">Model!$AI$189</definedName>
    <definedName name="v_74_XP_Be">Model!$AJ$189</definedName>
    <definedName name="v_74_XP_U">Model!$AK$189</definedName>
    <definedName name="v_74_XPFOA">Model!$BQ$189</definedName>
    <definedName name="v_74_XPFOS">Model!$BS$189</definedName>
    <definedName name="v_74_XPHA_GAO">Model!$O$189</definedName>
    <definedName name="v_74_XPHA_PAO">Model!$N$189</definedName>
    <definedName name="v_74_XPP">Model!$AG$189</definedName>
    <definedName name="v_74_XSTR">Model!$BN$189</definedName>
    <definedName name="v_74_XU">Model!$M$189</definedName>
    <definedName name="v_74_XVivi">Model!$BO$189</definedName>
    <definedName name="v_75_CB">Model!$H$190</definedName>
    <definedName name="v_75_CU">Model!$L$190</definedName>
    <definedName name="v_75_GCH4">Model!$BX$190</definedName>
    <definedName name="v_75_GCH4_atm">Model!$CD$190</definedName>
    <definedName name="v_75_GCO2">Model!$BW$190</definedName>
    <definedName name="v_75_GCO2_atm">Model!$CC$190</definedName>
    <definedName name="v_75_GH2">Model!$BY$190</definedName>
    <definedName name="v_75_GH2_atm">Model!$CE$190</definedName>
    <definedName name="v_75_GN2">Model!$CB$190</definedName>
    <definedName name="v_75_GN2_atm">Model!$CH$190</definedName>
    <definedName name="v_75_GNH3">Model!$CA$190</definedName>
    <definedName name="v_75_GNH3_atm">Model!$CG$190</definedName>
    <definedName name="v_75_GO2">Model!$BZ$190</definedName>
    <definedName name="v_75_GO2_atm">Model!$CF$190</definedName>
    <definedName name="v_75_SALPHA">Model!$BU$190</definedName>
    <definedName name="v_75_SAN">Model!$AR$190</definedName>
    <definedName name="v_75_SB">Model!$F$190</definedName>
    <definedName name="v_75_SCa">Model!$AS$190</definedName>
    <definedName name="v_75_SCAT">Model!$AQ$190</definedName>
    <definedName name="v_75_SCH4">Model!$AM$190</definedName>
    <definedName name="v_75_SCO2">Model!$AO$190</definedName>
    <definedName name="v_75_SFe2">Model!$AV$190</definedName>
    <definedName name="v_75_SH">Model!$BT$190</definedName>
    <definedName name="v_75_SH2">Model!$AN$190</definedName>
    <definedName name="v_75_SK">Model!$AU$190</definedName>
    <definedName name="v_75_SMEOL">Model!$G$190</definedName>
    <definedName name="v_75_SMg">Model!$AT$190</definedName>
    <definedName name="v_75_SN_B">Model!$AB$190</definedName>
    <definedName name="v_75_SN2">Model!$AA$190</definedName>
    <definedName name="v_75_SNHx">Model!$Y$190</definedName>
    <definedName name="v_75_SNOx">Model!$Z$190</definedName>
    <definedName name="v_75_SO2">Model!$AL$190</definedName>
    <definedName name="v_75_SORPswitch">Model!$BV$190</definedName>
    <definedName name="v_75_SP_B">Model!$AH$190</definedName>
    <definedName name="v_75_SPFOA">Model!$BP$190</definedName>
    <definedName name="v_75_SPFOS">Model!$BR$190</definedName>
    <definedName name="v_75_SPO4">Model!$AF$190</definedName>
    <definedName name="v_75_SU">Model!$K$190</definedName>
    <definedName name="v_75_SVFA">Model!$E$190</definedName>
    <definedName name="v_75_XACP">Model!$BL$190</definedName>
    <definedName name="v_75_XALGAE">Model!$X$190</definedName>
    <definedName name="v_75_XAMETO">Model!$V$190</definedName>
    <definedName name="v_75_XB">Model!$I$190</definedName>
    <definedName name="v_75_XB_e">Model!$J$190</definedName>
    <definedName name="v_75_XBSH">Model!$BM$190</definedName>
    <definedName name="v_75_XCaCO3">Model!$BK$190</definedName>
    <definedName name="v_75_XCASTO">Model!$S$190</definedName>
    <definedName name="v_75_XE">Model!$P$190</definedName>
    <definedName name="v_75_XE_ana">Model!$Q$190</definedName>
    <definedName name="v_75_XHAO_H">Model!$BD$190</definedName>
    <definedName name="v_75_XHAO_H_P">Model!$BG$190</definedName>
    <definedName name="v_75_XHAO_H_P_old">Model!$BI$190</definedName>
    <definedName name="v_75_XHAO_L">Model!$BE$190</definedName>
    <definedName name="v_75_XHAO_L_P">Model!$BH$190</definedName>
    <definedName name="v_75_XHAO_L_P_old">Model!$BJ$190</definedName>
    <definedName name="v_75_XHAO_old">Model!$BF$190</definedName>
    <definedName name="v_75_XHFO_H">Model!$AW$190</definedName>
    <definedName name="v_75_XHFO_H_P">Model!$AZ$190</definedName>
    <definedName name="v_75_XHFO_H_P_old">Model!$BB$190</definedName>
    <definedName name="v_75_XHFO_L">Model!$AX$190</definedName>
    <definedName name="v_75_XHFO_L_P">Model!$BA$190</definedName>
    <definedName name="v_75_XHFO_L_P_old">Model!$BC$190</definedName>
    <definedName name="v_75_XHFO_old">Model!$AY$190</definedName>
    <definedName name="v_75_XHMETO">Model!$W$190</definedName>
    <definedName name="v_75_XINORG">Model!$AP$190</definedName>
    <definedName name="v_75_XMEOLO">Model!$T$190</definedName>
    <definedName name="v_75_XN_B">Model!$AC$190</definedName>
    <definedName name="v_75_XN_Be">Model!$AD$190</definedName>
    <definedName name="v_75_XN_U">Model!$AE$190</definedName>
    <definedName name="v_75_XNITO">Model!$U$190</definedName>
    <definedName name="v_75_XOHO">Model!$R$190</definedName>
    <definedName name="v_75_XP_B">Model!$AI$190</definedName>
    <definedName name="v_75_XP_Be">Model!$AJ$190</definedName>
    <definedName name="v_75_XP_U">Model!$AK$190</definedName>
    <definedName name="v_75_XPFOA">Model!$BQ$190</definedName>
    <definedName name="v_75_XPFOS">Model!$BS$190</definedName>
    <definedName name="v_75_XPHA_GAO">Model!$O$190</definedName>
    <definedName name="v_75_XPHA_PAO">Model!$N$190</definedName>
    <definedName name="v_75_XPP">Model!$AG$190</definedName>
    <definedName name="v_75_XSTR">Model!$BN$190</definedName>
    <definedName name="v_75_XU">Model!$M$190</definedName>
    <definedName name="v_75_XVivi">Model!$BO$190</definedName>
    <definedName name="v_76_CB">Model!$H$191</definedName>
    <definedName name="v_76_CU">Model!$L$191</definedName>
    <definedName name="v_76_GCH4">Model!$BX$191</definedName>
    <definedName name="v_76_GCH4_atm">Model!$CD$191</definedName>
    <definedName name="v_76_GCO2">Model!$BW$191</definedName>
    <definedName name="v_76_GCO2_atm">Model!$CC$191</definedName>
    <definedName name="v_76_GH2">Model!$BY$191</definedName>
    <definedName name="v_76_GH2_atm">Model!$CE$191</definedName>
    <definedName name="v_76_GN2">Model!$CB$191</definedName>
    <definedName name="v_76_GN2_atm">Model!$CH$191</definedName>
    <definedName name="v_76_GNH3">Model!$CA$191</definedName>
    <definedName name="v_76_GNH3_atm">Model!$CG$191</definedName>
    <definedName name="v_76_GO2">Model!$BZ$191</definedName>
    <definedName name="v_76_GO2_atm">Model!$CF$191</definedName>
    <definedName name="v_76_SALPHA">Model!$BU$191</definedName>
    <definedName name="v_76_SAN">Model!$AR$191</definedName>
    <definedName name="v_76_SB">Model!$F$191</definedName>
    <definedName name="v_76_SCa">Model!$AS$191</definedName>
    <definedName name="v_76_SCAT">Model!$AQ$191</definedName>
    <definedName name="v_76_SCH4">Model!$AM$191</definedName>
    <definedName name="v_76_SCO2">Model!$AO$191</definedName>
    <definedName name="v_76_SFe2">Model!$AV$191</definedName>
    <definedName name="v_76_SH">Model!$BT$191</definedName>
    <definedName name="v_76_SH2">Model!$AN$191</definedName>
    <definedName name="v_76_SK">Model!$AU$191</definedName>
    <definedName name="v_76_SMEOL">Model!$G$191</definedName>
    <definedName name="v_76_SMg">Model!$AT$191</definedName>
    <definedName name="v_76_SN_B">Model!$AB$191</definedName>
    <definedName name="v_76_SN2">Model!$AA$191</definedName>
    <definedName name="v_76_SNHx">Model!$Y$191</definedName>
    <definedName name="v_76_SNOx">Model!$Z$191</definedName>
    <definedName name="v_76_SO2">Model!$AL$191</definedName>
    <definedName name="v_76_SORPswitch">Model!$BV$191</definedName>
    <definedName name="v_76_SP_B">Model!$AH$191</definedName>
    <definedName name="v_76_SPFOA">Model!$BP$191</definedName>
    <definedName name="v_76_SPFOS">Model!$BR$191</definedName>
    <definedName name="v_76_SPO4">Model!$AF$191</definedName>
    <definedName name="v_76_SU">Model!$K$191</definedName>
    <definedName name="v_76_SVFA">Model!$E$191</definedName>
    <definedName name="v_76_XACP">Model!$BL$191</definedName>
    <definedName name="v_76_XALGAE">Model!$X$191</definedName>
    <definedName name="v_76_XAMETO">Model!$V$191</definedName>
    <definedName name="v_76_XB">Model!$I$191</definedName>
    <definedName name="v_76_XB_e">Model!$J$191</definedName>
    <definedName name="v_76_XBSH">Model!$BM$191</definedName>
    <definedName name="v_76_XCaCO3">Model!$BK$191</definedName>
    <definedName name="v_76_XCASTO">Model!$S$191</definedName>
    <definedName name="v_76_XE">Model!$P$191</definedName>
    <definedName name="v_76_XE_ana">Model!$Q$191</definedName>
    <definedName name="v_76_XHAO_H">Model!$BD$191</definedName>
    <definedName name="v_76_XHAO_H_P">Model!$BG$191</definedName>
    <definedName name="v_76_XHAO_H_P_old">Model!$BI$191</definedName>
    <definedName name="v_76_XHAO_L">Model!$BE$191</definedName>
    <definedName name="v_76_XHAO_L_P">Model!$BH$191</definedName>
    <definedName name="v_76_XHAO_L_P_old">Model!$BJ$191</definedName>
    <definedName name="v_76_XHAO_old">Model!$BF$191</definedName>
    <definedName name="v_76_XHFO_H">Model!$AW$191</definedName>
    <definedName name="v_76_XHFO_H_P">Model!$AZ$191</definedName>
    <definedName name="v_76_XHFO_H_P_old">Model!$BB$191</definedName>
    <definedName name="v_76_XHFO_L">Model!$AX$191</definedName>
    <definedName name="v_76_XHFO_L_P">Model!$BA$191</definedName>
    <definedName name="v_76_XHFO_L_P_old">Model!$BC$191</definedName>
    <definedName name="v_76_XHFO_old">Model!$AY$191</definedName>
    <definedName name="v_76_XHMETO">Model!$W$191</definedName>
    <definedName name="v_76_XINORG">Model!$AP$191</definedName>
    <definedName name="v_76_XMEOLO">Model!$T$191</definedName>
    <definedName name="v_76_XN_B">Model!$AC$191</definedName>
    <definedName name="v_76_XN_Be">Model!$AD$191</definedName>
    <definedName name="v_76_XN_U">Model!$AE$191</definedName>
    <definedName name="v_76_XNITO">Model!$U$191</definedName>
    <definedName name="v_76_XOHO">Model!$R$191</definedName>
    <definedName name="v_76_XP_B">Model!$AI$191</definedName>
    <definedName name="v_76_XP_Be">Model!$AJ$191</definedName>
    <definedName name="v_76_XP_U">Model!$AK$191</definedName>
    <definedName name="v_76_XPFOA">Model!$BQ$191</definedName>
    <definedName name="v_76_XPFOS">Model!$BS$191</definedName>
    <definedName name="v_76_XPHA_GAO">Model!$O$191</definedName>
    <definedName name="v_76_XPHA_PAO">Model!$N$191</definedName>
    <definedName name="v_76_XPP">Model!$AG$191</definedName>
    <definedName name="v_76_XSTR">Model!$BN$191</definedName>
    <definedName name="v_76_XU">Model!$M$191</definedName>
    <definedName name="v_76_XVivi">Model!$BO$191</definedName>
    <definedName name="v_77_CB">Model!$H$192</definedName>
    <definedName name="v_77_CU">Model!$L$192</definedName>
    <definedName name="v_77_GCH4">Model!$BX$192</definedName>
    <definedName name="v_77_GCH4_atm">Model!$CD$192</definedName>
    <definedName name="v_77_GCO2">Model!$BW$192</definedName>
    <definedName name="v_77_GCO2_atm">Model!$CC$192</definedName>
    <definedName name="v_77_GH2">Model!$BY$192</definedName>
    <definedName name="v_77_GH2_atm">Model!$CE$192</definedName>
    <definedName name="v_77_GN2">Model!$CB$192</definedName>
    <definedName name="v_77_GN2_atm">Model!$CH$192</definedName>
    <definedName name="v_77_GNH3">Model!$CA$192</definedName>
    <definedName name="v_77_GNH3_atm">Model!$CG$192</definedName>
    <definedName name="v_77_GO2">Model!$BZ$192</definedName>
    <definedName name="v_77_GO2_atm">Model!$CF$192</definedName>
    <definedName name="v_77_SALPHA">Model!$BU$192</definedName>
    <definedName name="v_77_SAN">Model!$AR$192</definedName>
    <definedName name="v_77_SB">Model!$F$192</definedName>
    <definedName name="v_77_SCa">Model!$AS$192</definedName>
    <definedName name="v_77_SCAT">Model!$AQ$192</definedName>
    <definedName name="v_77_SCH4">Model!$AM$192</definedName>
    <definedName name="v_77_SCO2">Model!$AO$192</definedName>
    <definedName name="v_77_SFe2">Model!$AV$192</definedName>
    <definedName name="v_77_SH">Model!$BT$192</definedName>
    <definedName name="v_77_SH2">Model!$AN$192</definedName>
    <definedName name="v_77_SK">Model!$AU$192</definedName>
    <definedName name="v_77_SMEOL">Model!$G$192</definedName>
    <definedName name="v_77_SMg">Model!$AT$192</definedName>
    <definedName name="v_77_SN_B">Model!$AB$192</definedName>
    <definedName name="v_77_SN2">Model!$AA$192</definedName>
    <definedName name="v_77_SNHx">Model!$Y$192</definedName>
    <definedName name="v_77_SNOx">Model!$Z$192</definedName>
    <definedName name="v_77_SO2">Model!$AL$192</definedName>
    <definedName name="v_77_SORPswitch">Model!$BV$192</definedName>
    <definedName name="v_77_SP_B">Model!$AH$192</definedName>
    <definedName name="v_77_SPFOA">Model!$BP$192</definedName>
    <definedName name="v_77_SPFOS">Model!$BR$192</definedName>
    <definedName name="v_77_SPO4">Model!$AF$192</definedName>
    <definedName name="v_77_SU">Model!$K$192</definedName>
    <definedName name="v_77_SVFA">Model!$E$192</definedName>
    <definedName name="v_77_XACP">Model!$BL$192</definedName>
    <definedName name="v_77_XALGAE">Model!$X$192</definedName>
    <definedName name="v_77_XAMETO">Model!$V$192</definedName>
    <definedName name="v_77_XB">Model!$I$192</definedName>
    <definedName name="v_77_XB_e">Model!$J$192</definedName>
    <definedName name="v_77_XBSH">Model!$BM$192</definedName>
    <definedName name="v_77_XCaCO3">Model!$BK$192</definedName>
    <definedName name="v_77_XCASTO">Model!$S$192</definedName>
    <definedName name="v_77_XE">Model!$P$192</definedName>
    <definedName name="v_77_XE_ana">Model!$Q$192</definedName>
    <definedName name="v_77_XHAO_H">Model!$BD$192</definedName>
    <definedName name="v_77_XHAO_H_P">Model!$BG$192</definedName>
    <definedName name="v_77_XHAO_H_P_old">Model!$BI$192</definedName>
    <definedName name="v_77_XHAO_L">Model!$BE$192</definedName>
    <definedName name="v_77_XHAO_L_P">Model!$BH$192</definedName>
    <definedName name="v_77_XHAO_L_P_old">Model!$BJ$192</definedName>
    <definedName name="v_77_XHAO_old">Model!$BF$192</definedName>
    <definedName name="v_77_XHFO_H">Model!$AW$192</definedName>
    <definedName name="v_77_XHFO_H_P">Model!$AZ$192</definedName>
    <definedName name="v_77_XHFO_H_P_old">Model!$BB$192</definedName>
    <definedName name="v_77_XHFO_L">Model!$AX$192</definedName>
    <definedName name="v_77_XHFO_L_P">Model!$BA$192</definedName>
    <definedName name="v_77_XHFO_L_P_old">Model!$BC$192</definedName>
    <definedName name="v_77_XHFO_old">Model!$AY$192</definedName>
    <definedName name="v_77_XHMETO">Model!$W$192</definedName>
    <definedName name="v_77_XINORG">Model!$AP$192</definedName>
    <definedName name="v_77_XMEOLO">Model!$T$192</definedName>
    <definedName name="v_77_XN_B">Model!$AC$192</definedName>
    <definedName name="v_77_XN_Be">Model!$AD$192</definedName>
    <definedName name="v_77_XN_U">Model!$AE$192</definedName>
    <definedName name="v_77_XNITO">Model!$U$192</definedName>
    <definedName name="v_77_XOHO">Model!$R$192</definedName>
    <definedName name="v_77_XP_B">Model!$AI$192</definedName>
    <definedName name="v_77_XP_Be">Model!$AJ$192</definedName>
    <definedName name="v_77_XP_U">Model!$AK$192</definedName>
    <definedName name="v_77_XPFOA">Model!$BQ$192</definedName>
    <definedName name="v_77_XPFOS">Model!$BS$192</definedName>
    <definedName name="v_77_XPHA_GAO">Model!$O$192</definedName>
    <definedName name="v_77_XPHA_PAO">Model!$N$192</definedName>
    <definedName name="v_77_XPP">Model!$AG$192</definedName>
    <definedName name="v_77_XSTR">Model!$BN$192</definedName>
    <definedName name="v_77_XU">Model!$M$192</definedName>
    <definedName name="v_77_XVivi">Model!$BO$192</definedName>
    <definedName name="v_78_CB">Model!$H$193</definedName>
    <definedName name="v_78_CU">Model!$L$193</definedName>
    <definedName name="v_78_GCH4">Model!$BX$193</definedName>
    <definedName name="v_78_GCH4_atm">Model!$CD$193</definedName>
    <definedName name="v_78_GCO2">Model!$BW$193</definedName>
    <definedName name="v_78_GCO2_atm">Model!$CC$193</definedName>
    <definedName name="v_78_GH2">Model!$BY$193</definedName>
    <definedName name="v_78_GH2_atm">Model!$CE$193</definedName>
    <definedName name="v_78_GN2">Model!$CB$193</definedName>
    <definedName name="v_78_GN2_atm">Model!$CH$193</definedName>
    <definedName name="v_78_GNH3">Model!$CA$193</definedName>
    <definedName name="v_78_GNH3_atm">Model!$CG$193</definedName>
    <definedName name="v_78_GO2">Model!$BZ$193</definedName>
    <definedName name="v_78_GO2_atm">Model!$CF$193</definedName>
    <definedName name="v_78_SALPHA">Model!$BU$193</definedName>
    <definedName name="v_78_SAN">Model!$AR$193</definedName>
    <definedName name="v_78_SB">Model!$F$193</definedName>
    <definedName name="v_78_SCa">Model!$AS$193</definedName>
    <definedName name="v_78_SCAT">Model!$AQ$193</definedName>
    <definedName name="v_78_SCH4">Model!$AM$193</definedName>
    <definedName name="v_78_SCO2">Model!$AO$193</definedName>
    <definedName name="v_78_SFe2">Model!$AV$193</definedName>
    <definedName name="v_78_SH">Model!$BT$193</definedName>
    <definedName name="v_78_SH2">Model!$AN$193</definedName>
    <definedName name="v_78_SK">Model!$AU$193</definedName>
    <definedName name="v_78_SMEOL">Model!$G$193</definedName>
    <definedName name="v_78_SMg">Model!$AT$193</definedName>
    <definedName name="v_78_SN_B">Model!$AB$193</definedName>
    <definedName name="v_78_SN2">Model!$AA$193</definedName>
    <definedName name="v_78_SNHx">Model!$Y$193</definedName>
    <definedName name="v_78_SNOx">Model!$Z$193</definedName>
    <definedName name="v_78_SO2">Model!$AL$193</definedName>
    <definedName name="v_78_SORPswitch">Model!$BV$193</definedName>
    <definedName name="v_78_SP_B">Model!$AH$193</definedName>
    <definedName name="v_78_SPFOA">Model!$BP$193</definedName>
    <definedName name="v_78_SPFOS">Model!$BR$193</definedName>
    <definedName name="v_78_SPO4">Model!$AF$193</definedName>
    <definedName name="v_78_SU">Model!$K$193</definedName>
    <definedName name="v_78_SVFA">Model!$E$193</definedName>
    <definedName name="v_78_XACP">Model!$BL$193</definedName>
    <definedName name="v_78_XALGAE">Model!$X$193</definedName>
    <definedName name="v_78_XAMETO">Model!$V$193</definedName>
    <definedName name="v_78_XB">Model!$I$193</definedName>
    <definedName name="v_78_XB_e">Model!$J$193</definedName>
    <definedName name="v_78_XBSH">Model!$BM$193</definedName>
    <definedName name="v_78_XCaCO3">Model!$BK$193</definedName>
    <definedName name="v_78_XCASTO">Model!$S$193</definedName>
    <definedName name="v_78_XE">Model!$P$193</definedName>
    <definedName name="v_78_XE_ana">Model!$Q$193</definedName>
    <definedName name="v_78_XHAO_H">Model!$BD$193</definedName>
    <definedName name="v_78_XHAO_H_P">Model!$BG$193</definedName>
    <definedName name="v_78_XHAO_H_P_old">Model!$BI$193</definedName>
    <definedName name="v_78_XHAO_L">Model!$BE$193</definedName>
    <definedName name="v_78_XHAO_L_P">Model!$BH$193</definedName>
    <definedName name="v_78_XHAO_L_P_old">Model!$BJ$193</definedName>
    <definedName name="v_78_XHAO_old">Model!$BF$193</definedName>
    <definedName name="v_78_XHFO_H">Model!$AW$193</definedName>
    <definedName name="v_78_XHFO_H_P">Model!$AZ$193</definedName>
    <definedName name="v_78_XHFO_H_P_old">Model!$BB$193</definedName>
    <definedName name="v_78_XHFO_L">Model!$AX$193</definedName>
    <definedName name="v_78_XHFO_L_P">Model!$BA$193</definedName>
    <definedName name="v_78_XHFO_L_P_old">Model!$BC$193</definedName>
    <definedName name="v_78_XHFO_old">Model!$AY$193</definedName>
    <definedName name="v_78_XHMETO">Model!$W$193</definedName>
    <definedName name="v_78_XINORG">Model!$AP$193</definedName>
    <definedName name="v_78_XMEOLO">Model!$T$193</definedName>
    <definedName name="v_78_XN_B">Model!$AC$193</definedName>
    <definedName name="v_78_XN_Be">Model!$AD$193</definedName>
    <definedName name="v_78_XN_U">Model!$AE$193</definedName>
    <definedName name="v_78_XNITO">Model!$U$193</definedName>
    <definedName name="v_78_XOHO">Model!$R$193</definedName>
    <definedName name="v_78_XP_B">Model!$AI$193</definedName>
    <definedName name="v_78_XP_Be">Model!$AJ$193</definedName>
    <definedName name="v_78_XP_U">Model!$AK$193</definedName>
    <definedName name="v_78_XPFOA">Model!$BQ$193</definedName>
    <definedName name="v_78_XPFOS">Model!$BS$193</definedName>
    <definedName name="v_78_XPHA_GAO">Model!$O$193</definedName>
    <definedName name="v_78_XPHA_PAO">Model!$N$193</definedName>
    <definedName name="v_78_XPP">Model!$AG$193</definedName>
    <definedName name="v_78_XSTR">Model!$BN$193</definedName>
    <definedName name="v_78_XU">Model!$M$193</definedName>
    <definedName name="v_78_XVivi">Model!$BO$193</definedName>
    <definedName name="v_79_CB">Model!$H$194</definedName>
    <definedName name="v_79_CU">Model!$L$194</definedName>
    <definedName name="v_79_GCH4">Model!$BX$194</definedName>
    <definedName name="v_79_GCH4_atm">Model!$CD$194</definedName>
    <definedName name="v_79_GCO2">Model!$BW$194</definedName>
    <definedName name="v_79_GCO2_atm">Model!$CC$194</definedName>
    <definedName name="v_79_GH2">Model!$BY$194</definedName>
    <definedName name="v_79_GH2_atm">Model!$CE$194</definedName>
    <definedName name="v_79_GN2">Model!$CB$194</definedName>
    <definedName name="v_79_GN2_atm">Model!$CH$194</definedName>
    <definedName name="v_79_GNH3">Model!$CA$194</definedName>
    <definedName name="v_79_GNH3_atm">Model!$CG$194</definedName>
    <definedName name="v_79_GO2">Model!$BZ$194</definedName>
    <definedName name="v_79_GO2_atm">Model!$CF$194</definedName>
    <definedName name="v_79_SALPHA">Model!$BU$194</definedName>
    <definedName name="v_79_SAN">Model!$AR$194</definedName>
    <definedName name="v_79_SB">Model!$F$194</definedName>
    <definedName name="v_79_SCa">Model!$AS$194</definedName>
    <definedName name="v_79_SCAT">Model!$AQ$194</definedName>
    <definedName name="v_79_SCH4">Model!$AM$194</definedName>
    <definedName name="v_79_SCO2">Model!$AO$194</definedName>
    <definedName name="v_79_SFe2">Model!$AV$194</definedName>
    <definedName name="v_79_SH">Model!$BT$194</definedName>
    <definedName name="v_79_SH2">Model!$AN$194</definedName>
    <definedName name="v_79_SK">Model!$AU$194</definedName>
    <definedName name="v_79_SMEOL">Model!$G$194</definedName>
    <definedName name="v_79_SMg">Model!$AT$194</definedName>
    <definedName name="v_79_SN_B">Model!$AB$194</definedName>
    <definedName name="v_79_SN2">Model!$AA$194</definedName>
    <definedName name="v_79_SNHx">Model!$Y$194</definedName>
    <definedName name="v_79_SNOx">Model!$Z$194</definedName>
    <definedName name="v_79_SO2">Model!$AL$194</definedName>
    <definedName name="v_79_SORPswitch">Model!$BV$194</definedName>
    <definedName name="v_79_SP_B">Model!$AH$194</definedName>
    <definedName name="v_79_SPFOA">Model!$BP$194</definedName>
    <definedName name="v_79_SPFOS">Model!$BR$194</definedName>
    <definedName name="v_79_SPO4">Model!$AF$194</definedName>
    <definedName name="v_79_SU">Model!$K$194</definedName>
    <definedName name="v_79_SVFA">Model!$E$194</definedName>
    <definedName name="v_79_XACP">Model!$BL$194</definedName>
    <definedName name="v_79_XALGAE">Model!$X$194</definedName>
    <definedName name="v_79_XAMETO">Model!$V$194</definedName>
    <definedName name="v_79_XB">Model!$I$194</definedName>
    <definedName name="v_79_XB_e">Model!$J$194</definedName>
    <definedName name="v_79_XBSH">Model!$BM$194</definedName>
    <definedName name="v_79_XCaCO3">Model!$BK$194</definedName>
    <definedName name="v_79_XCASTO">Model!$S$194</definedName>
    <definedName name="v_79_XE">Model!$P$194</definedName>
    <definedName name="v_79_XE_ana">Model!$Q$194</definedName>
    <definedName name="v_79_XHAO_H">Model!$BD$194</definedName>
    <definedName name="v_79_XHAO_H_P">Model!$BG$194</definedName>
    <definedName name="v_79_XHAO_H_P_old">Model!$BI$194</definedName>
    <definedName name="v_79_XHAO_L">Model!$BE$194</definedName>
    <definedName name="v_79_XHAO_L_P">Model!$BH$194</definedName>
    <definedName name="v_79_XHAO_L_P_old">Model!$BJ$194</definedName>
    <definedName name="v_79_XHAO_old">Model!$BF$194</definedName>
    <definedName name="v_79_XHFO_H">Model!$AW$194</definedName>
    <definedName name="v_79_XHFO_H_P">Model!$AZ$194</definedName>
    <definedName name="v_79_XHFO_H_P_old">Model!$BB$194</definedName>
    <definedName name="v_79_XHFO_L">Model!$AX$194</definedName>
    <definedName name="v_79_XHFO_L_P">Model!$BA$194</definedName>
    <definedName name="v_79_XHFO_L_P_old">Model!$BC$194</definedName>
    <definedName name="v_79_XHFO_old">Model!$AY$194</definedName>
    <definedName name="v_79_XHMETO">Model!$W$194</definedName>
    <definedName name="v_79_XINORG">Model!$AP$194</definedName>
    <definedName name="v_79_XMEOLO">Model!$T$194</definedName>
    <definedName name="v_79_XN_B">Model!$AC$194</definedName>
    <definedName name="v_79_XN_Be">Model!$AD$194</definedName>
    <definedName name="v_79_XN_U">Model!$AE$194</definedName>
    <definedName name="v_79_XNITO">Model!$U$194</definedName>
    <definedName name="v_79_XOHO">Model!$R$194</definedName>
    <definedName name="v_79_XP_B">Model!$AI$194</definedName>
    <definedName name="v_79_XP_Be">Model!$AJ$194</definedName>
    <definedName name="v_79_XP_U">Model!$AK$194</definedName>
    <definedName name="v_79_XPFOA">Model!$BQ$194</definedName>
    <definedName name="v_79_XPFOS">Model!$BS$194</definedName>
    <definedName name="v_79_XPHA_GAO">Model!$O$194</definedName>
    <definedName name="v_79_XPHA_PAO">Model!$N$194</definedName>
    <definedName name="v_79_XPP">Model!$AG$194</definedName>
    <definedName name="v_79_XSTR">Model!$BN$194</definedName>
    <definedName name="v_79_XU">Model!$M$194</definedName>
    <definedName name="v_79_XVivi">Model!$BO$194</definedName>
    <definedName name="v_8_CB">Model!$H$122</definedName>
    <definedName name="v_8_CU">Model!$L$122</definedName>
    <definedName name="v_8_GCH4">Model!$BX$122</definedName>
    <definedName name="v_8_GCH4_atm">Model!$CD$122</definedName>
    <definedName name="v_8_GCO2">Model!$BW$122</definedName>
    <definedName name="v_8_GCO2_atm">Model!$CC$122</definedName>
    <definedName name="v_8_GH2">Model!$BY$122</definedName>
    <definedName name="v_8_GH2_atm">Model!$CE$122</definedName>
    <definedName name="v_8_GN2">Model!$CB$122</definedName>
    <definedName name="v_8_GN2_atm">Model!$CH$122</definedName>
    <definedName name="v_8_GNH3">Model!$CA$122</definedName>
    <definedName name="v_8_GNH3_atm">Model!$CG$122</definedName>
    <definedName name="v_8_GO2">Model!$BZ$122</definedName>
    <definedName name="v_8_GO2_atm">Model!$CF$122</definedName>
    <definedName name="v_8_SALPHA">Model!$BU$122</definedName>
    <definedName name="v_8_SAN">Model!$AR$122</definedName>
    <definedName name="v_8_SB">Model!$F$122</definedName>
    <definedName name="v_8_SCa">Model!$AS$122</definedName>
    <definedName name="v_8_SCAT">Model!$AQ$122</definedName>
    <definedName name="v_8_SCH4">Model!$AM$122</definedName>
    <definedName name="v_8_SCO2">Model!$AO$122</definedName>
    <definedName name="v_8_SFe2">Model!$AV$122</definedName>
    <definedName name="v_8_SH">Model!$BT$122</definedName>
    <definedName name="v_8_SH2">Model!$AN$122</definedName>
    <definedName name="v_8_SK">Model!$AU$122</definedName>
    <definedName name="v_8_SMEOL">Model!$G$122</definedName>
    <definedName name="v_8_SMg">Model!$AT$122</definedName>
    <definedName name="v_8_SN_B">Model!$AB$122</definedName>
    <definedName name="v_8_SN2">Model!$AA$122</definedName>
    <definedName name="v_8_SNHx">Model!$Y$122</definedName>
    <definedName name="v_8_SNOx">Model!$Z$122</definedName>
    <definedName name="v_8_SO2">Model!$AL$122</definedName>
    <definedName name="v_8_SORPswitch">Model!$BV$122</definedName>
    <definedName name="v_8_SP_B">Model!$AH$122</definedName>
    <definedName name="v_8_SPFOA">Model!$BP$122</definedName>
    <definedName name="v_8_SPFOS">Model!$BR$122</definedName>
    <definedName name="v_8_SPO4">Model!$AF$122</definedName>
    <definedName name="v_8_SU">Model!$K$122</definedName>
    <definedName name="v_8_SVFA">Model!$E$122</definedName>
    <definedName name="v_8_XACP">Model!$BL$122</definedName>
    <definedName name="v_8_XALGAE">Model!$X$122</definedName>
    <definedName name="v_8_XAMETO">Model!$V$122</definedName>
    <definedName name="v_8_XB">Model!$I$122</definedName>
    <definedName name="v_8_XB_e">Model!$J$122</definedName>
    <definedName name="v_8_XBSH">Model!$BM$122</definedName>
    <definedName name="v_8_XCaCO3">Model!$BK$122</definedName>
    <definedName name="v_8_XCASTO">Model!$S$122</definedName>
    <definedName name="v_8_XE">Model!$P$122</definedName>
    <definedName name="v_8_XE_ana">Model!$Q$122</definedName>
    <definedName name="v_8_XHAO_H">Model!$BD$122</definedName>
    <definedName name="v_8_XHAO_H_P">Model!$BG$122</definedName>
    <definedName name="v_8_XHAO_H_P_old">Model!$BI$122</definedName>
    <definedName name="v_8_XHAO_L">Model!$BE$122</definedName>
    <definedName name="v_8_XHAO_L_P">Model!$BH$122</definedName>
    <definedName name="v_8_XHAO_L_P_old">Model!$BJ$122</definedName>
    <definedName name="v_8_XHAO_old">Model!$BF$122</definedName>
    <definedName name="v_8_XHFO_H">Model!$AW$122</definedName>
    <definedName name="v_8_XHFO_H_P">Model!$AZ$122</definedName>
    <definedName name="v_8_XHFO_H_P_old">Model!$BB$122</definedName>
    <definedName name="v_8_XHFO_L">Model!$AX$122</definedName>
    <definedName name="v_8_XHFO_L_P">Model!$BA$122</definedName>
    <definedName name="v_8_XHFO_L_P_old">Model!$BC$122</definedName>
    <definedName name="v_8_XHFO_old">Model!$AY$122</definedName>
    <definedName name="v_8_XHMETO">Model!$W$122</definedName>
    <definedName name="v_8_XINORG">Model!$AP$122</definedName>
    <definedName name="v_8_XMEOLO">Model!$T$122</definedName>
    <definedName name="v_8_XN_B">Model!$AC$122</definedName>
    <definedName name="v_8_XN_Be">Model!$AD$122</definedName>
    <definedName name="v_8_XN_U">Model!$AE$122</definedName>
    <definedName name="v_8_XNITO">Model!$U$122</definedName>
    <definedName name="v_8_XOHO">Model!$R$122</definedName>
    <definedName name="v_8_XP_B">Model!$AI$122</definedName>
    <definedName name="v_8_XP_Be">Model!$AJ$122</definedName>
    <definedName name="v_8_XP_U">Model!$AK$122</definedName>
    <definedName name="v_8_XPFOA">Model!$BQ$122</definedName>
    <definedName name="v_8_XPFOS">Model!$BS$122</definedName>
    <definedName name="v_8_XPHA_GAO">Model!$O$122</definedName>
    <definedName name="v_8_XPHA_PAO">Model!$N$122</definedName>
    <definedName name="v_8_XPP">Model!$AG$122</definedName>
    <definedName name="v_8_XSTR">Model!$BN$122</definedName>
    <definedName name="v_8_XU">Model!$M$122</definedName>
    <definedName name="v_8_XVivi">Model!$BO$122</definedName>
    <definedName name="v_80_CB">Model!$H$195</definedName>
    <definedName name="v_80_CU">Model!$L$195</definedName>
    <definedName name="v_80_GCH4">Model!$BX$195</definedName>
    <definedName name="v_80_GCH4_atm">Model!$CD$195</definedName>
    <definedName name="v_80_GCO2">Model!$BW$195</definedName>
    <definedName name="v_80_GCO2_atm">Model!$CC$195</definedName>
    <definedName name="v_80_GH2">Model!$BY$195</definedName>
    <definedName name="v_80_GH2_atm">Model!$CE$195</definedName>
    <definedName name="v_80_GN2">Model!$CB$195</definedName>
    <definedName name="v_80_GN2_atm">Model!$CH$195</definedName>
    <definedName name="v_80_GNH3">Model!$CA$195</definedName>
    <definedName name="v_80_GNH3_atm">Model!$CG$195</definedName>
    <definedName name="v_80_GO2">Model!$BZ$195</definedName>
    <definedName name="v_80_GO2_atm">Model!$CF$195</definedName>
    <definedName name="v_80_SALPHA">Model!$BU$195</definedName>
    <definedName name="v_80_SAN">Model!$AR$195</definedName>
    <definedName name="v_80_SB">Model!$F$195</definedName>
    <definedName name="v_80_SCa">Model!$AS$195</definedName>
    <definedName name="v_80_SCAT">Model!$AQ$195</definedName>
    <definedName name="v_80_SCH4">Model!$AM$195</definedName>
    <definedName name="v_80_SCO2">Model!$AO$195</definedName>
    <definedName name="v_80_SFe2">Model!$AV$195</definedName>
    <definedName name="v_80_SH">Model!$BT$195</definedName>
    <definedName name="v_80_SH2">Model!$AN$195</definedName>
    <definedName name="v_80_SK">Model!$AU$195</definedName>
    <definedName name="v_80_SMEOL">Model!$G$195</definedName>
    <definedName name="v_80_SMg">Model!$AT$195</definedName>
    <definedName name="v_80_SN_B">Model!$AB$195</definedName>
    <definedName name="v_80_SN2">Model!$AA$195</definedName>
    <definedName name="v_80_SNHx">Model!$Y$195</definedName>
    <definedName name="v_80_SNOx">Model!$Z$195</definedName>
    <definedName name="v_80_SO2">Model!$AL$195</definedName>
    <definedName name="v_80_SORPswitch">Model!$BV$195</definedName>
    <definedName name="v_80_SP_B">Model!$AH$195</definedName>
    <definedName name="v_80_SPFOA">Model!$BP$195</definedName>
    <definedName name="v_80_SPFOS">Model!$BR$195</definedName>
    <definedName name="v_80_SPO4">Model!$AF$195</definedName>
    <definedName name="v_80_SU">Model!$K$195</definedName>
    <definedName name="v_80_SVFA">Model!$E$195</definedName>
    <definedName name="v_80_XACP">Model!$BL$195</definedName>
    <definedName name="v_80_XALGAE">Model!$X$195</definedName>
    <definedName name="v_80_XAMETO">Model!$V$195</definedName>
    <definedName name="v_80_XB">Model!$I$195</definedName>
    <definedName name="v_80_XB_e">Model!$J$195</definedName>
    <definedName name="v_80_XBSH">Model!$BM$195</definedName>
    <definedName name="v_80_XCaCO3">Model!$BK$195</definedName>
    <definedName name="v_80_XCASTO">Model!$S$195</definedName>
    <definedName name="v_80_XE">Model!$P$195</definedName>
    <definedName name="v_80_XE_ana">Model!$Q$195</definedName>
    <definedName name="v_80_XHAO_H">Model!$BD$195</definedName>
    <definedName name="v_80_XHAO_H_P">Model!$BG$195</definedName>
    <definedName name="v_80_XHAO_H_P_old">Model!$BI$195</definedName>
    <definedName name="v_80_XHAO_L">Model!$BE$195</definedName>
    <definedName name="v_80_XHAO_L_P">Model!$BH$195</definedName>
    <definedName name="v_80_XHAO_L_P_old">Model!$BJ$195</definedName>
    <definedName name="v_80_XHAO_old">Model!$BF$195</definedName>
    <definedName name="v_80_XHFO_H">Model!$AW$195</definedName>
    <definedName name="v_80_XHFO_H_P">Model!$AZ$195</definedName>
    <definedName name="v_80_XHFO_H_P_old">Model!$BB$195</definedName>
    <definedName name="v_80_XHFO_L">Model!$AX$195</definedName>
    <definedName name="v_80_XHFO_L_P">Model!$BA$195</definedName>
    <definedName name="v_80_XHFO_L_P_old">Model!$BC$195</definedName>
    <definedName name="v_80_XHFO_old">Model!$AY$195</definedName>
    <definedName name="v_80_XHMETO">Model!$W$195</definedName>
    <definedName name="v_80_XINORG">Model!$AP$195</definedName>
    <definedName name="v_80_XMEOLO">Model!$T$195</definedName>
    <definedName name="v_80_XN_B">Model!$AC$195</definedName>
    <definedName name="v_80_XN_Be">Model!$AD$195</definedName>
    <definedName name="v_80_XN_U">Model!$AE$195</definedName>
    <definedName name="v_80_XNITO">Model!$U$195</definedName>
    <definedName name="v_80_XOHO">Model!$R$195</definedName>
    <definedName name="v_80_XP_B">Model!$AI$195</definedName>
    <definedName name="v_80_XP_Be">Model!$AJ$195</definedName>
    <definedName name="v_80_XP_U">Model!$AK$195</definedName>
    <definedName name="v_80_XPFOA">Model!$BQ$195</definedName>
    <definedName name="v_80_XPFOS">Model!$BS$195</definedName>
    <definedName name="v_80_XPHA_GAO">Model!$O$195</definedName>
    <definedName name="v_80_XPHA_PAO">Model!$N$195</definedName>
    <definedName name="v_80_XPP">Model!$AG$195</definedName>
    <definedName name="v_80_XSTR">Model!$BN$195</definedName>
    <definedName name="v_80_XU">Model!$M$195</definedName>
    <definedName name="v_80_XVivi">Model!$BO$195</definedName>
    <definedName name="v_81_CB">Model!$H$196</definedName>
    <definedName name="v_81_CU">Model!$L$196</definedName>
    <definedName name="v_81_GCH4">Model!$BX$196</definedName>
    <definedName name="v_81_GCH4_atm">Model!$CD$196</definedName>
    <definedName name="v_81_GCO2">Model!$BW$196</definedName>
    <definedName name="v_81_GCO2_atm">Model!$CC$196</definedName>
    <definedName name="v_81_GH2">Model!$BY$196</definedName>
    <definedName name="v_81_GH2_atm">Model!$CE$196</definedName>
    <definedName name="v_81_GN2">Model!$CB$196</definedName>
    <definedName name="v_81_GN2_atm">Model!$CH$196</definedName>
    <definedName name="v_81_GNH3">Model!$CA$196</definedName>
    <definedName name="v_81_GNH3_atm">Model!$CG$196</definedName>
    <definedName name="v_81_GO2">Model!$BZ$196</definedName>
    <definedName name="v_81_GO2_atm">Model!$CF$196</definedName>
    <definedName name="v_81_SALPHA">Model!$BU$196</definedName>
    <definedName name="v_81_SAN">Model!$AR$196</definedName>
    <definedName name="v_81_SB">Model!$F$196</definedName>
    <definedName name="v_81_SCa">Model!$AS$196</definedName>
    <definedName name="v_81_SCAT">Model!$AQ$196</definedName>
    <definedName name="v_81_SCH4">Model!$AM$196</definedName>
    <definedName name="v_81_SCO2">Model!$AO$196</definedName>
    <definedName name="v_81_SFe2">Model!$AV$196</definedName>
    <definedName name="v_81_SH">Model!$BT$196</definedName>
    <definedName name="v_81_SH2">Model!$AN$196</definedName>
    <definedName name="v_81_SK">Model!$AU$196</definedName>
    <definedName name="v_81_SMEOL">Model!$G$196</definedName>
    <definedName name="v_81_SMg">Model!$AT$196</definedName>
    <definedName name="v_81_SN_B">Model!$AB$196</definedName>
    <definedName name="v_81_SN2">Model!$AA$196</definedName>
    <definedName name="v_81_SNHx">Model!$Y$196</definedName>
    <definedName name="v_81_SNOx">Model!$Z$196</definedName>
    <definedName name="v_81_SO2">Model!$AL$196</definedName>
    <definedName name="v_81_SORPswitch">Model!$BV$196</definedName>
    <definedName name="v_81_SP_B">Model!$AH$196</definedName>
    <definedName name="v_81_SPFOA">Model!$BP$196</definedName>
    <definedName name="v_81_SPFOS">Model!$BR$196</definedName>
    <definedName name="v_81_SPO4">Model!$AF$196</definedName>
    <definedName name="v_81_SU">Model!$K$196</definedName>
    <definedName name="v_81_SVFA">Model!$E$196</definedName>
    <definedName name="v_81_XACP">Model!$BL$196</definedName>
    <definedName name="v_81_XALGAE">Model!$X$196</definedName>
    <definedName name="v_81_XAMETO">Model!$V$196</definedName>
    <definedName name="v_81_XB">Model!$I$196</definedName>
    <definedName name="v_81_XB_e">Model!$J$196</definedName>
    <definedName name="v_81_XBSH">Model!$BM$196</definedName>
    <definedName name="v_81_XCaCO3">Model!$BK$196</definedName>
    <definedName name="v_81_XCASTO">Model!$S$196</definedName>
    <definedName name="v_81_XE">Model!$P$196</definedName>
    <definedName name="v_81_XE_ana">Model!$Q$196</definedName>
    <definedName name="v_81_XHAO_H">Model!$BD$196</definedName>
    <definedName name="v_81_XHAO_H_P">Model!$BG$196</definedName>
    <definedName name="v_81_XHAO_H_P_old">Model!$BI$196</definedName>
    <definedName name="v_81_XHAO_L">Model!$BE$196</definedName>
    <definedName name="v_81_XHAO_L_P">Model!$BH$196</definedName>
    <definedName name="v_81_XHAO_L_P_old">Model!$BJ$196</definedName>
    <definedName name="v_81_XHAO_old">Model!$BF$196</definedName>
    <definedName name="v_81_XHFO_H">Model!$AW$196</definedName>
    <definedName name="v_81_XHFO_H_P">Model!$AZ$196</definedName>
    <definedName name="v_81_XHFO_H_P_old">Model!$BB$196</definedName>
    <definedName name="v_81_XHFO_L">Model!$AX$196</definedName>
    <definedName name="v_81_XHFO_L_P">Model!$BA$196</definedName>
    <definedName name="v_81_XHFO_L_P_old">Model!$BC$196</definedName>
    <definedName name="v_81_XHFO_old">Model!$AY$196</definedName>
    <definedName name="v_81_XHMETO">Model!$W$196</definedName>
    <definedName name="v_81_XINORG">Model!$AP$196</definedName>
    <definedName name="v_81_XMEOLO">Model!$T$196</definedName>
    <definedName name="v_81_XN_B">Model!$AC$196</definedName>
    <definedName name="v_81_XN_Be">Model!$AD$196</definedName>
    <definedName name="v_81_XN_U">Model!$AE$196</definedName>
    <definedName name="v_81_XNITO">Model!$U$196</definedName>
    <definedName name="v_81_XOHO">Model!$R$196</definedName>
    <definedName name="v_81_XP_B">Model!$AI$196</definedName>
    <definedName name="v_81_XP_Be">Model!$AJ$196</definedName>
    <definedName name="v_81_XP_U">Model!$AK$196</definedName>
    <definedName name="v_81_XPFOA">Model!$BQ$196</definedName>
    <definedName name="v_81_XPFOS">Model!$BS$196</definedName>
    <definedName name="v_81_XPHA_GAO">Model!$O$196</definedName>
    <definedName name="v_81_XPHA_PAO">Model!$N$196</definedName>
    <definedName name="v_81_XPP">Model!$AG$196</definedName>
    <definedName name="v_81_XSTR">Model!$BN$196</definedName>
    <definedName name="v_81_XU">Model!$M$196</definedName>
    <definedName name="v_81_XVivi">Model!$BO$196</definedName>
    <definedName name="v_82_CB">Model!$H$197</definedName>
    <definedName name="v_82_CU">Model!$L$197</definedName>
    <definedName name="v_82_GCH4">Model!$BX$197</definedName>
    <definedName name="v_82_GCH4_atm">Model!$CD$197</definedName>
    <definedName name="v_82_GCO2">Model!$BW$197</definedName>
    <definedName name="v_82_GCO2_atm">Model!$CC$197</definedName>
    <definedName name="v_82_GH2">Model!$BY$197</definedName>
    <definedName name="v_82_GH2_atm">Model!$CE$197</definedName>
    <definedName name="v_82_GN2">Model!$CB$197</definedName>
    <definedName name="v_82_GN2_atm">Model!$CH$197</definedName>
    <definedName name="v_82_GNH3">Model!$CA$197</definedName>
    <definedName name="v_82_GNH3_atm">Model!$CG$197</definedName>
    <definedName name="v_82_GO2">Model!$BZ$197</definedName>
    <definedName name="v_82_GO2_atm">Model!$CF$197</definedName>
    <definedName name="v_82_SALPHA">Model!$BU$197</definedName>
    <definedName name="v_82_SAN">Model!$AR$197</definedName>
    <definedName name="v_82_SB">Model!$F$197</definedName>
    <definedName name="v_82_SCa">Model!$AS$197</definedName>
    <definedName name="v_82_SCAT">Model!$AQ$197</definedName>
    <definedName name="v_82_SCH4">Model!$AM$197</definedName>
    <definedName name="v_82_SCO2">Model!$AO$197</definedName>
    <definedName name="v_82_SFe2">Model!$AV$197</definedName>
    <definedName name="v_82_SH">Model!$BT$197</definedName>
    <definedName name="v_82_SH2">Model!$AN$197</definedName>
    <definedName name="v_82_SK">Model!$AU$197</definedName>
    <definedName name="v_82_SMEOL">Model!$G$197</definedName>
    <definedName name="v_82_SMg">Model!$AT$197</definedName>
    <definedName name="v_82_SN_B">Model!$AB$197</definedName>
    <definedName name="v_82_SN2">Model!$AA$197</definedName>
    <definedName name="v_82_SNHx">Model!$Y$197</definedName>
    <definedName name="v_82_SNOx">Model!$Z$197</definedName>
    <definedName name="v_82_SO2">Model!$AL$197</definedName>
    <definedName name="v_82_SORPswitch">Model!$BV$197</definedName>
    <definedName name="v_82_SP_B">Model!$AH$197</definedName>
    <definedName name="v_82_SPFOA">Model!$BP$197</definedName>
    <definedName name="v_82_SPFOS">Model!$BR$197</definedName>
    <definedName name="v_82_SPO4">Model!$AF$197</definedName>
    <definedName name="v_82_SU">Model!$K$197</definedName>
    <definedName name="v_82_SVFA">Model!$E$197</definedName>
    <definedName name="v_82_XACP">Model!$BL$197</definedName>
    <definedName name="v_82_XALGAE">Model!$X$197</definedName>
    <definedName name="v_82_XAMETO">Model!$V$197</definedName>
    <definedName name="v_82_XB">Model!$I$197</definedName>
    <definedName name="v_82_XB_e">Model!$J$197</definedName>
    <definedName name="v_82_XBSH">Model!$BM$197</definedName>
    <definedName name="v_82_XCaCO3">Model!$BK$197</definedName>
    <definedName name="v_82_XCASTO">Model!$S$197</definedName>
    <definedName name="v_82_XE">Model!$P$197</definedName>
    <definedName name="v_82_XE_ana">Model!$Q$197</definedName>
    <definedName name="v_82_XHAO_H">Model!$BD$197</definedName>
    <definedName name="v_82_XHAO_H_P">Model!$BG$197</definedName>
    <definedName name="v_82_XHAO_H_P_old">Model!$BI$197</definedName>
    <definedName name="v_82_XHAO_L">Model!$BE$197</definedName>
    <definedName name="v_82_XHAO_L_P">Model!$BH$197</definedName>
    <definedName name="v_82_XHAO_L_P_old">Model!$BJ$197</definedName>
    <definedName name="v_82_XHAO_old">Model!$BF$197</definedName>
    <definedName name="v_82_XHFO_H">Model!$AW$197</definedName>
    <definedName name="v_82_XHFO_H_P">Model!$AZ$197</definedName>
    <definedName name="v_82_XHFO_H_P_old">Model!$BB$197</definedName>
    <definedName name="v_82_XHFO_L">Model!$AX$197</definedName>
    <definedName name="v_82_XHFO_L_P">Model!$BA$197</definedName>
    <definedName name="v_82_XHFO_L_P_old">Model!$BC$197</definedName>
    <definedName name="v_82_XHFO_old">Model!$AY$197</definedName>
    <definedName name="v_82_XHMETO">Model!$W$197</definedName>
    <definedName name="v_82_XINORG">Model!$AP$197</definedName>
    <definedName name="v_82_XMEOLO">Model!$T$197</definedName>
    <definedName name="v_82_XN_B">Model!$AC$197</definedName>
    <definedName name="v_82_XN_Be">Model!$AD$197</definedName>
    <definedName name="v_82_XN_U">Model!$AE$197</definedName>
    <definedName name="v_82_XNITO">Model!$U$197</definedName>
    <definedName name="v_82_XOHO">Model!$R$197</definedName>
    <definedName name="v_82_XP_B">Model!$AI$197</definedName>
    <definedName name="v_82_XP_Be">Model!$AJ$197</definedName>
    <definedName name="v_82_XP_U">Model!$AK$197</definedName>
    <definedName name="v_82_XPFOA">Model!$BQ$197</definedName>
    <definedName name="v_82_XPFOS">Model!$BS$197</definedName>
    <definedName name="v_82_XPHA_GAO">Model!$O$197</definedName>
    <definedName name="v_82_XPHA_PAO">Model!$N$197</definedName>
    <definedName name="v_82_XPP">Model!$AG$197</definedName>
    <definedName name="v_82_XSTR">Model!$BN$197</definedName>
    <definedName name="v_82_XU">Model!$M$197</definedName>
    <definedName name="v_82_XVivi">Model!$BO$197</definedName>
    <definedName name="v_83_CB">Model!$H$198</definedName>
    <definedName name="v_83_CU">Model!$L$198</definedName>
    <definedName name="v_83_GCH4">Model!$BX$198</definedName>
    <definedName name="v_83_GCH4_atm">Model!$CD$198</definedName>
    <definedName name="v_83_GCO2">Model!$BW$198</definedName>
    <definedName name="v_83_GCO2_atm">Model!$CC$198</definedName>
    <definedName name="v_83_GH2">Model!$BY$198</definedName>
    <definedName name="v_83_GH2_atm">Model!$CE$198</definedName>
    <definedName name="v_83_GN2">Model!$CB$198</definedName>
    <definedName name="v_83_GN2_atm">Model!$CH$198</definedName>
    <definedName name="v_83_GNH3">Model!$CA$198</definedName>
    <definedName name="v_83_GNH3_atm">Model!$CG$198</definedName>
    <definedName name="v_83_GO2">Model!$BZ$198</definedName>
    <definedName name="v_83_GO2_atm">Model!$CF$198</definedName>
    <definedName name="v_83_SALPHA">Model!$BU$198</definedName>
    <definedName name="v_83_SAN">Model!$AR$198</definedName>
    <definedName name="v_83_SB">Model!$F$198</definedName>
    <definedName name="v_83_SCa">Model!$AS$198</definedName>
    <definedName name="v_83_SCAT">Model!$AQ$198</definedName>
    <definedName name="v_83_SCH4">Model!$AM$198</definedName>
    <definedName name="v_83_SCO2">Model!$AO$198</definedName>
    <definedName name="v_83_SFe2">Model!$AV$198</definedName>
    <definedName name="v_83_SH">Model!$BT$198</definedName>
    <definedName name="v_83_SH2">Model!$AN$198</definedName>
    <definedName name="v_83_SK">Model!$AU$198</definedName>
    <definedName name="v_83_SMEOL">Model!$G$198</definedName>
    <definedName name="v_83_SMg">Model!$AT$198</definedName>
    <definedName name="v_83_SN_B">Model!$AB$198</definedName>
    <definedName name="v_83_SN2">Model!$AA$198</definedName>
    <definedName name="v_83_SNHx">Model!$Y$198</definedName>
    <definedName name="v_83_SNOx">Model!$Z$198</definedName>
    <definedName name="v_83_SO2">Model!$AL$198</definedName>
    <definedName name="v_83_SORPswitch">Model!$BV$198</definedName>
    <definedName name="v_83_SP_B">Model!$AH$198</definedName>
    <definedName name="v_83_SPFOA">Model!$BP$198</definedName>
    <definedName name="v_83_SPFOS">Model!$BR$198</definedName>
    <definedName name="v_83_SPO4">Model!$AF$198</definedName>
    <definedName name="v_83_SU">Model!$K$198</definedName>
    <definedName name="v_83_SVFA">Model!$E$198</definedName>
    <definedName name="v_83_XACP">Model!$BL$198</definedName>
    <definedName name="v_83_XALGAE">Model!$X$198</definedName>
    <definedName name="v_83_XAMETO">Model!$V$198</definedName>
    <definedName name="v_83_XB">Model!$I$198</definedName>
    <definedName name="v_83_XB_e">Model!$J$198</definedName>
    <definedName name="v_83_XBSH">Model!$BM$198</definedName>
    <definedName name="v_83_XCaCO3">Model!$BK$198</definedName>
    <definedName name="v_83_XCASTO">Model!$S$198</definedName>
    <definedName name="v_83_XE">Model!$P$198</definedName>
    <definedName name="v_83_XE_ana">Model!$Q$198</definedName>
    <definedName name="v_83_XHAO_H">Model!$BD$198</definedName>
    <definedName name="v_83_XHAO_H_P">Model!$BG$198</definedName>
    <definedName name="v_83_XHAO_H_P_old">Model!$BI$198</definedName>
    <definedName name="v_83_XHAO_L">Model!$BE$198</definedName>
    <definedName name="v_83_XHAO_L_P">Model!$BH$198</definedName>
    <definedName name="v_83_XHAO_L_P_old">Model!$BJ$198</definedName>
    <definedName name="v_83_XHAO_old">Model!$BF$198</definedName>
    <definedName name="v_83_XHFO_H">Model!$AW$198</definedName>
    <definedName name="v_83_XHFO_H_P">Model!$AZ$198</definedName>
    <definedName name="v_83_XHFO_H_P_old">Model!$BB$198</definedName>
    <definedName name="v_83_XHFO_L">Model!$AX$198</definedName>
    <definedName name="v_83_XHFO_L_P">Model!$BA$198</definedName>
    <definedName name="v_83_XHFO_L_P_old">Model!$BC$198</definedName>
    <definedName name="v_83_XHFO_old">Model!$AY$198</definedName>
    <definedName name="v_83_XHMETO">Model!$W$198</definedName>
    <definedName name="v_83_XINORG">Model!$AP$198</definedName>
    <definedName name="v_83_XMEOLO">Model!$T$198</definedName>
    <definedName name="v_83_XN_B">Model!$AC$198</definedName>
    <definedName name="v_83_XN_Be">Model!$AD$198</definedName>
    <definedName name="v_83_XN_U">Model!$AE$198</definedName>
    <definedName name="v_83_XNITO">Model!$U$198</definedName>
    <definedName name="v_83_XOHO">Model!$R$198</definedName>
    <definedName name="v_83_XP_B">Model!$AI$198</definedName>
    <definedName name="v_83_XP_Be">Model!$AJ$198</definedName>
    <definedName name="v_83_XP_U">Model!$AK$198</definedName>
    <definedName name="v_83_XPFOA">Model!$BQ$198</definedName>
    <definedName name="v_83_XPFOS">Model!$BS$198</definedName>
    <definedName name="v_83_XPHA_GAO">Model!$O$198</definedName>
    <definedName name="v_83_XPHA_PAO">Model!$N$198</definedName>
    <definedName name="v_83_XPP">Model!$AG$198</definedName>
    <definedName name="v_83_XSTR">Model!$BN$198</definedName>
    <definedName name="v_83_XU">Model!$M$198</definedName>
    <definedName name="v_83_XVivi">Model!$BO$198</definedName>
    <definedName name="v_84_CB">Model!$H$199</definedName>
    <definedName name="v_84_CU">Model!$L$199</definedName>
    <definedName name="v_84_GCH4">Model!$BX$199</definedName>
    <definedName name="v_84_GCH4_atm">Model!$CD$199</definedName>
    <definedName name="v_84_GCO2">Model!$BW$199</definedName>
    <definedName name="v_84_GCO2_atm">Model!$CC$199</definedName>
    <definedName name="v_84_GH2">Model!$BY$199</definedName>
    <definedName name="v_84_GH2_atm">Model!$CE$199</definedName>
    <definedName name="v_84_GN2">Model!$CB$199</definedName>
    <definedName name="v_84_GN2_atm">Model!$CH$199</definedName>
    <definedName name="v_84_GNH3">Model!$CA$199</definedName>
    <definedName name="v_84_GNH3_atm">Model!$CG$199</definedName>
    <definedName name="v_84_GO2">Model!$BZ$199</definedName>
    <definedName name="v_84_GO2_atm">Model!$CF$199</definedName>
    <definedName name="v_84_SALPHA">Model!$BU$199</definedName>
    <definedName name="v_84_SAN">Model!$AR$199</definedName>
    <definedName name="v_84_SB">Model!$F$199</definedName>
    <definedName name="v_84_SCa">Model!$AS$199</definedName>
    <definedName name="v_84_SCAT">Model!$AQ$199</definedName>
    <definedName name="v_84_SCH4">Model!$AM$199</definedName>
    <definedName name="v_84_SCO2">Model!$AO$199</definedName>
    <definedName name="v_84_SFe2">Model!$AV$199</definedName>
    <definedName name="v_84_SH">Model!$BT$199</definedName>
    <definedName name="v_84_SH2">Model!$AN$199</definedName>
    <definedName name="v_84_SK">Model!$AU$199</definedName>
    <definedName name="v_84_SMEOL">Model!$G$199</definedName>
    <definedName name="v_84_SMg">Model!$AT$199</definedName>
    <definedName name="v_84_SN_B">Model!$AB$199</definedName>
    <definedName name="v_84_SN2">Model!$AA$199</definedName>
    <definedName name="v_84_SNHx">Model!$Y$199</definedName>
    <definedName name="v_84_SNOx">Model!$Z$199</definedName>
    <definedName name="v_84_SO2">Model!$AL$199</definedName>
    <definedName name="v_84_SORPswitch">Model!$BV$199</definedName>
    <definedName name="v_84_SP_B">Model!$AH$199</definedName>
    <definedName name="v_84_SPFOA">Model!$BP$199</definedName>
    <definedName name="v_84_SPFOS">Model!$BR$199</definedName>
    <definedName name="v_84_SPO4">Model!$AF$199</definedName>
    <definedName name="v_84_SU">Model!$K$199</definedName>
    <definedName name="v_84_SVFA">Model!$E$199</definedName>
    <definedName name="v_84_XACP">Model!$BL$199</definedName>
    <definedName name="v_84_XALGAE">Model!$X$199</definedName>
    <definedName name="v_84_XAMETO">Model!$V$199</definedName>
    <definedName name="v_84_XB">Model!$I$199</definedName>
    <definedName name="v_84_XB_e">Model!$J$199</definedName>
    <definedName name="v_84_XBSH">Model!$BM$199</definedName>
    <definedName name="v_84_XCaCO3">Model!$BK$199</definedName>
    <definedName name="v_84_XCASTO">Model!$S$199</definedName>
    <definedName name="v_84_XE">Model!$P$199</definedName>
    <definedName name="v_84_XE_ana">Model!$Q$199</definedName>
    <definedName name="v_84_XHAO_H">Model!$BD$199</definedName>
    <definedName name="v_84_XHAO_H_P">Model!$BG$199</definedName>
    <definedName name="v_84_XHAO_H_P_old">Model!$BI$199</definedName>
    <definedName name="v_84_XHAO_L">Model!$BE$199</definedName>
    <definedName name="v_84_XHAO_L_P">Model!$BH$199</definedName>
    <definedName name="v_84_XHAO_L_P_old">Model!$BJ$199</definedName>
    <definedName name="v_84_XHAO_old">Model!$BF$199</definedName>
    <definedName name="v_84_XHFO_H">Model!$AW$199</definedName>
    <definedName name="v_84_XHFO_H_P">Model!$AZ$199</definedName>
    <definedName name="v_84_XHFO_H_P_old">Model!$BB$199</definedName>
    <definedName name="v_84_XHFO_L">Model!$AX$199</definedName>
    <definedName name="v_84_XHFO_L_P">Model!$BA$199</definedName>
    <definedName name="v_84_XHFO_L_P_old">Model!$BC$199</definedName>
    <definedName name="v_84_XHFO_old">Model!$AY$199</definedName>
    <definedName name="v_84_XHMETO">Model!$W$199</definedName>
    <definedName name="v_84_XINORG">Model!$AP$199</definedName>
    <definedName name="v_84_XMEOLO">Model!$T$199</definedName>
    <definedName name="v_84_XN_B">Model!$AC$199</definedName>
    <definedName name="v_84_XN_Be">Model!$AD$199</definedName>
    <definedName name="v_84_XN_U">Model!$AE$199</definedName>
    <definedName name="v_84_XNITO">Model!$U$199</definedName>
    <definedName name="v_84_XOHO">Model!$R$199</definedName>
    <definedName name="v_84_XP_B">Model!$AI$199</definedName>
    <definedName name="v_84_XP_Be">Model!$AJ$199</definedName>
    <definedName name="v_84_XP_U">Model!$AK$199</definedName>
    <definedName name="v_84_XPFOA">Model!$BQ$199</definedName>
    <definedName name="v_84_XPFOS">Model!$BS$199</definedName>
    <definedName name="v_84_XPHA_GAO">Model!$O$199</definedName>
    <definedName name="v_84_XPHA_PAO">Model!$N$199</definedName>
    <definedName name="v_84_XPP">Model!$AG$199</definedName>
    <definedName name="v_84_XSTR">Model!$BN$199</definedName>
    <definedName name="v_84_XU">Model!$M$199</definedName>
    <definedName name="v_84_XVivi">Model!$BO$199</definedName>
    <definedName name="v_85_CB">Model!$H$200</definedName>
    <definedName name="v_85_CU">Model!$L$200</definedName>
    <definedName name="v_85_GCH4">Model!$BX$200</definedName>
    <definedName name="v_85_GCH4_atm">Model!$CD$200</definedName>
    <definedName name="v_85_GCO2">Model!$BW$200</definedName>
    <definedName name="v_85_GCO2_atm">Model!$CC$200</definedName>
    <definedName name="v_85_GH2">Model!$BY$200</definedName>
    <definedName name="v_85_GH2_atm">Model!$CE$200</definedName>
    <definedName name="v_85_GN2">Model!$CB$200</definedName>
    <definedName name="v_85_GN2_atm">Model!$CH$200</definedName>
    <definedName name="v_85_GNH3">Model!$CA$200</definedName>
    <definedName name="v_85_GNH3_atm">Model!$CG$200</definedName>
    <definedName name="v_85_GO2">Model!$BZ$200</definedName>
    <definedName name="v_85_GO2_atm">Model!$CF$200</definedName>
    <definedName name="v_85_SALPHA">Model!$BU$200</definedName>
    <definedName name="v_85_SAN">Model!$AR$200</definedName>
    <definedName name="v_85_SB">Model!$F$200</definedName>
    <definedName name="v_85_SCa">Model!$AS$200</definedName>
    <definedName name="v_85_SCAT">Model!$AQ$200</definedName>
    <definedName name="v_85_SCH4">Model!$AM$200</definedName>
    <definedName name="v_85_SCO2">Model!$AO$200</definedName>
    <definedName name="v_85_SFe2">Model!$AV$200</definedName>
    <definedName name="v_85_SH">Model!$BT$200</definedName>
    <definedName name="v_85_SH2">Model!$AN$200</definedName>
    <definedName name="v_85_SK">Model!$AU$200</definedName>
    <definedName name="v_85_SMEOL">Model!$G$200</definedName>
    <definedName name="v_85_SMg">Model!$AT$200</definedName>
    <definedName name="v_85_SN_B">Model!$AB$200</definedName>
    <definedName name="v_85_SN2">Model!$AA$200</definedName>
    <definedName name="v_85_SNHx">Model!$Y$200</definedName>
    <definedName name="v_85_SNOx">Model!$Z$200</definedName>
    <definedName name="v_85_SO2">Model!$AL$200</definedName>
    <definedName name="v_85_SORPswitch">Model!$BV$200</definedName>
    <definedName name="v_85_SP_B">Model!$AH$200</definedName>
    <definedName name="v_85_SPFOA">Model!$BP$200</definedName>
    <definedName name="v_85_SPFOS">Model!$BR$200</definedName>
    <definedName name="v_85_SPO4">Model!$AF$200</definedName>
    <definedName name="v_85_SU">Model!$K$200</definedName>
    <definedName name="v_85_SVFA">Model!$E$200</definedName>
    <definedName name="v_85_XACP">Model!$BL$200</definedName>
    <definedName name="v_85_XALGAE">Model!$X$200</definedName>
    <definedName name="v_85_XAMETO">Model!$V$200</definedName>
    <definedName name="v_85_XB">Model!$I$200</definedName>
    <definedName name="v_85_XB_e">Model!$J$200</definedName>
    <definedName name="v_85_XBSH">Model!$BM$200</definedName>
    <definedName name="v_85_XCaCO3">Model!$BK$200</definedName>
    <definedName name="v_85_XCASTO">Model!$S$200</definedName>
    <definedName name="v_85_XE">Model!$P$200</definedName>
    <definedName name="v_85_XE_ana">Model!$Q$200</definedName>
    <definedName name="v_85_XHAO_H">Model!$BD$200</definedName>
    <definedName name="v_85_XHAO_H_P">Model!$BG$200</definedName>
    <definedName name="v_85_XHAO_H_P_old">Model!$BI$200</definedName>
    <definedName name="v_85_XHAO_L">Model!$BE$200</definedName>
    <definedName name="v_85_XHAO_L_P">Model!$BH$200</definedName>
    <definedName name="v_85_XHAO_L_P_old">Model!$BJ$200</definedName>
    <definedName name="v_85_XHAO_old">Model!$BF$200</definedName>
    <definedName name="v_85_XHFO_H">Model!$AW$200</definedName>
    <definedName name="v_85_XHFO_H_P">Model!$AZ$200</definedName>
    <definedName name="v_85_XHFO_H_P_old">Model!$BB$200</definedName>
    <definedName name="v_85_XHFO_L">Model!$AX$200</definedName>
    <definedName name="v_85_XHFO_L_P">Model!$BA$200</definedName>
    <definedName name="v_85_XHFO_L_P_old">Model!$BC$200</definedName>
    <definedName name="v_85_XHFO_old">Model!$AY$200</definedName>
    <definedName name="v_85_XHMETO">Model!$W$200</definedName>
    <definedName name="v_85_XINORG">Model!$AP$200</definedName>
    <definedName name="v_85_XMEOLO">Model!$T$200</definedName>
    <definedName name="v_85_XN_B">Model!$AC$200</definedName>
    <definedName name="v_85_XN_Be">Model!$AD$200</definedName>
    <definedName name="v_85_XN_U">Model!$AE$200</definedName>
    <definedName name="v_85_XNITO">Model!$U$200</definedName>
    <definedName name="v_85_XOHO">Model!$R$200</definedName>
    <definedName name="v_85_XP_B">Model!$AI$200</definedName>
    <definedName name="v_85_XP_Be">Model!$AJ$200</definedName>
    <definedName name="v_85_XP_U">Model!$AK$200</definedName>
    <definedName name="v_85_XPFOA">Model!$BQ$200</definedName>
    <definedName name="v_85_XPFOS">Model!$BS$200</definedName>
    <definedName name="v_85_XPHA_GAO">Model!$O$200</definedName>
    <definedName name="v_85_XPHA_PAO">Model!$N$200</definedName>
    <definedName name="v_85_XPP">Model!$AG$200</definedName>
    <definedName name="v_85_XSTR">Model!$BN$200</definedName>
    <definedName name="v_85_XU">Model!$M$200</definedName>
    <definedName name="v_85_XVivi">Model!$BO$200</definedName>
    <definedName name="v_86_CB">Model!$H$201</definedName>
    <definedName name="v_86_CU">Model!$L$201</definedName>
    <definedName name="v_86_GCH4">Model!$BX$201</definedName>
    <definedName name="v_86_GCH4_atm">Model!$CD$201</definedName>
    <definedName name="v_86_GCO2">Model!$BW$201</definedName>
    <definedName name="v_86_GCO2_atm">Model!$CC$201</definedName>
    <definedName name="v_86_GH2">Model!$BY$201</definedName>
    <definedName name="v_86_GH2_atm">Model!$CE$201</definedName>
    <definedName name="v_86_GN2">Model!$CB$201</definedName>
    <definedName name="v_86_GN2_atm">Model!$CH$201</definedName>
    <definedName name="v_86_GNH3">Model!$CA$201</definedName>
    <definedName name="v_86_GNH3_atm">Model!$CG$201</definedName>
    <definedName name="v_86_GO2">Model!$BZ$201</definedName>
    <definedName name="v_86_GO2_atm">Model!$CF$201</definedName>
    <definedName name="v_86_SALPHA">Model!$BU$201</definedName>
    <definedName name="v_86_SAN">Model!$AR$201</definedName>
    <definedName name="v_86_SB">Model!$F$201</definedName>
    <definedName name="v_86_SCa">Model!$AS$201</definedName>
    <definedName name="v_86_SCAT">Model!$AQ$201</definedName>
    <definedName name="v_86_SCH4">Model!$AM$201</definedName>
    <definedName name="v_86_SCO2">Model!$AO$201</definedName>
    <definedName name="v_86_SFe2">Model!$AV$201</definedName>
    <definedName name="v_86_SH">Model!$BT$201</definedName>
    <definedName name="v_86_SH2">Model!$AN$201</definedName>
    <definedName name="v_86_SK">Model!$AU$201</definedName>
    <definedName name="v_86_SMEOL">Model!$G$201</definedName>
    <definedName name="v_86_SMg">Model!$AT$201</definedName>
    <definedName name="v_86_SN_B">Model!$AB$201</definedName>
    <definedName name="v_86_SN2">Model!$AA$201</definedName>
    <definedName name="v_86_SNHx">Model!$Y$201</definedName>
    <definedName name="v_86_SNOx">Model!$Z$201</definedName>
    <definedName name="v_86_SO2">Model!$AL$201</definedName>
    <definedName name="v_86_SORPswitch">Model!$BV$201</definedName>
    <definedName name="v_86_SP_B">Model!$AH$201</definedName>
    <definedName name="v_86_SPFOA">Model!$BP$201</definedName>
    <definedName name="v_86_SPFOS">Model!$BR$201</definedName>
    <definedName name="v_86_SPO4">Model!$AF$201</definedName>
    <definedName name="v_86_SU">Model!$K$201</definedName>
    <definedName name="v_86_SVFA">Model!$E$201</definedName>
    <definedName name="v_86_XACP">Model!$BL$201</definedName>
    <definedName name="v_86_XALGAE">Model!$X$201</definedName>
    <definedName name="v_86_XAMETO">Model!$V$201</definedName>
    <definedName name="v_86_XB">Model!$I$201</definedName>
    <definedName name="v_86_XB_e">Model!$J$201</definedName>
    <definedName name="v_86_XBSH">Model!$BM$201</definedName>
    <definedName name="v_86_XCaCO3">Model!$BK$201</definedName>
    <definedName name="v_86_XCASTO">Model!$S$201</definedName>
    <definedName name="v_86_XE">Model!$P$201</definedName>
    <definedName name="v_86_XE_ana">Model!$Q$201</definedName>
    <definedName name="v_86_XHAO_H">Model!$BD$201</definedName>
    <definedName name="v_86_XHAO_H_P">Model!$BG$201</definedName>
    <definedName name="v_86_XHAO_H_P_old">Model!$BI$201</definedName>
    <definedName name="v_86_XHAO_L">Model!$BE$201</definedName>
    <definedName name="v_86_XHAO_L_P">Model!$BH$201</definedName>
    <definedName name="v_86_XHAO_L_P_old">Model!$BJ$201</definedName>
    <definedName name="v_86_XHAO_old">Model!$BF$201</definedName>
    <definedName name="v_86_XHFO_H">Model!$AW$201</definedName>
    <definedName name="v_86_XHFO_H_P">Model!$AZ$201</definedName>
    <definedName name="v_86_XHFO_H_P_old">Model!$BB$201</definedName>
    <definedName name="v_86_XHFO_L">Model!$AX$201</definedName>
    <definedName name="v_86_XHFO_L_P">Model!$BA$201</definedName>
    <definedName name="v_86_XHFO_L_P_old">Model!$BC$201</definedName>
    <definedName name="v_86_XHFO_old">Model!$AY$201</definedName>
    <definedName name="v_86_XHMETO">Model!$W$201</definedName>
    <definedName name="v_86_XINORG">Model!$AP$201</definedName>
    <definedName name="v_86_XMEOLO">Model!$T$201</definedName>
    <definedName name="v_86_XN_B">Model!$AC$201</definedName>
    <definedName name="v_86_XN_Be">Model!$AD$201</definedName>
    <definedName name="v_86_XN_U">Model!$AE$201</definedName>
    <definedName name="v_86_XNITO">Model!$U$201</definedName>
    <definedName name="v_86_XOHO">Model!$R$201</definedName>
    <definedName name="v_86_XP_B">Model!$AI$201</definedName>
    <definedName name="v_86_XP_Be">Model!$AJ$201</definedName>
    <definedName name="v_86_XP_U">Model!$AK$201</definedName>
    <definedName name="v_86_XPFOA">Model!$BQ$201</definedName>
    <definedName name="v_86_XPFOS">Model!$BS$201</definedName>
    <definedName name="v_86_XPHA_GAO">Model!$O$201</definedName>
    <definedName name="v_86_XPHA_PAO">Model!$N$201</definedName>
    <definedName name="v_86_XPP">Model!$AG$201</definedName>
    <definedName name="v_86_XSTR">Model!$BN$201</definedName>
    <definedName name="v_86_XU">Model!$M$201</definedName>
    <definedName name="v_86_XVivi">Model!$BO$201</definedName>
    <definedName name="v_87_CB">Model!$H$202</definedName>
    <definedName name="v_87_CU">Model!$L$202</definedName>
    <definedName name="v_87_GCH4">Model!$BX$202</definedName>
    <definedName name="v_87_GCH4_atm">Model!$CD$202</definedName>
    <definedName name="v_87_GCO2">Model!$BW$202</definedName>
    <definedName name="v_87_GCO2_atm">Model!$CC$202</definedName>
    <definedName name="v_87_GH2">Model!$BY$202</definedName>
    <definedName name="v_87_GH2_atm">Model!$CE$202</definedName>
    <definedName name="v_87_GN2">Model!$CB$202</definedName>
    <definedName name="v_87_GN2_atm">Model!$CH$202</definedName>
    <definedName name="v_87_GNH3">Model!$CA$202</definedName>
    <definedName name="v_87_GNH3_atm">Model!$CG$202</definedName>
    <definedName name="v_87_GO2">Model!$BZ$202</definedName>
    <definedName name="v_87_GO2_atm">Model!$CF$202</definedName>
    <definedName name="v_87_SALPHA">Model!$BU$202</definedName>
    <definedName name="v_87_SAN">Model!$AR$202</definedName>
    <definedName name="v_87_SB">Model!$F$202</definedName>
    <definedName name="v_87_SCa">Model!$AS$202</definedName>
    <definedName name="v_87_SCAT">Model!$AQ$202</definedName>
    <definedName name="v_87_SCH4">Model!$AM$202</definedName>
    <definedName name="v_87_SCO2">Model!$AO$202</definedName>
    <definedName name="v_87_SFe2">Model!$AV$202</definedName>
    <definedName name="v_87_SH">Model!$BT$202</definedName>
    <definedName name="v_87_SH2">Model!$AN$202</definedName>
    <definedName name="v_87_SK">Model!$AU$202</definedName>
    <definedName name="v_87_SMEOL">Model!$G$202</definedName>
    <definedName name="v_87_SMg">Model!$AT$202</definedName>
    <definedName name="v_87_SN_B">Model!$AB$202</definedName>
    <definedName name="v_87_SN2">Model!$AA$202</definedName>
    <definedName name="v_87_SNHx">Model!$Y$202</definedName>
    <definedName name="v_87_SNOx">Model!$Z$202</definedName>
    <definedName name="v_87_SO2">Model!$AL$202</definedName>
    <definedName name="v_87_SORPswitch">Model!$BV$202</definedName>
    <definedName name="v_87_SP_B">Model!$AH$202</definedName>
    <definedName name="v_87_SPFOA">Model!$BP$202</definedName>
    <definedName name="v_87_SPFOS">Model!$BR$202</definedName>
    <definedName name="v_87_SPO4">Model!$AF$202</definedName>
    <definedName name="v_87_SU">Model!$K$202</definedName>
    <definedName name="v_87_SVFA">Model!$E$202</definedName>
    <definedName name="v_87_XACP">Model!$BL$202</definedName>
    <definedName name="v_87_XALGAE">Model!$X$202</definedName>
    <definedName name="v_87_XAMETO">Model!$V$202</definedName>
    <definedName name="v_87_XB">Model!$I$202</definedName>
    <definedName name="v_87_XB_e">Model!$J$202</definedName>
    <definedName name="v_87_XBSH">Model!$BM$202</definedName>
    <definedName name="v_87_XCaCO3">Model!$BK$202</definedName>
    <definedName name="v_87_XCASTO">Model!$S$202</definedName>
    <definedName name="v_87_XE">Model!$P$202</definedName>
    <definedName name="v_87_XE_ana">Model!$Q$202</definedName>
    <definedName name="v_87_XHAO_H">Model!$BD$202</definedName>
    <definedName name="v_87_XHAO_H_P">Model!$BG$202</definedName>
    <definedName name="v_87_XHAO_H_P_old">Model!$BI$202</definedName>
    <definedName name="v_87_XHAO_L">Model!$BE$202</definedName>
    <definedName name="v_87_XHAO_L_P">Model!$BH$202</definedName>
    <definedName name="v_87_XHAO_L_P_old">Model!$BJ$202</definedName>
    <definedName name="v_87_XHAO_old">Model!$BF$202</definedName>
    <definedName name="v_87_XHFO_H">Model!$AW$202</definedName>
    <definedName name="v_87_XHFO_H_P">Model!$AZ$202</definedName>
    <definedName name="v_87_XHFO_H_P_old">Model!$BB$202</definedName>
    <definedName name="v_87_XHFO_L">Model!$AX$202</definedName>
    <definedName name="v_87_XHFO_L_P">Model!$BA$202</definedName>
    <definedName name="v_87_XHFO_L_P_old">Model!$BC$202</definedName>
    <definedName name="v_87_XHFO_old">Model!$AY$202</definedName>
    <definedName name="v_87_XHMETO">Model!$W$202</definedName>
    <definedName name="v_87_XINORG">Model!$AP$202</definedName>
    <definedName name="v_87_XMEOLO">Model!$T$202</definedName>
    <definedName name="v_87_XN_B">Model!$AC$202</definedName>
    <definedName name="v_87_XN_Be">Model!$AD$202</definedName>
    <definedName name="v_87_XN_U">Model!$AE$202</definedName>
    <definedName name="v_87_XNITO">Model!$U$202</definedName>
    <definedName name="v_87_XOHO">Model!$R$202</definedName>
    <definedName name="v_87_XP_B">Model!$AI$202</definedName>
    <definedName name="v_87_XP_Be">Model!$AJ$202</definedName>
    <definedName name="v_87_XP_U">Model!$AK$202</definedName>
    <definedName name="v_87_XPFOA">Model!$BQ$202</definedName>
    <definedName name="v_87_XPFOS">Model!$BS$202</definedName>
    <definedName name="v_87_XPHA_GAO">Model!$O$202</definedName>
    <definedName name="v_87_XPHA_PAO">Model!$N$202</definedName>
    <definedName name="v_87_XPP">Model!$AG$202</definedName>
    <definedName name="v_87_XSTR">Model!$BN$202</definedName>
    <definedName name="v_87_XU">Model!$M$202</definedName>
    <definedName name="v_87_XVivi">Model!$BO$202</definedName>
    <definedName name="v_88_CB">Model!$H$203</definedName>
    <definedName name="v_88_CU">Model!$L$203</definedName>
    <definedName name="v_88_GCH4">Model!$BX$203</definedName>
    <definedName name="v_88_GCH4_atm">Model!$CD$203</definedName>
    <definedName name="v_88_GCO2">Model!$BW$203</definedName>
    <definedName name="v_88_GCO2_atm">Model!$CC$203</definedName>
    <definedName name="v_88_GH2">Model!$BY$203</definedName>
    <definedName name="v_88_GH2_atm">Model!$CE$203</definedName>
    <definedName name="v_88_GN2">Model!$CB$203</definedName>
    <definedName name="v_88_GN2_atm">Model!$CH$203</definedName>
    <definedName name="v_88_GNH3">Model!$CA$203</definedName>
    <definedName name="v_88_GNH3_atm">Model!$CG$203</definedName>
    <definedName name="v_88_GO2">Model!$BZ$203</definedName>
    <definedName name="v_88_GO2_atm">Model!$CF$203</definedName>
    <definedName name="v_88_SALPHA">Model!$BU$203</definedName>
    <definedName name="v_88_SAN">Model!$AR$203</definedName>
    <definedName name="v_88_SB">Model!$F$203</definedName>
    <definedName name="v_88_SCa">Model!$AS$203</definedName>
    <definedName name="v_88_SCAT">Model!$AQ$203</definedName>
    <definedName name="v_88_SCH4">Model!$AM$203</definedName>
    <definedName name="v_88_SCO2">Model!$AO$203</definedName>
    <definedName name="v_88_SFe2">Model!$AV$203</definedName>
    <definedName name="v_88_SH">Model!$BT$203</definedName>
    <definedName name="v_88_SH2">Model!$AN$203</definedName>
    <definedName name="v_88_SK">Model!$AU$203</definedName>
    <definedName name="v_88_SMEOL">Model!$G$203</definedName>
    <definedName name="v_88_SMg">Model!$AT$203</definedName>
    <definedName name="v_88_SN_B">Model!$AB$203</definedName>
    <definedName name="v_88_SN2">Model!$AA$203</definedName>
    <definedName name="v_88_SNHx">Model!$Y$203</definedName>
    <definedName name="v_88_SNOx">Model!$Z$203</definedName>
    <definedName name="v_88_SO2">Model!$AL$203</definedName>
    <definedName name="v_88_SORPswitch">Model!$BV$203</definedName>
    <definedName name="v_88_SP_B">Model!$AH$203</definedName>
    <definedName name="v_88_SPFOA">Model!$BP$203</definedName>
    <definedName name="v_88_SPFOS">Model!$BR$203</definedName>
    <definedName name="v_88_SPO4">Model!$AF$203</definedName>
    <definedName name="v_88_SU">Model!$K$203</definedName>
    <definedName name="v_88_SVFA">Model!$E$203</definedName>
    <definedName name="v_88_XACP">Model!$BL$203</definedName>
    <definedName name="v_88_XALGAE">Model!$X$203</definedName>
    <definedName name="v_88_XAMETO">Model!$V$203</definedName>
    <definedName name="v_88_XB">Model!$I$203</definedName>
    <definedName name="v_88_XB_e">Model!$J$203</definedName>
    <definedName name="v_88_XBSH">Model!$BM$203</definedName>
    <definedName name="v_88_XCaCO3">Model!$BK$203</definedName>
    <definedName name="v_88_XCASTO">Model!$S$203</definedName>
    <definedName name="v_88_XE">Model!$P$203</definedName>
    <definedName name="v_88_XE_ana">Model!$Q$203</definedName>
    <definedName name="v_88_XHAO_H">Model!$BD$203</definedName>
    <definedName name="v_88_XHAO_H_P">Model!$BG$203</definedName>
    <definedName name="v_88_XHAO_H_P_old">Model!$BI$203</definedName>
    <definedName name="v_88_XHAO_L">Model!$BE$203</definedName>
    <definedName name="v_88_XHAO_L_P">Model!$BH$203</definedName>
    <definedName name="v_88_XHAO_L_P_old">Model!$BJ$203</definedName>
    <definedName name="v_88_XHAO_old">Model!$BF$203</definedName>
    <definedName name="v_88_XHFO_H">Model!$AW$203</definedName>
    <definedName name="v_88_XHFO_H_P">Model!$AZ$203</definedName>
    <definedName name="v_88_XHFO_H_P_old">Model!$BB$203</definedName>
    <definedName name="v_88_XHFO_L">Model!$AX$203</definedName>
    <definedName name="v_88_XHFO_L_P">Model!$BA$203</definedName>
    <definedName name="v_88_XHFO_L_P_old">Model!$BC$203</definedName>
    <definedName name="v_88_XHFO_old">Model!$AY$203</definedName>
    <definedName name="v_88_XHMETO">Model!$W$203</definedName>
    <definedName name="v_88_XINORG">Model!$AP$203</definedName>
    <definedName name="v_88_XMEOLO">Model!$T$203</definedName>
    <definedName name="v_88_XN_B">Model!$AC$203</definedName>
    <definedName name="v_88_XN_Be">Model!$AD$203</definedName>
    <definedName name="v_88_XN_U">Model!$AE$203</definedName>
    <definedName name="v_88_XNITO">Model!$U$203</definedName>
    <definedName name="v_88_XOHO">Model!$R$203</definedName>
    <definedName name="v_88_XP_B">Model!$AI$203</definedName>
    <definedName name="v_88_XP_Be">Model!$AJ$203</definedName>
    <definedName name="v_88_XP_U">Model!$AK$203</definedName>
    <definedName name="v_88_XPFOA">Model!$BQ$203</definedName>
    <definedName name="v_88_XPFOS">Model!$BS$203</definedName>
    <definedName name="v_88_XPHA_GAO">Model!$O$203</definedName>
    <definedName name="v_88_XPHA_PAO">Model!$N$203</definedName>
    <definedName name="v_88_XPP">Model!$AG$203</definedName>
    <definedName name="v_88_XSTR">Model!$BN$203</definedName>
    <definedName name="v_88_XU">Model!$M$203</definedName>
    <definedName name="v_88_XVivi">Model!$BO$203</definedName>
    <definedName name="v_89_CB">Model!$H$204</definedName>
    <definedName name="v_89_CU">Model!$L$204</definedName>
    <definedName name="v_89_GCH4">Model!$BX$204</definedName>
    <definedName name="v_89_GCH4_atm">Model!$CD$204</definedName>
    <definedName name="v_89_GCO2">Model!$BW$204</definedName>
    <definedName name="v_89_GCO2_atm">Model!$CC$204</definedName>
    <definedName name="v_89_GH2">Model!$BY$204</definedName>
    <definedName name="v_89_GH2_atm">Model!$CE$204</definedName>
    <definedName name="v_89_GN2">Model!$CB$204</definedName>
    <definedName name="v_89_GN2_atm">Model!$CH$204</definedName>
    <definedName name="v_89_GNH3">Model!$CA$204</definedName>
    <definedName name="v_89_GNH3_atm">Model!$CG$204</definedName>
    <definedName name="v_89_GO2">Model!$BZ$204</definedName>
    <definedName name="v_89_GO2_atm">Model!$CF$204</definedName>
    <definedName name="v_89_SALPHA">Model!$BU$204</definedName>
    <definedName name="v_89_SAN">Model!$AR$204</definedName>
    <definedName name="v_89_SB">Model!$F$204</definedName>
    <definedName name="v_89_SCa">Model!$AS$204</definedName>
    <definedName name="v_89_SCAT">Model!$AQ$204</definedName>
    <definedName name="v_89_SCH4">Model!$AM$204</definedName>
    <definedName name="v_89_SCO2">Model!$AO$204</definedName>
    <definedName name="v_89_SFe2">Model!$AV$204</definedName>
    <definedName name="v_89_SH">Model!$BT$204</definedName>
    <definedName name="v_89_SH2">Model!$AN$204</definedName>
    <definedName name="v_89_SK">Model!$AU$204</definedName>
    <definedName name="v_89_SMEOL">Model!$G$204</definedName>
    <definedName name="v_89_SMg">Model!$AT$204</definedName>
    <definedName name="v_89_SN_B">Model!$AB$204</definedName>
    <definedName name="v_89_SN2">Model!$AA$204</definedName>
    <definedName name="v_89_SNHx">Model!$Y$204</definedName>
    <definedName name="v_89_SNOx">Model!$Z$204</definedName>
    <definedName name="v_89_SO2">Model!$AL$204</definedName>
    <definedName name="v_89_SORPswitch">Model!$BV$204</definedName>
    <definedName name="v_89_SP_B">Model!$AH$204</definedName>
    <definedName name="v_89_SPFOA">Model!$BP$204</definedName>
    <definedName name="v_89_SPFOS">Model!$BR$204</definedName>
    <definedName name="v_89_SPO4">Model!$AF$204</definedName>
    <definedName name="v_89_SU">Model!$K$204</definedName>
    <definedName name="v_89_SVFA">Model!$E$204</definedName>
    <definedName name="v_89_XACP">Model!$BL$204</definedName>
    <definedName name="v_89_XALGAE">Model!$X$204</definedName>
    <definedName name="v_89_XAMETO">Model!$V$204</definedName>
    <definedName name="v_89_XB">Model!$I$204</definedName>
    <definedName name="v_89_XB_e">Model!$J$204</definedName>
    <definedName name="v_89_XBSH">Model!$BM$204</definedName>
    <definedName name="v_89_XCaCO3">Model!$BK$204</definedName>
    <definedName name="v_89_XCASTO">Model!$S$204</definedName>
    <definedName name="v_89_XE">Model!$P$204</definedName>
    <definedName name="v_89_XE_ana">Model!$Q$204</definedName>
    <definedName name="v_89_XHAO_H">Model!$BD$204</definedName>
    <definedName name="v_89_XHAO_H_P">Model!$BG$204</definedName>
    <definedName name="v_89_XHAO_H_P_old">Model!$BI$204</definedName>
    <definedName name="v_89_XHAO_L">Model!$BE$204</definedName>
    <definedName name="v_89_XHAO_L_P">Model!$BH$204</definedName>
    <definedName name="v_89_XHAO_L_P_old">Model!$BJ$204</definedName>
    <definedName name="v_89_XHAO_old">Model!$BF$204</definedName>
    <definedName name="v_89_XHFO_H">Model!$AW$204</definedName>
    <definedName name="v_89_XHFO_H_P">Model!$AZ$204</definedName>
    <definedName name="v_89_XHFO_H_P_old">Model!$BB$204</definedName>
    <definedName name="v_89_XHFO_L">Model!$AX$204</definedName>
    <definedName name="v_89_XHFO_L_P">Model!$BA$204</definedName>
    <definedName name="v_89_XHFO_L_P_old">Model!$BC$204</definedName>
    <definedName name="v_89_XHFO_old">Model!$AY$204</definedName>
    <definedName name="v_89_XHMETO">Model!$W$204</definedName>
    <definedName name="v_89_XINORG">Model!$AP$204</definedName>
    <definedName name="v_89_XMEOLO">Model!$T$204</definedName>
    <definedName name="v_89_XN_B">Model!$AC$204</definedName>
    <definedName name="v_89_XN_Be">Model!$AD$204</definedName>
    <definedName name="v_89_XN_U">Model!$AE$204</definedName>
    <definedName name="v_89_XNITO">Model!$U$204</definedName>
    <definedName name="v_89_XOHO">Model!$R$204</definedName>
    <definedName name="v_89_XP_B">Model!$AI$204</definedName>
    <definedName name="v_89_XP_Be">Model!$AJ$204</definedName>
    <definedName name="v_89_XP_U">Model!$AK$204</definedName>
    <definedName name="v_89_XPFOA">Model!$BQ$204</definedName>
    <definedName name="v_89_XPFOS">Model!$BS$204</definedName>
    <definedName name="v_89_XPHA_GAO">Model!$O$204</definedName>
    <definedName name="v_89_XPHA_PAO">Model!$N$204</definedName>
    <definedName name="v_89_XPP">Model!$AG$204</definedName>
    <definedName name="v_89_XSTR">Model!$BN$204</definedName>
    <definedName name="v_89_XU">Model!$M$204</definedName>
    <definedName name="v_89_XVivi">Model!$BO$204</definedName>
    <definedName name="v_9_CB">Model!$H$123</definedName>
    <definedName name="v_9_CU">Model!$L$123</definedName>
    <definedName name="v_9_GCH4">Model!$BX$123</definedName>
    <definedName name="v_9_GCH4_atm">Model!$CD$123</definedName>
    <definedName name="v_9_GCO2">Model!$BW$123</definedName>
    <definedName name="v_9_GCO2_atm">Model!$CC$123</definedName>
    <definedName name="v_9_GH2">Model!$BY$123</definedName>
    <definedName name="v_9_GH2_atm">Model!$CE$123</definedName>
    <definedName name="v_9_GN2">Model!$CB$123</definedName>
    <definedName name="v_9_GN2_atm">Model!$CH$123</definedName>
    <definedName name="v_9_GNH3">Model!$CA$123</definedName>
    <definedName name="v_9_GNH3_atm">Model!$CG$123</definedName>
    <definedName name="v_9_GO2">Model!$BZ$123</definedName>
    <definedName name="v_9_GO2_atm">Model!$CF$123</definedName>
    <definedName name="v_9_SALPHA">Model!$BU$123</definedName>
    <definedName name="v_9_SAN">Model!$AR$123</definedName>
    <definedName name="v_9_SB">Model!$F$123</definedName>
    <definedName name="v_9_SCa">Model!$AS$123</definedName>
    <definedName name="v_9_SCAT">Model!$AQ$123</definedName>
    <definedName name="v_9_SCH4">Model!$AM$123</definedName>
    <definedName name="v_9_SCO2">Model!$AO$123</definedName>
    <definedName name="v_9_SFe2">Model!$AV$123</definedName>
    <definedName name="v_9_SH">Model!$BT$123</definedName>
    <definedName name="v_9_SH2">Model!$AN$123</definedName>
    <definedName name="v_9_SK">Model!$AU$123</definedName>
    <definedName name="v_9_SMEOL">Model!$G$123</definedName>
    <definedName name="v_9_SMg">Model!$AT$123</definedName>
    <definedName name="v_9_SN_B">Model!$AB$123</definedName>
    <definedName name="v_9_SN2">Model!$AA$123</definedName>
    <definedName name="v_9_SNHx">Model!$Y$123</definedName>
    <definedName name="v_9_SNOx">Model!$Z$123</definedName>
    <definedName name="v_9_SO2">Model!$AL$123</definedName>
    <definedName name="v_9_SORPswitch">Model!$BV$123</definedName>
    <definedName name="v_9_SP_B">Model!$AH$123</definedName>
    <definedName name="v_9_SPFOA">Model!$BP$123</definedName>
    <definedName name="v_9_SPFOS">Model!$BR$123</definedName>
    <definedName name="v_9_SPO4">Model!$AF$123</definedName>
    <definedName name="v_9_SU">Model!$K$123</definedName>
    <definedName name="v_9_SVFA">Model!$E$123</definedName>
    <definedName name="v_9_XACP">Model!$BL$123</definedName>
    <definedName name="v_9_XALGAE">Model!$X$123</definedName>
    <definedName name="v_9_XAMETO">Model!$V$123</definedName>
    <definedName name="v_9_XB">Model!$I$123</definedName>
    <definedName name="v_9_XB_e">Model!$J$123</definedName>
    <definedName name="v_9_XBSH">Model!$BM$123</definedName>
    <definedName name="v_9_XCaCO3">Model!$BK$123</definedName>
    <definedName name="v_9_XCASTO">Model!$S$123</definedName>
    <definedName name="v_9_XE">Model!$P$123</definedName>
    <definedName name="v_9_XE_ana">Model!$Q$123</definedName>
    <definedName name="v_9_XHAO_H">Model!$BD$123</definedName>
    <definedName name="v_9_XHAO_H_P">Model!$BG$123</definedName>
    <definedName name="v_9_XHAO_H_P_old">Model!$BI$123</definedName>
    <definedName name="v_9_XHAO_L">Model!$BE$123</definedName>
    <definedName name="v_9_XHAO_L_P">Model!$BH$123</definedName>
    <definedName name="v_9_XHAO_L_P_old">Model!$BJ$123</definedName>
    <definedName name="v_9_XHAO_old">Model!$BF$123</definedName>
    <definedName name="v_9_XHFO_H">Model!$AW$123</definedName>
    <definedName name="v_9_XHFO_H_P">Model!$AZ$123</definedName>
    <definedName name="v_9_XHFO_H_P_old">Model!$BB$123</definedName>
    <definedName name="v_9_XHFO_L">Model!$AX$123</definedName>
    <definedName name="v_9_XHFO_L_P">Model!$BA$123</definedName>
    <definedName name="v_9_XHFO_L_P_old">Model!$BC$123</definedName>
    <definedName name="v_9_XHFO_old">Model!$AY$123</definedName>
    <definedName name="v_9_XHMETO">Model!$W$123</definedName>
    <definedName name="v_9_XINORG">Model!$AP$123</definedName>
    <definedName name="v_9_XMEOLO">Model!$T$123</definedName>
    <definedName name="v_9_XN_B">Model!$AC$123</definedName>
    <definedName name="v_9_XN_Be">Model!$AD$123</definedName>
    <definedName name="v_9_XN_U">Model!$AE$123</definedName>
    <definedName name="v_9_XNITO">Model!$U$123</definedName>
    <definedName name="v_9_XOHO">Model!$R$123</definedName>
    <definedName name="v_9_XP_B">Model!$AI$123</definedName>
    <definedName name="v_9_XP_Be">Model!$AJ$123</definedName>
    <definedName name="v_9_XP_U">Model!$AK$123</definedName>
    <definedName name="v_9_XPFOA">Model!$BQ$123</definedName>
    <definedName name="v_9_XPFOS">Model!$BS$123</definedName>
    <definedName name="v_9_XPHA_GAO">Model!$O$123</definedName>
    <definedName name="v_9_XPHA_PAO">Model!$N$123</definedName>
    <definedName name="v_9_XPP">Model!$AG$123</definedName>
    <definedName name="v_9_XSTR">Model!$BN$123</definedName>
    <definedName name="v_9_XU">Model!$M$123</definedName>
    <definedName name="v_9_XVivi">Model!$BO$123</definedName>
    <definedName name="v_90_CB">Model!$H$205</definedName>
    <definedName name="v_90_CU">Model!$L$205</definedName>
    <definedName name="v_90_GCH4">Model!$BX$205</definedName>
    <definedName name="v_90_GCH4_atm">Model!$CD$205</definedName>
    <definedName name="v_90_GCO2">Model!$BW$205</definedName>
    <definedName name="v_90_GCO2_atm">Model!$CC$205</definedName>
    <definedName name="v_90_GH2">Model!$BY$205</definedName>
    <definedName name="v_90_GH2_atm">Model!$CE$205</definedName>
    <definedName name="v_90_GN2">Model!$CB$205</definedName>
    <definedName name="v_90_GN2_atm">Model!$CH$205</definedName>
    <definedName name="v_90_GNH3">Model!$CA$205</definedName>
    <definedName name="v_90_GNH3_atm">Model!$CG$205</definedName>
    <definedName name="v_90_GO2">Model!$BZ$205</definedName>
    <definedName name="v_90_GO2_atm">Model!$CF$205</definedName>
    <definedName name="v_90_SALPHA">Model!$BU$205</definedName>
    <definedName name="v_90_SAN">Model!$AR$205</definedName>
    <definedName name="v_90_SB">Model!$F$205</definedName>
    <definedName name="v_90_SCa">Model!$AS$205</definedName>
    <definedName name="v_90_SCAT">Model!$AQ$205</definedName>
    <definedName name="v_90_SCH4">Model!$AM$205</definedName>
    <definedName name="v_90_SCO2">Model!$AO$205</definedName>
    <definedName name="v_90_SFe2">Model!$AV$205</definedName>
    <definedName name="v_90_SH">Model!$BT$205</definedName>
    <definedName name="v_90_SH2">Model!$AN$205</definedName>
    <definedName name="v_90_SK">Model!$AU$205</definedName>
    <definedName name="v_90_SMEOL">Model!$G$205</definedName>
    <definedName name="v_90_SMg">Model!$AT$205</definedName>
    <definedName name="v_90_SN_B">Model!$AB$205</definedName>
    <definedName name="v_90_SN2">Model!$AA$205</definedName>
    <definedName name="v_90_SNHx">Model!$Y$205</definedName>
    <definedName name="v_90_SNOx">Model!$Z$205</definedName>
    <definedName name="v_90_SO2">Model!$AL$205</definedName>
    <definedName name="v_90_SORPswitch">Model!$BV$205</definedName>
    <definedName name="v_90_SP_B">Model!$AH$205</definedName>
    <definedName name="v_90_SPFOA">Model!$BP$205</definedName>
    <definedName name="v_90_SPFOS">Model!$BR$205</definedName>
    <definedName name="v_90_SPO4">Model!$AF$205</definedName>
    <definedName name="v_90_SU">Model!$K$205</definedName>
    <definedName name="v_90_SVFA">Model!$E$205</definedName>
    <definedName name="v_90_XACP">Model!$BL$205</definedName>
    <definedName name="v_90_XALGAE">Model!$X$205</definedName>
    <definedName name="v_90_XAMETO">Model!$V$205</definedName>
    <definedName name="v_90_XB">Model!$I$205</definedName>
    <definedName name="v_90_XB_e">Model!$J$205</definedName>
    <definedName name="v_90_XBSH">Model!$BM$205</definedName>
    <definedName name="v_90_XCaCO3">Model!$BK$205</definedName>
    <definedName name="v_90_XCASTO">Model!$S$205</definedName>
    <definedName name="v_90_XE">Model!$P$205</definedName>
    <definedName name="v_90_XE_ana">Model!$Q$205</definedName>
    <definedName name="v_90_XHAO_H">Model!$BD$205</definedName>
    <definedName name="v_90_XHAO_H_P">Model!$BG$205</definedName>
    <definedName name="v_90_XHAO_H_P_old">Model!$BI$205</definedName>
    <definedName name="v_90_XHAO_L">Model!$BE$205</definedName>
    <definedName name="v_90_XHAO_L_P">Model!$BH$205</definedName>
    <definedName name="v_90_XHAO_L_P_old">Model!$BJ$205</definedName>
    <definedName name="v_90_XHAO_old">Model!$BF$205</definedName>
    <definedName name="v_90_XHFO_H">Model!$AW$205</definedName>
    <definedName name="v_90_XHFO_H_P">Model!$AZ$205</definedName>
    <definedName name="v_90_XHFO_H_P_old">Model!$BB$205</definedName>
    <definedName name="v_90_XHFO_L">Model!$AX$205</definedName>
    <definedName name="v_90_XHFO_L_P">Model!$BA$205</definedName>
    <definedName name="v_90_XHFO_L_P_old">Model!$BC$205</definedName>
    <definedName name="v_90_XHFO_old">Model!$AY$205</definedName>
    <definedName name="v_90_XHMETO">Model!$W$205</definedName>
    <definedName name="v_90_XINORG">Model!$AP$205</definedName>
    <definedName name="v_90_XMEOLO">Model!$T$205</definedName>
    <definedName name="v_90_XN_B">Model!$AC$205</definedName>
    <definedName name="v_90_XN_Be">Model!$AD$205</definedName>
    <definedName name="v_90_XN_U">Model!$AE$205</definedName>
    <definedName name="v_90_XNITO">Model!$U$205</definedName>
    <definedName name="v_90_XOHO">Model!$R$205</definedName>
    <definedName name="v_90_XP_B">Model!$AI$205</definedName>
    <definedName name="v_90_XP_Be">Model!$AJ$205</definedName>
    <definedName name="v_90_XP_U">Model!$AK$205</definedName>
    <definedName name="v_90_XPFOA">Model!$BQ$205</definedName>
    <definedName name="v_90_XPFOS">Model!$BS$205</definedName>
    <definedName name="v_90_XPHA_GAO">Model!$O$205</definedName>
    <definedName name="v_90_XPHA_PAO">Model!$N$205</definedName>
    <definedName name="v_90_XPP">Model!$AG$205</definedName>
    <definedName name="v_90_XSTR">Model!$BN$205</definedName>
    <definedName name="v_90_XU">Model!$M$205</definedName>
    <definedName name="v_90_XVivi">Model!$BO$205</definedName>
    <definedName name="v_91_CB">Model!$H$206</definedName>
    <definedName name="v_91_CU">Model!$L$206</definedName>
    <definedName name="v_91_GCH4">Model!$BX$206</definedName>
    <definedName name="v_91_GCH4_atm">Model!$CD$206</definedName>
    <definedName name="v_91_GCO2">Model!$BW$206</definedName>
    <definedName name="v_91_GCO2_atm">Model!$CC$206</definedName>
    <definedName name="v_91_GH2">Model!$BY$206</definedName>
    <definedName name="v_91_GH2_atm">Model!$CE$206</definedName>
    <definedName name="v_91_GN2">Model!$CB$206</definedName>
    <definedName name="v_91_GN2_atm">Model!$CH$206</definedName>
    <definedName name="v_91_GNH3">Model!$CA$206</definedName>
    <definedName name="v_91_GNH3_atm">Model!$CG$206</definedName>
    <definedName name="v_91_GO2">Model!$BZ$206</definedName>
    <definedName name="v_91_GO2_atm">Model!$CF$206</definedName>
    <definedName name="v_91_SALPHA">Model!$BU$206</definedName>
    <definedName name="v_91_SAN">Model!$AR$206</definedName>
    <definedName name="v_91_SB">Model!$F$206</definedName>
    <definedName name="v_91_SCa">Model!$AS$206</definedName>
    <definedName name="v_91_SCAT">Model!$AQ$206</definedName>
    <definedName name="v_91_SCH4">Model!$AM$206</definedName>
    <definedName name="v_91_SCO2">Model!$AO$206</definedName>
    <definedName name="v_91_SFe2">Model!$AV$206</definedName>
    <definedName name="v_91_SH">Model!$BT$206</definedName>
    <definedName name="v_91_SH2">Model!$AN$206</definedName>
    <definedName name="v_91_SK">Model!$AU$206</definedName>
    <definedName name="v_91_SMEOL">Model!$G$206</definedName>
    <definedName name="v_91_SMg">Model!$AT$206</definedName>
    <definedName name="v_91_SN_B">Model!$AB$206</definedName>
    <definedName name="v_91_SN2">Model!$AA$206</definedName>
    <definedName name="v_91_SNHx">Model!$Y$206</definedName>
    <definedName name="v_91_SNOx">Model!$Z$206</definedName>
    <definedName name="v_91_SO2">Model!$AL$206</definedName>
    <definedName name="v_91_SORPswitch">Model!$BV$206</definedName>
    <definedName name="v_91_SP_B">Model!$AH$206</definedName>
    <definedName name="v_91_SPFOA">Model!$BP$206</definedName>
    <definedName name="v_91_SPFOS">Model!$BR$206</definedName>
    <definedName name="v_91_SPO4">Model!$AF$206</definedName>
    <definedName name="v_91_SU">Model!$K$206</definedName>
    <definedName name="v_91_SVFA">Model!$E$206</definedName>
    <definedName name="v_91_XACP">Model!$BL$206</definedName>
    <definedName name="v_91_XALGAE">Model!$X$206</definedName>
    <definedName name="v_91_XAMETO">Model!$V$206</definedName>
    <definedName name="v_91_XB">Model!$I$206</definedName>
    <definedName name="v_91_XB_e">Model!$J$206</definedName>
    <definedName name="v_91_XBSH">Model!$BM$206</definedName>
    <definedName name="v_91_XCaCO3">Model!$BK$206</definedName>
    <definedName name="v_91_XCASTO">Model!$S$206</definedName>
    <definedName name="v_91_XE">Model!$P$206</definedName>
    <definedName name="v_91_XE_ana">Model!$Q$206</definedName>
    <definedName name="v_91_XHAO_H">Model!$BD$206</definedName>
    <definedName name="v_91_XHAO_H_P">Model!$BG$206</definedName>
    <definedName name="v_91_XHAO_H_P_old">Model!$BI$206</definedName>
    <definedName name="v_91_XHAO_L">Model!$BE$206</definedName>
    <definedName name="v_91_XHAO_L_P">Model!$BH$206</definedName>
    <definedName name="v_91_XHAO_L_P_old">Model!$BJ$206</definedName>
    <definedName name="v_91_XHAO_old">Model!$BF$206</definedName>
    <definedName name="v_91_XHFO_H">Model!$AW$206</definedName>
    <definedName name="v_91_XHFO_H_P">Model!$AZ$206</definedName>
    <definedName name="v_91_XHFO_H_P_old">Model!$BB$206</definedName>
    <definedName name="v_91_XHFO_L">Model!$AX$206</definedName>
    <definedName name="v_91_XHFO_L_P">Model!$BA$206</definedName>
    <definedName name="v_91_XHFO_L_P_old">Model!$BC$206</definedName>
    <definedName name="v_91_XHFO_old">Model!$AY$206</definedName>
    <definedName name="v_91_XHMETO">Model!$W$206</definedName>
    <definedName name="v_91_XINORG">Model!$AP$206</definedName>
    <definedName name="v_91_XMEOLO">Model!$T$206</definedName>
    <definedName name="v_91_XN_B">Model!$AC$206</definedName>
    <definedName name="v_91_XN_Be">Model!$AD$206</definedName>
    <definedName name="v_91_XN_U">Model!$AE$206</definedName>
    <definedName name="v_91_XNITO">Model!$U$206</definedName>
    <definedName name="v_91_XOHO">Model!$R$206</definedName>
    <definedName name="v_91_XP_B">Model!$AI$206</definedName>
    <definedName name="v_91_XP_Be">Model!$AJ$206</definedName>
    <definedName name="v_91_XP_U">Model!$AK$206</definedName>
    <definedName name="v_91_XPFOA">Model!$BQ$206</definedName>
    <definedName name="v_91_XPFOS">Model!$BS$206</definedName>
    <definedName name="v_91_XPHA_GAO">Model!$O$206</definedName>
    <definedName name="v_91_XPHA_PAO">Model!$N$206</definedName>
    <definedName name="v_91_XPP">Model!$AG$206</definedName>
    <definedName name="v_91_XSTR">Model!$BN$206</definedName>
    <definedName name="v_91_XU">Model!$M$206</definedName>
    <definedName name="v_91_XVivi">Model!$BO$206</definedName>
    <definedName name="V_mol_N">systemcode_constants!$D$62</definedName>
    <definedName name="X_ACP">Components!$E$63</definedName>
    <definedName name="X_ALGAE">Components!$E$23</definedName>
    <definedName name="X_AMETO">Components!$E$21</definedName>
    <definedName name="X_B">Components!$E$8</definedName>
    <definedName name="X_B_e">Components!$E$9</definedName>
    <definedName name="X_BIO">'Calculated variables'!$E$5</definedName>
    <definedName name="X_BIO_AS">'Calculated variables'!$E$6</definedName>
    <definedName name="X_BOD_5">'Calculated variables'!$E$31</definedName>
    <definedName name="X_BOD_ult">'Calculated variables'!$E$28</definedName>
    <definedName name="X_BSH">Components!$E$64</definedName>
    <definedName name="X_CaCO3">Components!$E$62</definedName>
    <definedName name="X_CASTO">Components!$E$18</definedName>
    <definedName name="X_COD">'Calculated variables'!$E$8</definedName>
    <definedName name="X_CsbCOD">'Calculated variables'!$E$10</definedName>
    <definedName name="X_DM">'Calculated variables'!$E$26</definedName>
    <definedName name="X_E">Components!$E$15</definedName>
    <definedName name="X_E_ana">Components!$E$16</definedName>
    <definedName name="X_GAO">'Calculated variables'!$E$71</definedName>
    <definedName name="X_HAO">'Calculated variables'!$E$48</definedName>
    <definedName name="X_HAO_H">Components!$E$55</definedName>
    <definedName name="X_HAO_H_P">Components!$E$58</definedName>
    <definedName name="X_HAO_H_P_old">Components!$E$60</definedName>
    <definedName name="X_HAO_ISS">'Calculated variables'!$E$17</definedName>
    <definedName name="X_HAO_L">Components!$E$56</definedName>
    <definedName name="X_HAO_L_P">Components!$E$59</definedName>
    <definedName name="X_HAO_L_P_old">Components!$E$61</definedName>
    <definedName name="X_HAO_old">Components!$E$57</definedName>
    <definedName name="X_HAO_P">'Calculated variables'!$E$54</definedName>
    <definedName name="X_HAO_TSS">'Calculated variables'!$E$21</definedName>
    <definedName name="X_HET">'Calculated variables'!$E$7</definedName>
    <definedName name="X_HET_HYD_lim">Parameters!$D$209</definedName>
    <definedName name="X_HFO">'Calculated variables'!$E$47</definedName>
    <definedName name="X_HFO_H">Components!$E$48</definedName>
    <definedName name="X_HFO_H_P">Components!$E$51</definedName>
    <definedName name="X_HFO_H_P_old">Components!$E$53</definedName>
    <definedName name="X_HFO_ISS">'Calculated variables'!$E$16</definedName>
    <definedName name="X_HFO_L">Components!$E$49</definedName>
    <definedName name="X_HFO_L_P">Components!$E$52</definedName>
    <definedName name="X_HFO_L_P_old">Components!$E$54</definedName>
    <definedName name="X_HFO_old">Components!$E$50</definedName>
    <definedName name="X_HFO_P">'Calculated variables'!$E$53</definedName>
    <definedName name="X_HFO_TSS">'Calculated variables'!$E$20</definedName>
    <definedName name="X_HMETO">Components!$E$22</definedName>
    <definedName name="X_INORG">Components!$E$41</definedName>
    <definedName name="X_ISS">'Calculated variables'!$E$24</definedName>
    <definedName name="X_KN">'Calculated variables'!$E$41</definedName>
    <definedName name="X_Me_H2O_TSS">'Calculated variables'!$E$22</definedName>
    <definedName name="X_Me_H2O_VSS">'Calculated variables'!$E$19</definedName>
    <definedName name="X_Me_ISS">'Calculated variables'!$E$18</definedName>
    <definedName name="X_Me_TSS">'Calculated variables'!$E$23</definedName>
    <definedName name="X_MEOLO">Components!$E$19</definedName>
    <definedName name="X_N_B">Components!$E$28</definedName>
    <definedName name="X_N_Be">Components!$E$29</definedName>
    <definedName name="X_N_U">Components!$E$30</definedName>
    <definedName name="X_NITO">Components!$E$20</definedName>
    <definedName name="X_OHO">Components!$E$17</definedName>
    <definedName name="X_P">'Calculated variables'!$E$45</definedName>
    <definedName name="X_P_B">Components!$E$34</definedName>
    <definedName name="X_P_Be">Components!$E$35</definedName>
    <definedName name="X_P_U">Components!$E$36</definedName>
    <definedName name="X_PAO">'Calculated variables'!$E$70</definedName>
    <definedName name="X_PFOA">Components!$E$68</definedName>
    <definedName name="X_PFOS">Components!$E$70</definedName>
    <definedName name="X_PHA_CASTO">'Calculated variables'!$E$66</definedName>
    <definedName name="X_PHA_GAO">Components!$E$14</definedName>
    <definedName name="X_PHA_PAO">Components!$E$13</definedName>
    <definedName name="X_PP">Components!$E$32</definedName>
    <definedName name="X_PP_PAO_min">Parameters!$D$59</definedName>
    <definedName name="X_precip">'Calculated variables'!$E$15</definedName>
    <definedName name="X_STC">'Calculated variables'!$E$67</definedName>
    <definedName name="X_STR">Components!$E$65</definedName>
    <definedName name="X_TSS">'Calculated variables'!$E$25</definedName>
    <definedName name="X_U">Components!$E$12</definedName>
    <definedName name="X_Vivi">Components!$E$66</definedName>
    <definedName name="X_VS">'Calculated variables'!$E$13</definedName>
    <definedName name="X_VS_ult">'Calculated variables'!$E$14</definedName>
    <definedName name="X_VSS">'Calculated variables'!$E$12</definedName>
    <definedName name="X_VSS_BIO">'Calculated variables'!$E$11</definedName>
    <definedName name="Y_AMETO">Parameters!$D$297</definedName>
    <definedName name="Y_BOD_ult">Parameters!$D$348</definedName>
    <definedName name="Y_CASTO_H2_ana_high">Parameters!$D$288</definedName>
    <definedName name="Y_CASTO_H2_ana_low">Parameters!$D$289</definedName>
    <definedName name="Y_CASTO_SB_ana">Parameters!$D$287</definedName>
    <definedName name="Y_CASTO_STC_anox">'Calculated variables'!$E$76</definedName>
    <definedName name="Y_CASTO_STC_ox">'Calculated variables'!$E$75</definedName>
    <definedName name="y_fdi">'Calculated variables'!$E$426</definedName>
    <definedName name="y_fmono">'Calculated variables'!$E$425</definedName>
    <definedName name="y_ftri">'Calculated variables'!$E$427</definedName>
    <definedName name="Y_GAO_PHA_anox">Parameters!$D$295</definedName>
    <definedName name="Y_GAO_PHA_ox">Parameters!$D$294</definedName>
    <definedName name="Y_HMETO">Parameters!$D$298</definedName>
    <definedName name="Y_MEOLO">Parameters!$D$284</definedName>
    <definedName name="Y_NITO">Parameters!$D$296</definedName>
    <definedName name="Y_OHO_H2_ana_high">Parameters!$D$281</definedName>
    <definedName name="Y_OHO_H2_ana_low">Parameters!$D$282</definedName>
    <definedName name="Y_OHO_SB_ana">Parameters!$D$280</definedName>
    <definedName name="Y_OHO_SB_anox">Parameters!$D$279</definedName>
    <definedName name="Y_OHO_SB_ox">Parameters!$D$278</definedName>
    <definedName name="Y_OHO_SMEOL_ox">Parameters!$D$283</definedName>
    <definedName name="Y_OHO_VFA_anox">Parameters!$D$277</definedName>
    <definedName name="Y_OHO_VFA_ox">Parameters!$D$276</definedName>
    <definedName name="y_ORP_GAO_Half_T">'Calculated variables'!$E$91</definedName>
    <definedName name="Y_PAO_PHA_anox">Parameters!$D$286</definedName>
    <definedName name="Y_PAO_PHA_ox">Parameters!$D$285</definedName>
    <definedName name="Y_PP_CASTO_anox">Parameters!$D$291</definedName>
    <definedName name="Y_PP_CASTO_ox">Parameters!$D$290</definedName>
    <definedName name="α_pred">'Calculated variables'!$E$624</definedName>
    <definedName name="Δ_atm">systemcode_constants!$D$56</definedName>
    <definedName name="ε__">'Calculated variables'!$E$423</definedName>
    <definedName name="η_b_ana">Parameters!$D$188</definedName>
    <definedName name="η_b_anox">Parameters!$D$187</definedName>
    <definedName name="η_bCASTO_ana">Parameters!$D$43</definedName>
    <definedName name="η_bCASTO_anox">Parameters!$D$42</definedName>
    <definedName name="η_bPHA_ana">Parameters!$D$69</definedName>
    <definedName name="η_bPP_aer">Parameters!$D$45</definedName>
    <definedName name="η_bPP_anox">Parameters!$D$46</definedName>
    <definedName name="η_bSTC_anox">Parameters!$D$44</definedName>
    <definedName name="η_CASTO_anox">Parameters!$D$41</definedName>
    <definedName name="η_H2O">systemcode_constants!$D$42</definedName>
    <definedName name="η_HYD_ana">Parameters!$D$200</definedName>
    <definedName name="η_HYD_anox">Parameters!$D$199</definedName>
    <definedName name="η_OHO_anox">Parameters!$D$10</definedName>
    <definedName name="θ_µ_ALGAE">Parameters!$D$259</definedName>
    <definedName name="θ_µ_AMETO">Parameters!$D$255</definedName>
    <definedName name="θ_µ_CASTO">Parameters!$D$244</definedName>
    <definedName name="θ_µ_HMETO">Parameters!$D$257</definedName>
    <definedName name="θ_µ_MEOLO">Parameters!$D$242</definedName>
    <definedName name="θ_µ_NITO">Parameters!$D$253</definedName>
    <definedName name="θ_µ_OHO">Parameters!$D$239</definedName>
    <definedName name="θ_µ_PAO_lim">Parameters!$D$245</definedName>
    <definedName name="θ_b_ALGAE">Parameters!$D$260</definedName>
    <definedName name="θ_b_AMETO">Parameters!$D$256</definedName>
    <definedName name="θ_b_CASTO">Parameters!$D$249</definedName>
    <definedName name="θ_b_HMETO">Parameters!$D$258</definedName>
    <definedName name="θ_b_MEOLO">Parameters!$D$243</definedName>
    <definedName name="θ_b_NITO">Parameters!$D$254</definedName>
    <definedName name="θ_b_OHO">Parameters!$D$241</definedName>
    <definedName name="θ_b_PP_ana">Parameters!$D$251</definedName>
    <definedName name="θ_b_STC">Parameters!$D$250</definedName>
    <definedName name="θ_FERM_OHO">Parameters!$D$240</definedName>
    <definedName name="θ_FERM_PAO">Parameters!$D$246</definedName>
    <definedName name="θ_q_AMMON">Parameters!$D$265</definedName>
    <definedName name="θ_q_ASSIM">Parameters!$D$269</definedName>
    <definedName name="θ_q_Fe2_OX">Parameters!$D$270</definedName>
    <definedName name="θ_q_FLOC">Parameters!$D$261</definedName>
    <definedName name="θ_q_FLOC_HAO">Parameters!$D$263</definedName>
    <definedName name="θ_q_FLOC_HFO">Parameters!$D$262</definedName>
    <definedName name="θ_q_GAO_PHA">Parameters!$D$252</definedName>
    <definedName name="θ_q_HFO_RED">Parameters!$D$271</definedName>
    <definedName name="θ_q_HYD">Parameters!$D$264</definedName>
    <definedName name="θ_q_PAO_PHA">Parameters!$D$248</definedName>
    <definedName name="θ_q_PAO_PP">Parameters!$D$247</definedName>
    <definedName name="θ_q_SPB">Parameters!$D$266</definedName>
    <definedName name="θ_q_XE">Parameters!$D$267</definedName>
    <definedName name="θ_q_XU">Parameters!$D$268</definedName>
    <definedName name="κ__">systemcode_constants!$D$63</definedName>
    <definedName name="λ_H">systemcode_constants!$D$356</definedName>
    <definedName name="ρ__">'Calculated variables'!$E$424</definedName>
    <definedName name="ρ_air">systemcode_constants!$D$50</definedName>
    <definedName name="ρ_H2O">systemcode_constants!$D$41</definedName>
    <definedName name="σ_H2O">systemcode_constants!$D$40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720" i="5" l="1"/>
  <c r="E719" i="5"/>
  <c r="E718" i="5"/>
  <c r="E717" i="5"/>
  <c r="E716" i="5"/>
  <c r="E715" i="5"/>
  <c r="E714" i="5"/>
  <c r="E710" i="5"/>
  <c r="E709" i="5"/>
  <c r="E708" i="5"/>
  <c r="E707" i="5"/>
  <c r="E706" i="5"/>
  <c r="E705" i="5"/>
  <c r="E704" i="5"/>
  <c r="E703" i="5"/>
  <c r="E702" i="5"/>
  <c r="E701" i="5"/>
  <c r="E700" i="5"/>
  <c r="E699" i="5"/>
  <c r="E698" i="5"/>
  <c r="E697" i="5"/>
  <c r="E696" i="5"/>
  <c r="E692" i="5"/>
  <c r="E691" i="5"/>
  <c r="E687" i="5"/>
  <c r="E686" i="5"/>
  <c r="E685" i="5"/>
  <c r="E684" i="5"/>
  <c r="E683" i="5"/>
  <c r="E682" i="5"/>
  <c r="E678" i="5"/>
  <c r="E677" i="5"/>
  <c r="E676" i="5"/>
  <c r="E675" i="5"/>
  <c r="E674" i="5"/>
  <c r="E670" i="5"/>
  <c r="E669" i="5"/>
  <c r="E668" i="5"/>
  <c r="E664" i="5"/>
  <c r="E663" i="5"/>
  <c r="E662" i="5"/>
  <c r="E661" i="5"/>
  <c r="E657" i="5"/>
  <c r="E656" i="5"/>
  <c r="E655" i="5"/>
  <c r="E654" i="5"/>
  <c r="E653" i="5"/>
  <c r="E652" i="5"/>
  <c r="E651" i="5"/>
  <c r="E647" i="5"/>
  <c r="E646" i="5"/>
  <c r="E642" i="5"/>
  <c r="E641" i="5"/>
  <c r="E640" i="5"/>
  <c r="E639" i="5"/>
  <c r="E638" i="5"/>
  <c r="E634" i="5"/>
  <c r="E630" i="5"/>
  <c r="E629" i="5" s="1"/>
  <c r="E624" i="5"/>
  <c r="E620" i="5"/>
  <c r="E619" i="5"/>
  <c r="E618" i="5"/>
  <c r="E617" i="5"/>
  <c r="E613" i="5"/>
  <c r="E612" i="5"/>
  <c r="E611" i="5"/>
  <c r="E610" i="5"/>
  <c r="E609" i="5"/>
  <c r="E608" i="5"/>
  <c r="E607" i="5"/>
  <c r="E606" i="5"/>
  <c r="E605" i="5"/>
  <c r="E604" i="5"/>
  <c r="E474" i="5"/>
  <c r="E418" i="5"/>
  <c r="E417" i="5"/>
  <c r="E416" i="5"/>
  <c r="E415" i="5"/>
  <c r="CI167" i="1" s="1"/>
  <c r="E414" i="5"/>
  <c r="E413" i="5"/>
  <c r="E412" i="5"/>
  <c r="E411" i="5"/>
  <c r="E410" i="5"/>
  <c r="E409" i="5"/>
  <c r="E408" i="5"/>
  <c r="E407" i="5"/>
  <c r="CI158" i="1" s="1"/>
  <c r="E406" i="5"/>
  <c r="E405" i="5"/>
  <c r="E404" i="5"/>
  <c r="E403" i="5"/>
  <c r="E402" i="5"/>
  <c r="E401" i="5"/>
  <c r="E400" i="5"/>
  <c r="CI146" i="1" s="1"/>
  <c r="E399" i="5"/>
  <c r="E398" i="5"/>
  <c r="E397" i="5"/>
  <c r="E396" i="5"/>
  <c r="E395" i="5"/>
  <c r="E394" i="5"/>
  <c r="E393" i="5"/>
  <c r="E392" i="5"/>
  <c r="E391" i="5"/>
  <c r="E390" i="5"/>
  <c r="E389" i="5"/>
  <c r="E388" i="5"/>
  <c r="E387" i="5"/>
  <c r="E386" i="5"/>
  <c r="E385" i="5"/>
  <c r="E381" i="5"/>
  <c r="E380" i="5"/>
  <c r="E379" i="5"/>
  <c r="E378" i="5"/>
  <c r="E377" i="5"/>
  <c r="E376" i="5"/>
  <c r="E375" i="5"/>
  <c r="E374" i="5"/>
  <c r="E373" i="5"/>
  <c r="E372" i="5"/>
  <c r="E371" i="5"/>
  <c r="E370" i="5"/>
  <c r="E369" i="5"/>
  <c r="E368" i="5"/>
  <c r="E367" i="5"/>
  <c r="E366" i="5"/>
  <c r="E365" i="5"/>
  <c r="E364" i="5"/>
  <c r="E363" i="5"/>
  <c r="E362" i="5"/>
  <c r="E361" i="5"/>
  <c r="E360" i="5"/>
  <c r="E359" i="5"/>
  <c r="E358" i="5"/>
  <c r="E357" i="5"/>
  <c r="E356" i="5"/>
  <c r="E355" i="5"/>
  <c r="E354" i="5"/>
  <c r="E353" i="5"/>
  <c r="E352" i="5"/>
  <c r="E351" i="5"/>
  <c r="E350" i="5"/>
  <c r="E349" i="5"/>
  <c r="E348" i="5"/>
  <c r="E347" i="5"/>
  <c r="E346" i="5"/>
  <c r="E345" i="5"/>
  <c r="E344" i="5"/>
  <c r="E343" i="5"/>
  <c r="E342" i="5"/>
  <c r="E341" i="5"/>
  <c r="E340" i="5"/>
  <c r="E339" i="5"/>
  <c r="E338" i="5"/>
  <c r="E337" i="5"/>
  <c r="E336" i="5"/>
  <c r="E335" i="5"/>
  <c r="E334" i="5"/>
  <c r="E333" i="5"/>
  <c r="E332" i="5"/>
  <c r="E331" i="5"/>
  <c r="E330" i="5"/>
  <c r="E329" i="5"/>
  <c r="E328" i="5"/>
  <c r="E327" i="5"/>
  <c r="E326" i="5"/>
  <c r="E325" i="5"/>
  <c r="E324" i="5"/>
  <c r="E323" i="5"/>
  <c r="E322" i="5"/>
  <c r="E321" i="5"/>
  <c r="E320" i="5"/>
  <c r="E319" i="5"/>
  <c r="E318" i="5"/>
  <c r="E317" i="5"/>
  <c r="E316" i="5"/>
  <c r="E315" i="5"/>
  <c r="E314" i="5"/>
  <c r="E313" i="5"/>
  <c r="E312" i="5"/>
  <c r="E311" i="5"/>
  <c r="E310" i="5"/>
  <c r="E309" i="5"/>
  <c r="E308" i="5"/>
  <c r="E307" i="5"/>
  <c r="E306" i="5"/>
  <c r="E305" i="5"/>
  <c r="E304" i="5"/>
  <c r="E303" i="5"/>
  <c r="E302" i="5"/>
  <c r="E301" i="5"/>
  <c r="E300" i="5"/>
  <c r="E299" i="5"/>
  <c r="E298" i="5"/>
  <c r="E297" i="5"/>
  <c r="E296" i="5"/>
  <c r="E295" i="5"/>
  <c r="E294" i="5"/>
  <c r="E293" i="5"/>
  <c r="E292" i="5"/>
  <c r="E291" i="5"/>
  <c r="E290" i="5"/>
  <c r="E289" i="5"/>
  <c r="E288" i="5"/>
  <c r="E287" i="5"/>
  <c r="E286" i="5"/>
  <c r="E285" i="5"/>
  <c r="E277" i="5"/>
  <c r="E275" i="5"/>
  <c r="E273" i="5"/>
  <c r="E271" i="5"/>
  <c r="E269" i="5"/>
  <c r="E267" i="5"/>
  <c r="E263" i="5"/>
  <c r="E262" i="5"/>
  <c r="E261" i="5"/>
  <c r="E260" i="5"/>
  <c r="E259" i="5"/>
  <c r="E258" i="5"/>
  <c r="E256" i="5"/>
  <c r="E254" i="5"/>
  <c r="E252" i="5"/>
  <c r="E250" i="5"/>
  <c r="E245" i="5"/>
  <c r="E243" i="5"/>
  <c r="E241" i="5"/>
  <c r="E239" i="5"/>
  <c r="E237" i="5"/>
  <c r="E235" i="5"/>
  <c r="E233" i="5"/>
  <c r="E231" i="5"/>
  <c r="E229" i="5"/>
  <c r="E227" i="5"/>
  <c r="E222" i="5"/>
  <c r="E220" i="5"/>
  <c r="E218" i="5"/>
  <c r="E213" i="5"/>
  <c r="E211" i="5"/>
  <c r="E209" i="5"/>
  <c r="E207" i="5"/>
  <c r="E205" i="5"/>
  <c r="E200" i="5"/>
  <c r="E198" i="5"/>
  <c r="E196" i="5"/>
  <c r="E194" i="5"/>
  <c r="E192" i="5"/>
  <c r="E190" i="5"/>
  <c r="E188" i="5"/>
  <c r="E186" i="5"/>
  <c r="E181" i="5"/>
  <c r="E179" i="5"/>
  <c r="E177" i="5"/>
  <c r="E171" i="5"/>
  <c r="E169" i="5"/>
  <c r="E167" i="5"/>
  <c r="E165" i="5"/>
  <c r="E163" i="5"/>
  <c r="E161" i="5"/>
  <c r="E159" i="5"/>
  <c r="E154" i="5"/>
  <c r="E152" i="5"/>
  <c r="E149" i="5"/>
  <c r="E147" i="5"/>
  <c r="E145" i="5"/>
  <c r="E141" i="5"/>
  <c r="E98" i="5"/>
  <c r="E92" i="5"/>
  <c r="E93" i="5" s="1"/>
  <c r="E91" i="5"/>
  <c r="E90" i="5"/>
  <c r="E89" i="5"/>
  <c r="E82" i="5"/>
  <c r="E81" i="5"/>
  <c r="E77" i="5"/>
  <c r="E76" i="5"/>
  <c r="E75" i="5"/>
  <c r="E71" i="5"/>
  <c r="E70" i="5"/>
  <c r="E69" i="5"/>
  <c r="E68" i="5"/>
  <c r="E67" i="5"/>
  <c r="E66" i="5"/>
  <c r="E62" i="5"/>
  <c r="E61" i="5"/>
  <c r="E60" i="5"/>
  <c r="E58" i="5"/>
  <c r="E55" i="5"/>
  <c r="E54" i="5"/>
  <c r="E53" i="5"/>
  <c r="E52" i="5"/>
  <c r="E51" i="5"/>
  <c r="E50" i="5"/>
  <c r="E49" i="5"/>
  <c r="E48" i="5"/>
  <c r="E21" i="5" s="1"/>
  <c r="E47" i="5"/>
  <c r="E20" i="5" s="1"/>
  <c r="E46" i="5"/>
  <c r="E44" i="5"/>
  <c r="E45" i="5" s="1"/>
  <c r="E43" i="5"/>
  <c r="E42" i="5"/>
  <c r="E41" i="5" s="1"/>
  <c r="E40" i="5"/>
  <c r="E39" i="5"/>
  <c r="E38" i="5"/>
  <c r="E37" i="5"/>
  <c r="E36" i="5"/>
  <c r="E35" i="5"/>
  <c r="E34" i="5"/>
  <c r="E33" i="5"/>
  <c r="E32" i="5"/>
  <c r="E31" i="5"/>
  <c r="E30" i="5"/>
  <c r="E29" i="5"/>
  <c r="E28" i="5"/>
  <c r="E27" i="5"/>
  <c r="E22" i="5"/>
  <c r="E19" i="5"/>
  <c r="E17" i="5"/>
  <c r="E16" i="5"/>
  <c r="E15" i="5"/>
  <c r="E14" i="5"/>
  <c r="E12" i="5"/>
  <c r="E13" i="5" s="1"/>
  <c r="E11" i="5"/>
  <c r="E10" i="5"/>
  <c r="E9" i="5"/>
  <c r="E8" i="5"/>
  <c r="E7" i="5"/>
  <c r="E6" i="5"/>
  <c r="E5" i="5"/>
  <c r="CU206" i="1"/>
  <c r="CT206" i="1"/>
  <c r="CS206" i="1"/>
  <c r="CR206" i="1"/>
  <c r="CQ206" i="1"/>
  <c r="CP206" i="1"/>
  <c r="CO206" i="1"/>
  <c r="CN206" i="1"/>
  <c r="CM206" i="1"/>
  <c r="CL206" i="1"/>
  <c r="CK206" i="1"/>
  <c r="CU205" i="1"/>
  <c r="CT205" i="1"/>
  <c r="CS205" i="1"/>
  <c r="CR205" i="1"/>
  <c r="CQ205" i="1"/>
  <c r="CP205" i="1"/>
  <c r="CO205" i="1"/>
  <c r="CN205" i="1"/>
  <c r="CM205" i="1"/>
  <c r="CL205" i="1"/>
  <c r="CK205" i="1"/>
  <c r="CU204" i="1"/>
  <c r="CT204" i="1"/>
  <c r="CS204" i="1"/>
  <c r="CR204" i="1"/>
  <c r="CQ204" i="1"/>
  <c r="CP204" i="1"/>
  <c r="CO204" i="1"/>
  <c r="CN204" i="1"/>
  <c r="CM204" i="1"/>
  <c r="CL204" i="1"/>
  <c r="CK204" i="1"/>
  <c r="CU203" i="1"/>
  <c r="CT203" i="1"/>
  <c r="CS203" i="1"/>
  <c r="CR203" i="1"/>
  <c r="CQ203" i="1"/>
  <c r="CP203" i="1"/>
  <c r="CO203" i="1"/>
  <c r="CN203" i="1"/>
  <c r="CM203" i="1"/>
  <c r="CL203" i="1"/>
  <c r="CK203" i="1"/>
  <c r="CU202" i="1"/>
  <c r="CT202" i="1"/>
  <c r="CS202" i="1"/>
  <c r="CR202" i="1"/>
  <c r="CQ202" i="1"/>
  <c r="CP202" i="1"/>
  <c r="CO202" i="1"/>
  <c r="CN202" i="1"/>
  <c r="CM202" i="1"/>
  <c r="CL202" i="1"/>
  <c r="CK202" i="1"/>
  <c r="CU201" i="1"/>
  <c r="CT201" i="1"/>
  <c r="CS201" i="1"/>
  <c r="CR201" i="1"/>
  <c r="CQ201" i="1"/>
  <c r="CP201" i="1"/>
  <c r="CO201" i="1"/>
  <c r="CN201" i="1"/>
  <c r="CM201" i="1"/>
  <c r="CL201" i="1"/>
  <c r="CK201" i="1"/>
  <c r="CU200" i="1"/>
  <c r="CT200" i="1"/>
  <c r="CS200" i="1"/>
  <c r="CR200" i="1"/>
  <c r="CQ200" i="1"/>
  <c r="CP200" i="1"/>
  <c r="CO200" i="1"/>
  <c r="CN200" i="1"/>
  <c r="CM200" i="1"/>
  <c r="CL200" i="1"/>
  <c r="CK200" i="1"/>
  <c r="CU199" i="1"/>
  <c r="CT199" i="1"/>
  <c r="CS199" i="1"/>
  <c r="CR199" i="1"/>
  <c r="CQ199" i="1"/>
  <c r="CP199" i="1"/>
  <c r="CO199" i="1"/>
  <c r="CN199" i="1"/>
  <c r="CM199" i="1"/>
  <c r="CL199" i="1"/>
  <c r="CK199" i="1"/>
  <c r="CU198" i="1"/>
  <c r="CT198" i="1"/>
  <c r="CS198" i="1"/>
  <c r="CR198" i="1"/>
  <c r="CQ198" i="1"/>
  <c r="CP198" i="1"/>
  <c r="CO198" i="1"/>
  <c r="CN198" i="1"/>
  <c r="CM198" i="1"/>
  <c r="CL198" i="1"/>
  <c r="CK198" i="1"/>
  <c r="CU197" i="1"/>
  <c r="CT197" i="1"/>
  <c r="CS197" i="1"/>
  <c r="CR197" i="1"/>
  <c r="CQ197" i="1"/>
  <c r="CP197" i="1"/>
  <c r="CO197" i="1"/>
  <c r="CN197" i="1"/>
  <c r="CM197" i="1"/>
  <c r="CL197" i="1"/>
  <c r="CK197" i="1"/>
  <c r="CU196" i="1"/>
  <c r="CT196" i="1"/>
  <c r="CS196" i="1"/>
  <c r="CR196" i="1"/>
  <c r="CQ196" i="1"/>
  <c r="CP196" i="1"/>
  <c r="CO196" i="1"/>
  <c r="CN196" i="1"/>
  <c r="CM196" i="1"/>
  <c r="CL196" i="1"/>
  <c r="CK196" i="1"/>
  <c r="CU195" i="1"/>
  <c r="CT195" i="1"/>
  <c r="CS195" i="1"/>
  <c r="CR195" i="1"/>
  <c r="CQ195" i="1"/>
  <c r="CP195" i="1"/>
  <c r="CO195" i="1"/>
  <c r="CN195" i="1"/>
  <c r="CM195" i="1"/>
  <c r="CL195" i="1"/>
  <c r="CK195" i="1"/>
  <c r="CU194" i="1"/>
  <c r="CT194" i="1"/>
  <c r="CS194" i="1"/>
  <c r="CR194" i="1"/>
  <c r="CQ194" i="1"/>
  <c r="CP194" i="1"/>
  <c r="CO194" i="1"/>
  <c r="CN194" i="1"/>
  <c r="CM194" i="1"/>
  <c r="CL194" i="1"/>
  <c r="CK194" i="1"/>
  <c r="CU193" i="1"/>
  <c r="CT193" i="1"/>
  <c r="CS193" i="1"/>
  <c r="CR193" i="1"/>
  <c r="CQ193" i="1"/>
  <c r="CP193" i="1"/>
  <c r="CO193" i="1"/>
  <c r="CN193" i="1"/>
  <c r="CM193" i="1"/>
  <c r="CL193" i="1"/>
  <c r="CK193" i="1"/>
  <c r="CU192" i="1"/>
  <c r="CT192" i="1"/>
  <c r="CS192" i="1"/>
  <c r="CR192" i="1"/>
  <c r="CQ192" i="1"/>
  <c r="CP192" i="1"/>
  <c r="CO192" i="1"/>
  <c r="CN192" i="1"/>
  <c r="CM192" i="1"/>
  <c r="CL192" i="1"/>
  <c r="CK192" i="1"/>
  <c r="CU191" i="1"/>
  <c r="CT191" i="1"/>
  <c r="CS191" i="1"/>
  <c r="CR191" i="1"/>
  <c r="CQ191" i="1"/>
  <c r="CP191" i="1"/>
  <c r="CO191" i="1"/>
  <c r="CN191" i="1"/>
  <c r="CM191" i="1"/>
  <c r="CL191" i="1"/>
  <c r="CK191" i="1"/>
  <c r="CU190" i="1"/>
  <c r="CT190" i="1"/>
  <c r="CS190" i="1"/>
  <c r="CR190" i="1"/>
  <c r="CQ190" i="1"/>
  <c r="CP190" i="1"/>
  <c r="CO190" i="1"/>
  <c r="CN190" i="1"/>
  <c r="CM190" i="1"/>
  <c r="CL190" i="1"/>
  <c r="CK190" i="1"/>
  <c r="CU189" i="1"/>
  <c r="CT189" i="1"/>
  <c r="CS189" i="1"/>
  <c r="CR189" i="1"/>
  <c r="CQ189" i="1"/>
  <c r="CP189" i="1"/>
  <c r="CO189" i="1"/>
  <c r="CN189" i="1"/>
  <c r="CM189" i="1"/>
  <c r="CL189" i="1"/>
  <c r="CK189" i="1"/>
  <c r="CU188" i="1"/>
  <c r="CT188" i="1"/>
  <c r="CS188" i="1"/>
  <c r="CR188" i="1"/>
  <c r="CQ188" i="1"/>
  <c r="CP188" i="1"/>
  <c r="CO188" i="1"/>
  <c r="CN188" i="1"/>
  <c r="CM188" i="1"/>
  <c r="CL188" i="1"/>
  <c r="CK188" i="1"/>
  <c r="CU187" i="1"/>
  <c r="CT187" i="1"/>
  <c r="CS187" i="1"/>
  <c r="CR187" i="1"/>
  <c r="CQ187" i="1"/>
  <c r="CP187" i="1"/>
  <c r="CO187" i="1"/>
  <c r="CN187" i="1"/>
  <c r="CM187" i="1"/>
  <c r="CL187" i="1"/>
  <c r="CK187" i="1"/>
  <c r="CU186" i="1"/>
  <c r="CT186" i="1"/>
  <c r="CS186" i="1"/>
  <c r="CR186" i="1"/>
  <c r="CQ186" i="1"/>
  <c r="CP186" i="1"/>
  <c r="CO186" i="1"/>
  <c r="CN186" i="1"/>
  <c r="CM186" i="1"/>
  <c r="CL186" i="1"/>
  <c r="CK186" i="1"/>
  <c r="CU185" i="1"/>
  <c r="CT185" i="1"/>
  <c r="CS185" i="1"/>
  <c r="CR185" i="1"/>
  <c r="CQ185" i="1"/>
  <c r="CP185" i="1"/>
  <c r="CO185" i="1"/>
  <c r="CN185" i="1"/>
  <c r="CM185" i="1"/>
  <c r="CL185" i="1"/>
  <c r="CK185" i="1"/>
  <c r="CU184" i="1"/>
  <c r="CT184" i="1"/>
  <c r="CS184" i="1"/>
  <c r="CR184" i="1"/>
  <c r="CQ184" i="1"/>
  <c r="CP184" i="1"/>
  <c r="CO184" i="1"/>
  <c r="CN184" i="1"/>
  <c r="CM184" i="1"/>
  <c r="CL184" i="1"/>
  <c r="CK184" i="1"/>
  <c r="CU183" i="1"/>
  <c r="CT183" i="1"/>
  <c r="CS183" i="1"/>
  <c r="CR183" i="1"/>
  <c r="CQ183" i="1"/>
  <c r="CP183" i="1"/>
  <c r="CO183" i="1"/>
  <c r="CN183" i="1"/>
  <c r="CM183" i="1"/>
  <c r="CL183" i="1"/>
  <c r="CK183" i="1"/>
  <c r="CU182" i="1"/>
  <c r="CT182" i="1"/>
  <c r="CS182" i="1"/>
  <c r="CR182" i="1"/>
  <c r="CQ182" i="1"/>
  <c r="CP182" i="1"/>
  <c r="CO182" i="1"/>
  <c r="CN182" i="1"/>
  <c r="CM182" i="1"/>
  <c r="CL182" i="1"/>
  <c r="CK182" i="1"/>
  <c r="CU181" i="1"/>
  <c r="CT181" i="1"/>
  <c r="CS181" i="1"/>
  <c r="CR181" i="1"/>
  <c r="CQ181" i="1"/>
  <c r="CP181" i="1"/>
  <c r="CO181" i="1"/>
  <c r="CN181" i="1"/>
  <c r="CM181" i="1"/>
  <c r="CL181" i="1"/>
  <c r="CK181" i="1"/>
  <c r="CU180" i="1"/>
  <c r="CT180" i="1"/>
  <c r="CS180" i="1"/>
  <c r="CR180" i="1"/>
  <c r="CQ180" i="1"/>
  <c r="CP180" i="1"/>
  <c r="CO180" i="1"/>
  <c r="CN180" i="1"/>
  <c r="CM180" i="1"/>
  <c r="CL180" i="1"/>
  <c r="CK180" i="1"/>
  <c r="CU179" i="1"/>
  <c r="CT179" i="1"/>
  <c r="CS179" i="1"/>
  <c r="CR179" i="1"/>
  <c r="CQ179" i="1"/>
  <c r="CP179" i="1"/>
  <c r="CO179" i="1"/>
  <c r="CN179" i="1"/>
  <c r="CM179" i="1"/>
  <c r="CL179" i="1"/>
  <c r="CK179" i="1"/>
  <c r="CU177" i="1"/>
  <c r="CT177" i="1"/>
  <c r="CS177" i="1"/>
  <c r="CR177" i="1"/>
  <c r="CQ177" i="1"/>
  <c r="CP177" i="1"/>
  <c r="CO177" i="1"/>
  <c r="CN177" i="1"/>
  <c r="CM177" i="1"/>
  <c r="CL177" i="1"/>
  <c r="CK177" i="1"/>
  <c r="CU176" i="1"/>
  <c r="CT176" i="1"/>
  <c r="CS176" i="1"/>
  <c r="CR176" i="1"/>
  <c r="CQ176" i="1"/>
  <c r="CP176" i="1"/>
  <c r="CO176" i="1"/>
  <c r="CN176" i="1"/>
  <c r="CM176" i="1"/>
  <c r="CL176" i="1"/>
  <c r="CK176" i="1"/>
  <c r="CU175" i="1"/>
  <c r="CT175" i="1"/>
  <c r="CS175" i="1"/>
  <c r="CR175" i="1"/>
  <c r="CQ175" i="1"/>
  <c r="CP175" i="1"/>
  <c r="CO175" i="1"/>
  <c r="CN175" i="1"/>
  <c r="CM175" i="1"/>
  <c r="CL175" i="1"/>
  <c r="CK175" i="1"/>
  <c r="CU174" i="1"/>
  <c r="CT174" i="1"/>
  <c r="CS174" i="1"/>
  <c r="CR174" i="1"/>
  <c r="CQ174" i="1"/>
  <c r="CP174" i="1"/>
  <c r="CO174" i="1"/>
  <c r="CN174" i="1"/>
  <c r="CM174" i="1"/>
  <c r="CL174" i="1"/>
  <c r="CK174" i="1"/>
  <c r="CU173" i="1"/>
  <c r="CT173" i="1"/>
  <c r="CS173" i="1"/>
  <c r="CR173" i="1"/>
  <c r="CQ173" i="1"/>
  <c r="CP173" i="1"/>
  <c r="CO173" i="1"/>
  <c r="CN173" i="1"/>
  <c r="CM173" i="1"/>
  <c r="CL173" i="1"/>
  <c r="CK173" i="1"/>
  <c r="CU172" i="1"/>
  <c r="CT172" i="1"/>
  <c r="CS172" i="1"/>
  <c r="CR172" i="1"/>
  <c r="CQ172" i="1"/>
  <c r="CP172" i="1"/>
  <c r="CO172" i="1"/>
  <c r="CN172" i="1"/>
  <c r="CM172" i="1"/>
  <c r="CL172" i="1"/>
  <c r="CK172" i="1"/>
  <c r="CU171" i="1"/>
  <c r="CT171" i="1"/>
  <c r="CS171" i="1"/>
  <c r="CR171" i="1"/>
  <c r="CQ171" i="1"/>
  <c r="CP171" i="1"/>
  <c r="CO171" i="1"/>
  <c r="CN171" i="1"/>
  <c r="CM171" i="1"/>
  <c r="CL171" i="1"/>
  <c r="CK171" i="1"/>
  <c r="CT170" i="1"/>
  <c r="CS170" i="1"/>
  <c r="CL170" i="1"/>
  <c r="CK170" i="1"/>
  <c r="CU168" i="1"/>
  <c r="CT168" i="1"/>
  <c r="CS168" i="1"/>
  <c r="CR168" i="1"/>
  <c r="CQ168" i="1"/>
  <c r="CP168" i="1"/>
  <c r="CO168" i="1"/>
  <c r="CN168" i="1"/>
  <c r="CM168" i="1"/>
  <c r="CL168" i="1"/>
  <c r="CK168" i="1"/>
  <c r="CU167" i="1"/>
  <c r="CT167" i="1"/>
  <c r="CS167" i="1"/>
  <c r="CR167" i="1"/>
  <c r="CQ167" i="1"/>
  <c r="CP167" i="1"/>
  <c r="CO167" i="1"/>
  <c r="CN167" i="1"/>
  <c r="CM167" i="1"/>
  <c r="CL167" i="1"/>
  <c r="CK167" i="1"/>
  <c r="CU166" i="1"/>
  <c r="CT166" i="1"/>
  <c r="CS166" i="1"/>
  <c r="CR166" i="1"/>
  <c r="CQ166" i="1"/>
  <c r="CP166" i="1"/>
  <c r="CO166" i="1"/>
  <c r="CN166" i="1"/>
  <c r="CM166" i="1"/>
  <c r="CL166" i="1"/>
  <c r="CK166" i="1"/>
  <c r="CU165" i="1"/>
  <c r="CT165" i="1"/>
  <c r="CS165" i="1"/>
  <c r="CR165" i="1"/>
  <c r="CQ165" i="1"/>
  <c r="CP165" i="1"/>
  <c r="CO165" i="1"/>
  <c r="CN165" i="1"/>
  <c r="CM165" i="1"/>
  <c r="CL165" i="1"/>
  <c r="CK165" i="1"/>
  <c r="CU164" i="1"/>
  <c r="CT164" i="1"/>
  <c r="CS164" i="1"/>
  <c r="CR164" i="1"/>
  <c r="CQ164" i="1"/>
  <c r="CP164" i="1"/>
  <c r="CO164" i="1"/>
  <c r="CN164" i="1"/>
  <c r="CM164" i="1"/>
  <c r="CL164" i="1"/>
  <c r="CK164" i="1"/>
  <c r="CU163" i="1"/>
  <c r="CT163" i="1"/>
  <c r="CS163" i="1"/>
  <c r="CR163" i="1"/>
  <c r="CQ163" i="1"/>
  <c r="CP163" i="1"/>
  <c r="CO163" i="1"/>
  <c r="CN163" i="1"/>
  <c r="CM163" i="1"/>
  <c r="CL163" i="1"/>
  <c r="CK163" i="1"/>
  <c r="CU162" i="1"/>
  <c r="CT162" i="1"/>
  <c r="CS162" i="1"/>
  <c r="CR162" i="1"/>
  <c r="CQ162" i="1"/>
  <c r="CP162" i="1"/>
  <c r="CO162" i="1"/>
  <c r="CN162" i="1"/>
  <c r="CM162" i="1"/>
  <c r="CL162" i="1"/>
  <c r="CK162" i="1"/>
  <c r="CU161" i="1"/>
  <c r="CT161" i="1"/>
  <c r="CS161" i="1"/>
  <c r="CR161" i="1"/>
  <c r="CQ161" i="1"/>
  <c r="CP161" i="1"/>
  <c r="CO161" i="1"/>
  <c r="CN161" i="1"/>
  <c r="CM161" i="1"/>
  <c r="CL161" i="1"/>
  <c r="CK161" i="1"/>
  <c r="CU160" i="1"/>
  <c r="CT160" i="1"/>
  <c r="CS160" i="1"/>
  <c r="CR160" i="1"/>
  <c r="CQ160" i="1"/>
  <c r="CP160" i="1"/>
  <c r="CO160" i="1"/>
  <c r="CN160" i="1"/>
  <c r="CM160" i="1"/>
  <c r="CL160" i="1"/>
  <c r="CK160" i="1"/>
  <c r="CU159" i="1"/>
  <c r="CT159" i="1"/>
  <c r="CS159" i="1"/>
  <c r="CR159" i="1"/>
  <c r="CQ159" i="1"/>
  <c r="CP159" i="1"/>
  <c r="CO159" i="1"/>
  <c r="CN159" i="1"/>
  <c r="CM159" i="1"/>
  <c r="CL159" i="1"/>
  <c r="CK159" i="1"/>
  <c r="CU158" i="1"/>
  <c r="CT158" i="1"/>
  <c r="CS158" i="1"/>
  <c r="CR158" i="1"/>
  <c r="CQ158" i="1"/>
  <c r="CP158" i="1"/>
  <c r="CO158" i="1"/>
  <c r="CN158" i="1"/>
  <c r="CM158" i="1"/>
  <c r="CL158" i="1"/>
  <c r="CK158" i="1"/>
  <c r="CU157" i="1"/>
  <c r="CT157" i="1"/>
  <c r="CS157" i="1"/>
  <c r="CR157" i="1"/>
  <c r="CQ157" i="1"/>
  <c r="CP157" i="1"/>
  <c r="CO157" i="1"/>
  <c r="CN157" i="1"/>
  <c r="CM157" i="1"/>
  <c r="CL157" i="1"/>
  <c r="CK157" i="1"/>
  <c r="CU156" i="1"/>
  <c r="CT156" i="1"/>
  <c r="CS156" i="1"/>
  <c r="CR156" i="1"/>
  <c r="CQ156" i="1"/>
  <c r="CP156" i="1"/>
  <c r="CO156" i="1"/>
  <c r="CN156" i="1"/>
  <c r="CM156" i="1"/>
  <c r="CL156" i="1"/>
  <c r="CK156" i="1"/>
  <c r="CU155" i="1"/>
  <c r="CT155" i="1"/>
  <c r="CS155" i="1"/>
  <c r="CR155" i="1"/>
  <c r="CQ155" i="1"/>
  <c r="CP155" i="1"/>
  <c r="CO155" i="1"/>
  <c r="CN155" i="1"/>
  <c r="CM155" i="1"/>
  <c r="CL155" i="1"/>
  <c r="CK155" i="1"/>
  <c r="CU154" i="1"/>
  <c r="CT154" i="1"/>
  <c r="CS154" i="1"/>
  <c r="CR154" i="1"/>
  <c r="CQ154" i="1"/>
  <c r="CP154" i="1"/>
  <c r="CO154" i="1"/>
  <c r="CN154" i="1"/>
  <c r="CM154" i="1"/>
  <c r="CL154" i="1"/>
  <c r="CK154" i="1"/>
  <c r="CU153" i="1"/>
  <c r="CT153" i="1"/>
  <c r="CS153" i="1"/>
  <c r="CR153" i="1"/>
  <c r="CQ153" i="1"/>
  <c r="CP153" i="1"/>
  <c r="CO153" i="1"/>
  <c r="CN153" i="1"/>
  <c r="CM153" i="1"/>
  <c r="CL153" i="1"/>
  <c r="CK153" i="1"/>
  <c r="CU152" i="1"/>
  <c r="CT152" i="1"/>
  <c r="CS152" i="1"/>
  <c r="CR152" i="1"/>
  <c r="CQ152" i="1"/>
  <c r="CP152" i="1"/>
  <c r="CO152" i="1"/>
  <c r="CN152" i="1"/>
  <c r="CM152" i="1"/>
  <c r="CL152" i="1"/>
  <c r="CK152" i="1"/>
  <c r="CU151" i="1"/>
  <c r="CT151" i="1"/>
  <c r="CS151" i="1"/>
  <c r="CR151" i="1"/>
  <c r="CQ151" i="1"/>
  <c r="CP151" i="1"/>
  <c r="CO151" i="1"/>
  <c r="CN151" i="1"/>
  <c r="CM151" i="1"/>
  <c r="CL151" i="1"/>
  <c r="CK151" i="1"/>
  <c r="CU150" i="1"/>
  <c r="CT150" i="1"/>
  <c r="CS150" i="1"/>
  <c r="CR150" i="1"/>
  <c r="CQ150" i="1"/>
  <c r="CP150" i="1"/>
  <c r="CO150" i="1"/>
  <c r="CN150" i="1"/>
  <c r="CM150" i="1"/>
  <c r="CL150" i="1"/>
  <c r="CK150" i="1"/>
  <c r="CU149" i="1"/>
  <c r="CT149" i="1"/>
  <c r="CS149" i="1"/>
  <c r="CR149" i="1"/>
  <c r="CQ149" i="1"/>
  <c r="CP149" i="1"/>
  <c r="CO149" i="1"/>
  <c r="CN149" i="1"/>
  <c r="CM149" i="1"/>
  <c r="CL149" i="1"/>
  <c r="CK149" i="1"/>
  <c r="CU148" i="1"/>
  <c r="CT148" i="1"/>
  <c r="CS148" i="1"/>
  <c r="CR148" i="1"/>
  <c r="CQ148" i="1"/>
  <c r="CP148" i="1"/>
  <c r="CO148" i="1"/>
  <c r="CN148" i="1"/>
  <c r="CM148" i="1"/>
  <c r="CL148" i="1"/>
  <c r="CK148" i="1"/>
  <c r="CU147" i="1"/>
  <c r="CT147" i="1"/>
  <c r="CS147" i="1"/>
  <c r="CR147" i="1"/>
  <c r="CQ147" i="1"/>
  <c r="CP147" i="1"/>
  <c r="CO147" i="1"/>
  <c r="CN147" i="1"/>
  <c r="CM147" i="1"/>
  <c r="CL147" i="1"/>
  <c r="CK147" i="1"/>
  <c r="CU146" i="1"/>
  <c r="CT146" i="1"/>
  <c r="CS146" i="1"/>
  <c r="CR146" i="1"/>
  <c r="CQ146" i="1"/>
  <c r="CP146" i="1"/>
  <c r="CO146" i="1"/>
  <c r="CN146" i="1"/>
  <c r="CM146" i="1"/>
  <c r="CL146" i="1"/>
  <c r="CK146" i="1"/>
  <c r="CU145" i="1"/>
  <c r="CT145" i="1"/>
  <c r="CS145" i="1"/>
  <c r="CR145" i="1"/>
  <c r="CQ145" i="1"/>
  <c r="CP145" i="1"/>
  <c r="CO145" i="1"/>
  <c r="CN145" i="1"/>
  <c r="CM145" i="1"/>
  <c r="CL145" i="1"/>
  <c r="CK145" i="1"/>
  <c r="CU144" i="1"/>
  <c r="CT144" i="1"/>
  <c r="CS144" i="1"/>
  <c r="CR144" i="1"/>
  <c r="CQ144" i="1"/>
  <c r="CP144" i="1"/>
  <c r="CO144" i="1"/>
  <c r="CN144" i="1"/>
  <c r="CM144" i="1"/>
  <c r="CL144" i="1"/>
  <c r="CK144" i="1"/>
  <c r="CU143" i="1"/>
  <c r="CT143" i="1"/>
  <c r="CS143" i="1"/>
  <c r="CR143" i="1"/>
  <c r="CQ143" i="1"/>
  <c r="CP143" i="1"/>
  <c r="CO143" i="1"/>
  <c r="CN143" i="1"/>
  <c r="CM143" i="1"/>
  <c r="CL143" i="1"/>
  <c r="CK143" i="1"/>
  <c r="CU140" i="1"/>
  <c r="CT140" i="1"/>
  <c r="CS140" i="1"/>
  <c r="CR140" i="1"/>
  <c r="CQ140" i="1"/>
  <c r="CP140" i="1"/>
  <c r="CO140" i="1"/>
  <c r="CN140" i="1"/>
  <c r="CM140" i="1"/>
  <c r="CL140" i="1"/>
  <c r="CK140" i="1"/>
  <c r="CU139" i="1"/>
  <c r="CT139" i="1"/>
  <c r="CS139" i="1"/>
  <c r="CR139" i="1"/>
  <c r="CQ139" i="1"/>
  <c r="CP139" i="1"/>
  <c r="CO139" i="1"/>
  <c r="CN139" i="1"/>
  <c r="CM139" i="1"/>
  <c r="CL139" i="1"/>
  <c r="CK139" i="1"/>
  <c r="CU138" i="1"/>
  <c r="CT138" i="1"/>
  <c r="CS138" i="1"/>
  <c r="CR138" i="1"/>
  <c r="CQ138" i="1"/>
  <c r="CP138" i="1"/>
  <c r="CO138" i="1"/>
  <c r="CN138" i="1"/>
  <c r="CM138" i="1"/>
  <c r="CL138" i="1"/>
  <c r="CK138" i="1"/>
  <c r="CU137" i="1"/>
  <c r="CT137" i="1"/>
  <c r="CS137" i="1"/>
  <c r="CR137" i="1"/>
  <c r="CQ137" i="1"/>
  <c r="CP137" i="1"/>
  <c r="CO137" i="1"/>
  <c r="CN137" i="1"/>
  <c r="CM137" i="1"/>
  <c r="CL137" i="1"/>
  <c r="CK137" i="1"/>
  <c r="CU134" i="1"/>
  <c r="CT134" i="1"/>
  <c r="CS134" i="1"/>
  <c r="CR134" i="1"/>
  <c r="CQ134" i="1"/>
  <c r="CP134" i="1"/>
  <c r="CO134" i="1"/>
  <c r="CN134" i="1"/>
  <c r="CM134" i="1"/>
  <c r="CL134" i="1"/>
  <c r="CK134" i="1"/>
  <c r="CU133" i="1"/>
  <c r="CT133" i="1"/>
  <c r="CS133" i="1"/>
  <c r="CR133" i="1"/>
  <c r="CQ133" i="1"/>
  <c r="CP133" i="1"/>
  <c r="CO133" i="1"/>
  <c r="CN133" i="1"/>
  <c r="CM133" i="1"/>
  <c r="CL133" i="1"/>
  <c r="CK133" i="1"/>
  <c r="CU132" i="1"/>
  <c r="CT132" i="1"/>
  <c r="CS132" i="1"/>
  <c r="CR132" i="1"/>
  <c r="CQ132" i="1"/>
  <c r="CP132" i="1"/>
  <c r="CO132" i="1"/>
  <c r="CN132" i="1"/>
  <c r="CM132" i="1"/>
  <c r="CL132" i="1"/>
  <c r="CK132" i="1"/>
  <c r="CU131" i="1"/>
  <c r="CT131" i="1"/>
  <c r="CS131" i="1"/>
  <c r="CR131" i="1"/>
  <c r="CQ131" i="1"/>
  <c r="CP131" i="1"/>
  <c r="CO131" i="1"/>
  <c r="CN131" i="1"/>
  <c r="CM131" i="1"/>
  <c r="CL131" i="1"/>
  <c r="CK131" i="1"/>
  <c r="CU130" i="1"/>
  <c r="CT130" i="1"/>
  <c r="CS130" i="1"/>
  <c r="CR130" i="1"/>
  <c r="CQ130" i="1"/>
  <c r="CP130" i="1"/>
  <c r="CO130" i="1"/>
  <c r="CN130" i="1"/>
  <c r="CM130" i="1"/>
  <c r="CL130" i="1"/>
  <c r="CK130" i="1"/>
  <c r="CU129" i="1"/>
  <c r="CT129" i="1"/>
  <c r="CS129" i="1"/>
  <c r="CR129" i="1"/>
  <c r="CQ129" i="1"/>
  <c r="CP129" i="1"/>
  <c r="CO129" i="1"/>
  <c r="CN129" i="1"/>
  <c r="CM129" i="1"/>
  <c r="CL129" i="1"/>
  <c r="CK129" i="1"/>
  <c r="CU126" i="1"/>
  <c r="CT126" i="1"/>
  <c r="CS126" i="1"/>
  <c r="CR126" i="1"/>
  <c r="CQ126" i="1"/>
  <c r="CP126" i="1"/>
  <c r="CO126" i="1"/>
  <c r="CN126" i="1"/>
  <c r="CM126" i="1"/>
  <c r="CL126" i="1"/>
  <c r="CK126" i="1"/>
  <c r="CU125" i="1"/>
  <c r="CT125" i="1"/>
  <c r="CS125" i="1"/>
  <c r="CR125" i="1"/>
  <c r="CQ125" i="1"/>
  <c r="CP125" i="1"/>
  <c r="CO125" i="1"/>
  <c r="CN125" i="1"/>
  <c r="CM125" i="1"/>
  <c r="CL125" i="1"/>
  <c r="CK125" i="1"/>
  <c r="CU124" i="1"/>
  <c r="CT124" i="1"/>
  <c r="CS124" i="1"/>
  <c r="CR124" i="1"/>
  <c r="CQ124" i="1"/>
  <c r="CP124" i="1"/>
  <c r="CO124" i="1"/>
  <c r="CN124" i="1"/>
  <c r="CM124" i="1"/>
  <c r="CL124" i="1"/>
  <c r="CK124" i="1"/>
  <c r="CU123" i="1"/>
  <c r="CT123" i="1"/>
  <c r="CS123" i="1"/>
  <c r="CR123" i="1"/>
  <c r="CQ123" i="1"/>
  <c r="CP123" i="1"/>
  <c r="CO123" i="1"/>
  <c r="CN123" i="1"/>
  <c r="CM123" i="1"/>
  <c r="CL123" i="1"/>
  <c r="CK123" i="1"/>
  <c r="CU122" i="1"/>
  <c r="CT122" i="1"/>
  <c r="CS122" i="1"/>
  <c r="CR122" i="1"/>
  <c r="CQ122" i="1"/>
  <c r="CP122" i="1"/>
  <c r="CO122" i="1"/>
  <c r="CN122" i="1"/>
  <c r="CM122" i="1"/>
  <c r="CL122" i="1"/>
  <c r="CK122" i="1"/>
  <c r="CU121" i="1"/>
  <c r="CT121" i="1"/>
  <c r="CS121" i="1"/>
  <c r="CR121" i="1"/>
  <c r="CQ121" i="1"/>
  <c r="CP121" i="1"/>
  <c r="CO121" i="1"/>
  <c r="CN121" i="1"/>
  <c r="CM121" i="1"/>
  <c r="CL121" i="1"/>
  <c r="CK121" i="1"/>
  <c r="CU120" i="1"/>
  <c r="CT120" i="1"/>
  <c r="CS120" i="1"/>
  <c r="CR120" i="1"/>
  <c r="CQ120" i="1"/>
  <c r="CP120" i="1"/>
  <c r="CO120" i="1"/>
  <c r="CN120" i="1"/>
  <c r="CM120" i="1"/>
  <c r="CL120" i="1"/>
  <c r="CK120" i="1"/>
  <c r="CU119" i="1"/>
  <c r="CT119" i="1"/>
  <c r="CS119" i="1"/>
  <c r="CR119" i="1"/>
  <c r="CQ119" i="1"/>
  <c r="CP119" i="1"/>
  <c r="CO119" i="1"/>
  <c r="CN119" i="1"/>
  <c r="CM119" i="1"/>
  <c r="CL119" i="1"/>
  <c r="CK119" i="1"/>
  <c r="CU118" i="1"/>
  <c r="CT118" i="1"/>
  <c r="CS118" i="1"/>
  <c r="CR118" i="1"/>
  <c r="CQ118" i="1"/>
  <c r="CP118" i="1"/>
  <c r="CO118" i="1"/>
  <c r="CN118" i="1"/>
  <c r="CM118" i="1"/>
  <c r="CL118" i="1"/>
  <c r="CK118" i="1"/>
  <c r="CU117" i="1"/>
  <c r="CT117" i="1"/>
  <c r="CS117" i="1"/>
  <c r="CR117" i="1"/>
  <c r="CQ117" i="1"/>
  <c r="CP117" i="1"/>
  <c r="CO117" i="1"/>
  <c r="CN117" i="1"/>
  <c r="CM117" i="1"/>
  <c r="CL117" i="1"/>
  <c r="CK117" i="1"/>
  <c r="CU116" i="1"/>
  <c r="CT116" i="1"/>
  <c r="CS116" i="1"/>
  <c r="CR116" i="1"/>
  <c r="CQ116" i="1"/>
  <c r="CP116" i="1"/>
  <c r="CO116" i="1"/>
  <c r="CN116" i="1"/>
  <c r="CM116" i="1"/>
  <c r="CL116" i="1"/>
  <c r="CK116" i="1"/>
  <c r="CU115" i="1"/>
  <c r="CT115" i="1"/>
  <c r="CS115" i="1"/>
  <c r="CR115" i="1"/>
  <c r="CQ115" i="1"/>
  <c r="CP115" i="1"/>
  <c r="CO115" i="1"/>
  <c r="CN115" i="1"/>
  <c r="CM115" i="1"/>
  <c r="CL115" i="1"/>
  <c r="CK115" i="1"/>
  <c r="BO219" i="1"/>
  <c r="AP218" i="1"/>
  <c r="BN217" i="1"/>
  <c r="AP217" i="1"/>
  <c r="AG217" i="1"/>
  <c r="BM216" i="1"/>
  <c r="BL216" i="1"/>
  <c r="BK216" i="1"/>
  <c r="AP216" i="1"/>
  <c r="AG216" i="1"/>
  <c r="AG215" i="1"/>
  <c r="AP214" i="1"/>
  <c r="BO213" i="1"/>
  <c r="BN213" i="1"/>
  <c r="BM213" i="1"/>
  <c r="BL213" i="1"/>
  <c r="BJ213" i="1"/>
  <c r="BI213" i="1"/>
  <c r="BH213" i="1"/>
  <c r="BG213" i="1"/>
  <c r="BC213" i="1"/>
  <c r="BB213" i="1"/>
  <c r="BA213" i="1"/>
  <c r="AZ213" i="1"/>
  <c r="X213" i="1"/>
  <c r="W213" i="1"/>
  <c r="V213" i="1"/>
  <c r="U213" i="1"/>
  <c r="T213" i="1"/>
  <c r="S213" i="1"/>
  <c r="R213" i="1"/>
  <c r="Q213" i="1"/>
  <c r="P213" i="1"/>
  <c r="L213" i="1"/>
  <c r="K213" i="1"/>
  <c r="H213" i="1"/>
  <c r="CH212" i="1"/>
  <c r="CG212" i="1"/>
  <c r="BN212" i="1"/>
  <c r="X212" i="1"/>
  <c r="W212" i="1"/>
  <c r="V212" i="1"/>
  <c r="U212" i="1"/>
  <c r="T212" i="1"/>
  <c r="S212" i="1"/>
  <c r="R212" i="1"/>
  <c r="Q212" i="1"/>
  <c r="P212" i="1"/>
  <c r="L212" i="1"/>
  <c r="K212" i="1"/>
  <c r="H212" i="1"/>
  <c r="CD211" i="1"/>
  <c r="CC211" i="1"/>
  <c r="BX211" i="1"/>
  <c r="BK211" i="1"/>
  <c r="AM211" i="1"/>
  <c r="X211" i="1"/>
  <c r="W211" i="1"/>
  <c r="V211" i="1"/>
  <c r="U211" i="1"/>
  <c r="T211" i="1"/>
  <c r="S211" i="1"/>
  <c r="R211" i="1"/>
  <c r="Q211" i="1"/>
  <c r="P211" i="1"/>
  <c r="O211" i="1"/>
  <c r="N211" i="1"/>
  <c r="M211" i="1"/>
  <c r="L211" i="1"/>
  <c r="K211" i="1"/>
  <c r="J211" i="1"/>
  <c r="I211" i="1"/>
  <c r="H211" i="1"/>
  <c r="G211" i="1"/>
  <c r="F211" i="1"/>
  <c r="E211" i="1"/>
  <c r="CH210" i="1"/>
  <c r="CF210" i="1"/>
  <c r="CE210" i="1"/>
  <c r="CD210" i="1"/>
  <c r="CB210" i="1"/>
  <c r="BO210" i="1"/>
  <c r="AV210" i="1"/>
  <c r="AA210" i="1"/>
  <c r="Z210" i="1"/>
  <c r="CI206" i="1"/>
  <c r="CI204" i="1"/>
  <c r="CI203" i="1"/>
  <c r="CI202" i="1"/>
  <c r="CI200" i="1"/>
  <c r="CI198" i="1"/>
  <c r="CI197" i="1"/>
  <c r="CI196" i="1"/>
  <c r="CI185" i="1"/>
  <c r="CI184" i="1"/>
  <c r="CI183" i="1"/>
  <c r="CI182" i="1"/>
  <c r="CI181" i="1"/>
  <c r="CI180" i="1"/>
  <c r="CI176" i="1"/>
  <c r="CI175" i="1"/>
  <c r="CI174" i="1"/>
  <c r="CI173" i="1"/>
  <c r="CI172" i="1"/>
  <c r="CI171" i="1"/>
  <c r="CI165" i="1"/>
  <c r="CI164" i="1"/>
  <c r="CI163" i="1"/>
  <c r="CI160" i="1"/>
  <c r="CI159" i="1"/>
  <c r="CI156" i="1"/>
  <c r="CI155" i="1"/>
  <c r="CH206" i="1"/>
  <c r="CH205" i="1"/>
  <c r="CH204" i="1"/>
  <c r="CH203" i="1"/>
  <c r="CH202" i="1"/>
  <c r="CH201" i="1"/>
  <c r="CH200" i="1"/>
  <c r="CH199" i="1"/>
  <c r="CH198" i="1"/>
  <c r="CH197" i="1"/>
  <c r="CH196" i="1"/>
  <c r="CH195" i="1"/>
  <c r="CH194" i="1"/>
  <c r="CH193" i="1"/>
  <c r="CH192" i="1"/>
  <c r="CH191" i="1"/>
  <c r="CH190" i="1"/>
  <c r="CH189" i="1"/>
  <c r="CH188" i="1"/>
  <c r="CH187" i="1"/>
  <c r="CH186" i="1"/>
  <c r="CH185" i="1"/>
  <c r="CH184" i="1"/>
  <c r="CH183" i="1"/>
  <c r="CH182" i="1"/>
  <c r="CH181" i="1"/>
  <c r="CH180" i="1"/>
  <c r="CH179" i="1"/>
  <c r="CH178" i="1"/>
  <c r="CH177" i="1"/>
  <c r="CH176" i="1"/>
  <c r="CH175" i="1"/>
  <c r="CH174" i="1"/>
  <c r="CH173" i="1"/>
  <c r="CH172" i="1"/>
  <c r="CH171" i="1"/>
  <c r="CH170" i="1"/>
  <c r="CH169" i="1"/>
  <c r="CH168" i="1"/>
  <c r="CH167" i="1"/>
  <c r="CH166" i="1"/>
  <c r="CH165" i="1"/>
  <c r="CH164" i="1"/>
  <c r="CH163" i="1"/>
  <c r="CH162" i="1"/>
  <c r="CH161" i="1"/>
  <c r="CH160" i="1"/>
  <c r="CH159" i="1"/>
  <c r="CH158" i="1"/>
  <c r="CH157" i="1"/>
  <c r="CH156" i="1"/>
  <c r="CH155" i="1"/>
  <c r="CH154" i="1"/>
  <c r="CH153" i="1"/>
  <c r="CH152" i="1"/>
  <c r="CH151" i="1"/>
  <c r="CH150" i="1"/>
  <c r="CH149" i="1"/>
  <c r="CH148" i="1"/>
  <c r="CH147" i="1"/>
  <c r="CH146" i="1"/>
  <c r="CH145" i="1"/>
  <c r="CH144" i="1"/>
  <c r="CH143" i="1"/>
  <c r="CH142" i="1"/>
  <c r="CH141" i="1"/>
  <c r="CH140" i="1"/>
  <c r="CH139" i="1"/>
  <c r="CH138" i="1"/>
  <c r="CH137" i="1"/>
  <c r="CH136" i="1"/>
  <c r="CH135" i="1"/>
  <c r="CH134" i="1"/>
  <c r="CH133" i="1"/>
  <c r="CH132" i="1"/>
  <c r="CH131" i="1"/>
  <c r="CH130" i="1"/>
  <c r="CH129" i="1"/>
  <c r="CH128" i="1"/>
  <c r="CH127" i="1"/>
  <c r="CH126" i="1"/>
  <c r="CH125" i="1"/>
  <c r="CH124" i="1"/>
  <c r="CH123" i="1"/>
  <c r="CH122" i="1"/>
  <c r="CH121" i="1"/>
  <c r="CH120" i="1"/>
  <c r="CH119" i="1"/>
  <c r="CH118" i="1"/>
  <c r="CH117" i="1"/>
  <c r="CH116" i="1"/>
  <c r="CH115" i="1"/>
  <c r="CG206" i="1"/>
  <c r="CG205" i="1"/>
  <c r="CG204" i="1"/>
  <c r="CG203" i="1"/>
  <c r="CG202" i="1"/>
  <c r="CG201" i="1"/>
  <c r="CG200" i="1"/>
  <c r="CG199" i="1"/>
  <c r="CG198" i="1"/>
  <c r="CG197" i="1"/>
  <c r="CG196" i="1"/>
  <c r="CG195" i="1"/>
  <c r="CG194" i="1"/>
  <c r="CG193" i="1"/>
  <c r="CG192" i="1"/>
  <c r="CG191" i="1"/>
  <c r="CG190" i="1"/>
  <c r="CG189" i="1"/>
  <c r="CG188" i="1"/>
  <c r="CG187" i="1"/>
  <c r="CG186" i="1"/>
  <c r="CG185" i="1"/>
  <c r="CG184" i="1"/>
  <c r="CG183" i="1"/>
  <c r="CG182" i="1"/>
  <c r="CG181" i="1"/>
  <c r="CG180" i="1"/>
  <c r="CG179" i="1"/>
  <c r="CG178" i="1"/>
  <c r="CG177" i="1"/>
  <c r="CG176" i="1"/>
  <c r="CG175" i="1"/>
  <c r="CG174" i="1"/>
  <c r="CG173" i="1"/>
  <c r="CG172" i="1"/>
  <c r="CG171" i="1"/>
  <c r="CG170" i="1"/>
  <c r="CG169" i="1"/>
  <c r="CG168" i="1"/>
  <c r="CG167" i="1"/>
  <c r="CG166" i="1"/>
  <c r="CG165" i="1"/>
  <c r="CG164" i="1"/>
  <c r="CG163" i="1"/>
  <c r="CG162" i="1"/>
  <c r="CG161" i="1"/>
  <c r="CG160" i="1"/>
  <c r="CG159" i="1"/>
  <c r="CG158" i="1"/>
  <c r="CG157" i="1"/>
  <c r="CG156" i="1"/>
  <c r="CG155" i="1"/>
  <c r="CG154" i="1"/>
  <c r="CG153" i="1"/>
  <c r="CG152" i="1"/>
  <c r="CG151" i="1"/>
  <c r="CG150" i="1"/>
  <c r="CG149" i="1"/>
  <c r="CG148" i="1"/>
  <c r="CG147" i="1"/>
  <c r="CG146" i="1"/>
  <c r="CG145" i="1"/>
  <c r="CG144" i="1"/>
  <c r="CG143" i="1"/>
  <c r="CG142" i="1"/>
  <c r="CG141" i="1"/>
  <c r="CG140" i="1"/>
  <c r="CG139" i="1"/>
  <c r="CG138" i="1"/>
  <c r="CG137" i="1"/>
  <c r="CG136" i="1"/>
  <c r="CG135" i="1"/>
  <c r="CG134" i="1"/>
  <c r="CG133" i="1"/>
  <c r="CG132" i="1"/>
  <c r="CG131" i="1"/>
  <c r="CG130" i="1"/>
  <c r="CG129" i="1"/>
  <c r="CG128" i="1"/>
  <c r="CG127" i="1"/>
  <c r="CG126" i="1"/>
  <c r="CG125" i="1"/>
  <c r="CG124" i="1"/>
  <c r="CG123" i="1"/>
  <c r="CG122" i="1"/>
  <c r="CG121" i="1"/>
  <c r="CG120" i="1"/>
  <c r="CG119" i="1"/>
  <c r="CG118" i="1"/>
  <c r="CG117" i="1"/>
  <c r="CG116" i="1"/>
  <c r="CG115" i="1"/>
  <c r="CF206" i="1"/>
  <c r="CF205" i="1"/>
  <c r="CF204" i="1"/>
  <c r="CF203" i="1"/>
  <c r="CF202" i="1"/>
  <c r="CF201" i="1"/>
  <c r="CF200" i="1"/>
  <c r="CF199" i="1"/>
  <c r="CF198" i="1"/>
  <c r="CF197" i="1"/>
  <c r="CF196" i="1"/>
  <c r="CF195" i="1"/>
  <c r="CF194" i="1"/>
  <c r="CF193" i="1"/>
  <c r="CF192" i="1"/>
  <c r="CF191" i="1"/>
  <c r="CF190" i="1"/>
  <c r="CF189" i="1"/>
  <c r="CF188" i="1"/>
  <c r="CF187" i="1"/>
  <c r="CF186" i="1"/>
  <c r="CF185" i="1"/>
  <c r="CF184" i="1"/>
  <c r="CF183" i="1"/>
  <c r="CF182" i="1"/>
  <c r="CF181" i="1"/>
  <c r="CF180" i="1"/>
  <c r="CF179" i="1"/>
  <c r="CF178" i="1"/>
  <c r="CF177" i="1"/>
  <c r="CF176" i="1"/>
  <c r="CF175" i="1"/>
  <c r="CF174" i="1"/>
  <c r="CF173" i="1"/>
  <c r="CF172" i="1"/>
  <c r="CF171" i="1"/>
  <c r="CF170" i="1"/>
  <c r="CF169" i="1"/>
  <c r="CF168" i="1"/>
  <c r="CF167" i="1"/>
  <c r="CF166" i="1"/>
  <c r="CF165" i="1"/>
  <c r="CF164" i="1"/>
  <c r="CF163" i="1"/>
  <c r="CF162" i="1"/>
  <c r="CF161" i="1"/>
  <c r="CF160" i="1"/>
  <c r="CF159" i="1"/>
  <c r="CF158" i="1"/>
  <c r="CF157" i="1"/>
  <c r="CF156" i="1"/>
  <c r="CF155" i="1"/>
  <c r="CF154" i="1"/>
  <c r="CF153" i="1"/>
  <c r="CF152" i="1"/>
  <c r="CF151" i="1"/>
  <c r="CF150" i="1"/>
  <c r="CF149" i="1"/>
  <c r="CF148" i="1"/>
  <c r="CF147" i="1"/>
  <c r="CF146" i="1"/>
  <c r="CF145" i="1"/>
  <c r="CF144" i="1"/>
  <c r="CF143" i="1"/>
  <c r="CF142" i="1"/>
  <c r="CF141" i="1"/>
  <c r="CF140" i="1"/>
  <c r="CF139" i="1"/>
  <c r="CF138" i="1"/>
  <c r="CF137" i="1"/>
  <c r="CF136" i="1"/>
  <c r="CF135" i="1"/>
  <c r="CF134" i="1"/>
  <c r="CF133" i="1"/>
  <c r="CF132" i="1"/>
  <c r="CF131" i="1"/>
  <c r="CF130" i="1"/>
  <c r="CF129" i="1"/>
  <c r="CF128" i="1"/>
  <c r="CF127" i="1"/>
  <c r="CF126" i="1"/>
  <c r="CF125" i="1"/>
  <c r="CF124" i="1"/>
  <c r="CF123" i="1"/>
  <c r="CF122" i="1"/>
  <c r="CF121" i="1"/>
  <c r="CF120" i="1"/>
  <c r="CF119" i="1"/>
  <c r="CF118" i="1"/>
  <c r="CF117" i="1"/>
  <c r="CF116" i="1"/>
  <c r="CF115" i="1"/>
  <c r="CE206" i="1"/>
  <c r="CE205" i="1"/>
  <c r="CE204" i="1"/>
  <c r="CE203" i="1"/>
  <c r="CE202" i="1"/>
  <c r="CE201" i="1"/>
  <c r="CE200" i="1"/>
  <c r="CE199" i="1"/>
  <c r="CE198" i="1"/>
  <c r="CE197" i="1"/>
  <c r="CE196" i="1"/>
  <c r="CE195" i="1"/>
  <c r="CE194" i="1"/>
  <c r="CE193" i="1"/>
  <c r="CE192" i="1"/>
  <c r="CE191" i="1"/>
  <c r="CE190" i="1"/>
  <c r="CE189" i="1"/>
  <c r="CE188" i="1"/>
  <c r="CE187" i="1"/>
  <c r="CE186" i="1"/>
  <c r="CE185" i="1"/>
  <c r="CE184" i="1"/>
  <c r="CE183" i="1"/>
  <c r="CE182" i="1"/>
  <c r="CE181" i="1"/>
  <c r="CE180" i="1"/>
  <c r="CE179" i="1"/>
  <c r="CE178" i="1"/>
  <c r="CE177" i="1"/>
  <c r="CE176" i="1"/>
  <c r="CE175" i="1"/>
  <c r="CE174" i="1"/>
  <c r="CE173" i="1"/>
  <c r="CE172" i="1"/>
  <c r="CE171" i="1"/>
  <c r="CE170" i="1"/>
  <c r="CE169" i="1"/>
  <c r="CE168" i="1"/>
  <c r="CE167" i="1"/>
  <c r="CE166" i="1"/>
  <c r="CE165" i="1"/>
  <c r="CE164" i="1"/>
  <c r="CE163" i="1"/>
  <c r="CE162" i="1"/>
  <c r="CE161" i="1"/>
  <c r="CE160" i="1"/>
  <c r="CE159" i="1"/>
  <c r="CE158" i="1"/>
  <c r="CE157" i="1"/>
  <c r="CE156" i="1"/>
  <c r="CE155" i="1"/>
  <c r="CE154" i="1"/>
  <c r="CE153" i="1"/>
  <c r="CE152" i="1"/>
  <c r="CE151" i="1"/>
  <c r="CE150" i="1"/>
  <c r="CE149" i="1"/>
  <c r="CE148" i="1"/>
  <c r="CE147" i="1"/>
  <c r="CE146" i="1"/>
  <c r="CE145" i="1"/>
  <c r="CE144" i="1"/>
  <c r="CE143" i="1"/>
  <c r="CE142" i="1"/>
  <c r="CE141" i="1"/>
  <c r="CE140" i="1"/>
  <c r="CE139" i="1"/>
  <c r="CE138" i="1"/>
  <c r="CE137" i="1"/>
  <c r="CE136" i="1"/>
  <c r="CE135" i="1"/>
  <c r="CE134" i="1"/>
  <c r="CE133" i="1"/>
  <c r="CE132" i="1"/>
  <c r="CE131" i="1"/>
  <c r="CE130" i="1"/>
  <c r="CE129" i="1"/>
  <c r="CE128" i="1"/>
  <c r="CE127" i="1"/>
  <c r="CE126" i="1"/>
  <c r="CE125" i="1"/>
  <c r="CE124" i="1"/>
  <c r="CE123" i="1"/>
  <c r="CE122" i="1"/>
  <c r="CE121" i="1"/>
  <c r="CE120" i="1"/>
  <c r="CE119" i="1"/>
  <c r="CE118" i="1"/>
  <c r="CE117" i="1"/>
  <c r="CE116" i="1"/>
  <c r="CE115" i="1"/>
  <c r="CD206" i="1"/>
  <c r="CD205" i="1"/>
  <c r="CD204" i="1"/>
  <c r="CD203" i="1"/>
  <c r="CD202" i="1"/>
  <c r="CD201" i="1"/>
  <c r="CD200" i="1"/>
  <c r="CD199" i="1"/>
  <c r="CD198" i="1"/>
  <c r="CD197" i="1"/>
  <c r="CD196" i="1"/>
  <c r="CD195" i="1"/>
  <c r="CD194" i="1"/>
  <c r="CD193" i="1"/>
  <c r="CD192" i="1"/>
  <c r="CD191" i="1"/>
  <c r="CD190" i="1"/>
  <c r="CD189" i="1"/>
  <c r="CD188" i="1"/>
  <c r="CD187" i="1"/>
  <c r="CD186" i="1"/>
  <c r="CD185" i="1"/>
  <c r="CD184" i="1"/>
  <c r="CD183" i="1"/>
  <c r="CD182" i="1"/>
  <c r="CD181" i="1"/>
  <c r="CD180" i="1"/>
  <c r="CD179" i="1"/>
  <c r="CD178" i="1"/>
  <c r="CD177" i="1"/>
  <c r="CD176" i="1"/>
  <c r="CD175" i="1"/>
  <c r="CD174" i="1"/>
  <c r="CD173" i="1"/>
  <c r="CD172" i="1"/>
  <c r="CD171" i="1"/>
  <c r="CD170" i="1"/>
  <c r="CD169" i="1"/>
  <c r="CD168" i="1"/>
  <c r="CD167" i="1"/>
  <c r="CD166" i="1"/>
  <c r="CD165" i="1"/>
  <c r="CD164" i="1"/>
  <c r="CD163" i="1"/>
  <c r="CD162" i="1"/>
  <c r="CD161" i="1"/>
  <c r="CD160" i="1"/>
  <c r="CD159" i="1"/>
  <c r="CD158" i="1"/>
  <c r="CD157" i="1"/>
  <c r="CD156" i="1"/>
  <c r="CD155" i="1"/>
  <c r="CD154" i="1"/>
  <c r="CD153" i="1"/>
  <c r="CD152" i="1"/>
  <c r="CD151" i="1"/>
  <c r="CD150" i="1"/>
  <c r="CD149" i="1"/>
  <c r="CD148" i="1"/>
  <c r="CD147" i="1"/>
  <c r="CD146" i="1"/>
  <c r="CD145" i="1"/>
  <c r="CD144" i="1"/>
  <c r="CD143" i="1"/>
  <c r="CD142" i="1"/>
  <c r="CD141" i="1"/>
  <c r="CD140" i="1"/>
  <c r="CD139" i="1"/>
  <c r="CD138" i="1"/>
  <c r="CD137" i="1"/>
  <c r="CD136" i="1"/>
  <c r="CD135" i="1"/>
  <c r="CD134" i="1"/>
  <c r="CD133" i="1"/>
  <c r="CD132" i="1"/>
  <c r="CD131" i="1"/>
  <c r="CD130" i="1"/>
  <c r="CD129" i="1"/>
  <c r="CD128" i="1"/>
  <c r="CD127" i="1"/>
  <c r="CD126" i="1"/>
  <c r="CD125" i="1"/>
  <c r="CD124" i="1"/>
  <c r="CD123" i="1"/>
  <c r="CD122" i="1"/>
  <c r="CD121" i="1"/>
  <c r="CD120" i="1"/>
  <c r="CD119" i="1"/>
  <c r="CD118" i="1"/>
  <c r="CD117" i="1"/>
  <c r="CD116" i="1"/>
  <c r="CD115" i="1"/>
  <c r="CC206" i="1"/>
  <c r="CC205" i="1"/>
  <c r="CC204" i="1"/>
  <c r="CC203" i="1"/>
  <c r="CC202" i="1"/>
  <c r="CC201" i="1"/>
  <c r="CC200" i="1"/>
  <c r="CC199" i="1"/>
  <c r="CC198" i="1"/>
  <c r="CC197" i="1"/>
  <c r="CC196" i="1"/>
  <c r="CC195" i="1"/>
  <c r="CC194" i="1"/>
  <c r="CC193" i="1"/>
  <c r="CC192" i="1"/>
  <c r="CC191" i="1"/>
  <c r="CC190" i="1"/>
  <c r="CC189" i="1"/>
  <c r="CC188" i="1"/>
  <c r="CC187" i="1"/>
  <c r="CC186" i="1"/>
  <c r="CC185" i="1"/>
  <c r="CC184" i="1"/>
  <c r="CC183" i="1"/>
  <c r="CC182" i="1"/>
  <c r="CC181" i="1"/>
  <c r="CC180" i="1"/>
  <c r="CC179" i="1"/>
  <c r="CC178" i="1"/>
  <c r="CC177" i="1"/>
  <c r="CC176" i="1"/>
  <c r="CC175" i="1"/>
  <c r="CC174" i="1"/>
  <c r="CC173" i="1"/>
  <c r="CC172" i="1"/>
  <c r="CC171" i="1"/>
  <c r="CC170" i="1"/>
  <c r="CC169" i="1"/>
  <c r="CC168" i="1"/>
  <c r="CC167" i="1"/>
  <c r="CC166" i="1"/>
  <c r="CC165" i="1"/>
  <c r="CC164" i="1"/>
  <c r="CC163" i="1"/>
  <c r="CC162" i="1"/>
  <c r="CC161" i="1"/>
  <c r="CC160" i="1"/>
  <c r="CC159" i="1"/>
  <c r="CC158" i="1"/>
  <c r="CC157" i="1"/>
  <c r="CC156" i="1"/>
  <c r="CC155" i="1"/>
  <c r="CC154" i="1"/>
  <c r="CC153" i="1"/>
  <c r="CC152" i="1"/>
  <c r="CC151" i="1"/>
  <c r="CC150" i="1"/>
  <c r="CC149" i="1"/>
  <c r="CC148" i="1"/>
  <c r="CC147" i="1"/>
  <c r="CC146" i="1"/>
  <c r="CC145" i="1"/>
  <c r="CC144" i="1"/>
  <c r="CC143" i="1"/>
  <c r="CC142" i="1"/>
  <c r="CC141" i="1"/>
  <c r="CC140" i="1"/>
  <c r="CC139" i="1"/>
  <c r="CC138" i="1"/>
  <c r="CC137" i="1"/>
  <c r="CC136" i="1"/>
  <c r="CC135" i="1"/>
  <c r="CC134" i="1"/>
  <c r="CC133" i="1"/>
  <c r="CC132" i="1"/>
  <c r="CC131" i="1"/>
  <c r="CC130" i="1"/>
  <c r="CC129" i="1"/>
  <c r="CC128" i="1"/>
  <c r="CC127" i="1"/>
  <c r="CC126" i="1"/>
  <c r="CC125" i="1"/>
  <c r="CC124" i="1"/>
  <c r="CC123" i="1"/>
  <c r="CC122" i="1"/>
  <c r="CC121" i="1"/>
  <c r="CC120" i="1"/>
  <c r="CC119" i="1"/>
  <c r="CC118" i="1"/>
  <c r="CC117" i="1"/>
  <c r="CC116" i="1"/>
  <c r="CC115" i="1"/>
  <c r="CB206" i="1"/>
  <c r="CB205" i="1"/>
  <c r="CB204" i="1"/>
  <c r="CB203" i="1"/>
  <c r="CB202" i="1"/>
  <c r="CB201" i="1"/>
  <c r="CB200" i="1"/>
  <c r="CB199" i="1"/>
  <c r="CB198" i="1"/>
  <c r="CB197" i="1"/>
  <c r="CB196" i="1"/>
  <c r="CB195" i="1"/>
  <c r="CB194" i="1"/>
  <c r="CB193" i="1"/>
  <c r="CB192" i="1"/>
  <c r="CB191" i="1"/>
  <c r="CB190" i="1"/>
  <c r="CB189" i="1"/>
  <c r="CB188" i="1"/>
  <c r="CB187" i="1"/>
  <c r="CB186" i="1"/>
  <c r="CB185" i="1"/>
  <c r="CB184" i="1"/>
  <c r="CB183" i="1"/>
  <c r="CB182" i="1"/>
  <c r="CB181" i="1"/>
  <c r="CB180" i="1"/>
  <c r="CB179" i="1"/>
  <c r="CB178" i="1"/>
  <c r="CB177" i="1"/>
  <c r="CB176" i="1"/>
  <c r="CB175" i="1"/>
  <c r="CB174" i="1"/>
  <c r="CB173" i="1"/>
  <c r="CB172" i="1"/>
  <c r="CB171" i="1"/>
  <c r="CB170" i="1"/>
  <c r="CB169" i="1"/>
  <c r="CB168" i="1"/>
  <c r="CB167" i="1"/>
  <c r="CB166" i="1"/>
  <c r="CB165" i="1"/>
  <c r="CB164" i="1"/>
  <c r="CB163" i="1"/>
  <c r="CB162" i="1"/>
  <c r="CB161" i="1"/>
  <c r="CB160" i="1"/>
  <c r="CB159" i="1"/>
  <c r="CB158" i="1"/>
  <c r="CB157" i="1"/>
  <c r="CB156" i="1"/>
  <c r="CB155" i="1"/>
  <c r="CB154" i="1"/>
  <c r="CB153" i="1"/>
  <c r="CB152" i="1"/>
  <c r="CB151" i="1"/>
  <c r="CB150" i="1"/>
  <c r="CB149" i="1"/>
  <c r="CB148" i="1"/>
  <c r="CB147" i="1"/>
  <c r="CB146" i="1"/>
  <c r="CB145" i="1"/>
  <c r="CB144" i="1"/>
  <c r="CB143" i="1"/>
  <c r="CB142" i="1"/>
  <c r="CB141" i="1"/>
  <c r="CB140" i="1"/>
  <c r="CB139" i="1"/>
  <c r="CB138" i="1"/>
  <c r="CB137" i="1"/>
  <c r="CB136" i="1"/>
  <c r="CB135" i="1"/>
  <c r="CB134" i="1"/>
  <c r="CB133" i="1"/>
  <c r="CB132" i="1"/>
  <c r="CB131" i="1"/>
  <c r="CB130" i="1"/>
  <c r="CB129" i="1"/>
  <c r="CB128" i="1"/>
  <c r="CB127" i="1"/>
  <c r="CB126" i="1"/>
  <c r="CB125" i="1"/>
  <c r="CB124" i="1"/>
  <c r="CB123" i="1"/>
  <c r="CB122" i="1"/>
  <c r="CB121" i="1"/>
  <c r="CB120" i="1"/>
  <c r="CB119" i="1"/>
  <c r="CB118" i="1"/>
  <c r="CB117" i="1"/>
  <c r="CB116" i="1"/>
  <c r="CB115" i="1"/>
  <c r="CA206" i="1"/>
  <c r="CA205" i="1"/>
  <c r="CA204" i="1"/>
  <c r="CA203" i="1"/>
  <c r="CA202" i="1"/>
  <c r="CA201" i="1"/>
  <c r="CA200" i="1"/>
  <c r="CA199" i="1"/>
  <c r="CA198" i="1"/>
  <c r="CA197" i="1"/>
  <c r="CA196" i="1"/>
  <c r="CA195" i="1"/>
  <c r="CA194" i="1"/>
  <c r="CA193" i="1"/>
  <c r="CA192" i="1"/>
  <c r="CA191" i="1"/>
  <c r="CA190" i="1"/>
  <c r="CA189" i="1"/>
  <c r="CA188" i="1"/>
  <c r="CA187" i="1"/>
  <c r="CA186" i="1"/>
  <c r="CA185" i="1"/>
  <c r="CA184" i="1"/>
  <c r="CA183" i="1"/>
  <c r="CA182" i="1"/>
  <c r="CA181" i="1"/>
  <c r="CA180" i="1"/>
  <c r="CA179" i="1"/>
  <c r="CA178" i="1"/>
  <c r="CA177" i="1"/>
  <c r="CA176" i="1"/>
  <c r="CA175" i="1"/>
  <c r="CA174" i="1"/>
  <c r="CA173" i="1"/>
  <c r="CA172" i="1"/>
  <c r="CA171" i="1"/>
  <c r="CA170" i="1"/>
  <c r="CA169" i="1"/>
  <c r="CA168" i="1"/>
  <c r="CA167" i="1"/>
  <c r="CA166" i="1"/>
  <c r="CA165" i="1"/>
  <c r="CA164" i="1"/>
  <c r="CA163" i="1"/>
  <c r="CA162" i="1"/>
  <c r="CA161" i="1"/>
  <c r="CA160" i="1"/>
  <c r="CA159" i="1"/>
  <c r="CA158" i="1"/>
  <c r="CA157" i="1"/>
  <c r="CA156" i="1"/>
  <c r="CA155" i="1"/>
  <c r="CA154" i="1"/>
  <c r="CA153" i="1"/>
  <c r="CA152" i="1"/>
  <c r="CA151" i="1"/>
  <c r="CA150" i="1"/>
  <c r="CA149" i="1"/>
  <c r="CA148" i="1"/>
  <c r="CA147" i="1"/>
  <c r="CA146" i="1"/>
  <c r="CA145" i="1"/>
  <c r="CA144" i="1"/>
  <c r="CA143" i="1"/>
  <c r="CA142" i="1"/>
  <c r="CA141" i="1"/>
  <c r="CA140" i="1"/>
  <c r="CA139" i="1"/>
  <c r="CA138" i="1"/>
  <c r="CA137" i="1"/>
  <c r="CA136" i="1"/>
  <c r="CA135" i="1"/>
  <c r="CA134" i="1"/>
  <c r="CA133" i="1"/>
  <c r="CA132" i="1"/>
  <c r="CA131" i="1"/>
  <c r="CA130" i="1"/>
  <c r="CA129" i="1"/>
  <c r="CA128" i="1"/>
  <c r="CA127" i="1"/>
  <c r="CA126" i="1"/>
  <c r="CA125" i="1"/>
  <c r="CA124" i="1"/>
  <c r="CA123" i="1"/>
  <c r="CA122" i="1"/>
  <c r="CA121" i="1"/>
  <c r="CA120" i="1"/>
  <c r="CA119" i="1"/>
  <c r="CA118" i="1"/>
  <c r="CA117" i="1"/>
  <c r="CA116" i="1"/>
  <c r="CA115" i="1"/>
  <c r="BZ206" i="1"/>
  <c r="BZ205" i="1"/>
  <c r="BZ204" i="1"/>
  <c r="BZ203" i="1"/>
  <c r="BZ202" i="1"/>
  <c r="BZ201" i="1"/>
  <c r="BZ200" i="1"/>
  <c r="BZ199" i="1"/>
  <c r="BZ198" i="1"/>
  <c r="BZ197" i="1"/>
  <c r="BZ196" i="1"/>
  <c r="BZ195" i="1"/>
  <c r="BZ194" i="1"/>
  <c r="BZ193" i="1"/>
  <c r="BZ192" i="1"/>
  <c r="BZ191" i="1"/>
  <c r="BZ190" i="1"/>
  <c r="BZ189" i="1"/>
  <c r="BZ188" i="1"/>
  <c r="BZ187" i="1"/>
  <c r="BZ186" i="1"/>
  <c r="BZ185" i="1"/>
  <c r="BZ184" i="1"/>
  <c r="BZ183" i="1"/>
  <c r="BZ182" i="1"/>
  <c r="BZ181" i="1"/>
  <c r="BZ180" i="1"/>
  <c r="BZ179" i="1"/>
  <c r="BZ178" i="1"/>
  <c r="BZ177" i="1"/>
  <c r="BZ176" i="1"/>
  <c r="BZ175" i="1"/>
  <c r="BZ174" i="1"/>
  <c r="BZ173" i="1"/>
  <c r="BZ172" i="1"/>
  <c r="BZ171" i="1"/>
  <c r="BZ170" i="1"/>
  <c r="BZ169" i="1"/>
  <c r="BZ168" i="1"/>
  <c r="BZ167" i="1"/>
  <c r="BZ166" i="1"/>
  <c r="BZ165" i="1"/>
  <c r="BZ164" i="1"/>
  <c r="BZ163" i="1"/>
  <c r="BZ162" i="1"/>
  <c r="BZ161" i="1"/>
  <c r="BZ160" i="1"/>
  <c r="BZ159" i="1"/>
  <c r="BZ158" i="1"/>
  <c r="BZ157" i="1"/>
  <c r="BZ156" i="1"/>
  <c r="BZ155" i="1"/>
  <c r="BZ154" i="1"/>
  <c r="BZ153" i="1"/>
  <c r="BZ152" i="1"/>
  <c r="BZ151" i="1"/>
  <c r="BZ150" i="1"/>
  <c r="BZ149" i="1"/>
  <c r="BZ148" i="1"/>
  <c r="BZ147" i="1"/>
  <c r="BZ146" i="1"/>
  <c r="BZ145" i="1"/>
  <c r="BZ144" i="1"/>
  <c r="BZ143" i="1"/>
  <c r="BZ142" i="1"/>
  <c r="BZ141" i="1"/>
  <c r="BZ140" i="1"/>
  <c r="BZ139" i="1"/>
  <c r="BZ138" i="1"/>
  <c r="BZ137" i="1"/>
  <c r="BZ136" i="1"/>
  <c r="BZ135" i="1"/>
  <c r="BZ134" i="1"/>
  <c r="BZ133" i="1"/>
  <c r="BZ132" i="1"/>
  <c r="BZ131" i="1"/>
  <c r="BZ130" i="1"/>
  <c r="BZ129" i="1"/>
  <c r="BZ128" i="1"/>
  <c r="BZ127" i="1"/>
  <c r="BZ126" i="1"/>
  <c r="BZ125" i="1"/>
  <c r="BZ124" i="1"/>
  <c r="BZ123" i="1"/>
  <c r="BZ122" i="1"/>
  <c r="BZ121" i="1"/>
  <c r="BZ120" i="1"/>
  <c r="BZ119" i="1"/>
  <c r="BZ118" i="1"/>
  <c r="BZ117" i="1"/>
  <c r="BZ116" i="1"/>
  <c r="BZ115" i="1"/>
  <c r="BY206" i="1"/>
  <c r="BY205" i="1"/>
  <c r="BY204" i="1"/>
  <c r="BY203" i="1"/>
  <c r="BY202" i="1"/>
  <c r="BY201" i="1"/>
  <c r="BY200" i="1"/>
  <c r="BY199" i="1"/>
  <c r="BY198" i="1"/>
  <c r="BY197" i="1"/>
  <c r="BY196" i="1"/>
  <c r="BY195" i="1"/>
  <c r="BY194" i="1"/>
  <c r="BY193" i="1"/>
  <c r="BY192" i="1"/>
  <c r="BY191" i="1"/>
  <c r="BY190" i="1"/>
  <c r="BY189" i="1"/>
  <c r="BY188" i="1"/>
  <c r="BY187" i="1"/>
  <c r="BY186" i="1"/>
  <c r="BY185" i="1"/>
  <c r="BY184" i="1"/>
  <c r="BY183" i="1"/>
  <c r="BY182" i="1"/>
  <c r="BY181" i="1"/>
  <c r="BY180" i="1"/>
  <c r="BY179" i="1"/>
  <c r="BY178" i="1"/>
  <c r="BY177" i="1"/>
  <c r="BY176" i="1"/>
  <c r="BY175" i="1"/>
  <c r="BY174" i="1"/>
  <c r="BY173" i="1"/>
  <c r="BY172" i="1"/>
  <c r="BY171" i="1"/>
  <c r="BY170" i="1"/>
  <c r="BY169" i="1"/>
  <c r="BY168" i="1"/>
  <c r="BY167" i="1"/>
  <c r="BY166" i="1"/>
  <c r="BY165" i="1"/>
  <c r="BY164" i="1"/>
  <c r="BY163" i="1"/>
  <c r="BY162" i="1"/>
  <c r="BY161" i="1"/>
  <c r="BY160" i="1"/>
  <c r="BY159" i="1"/>
  <c r="BY158" i="1"/>
  <c r="BY157" i="1"/>
  <c r="BY156" i="1"/>
  <c r="BY155" i="1"/>
  <c r="BY154" i="1"/>
  <c r="BY153" i="1"/>
  <c r="BY152" i="1"/>
  <c r="BY151" i="1"/>
  <c r="BY150" i="1"/>
  <c r="BY149" i="1"/>
  <c r="BY148" i="1"/>
  <c r="BY147" i="1"/>
  <c r="BY146" i="1"/>
  <c r="BY145" i="1"/>
  <c r="BY144" i="1"/>
  <c r="BY143" i="1"/>
  <c r="BY142" i="1"/>
  <c r="BY141" i="1"/>
  <c r="BY140" i="1"/>
  <c r="BY139" i="1"/>
  <c r="BY138" i="1"/>
  <c r="BY137" i="1"/>
  <c r="BY136" i="1"/>
  <c r="BY135" i="1"/>
  <c r="BY134" i="1"/>
  <c r="BY133" i="1"/>
  <c r="BY132" i="1"/>
  <c r="BY131" i="1"/>
  <c r="BY130" i="1"/>
  <c r="BY129" i="1"/>
  <c r="BY128" i="1"/>
  <c r="BY127" i="1"/>
  <c r="BY126" i="1"/>
  <c r="BY125" i="1"/>
  <c r="BY124" i="1"/>
  <c r="BY123" i="1"/>
  <c r="BY122" i="1"/>
  <c r="BY121" i="1"/>
  <c r="BY120" i="1"/>
  <c r="BY119" i="1"/>
  <c r="BY118" i="1"/>
  <c r="BY117" i="1"/>
  <c r="BY116" i="1"/>
  <c r="BY115" i="1"/>
  <c r="BX206" i="1"/>
  <c r="BX205" i="1"/>
  <c r="BX204" i="1"/>
  <c r="BX203" i="1"/>
  <c r="BX202" i="1"/>
  <c r="BX201" i="1"/>
  <c r="BX200" i="1"/>
  <c r="BX199" i="1"/>
  <c r="BX198" i="1"/>
  <c r="BX197" i="1"/>
  <c r="BX196" i="1"/>
  <c r="BX195" i="1"/>
  <c r="BX194" i="1"/>
  <c r="BX193" i="1"/>
  <c r="BX192" i="1"/>
  <c r="BX191" i="1"/>
  <c r="BX190" i="1"/>
  <c r="BX189" i="1"/>
  <c r="BX188" i="1"/>
  <c r="BX187" i="1"/>
  <c r="BX186" i="1"/>
  <c r="BX185" i="1"/>
  <c r="BX184" i="1"/>
  <c r="BX183" i="1"/>
  <c r="BX182" i="1"/>
  <c r="BX181" i="1"/>
  <c r="BX180" i="1"/>
  <c r="BX179" i="1"/>
  <c r="BX178" i="1"/>
  <c r="BX177" i="1"/>
  <c r="BX176" i="1"/>
  <c r="BX175" i="1"/>
  <c r="BX174" i="1"/>
  <c r="BX173" i="1"/>
  <c r="BX172" i="1"/>
  <c r="BX171" i="1"/>
  <c r="BX170" i="1"/>
  <c r="BX169" i="1"/>
  <c r="BX168" i="1"/>
  <c r="BX167" i="1"/>
  <c r="BX166" i="1"/>
  <c r="BX165" i="1"/>
  <c r="BX164" i="1"/>
  <c r="BX163" i="1"/>
  <c r="BX162" i="1"/>
  <c r="BX161" i="1"/>
  <c r="BX160" i="1"/>
  <c r="BX159" i="1"/>
  <c r="BX158" i="1"/>
  <c r="BX157" i="1"/>
  <c r="BX156" i="1"/>
  <c r="BX155" i="1"/>
  <c r="BX154" i="1"/>
  <c r="BX153" i="1"/>
  <c r="BX152" i="1"/>
  <c r="BX151" i="1"/>
  <c r="BX150" i="1"/>
  <c r="BX149" i="1"/>
  <c r="BX148" i="1"/>
  <c r="BX147" i="1"/>
  <c r="BX146" i="1"/>
  <c r="BX145" i="1"/>
  <c r="BX144" i="1"/>
  <c r="BX143" i="1"/>
  <c r="BX142" i="1"/>
  <c r="BX141" i="1"/>
  <c r="BX140" i="1"/>
  <c r="BX139" i="1"/>
  <c r="BX138" i="1"/>
  <c r="BX137" i="1"/>
  <c r="BX136" i="1"/>
  <c r="BX135" i="1"/>
  <c r="BX134" i="1"/>
  <c r="BX133" i="1"/>
  <c r="BX132" i="1"/>
  <c r="BX131" i="1"/>
  <c r="BX130" i="1"/>
  <c r="BX129" i="1"/>
  <c r="BX128" i="1"/>
  <c r="BX127" i="1"/>
  <c r="BX126" i="1"/>
  <c r="BX125" i="1"/>
  <c r="BX124" i="1"/>
  <c r="BX123" i="1"/>
  <c r="BX122" i="1"/>
  <c r="BX121" i="1"/>
  <c r="BX120" i="1"/>
  <c r="BX119" i="1"/>
  <c r="BX118" i="1"/>
  <c r="BX117" i="1"/>
  <c r="BX116" i="1"/>
  <c r="BX115" i="1"/>
  <c r="BW206" i="1"/>
  <c r="BW205" i="1"/>
  <c r="BW204" i="1"/>
  <c r="BW203" i="1"/>
  <c r="BW202" i="1"/>
  <c r="BW201" i="1"/>
  <c r="BW200" i="1"/>
  <c r="BW199" i="1"/>
  <c r="BW198" i="1"/>
  <c r="BW197" i="1"/>
  <c r="BW196" i="1"/>
  <c r="BW195" i="1"/>
  <c r="BW194" i="1"/>
  <c r="BW193" i="1"/>
  <c r="BW192" i="1"/>
  <c r="BW191" i="1"/>
  <c r="BW190" i="1"/>
  <c r="BW189" i="1"/>
  <c r="BW188" i="1"/>
  <c r="BW187" i="1"/>
  <c r="BW186" i="1"/>
  <c r="BW185" i="1"/>
  <c r="BW184" i="1"/>
  <c r="BW183" i="1"/>
  <c r="BW182" i="1"/>
  <c r="BW181" i="1"/>
  <c r="BW180" i="1"/>
  <c r="BW179" i="1"/>
  <c r="BW178" i="1"/>
  <c r="BW177" i="1"/>
  <c r="BW176" i="1"/>
  <c r="BW175" i="1"/>
  <c r="BW174" i="1"/>
  <c r="BW173" i="1"/>
  <c r="BW172" i="1"/>
  <c r="BW171" i="1"/>
  <c r="BW170" i="1"/>
  <c r="BW169" i="1"/>
  <c r="BW168" i="1"/>
  <c r="BW167" i="1"/>
  <c r="BW166" i="1"/>
  <c r="BW165" i="1"/>
  <c r="BW164" i="1"/>
  <c r="BW163" i="1"/>
  <c r="BW162" i="1"/>
  <c r="BW161" i="1"/>
  <c r="BW160" i="1"/>
  <c r="BW159" i="1"/>
  <c r="BW158" i="1"/>
  <c r="BW157" i="1"/>
  <c r="BW156" i="1"/>
  <c r="BW155" i="1"/>
  <c r="BW154" i="1"/>
  <c r="BW153" i="1"/>
  <c r="BW152" i="1"/>
  <c r="BW151" i="1"/>
  <c r="BW150" i="1"/>
  <c r="BW149" i="1"/>
  <c r="BW148" i="1"/>
  <c r="BW147" i="1"/>
  <c r="BW146" i="1"/>
  <c r="BW145" i="1"/>
  <c r="BW144" i="1"/>
  <c r="BW143" i="1"/>
  <c r="BW142" i="1"/>
  <c r="BW141" i="1"/>
  <c r="BW140" i="1"/>
  <c r="BW139" i="1"/>
  <c r="BW138" i="1"/>
  <c r="BW137" i="1"/>
  <c r="BW136" i="1"/>
  <c r="BW135" i="1"/>
  <c r="BW134" i="1"/>
  <c r="BW133" i="1"/>
  <c r="BW132" i="1"/>
  <c r="BW131" i="1"/>
  <c r="BW130" i="1"/>
  <c r="BW129" i="1"/>
  <c r="BW128" i="1"/>
  <c r="BW127" i="1"/>
  <c r="BW126" i="1"/>
  <c r="BW125" i="1"/>
  <c r="BW124" i="1"/>
  <c r="BW123" i="1"/>
  <c r="BW122" i="1"/>
  <c r="BW121" i="1"/>
  <c r="BW120" i="1"/>
  <c r="BW119" i="1"/>
  <c r="BW118" i="1"/>
  <c r="BW117" i="1"/>
  <c r="BW116" i="1"/>
  <c r="BW115" i="1"/>
  <c r="BV206" i="1"/>
  <c r="BV205" i="1"/>
  <c r="BV204" i="1"/>
  <c r="BV203" i="1"/>
  <c r="BV202" i="1"/>
  <c r="BV201" i="1"/>
  <c r="BV200" i="1"/>
  <c r="BV199" i="1"/>
  <c r="BV198" i="1"/>
  <c r="BV197" i="1"/>
  <c r="BV196" i="1"/>
  <c r="BV195" i="1"/>
  <c r="BV194" i="1"/>
  <c r="BV193" i="1"/>
  <c r="BV192" i="1"/>
  <c r="BV191" i="1"/>
  <c r="BV190" i="1"/>
  <c r="BV189" i="1"/>
  <c r="BV188" i="1"/>
  <c r="BV187" i="1"/>
  <c r="BV186" i="1"/>
  <c r="BV185" i="1"/>
  <c r="BV184" i="1"/>
  <c r="BV183" i="1"/>
  <c r="BV182" i="1"/>
  <c r="BV181" i="1"/>
  <c r="BV180" i="1"/>
  <c r="BV179" i="1"/>
  <c r="BV178" i="1"/>
  <c r="BV177" i="1"/>
  <c r="BV176" i="1"/>
  <c r="BV175" i="1"/>
  <c r="BV174" i="1"/>
  <c r="BV173" i="1"/>
  <c r="BV172" i="1"/>
  <c r="BV171" i="1"/>
  <c r="BV170" i="1"/>
  <c r="BV169" i="1"/>
  <c r="BV168" i="1"/>
  <c r="BV167" i="1"/>
  <c r="BV166" i="1"/>
  <c r="BV165" i="1"/>
  <c r="BV164" i="1"/>
  <c r="BV163" i="1"/>
  <c r="BV162" i="1"/>
  <c r="BV161" i="1"/>
  <c r="BV160" i="1"/>
  <c r="BV159" i="1"/>
  <c r="BV158" i="1"/>
  <c r="BV157" i="1"/>
  <c r="BV156" i="1"/>
  <c r="BV155" i="1"/>
  <c r="BV154" i="1"/>
  <c r="BV153" i="1"/>
  <c r="BV152" i="1"/>
  <c r="BV151" i="1"/>
  <c r="BV150" i="1"/>
  <c r="BV149" i="1"/>
  <c r="BV148" i="1"/>
  <c r="BV147" i="1"/>
  <c r="BV146" i="1"/>
  <c r="BV145" i="1"/>
  <c r="BV144" i="1"/>
  <c r="BV143" i="1"/>
  <c r="BV142" i="1"/>
  <c r="BV141" i="1"/>
  <c r="BV140" i="1"/>
  <c r="BV139" i="1"/>
  <c r="BV138" i="1"/>
  <c r="BV137" i="1"/>
  <c r="BV136" i="1"/>
  <c r="BV135" i="1"/>
  <c r="BV134" i="1"/>
  <c r="BV133" i="1"/>
  <c r="BV132" i="1"/>
  <c r="BV131" i="1"/>
  <c r="BV130" i="1"/>
  <c r="BV129" i="1"/>
  <c r="BV128" i="1"/>
  <c r="BV127" i="1"/>
  <c r="BV126" i="1"/>
  <c r="BV125" i="1"/>
  <c r="BV124" i="1"/>
  <c r="BV123" i="1"/>
  <c r="BV122" i="1"/>
  <c r="BV121" i="1"/>
  <c r="BV120" i="1"/>
  <c r="BV119" i="1"/>
  <c r="BV118" i="1"/>
  <c r="BV117" i="1"/>
  <c r="BV116" i="1"/>
  <c r="BV115" i="1"/>
  <c r="BU206" i="1"/>
  <c r="BU205" i="1"/>
  <c r="BU204" i="1"/>
  <c r="BU203" i="1"/>
  <c r="BU202" i="1"/>
  <c r="BU201" i="1"/>
  <c r="BU200" i="1"/>
  <c r="BU199" i="1"/>
  <c r="BU198" i="1"/>
  <c r="BU197" i="1"/>
  <c r="BU196" i="1"/>
  <c r="BU195" i="1"/>
  <c r="BU194" i="1"/>
  <c r="BU193" i="1"/>
  <c r="BU192" i="1"/>
  <c r="BU191" i="1"/>
  <c r="BU190" i="1"/>
  <c r="BU189" i="1"/>
  <c r="BU188" i="1"/>
  <c r="BU187" i="1"/>
  <c r="BU186" i="1"/>
  <c r="BU185" i="1"/>
  <c r="BU184" i="1"/>
  <c r="BU183" i="1"/>
  <c r="BU182" i="1"/>
  <c r="BU181" i="1"/>
  <c r="BU180" i="1"/>
  <c r="BU179" i="1"/>
  <c r="BU178" i="1"/>
  <c r="BU177" i="1"/>
  <c r="BU176" i="1"/>
  <c r="BU175" i="1"/>
  <c r="BU174" i="1"/>
  <c r="BU173" i="1"/>
  <c r="BU172" i="1"/>
  <c r="BU171" i="1"/>
  <c r="BU170" i="1"/>
  <c r="BU169" i="1"/>
  <c r="BU168" i="1"/>
  <c r="BU167" i="1"/>
  <c r="BU166" i="1"/>
  <c r="BU165" i="1"/>
  <c r="BU164" i="1"/>
  <c r="BU163" i="1"/>
  <c r="BU162" i="1"/>
  <c r="BU161" i="1"/>
  <c r="BU160" i="1"/>
  <c r="BU159" i="1"/>
  <c r="BU158" i="1"/>
  <c r="BU157" i="1"/>
  <c r="BU156" i="1"/>
  <c r="BU155" i="1"/>
  <c r="BU154" i="1"/>
  <c r="BU153" i="1"/>
  <c r="BU152" i="1"/>
  <c r="BU151" i="1"/>
  <c r="BU150" i="1"/>
  <c r="BU149" i="1"/>
  <c r="BU148" i="1"/>
  <c r="BU147" i="1"/>
  <c r="BU146" i="1"/>
  <c r="BU145" i="1"/>
  <c r="BU144" i="1"/>
  <c r="BU143" i="1"/>
  <c r="BU142" i="1"/>
  <c r="BU141" i="1"/>
  <c r="BU140" i="1"/>
  <c r="BU139" i="1"/>
  <c r="BU138" i="1"/>
  <c r="BU137" i="1"/>
  <c r="BU136" i="1"/>
  <c r="BU135" i="1"/>
  <c r="BU134" i="1"/>
  <c r="BU133" i="1"/>
  <c r="BU132" i="1"/>
  <c r="BU131" i="1"/>
  <c r="BU130" i="1"/>
  <c r="BU129" i="1"/>
  <c r="BU128" i="1"/>
  <c r="BU127" i="1"/>
  <c r="BU126" i="1"/>
  <c r="BU125" i="1"/>
  <c r="BU124" i="1"/>
  <c r="BU123" i="1"/>
  <c r="BU122" i="1"/>
  <c r="BU121" i="1"/>
  <c r="BU120" i="1"/>
  <c r="BU119" i="1"/>
  <c r="BU118" i="1"/>
  <c r="BU117" i="1"/>
  <c r="BU116" i="1"/>
  <c r="BU115" i="1"/>
  <c r="BT206" i="1"/>
  <c r="BT205" i="1"/>
  <c r="BT204" i="1"/>
  <c r="BT203" i="1"/>
  <c r="BT202" i="1"/>
  <c r="BT201" i="1"/>
  <c r="BT200" i="1"/>
  <c r="BT199" i="1"/>
  <c r="BT198" i="1"/>
  <c r="BT197" i="1"/>
  <c r="BT196" i="1"/>
  <c r="BT195" i="1"/>
  <c r="BT194" i="1"/>
  <c r="BT193" i="1"/>
  <c r="BT192" i="1"/>
  <c r="BT191" i="1"/>
  <c r="BT190" i="1"/>
  <c r="BT189" i="1"/>
  <c r="BT188" i="1"/>
  <c r="BT187" i="1"/>
  <c r="BT186" i="1"/>
  <c r="BT185" i="1"/>
  <c r="BT184" i="1"/>
  <c r="BT183" i="1"/>
  <c r="BT182" i="1"/>
  <c r="BT181" i="1"/>
  <c r="BT180" i="1"/>
  <c r="BT179" i="1"/>
  <c r="BT178" i="1"/>
  <c r="BT177" i="1"/>
  <c r="BT176" i="1"/>
  <c r="BT175" i="1"/>
  <c r="BT174" i="1"/>
  <c r="BT173" i="1"/>
  <c r="BT172" i="1"/>
  <c r="BT171" i="1"/>
  <c r="BT170" i="1"/>
  <c r="BT169" i="1"/>
  <c r="BT168" i="1"/>
  <c r="BT167" i="1"/>
  <c r="BT166" i="1"/>
  <c r="BT165" i="1"/>
  <c r="BT164" i="1"/>
  <c r="BT163" i="1"/>
  <c r="BT162" i="1"/>
  <c r="BT161" i="1"/>
  <c r="BT160" i="1"/>
  <c r="BT159" i="1"/>
  <c r="BT158" i="1"/>
  <c r="BT157" i="1"/>
  <c r="BT156" i="1"/>
  <c r="BT155" i="1"/>
  <c r="BT154" i="1"/>
  <c r="BT153" i="1"/>
  <c r="BT152" i="1"/>
  <c r="BT151" i="1"/>
  <c r="BT150" i="1"/>
  <c r="BT149" i="1"/>
  <c r="BT148" i="1"/>
  <c r="BT147" i="1"/>
  <c r="BT146" i="1"/>
  <c r="BT145" i="1"/>
  <c r="BT144" i="1"/>
  <c r="BT143" i="1"/>
  <c r="BT142" i="1"/>
  <c r="BT141" i="1"/>
  <c r="BT140" i="1"/>
  <c r="BT139" i="1"/>
  <c r="BT138" i="1"/>
  <c r="BT137" i="1"/>
  <c r="BT136" i="1"/>
  <c r="BT135" i="1"/>
  <c r="BT134" i="1"/>
  <c r="BT133" i="1"/>
  <c r="BT132" i="1"/>
  <c r="BT131" i="1"/>
  <c r="BT130" i="1"/>
  <c r="BT129" i="1"/>
  <c r="BT128" i="1"/>
  <c r="BT127" i="1"/>
  <c r="BT126" i="1"/>
  <c r="BT125" i="1"/>
  <c r="BT124" i="1"/>
  <c r="BT123" i="1"/>
  <c r="BT122" i="1"/>
  <c r="BT121" i="1"/>
  <c r="BT120" i="1"/>
  <c r="BT119" i="1"/>
  <c r="BT118" i="1"/>
  <c r="BT117" i="1"/>
  <c r="BT116" i="1"/>
  <c r="BT115" i="1"/>
  <c r="BS206" i="1"/>
  <c r="BS205" i="1"/>
  <c r="BS204" i="1"/>
  <c r="BS203" i="1"/>
  <c r="BS202" i="1"/>
  <c r="BS201" i="1"/>
  <c r="BS200" i="1"/>
  <c r="BS199" i="1"/>
  <c r="BS198" i="1"/>
  <c r="BS197" i="1"/>
  <c r="BS196" i="1"/>
  <c r="BS195" i="1"/>
  <c r="BS194" i="1"/>
  <c r="BS193" i="1"/>
  <c r="BS192" i="1"/>
  <c r="BS191" i="1"/>
  <c r="BS190" i="1"/>
  <c r="BS189" i="1"/>
  <c r="BS188" i="1"/>
  <c r="BS187" i="1"/>
  <c r="BS186" i="1"/>
  <c r="BS185" i="1"/>
  <c r="BS184" i="1"/>
  <c r="BS183" i="1"/>
  <c r="BS182" i="1"/>
  <c r="BS181" i="1"/>
  <c r="BS180" i="1"/>
  <c r="BS179" i="1"/>
  <c r="BS178" i="1"/>
  <c r="BS177" i="1"/>
  <c r="BS176" i="1"/>
  <c r="BS175" i="1"/>
  <c r="BS174" i="1"/>
  <c r="BS173" i="1"/>
  <c r="BS172" i="1"/>
  <c r="BS171" i="1"/>
  <c r="BS170" i="1"/>
  <c r="BS169" i="1"/>
  <c r="BS168" i="1"/>
  <c r="BS167" i="1"/>
  <c r="BS166" i="1"/>
  <c r="BS165" i="1"/>
  <c r="BS164" i="1"/>
  <c r="BS163" i="1"/>
  <c r="BS162" i="1"/>
  <c r="BS161" i="1"/>
  <c r="BS160" i="1"/>
  <c r="BS159" i="1"/>
  <c r="BS158" i="1"/>
  <c r="BS157" i="1"/>
  <c r="BS156" i="1"/>
  <c r="BS155" i="1"/>
  <c r="BS154" i="1"/>
  <c r="BS153" i="1"/>
  <c r="BS152" i="1"/>
  <c r="BS151" i="1"/>
  <c r="BS150" i="1"/>
  <c r="BS149" i="1"/>
  <c r="BS148" i="1"/>
  <c r="BS147" i="1"/>
  <c r="BS146" i="1"/>
  <c r="BS145" i="1"/>
  <c r="BS144" i="1"/>
  <c r="BS143" i="1"/>
  <c r="BS142" i="1"/>
  <c r="BS141" i="1"/>
  <c r="BS140" i="1"/>
  <c r="BS139" i="1"/>
  <c r="BS138" i="1"/>
  <c r="BS137" i="1"/>
  <c r="BS136" i="1"/>
  <c r="BS135" i="1"/>
  <c r="BS134" i="1"/>
  <c r="BS133" i="1"/>
  <c r="BS132" i="1"/>
  <c r="BS131" i="1"/>
  <c r="BS130" i="1"/>
  <c r="BS129" i="1"/>
  <c r="BS128" i="1"/>
  <c r="BS127" i="1"/>
  <c r="BS126" i="1"/>
  <c r="BS125" i="1"/>
  <c r="BS124" i="1"/>
  <c r="BS123" i="1"/>
  <c r="BS122" i="1"/>
  <c r="BS121" i="1"/>
  <c r="BS120" i="1"/>
  <c r="BS119" i="1"/>
  <c r="BS118" i="1"/>
  <c r="BS117" i="1"/>
  <c r="BS116" i="1"/>
  <c r="BS115" i="1"/>
  <c r="BR206" i="1"/>
  <c r="BR205" i="1"/>
  <c r="BR204" i="1"/>
  <c r="BR203" i="1"/>
  <c r="BR202" i="1"/>
  <c r="BR201" i="1"/>
  <c r="BR200" i="1"/>
  <c r="BR199" i="1"/>
  <c r="BR198" i="1"/>
  <c r="BR197" i="1"/>
  <c r="BR196" i="1"/>
  <c r="BR195" i="1"/>
  <c r="BR194" i="1"/>
  <c r="BR193" i="1"/>
  <c r="BR192" i="1"/>
  <c r="BR191" i="1"/>
  <c r="BR190" i="1"/>
  <c r="BR189" i="1"/>
  <c r="BR188" i="1"/>
  <c r="BR187" i="1"/>
  <c r="BR186" i="1"/>
  <c r="BR185" i="1"/>
  <c r="BR184" i="1"/>
  <c r="BR183" i="1"/>
  <c r="BR182" i="1"/>
  <c r="BR181" i="1"/>
  <c r="BR180" i="1"/>
  <c r="BR179" i="1"/>
  <c r="BR178" i="1"/>
  <c r="BR177" i="1"/>
  <c r="BR176" i="1"/>
  <c r="BR175" i="1"/>
  <c r="BR174" i="1"/>
  <c r="BR173" i="1"/>
  <c r="BR172" i="1"/>
  <c r="BR171" i="1"/>
  <c r="BR170" i="1"/>
  <c r="BR169" i="1"/>
  <c r="BR168" i="1"/>
  <c r="BR167" i="1"/>
  <c r="BR166" i="1"/>
  <c r="BR165" i="1"/>
  <c r="BR164" i="1"/>
  <c r="BR163" i="1"/>
  <c r="BR162" i="1"/>
  <c r="BR161" i="1"/>
  <c r="BR160" i="1"/>
  <c r="BR159" i="1"/>
  <c r="BR158" i="1"/>
  <c r="BR157" i="1"/>
  <c r="BR156" i="1"/>
  <c r="BR155" i="1"/>
  <c r="BR154" i="1"/>
  <c r="BR153" i="1"/>
  <c r="BR152" i="1"/>
  <c r="BR151" i="1"/>
  <c r="BR150" i="1"/>
  <c r="BR149" i="1"/>
  <c r="BR148" i="1"/>
  <c r="BR147" i="1"/>
  <c r="BR146" i="1"/>
  <c r="BR145" i="1"/>
  <c r="BR144" i="1"/>
  <c r="BR143" i="1"/>
  <c r="BR142" i="1"/>
  <c r="BR141" i="1"/>
  <c r="BR140" i="1"/>
  <c r="BR139" i="1"/>
  <c r="BR138" i="1"/>
  <c r="BR137" i="1"/>
  <c r="BR136" i="1"/>
  <c r="BR135" i="1"/>
  <c r="BR134" i="1"/>
  <c r="BR133" i="1"/>
  <c r="BR132" i="1"/>
  <c r="BR131" i="1"/>
  <c r="BR130" i="1"/>
  <c r="BR129" i="1"/>
  <c r="BR128" i="1"/>
  <c r="BR127" i="1"/>
  <c r="BR126" i="1"/>
  <c r="BR125" i="1"/>
  <c r="BR124" i="1"/>
  <c r="BR123" i="1"/>
  <c r="BR122" i="1"/>
  <c r="BR121" i="1"/>
  <c r="BR120" i="1"/>
  <c r="BR119" i="1"/>
  <c r="BR118" i="1"/>
  <c r="BR117" i="1"/>
  <c r="BR116" i="1"/>
  <c r="BR115" i="1"/>
  <c r="BQ206" i="1"/>
  <c r="BQ205" i="1"/>
  <c r="BQ204" i="1"/>
  <c r="BQ203" i="1"/>
  <c r="BQ202" i="1"/>
  <c r="BQ201" i="1"/>
  <c r="BQ200" i="1"/>
  <c r="BQ199" i="1"/>
  <c r="BQ198" i="1"/>
  <c r="BQ197" i="1"/>
  <c r="BQ196" i="1"/>
  <c r="BQ195" i="1"/>
  <c r="BQ194" i="1"/>
  <c r="BQ193" i="1"/>
  <c r="BQ192" i="1"/>
  <c r="BQ191" i="1"/>
  <c r="BQ190" i="1"/>
  <c r="BQ189" i="1"/>
  <c r="BQ188" i="1"/>
  <c r="BQ187" i="1"/>
  <c r="BQ186" i="1"/>
  <c r="BQ185" i="1"/>
  <c r="BQ184" i="1"/>
  <c r="BQ183" i="1"/>
  <c r="BQ182" i="1"/>
  <c r="BQ181" i="1"/>
  <c r="BQ180" i="1"/>
  <c r="BQ179" i="1"/>
  <c r="BQ178" i="1"/>
  <c r="BQ177" i="1"/>
  <c r="BQ176" i="1"/>
  <c r="BQ175" i="1"/>
  <c r="BQ174" i="1"/>
  <c r="BQ173" i="1"/>
  <c r="BQ172" i="1"/>
  <c r="BQ171" i="1"/>
  <c r="BQ170" i="1"/>
  <c r="BQ169" i="1"/>
  <c r="BQ168" i="1"/>
  <c r="BQ167" i="1"/>
  <c r="BQ166" i="1"/>
  <c r="BQ165" i="1"/>
  <c r="BQ164" i="1"/>
  <c r="BQ163" i="1"/>
  <c r="BQ162" i="1"/>
  <c r="BQ161" i="1"/>
  <c r="BQ160" i="1"/>
  <c r="BQ159" i="1"/>
  <c r="BQ158" i="1"/>
  <c r="BQ157" i="1"/>
  <c r="BQ156" i="1"/>
  <c r="BQ155" i="1"/>
  <c r="BQ154" i="1"/>
  <c r="BQ153" i="1"/>
  <c r="BQ152" i="1"/>
  <c r="BQ151" i="1"/>
  <c r="BQ150" i="1"/>
  <c r="BQ149" i="1"/>
  <c r="BQ148" i="1"/>
  <c r="BQ147" i="1"/>
  <c r="BQ146" i="1"/>
  <c r="BQ145" i="1"/>
  <c r="BQ144" i="1"/>
  <c r="BQ143" i="1"/>
  <c r="BQ142" i="1"/>
  <c r="BQ141" i="1"/>
  <c r="BQ140" i="1"/>
  <c r="BQ139" i="1"/>
  <c r="BQ138" i="1"/>
  <c r="BQ137" i="1"/>
  <c r="BQ136" i="1"/>
  <c r="BQ135" i="1"/>
  <c r="BQ134" i="1"/>
  <c r="BQ133" i="1"/>
  <c r="BQ132" i="1"/>
  <c r="BQ131" i="1"/>
  <c r="BQ130" i="1"/>
  <c r="BQ129" i="1"/>
  <c r="BQ128" i="1"/>
  <c r="BQ127" i="1"/>
  <c r="BQ126" i="1"/>
  <c r="BQ125" i="1"/>
  <c r="BQ124" i="1"/>
  <c r="BQ123" i="1"/>
  <c r="BQ122" i="1"/>
  <c r="BQ121" i="1"/>
  <c r="BQ120" i="1"/>
  <c r="BQ119" i="1"/>
  <c r="BQ118" i="1"/>
  <c r="BQ117" i="1"/>
  <c r="BQ116" i="1"/>
  <c r="BQ115" i="1"/>
  <c r="BP206" i="1"/>
  <c r="BP205" i="1"/>
  <c r="BP204" i="1"/>
  <c r="BP203" i="1"/>
  <c r="BP202" i="1"/>
  <c r="BP201" i="1"/>
  <c r="BP200" i="1"/>
  <c r="BP199" i="1"/>
  <c r="BP198" i="1"/>
  <c r="BP197" i="1"/>
  <c r="BP196" i="1"/>
  <c r="BP195" i="1"/>
  <c r="BP194" i="1"/>
  <c r="BP193" i="1"/>
  <c r="BP192" i="1"/>
  <c r="BP191" i="1"/>
  <c r="BP190" i="1"/>
  <c r="BP189" i="1"/>
  <c r="BP188" i="1"/>
  <c r="BP187" i="1"/>
  <c r="BP186" i="1"/>
  <c r="BP185" i="1"/>
  <c r="BP184" i="1"/>
  <c r="BP183" i="1"/>
  <c r="BP182" i="1"/>
  <c r="BP181" i="1"/>
  <c r="BP180" i="1"/>
  <c r="BP179" i="1"/>
  <c r="BP178" i="1"/>
  <c r="BP177" i="1"/>
  <c r="BP176" i="1"/>
  <c r="BP175" i="1"/>
  <c r="BP174" i="1"/>
  <c r="BP173" i="1"/>
  <c r="BP172" i="1"/>
  <c r="BP171" i="1"/>
  <c r="BP170" i="1"/>
  <c r="BP169" i="1"/>
  <c r="BP168" i="1"/>
  <c r="BP167" i="1"/>
  <c r="BP166" i="1"/>
  <c r="BP165" i="1"/>
  <c r="BP164" i="1"/>
  <c r="BP163" i="1"/>
  <c r="BP162" i="1"/>
  <c r="BP161" i="1"/>
  <c r="BP160" i="1"/>
  <c r="BP159" i="1"/>
  <c r="BP158" i="1"/>
  <c r="BP157" i="1"/>
  <c r="BP156" i="1"/>
  <c r="BP155" i="1"/>
  <c r="BP154" i="1"/>
  <c r="BP153" i="1"/>
  <c r="BP152" i="1"/>
  <c r="BP151" i="1"/>
  <c r="BP150" i="1"/>
  <c r="BP149" i="1"/>
  <c r="BP148" i="1"/>
  <c r="BP147" i="1"/>
  <c r="BP146" i="1"/>
  <c r="BP145" i="1"/>
  <c r="BP144" i="1"/>
  <c r="BP143" i="1"/>
  <c r="BP142" i="1"/>
  <c r="BP141" i="1"/>
  <c r="BP140" i="1"/>
  <c r="BP139" i="1"/>
  <c r="BP138" i="1"/>
  <c r="BP137" i="1"/>
  <c r="BP136" i="1"/>
  <c r="BP135" i="1"/>
  <c r="BP134" i="1"/>
  <c r="BP133" i="1"/>
  <c r="BP132" i="1"/>
  <c r="BP131" i="1"/>
  <c r="BP130" i="1"/>
  <c r="BP129" i="1"/>
  <c r="BP128" i="1"/>
  <c r="BP127" i="1"/>
  <c r="BP126" i="1"/>
  <c r="BP125" i="1"/>
  <c r="BP124" i="1"/>
  <c r="BP123" i="1"/>
  <c r="BP122" i="1"/>
  <c r="BP121" i="1"/>
  <c r="BP120" i="1"/>
  <c r="BP119" i="1"/>
  <c r="BP118" i="1"/>
  <c r="BP117" i="1"/>
  <c r="BP116" i="1"/>
  <c r="BP115" i="1"/>
  <c r="BO206" i="1"/>
  <c r="BO205" i="1"/>
  <c r="BO204" i="1"/>
  <c r="BO203" i="1"/>
  <c r="BO202" i="1"/>
  <c r="BO201" i="1"/>
  <c r="BO200" i="1"/>
  <c r="BO199" i="1"/>
  <c r="BO198" i="1"/>
  <c r="BO197" i="1"/>
  <c r="BO196" i="1"/>
  <c r="BO195" i="1"/>
  <c r="BO194" i="1"/>
  <c r="BO193" i="1"/>
  <c r="BO192" i="1"/>
  <c r="BO191" i="1"/>
  <c r="BO190" i="1"/>
  <c r="BO189" i="1"/>
  <c r="BO188" i="1"/>
  <c r="BO187" i="1"/>
  <c r="BO186" i="1"/>
  <c r="BO185" i="1"/>
  <c r="BO184" i="1"/>
  <c r="BO183" i="1"/>
  <c r="BO182" i="1"/>
  <c r="BO181" i="1"/>
  <c r="BO180" i="1"/>
  <c r="BO179" i="1"/>
  <c r="BO178" i="1"/>
  <c r="BO177" i="1"/>
  <c r="BO176" i="1"/>
  <c r="BO175" i="1"/>
  <c r="BO174" i="1"/>
  <c r="BO173" i="1"/>
  <c r="BO172" i="1"/>
  <c r="BO171" i="1"/>
  <c r="BO170" i="1"/>
  <c r="BO169" i="1"/>
  <c r="BO168" i="1"/>
  <c r="BO167" i="1"/>
  <c r="BO166" i="1"/>
  <c r="BO165" i="1"/>
  <c r="BO164" i="1"/>
  <c r="BO163" i="1"/>
  <c r="BO162" i="1"/>
  <c r="BO161" i="1"/>
  <c r="BO160" i="1"/>
  <c r="BO159" i="1"/>
  <c r="BO158" i="1"/>
  <c r="BO157" i="1"/>
  <c r="BO156" i="1"/>
  <c r="BO155" i="1"/>
  <c r="BO154" i="1"/>
  <c r="BO153" i="1"/>
  <c r="BO152" i="1"/>
  <c r="BO151" i="1"/>
  <c r="BO150" i="1"/>
  <c r="BO149" i="1"/>
  <c r="BO148" i="1"/>
  <c r="BO147" i="1"/>
  <c r="BO146" i="1"/>
  <c r="BO145" i="1"/>
  <c r="BO144" i="1"/>
  <c r="BO143" i="1"/>
  <c r="BO142" i="1"/>
  <c r="BO141" i="1"/>
  <c r="BO140" i="1"/>
  <c r="BO139" i="1"/>
  <c r="BO138" i="1"/>
  <c r="BO137" i="1"/>
  <c r="BO136" i="1"/>
  <c r="BO135" i="1"/>
  <c r="BO134" i="1"/>
  <c r="BO133" i="1"/>
  <c r="BO132" i="1"/>
  <c r="BO131" i="1"/>
  <c r="BO130" i="1"/>
  <c r="BO129" i="1"/>
  <c r="BO128" i="1"/>
  <c r="BO127" i="1"/>
  <c r="BO126" i="1"/>
  <c r="BO125" i="1"/>
  <c r="BO124" i="1"/>
  <c r="BO123" i="1"/>
  <c r="BO122" i="1"/>
  <c r="BO121" i="1"/>
  <c r="BO120" i="1"/>
  <c r="BO119" i="1"/>
  <c r="BO118" i="1"/>
  <c r="BO117" i="1"/>
  <c r="BO116" i="1"/>
  <c r="BO115" i="1"/>
  <c r="BN206" i="1"/>
  <c r="BN205" i="1"/>
  <c r="BN204" i="1"/>
  <c r="BN203" i="1"/>
  <c r="BN202" i="1"/>
  <c r="BN201" i="1"/>
  <c r="BN200" i="1"/>
  <c r="BN199" i="1"/>
  <c r="BN198" i="1"/>
  <c r="BN197" i="1"/>
  <c r="BN196" i="1"/>
  <c r="BN195" i="1"/>
  <c r="BN194" i="1"/>
  <c r="BN193" i="1"/>
  <c r="BN192" i="1"/>
  <c r="BN191" i="1"/>
  <c r="BN190" i="1"/>
  <c r="BN189" i="1"/>
  <c r="BN188" i="1"/>
  <c r="BN187" i="1"/>
  <c r="BN186" i="1"/>
  <c r="BN185" i="1"/>
  <c r="BN184" i="1"/>
  <c r="BN183" i="1"/>
  <c r="BN182" i="1"/>
  <c r="BN181" i="1"/>
  <c r="BN180" i="1"/>
  <c r="BN179" i="1"/>
  <c r="BN178" i="1"/>
  <c r="BN177" i="1"/>
  <c r="BN176" i="1"/>
  <c r="BN175" i="1"/>
  <c r="BN174" i="1"/>
  <c r="BN173" i="1"/>
  <c r="BN172" i="1"/>
  <c r="BN171" i="1"/>
  <c r="BN170" i="1"/>
  <c r="BN169" i="1"/>
  <c r="BN168" i="1"/>
  <c r="BN167" i="1"/>
  <c r="BN166" i="1"/>
  <c r="BN165" i="1"/>
  <c r="BN164" i="1"/>
  <c r="BN163" i="1"/>
  <c r="BN162" i="1"/>
  <c r="BN161" i="1"/>
  <c r="BN160" i="1"/>
  <c r="BN159" i="1"/>
  <c r="BN158" i="1"/>
  <c r="BN157" i="1"/>
  <c r="BN156" i="1"/>
  <c r="BN155" i="1"/>
  <c r="BN154" i="1"/>
  <c r="BN153" i="1"/>
  <c r="BN152" i="1"/>
  <c r="BN151" i="1"/>
  <c r="BN150" i="1"/>
  <c r="BN149" i="1"/>
  <c r="BN148" i="1"/>
  <c r="BN147" i="1"/>
  <c r="BN146" i="1"/>
  <c r="BN145" i="1"/>
  <c r="BN144" i="1"/>
  <c r="BN143" i="1"/>
  <c r="BN142" i="1"/>
  <c r="BN141" i="1"/>
  <c r="BN140" i="1"/>
  <c r="BN139" i="1"/>
  <c r="BN138" i="1"/>
  <c r="BN137" i="1"/>
  <c r="BN136" i="1"/>
  <c r="BN135" i="1"/>
  <c r="BN134" i="1"/>
  <c r="BN133" i="1"/>
  <c r="BN132" i="1"/>
  <c r="BN131" i="1"/>
  <c r="BN130" i="1"/>
  <c r="BN129" i="1"/>
  <c r="BN128" i="1"/>
  <c r="BN127" i="1"/>
  <c r="BN126" i="1"/>
  <c r="BN125" i="1"/>
  <c r="BN124" i="1"/>
  <c r="BN123" i="1"/>
  <c r="BN122" i="1"/>
  <c r="BN121" i="1"/>
  <c r="BN120" i="1"/>
  <c r="BN119" i="1"/>
  <c r="BN118" i="1"/>
  <c r="BN117" i="1"/>
  <c r="BN116" i="1"/>
  <c r="BN115" i="1"/>
  <c r="BM206" i="1"/>
  <c r="BM205" i="1"/>
  <c r="BM204" i="1"/>
  <c r="BM203" i="1"/>
  <c r="BM202" i="1"/>
  <c r="BM201" i="1"/>
  <c r="BM200" i="1"/>
  <c r="BM199" i="1"/>
  <c r="BM198" i="1"/>
  <c r="BM197" i="1"/>
  <c r="BM196" i="1"/>
  <c r="BM195" i="1"/>
  <c r="BM194" i="1"/>
  <c r="BM193" i="1"/>
  <c r="BM192" i="1"/>
  <c r="BM191" i="1"/>
  <c r="BM190" i="1"/>
  <c r="BM189" i="1"/>
  <c r="BM188" i="1"/>
  <c r="BM187" i="1"/>
  <c r="BM186" i="1"/>
  <c r="BM185" i="1"/>
  <c r="BM184" i="1"/>
  <c r="BM183" i="1"/>
  <c r="BM182" i="1"/>
  <c r="BM181" i="1"/>
  <c r="BM180" i="1"/>
  <c r="BM179" i="1"/>
  <c r="BM178" i="1"/>
  <c r="BM177" i="1"/>
  <c r="BM176" i="1"/>
  <c r="BM175" i="1"/>
  <c r="BM174" i="1"/>
  <c r="BM173" i="1"/>
  <c r="BM172" i="1"/>
  <c r="BM171" i="1"/>
  <c r="BM170" i="1"/>
  <c r="BM169" i="1"/>
  <c r="BM168" i="1"/>
  <c r="BM167" i="1"/>
  <c r="BM166" i="1"/>
  <c r="BM165" i="1"/>
  <c r="BM164" i="1"/>
  <c r="BM163" i="1"/>
  <c r="BM162" i="1"/>
  <c r="BM161" i="1"/>
  <c r="BM160" i="1"/>
  <c r="BM159" i="1"/>
  <c r="BM158" i="1"/>
  <c r="BM157" i="1"/>
  <c r="BM156" i="1"/>
  <c r="BM155" i="1"/>
  <c r="BM154" i="1"/>
  <c r="BM153" i="1"/>
  <c r="BM152" i="1"/>
  <c r="BM151" i="1"/>
  <c r="BM150" i="1"/>
  <c r="BM149" i="1"/>
  <c r="BM148" i="1"/>
  <c r="BM147" i="1"/>
  <c r="BM146" i="1"/>
  <c r="BM145" i="1"/>
  <c r="BM144" i="1"/>
  <c r="BM143" i="1"/>
  <c r="BM142" i="1"/>
  <c r="BM141" i="1"/>
  <c r="BM140" i="1"/>
  <c r="BM139" i="1"/>
  <c r="BM138" i="1"/>
  <c r="BM137" i="1"/>
  <c r="BM136" i="1"/>
  <c r="BM135" i="1"/>
  <c r="BM134" i="1"/>
  <c r="BM133" i="1"/>
  <c r="BM132" i="1"/>
  <c r="BM131" i="1"/>
  <c r="BM130" i="1"/>
  <c r="BM129" i="1"/>
  <c r="BM128" i="1"/>
  <c r="BM127" i="1"/>
  <c r="BM126" i="1"/>
  <c r="BM125" i="1"/>
  <c r="BM124" i="1"/>
  <c r="BM123" i="1"/>
  <c r="BM122" i="1"/>
  <c r="BM121" i="1"/>
  <c r="BM120" i="1"/>
  <c r="BM119" i="1"/>
  <c r="BM118" i="1"/>
  <c r="BM117" i="1"/>
  <c r="BM116" i="1"/>
  <c r="BM115" i="1"/>
  <c r="BL206" i="1"/>
  <c r="BL205" i="1"/>
  <c r="BL204" i="1"/>
  <c r="BL203" i="1"/>
  <c r="BL202" i="1"/>
  <c r="BL201" i="1"/>
  <c r="BL200" i="1"/>
  <c r="BL199" i="1"/>
  <c r="BL198" i="1"/>
  <c r="BL197" i="1"/>
  <c r="BL196" i="1"/>
  <c r="BL195" i="1"/>
  <c r="BL194" i="1"/>
  <c r="BL193" i="1"/>
  <c r="BL192" i="1"/>
  <c r="BL191" i="1"/>
  <c r="BL190" i="1"/>
  <c r="BL189" i="1"/>
  <c r="BL188" i="1"/>
  <c r="BL187" i="1"/>
  <c r="BL186" i="1"/>
  <c r="BL185" i="1"/>
  <c r="BL184" i="1"/>
  <c r="BL183" i="1"/>
  <c r="BL182" i="1"/>
  <c r="BL181" i="1"/>
  <c r="BL180" i="1"/>
  <c r="BL179" i="1"/>
  <c r="BL178" i="1"/>
  <c r="BL177" i="1"/>
  <c r="BL176" i="1"/>
  <c r="BL175" i="1"/>
  <c r="BL174" i="1"/>
  <c r="BL173" i="1"/>
  <c r="BL172" i="1"/>
  <c r="BL171" i="1"/>
  <c r="BL170" i="1"/>
  <c r="BL169" i="1"/>
  <c r="BL168" i="1"/>
  <c r="BL167" i="1"/>
  <c r="BL166" i="1"/>
  <c r="BL165" i="1"/>
  <c r="BL164" i="1"/>
  <c r="BL163" i="1"/>
  <c r="BL162" i="1"/>
  <c r="BL161" i="1"/>
  <c r="BL160" i="1"/>
  <c r="BL159" i="1"/>
  <c r="BL158" i="1"/>
  <c r="BL157" i="1"/>
  <c r="BL156" i="1"/>
  <c r="BL155" i="1"/>
  <c r="BL154" i="1"/>
  <c r="BL153" i="1"/>
  <c r="BL152" i="1"/>
  <c r="BL151" i="1"/>
  <c r="BL150" i="1"/>
  <c r="BL149" i="1"/>
  <c r="BL148" i="1"/>
  <c r="BL147" i="1"/>
  <c r="BL146" i="1"/>
  <c r="BL145" i="1"/>
  <c r="BL144" i="1"/>
  <c r="BL143" i="1"/>
  <c r="BL142" i="1"/>
  <c r="BL141" i="1"/>
  <c r="BL140" i="1"/>
  <c r="BL139" i="1"/>
  <c r="BL138" i="1"/>
  <c r="BL137" i="1"/>
  <c r="BL136" i="1"/>
  <c r="BL135" i="1"/>
  <c r="BL134" i="1"/>
  <c r="BL133" i="1"/>
  <c r="BL132" i="1"/>
  <c r="BL131" i="1"/>
  <c r="BL130" i="1"/>
  <c r="BL129" i="1"/>
  <c r="BL128" i="1"/>
  <c r="BL127" i="1"/>
  <c r="BL126" i="1"/>
  <c r="BL125" i="1"/>
  <c r="BL124" i="1"/>
  <c r="BL123" i="1"/>
  <c r="BL122" i="1"/>
  <c r="BL121" i="1"/>
  <c r="BL120" i="1"/>
  <c r="BL119" i="1"/>
  <c r="BL118" i="1"/>
  <c r="BL117" i="1"/>
  <c r="BL116" i="1"/>
  <c r="BL115" i="1"/>
  <c r="BK206" i="1"/>
  <c r="BK205" i="1"/>
  <c r="BK204" i="1"/>
  <c r="BK203" i="1"/>
  <c r="BK202" i="1"/>
  <c r="BK201" i="1"/>
  <c r="BK200" i="1"/>
  <c r="BK199" i="1"/>
  <c r="BK198" i="1"/>
  <c r="BK197" i="1"/>
  <c r="BK196" i="1"/>
  <c r="BK195" i="1"/>
  <c r="BK194" i="1"/>
  <c r="BK193" i="1"/>
  <c r="BK192" i="1"/>
  <c r="BK191" i="1"/>
  <c r="BK190" i="1"/>
  <c r="BK189" i="1"/>
  <c r="BK188" i="1"/>
  <c r="BK187" i="1"/>
  <c r="BK186" i="1"/>
  <c r="BK185" i="1"/>
  <c r="BK184" i="1"/>
  <c r="BK183" i="1"/>
  <c r="BK182" i="1"/>
  <c r="BK181" i="1"/>
  <c r="BK180" i="1"/>
  <c r="BK179" i="1"/>
  <c r="BK178" i="1"/>
  <c r="BK177" i="1"/>
  <c r="BK176" i="1"/>
  <c r="BK175" i="1"/>
  <c r="BK174" i="1"/>
  <c r="BK173" i="1"/>
  <c r="BK172" i="1"/>
  <c r="BK171" i="1"/>
  <c r="BK170" i="1"/>
  <c r="BK169" i="1"/>
  <c r="BK168" i="1"/>
  <c r="BK167" i="1"/>
  <c r="BK166" i="1"/>
  <c r="BK165" i="1"/>
  <c r="BK164" i="1"/>
  <c r="BK163" i="1"/>
  <c r="BK162" i="1"/>
  <c r="BK161" i="1"/>
  <c r="BK160" i="1"/>
  <c r="BK159" i="1"/>
  <c r="BK158" i="1"/>
  <c r="BK157" i="1"/>
  <c r="BK156" i="1"/>
  <c r="BK155" i="1"/>
  <c r="BK154" i="1"/>
  <c r="BK153" i="1"/>
  <c r="BK152" i="1"/>
  <c r="BK151" i="1"/>
  <c r="BK150" i="1"/>
  <c r="BK149" i="1"/>
  <c r="BK148" i="1"/>
  <c r="BK147" i="1"/>
  <c r="BK146" i="1"/>
  <c r="BK145" i="1"/>
  <c r="BK144" i="1"/>
  <c r="BK143" i="1"/>
  <c r="BK142" i="1"/>
  <c r="BK141" i="1"/>
  <c r="BK140" i="1"/>
  <c r="BK139" i="1"/>
  <c r="BK138" i="1"/>
  <c r="BK137" i="1"/>
  <c r="BK136" i="1"/>
  <c r="BK135" i="1"/>
  <c r="BK134" i="1"/>
  <c r="BK133" i="1"/>
  <c r="BK132" i="1"/>
  <c r="BK131" i="1"/>
  <c r="BK130" i="1"/>
  <c r="BK129" i="1"/>
  <c r="BK128" i="1"/>
  <c r="BK127" i="1"/>
  <c r="BK126" i="1"/>
  <c r="BK125" i="1"/>
  <c r="BK124" i="1"/>
  <c r="BK123" i="1"/>
  <c r="BK122" i="1"/>
  <c r="BK121" i="1"/>
  <c r="BK120" i="1"/>
  <c r="BK119" i="1"/>
  <c r="BK118" i="1"/>
  <c r="BK117" i="1"/>
  <c r="BK116" i="1"/>
  <c r="BK115" i="1"/>
  <c r="BJ206" i="1"/>
  <c r="BJ205" i="1"/>
  <c r="BJ204" i="1"/>
  <c r="BJ203" i="1"/>
  <c r="BJ202" i="1"/>
  <c r="BJ201" i="1"/>
  <c r="BJ200" i="1"/>
  <c r="BJ199" i="1"/>
  <c r="BJ198" i="1"/>
  <c r="BJ197" i="1"/>
  <c r="BJ196" i="1"/>
  <c r="BJ195" i="1"/>
  <c r="BJ194" i="1"/>
  <c r="BJ193" i="1"/>
  <c r="BJ192" i="1"/>
  <c r="BJ191" i="1"/>
  <c r="BJ190" i="1"/>
  <c r="BJ189" i="1"/>
  <c r="BJ188" i="1"/>
  <c r="BJ187" i="1"/>
  <c r="BJ186" i="1"/>
  <c r="BJ185" i="1"/>
  <c r="BJ184" i="1"/>
  <c r="BJ183" i="1"/>
  <c r="BJ182" i="1"/>
  <c r="BJ181" i="1"/>
  <c r="BJ180" i="1"/>
  <c r="BJ179" i="1"/>
  <c r="BJ178" i="1"/>
  <c r="BJ177" i="1"/>
  <c r="BJ176" i="1"/>
  <c r="BJ175" i="1"/>
  <c r="BJ174" i="1"/>
  <c r="BJ173" i="1"/>
  <c r="BJ172" i="1"/>
  <c r="BJ171" i="1"/>
  <c r="BJ170" i="1"/>
  <c r="BJ169" i="1"/>
  <c r="BJ168" i="1"/>
  <c r="BJ167" i="1"/>
  <c r="BJ166" i="1"/>
  <c r="BJ165" i="1"/>
  <c r="BJ164" i="1"/>
  <c r="BJ163" i="1"/>
  <c r="BJ162" i="1"/>
  <c r="BJ161" i="1"/>
  <c r="BJ160" i="1"/>
  <c r="BJ159" i="1"/>
  <c r="BJ158" i="1"/>
  <c r="BJ157" i="1"/>
  <c r="BJ156" i="1"/>
  <c r="BJ155" i="1"/>
  <c r="BJ154" i="1"/>
  <c r="BJ153" i="1"/>
  <c r="BJ152" i="1"/>
  <c r="BJ151" i="1"/>
  <c r="BJ150" i="1"/>
  <c r="BJ149" i="1"/>
  <c r="BJ148" i="1"/>
  <c r="BJ147" i="1"/>
  <c r="BJ146" i="1"/>
  <c r="BJ145" i="1"/>
  <c r="BJ144" i="1"/>
  <c r="BJ143" i="1"/>
  <c r="BJ142" i="1"/>
  <c r="BJ141" i="1"/>
  <c r="BJ140" i="1"/>
  <c r="BJ139" i="1"/>
  <c r="BJ138" i="1"/>
  <c r="BJ137" i="1"/>
  <c r="BJ136" i="1"/>
  <c r="BJ135" i="1"/>
  <c r="BJ134" i="1"/>
  <c r="BJ133" i="1"/>
  <c r="BJ132" i="1"/>
  <c r="BJ131" i="1"/>
  <c r="BJ130" i="1"/>
  <c r="BJ129" i="1"/>
  <c r="BJ128" i="1"/>
  <c r="BJ127" i="1"/>
  <c r="BJ126" i="1"/>
  <c r="BJ125" i="1"/>
  <c r="BJ124" i="1"/>
  <c r="BJ123" i="1"/>
  <c r="BJ122" i="1"/>
  <c r="BJ121" i="1"/>
  <c r="BJ120" i="1"/>
  <c r="BJ119" i="1"/>
  <c r="BJ118" i="1"/>
  <c r="BJ117" i="1"/>
  <c r="BJ116" i="1"/>
  <c r="BJ115" i="1"/>
  <c r="BI206" i="1"/>
  <c r="BI205" i="1"/>
  <c r="BI204" i="1"/>
  <c r="BI203" i="1"/>
  <c r="BI202" i="1"/>
  <c r="BI201" i="1"/>
  <c r="BI200" i="1"/>
  <c r="BI199" i="1"/>
  <c r="BI198" i="1"/>
  <c r="BI197" i="1"/>
  <c r="BI196" i="1"/>
  <c r="BI195" i="1"/>
  <c r="BI194" i="1"/>
  <c r="BI193" i="1"/>
  <c r="BI192" i="1"/>
  <c r="BI191" i="1"/>
  <c r="BI190" i="1"/>
  <c r="BI189" i="1"/>
  <c r="BI188" i="1"/>
  <c r="BI187" i="1"/>
  <c r="BI186" i="1"/>
  <c r="BI185" i="1"/>
  <c r="BI184" i="1"/>
  <c r="BI183" i="1"/>
  <c r="BI182" i="1"/>
  <c r="BI181" i="1"/>
  <c r="BI180" i="1"/>
  <c r="BI179" i="1"/>
  <c r="BI178" i="1"/>
  <c r="BI177" i="1"/>
  <c r="BI176" i="1"/>
  <c r="BI175" i="1"/>
  <c r="BI174" i="1"/>
  <c r="BI173" i="1"/>
  <c r="BI172" i="1"/>
  <c r="BI171" i="1"/>
  <c r="BI170" i="1"/>
  <c r="BI169" i="1"/>
  <c r="BI168" i="1"/>
  <c r="BI167" i="1"/>
  <c r="BI166" i="1"/>
  <c r="BI165" i="1"/>
  <c r="BI164" i="1"/>
  <c r="BI163" i="1"/>
  <c r="BI162" i="1"/>
  <c r="BI161" i="1"/>
  <c r="BI160" i="1"/>
  <c r="BI159" i="1"/>
  <c r="BI158" i="1"/>
  <c r="BI157" i="1"/>
  <c r="BI156" i="1"/>
  <c r="BI155" i="1"/>
  <c r="BI154" i="1"/>
  <c r="BI153" i="1"/>
  <c r="BI152" i="1"/>
  <c r="BI151" i="1"/>
  <c r="BI150" i="1"/>
  <c r="BI149" i="1"/>
  <c r="BI148" i="1"/>
  <c r="BI147" i="1"/>
  <c r="BI146" i="1"/>
  <c r="BI145" i="1"/>
  <c r="BI144" i="1"/>
  <c r="BI143" i="1"/>
  <c r="BI142" i="1"/>
  <c r="BI141" i="1"/>
  <c r="BI140" i="1"/>
  <c r="BI139" i="1"/>
  <c r="BI138" i="1"/>
  <c r="BI137" i="1"/>
  <c r="BI136" i="1"/>
  <c r="BI135" i="1"/>
  <c r="BI134" i="1"/>
  <c r="BI133" i="1"/>
  <c r="BI132" i="1"/>
  <c r="BI131" i="1"/>
  <c r="BI130" i="1"/>
  <c r="BI129" i="1"/>
  <c r="BI128" i="1"/>
  <c r="BI127" i="1"/>
  <c r="BI126" i="1"/>
  <c r="BI125" i="1"/>
  <c r="BI124" i="1"/>
  <c r="BI123" i="1"/>
  <c r="BI122" i="1"/>
  <c r="BI121" i="1"/>
  <c r="BI120" i="1"/>
  <c r="BI119" i="1"/>
  <c r="BI118" i="1"/>
  <c r="BI117" i="1"/>
  <c r="BI116" i="1"/>
  <c r="BI115" i="1"/>
  <c r="BH206" i="1"/>
  <c r="BH205" i="1"/>
  <c r="BH204" i="1"/>
  <c r="BH203" i="1"/>
  <c r="BH202" i="1"/>
  <c r="BH201" i="1"/>
  <c r="BH200" i="1"/>
  <c r="BH199" i="1"/>
  <c r="BH198" i="1"/>
  <c r="BH197" i="1"/>
  <c r="BH196" i="1"/>
  <c r="BH195" i="1"/>
  <c r="BH194" i="1"/>
  <c r="BH193" i="1"/>
  <c r="BH192" i="1"/>
  <c r="BH191" i="1"/>
  <c r="BH190" i="1"/>
  <c r="BH189" i="1"/>
  <c r="BH188" i="1"/>
  <c r="BH187" i="1"/>
  <c r="BH186" i="1"/>
  <c r="BH185" i="1"/>
  <c r="BH184" i="1"/>
  <c r="BH183" i="1"/>
  <c r="BH182" i="1"/>
  <c r="BH181" i="1"/>
  <c r="BH180" i="1"/>
  <c r="BH179" i="1"/>
  <c r="BH178" i="1"/>
  <c r="BH177" i="1"/>
  <c r="BH176" i="1"/>
  <c r="BH175" i="1"/>
  <c r="BH174" i="1"/>
  <c r="BH173" i="1"/>
  <c r="BH172" i="1"/>
  <c r="BH171" i="1"/>
  <c r="BH170" i="1"/>
  <c r="BH169" i="1"/>
  <c r="BH168" i="1"/>
  <c r="BH167" i="1"/>
  <c r="BH166" i="1"/>
  <c r="BH165" i="1"/>
  <c r="BH164" i="1"/>
  <c r="BH163" i="1"/>
  <c r="BH162" i="1"/>
  <c r="BH161" i="1"/>
  <c r="BH160" i="1"/>
  <c r="BH159" i="1"/>
  <c r="BH158" i="1"/>
  <c r="BH157" i="1"/>
  <c r="BH156" i="1"/>
  <c r="BH155" i="1"/>
  <c r="BH154" i="1"/>
  <c r="BH153" i="1"/>
  <c r="BH152" i="1"/>
  <c r="BH151" i="1"/>
  <c r="BH150" i="1"/>
  <c r="BH149" i="1"/>
  <c r="BH148" i="1"/>
  <c r="BH147" i="1"/>
  <c r="BH146" i="1"/>
  <c r="BH145" i="1"/>
  <c r="BH144" i="1"/>
  <c r="BH143" i="1"/>
  <c r="BH142" i="1"/>
  <c r="BH141" i="1"/>
  <c r="BH140" i="1"/>
  <c r="BH139" i="1"/>
  <c r="BH138" i="1"/>
  <c r="BH137" i="1"/>
  <c r="BH136" i="1"/>
  <c r="BH135" i="1"/>
  <c r="BH134" i="1"/>
  <c r="BH133" i="1"/>
  <c r="BH132" i="1"/>
  <c r="BH131" i="1"/>
  <c r="BH130" i="1"/>
  <c r="BH129" i="1"/>
  <c r="BH128" i="1"/>
  <c r="BH127" i="1"/>
  <c r="BH126" i="1"/>
  <c r="BH125" i="1"/>
  <c r="BH124" i="1"/>
  <c r="BH123" i="1"/>
  <c r="BH122" i="1"/>
  <c r="BH121" i="1"/>
  <c r="BH120" i="1"/>
  <c r="BH119" i="1"/>
  <c r="BH118" i="1"/>
  <c r="BH117" i="1"/>
  <c r="BH116" i="1"/>
  <c r="BH115" i="1"/>
  <c r="BG206" i="1"/>
  <c r="BG205" i="1"/>
  <c r="BG204" i="1"/>
  <c r="BG203" i="1"/>
  <c r="BG202" i="1"/>
  <c r="BG201" i="1"/>
  <c r="BG200" i="1"/>
  <c r="BG199" i="1"/>
  <c r="BG198" i="1"/>
  <c r="BG197" i="1"/>
  <c r="BG196" i="1"/>
  <c r="BG195" i="1"/>
  <c r="BG194" i="1"/>
  <c r="BG193" i="1"/>
  <c r="BG192" i="1"/>
  <c r="BG191" i="1"/>
  <c r="BG190" i="1"/>
  <c r="BG189" i="1"/>
  <c r="BG188" i="1"/>
  <c r="BG187" i="1"/>
  <c r="BG186" i="1"/>
  <c r="BG185" i="1"/>
  <c r="BG184" i="1"/>
  <c r="BG183" i="1"/>
  <c r="BG182" i="1"/>
  <c r="BG181" i="1"/>
  <c r="BG180" i="1"/>
  <c r="BG179" i="1"/>
  <c r="BG178" i="1"/>
  <c r="BG177" i="1"/>
  <c r="BG176" i="1"/>
  <c r="BG175" i="1"/>
  <c r="BG174" i="1"/>
  <c r="BG173" i="1"/>
  <c r="BG172" i="1"/>
  <c r="BG171" i="1"/>
  <c r="BG170" i="1"/>
  <c r="BG169" i="1"/>
  <c r="BG168" i="1"/>
  <c r="BG167" i="1"/>
  <c r="BG166" i="1"/>
  <c r="BG165" i="1"/>
  <c r="BG164" i="1"/>
  <c r="BG163" i="1"/>
  <c r="BG162" i="1"/>
  <c r="BG161" i="1"/>
  <c r="BG160" i="1"/>
  <c r="BG159" i="1"/>
  <c r="BG158" i="1"/>
  <c r="BG157" i="1"/>
  <c r="BG156" i="1"/>
  <c r="BG155" i="1"/>
  <c r="BG154" i="1"/>
  <c r="BG153" i="1"/>
  <c r="BG152" i="1"/>
  <c r="BG151" i="1"/>
  <c r="BG150" i="1"/>
  <c r="BG149" i="1"/>
  <c r="BG148" i="1"/>
  <c r="BG147" i="1"/>
  <c r="BG146" i="1"/>
  <c r="BG145" i="1"/>
  <c r="BG144" i="1"/>
  <c r="BG143" i="1"/>
  <c r="BG142" i="1"/>
  <c r="BG141" i="1"/>
  <c r="BG140" i="1"/>
  <c r="BG139" i="1"/>
  <c r="BG138" i="1"/>
  <c r="BG137" i="1"/>
  <c r="BG136" i="1"/>
  <c r="BG135" i="1"/>
  <c r="BG134" i="1"/>
  <c r="BG133" i="1"/>
  <c r="BG132" i="1"/>
  <c r="BG131" i="1"/>
  <c r="BG130" i="1"/>
  <c r="BG129" i="1"/>
  <c r="BG128" i="1"/>
  <c r="BG127" i="1"/>
  <c r="BG126" i="1"/>
  <c r="BG125" i="1"/>
  <c r="BG124" i="1"/>
  <c r="BG123" i="1"/>
  <c r="BG122" i="1"/>
  <c r="BG121" i="1"/>
  <c r="BG120" i="1"/>
  <c r="BG119" i="1"/>
  <c r="BG118" i="1"/>
  <c r="BG117" i="1"/>
  <c r="BG116" i="1"/>
  <c r="BG115" i="1"/>
  <c r="BF206" i="1"/>
  <c r="BF205" i="1"/>
  <c r="BF204" i="1"/>
  <c r="BF203" i="1"/>
  <c r="BF202" i="1"/>
  <c r="BF201" i="1"/>
  <c r="BF200" i="1"/>
  <c r="BF199" i="1"/>
  <c r="BF198" i="1"/>
  <c r="BF197" i="1"/>
  <c r="BF196" i="1"/>
  <c r="BF195" i="1"/>
  <c r="BF194" i="1"/>
  <c r="BF193" i="1"/>
  <c r="BF192" i="1"/>
  <c r="BF191" i="1"/>
  <c r="BF190" i="1"/>
  <c r="BF189" i="1"/>
  <c r="BF188" i="1"/>
  <c r="BF187" i="1"/>
  <c r="BF186" i="1"/>
  <c r="BF185" i="1"/>
  <c r="BF184" i="1"/>
  <c r="BF183" i="1"/>
  <c r="BF182" i="1"/>
  <c r="BF181" i="1"/>
  <c r="BF180" i="1"/>
  <c r="BF179" i="1"/>
  <c r="BF178" i="1"/>
  <c r="BF177" i="1"/>
  <c r="BF176" i="1"/>
  <c r="BF175" i="1"/>
  <c r="BF174" i="1"/>
  <c r="BF173" i="1"/>
  <c r="BF172" i="1"/>
  <c r="BF171" i="1"/>
  <c r="BF170" i="1"/>
  <c r="BF169" i="1"/>
  <c r="BF168" i="1"/>
  <c r="BF167" i="1"/>
  <c r="BF166" i="1"/>
  <c r="BF165" i="1"/>
  <c r="BF164" i="1"/>
  <c r="BF163" i="1"/>
  <c r="BF162" i="1"/>
  <c r="BF161" i="1"/>
  <c r="BF160" i="1"/>
  <c r="BF159" i="1"/>
  <c r="BF158" i="1"/>
  <c r="BF157" i="1"/>
  <c r="BF156" i="1"/>
  <c r="BF155" i="1"/>
  <c r="BF154" i="1"/>
  <c r="BF153" i="1"/>
  <c r="BF152" i="1"/>
  <c r="BF151" i="1"/>
  <c r="BF150" i="1"/>
  <c r="BF149" i="1"/>
  <c r="BF148" i="1"/>
  <c r="BF147" i="1"/>
  <c r="BF146" i="1"/>
  <c r="BF145" i="1"/>
  <c r="BF144" i="1"/>
  <c r="BF143" i="1"/>
  <c r="BF142" i="1"/>
  <c r="BF141" i="1"/>
  <c r="BF140" i="1"/>
  <c r="BF139" i="1"/>
  <c r="BF138" i="1"/>
  <c r="BF137" i="1"/>
  <c r="BF136" i="1"/>
  <c r="BF135" i="1"/>
  <c r="BF134" i="1"/>
  <c r="BF133" i="1"/>
  <c r="BF132" i="1"/>
  <c r="BF131" i="1"/>
  <c r="BF130" i="1"/>
  <c r="BF129" i="1"/>
  <c r="BF128" i="1"/>
  <c r="BF127" i="1"/>
  <c r="BF126" i="1"/>
  <c r="BF125" i="1"/>
  <c r="BF124" i="1"/>
  <c r="BF123" i="1"/>
  <c r="BF122" i="1"/>
  <c r="BF121" i="1"/>
  <c r="BF120" i="1"/>
  <c r="BF119" i="1"/>
  <c r="BF118" i="1"/>
  <c r="BF117" i="1"/>
  <c r="BF116" i="1"/>
  <c r="BF115" i="1"/>
  <c r="BE206" i="1"/>
  <c r="BE205" i="1"/>
  <c r="BE204" i="1"/>
  <c r="BE203" i="1"/>
  <c r="BE202" i="1"/>
  <c r="BE201" i="1"/>
  <c r="BE200" i="1"/>
  <c r="BE199" i="1"/>
  <c r="BE198" i="1"/>
  <c r="BE197" i="1"/>
  <c r="BE196" i="1"/>
  <c r="BE195" i="1"/>
  <c r="BE194" i="1"/>
  <c r="BE193" i="1"/>
  <c r="BE192" i="1"/>
  <c r="BE191" i="1"/>
  <c r="BE190" i="1"/>
  <c r="BE189" i="1"/>
  <c r="BE188" i="1"/>
  <c r="BE187" i="1"/>
  <c r="BE186" i="1"/>
  <c r="BE185" i="1"/>
  <c r="BE184" i="1"/>
  <c r="BE183" i="1"/>
  <c r="BE182" i="1"/>
  <c r="BE181" i="1"/>
  <c r="BE180" i="1"/>
  <c r="BE179" i="1"/>
  <c r="BE178" i="1"/>
  <c r="BE177" i="1"/>
  <c r="BE176" i="1"/>
  <c r="BE175" i="1"/>
  <c r="BE174" i="1"/>
  <c r="BE173" i="1"/>
  <c r="BE172" i="1"/>
  <c r="BE171" i="1"/>
  <c r="BE170" i="1"/>
  <c r="BE169" i="1"/>
  <c r="BE168" i="1"/>
  <c r="BE167" i="1"/>
  <c r="BE166" i="1"/>
  <c r="BE165" i="1"/>
  <c r="BE164" i="1"/>
  <c r="BE163" i="1"/>
  <c r="BE162" i="1"/>
  <c r="BE161" i="1"/>
  <c r="BE160" i="1"/>
  <c r="BE159" i="1"/>
  <c r="BE158" i="1"/>
  <c r="BE157" i="1"/>
  <c r="BE156" i="1"/>
  <c r="BE155" i="1"/>
  <c r="BE154" i="1"/>
  <c r="BE153" i="1"/>
  <c r="BE152" i="1"/>
  <c r="BE151" i="1"/>
  <c r="BE150" i="1"/>
  <c r="BE149" i="1"/>
  <c r="BE148" i="1"/>
  <c r="BE147" i="1"/>
  <c r="BE146" i="1"/>
  <c r="BE145" i="1"/>
  <c r="BE144" i="1"/>
  <c r="BE143" i="1"/>
  <c r="BE142" i="1"/>
  <c r="BE141" i="1"/>
  <c r="BE140" i="1"/>
  <c r="BE139" i="1"/>
  <c r="BE138" i="1"/>
  <c r="BE137" i="1"/>
  <c r="BE136" i="1"/>
  <c r="BE135" i="1"/>
  <c r="BE134" i="1"/>
  <c r="BE133" i="1"/>
  <c r="BE132" i="1"/>
  <c r="BE131" i="1"/>
  <c r="BE130" i="1"/>
  <c r="BE129" i="1"/>
  <c r="BE128" i="1"/>
  <c r="BE127" i="1"/>
  <c r="BE126" i="1"/>
  <c r="BE125" i="1"/>
  <c r="BE124" i="1"/>
  <c r="BE123" i="1"/>
  <c r="BE122" i="1"/>
  <c r="BE121" i="1"/>
  <c r="BE120" i="1"/>
  <c r="BE119" i="1"/>
  <c r="BE118" i="1"/>
  <c r="BE117" i="1"/>
  <c r="BE116" i="1"/>
  <c r="BE115" i="1"/>
  <c r="BD206" i="1"/>
  <c r="BD205" i="1"/>
  <c r="BD204" i="1"/>
  <c r="BD203" i="1"/>
  <c r="BD202" i="1"/>
  <c r="BD201" i="1"/>
  <c r="BD200" i="1"/>
  <c r="BD199" i="1"/>
  <c r="BD198" i="1"/>
  <c r="BD197" i="1"/>
  <c r="BD196" i="1"/>
  <c r="BD195" i="1"/>
  <c r="BD194" i="1"/>
  <c r="BD193" i="1"/>
  <c r="BD192" i="1"/>
  <c r="BD191" i="1"/>
  <c r="BD190" i="1"/>
  <c r="BD189" i="1"/>
  <c r="BD188" i="1"/>
  <c r="BD187" i="1"/>
  <c r="BD186" i="1"/>
  <c r="BD185" i="1"/>
  <c r="BD184" i="1"/>
  <c r="BD183" i="1"/>
  <c r="BD182" i="1"/>
  <c r="BD181" i="1"/>
  <c r="BD180" i="1"/>
  <c r="BD179" i="1"/>
  <c r="BD178" i="1"/>
  <c r="BD177" i="1"/>
  <c r="BD176" i="1"/>
  <c r="BD175" i="1"/>
  <c r="BD174" i="1"/>
  <c r="BD173" i="1"/>
  <c r="BD172" i="1"/>
  <c r="BD171" i="1"/>
  <c r="BD170" i="1"/>
  <c r="BD169" i="1"/>
  <c r="BD168" i="1"/>
  <c r="BD167" i="1"/>
  <c r="BD166" i="1"/>
  <c r="BD165" i="1"/>
  <c r="BD164" i="1"/>
  <c r="BD163" i="1"/>
  <c r="BD162" i="1"/>
  <c r="BD161" i="1"/>
  <c r="BD160" i="1"/>
  <c r="BD159" i="1"/>
  <c r="BD158" i="1"/>
  <c r="BD157" i="1"/>
  <c r="BD156" i="1"/>
  <c r="BD155" i="1"/>
  <c r="BD154" i="1"/>
  <c r="BD153" i="1"/>
  <c r="BD152" i="1"/>
  <c r="BD151" i="1"/>
  <c r="BD150" i="1"/>
  <c r="BD149" i="1"/>
  <c r="BD148" i="1"/>
  <c r="BD147" i="1"/>
  <c r="BD146" i="1"/>
  <c r="BD145" i="1"/>
  <c r="BD144" i="1"/>
  <c r="BD143" i="1"/>
  <c r="BD142" i="1"/>
  <c r="BD141" i="1"/>
  <c r="BD140" i="1"/>
  <c r="BD139" i="1"/>
  <c r="BD138" i="1"/>
  <c r="BD137" i="1"/>
  <c r="BD136" i="1"/>
  <c r="BD135" i="1"/>
  <c r="BD134" i="1"/>
  <c r="BD133" i="1"/>
  <c r="BD132" i="1"/>
  <c r="BD131" i="1"/>
  <c r="BD130" i="1"/>
  <c r="BD129" i="1"/>
  <c r="BD128" i="1"/>
  <c r="BD127" i="1"/>
  <c r="BD126" i="1"/>
  <c r="BD125" i="1"/>
  <c r="BD124" i="1"/>
  <c r="BD123" i="1"/>
  <c r="BD122" i="1"/>
  <c r="BD121" i="1"/>
  <c r="BD120" i="1"/>
  <c r="BD119" i="1"/>
  <c r="BD118" i="1"/>
  <c r="BD117" i="1"/>
  <c r="BD116" i="1"/>
  <c r="BD115" i="1"/>
  <c r="BC206" i="1"/>
  <c r="BC205" i="1"/>
  <c r="BC204" i="1"/>
  <c r="BC203" i="1"/>
  <c r="BC202" i="1"/>
  <c r="BC201" i="1"/>
  <c r="BC200" i="1"/>
  <c r="BC199" i="1"/>
  <c r="BC198" i="1"/>
  <c r="BC197" i="1"/>
  <c r="BC196" i="1"/>
  <c r="BC195" i="1"/>
  <c r="BC194" i="1"/>
  <c r="BC193" i="1"/>
  <c r="BC192" i="1"/>
  <c r="BC191" i="1"/>
  <c r="BC190" i="1"/>
  <c r="BC189" i="1"/>
  <c r="BC188" i="1"/>
  <c r="BC187" i="1"/>
  <c r="BC186" i="1"/>
  <c r="BC185" i="1"/>
  <c r="BC184" i="1"/>
  <c r="BC183" i="1"/>
  <c r="BC182" i="1"/>
  <c r="BC181" i="1"/>
  <c r="BC180" i="1"/>
  <c r="BC179" i="1"/>
  <c r="BC178" i="1"/>
  <c r="BC177" i="1"/>
  <c r="BC176" i="1"/>
  <c r="BC175" i="1"/>
  <c r="BC174" i="1"/>
  <c r="BC173" i="1"/>
  <c r="BC172" i="1"/>
  <c r="BC171" i="1"/>
  <c r="BC170" i="1"/>
  <c r="BC169" i="1"/>
  <c r="BC168" i="1"/>
  <c r="BC167" i="1"/>
  <c r="BC166" i="1"/>
  <c r="BC165" i="1"/>
  <c r="BC164" i="1"/>
  <c r="BC163" i="1"/>
  <c r="BC162" i="1"/>
  <c r="BC161" i="1"/>
  <c r="BC160" i="1"/>
  <c r="BC159" i="1"/>
  <c r="BC158" i="1"/>
  <c r="BC157" i="1"/>
  <c r="BC156" i="1"/>
  <c r="BC155" i="1"/>
  <c r="BC154" i="1"/>
  <c r="BC153" i="1"/>
  <c r="BC152" i="1"/>
  <c r="BC151" i="1"/>
  <c r="BC150" i="1"/>
  <c r="BC149" i="1"/>
  <c r="BC148" i="1"/>
  <c r="BC147" i="1"/>
  <c r="BC146" i="1"/>
  <c r="BC145" i="1"/>
  <c r="BC144" i="1"/>
  <c r="BC143" i="1"/>
  <c r="BC142" i="1"/>
  <c r="BC141" i="1"/>
  <c r="BC140" i="1"/>
  <c r="BC139" i="1"/>
  <c r="BC138" i="1"/>
  <c r="BC137" i="1"/>
  <c r="BC136" i="1"/>
  <c r="BC135" i="1"/>
  <c r="BC134" i="1"/>
  <c r="BC133" i="1"/>
  <c r="BC132" i="1"/>
  <c r="BC131" i="1"/>
  <c r="BC130" i="1"/>
  <c r="BC129" i="1"/>
  <c r="BC128" i="1"/>
  <c r="BC127" i="1"/>
  <c r="BC126" i="1"/>
  <c r="BC125" i="1"/>
  <c r="BC124" i="1"/>
  <c r="BC123" i="1"/>
  <c r="BC122" i="1"/>
  <c r="BC121" i="1"/>
  <c r="BC120" i="1"/>
  <c r="BC119" i="1"/>
  <c r="BC118" i="1"/>
  <c r="BC117" i="1"/>
  <c r="BC116" i="1"/>
  <c r="BC115" i="1"/>
  <c r="BB206" i="1"/>
  <c r="BB205" i="1"/>
  <c r="BB204" i="1"/>
  <c r="BB203" i="1"/>
  <c r="BB202" i="1"/>
  <c r="BB201" i="1"/>
  <c r="BB200" i="1"/>
  <c r="BB199" i="1"/>
  <c r="BB198" i="1"/>
  <c r="BB197" i="1"/>
  <c r="BB196" i="1"/>
  <c r="BB195" i="1"/>
  <c r="BB194" i="1"/>
  <c r="BB193" i="1"/>
  <c r="BB192" i="1"/>
  <c r="BB191" i="1"/>
  <c r="BB190" i="1"/>
  <c r="BB189" i="1"/>
  <c r="BB188" i="1"/>
  <c r="BB187" i="1"/>
  <c r="BB186" i="1"/>
  <c r="BB185" i="1"/>
  <c r="BB184" i="1"/>
  <c r="BB183" i="1"/>
  <c r="BB182" i="1"/>
  <c r="BB181" i="1"/>
  <c r="BB180" i="1"/>
  <c r="BB179" i="1"/>
  <c r="BB178" i="1"/>
  <c r="BB177" i="1"/>
  <c r="BB176" i="1"/>
  <c r="BB175" i="1"/>
  <c r="BB174" i="1"/>
  <c r="BB173" i="1"/>
  <c r="BB172" i="1"/>
  <c r="BB171" i="1"/>
  <c r="BB170" i="1"/>
  <c r="BB169" i="1"/>
  <c r="BB168" i="1"/>
  <c r="BB167" i="1"/>
  <c r="BB166" i="1"/>
  <c r="BB165" i="1"/>
  <c r="BB164" i="1"/>
  <c r="BB163" i="1"/>
  <c r="BB162" i="1"/>
  <c r="BB161" i="1"/>
  <c r="BB160" i="1"/>
  <c r="BB159" i="1"/>
  <c r="BB158" i="1"/>
  <c r="BB157" i="1"/>
  <c r="BB156" i="1"/>
  <c r="BB155" i="1"/>
  <c r="BB154" i="1"/>
  <c r="BB153" i="1"/>
  <c r="BB152" i="1"/>
  <c r="BB151" i="1"/>
  <c r="BB150" i="1"/>
  <c r="BB149" i="1"/>
  <c r="BB148" i="1"/>
  <c r="BB147" i="1"/>
  <c r="BB146" i="1"/>
  <c r="BB145" i="1"/>
  <c r="BB144" i="1"/>
  <c r="BB143" i="1"/>
  <c r="BB142" i="1"/>
  <c r="BB141" i="1"/>
  <c r="BB140" i="1"/>
  <c r="BB139" i="1"/>
  <c r="BB138" i="1"/>
  <c r="BB137" i="1"/>
  <c r="BB136" i="1"/>
  <c r="BB135" i="1"/>
  <c r="BB134" i="1"/>
  <c r="BB133" i="1"/>
  <c r="BB132" i="1"/>
  <c r="BB131" i="1"/>
  <c r="BB130" i="1"/>
  <c r="BB129" i="1"/>
  <c r="BB128" i="1"/>
  <c r="BB127" i="1"/>
  <c r="BB126" i="1"/>
  <c r="BB125" i="1"/>
  <c r="BB124" i="1"/>
  <c r="BB123" i="1"/>
  <c r="BB122" i="1"/>
  <c r="BB121" i="1"/>
  <c r="BB120" i="1"/>
  <c r="BB119" i="1"/>
  <c r="BB118" i="1"/>
  <c r="BB117" i="1"/>
  <c r="BB116" i="1"/>
  <c r="BB115" i="1"/>
  <c r="BA206" i="1"/>
  <c r="BA205" i="1"/>
  <c r="BA204" i="1"/>
  <c r="BA203" i="1"/>
  <c r="BA202" i="1"/>
  <c r="BA201" i="1"/>
  <c r="BA200" i="1"/>
  <c r="BA199" i="1"/>
  <c r="BA198" i="1"/>
  <c r="BA197" i="1"/>
  <c r="BA196" i="1"/>
  <c r="BA195" i="1"/>
  <c r="BA194" i="1"/>
  <c r="BA193" i="1"/>
  <c r="BA192" i="1"/>
  <c r="BA191" i="1"/>
  <c r="BA190" i="1"/>
  <c r="BA189" i="1"/>
  <c r="BA188" i="1"/>
  <c r="BA187" i="1"/>
  <c r="BA186" i="1"/>
  <c r="BA185" i="1"/>
  <c r="BA184" i="1"/>
  <c r="BA183" i="1"/>
  <c r="BA182" i="1"/>
  <c r="BA181" i="1"/>
  <c r="BA180" i="1"/>
  <c r="BA179" i="1"/>
  <c r="BA178" i="1"/>
  <c r="BA177" i="1"/>
  <c r="BA176" i="1"/>
  <c r="BA175" i="1"/>
  <c r="BA174" i="1"/>
  <c r="BA173" i="1"/>
  <c r="BA172" i="1"/>
  <c r="BA171" i="1"/>
  <c r="BA170" i="1"/>
  <c r="BA169" i="1"/>
  <c r="BA168" i="1"/>
  <c r="BA167" i="1"/>
  <c r="BA166" i="1"/>
  <c r="BA165" i="1"/>
  <c r="BA164" i="1"/>
  <c r="BA163" i="1"/>
  <c r="BA162" i="1"/>
  <c r="BA161" i="1"/>
  <c r="BA160" i="1"/>
  <c r="BA159" i="1"/>
  <c r="BA158" i="1"/>
  <c r="BA157" i="1"/>
  <c r="BA156" i="1"/>
  <c r="BA155" i="1"/>
  <c r="BA154" i="1"/>
  <c r="BA153" i="1"/>
  <c r="BA152" i="1"/>
  <c r="BA151" i="1"/>
  <c r="BA150" i="1"/>
  <c r="BA149" i="1"/>
  <c r="BA148" i="1"/>
  <c r="BA147" i="1"/>
  <c r="BA146" i="1"/>
  <c r="BA145" i="1"/>
  <c r="BA144" i="1"/>
  <c r="BA143" i="1"/>
  <c r="BA142" i="1"/>
  <c r="BA141" i="1"/>
  <c r="BA140" i="1"/>
  <c r="BA139" i="1"/>
  <c r="BA138" i="1"/>
  <c r="BA137" i="1"/>
  <c r="BA136" i="1"/>
  <c r="BA135" i="1"/>
  <c r="BA134" i="1"/>
  <c r="BA133" i="1"/>
  <c r="BA132" i="1"/>
  <c r="BA131" i="1"/>
  <c r="BA130" i="1"/>
  <c r="BA129" i="1"/>
  <c r="BA128" i="1"/>
  <c r="BA127" i="1"/>
  <c r="BA126" i="1"/>
  <c r="BA125" i="1"/>
  <c r="BA124" i="1"/>
  <c r="BA123" i="1"/>
  <c r="BA122" i="1"/>
  <c r="BA121" i="1"/>
  <c r="BA120" i="1"/>
  <c r="BA119" i="1"/>
  <c r="BA118" i="1"/>
  <c r="BA117" i="1"/>
  <c r="BA116" i="1"/>
  <c r="BA115" i="1"/>
  <c r="AZ206" i="1"/>
  <c r="AZ205" i="1"/>
  <c r="AZ204" i="1"/>
  <c r="AZ203" i="1"/>
  <c r="AZ202" i="1"/>
  <c r="AZ201" i="1"/>
  <c r="AZ200" i="1"/>
  <c r="AZ199" i="1"/>
  <c r="AZ198" i="1"/>
  <c r="AZ197" i="1"/>
  <c r="AZ196" i="1"/>
  <c r="AZ195" i="1"/>
  <c r="AZ194" i="1"/>
  <c r="AZ193" i="1"/>
  <c r="AZ192" i="1"/>
  <c r="AZ191" i="1"/>
  <c r="AZ190" i="1"/>
  <c r="AZ189" i="1"/>
  <c r="AZ188" i="1"/>
  <c r="AZ187" i="1"/>
  <c r="AZ186" i="1"/>
  <c r="AZ185" i="1"/>
  <c r="AZ184" i="1"/>
  <c r="AZ183" i="1"/>
  <c r="AZ182" i="1"/>
  <c r="AZ181" i="1"/>
  <c r="AZ180" i="1"/>
  <c r="AZ179" i="1"/>
  <c r="AZ178" i="1"/>
  <c r="AZ177" i="1"/>
  <c r="AZ176" i="1"/>
  <c r="AZ175" i="1"/>
  <c r="AZ174" i="1"/>
  <c r="AZ173" i="1"/>
  <c r="AZ172" i="1"/>
  <c r="AZ171" i="1"/>
  <c r="AZ170" i="1"/>
  <c r="AZ169" i="1"/>
  <c r="AZ168" i="1"/>
  <c r="AZ167" i="1"/>
  <c r="AZ166" i="1"/>
  <c r="AZ165" i="1"/>
  <c r="AZ164" i="1"/>
  <c r="AZ163" i="1"/>
  <c r="AZ162" i="1"/>
  <c r="AZ161" i="1"/>
  <c r="AZ160" i="1"/>
  <c r="AZ159" i="1"/>
  <c r="AZ158" i="1"/>
  <c r="AZ157" i="1"/>
  <c r="AZ156" i="1"/>
  <c r="AZ155" i="1"/>
  <c r="AZ154" i="1"/>
  <c r="AZ153" i="1"/>
  <c r="AZ152" i="1"/>
  <c r="AZ151" i="1"/>
  <c r="AZ150" i="1"/>
  <c r="AZ149" i="1"/>
  <c r="AZ148" i="1"/>
  <c r="AZ147" i="1"/>
  <c r="AZ146" i="1"/>
  <c r="AZ145" i="1"/>
  <c r="AZ144" i="1"/>
  <c r="AZ143" i="1"/>
  <c r="AZ142" i="1"/>
  <c r="AZ141" i="1"/>
  <c r="AZ140" i="1"/>
  <c r="AZ139" i="1"/>
  <c r="AZ138" i="1"/>
  <c r="AZ137" i="1"/>
  <c r="AZ136" i="1"/>
  <c r="AZ135" i="1"/>
  <c r="AZ134" i="1"/>
  <c r="AZ133" i="1"/>
  <c r="AZ132" i="1"/>
  <c r="AZ131" i="1"/>
  <c r="AZ130" i="1"/>
  <c r="AZ129" i="1"/>
  <c r="AZ128" i="1"/>
  <c r="AZ127" i="1"/>
  <c r="AZ126" i="1"/>
  <c r="AZ125" i="1"/>
  <c r="AZ124" i="1"/>
  <c r="AZ123" i="1"/>
  <c r="AZ122" i="1"/>
  <c r="AZ121" i="1"/>
  <c r="AZ120" i="1"/>
  <c r="AZ119" i="1"/>
  <c r="AZ118" i="1"/>
  <c r="AZ117" i="1"/>
  <c r="AZ116" i="1"/>
  <c r="AZ115" i="1"/>
  <c r="AY206" i="1"/>
  <c r="AY205" i="1"/>
  <c r="AY204" i="1"/>
  <c r="AY203" i="1"/>
  <c r="AY202" i="1"/>
  <c r="AY201" i="1"/>
  <c r="AY200" i="1"/>
  <c r="AY199" i="1"/>
  <c r="AY198" i="1"/>
  <c r="AY197" i="1"/>
  <c r="AY196" i="1"/>
  <c r="AY195" i="1"/>
  <c r="AY194" i="1"/>
  <c r="AY193" i="1"/>
  <c r="AY192" i="1"/>
  <c r="AY191" i="1"/>
  <c r="AY190" i="1"/>
  <c r="AY189" i="1"/>
  <c r="AY188" i="1"/>
  <c r="AY187" i="1"/>
  <c r="AY186" i="1"/>
  <c r="AY185" i="1"/>
  <c r="AY184" i="1"/>
  <c r="AY183" i="1"/>
  <c r="AY182" i="1"/>
  <c r="AY181" i="1"/>
  <c r="AY180" i="1"/>
  <c r="AY179" i="1"/>
  <c r="AY178" i="1"/>
  <c r="AY177" i="1"/>
  <c r="AY176" i="1"/>
  <c r="AY175" i="1"/>
  <c r="AY174" i="1"/>
  <c r="AY173" i="1"/>
  <c r="AY172" i="1"/>
  <c r="AY171" i="1"/>
  <c r="AY170" i="1"/>
  <c r="AY169" i="1"/>
  <c r="AY168" i="1"/>
  <c r="AY167" i="1"/>
  <c r="AY166" i="1"/>
  <c r="AY165" i="1"/>
  <c r="AY164" i="1"/>
  <c r="AY163" i="1"/>
  <c r="AY162" i="1"/>
  <c r="AY161" i="1"/>
  <c r="AY160" i="1"/>
  <c r="AY159" i="1"/>
  <c r="AY158" i="1"/>
  <c r="AY157" i="1"/>
  <c r="AY156" i="1"/>
  <c r="AY155" i="1"/>
  <c r="AY154" i="1"/>
  <c r="AY153" i="1"/>
  <c r="AY152" i="1"/>
  <c r="AY151" i="1"/>
  <c r="AY150" i="1"/>
  <c r="AY149" i="1"/>
  <c r="AY148" i="1"/>
  <c r="AY147" i="1"/>
  <c r="AY146" i="1"/>
  <c r="AY145" i="1"/>
  <c r="AY144" i="1"/>
  <c r="AY143" i="1"/>
  <c r="AY142" i="1"/>
  <c r="AY141" i="1"/>
  <c r="AY140" i="1"/>
  <c r="AY139" i="1"/>
  <c r="AY138" i="1"/>
  <c r="AY137" i="1"/>
  <c r="AY136" i="1"/>
  <c r="AY135" i="1"/>
  <c r="AY134" i="1"/>
  <c r="AY133" i="1"/>
  <c r="AY132" i="1"/>
  <c r="AY131" i="1"/>
  <c r="AY130" i="1"/>
  <c r="AY129" i="1"/>
  <c r="AY128" i="1"/>
  <c r="AY127" i="1"/>
  <c r="AY126" i="1"/>
  <c r="AY125" i="1"/>
  <c r="AY124" i="1"/>
  <c r="AY123" i="1"/>
  <c r="AY122" i="1"/>
  <c r="AY121" i="1"/>
  <c r="AY120" i="1"/>
  <c r="AY119" i="1"/>
  <c r="AY118" i="1"/>
  <c r="AY117" i="1"/>
  <c r="AY116" i="1"/>
  <c r="AY115" i="1"/>
  <c r="AX206" i="1"/>
  <c r="AX205" i="1"/>
  <c r="AX204" i="1"/>
  <c r="AX203" i="1"/>
  <c r="AX202" i="1"/>
  <c r="AX201" i="1"/>
  <c r="AX200" i="1"/>
  <c r="AX199" i="1"/>
  <c r="AX198" i="1"/>
  <c r="AX197" i="1"/>
  <c r="AX196" i="1"/>
  <c r="AX195" i="1"/>
  <c r="AX194" i="1"/>
  <c r="AX193" i="1"/>
  <c r="AX192" i="1"/>
  <c r="AX191" i="1"/>
  <c r="AX190" i="1"/>
  <c r="AX189" i="1"/>
  <c r="AX188" i="1"/>
  <c r="AX187" i="1"/>
  <c r="AX186" i="1"/>
  <c r="AX185" i="1"/>
  <c r="AX184" i="1"/>
  <c r="AX183" i="1"/>
  <c r="AX182" i="1"/>
  <c r="AX181" i="1"/>
  <c r="AX180" i="1"/>
  <c r="AX179" i="1"/>
  <c r="AX178" i="1"/>
  <c r="AX177" i="1"/>
  <c r="AX176" i="1"/>
  <c r="AX175" i="1"/>
  <c r="AX174" i="1"/>
  <c r="AX173" i="1"/>
  <c r="AX172" i="1"/>
  <c r="AX171" i="1"/>
  <c r="AX170" i="1"/>
  <c r="AX169" i="1"/>
  <c r="AX168" i="1"/>
  <c r="AX167" i="1"/>
  <c r="AX166" i="1"/>
  <c r="AX165" i="1"/>
  <c r="AX164" i="1"/>
  <c r="AX163" i="1"/>
  <c r="AX162" i="1"/>
  <c r="AX161" i="1"/>
  <c r="AX160" i="1"/>
  <c r="AX159" i="1"/>
  <c r="AX158" i="1"/>
  <c r="AX157" i="1"/>
  <c r="AX156" i="1"/>
  <c r="AX155" i="1"/>
  <c r="AX154" i="1"/>
  <c r="AX153" i="1"/>
  <c r="AX152" i="1"/>
  <c r="AX151" i="1"/>
  <c r="AX150" i="1"/>
  <c r="AX149" i="1"/>
  <c r="AX148" i="1"/>
  <c r="AX147" i="1"/>
  <c r="AX146" i="1"/>
  <c r="AX145" i="1"/>
  <c r="AX144" i="1"/>
  <c r="AX143" i="1"/>
  <c r="AX142" i="1"/>
  <c r="AX141" i="1"/>
  <c r="AX140" i="1"/>
  <c r="AX139" i="1"/>
  <c r="AX138" i="1"/>
  <c r="AX137" i="1"/>
  <c r="AX136" i="1"/>
  <c r="AX135" i="1"/>
  <c r="AX134" i="1"/>
  <c r="AX133" i="1"/>
  <c r="AX132" i="1"/>
  <c r="AX131" i="1"/>
  <c r="AX130" i="1"/>
  <c r="AX129" i="1"/>
  <c r="AX128" i="1"/>
  <c r="AX127" i="1"/>
  <c r="AX126" i="1"/>
  <c r="AX125" i="1"/>
  <c r="AX124" i="1"/>
  <c r="AX123" i="1"/>
  <c r="AX122" i="1"/>
  <c r="AX121" i="1"/>
  <c r="AX120" i="1"/>
  <c r="AX119" i="1"/>
  <c r="AX118" i="1"/>
  <c r="AX117" i="1"/>
  <c r="AX116" i="1"/>
  <c r="AX115" i="1"/>
  <c r="AW206" i="1"/>
  <c r="AW205" i="1"/>
  <c r="AW204" i="1"/>
  <c r="AW203" i="1"/>
  <c r="AW202" i="1"/>
  <c r="AW201" i="1"/>
  <c r="AW200" i="1"/>
  <c r="AW199" i="1"/>
  <c r="AW198" i="1"/>
  <c r="AW197" i="1"/>
  <c r="AW196" i="1"/>
  <c r="AW195" i="1"/>
  <c r="AW194" i="1"/>
  <c r="AW193" i="1"/>
  <c r="AW192" i="1"/>
  <c r="AW191" i="1"/>
  <c r="AW190" i="1"/>
  <c r="AW189" i="1"/>
  <c r="AW188" i="1"/>
  <c r="AW187" i="1"/>
  <c r="AW186" i="1"/>
  <c r="AW185" i="1"/>
  <c r="AW184" i="1"/>
  <c r="AW183" i="1"/>
  <c r="AW182" i="1"/>
  <c r="AW181" i="1"/>
  <c r="AW180" i="1"/>
  <c r="AW179" i="1"/>
  <c r="AW178" i="1"/>
  <c r="AW177" i="1"/>
  <c r="AW176" i="1"/>
  <c r="AW175" i="1"/>
  <c r="AW174" i="1"/>
  <c r="AW173" i="1"/>
  <c r="AW172" i="1"/>
  <c r="AW171" i="1"/>
  <c r="AW170" i="1"/>
  <c r="AW169" i="1"/>
  <c r="AW168" i="1"/>
  <c r="AW167" i="1"/>
  <c r="AW166" i="1"/>
  <c r="AW165" i="1"/>
  <c r="AW164" i="1"/>
  <c r="AW163" i="1"/>
  <c r="AW162" i="1"/>
  <c r="AW161" i="1"/>
  <c r="AW160" i="1"/>
  <c r="AW159" i="1"/>
  <c r="AW158" i="1"/>
  <c r="AW157" i="1"/>
  <c r="AW156" i="1"/>
  <c r="AW155" i="1"/>
  <c r="AW154" i="1"/>
  <c r="AW153" i="1"/>
  <c r="AW152" i="1"/>
  <c r="AW151" i="1"/>
  <c r="AW150" i="1"/>
  <c r="AW149" i="1"/>
  <c r="AW148" i="1"/>
  <c r="AW147" i="1"/>
  <c r="AW146" i="1"/>
  <c r="AW145" i="1"/>
  <c r="AW144" i="1"/>
  <c r="AW143" i="1"/>
  <c r="AW142" i="1"/>
  <c r="AW141" i="1"/>
  <c r="AW140" i="1"/>
  <c r="AW139" i="1"/>
  <c r="AW138" i="1"/>
  <c r="AW137" i="1"/>
  <c r="AW136" i="1"/>
  <c r="AW135" i="1"/>
  <c r="AW134" i="1"/>
  <c r="AW133" i="1"/>
  <c r="AW132" i="1"/>
  <c r="AW131" i="1"/>
  <c r="AW130" i="1"/>
  <c r="AW129" i="1"/>
  <c r="AW128" i="1"/>
  <c r="AW127" i="1"/>
  <c r="AW126" i="1"/>
  <c r="AW125" i="1"/>
  <c r="AW124" i="1"/>
  <c r="AW123" i="1"/>
  <c r="AW122" i="1"/>
  <c r="AW121" i="1"/>
  <c r="AW120" i="1"/>
  <c r="AW119" i="1"/>
  <c r="AW118" i="1"/>
  <c r="AW117" i="1"/>
  <c r="AW116" i="1"/>
  <c r="AW115" i="1"/>
  <c r="AV206" i="1"/>
  <c r="AV205" i="1"/>
  <c r="AV204" i="1"/>
  <c r="AV203" i="1"/>
  <c r="AV202" i="1"/>
  <c r="AV201" i="1"/>
  <c r="AV200" i="1"/>
  <c r="AV199" i="1"/>
  <c r="AV198" i="1"/>
  <c r="AV197" i="1"/>
  <c r="AV196" i="1"/>
  <c r="AV195" i="1"/>
  <c r="AV194" i="1"/>
  <c r="AV193" i="1"/>
  <c r="AV192" i="1"/>
  <c r="AV191" i="1"/>
  <c r="AV190" i="1"/>
  <c r="AV189" i="1"/>
  <c r="AV188" i="1"/>
  <c r="AV187" i="1"/>
  <c r="AV186" i="1"/>
  <c r="AV185" i="1"/>
  <c r="AV184" i="1"/>
  <c r="AV183" i="1"/>
  <c r="AV182" i="1"/>
  <c r="AV181" i="1"/>
  <c r="AV180" i="1"/>
  <c r="AV179" i="1"/>
  <c r="AV178" i="1"/>
  <c r="AV177" i="1"/>
  <c r="AV176" i="1"/>
  <c r="AV175" i="1"/>
  <c r="AV174" i="1"/>
  <c r="AV173" i="1"/>
  <c r="AV172" i="1"/>
  <c r="AV171" i="1"/>
  <c r="AV170" i="1"/>
  <c r="AV169" i="1"/>
  <c r="AV168" i="1"/>
  <c r="AV167" i="1"/>
  <c r="AV166" i="1"/>
  <c r="AV165" i="1"/>
  <c r="AV164" i="1"/>
  <c r="AV163" i="1"/>
  <c r="AV162" i="1"/>
  <c r="AV161" i="1"/>
  <c r="AV160" i="1"/>
  <c r="AV159" i="1"/>
  <c r="AV158" i="1"/>
  <c r="AV157" i="1"/>
  <c r="AV156" i="1"/>
  <c r="AV155" i="1"/>
  <c r="AV154" i="1"/>
  <c r="AV153" i="1"/>
  <c r="AV152" i="1"/>
  <c r="AV151" i="1"/>
  <c r="AV150" i="1"/>
  <c r="AV149" i="1"/>
  <c r="AV148" i="1"/>
  <c r="AV147" i="1"/>
  <c r="AV146" i="1"/>
  <c r="AV145" i="1"/>
  <c r="AV144" i="1"/>
  <c r="AV143" i="1"/>
  <c r="AV142" i="1"/>
  <c r="AV141" i="1"/>
  <c r="AV140" i="1"/>
  <c r="AV139" i="1"/>
  <c r="AV138" i="1"/>
  <c r="AV137" i="1"/>
  <c r="AV136" i="1"/>
  <c r="AV135" i="1"/>
  <c r="AV134" i="1"/>
  <c r="AV133" i="1"/>
  <c r="AV132" i="1"/>
  <c r="AV131" i="1"/>
  <c r="AV130" i="1"/>
  <c r="AV129" i="1"/>
  <c r="AV128" i="1"/>
  <c r="AV127" i="1"/>
  <c r="AV126" i="1"/>
  <c r="AV125" i="1"/>
  <c r="AV124" i="1"/>
  <c r="AV123" i="1"/>
  <c r="AV122" i="1"/>
  <c r="AV121" i="1"/>
  <c r="AV120" i="1"/>
  <c r="AV119" i="1"/>
  <c r="AV118" i="1"/>
  <c r="AV117" i="1"/>
  <c r="AV116" i="1"/>
  <c r="AV115" i="1"/>
  <c r="AU206" i="1"/>
  <c r="AU205" i="1"/>
  <c r="AU204" i="1"/>
  <c r="AU203" i="1"/>
  <c r="AU202" i="1"/>
  <c r="AU201" i="1"/>
  <c r="AU200" i="1"/>
  <c r="AU199" i="1"/>
  <c r="AU198" i="1"/>
  <c r="AU197" i="1"/>
  <c r="AU196" i="1"/>
  <c r="AU195" i="1"/>
  <c r="AU194" i="1"/>
  <c r="AU193" i="1"/>
  <c r="AU192" i="1"/>
  <c r="AU191" i="1"/>
  <c r="AU190" i="1"/>
  <c r="AU189" i="1"/>
  <c r="AU188" i="1"/>
  <c r="AU187" i="1"/>
  <c r="AU186" i="1"/>
  <c r="AU185" i="1"/>
  <c r="AU184" i="1"/>
  <c r="AU183" i="1"/>
  <c r="AU182" i="1"/>
  <c r="AU181" i="1"/>
  <c r="AU180" i="1"/>
  <c r="AU179" i="1"/>
  <c r="AU178" i="1"/>
  <c r="AU177" i="1"/>
  <c r="AU176" i="1"/>
  <c r="AU175" i="1"/>
  <c r="AU174" i="1"/>
  <c r="AU173" i="1"/>
  <c r="AU172" i="1"/>
  <c r="AU171" i="1"/>
  <c r="AU170" i="1"/>
  <c r="AU169" i="1"/>
  <c r="AU168" i="1"/>
  <c r="AU167" i="1"/>
  <c r="AU166" i="1"/>
  <c r="AU165" i="1"/>
  <c r="AU164" i="1"/>
  <c r="AU163" i="1"/>
  <c r="AU162" i="1"/>
  <c r="AU161" i="1"/>
  <c r="AU160" i="1"/>
  <c r="AU159" i="1"/>
  <c r="AU158" i="1"/>
  <c r="AU157" i="1"/>
  <c r="AU156" i="1"/>
  <c r="AU155" i="1"/>
  <c r="AU154" i="1"/>
  <c r="AU153" i="1"/>
  <c r="AU152" i="1"/>
  <c r="AU151" i="1"/>
  <c r="AU150" i="1"/>
  <c r="AU149" i="1"/>
  <c r="AU148" i="1"/>
  <c r="AU147" i="1"/>
  <c r="AU146" i="1"/>
  <c r="AU145" i="1"/>
  <c r="AU144" i="1"/>
  <c r="AU143" i="1"/>
  <c r="AU142" i="1"/>
  <c r="AU141" i="1"/>
  <c r="AU140" i="1"/>
  <c r="AU139" i="1"/>
  <c r="AU138" i="1"/>
  <c r="AU137" i="1"/>
  <c r="AU136" i="1"/>
  <c r="AU135" i="1"/>
  <c r="AU134" i="1"/>
  <c r="AU133" i="1"/>
  <c r="AU132" i="1"/>
  <c r="AU131" i="1"/>
  <c r="AU130" i="1"/>
  <c r="AU129" i="1"/>
  <c r="AU128" i="1"/>
  <c r="AU127" i="1"/>
  <c r="AU126" i="1"/>
  <c r="AU125" i="1"/>
  <c r="AU124" i="1"/>
  <c r="AU123" i="1"/>
  <c r="AU122" i="1"/>
  <c r="AU121" i="1"/>
  <c r="AU120" i="1"/>
  <c r="AU119" i="1"/>
  <c r="AU118" i="1"/>
  <c r="AU117" i="1"/>
  <c r="AU116" i="1"/>
  <c r="AU115" i="1"/>
  <c r="AT206" i="1"/>
  <c r="AT205" i="1"/>
  <c r="AT204" i="1"/>
  <c r="AT203" i="1"/>
  <c r="AT202" i="1"/>
  <c r="AT201" i="1"/>
  <c r="AT200" i="1"/>
  <c r="AT199" i="1"/>
  <c r="AT198" i="1"/>
  <c r="AT197" i="1"/>
  <c r="AT196" i="1"/>
  <c r="AT195" i="1"/>
  <c r="AT194" i="1"/>
  <c r="AT193" i="1"/>
  <c r="AT192" i="1"/>
  <c r="AT191" i="1"/>
  <c r="AT190" i="1"/>
  <c r="AT189" i="1"/>
  <c r="AT188" i="1"/>
  <c r="AT187" i="1"/>
  <c r="AT186" i="1"/>
  <c r="AT185" i="1"/>
  <c r="AT184" i="1"/>
  <c r="AT183" i="1"/>
  <c r="AT182" i="1"/>
  <c r="AT181" i="1"/>
  <c r="AT180" i="1"/>
  <c r="AT179" i="1"/>
  <c r="AT178" i="1"/>
  <c r="AT177" i="1"/>
  <c r="AT176" i="1"/>
  <c r="AT175" i="1"/>
  <c r="AT174" i="1"/>
  <c r="AT173" i="1"/>
  <c r="AT172" i="1"/>
  <c r="AT171" i="1"/>
  <c r="AT170" i="1"/>
  <c r="AT169" i="1"/>
  <c r="AT168" i="1"/>
  <c r="AT167" i="1"/>
  <c r="AT166" i="1"/>
  <c r="AT165" i="1"/>
  <c r="AT164" i="1"/>
  <c r="AT163" i="1"/>
  <c r="AT162" i="1"/>
  <c r="AT161" i="1"/>
  <c r="AT160" i="1"/>
  <c r="AT159" i="1"/>
  <c r="AT158" i="1"/>
  <c r="AT157" i="1"/>
  <c r="AT156" i="1"/>
  <c r="AT155" i="1"/>
  <c r="AT154" i="1"/>
  <c r="AT153" i="1"/>
  <c r="AT152" i="1"/>
  <c r="AT151" i="1"/>
  <c r="AT150" i="1"/>
  <c r="AT149" i="1"/>
  <c r="AT148" i="1"/>
  <c r="AT147" i="1"/>
  <c r="AT146" i="1"/>
  <c r="AT145" i="1"/>
  <c r="AT144" i="1"/>
  <c r="AT143" i="1"/>
  <c r="AT142" i="1"/>
  <c r="AT141" i="1"/>
  <c r="AT140" i="1"/>
  <c r="AT139" i="1"/>
  <c r="AT138" i="1"/>
  <c r="AT137" i="1"/>
  <c r="AT136" i="1"/>
  <c r="AT135" i="1"/>
  <c r="AT134" i="1"/>
  <c r="AT133" i="1"/>
  <c r="AT132" i="1"/>
  <c r="AT131" i="1"/>
  <c r="AT130" i="1"/>
  <c r="AT129" i="1"/>
  <c r="AT128" i="1"/>
  <c r="AT127" i="1"/>
  <c r="AT126" i="1"/>
  <c r="AT125" i="1"/>
  <c r="AT124" i="1"/>
  <c r="AT123" i="1"/>
  <c r="AT122" i="1"/>
  <c r="AT121" i="1"/>
  <c r="AT120" i="1"/>
  <c r="AT119" i="1"/>
  <c r="AT118" i="1"/>
  <c r="AT117" i="1"/>
  <c r="AT116" i="1"/>
  <c r="AT115" i="1"/>
  <c r="AS206" i="1"/>
  <c r="AS205" i="1"/>
  <c r="AS204" i="1"/>
  <c r="AS203" i="1"/>
  <c r="AS202" i="1"/>
  <c r="AS201" i="1"/>
  <c r="AS200" i="1"/>
  <c r="AS199" i="1"/>
  <c r="AS198" i="1"/>
  <c r="AS197" i="1"/>
  <c r="AS196" i="1"/>
  <c r="AS195" i="1"/>
  <c r="AS194" i="1"/>
  <c r="AS193" i="1"/>
  <c r="AS192" i="1"/>
  <c r="AS191" i="1"/>
  <c r="AS190" i="1"/>
  <c r="AS189" i="1"/>
  <c r="AS188" i="1"/>
  <c r="AS187" i="1"/>
  <c r="AS186" i="1"/>
  <c r="AS185" i="1"/>
  <c r="AS184" i="1"/>
  <c r="AS183" i="1"/>
  <c r="AS182" i="1"/>
  <c r="AS181" i="1"/>
  <c r="AS180" i="1"/>
  <c r="AS179" i="1"/>
  <c r="AS178" i="1"/>
  <c r="AS177" i="1"/>
  <c r="AS176" i="1"/>
  <c r="AS175" i="1"/>
  <c r="AS174" i="1"/>
  <c r="AS173" i="1"/>
  <c r="AS172" i="1"/>
  <c r="AS171" i="1"/>
  <c r="AS170" i="1"/>
  <c r="AS169" i="1"/>
  <c r="AS168" i="1"/>
  <c r="AS167" i="1"/>
  <c r="AS166" i="1"/>
  <c r="AS165" i="1"/>
  <c r="AS164" i="1"/>
  <c r="AS163" i="1"/>
  <c r="AS162" i="1"/>
  <c r="AS161" i="1"/>
  <c r="AS160" i="1"/>
  <c r="AS159" i="1"/>
  <c r="AS158" i="1"/>
  <c r="AS157" i="1"/>
  <c r="AS156" i="1"/>
  <c r="AS155" i="1"/>
  <c r="AS154" i="1"/>
  <c r="AS153" i="1"/>
  <c r="AS152" i="1"/>
  <c r="AS151" i="1"/>
  <c r="AS150" i="1"/>
  <c r="AS149" i="1"/>
  <c r="AS148" i="1"/>
  <c r="AS147" i="1"/>
  <c r="AS146" i="1"/>
  <c r="AS145" i="1"/>
  <c r="AS144" i="1"/>
  <c r="AS143" i="1"/>
  <c r="AS142" i="1"/>
  <c r="AS141" i="1"/>
  <c r="AS140" i="1"/>
  <c r="AS139" i="1"/>
  <c r="AS138" i="1"/>
  <c r="AS137" i="1"/>
  <c r="AS136" i="1"/>
  <c r="AS135" i="1"/>
  <c r="AS134" i="1"/>
  <c r="AS133" i="1"/>
  <c r="AS132" i="1"/>
  <c r="AS131" i="1"/>
  <c r="AS130" i="1"/>
  <c r="AS129" i="1"/>
  <c r="AS128" i="1"/>
  <c r="AS127" i="1"/>
  <c r="AS126" i="1"/>
  <c r="AS125" i="1"/>
  <c r="AS124" i="1"/>
  <c r="AS123" i="1"/>
  <c r="AS122" i="1"/>
  <c r="AS121" i="1"/>
  <c r="AS120" i="1"/>
  <c r="AS119" i="1"/>
  <c r="AS118" i="1"/>
  <c r="AS117" i="1"/>
  <c r="AS116" i="1"/>
  <c r="AS115" i="1"/>
  <c r="AR206" i="1"/>
  <c r="AR205" i="1"/>
  <c r="AR204" i="1"/>
  <c r="AR203" i="1"/>
  <c r="AR202" i="1"/>
  <c r="AR201" i="1"/>
  <c r="AR200" i="1"/>
  <c r="AR199" i="1"/>
  <c r="AR198" i="1"/>
  <c r="AR197" i="1"/>
  <c r="AR196" i="1"/>
  <c r="AR195" i="1"/>
  <c r="AR194" i="1"/>
  <c r="AR193" i="1"/>
  <c r="AR192" i="1"/>
  <c r="AR191" i="1"/>
  <c r="AR190" i="1"/>
  <c r="AR189" i="1"/>
  <c r="AR188" i="1"/>
  <c r="AR187" i="1"/>
  <c r="AR186" i="1"/>
  <c r="AR185" i="1"/>
  <c r="AR184" i="1"/>
  <c r="AR183" i="1"/>
  <c r="AR182" i="1"/>
  <c r="AR181" i="1"/>
  <c r="AR180" i="1"/>
  <c r="AR179" i="1"/>
  <c r="AR178" i="1"/>
  <c r="AR177" i="1"/>
  <c r="AR176" i="1"/>
  <c r="AR175" i="1"/>
  <c r="AR174" i="1"/>
  <c r="AR173" i="1"/>
  <c r="AR172" i="1"/>
  <c r="AR171" i="1"/>
  <c r="AR170" i="1"/>
  <c r="AR169" i="1"/>
  <c r="AR168" i="1"/>
  <c r="AR167" i="1"/>
  <c r="AR166" i="1"/>
  <c r="AR165" i="1"/>
  <c r="AR164" i="1"/>
  <c r="AR163" i="1"/>
  <c r="AR162" i="1"/>
  <c r="AR161" i="1"/>
  <c r="AR160" i="1"/>
  <c r="AR159" i="1"/>
  <c r="AR158" i="1"/>
  <c r="AR157" i="1"/>
  <c r="AR156" i="1"/>
  <c r="AR155" i="1"/>
  <c r="AR154" i="1"/>
  <c r="AR153" i="1"/>
  <c r="AR152" i="1"/>
  <c r="AR151" i="1"/>
  <c r="AR150" i="1"/>
  <c r="AR149" i="1"/>
  <c r="AR148" i="1"/>
  <c r="AR147" i="1"/>
  <c r="AR146" i="1"/>
  <c r="AR145" i="1"/>
  <c r="AR144" i="1"/>
  <c r="AR143" i="1"/>
  <c r="AR142" i="1"/>
  <c r="AR141" i="1"/>
  <c r="AR140" i="1"/>
  <c r="AR139" i="1"/>
  <c r="AR138" i="1"/>
  <c r="AR137" i="1"/>
  <c r="AR136" i="1"/>
  <c r="AR135" i="1"/>
  <c r="AR134" i="1"/>
  <c r="AR133" i="1"/>
  <c r="AR132" i="1"/>
  <c r="AR131" i="1"/>
  <c r="AR130" i="1"/>
  <c r="AR129" i="1"/>
  <c r="AR128" i="1"/>
  <c r="AR127" i="1"/>
  <c r="AR126" i="1"/>
  <c r="AR125" i="1"/>
  <c r="AR124" i="1"/>
  <c r="AR123" i="1"/>
  <c r="AR122" i="1"/>
  <c r="AR121" i="1"/>
  <c r="AR120" i="1"/>
  <c r="AR119" i="1"/>
  <c r="AR118" i="1"/>
  <c r="AR117" i="1"/>
  <c r="AR116" i="1"/>
  <c r="AR115" i="1"/>
  <c r="AQ206" i="1"/>
  <c r="AQ205" i="1"/>
  <c r="AQ204" i="1"/>
  <c r="AQ203" i="1"/>
  <c r="AQ202" i="1"/>
  <c r="AQ201" i="1"/>
  <c r="AQ200" i="1"/>
  <c r="AQ199" i="1"/>
  <c r="AQ198" i="1"/>
  <c r="AQ197" i="1"/>
  <c r="AQ196" i="1"/>
  <c r="AQ195" i="1"/>
  <c r="AQ194" i="1"/>
  <c r="AQ193" i="1"/>
  <c r="AQ192" i="1"/>
  <c r="AQ191" i="1"/>
  <c r="AQ190" i="1"/>
  <c r="AQ189" i="1"/>
  <c r="AQ188" i="1"/>
  <c r="AQ187" i="1"/>
  <c r="AQ186" i="1"/>
  <c r="AQ185" i="1"/>
  <c r="AQ184" i="1"/>
  <c r="AQ183" i="1"/>
  <c r="AQ182" i="1"/>
  <c r="AQ181" i="1"/>
  <c r="AQ180" i="1"/>
  <c r="AQ179" i="1"/>
  <c r="AQ178" i="1"/>
  <c r="AQ177" i="1"/>
  <c r="AQ176" i="1"/>
  <c r="AQ175" i="1"/>
  <c r="AQ174" i="1"/>
  <c r="AQ173" i="1"/>
  <c r="AQ172" i="1"/>
  <c r="AQ171" i="1"/>
  <c r="AQ170" i="1"/>
  <c r="AQ169" i="1"/>
  <c r="AQ168" i="1"/>
  <c r="AQ167" i="1"/>
  <c r="AQ166" i="1"/>
  <c r="AQ165" i="1"/>
  <c r="AQ164" i="1"/>
  <c r="AQ163" i="1"/>
  <c r="AQ162" i="1"/>
  <c r="AQ161" i="1"/>
  <c r="AQ160" i="1"/>
  <c r="AQ159" i="1"/>
  <c r="AQ158" i="1"/>
  <c r="AQ157" i="1"/>
  <c r="AQ156" i="1"/>
  <c r="AQ155" i="1"/>
  <c r="AQ154" i="1"/>
  <c r="AQ153" i="1"/>
  <c r="AQ152" i="1"/>
  <c r="AQ151" i="1"/>
  <c r="AQ150" i="1"/>
  <c r="AQ149" i="1"/>
  <c r="AQ148" i="1"/>
  <c r="AQ147" i="1"/>
  <c r="AQ146" i="1"/>
  <c r="AQ145" i="1"/>
  <c r="AQ144" i="1"/>
  <c r="AQ143" i="1"/>
  <c r="AQ142" i="1"/>
  <c r="AQ141" i="1"/>
  <c r="AQ140" i="1"/>
  <c r="AQ139" i="1"/>
  <c r="AQ138" i="1"/>
  <c r="AQ137" i="1"/>
  <c r="AQ136" i="1"/>
  <c r="AQ135" i="1"/>
  <c r="AQ134" i="1"/>
  <c r="AQ133" i="1"/>
  <c r="AQ132" i="1"/>
  <c r="AQ131" i="1"/>
  <c r="AQ130" i="1"/>
  <c r="AQ129" i="1"/>
  <c r="AQ128" i="1"/>
  <c r="AQ127" i="1"/>
  <c r="AQ126" i="1"/>
  <c r="AQ125" i="1"/>
  <c r="AQ124" i="1"/>
  <c r="AQ123" i="1"/>
  <c r="AQ122" i="1"/>
  <c r="AQ121" i="1"/>
  <c r="AQ120" i="1"/>
  <c r="AQ119" i="1"/>
  <c r="AQ118" i="1"/>
  <c r="AQ117" i="1"/>
  <c r="AQ116" i="1"/>
  <c r="AQ115" i="1"/>
  <c r="AP206" i="1"/>
  <c r="AP205" i="1"/>
  <c r="AP204" i="1"/>
  <c r="AP203" i="1"/>
  <c r="AP202" i="1"/>
  <c r="AP201" i="1"/>
  <c r="AP200" i="1"/>
  <c r="AP199" i="1"/>
  <c r="AP198" i="1"/>
  <c r="AP197" i="1"/>
  <c r="AP196" i="1"/>
  <c r="AP195" i="1"/>
  <c r="AP194" i="1"/>
  <c r="AP193" i="1"/>
  <c r="AP192" i="1"/>
  <c r="AP191" i="1"/>
  <c r="AP190" i="1"/>
  <c r="AP189" i="1"/>
  <c r="AP188" i="1"/>
  <c r="AP187" i="1"/>
  <c r="AP186" i="1"/>
  <c r="AP185" i="1"/>
  <c r="AP184" i="1"/>
  <c r="AP183" i="1"/>
  <c r="AP182" i="1"/>
  <c r="AP181" i="1"/>
  <c r="AP180" i="1"/>
  <c r="AP179" i="1"/>
  <c r="AP178" i="1"/>
  <c r="AP177" i="1"/>
  <c r="AP176" i="1"/>
  <c r="AP175" i="1"/>
  <c r="AP174" i="1"/>
  <c r="AP173" i="1"/>
  <c r="AP172" i="1"/>
  <c r="AP171" i="1"/>
  <c r="AP170" i="1"/>
  <c r="AP169" i="1"/>
  <c r="AP168" i="1"/>
  <c r="AP167" i="1"/>
  <c r="AP166" i="1"/>
  <c r="AP165" i="1"/>
  <c r="AP164" i="1"/>
  <c r="AP163" i="1"/>
  <c r="AP162" i="1"/>
  <c r="AP161" i="1"/>
  <c r="AP160" i="1"/>
  <c r="AP159" i="1"/>
  <c r="AP158" i="1"/>
  <c r="AP157" i="1"/>
  <c r="AP156" i="1"/>
  <c r="AP155" i="1"/>
  <c r="AP154" i="1"/>
  <c r="AP153" i="1"/>
  <c r="AP152" i="1"/>
  <c r="AP151" i="1"/>
  <c r="AP150" i="1"/>
  <c r="AP149" i="1"/>
  <c r="AP148" i="1"/>
  <c r="AP147" i="1"/>
  <c r="AP146" i="1"/>
  <c r="AP145" i="1"/>
  <c r="AP144" i="1"/>
  <c r="AP143" i="1"/>
  <c r="AP142" i="1"/>
  <c r="AP141" i="1"/>
  <c r="AP140" i="1"/>
  <c r="AP139" i="1"/>
  <c r="AP138" i="1"/>
  <c r="AP137" i="1"/>
  <c r="AP136" i="1"/>
  <c r="AP135" i="1"/>
  <c r="AP134" i="1"/>
  <c r="AP133" i="1"/>
  <c r="AP132" i="1"/>
  <c r="AP131" i="1"/>
  <c r="AP130" i="1"/>
  <c r="AP129" i="1"/>
  <c r="AP128" i="1"/>
  <c r="AP127" i="1"/>
  <c r="AP126" i="1"/>
  <c r="AP125" i="1"/>
  <c r="AP124" i="1"/>
  <c r="AP123" i="1"/>
  <c r="AP122" i="1"/>
  <c r="AP121" i="1"/>
  <c r="AP120" i="1"/>
  <c r="AP119" i="1"/>
  <c r="AP118" i="1"/>
  <c r="AP117" i="1"/>
  <c r="AP116" i="1"/>
  <c r="AP115" i="1"/>
  <c r="AO206" i="1"/>
  <c r="AO205" i="1"/>
  <c r="AO204" i="1"/>
  <c r="AO203" i="1"/>
  <c r="AO202" i="1"/>
  <c r="AO201" i="1"/>
  <c r="AO200" i="1"/>
  <c r="AO199" i="1"/>
  <c r="AO198" i="1"/>
  <c r="AO197" i="1"/>
  <c r="AO196" i="1"/>
  <c r="AO195" i="1"/>
  <c r="AO194" i="1"/>
  <c r="AO193" i="1"/>
  <c r="AO192" i="1"/>
  <c r="AO191" i="1"/>
  <c r="AO190" i="1"/>
  <c r="AO189" i="1"/>
  <c r="AO188" i="1"/>
  <c r="AO187" i="1"/>
  <c r="AO186" i="1"/>
  <c r="AO185" i="1"/>
  <c r="AO184" i="1"/>
  <c r="AO183" i="1"/>
  <c r="AO182" i="1"/>
  <c r="AO181" i="1"/>
  <c r="AO180" i="1"/>
  <c r="AO179" i="1"/>
  <c r="AO178" i="1"/>
  <c r="AO177" i="1"/>
  <c r="AO176" i="1"/>
  <c r="AO175" i="1"/>
  <c r="AO174" i="1"/>
  <c r="AO173" i="1"/>
  <c r="AO172" i="1"/>
  <c r="AO171" i="1"/>
  <c r="AO170" i="1"/>
  <c r="AO169" i="1"/>
  <c r="AO168" i="1"/>
  <c r="AO167" i="1"/>
  <c r="AO166" i="1"/>
  <c r="AO165" i="1"/>
  <c r="AO164" i="1"/>
  <c r="AO163" i="1"/>
  <c r="AO162" i="1"/>
  <c r="AO161" i="1"/>
  <c r="AO160" i="1"/>
  <c r="AO159" i="1"/>
  <c r="AO158" i="1"/>
  <c r="AO157" i="1"/>
  <c r="AO156" i="1"/>
  <c r="AO155" i="1"/>
  <c r="AO154" i="1"/>
  <c r="AO153" i="1"/>
  <c r="AO152" i="1"/>
  <c r="AO151" i="1"/>
  <c r="AO150" i="1"/>
  <c r="AO149" i="1"/>
  <c r="AO148" i="1"/>
  <c r="AO147" i="1"/>
  <c r="AO146" i="1"/>
  <c r="AO145" i="1"/>
  <c r="AO144" i="1"/>
  <c r="AO143" i="1"/>
  <c r="AO140" i="1"/>
  <c r="AO139" i="1"/>
  <c r="AO138" i="1"/>
  <c r="AO137" i="1"/>
  <c r="AO134" i="1"/>
  <c r="AO133" i="1"/>
  <c r="AO132" i="1"/>
  <c r="AO131" i="1"/>
  <c r="AO130" i="1"/>
  <c r="AO129" i="1"/>
  <c r="AO126" i="1"/>
  <c r="AO125" i="1"/>
  <c r="AO124" i="1"/>
  <c r="AO123" i="1"/>
  <c r="AO122" i="1"/>
  <c r="AO121" i="1"/>
  <c r="AO120" i="1"/>
  <c r="AO119" i="1"/>
  <c r="AO118" i="1"/>
  <c r="AO117" i="1"/>
  <c r="AO116" i="1"/>
  <c r="AO115" i="1"/>
  <c r="AN206" i="1"/>
  <c r="AN205" i="1"/>
  <c r="AN204" i="1"/>
  <c r="AN203" i="1"/>
  <c r="AN202" i="1"/>
  <c r="AN201" i="1"/>
  <c r="AN200" i="1"/>
  <c r="AN199" i="1"/>
  <c r="AN198" i="1"/>
  <c r="AN197" i="1"/>
  <c r="AN196" i="1"/>
  <c r="AN195" i="1"/>
  <c r="AN194" i="1"/>
  <c r="AN193" i="1"/>
  <c r="AN192" i="1"/>
  <c r="AN191" i="1"/>
  <c r="AN190" i="1"/>
  <c r="AN189" i="1"/>
  <c r="AN188" i="1"/>
  <c r="AN187" i="1"/>
  <c r="AN186" i="1"/>
  <c r="AN185" i="1"/>
  <c r="AN184" i="1"/>
  <c r="AN183" i="1"/>
  <c r="AN182" i="1"/>
  <c r="AN181" i="1"/>
  <c r="AN180" i="1"/>
  <c r="AN179" i="1"/>
  <c r="AN178" i="1"/>
  <c r="AN177" i="1"/>
  <c r="AN176" i="1"/>
  <c r="AN175" i="1"/>
  <c r="AN174" i="1"/>
  <c r="AN173" i="1"/>
  <c r="AN172" i="1"/>
  <c r="AN171" i="1"/>
  <c r="AN170" i="1"/>
  <c r="AN169" i="1"/>
  <c r="AN168" i="1"/>
  <c r="AN167" i="1"/>
  <c r="AN166" i="1"/>
  <c r="AN165" i="1"/>
  <c r="AN164" i="1"/>
  <c r="AN163" i="1"/>
  <c r="AN162" i="1"/>
  <c r="AN161" i="1"/>
  <c r="AN160" i="1"/>
  <c r="AN159" i="1"/>
  <c r="AN158" i="1"/>
  <c r="AN157" i="1"/>
  <c r="AN156" i="1"/>
  <c r="AN155" i="1"/>
  <c r="AN154" i="1"/>
  <c r="AN153" i="1"/>
  <c r="AN152" i="1"/>
  <c r="AN151" i="1"/>
  <c r="AN150" i="1"/>
  <c r="AN149" i="1"/>
  <c r="AN148" i="1"/>
  <c r="AN147" i="1"/>
  <c r="AN146" i="1"/>
  <c r="AN145" i="1"/>
  <c r="AN144" i="1"/>
  <c r="AN143" i="1"/>
  <c r="AN142" i="1"/>
  <c r="AN141" i="1"/>
  <c r="AN140" i="1"/>
  <c r="AN139" i="1"/>
  <c r="AN138" i="1"/>
  <c r="AN137" i="1"/>
  <c r="AN136" i="1"/>
  <c r="AN135" i="1"/>
  <c r="AN134" i="1"/>
  <c r="AN133" i="1"/>
  <c r="AN132" i="1"/>
  <c r="AN131" i="1"/>
  <c r="AN130" i="1"/>
  <c r="AN129" i="1"/>
  <c r="AN128" i="1"/>
  <c r="AN127" i="1"/>
  <c r="AN126" i="1"/>
  <c r="AN125" i="1"/>
  <c r="AN124" i="1"/>
  <c r="AN123" i="1"/>
  <c r="AN122" i="1"/>
  <c r="AN121" i="1"/>
  <c r="AN120" i="1"/>
  <c r="AN119" i="1"/>
  <c r="AN118" i="1"/>
  <c r="AN117" i="1"/>
  <c r="AN116" i="1"/>
  <c r="AN115" i="1"/>
  <c r="AM206" i="1"/>
  <c r="AM205" i="1"/>
  <c r="AM204" i="1"/>
  <c r="AM203" i="1"/>
  <c r="AM202" i="1"/>
  <c r="AM201" i="1"/>
  <c r="AM200" i="1"/>
  <c r="AM199" i="1"/>
  <c r="AM198" i="1"/>
  <c r="AM197" i="1"/>
  <c r="AM196" i="1"/>
  <c r="AM195" i="1"/>
  <c r="AM194" i="1"/>
  <c r="AM193" i="1"/>
  <c r="AM192" i="1"/>
  <c r="AM191" i="1"/>
  <c r="AM190" i="1"/>
  <c r="AM189" i="1"/>
  <c r="AM188" i="1"/>
  <c r="AM187" i="1"/>
  <c r="AM186" i="1"/>
  <c r="AM185" i="1"/>
  <c r="AM184" i="1"/>
  <c r="AM183" i="1"/>
  <c r="AM182" i="1"/>
  <c r="AM181" i="1"/>
  <c r="AM180" i="1"/>
  <c r="AM179" i="1"/>
  <c r="AM178" i="1"/>
  <c r="AM177" i="1"/>
  <c r="AM176" i="1"/>
  <c r="AM175" i="1"/>
  <c r="AM174" i="1"/>
  <c r="AM173" i="1"/>
  <c r="AM172" i="1"/>
  <c r="AM171" i="1"/>
  <c r="AM170" i="1"/>
  <c r="AM169" i="1"/>
  <c r="AM168" i="1"/>
  <c r="AM167" i="1"/>
  <c r="AM166" i="1"/>
  <c r="AM165" i="1"/>
  <c r="AM164" i="1"/>
  <c r="AM163" i="1"/>
  <c r="AM162" i="1"/>
  <c r="AM161" i="1"/>
  <c r="AM160" i="1"/>
  <c r="AM159" i="1"/>
  <c r="AM158" i="1"/>
  <c r="AM157" i="1"/>
  <c r="AM156" i="1"/>
  <c r="AM155" i="1"/>
  <c r="AM154" i="1"/>
  <c r="AM153" i="1"/>
  <c r="AM152" i="1"/>
  <c r="AM151" i="1"/>
  <c r="AM150" i="1"/>
  <c r="AM149" i="1"/>
  <c r="AM148" i="1"/>
  <c r="AM147" i="1"/>
  <c r="AM146" i="1"/>
  <c r="AM145" i="1"/>
  <c r="AM144" i="1"/>
  <c r="AM143" i="1"/>
  <c r="AM142" i="1"/>
  <c r="AM141" i="1"/>
  <c r="AM140" i="1"/>
  <c r="AM139" i="1"/>
  <c r="AM138" i="1"/>
  <c r="AM137" i="1"/>
  <c r="AM136" i="1"/>
  <c r="AM135" i="1"/>
  <c r="AM134" i="1"/>
  <c r="AM133" i="1"/>
  <c r="AM132" i="1"/>
  <c r="AM131" i="1"/>
  <c r="AM130" i="1"/>
  <c r="AM129" i="1"/>
  <c r="AM128" i="1"/>
  <c r="AM127" i="1"/>
  <c r="AM126" i="1"/>
  <c r="AM125" i="1"/>
  <c r="AM124" i="1"/>
  <c r="AM123" i="1"/>
  <c r="AM122" i="1"/>
  <c r="AM121" i="1"/>
  <c r="AM120" i="1"/>
  <c r="AM119" i="1"/>
  <c r="AM118" i="1"/>
  <c r="AM117" i="1"/>
  <c r="AM116" i="1"/>
  <c r="AM115" i="1"/>
  <c r="AL206" i="1"/>
  <c r="AL205" i="1"/>
  <c r="AL204" i="1"/>
  <c r="AL203" i="1"/>
  <c r="AL202" i="1"/>
  <c r="AL201" i="1"/>
  <c r="AL200" i="1"/>
  <c r="AL199" i="1"/>
  <c r="AL198" i="1"/>
  <c r="AL197" i="1"/>
  <c r="AL196" i="1"/>
  <c r="AL195" i="1"/>
  <c r="AL194" i="1"/>
  <c r="AL193" i="1"/>
  <c r="AL192" i="1"/>
  <c r="AL191" i="1"/>
  <c r="AL190" i="1"/>
  <c r="AL189" i="1"/>
  <c r="AL188" i="1"/>
  <c r="AL187" i="1"/>
  <c r="AL186" i="1"/>
  <c r="AL185" i="1"/>
  <c r="AL184" i="1"/>
  <c r="AL183" i="1"/>
  <c r="AL182" i="1"/>
  <c r="AL181" i="1"/>
  <c r="AL180" i="1"/>
  <c r="AL179" i="1"/>
  <c r="AL178" i="1"/>
  <c r="AL177" i="1"/>
  <c r="AL176" i="1"/>
  <c r="AL175" i="1"/>
  <c r="AL174" i="1"/>
  <c r="AL173" i="1"/>
  <c r="AL172" i="1"/>
  <c r="AL171" i="1"/>
  <c r="AL170" i="1"/>
  <c r="AL169" i="1"/>
  <c r="AL168" i="1"/>
  <c r="AL167" i="1"/>
  <c r="AL166" i="1"/>
  <c r="AL165" i="1"/>
  <c r="AL164" i="1"/>
  <c r="AL163" i="1"/>
  <c r="AL162" i="1"/>
  <c r="AL161" i="1"/>
  <c r="AL160" i="1"/>
  <c r="AL159" i="1"/>
  <c r="AL158" i="1"/>
  <c r="AL157" i="1"/>
  <c r="AL156" i="1"/>
  <c r="AL155" i="1"/>
  <c r="AL154" i="1"/>
  <c r="AL153" i="1"/>
  <c r="AL152" i="1"/>
  <c r="AL151" i="1"/>
  <c r="AL150" i="1"/>
  <c r="AL149" i="1"/>
  <c r="AL148" i="1"/>
  <c r="AL147" i="1"/>
  <c r="AL146" i="1"/>
  <c r="AL145" i="1"/>
  <c r="AL144" i="1"/>
  <c r="AL143" i="1"/>
  <c r="AL142" i="1"/>
  <c r="AL141" i="1"/>
  <c r="AL140" i="1"/>
  <c r="AL139" i="1"/>
  <c r="AL138" i="1"/>
  <c r="AL137" i="1"/>
  <c r="AL136" i="1"/>
  <c r="AL135" i="1"/>
  <c r="AL134" i="1"/>
  <c r="AL133" i="1"/>
  <c r="AL132" i="1"/>
  <c r="AL131" i="1"/>
  <c r="AL130" i="1"/>
  <c r="AL129" i="1"/>
  <c r="AL128" i="1"/>
  <c r="AL127" i="1"/>
  <c r="AL126" i="1"/>
  <c r="AL125" i="1"/>
  <c r="AL124" i="1"/>
  <c r="AL123" i="1"/>
  <c r="AL122" i="1"/>
  <c r="AL121" i="1"/>
  <c r="AL120" i="1"/>
  <c r="AL119" i="1"/>
  <c r="AL118" i="1"/>
  <c r="AL117" i="1"/>
  <c r="AL116" i="1"/>
  <c r="AL115" i="1"/>
  <c r="AK206" i="1"/>
  <c r="AK205" i="1"/>
  <c r="AK204" i="1"/>
  <c r="AK203" i="1"/>
  <c r="AK202" i="1"/>
  <c r="AK201" i="1"/>
  <c r="AK200" i="1"/>
  <c r="AK199" i="1"/>
  <c r="AK198" i="1"/>
  <c r="AK197" i="1"/>
  <c r="AK196" i="1"/>
  <c r="AK195" i="1"/>
  <c r="AK194" i="1"/>
  <c r="AK193" i="1"/>
  <c r="AK192" i="1"/>
  <c r="AK191" i="1"/>
  <c r="AK190" i="1"/>
  <c r="AK189" i="1"/>
  <c r="AK188" i="1"/>
  <c r="AK187" i="1"/>
  <c r="AK186" i="1"/>
  <c r="AK185" i="1"/>
  <c r="AK184" i="1"/>
  <c r="AK183" i="1"/>
  <c r="AK182" i="1"/>
  <c r="AK181" i="1"/>
  <c r="AK180" i="1"/>
  <c r="AK179" i="1"/>
  <c r="AK178" i="1"/>
  <c r="AK177" i="1"/>
  <c r="AK176" i="1"/>
  <c r="AK175" i="1"/>
  <c r="AK174" i="1"/>
  <c r="AK173" i="1"/>
  <c r="AK172" i="1"/>
  <c r="AK171" i="1"/>
  <c r="AK170" i="1"/>
  <c r="AK169" i="1"/>
  <c r="AK168" i="1"/>
  <c r="AK167" i="1"/>
  <c r="AK166" i="1"/>
  <c r="AK165" i="1"/>
  <c r="AK164" i="1"/>
  <c r="AK163" i="1"/>
  <c r="AK162" i="1"/>
  <c r="AK161" i="1"/>
  <c r="AK160" i="1"/>
  <c r="AK159" i="1"/>
  <c r="AK158" i="1"/>
  <c r="AK157" i="1"/>
  <c r="AK156" i="1"/>
  <c r="AK155" i="1"/>
  <c r="AK154" i="1"/>
  <c r="AK153" i="1"/>
  <c r="AK152" i="1"/>
  <c r="AK151" i="1"/>
  <c r="AK150" i="1"/>
  <c r="AK149" i="1"/>
  <c r="AK148" i="1"/>
  <c r="AK147" i="1"/>
  <c r="AK146" i="1"/>
  <c r="AK145" i="1"/>
  <c r="AK144" i="1"/>
  <c r="AK143" i="1"/>
  <c r="AK142" i="1"/>
  <c r="AK141" i="1"/>
  <c r="AK140" i="1"/>
  <c r="AK139" i="1"/>
  <c r="AK138" i="1"/>
  <c r="AK137" i="1"/>
  <c r="AK136" i="1"/>
  <c r="AK135" i="1"/>
  <c r="AK134" i="1"/>
  <c r="AK133" i="1"/>
  <c r="AK132" i="1"/>
  <c r="AK131" i="1"/>
  <c r="AK130" i="1"/>
  <c r="AK129" i="1"/>
  <c r="AK128" i="1"/>
  <c r="AK127" i="1"/>
  <c r="AK126" i="1"/>
  <c r="AK125" i="1"/>
  <c r="AK124" i="1"/>
  <c r="AK123" i="1"/>
  <c r="AK122" i="1"/>
  <c r="AK121" i="1"/>
  <c r="AK120" i="1"/>
  <c r="AK119" i="1"/>
  <c r="AK118" i="1"/>
  <c r="AK117" i="1"/>
  <c r="AK116" i="1"/>
  <c r="AK115" i="1"/>
  <c r="AJ206" i="1"/>
  <c r="AJ205" i="1"/>
  <c r="AJ204" i="1"/>
  <c r="AJ203" i="1"/>
  <c r="AJ202" i="1"/>
  <c r="AJ201" i="1"/>
  <c r="AJ200" i="1"/>
  <c r="AJ199" i="1"/>
  <c r="AJ198" i="1"/>
  <c r="AJ197" i="1"/>
  <c r="AJ196" i="1"/>
  <c r="AJ195" i="1"/>
  <c r="AJ194" i="1"/>
  <c r="AJ193" i="1"/>
  <c r="AJ192" i="1"/>
  <c r="AJ191" i="1"/>
  <c r="AJ190" i="1"/>
  <c r="AJ189" i="1"/>
  <c r="AJ188" i="1"/>
  <c r="AJ187" i="1"/>
  <c r="AJ186" i="1"/>
  <c r="AJ185" i="1"/>
  <c r="AJ184" i="1"/>
  <c r="AJ183" i="1"/>
  <c r="AJ182" i="1"/>
  <c r="AJ181" i="1"/>
  <c r="AJ180" i="1"/>
  <c r="AJ179" i="1"/>
  <c r="AJ178" i="1"/>
  <c r="AJ177" i="1"/>
  <c r="AJ176" i="1"/>
  <c r="AJ175" i="1"/>
  <c r="AJ174" i="1"/>
  <c r="AJ173" i="1"/>
  <c r="AJ172" i="1"/>
  <c r="AJ171" i="1"/>
  <c r="AJ170" i="1"/>
  <c r="AJ169" i="1"/>
  <c r="AJ168" i="1"/>
  <c r="AJ167" i="1"/>
  <c r="AJ166" i="1"/>
  <c r="AJ165" i="1"/>
  <c r="AJ164" i="1"/>
  <c r="AJ163" i="1"/>
  <c r="AJ162" i="1"/>
  <c r="AJ161" i="1"/>
  <c r="AJ160" i="1"/>
  <c r="AJ159" i="1"/>
  <c r="AJ158" i="1"/>
  <c r="AJ157" i="1"/>
  <c r="AJ156" i="1"/>
  <c r="AJ155" i="1"/>
  <c r="AJ154" i="1"/>
  <c r="AJ153" i="1"/>
  <c r="AJ152" i="1"/>
  <c r="AJ151" i="1"/>
  <c r="AJ150" i="1"/>
  <c r="AJ149" i="1"/>
  <c r="AJ148" i="1"/>
  <c r="AJ147" i="1"/>
  <c r="AJ146" i="1"/>
  <c r="AJ145" i="1"/>
  <c r="AJ144" i="1"/>
  <c r="AJ143" i="1"/>
  <c r="AJ142" i="1"/>
  <c r="AJ141" i="1"/>
  <c r="AJ140" i="1"/>
  <c r="AJ139" i="1"/>
  <c r="AJ138" i="1"/>
  <c r="AJ137" i="1"/>
  <c r="AJ136" i="1"/>
  <c r="AJ135" i="1"/>
  <c r="AJ134" i="1"/>
  <c r="AJ133" i="1"/>
  <c r="AJ132" i="1"/>
  <c r="AJ131" i="1"/>
  <c r="AJ130" i="1"/>
  <c r="AJ129" i="1"/>
  <c r="AJ128" i="1"/>
  <c r="AJ127" i="1"/>
  <c r="AJ126" i="1"/>
  <c r="AJ125" i="1"/>
  <c r="AJ124" i="1"/>
  <c r="AJ123" i="1"/>
  <c r="AJ122" i="1"/>
  <c r="AJ121" i="1"/>
  <c r="AJ120" i="1"/>
  <c r="AJ119" i="1"/>
  <c r="AJ118" i="1"/>
  <c r="AJ117" i="1"/>
  <c r="AJ116" i="1"/>
  <c r="AJ115" i="1"/>
  <c r="AI206" i="1"/>
  <c r="AI205" i="1"/>
  <c r="AI204" i="1"/>
  <c r="AI203" i="1"/>
  <c r="AI202" i="1"/>
  <c r="AI201" i="1"/>
  <c r="AI200" i="1"/>
  <c r="AI199" i="1"/>
  <c r="AI198" i="1"/>
  <c r="AI197" i="1"/>
  <c r="AI196" i="1"/>
  <c r="AI195" i="1"/>
  <c r="AI194" i="1"/>
  <c r="AI193" i="1"/>
  <c r="AI192" i="1"/>
  <c r="AI191" i="1"/>
  <c r="AI190" i="1"/>
  <c r="AI189" i="1"/>
  <c r="AI188" i="1"/>
  <c r="AI187" i="1"/>
  <c r="AI186" i="1"/>
  <c r="AI185" i="1"/>
  <c r="AI184" i="1"/>
  <c r="AI183" i="1"/>
  <c r="AI182" i="1"/>
  <c r="AI181" i="1"/>
  <c r="AI180" i="1"/>
  <c r="AI179" i="1"/>
  <c r="AI178" i="1"/>
  <c r="AI177" i="1"/>
  <c r="AI176" i="1"/>
  <c r="AI175" i="1"/>
  <c r="AI174" i="1"/>
  <c r="AI173" i="1"/>
  <c r="AI172" i="1"/>
  <c r="AI171" i="1"/>
  <c r="AI170" i="1"/>
  <c r="AI169" i="1"/>
  <c r="AI168" i="1"/>
  <c r="AI167" i="1"/>
  <c r="AI166" i="1"/>
  <c r="AI165" i="1"/>
  <c r="AI164" i="1"/>
  <c r="AI163" i="1"/>
  <c r="AI162" i="1"/>
  <c r="AI161" i="1"/>
  <c r="AI160" i="1"/>
  <c r="AI159" i="1"/>
  <c r="AI158" i="1"/>
  <c r="AI157" i="1"/>
  <c r="AI156" i="1"/>
  <c r="AI155" i="1"/>
  <c r="AI154" i="1"/>
  <c r="AI153" i="1"/>
  <c r="AI152" i="1"/>
  <c r="AI151" i="1"/>
  <c r="AI150" i="1"/>
  <c r="AI149" i="1"/>
  <c r="AI148" i="1"/>
  <c r="AI147" i="1"/>
  <c r="AI146" i="1"/>
  <c r="AI145" i="1"/>
  <c r="AI144" i="1"/>
  <c r="AI143" i="1"/>
  <c r="AI142" i="1"/>
  <c r="AI141" i="1"/>
  <c r="AI140" i="1"/>
  <c r="AI139" i="1"/>
  <c r="AI138" i="1"/>
  <c r="AI137" i="1"/>
  <c r="AI136" i="1"/>
  <c r="AI135" i="1"/>
  <c r="AI134" i="1"/>
  <c r="AI133" i="1"/>
  <c r="AI132" i="1"/>
  <c r="AI131" i="1"/>
  <c r="AI130" i="1"/>
  <c r="AI129" i="1"/>
  <c r="AI128" i="1"/>
  <c r="AI127" i="1"/>
  <c r="AI126" i="1"/>
  <c r="AI125" i="1"/>
  <c r="AI124" i="1"/>
  <c r="AI123" i="1"/>
  <c r="AI122" i="1"/>
  <c r="AI121" i="1"/>
  <c r="AI120" i="1"/>
  <c r="AI119" i="1"/>
  <c r="AI118" i="1"/>
  <c r="AI117" i="1"/>
  <c r="AI116" i="1"/>
  <c r="AI115" i="1"/>
  <c r="AH206" i="1"/>
  <c r="AH205" i="1"/>
  <c r="AH204" i="1"/>
  <c r="AH203" i="1"/>
  <c r="AH202" i="1"/>
  <c r="AH201" i="1"/>
  <c r="AH200" i="1"/>
  <c r="AH199" i="1"/>
  <c r="AH198" i="1"/>
  <c r="AH197" i="1"/>
  <c r="AH196" i="1"/>
  <c r="AH195" i="1"/>
  <c r="AH194" i="1"/>
  <c r="AH193" i="1"/>
  <c r="AH192" i="1"/>
  <c r="AH191" i="1"/>
  <c r="AH190" i="1"/>
  <c r="AH189" i="1"/>
  <c r="AH188" i="1"/>
  <c r="AH187" i="1"/>
  <c r="AH186" i="1"/>
  <c r="AH185" i="1"/>
  <c r="AH184" i="1"/>
  <c r="AH183" i="1"/>
  <c r="AH182" i="1"/>
  <c r="AH181" i="1"/>
  <c r="AH180" i="1"/>
  <c r="AH179" i="1"/>
  <c r="AH178" i="1"/>
  <c r="AH177" i="1"/>
  <c r="AH176" i="1"/>
  <c r="AH175" i="1"/>
  <c r="AH174" i="1"/>
  <c r="AH173" i="1"/>
  <c r="AH172" i="1"/>
  <c r="AH171" i="1"/>
  <c r="AH170" i="1"/>
  <c r="AH169" i="1"/>
  <c r="AH168" i="1"/>
  <c r="AH167" i="1"/>
  <c r="AH166" i="1"/>
  <c r="AH165" i="1"/>
  <c r="AH164" i="1"/>
  <c r="AH163" i="1"/>
  <c r="AH162" i="1"/>
  <c r="AH161" i="1"/>
  <c r="AH160" i="1"/>
  <c r="AH159" i="1"/>
  <c r="AH158" i="1"/>
  <c r="AH157" i="1"/>
  <c r="AH156" i="1"/>
  <c r="AH155" i="1"/>
  <c r="AH154" i="1"/>
  <c r="AH153" i="1"/>
  <c r="AH152" i="1"/>
  <c r="AH151" i="1"/>
  <c r="AH150" i="1"/>
  <c r="AH149" i="1"/>
  <c r="AH148" i="1"/>
  <c r="AH147" i="1"/>
  <c r="AH146" i="1"/>
  <c r="AH145" i="1"/>
  <c r="AH144" i="1"/>
  <c r="AH143" i="1"/>
  <c r="AH142" i="1"/>
  <c r="AH141" i="1"/>
  <c r="AH140" i="1"/>
  <c r="AH139" i="1"/>
  <c r="AH138" i="1"/>
  <c r="AH137" i="1"/>
  <c r="AH136" i="1"/>
  <c r="AH135" i="1"/>
  <c r="AH134" i="1"/>
  <c r="AH133" i="1"/>
  <c r="AH132" i="1"/>
  <c r="AH131" i="1"/>
  <c r="AH130" i="1"/>
  <c r="AH129" i="1"/>
  <c r="AH128" i="1"/>
  <c r="AH127" i="1"/>
  <c r="AH126" i="1"/>
  <c r="AH125" i="1"/>
  <c r="AH124" i="1"/>
  <c r="AH123" i="1"/>
  <c r="AH122" i="1"/>
  <c r="AH121" i="1"/>
  <c r="AH120" i="1"/>
  <c r="AH119" i="1"/>
  <c r="AH118" i="1"/>
  <c r="AH117" i="1"/>
  <c r="AH116" i="1"/>
  <c r="AH115" i="1"/>
  <c r="AG206" i="1"/>
  <c r="AG205" i="1"/>
  <c r="AG204" i="1"/>
  <c r="AG203" i="1"/>
  <c r="AG202" i="1"/>
  <c r="AG201" i="1"/>
  <c r="AG200" i="1"/>
  <c r="AG199" i="1"/>
  <c r="AG198" i="1"/>
  <c r="AG197" i="1"/>
  <c r="AG196" i="1"/>
  <c r="AG195" i="1"/>
  <c r="AG194" i="1"/>
  <c r="AG193" i="1"/>
  <c r="AG192" i="1"/>
  <c r="AG191" i="1"/>
  <c r="AG190" i="1"/>
  <c r="AG189" i="1"/>
  <c r="AG188" i="1"/>
  <c r="AG187" i="1"/>
  <c r="AG186" i="1"/>
  <c r="AG185" i="1"/>
  <c r="AG184" i="1"/>
  <c r="AG183" i="1"/>
  <c r="AG182" i="1"/>
  <c r="AG181" i="1"/>
  <c r="AG180" i="1"/>
  <c r="AG179" i="1"/>
  <c r="AG178" i="1"/>
  <c r="AG177" i="1"/>
  <c r="AG176" i="1"/>
  <c r="AG175" i="1"/>
  <c r="AG174" i="1"/>
  <c r="AG173" i="1"/>
  <c r="AG172" i="1"/>
  <c r="AG171" i="1"/>
  <c r="AG170" i="1"/>
  <c r="AG169" i="1"/>
  <c r="AG168" i="1"/>
  <c r="AG167" i="1"/>
  <c r="AG166" i="1"/>
  <c r="AG165" i="1"/>
  <c r="AG164" i="1"/>
  <c r="AG163" i="1"/>
  <c r="AG162" i="1"/>
  <c r="AG161" i="1"/>
  <c r="AG160" i="1"/>
  <c r="AG159" i="1"/>
  <c r="AG158" i="1"/>
  <c r="AG157" i="1"/>
  <c r="AG156" i="1"/>
  <c r="AG155" i="1"/>
  <c r="AG154" i="1"/>
  <c r="AG153" i="1"/>
  <c r="AG152" i="1"/>
  <c r="AG151" i="1"/>
  <c r="AG150" i="1"/>
  <c r="AG149" i="1"/>
  <c r="AG148" i="1"/>
  <c r="AG147" i="1"/>
  <c r="AG146" i="1"/>
  <c r="AG145" i="1"/>
  <c r="AG144" i="1"/>
  <c r="AG143" i="1"/>
  <c r="AG142" i="1"/>
  <c r="AG141" i="1"/>
  <c r="AG140" i="1"/>
  <c r="AG139" i="1"/>
  <c r="AG138" i="1"/>
  <c r="AG137" i="1"/>
  <c r="AG136" i="1"/>
  <c r="AG135" i="1"/>
  <c r="AG134" i="1"/>
  <c r="AG133" i="1"/>
  <c r="AG132" i="1"/>
  <c r="AG131" i="1"/>
  <c r="AG130" i="1"/>
  <c r="AG129" i="1"/>
  <c r="AG128" i="1"/>
  <c r="AG127" i="1"/>
  <c r="AG126" i="1"/>
  <c r="AG125" i="1"/>
  <c r="AG124" i="1"/>
  <c r="AG123" i="1"/>
  <c r="AG122" i="1"/>
  <c r="AG121" i="1"/>
  <c r="AG120" i="1"/>
  <c r="AG119" i="1"/>
  <c r="AG118" i="1"/>
  <c r="AG117" i="1"/>
  <c r="AG116" i="1"/>
  <c r="AG115" i="1"/>
  <c r="AF206" i="1"/>
  <c r="AF205" i="1"/>
  <c r="AF204" i="1"/>
  <c r="AF203" i="1"/>
  <c r="AF202" i="1"/>
  <c r="AF201" i="1"/>
  <c r="AF200" i="1"/>
  <c r="AF199" i="1"/>
  <c r="AF198" i="1"/>
  <c r="AF197" i="1"/>
  <c r="AF196" i="1"/>
  <c r="AF195" i="1"/>
  <c r="AF194" i="1"/>
  <c r="AF193" i="1"/>
  <c r="AF192" i="1"/>
  <c r="AF191" i="1"/>
  <c r="AF190" i="1"/>
  <c r="AF189" i="1"/>
  <c r="AF188" i="1"/>
  <c r="AF187" i="1"/>
  <c r="AF186" i="1"/>
  <c r="AF185" i="1"/>
  <c r="AF184" i="1"/>
  <c r="AF183" i="1"/>
  <c r="AF182" i="1"/>
  <c r="AF181" i="1"/>
  <c r="AF180" i="1"/>
  <c r="AF179" i="1"/>
  <c r="AF178" i="1"/>
  <c r="CS178" i="1" s="1"/>
  <c r="AF177" i="1"/>
  <c r="AF176" i="1"/>
  <c r="AF175" i="1"/>
  <c r="AF174" i="1"/>
  <c r="AF173" i="1"/>
  <c r="AF172" i="1"/>
  <c r="AF171" i="1"/>
  <c r="AF170" i="1"/>
  <c r="AF169" i="1"/>
  <c r="AF168" i="1"/>
  <c r="AF167" i="1"/>
  <c r="AF166" i="1"/>
  <c r="AF165" i="1"/>
  <c r="AF164" i="1"/>
  <c r="AF163" i="1"/>
  <c r="AF162" i="1"/>
  <c r="AF161" i="1"/>
  <c r="AF160" i="1"/>
  <c r="AF159" i="1"/>
  <c r="AF158" i="1"/>
  <c r="AF157" i="1"/>
  <c r="AF156" i="1"/>
  <c r="AF155" i="1"/>
  <c r="AF154" i="1"/>
  <c r="AF153" i="1"/>
  <c r="AF152" i="1"/>
  <c r="AF151" i="1"/>
  <c r="AF150" i="1"/>
  <c r="AF149" i="1"/>
  <c r="AF148" i="1"/>
  <c r="AF147" i="1"/>
  <c r="AF146" i="1"/>
  <c r="AF145" i="1"/>
  <c r="AF144" i="1"/>
  <c r="AF143" i="1"/>
  <c r="AF142" i="1"/>
  <c r="AF141" i="1"/>
  <c r="AF140" i="1"/>
  <c r="AF139" i="1"/>
  <c r="AF138" i="1"/>
  <c r="AF137" i="1"/>
  <c r="AF136" i="1"/>
  <c r="AF135" i="1"/>
  <c r="AF134" i="1"/>
  <c r="AF133" i="1"/>
  <c r="AF132" i="1"/>
  <c r="AF131" i="1"/>
  <c r="AF130" i="1"/>
  <c r="AF129" i="1"/>
  <c r="AF128" i="1"/>
  <c r="AF127" i="1"/>
  <c r="AF126" i="1"/>
  <c r="AF125" i="1"/>
  <c r="AF124" i="1"/>
  <c r="AF123" i="1"/>
  <c r="AF122" i="1"/>
  <c r="AF121" i="1"/>
  <c r="AF120" i="1"/>
  <c r="AF119" i="1"/>
  <c r="AF118" i="1"/>
  <c r="AF117" i="1"/>
  <c r="AF116" i="1"/>
  <c r="AF115" i="1"/>
  <c r="AE206" i="1"/>
  <c r="AE205" i="1"/>
  <c r="AE204" i="1"/>
  <c r="AE203" i="1"/>
  <c r="AE202" i="1"/>
  <c r="AE201" i="1"/>
  <c r="AE200" i="1"/>
  <c r="AE199" i="1"/>
  <c r="AE198" i="1"/>
  <c r="AE197" i="1"/>
  <c r="AE196" i="1"/>
  <c r="AE195" i="1"/>
  <c r="AE194" i="1"/>
  <c r="AE193" i="1"/>
  <c r="AE192" i="1"/>
  <c r="AE191" i="1"/>
  <c r="AE190" i="1"/>
  <c r="AE189" i="1"/>
  <c r="AE188" i="1"/>
  <c r="AE187" i="1"/>
  <c r="AE186" i="1"/>
  <c r="AE185" i="1"/>
  <c r="AE184" i="1"/>
  <c r="AE183" i="1"/>
  <c r="AE182" i="1"/>
  <c r="AE181" i="1"/>
  <c r="AE180" i="1"/>
  <c r="AE179" i="1"/>
  <c r="AE178" i="1"/>
  <c r="AE177" i="1"/>
  <c r="AE176" i="1"/>
  <c r="AE175" i="1"/>
  <c r="AE174" i="1"/>
  <c r="AE173" i="1"/>
  <c r="AE172" i="1"/>
  <c r="AE171" i="1"/>
  <c r="AE170" i="1"/>
  <c r="AE169" i="1"/>
  <c r="AE168" i="1"/>
  <c r="AE167" i="1"/>
  <c r="AE166" i="1"/>
  <c r="AE165" i="1"/>
  <c r="AE164" i="1"/>
  <c r="AE163" i="1"/>
  <c r="AE162" i="1"/>
  <c r="AE161" i="1"/>
  <c r="AE160" i="1"/>
  <c r="AE159" i="1"/>
  <c r="AE158" i="1"/>
  <c r="AE157" i="1"/>
  <c r="AE156" i="1"/>
  <c r="AE155" i="1"/>
  <c r="AE154" i="1"/>
  <c r="AE153" i="1"/>
  <c r="AE152" i="1"/>
  <c r="AE151" i="1"/>
  <c r="AE150" i="1"/>
  <c r="AE149" i="1"/>
  <c r="AE148" i="1"/>
  <c r="AE147" i="1"/>
  <c r="AE146" i="1"/>
  <c r="AE145" i="1"/>
  <c r="AE144" i="1"/>
  <c r="AE143" i="1"/>
  <c r="AE142" i="1"/>
  <c r="AE141" i="1"/>
  <c r="AE140" i="1"/>
  <c r="AE139" i="1"/>
  <c r="AE138" i="1"/>
  <c r="AE137" i="1"/>
  <c r="AE136" i="1"/>
  <c r="AE135" i="1"/>
  <c r="AE134" i="1"/>
  <c r="AE133" i="1"/>
  <c r="AE132" i="1"/>
  <c r="AE131" i="1"/>
  <c r="AE130" i="1"/>
  <c r="AE129" i="1"/>
  <c r="AE128" i="1"/>
  <c r="AE127" i="1"/>
  <c r="AE126" i="1"/>
  <c r="AE125" i="1"/>
  <c r="AE124" i="1"/>
  <c r="AE123" i="1"/>
  <c r="AE122" i="1"/>
  <c r="AE121" i="1"/>
  <c r="AE120" i="1"/>
  <c r="AE119" i="1"/>
  <c r="AE118" i="1"/>
  <c r="AE117" i="1"/>
  <c r="AE116" i="1"/>
  <c r="AE115" i="1"/>
  <c r="AD206" i="1"/>
  <c r="AD205" i="1"/>
  <c r="AD204" i="1"/>
  <c r="AD203" i="1"/>
  <c r="AD202" i="1"/>
  <c r="AD201" i="1"/>
  <c r="AD200" i="1"/>
  <c r="AD199" i="1"/>
  <c r="AD198" i="1"/>
  <c r="AD197" i="1"/>
  <c r="AD196" i="1"/>
  <c r="AD195" i="1"/>
  <c r="AD194" i="1"/>
  <c r="AD193" i="1"/>
  <c r="AD192" i="1"/>
  <c r="AD191" i="1"/>
  <c r="AD190" i="1"/>
  <c r="AD189" i="1"/>
  <c r="AD188" i="1"/>
  <c r="AD187" i="1"/>
  <c r="AD186" i="1"/>
  <c r="AD185" i="1"/>
  <c r="AD184" i="1"/>
  <c r="AD183" i="1"/>
  <c r="AD182" i="1"/>
  <c r="AD181" i="1"/>
  <c r="AD180" i="1"/>
  <c r="AD179" i="1"/>
  <c r="AD178" i="1"/>
  <c r="AD177" i="1"/>
  <c r="AD176" i="1"/>
  <c r="AD175" i="1"/>
  <c r="AD174" i="1"/>
  <c r="AD173" i="1"/>
  <c r="AD172" i="1"/>
  <c r="AD171" i="1"/>
  <c r="AD170" i="1"/>
  <c r="AD169" i="1"/>
  <c r="AD168" i="1"/>
  <c r="AD167" i="1"/>
  <c r="AD166" i="1"/>
  <c r="AD165" i="1"/>
  <c r="AD164" i="1"/>
  <c r="AD163" i="1"/>
  <c r="AD162" i="1"/>
  <c r="AD161" i="1"/>
  <c r="AD160" i="1"/>
  <c r="AD159" i="1"/>
  <c r="AD158" i="1"/>
  <c r="AD157" i="1"/>
  <c r="AD156" i="1"/>
  <c r="AD155" i="1"/>
  <c r="AD154" i="1"/>
  <c r="AD153" i="1"/>
  <c r="AD152" i="1"/>
  <c r="AD151" i="1"/>
  <c r="AD150" i="1"/>
  <c r="AD149" i="1"/>
  <c r="AD148" i="1"/>
  <c r="AD147" i="1"/>
  <c r="AD146" i="1"/>
  <c r="AD145" i="1"/>
  <c r="AD144" i="1"/>
  <c r="AD143" i="1"/>
  <c r="AD142" i="1"/>
  <c r="AD141" i="1"/>
  <c r="AD140" i="1"/>
  <c r="AD139" i="1"/>
  <c r="AD138" i="1"/>
  <c r="AD137" i="1"/>
  <c r="AD136" i="1"/>
  <c r="AD135" i="1"/>
  <c r="AD134" i="1"/>
  <c r="AD133" i="1"/>
  <c r="AD132" i="1"/>
  <c r="AD131" i="1"/>
  <c r="AD130" i="1"/>
  <c r="AD129" i="1"/>
  <c r="AD128" i="1"/>
  <c r="AD127" i="1"/>
  <c r="AD126" i="1"/>
  <c r="AD125" i="1"/>
  <c r="AD124" i="1"/>
  <c r="AD123" i="1"/>
  <c r="AD122" i="1"/>
  <c r="AD121" i="1"/>
  <c r="AD120" i="1"/>
  <c r="AD119" i="1"/>
  <c r="AD118" i="1"/>
  <c r="AD117" i="1"/>
  <c r="AD116" i="1"/>
  <c r="AD115" i="1"/>
  <c r="AC206" i="1"/>
  <c r="AC205" i="1"/>
  <c r="AC204" i="1"/>
  <c r="AC203" i="1"/>
  <c r="AC202" i="1"/>
  <c r="AC201" i="1"/>
  <c r="AC200" i="1"/>
  <c r="AC199" i="1"/>
  <c r="AC198" i="1"/>
  <c r="AC197" i="1"/>
  <c r="AC196" i="1"/>
  <c r="AC195" i="1"/>
  <c r="AC194" i="1"/>
  <c r="AC193" i="1"/>
  <c r="AC192" i="1"/>
  <c r="AC191" i="1"/>
  <c r="AC190" i="1"/>
  <c r="AC189" i="1"/>
  <c r="AC188" i="1"/>
  <c r="AC187" i="1"/>
  <c r="AC186" i="1"/>
  <c r="AC185" i="1"/>
  <c r="AC184" i="1"/>
  <c r="AC183" i="1"/>
  <c r="AC182" i="1"/>
  <c r="AC181" i="1"/>
  <c r="AC180" i="1"/>
  <c r="AC179" i="1"/>
  <c r="AC178" i="1"/>
  <c r="AC177" i="1"/>
  <c r="AC176" i="1"/>
  <c r="AC175" i="1"/>
  <c r="AC174" i="1"/>
  <c r="AC173" i="1"/>
  <c r="AC172" i="1"/>
  <c r="AC171" i="1"/>
  <c r="AC170" i="1"/>
  <c r="AC169" i="1"/>
  <c r="AC168" i="1"/>
  <c r="AC167" i="1"/>
  <c r="AC166" i="1"/>
  <c r="AC165" i="1"/>
  <c r="AC164" i="1"/>
  <c r="AC163" i="1"/>
  <c r="AC162" i="1"/>
  <c r="AC161" i="1"/>
  <c r="AC160" i="1"/>
  <c r="AC159" i="1"/>
  <c r="AC158" i="1"/>
  <c r="AC157" i="1"/>
  <c r="AC156" i="1"/>
  <c r="AC155" i="1"/>
  <c r="AC154" i="1"/>
  <c r="AC153" i="1"/>
  <c r="AC152" i="1"/>
  <c r="AC151" i="1"/>
  <c r="AC150" i="1"/>
  <c r="AC149" i="1"/>
  <c r="AC148" i="1"/>
  <c r="AC147" i="1"/>
  <c r="AC146" i="1"/>
  <c r="AC145" i="1"/>
  <c r="AC144" i="1"/>
  <c r="AC143" i="1"/>
  <c r="AC142" i="1"/>
  <c r="AC141" i="1"/>
  <c r="AC140" i="1"/>
  <c r="AC139" i="1"/>
  <c r="AC138" i="1"/>
  <c r="AC137" i="1"/>
  <c r="AC136" i="1"/>
  <c r="AC135" i="1"/>
  <c r="AC134" i="1"/>
  <c r="AC133" i="1"/>
  <c r="AC132" i="1"/>
  <c r="AC131" i="1"/>
  <c r="AC130" i="1"/>
  <c r="AC129" i="1"/>
  <c r="AC128" i="1"/>
  <c r="AC127" i="1"/>
  <c r="AC126" i="1"/>
  <c r="AC125" i="1"/>
  <c r="AC124" i="1"/>
  <c r="AC123" i="1"/>
  <c r="AC122" i="1"/>
  <c r="AC121" i="1"/>
  <c r="AC120" i="1"/>
  <c r="AC119" i="1"/>
  <c r="AC118" i="1"/>
  <c r="AC117" i="1"/>
  <c r="AC116" i="1"/>
  <c r="AC115" i="1"/>
  <c r="AB206" i="1"/>
  <c r="AB205" i="1"/>
  <c r="AB204" i="1"/>
  <c r="AB203" i="1"/>
  <c r="AB202" i="1"/>
  <c r="AB201" i="1"/>
  <c r="AB200" i="1"/>
  <c r="AB199" i="1"/>
  <c r="AB198" i="1"/>
  <c r="AB197" i="1"/>
  <c r="AB196" i="1"/>
  <c r="AB195" i="1"/>
  <c r="AB194" i="1"/>
  <c r="AB193" i="1"/>
  <c r="AB192" i="1"/>
  <c r="AB191" i="1"/>
  <c r="AB190" i="1"/>
  <c r="AB189" i="1"/>
  <c r="AB188" i="1"/>
  <c r="AB187" i="1"/>
  <c r="AB186" i="1"/>
  <c r="AB185" i="1"/>
  <c r="AB184" i="1"/>
  <c r="AB183" i="1"/>
  <c r="AB182" i="1"/>
  <c r="AB181" i="1"/>
  <c r="AB180" i="1"/>
  <c r="AB179" i="1"/>
  <c r="AB178" i="1"/>
  <c r="AB177" i="1"/>
  <c r="AB176" i="1"/>
  <c r="AB175" i="1"/>
  <c r="AB174" i="1"/>
  <c r="AB173" i="1"/>
  <c r="AB172" i="1"/>
  <c r="AB171" i="1"/>
  <c r="AB170" i="1"/>
  <c r="AB169" i="1"/>
  <c r="AB168" i="1"/>
  <c r="AB167" i="1"/>
  <c r="AB166" i="1"/>
  <c r="AB165" i="1"/>
  <c r="AB164" i="1"/>
  <c r="AB163" i="1"/>
  <c r="AB162" i="1"/>
  <c r="AB161" i="1"/>
  <c r="AB160" i="1"/>
  <c r="AB159" i="1"/>
  <c r="AB158" i="1"/>
  <c r="AB157" i="1"/>
  <c r="AB156" i="1"/>
  <c r="AB155" i="1"/>
  <c r="AB154" i="1"/>
  <c r="AB153" i="1"/>
  <c r="AB152" i="1"/>
  <c r="AB151" i="1"/>
  <c r="AB150" i="1"/>
  <c r="AB149" i="1"/>
  <c r="AB148" i="1"/>
  <c r="AB147" i="1"/>
  <c r="AB146" i="1"/>
  <c r="AB145" i="1"/>
  <c r="AB144" i="1"/>
  <c r="AB143" i="1"/>
  <c r="AB142" i="1"/>
  <c r="AB141" i="1"/>
  <c r="AB140" i="1"/>
  <c r="AB139" i="1"/>
  <c r="AB138" i="1"/>
  <c r="AB137" i="1"/>
  <c r="AB136" i="1"/>
  <c r="AB135" i="1"/>
  <c r="AB134" i="1"/>
  <c r="AB133" i="1"/>
  <c r="AB132" i="1"/>
  <c r="AB131" i="1"/>
  <c r="AB130" i="1"/>
  <c r="AB129" i="1"/>
  <c r="AB128" i="1"/>
  <c r="AB127" i="1"/>
  <c r="AB126" i="1"/>
  <c r="AB125" i="1"/>
  <c r="AB124" i="1"/>
  <c r="AB123" i="1"/>
  <c r="AB122" i="1"/>
  <c r="AB121" i="1"/>
  <c r="AB120" i="1"/>
  <c r="AB119" i="1"/>
  <c r="AB118" i="1"/>
  <c r="AB117" i="1"/>
  <c r="AB116" i="1"/>
  <c r="AB115" i="1"/>
  <c r="AA206" i="1"/>
  <c r="AA205" i="1"/>
  <c r="AA204" i="1"/>
  <c r="AA203" i="1"/>
  <c r="AA202" i="1"/>
  <c r="AA201" i="1"/>
  <c r="AA200" i="1"/>
  <c r="AA199" i="1"/>
  <c r="AA198" i="1"/>
  <c r="AA197" i="1"/>
  <c r="AA196" i="1"/>
  <c r="AA195" i="1"/>
  <c r="AA194" i="1"/>
  <c r="AA193" i="1"/>
  <c r="AA192" i="1"/>
  <c r="AA191" i="1"/>
  <c r="AA190" i="1"/>
  <c r="AA189" i="1"/>
  <c r="AA188" i="1"/>
  <c r="AA187" i="1"/>
  <c r="AA186" i="1"/>
  <c r="AA185" i="1"/>
  <c r="AA184" i="1"/>
  <c r="AA183" i="1"/>
  <c r="AA182" i="1"/>
  <c r="AA181" i="1"/>
  <c r="AA180" i="1"/>
  <c r="AA179" i="1"/>
  <c r="AA178" i="1"/>
  <c r="AA177" i="1"/>
  <c r="AA176" i="1"/>
  <c r="AA175" i="1"/>
  <c r="AA174" i="1"/>
  <c r="AA173" i="1"/>
  <c r="AA172" i="1"/>
  <c r="AA171" i="1"/>
  <c r="AA170" i="1"/>
  <c r="AA169" i="1"/>
  <c r="AA168" i="1"/>
  <c r="AA167" i="1"/>
  <c r="AA166" i="1"/>
  <c r="AA165" i="1"/>
  <c r="AA164" i="1"/>
  <c r="AA163" i="1"/>
  <c r="AA162" i="1"/>
  <c r="AA161" i="1"/>
  <c r="AA160" i="1"/>
  <c r="AA159" i="1"/>
  <c r="AA158" i="1"/>
  <c r="AA157" i="1"/>
  <c r="AA156" i="1"/>
  <c r="AA155" i="1"/>
  <c r="AA154" i="1"/>
  <c r="AA153" i="1"/>
  <c r="AA152" i="1"/>
  <c r="AA151" i="1"/>
  <c r="AA150" i="1"/>
  <c r="AA149" i="1"/>
  <c r="AA148" i="1"/>
  <c r="AA147" i="1"/>
  <c r="AA146" i="1"/>
  <c r="AA145" i="1"/>
  <c r="AA144" i="1"/>
  <c r="AA143" i="1"/>
  <c r="AA142" i="1"/>
  <c r="AA141" i="1"/>
  <c r="AA140" i="1"/>
  <c r="AA139" i="1"/>
  <c r="AA138" i="1"/>
  <c r="AA137" i="1"/>
  <c r="AA136" i="1"/>
  <c r="AA135" i="1"/>
  <c r="AA134" i="1"/>
  <c r="AA133" i="1"/>
  <c r="AA132" i="1"/>
  <c r="AA131" i="1"/>
  <c r="AA130" i="1"/>
  <c r="AA129" i="1"/>
  <c r="AA127" i="1"/>
  <c r="AA126" i="1"/>
  <c r="AA125" i="1"/>
  <c r="AA124" i="1"/>
  <c r="AA123" i="1"/>
  <c r="AA122" i="1"/>
  <c r="AA121" i="1"/>
  <c r="AA120" i="1"/>
  <c r="AA119" i="1"/>
  <c r="AA118" i="1"/>
  <c r="AA117" i="1"/>
  <c r="AA116" i="1"/>
  <c r="AA115" i="1"/>
  <c r="Z206" i="1"/>
  <c r="Z205" i="1"/>
  <c r="Z204" i="1"/>
  <c r="Z203" i="1"/>
  <c r="Z202" i="1"/>
  <c r="Z201" i="1"/>
  <c r="Z200" i="1"/>
  <c r="Z199" i="1"/>
  <c r="Z198" i="1"/>
  <c r="Z197" i="1"/>
  <c r="Z196" i="1"/>
  <c r="Z195" i="1"/>
  <c r="Z194" i="1"/>
  <c r="Z193" i="1"/>
  <c r="Z192" i="1"/>
  <c r="Z191" i="1"/>
  <c r="Z190" i="1"/>
  <c r="Z189" i="1"/>
  <c r="Z188" i="1"/>
  <c r="Z187" i="1"/>
  <c r="Z186" i="1"/>
  <c r="Z185" i="1"/>
  <c r="Z184" i="1"/>
  <c r="Z183" i="1"/>
  <c r="Z182" i="1"/>
  <c r="Z181" i="1"/>
  <c r="Z180" i="1"/>
  <c r="Z179" i="1"/>
  <c r="Z178" i="1"/>
  <c r="Z177" i="1"/>
  <c r="Z176" i="1"/>
  <c r="Z175" i="1"/>
  <c r="Z174" i="1"/>
  <c r="Z173" i="1"/>
  <c r="Z172" i="1"/>
  <c r="Z171" i="1"/>
  <c r="Z170" i="1"/>
  <c r="Z169" i="1"/>
  <c r="Z168" i="1"/>
  <c r="Z167" i="1"/>
  <c r="Z166" i="1"/>
  <c r="Z165" i="1"/>
  <c r="Z164" i="1"/>
  <c r="Z163" i="1"/>
  <c r="Z162" i="1"/>
  <c r="Z161" i="1"/>
  <c r="Z160" i="1"/>
  <c r="Z159" i="1"/>
  <c r="Z158" i="1"/>
  <c r="Z157" i="1"/>
  <c r="Z156" i="1"/>
  <c r="Z155" i="1"/>
  <c r="Z154" i="1"/>
  <c r="Z153" i="1"/>
  <c r="Z152" i="1"/>
  <c r="Z151" i="1"/>
  <c r="Z150" i="1"/>
  <c r="Z149" i="1"/>
  <c r="Z148" i="1"/>
  <c r="Z147" i="1"/>
  <c r="Z146" i="1"/>
  <c r="Z145" i="1"/>
  <c r="Z144" i="1"/>
  <c r="Z143" i="1"/>
  <c r="Z142" i="1"/>
  <c r="Z141" i="1"/>
  <c r="Z140" i="1"/>
  <c r="Z139" i="1"/>
  <c r="Z138" i="1"/>
  <c r="Z137" i="1"/>
  <c r="Z136" i="1"/>
  <c r="Z135" i="1"/>
  <c r="Z134" i="1"/>
  <c r="Z133" i="1"/>
  <c r="Z132" i="1"/>
  <c r="Z131" i="1"/>
  <c r="Z130" i="1"/>
  <c r="Z129" i="1"/>
  <c r="Z127" i="1"/>
  <c r="Z126" i="1"/>
  <c r="Z125" i="1"/>
  <c r="Z124" i="1"/>
  <c r="Z123" i="1"/>
  <c r="Z122" i="1"/>
  <c r="Z121" i="1"/>
  <c r="Z120" i="1"/>
  <c r="Z119" i="1"/>
  <c r="Z118" i="1"/>
  <c r="Z117" i="1"/>
  <c r="Z116" i="1"/>
  <c r="Z115" i="1"/>
  <c r="Y206" i="1"/>
  <c r="Y205" i="1"/>
  <c r="Y204" i="1"/>
  <c r="Y203" i="1"/>
  <c r="Y202" i="1"/>
  <c r="Y201" i="1"/>
  <c r="Y200" i="1"/>
  <c r="Y199" i="1"/>
  <c r="Y198" i="1"/>
  <c r="Y197" i="1"/>
  <c r="Y196" i="1"/>
  <c r="Y195" i="1"/>
  <c r="Y194" i="1"/>
  <c r="Y193" i="1"/>
  <c r="Y192" i="1"/>
  <c r="Y191" i="1"/>
  <c r="Y190" i="1"/>
  <c r="Y189" i="1"/>
  <c r="Y188" i="1"/>
  <c r="Y187" i="1"/>
  <c r="Y186" i="1"/>
  <c r="Y185" i="1"/>
  <c r="Y184" i="1"/>
  <c r="Y183" i="1"/>
  <c r="Y182" i="1"/>
  <c r="Y181" i="1"/>
  <c r="Y180" i="1"/>
  <c r="Y179" i="1"/>
  <c r="Y178" i="1"/>
  <c r="Y177" i="1"/>
  <c r="Y176" i="1"/>
  <c r="Y175" i="1"/>
  <c r="Y174" i="1"/>
  <c r="Y173" i="1"/>
  <c r="Y172" i="1"/>
  <c r="Y171" i="1"/>
  <c r="Y170" i="1"/>
  <c r="Y169" i="1"/>
  <c r="Y168" i="1"/>
  <c r="Y167" i="1"/>
  <c r="Y166" i="1"/>
  <c r="Y165" i="1"/>
  <c r="Y164" i="1"/>
  <c r="Y163" i="1"/>
  <c r="Y162" i="1"/>
  <c r="Y161" i="1"/>
  <c r="Y160" i="1"/>
  <c r="Y159" i="1"/>
  <c r="Y158" i="1"/>
  <c r="Y157" i="1"/>
  <c r="Y156" i="1"/>
  <c r="Y155" i="1"/>
  <c r="Y154" i="1"/>
  <c r="Y153" i="1"/>
  <c r="Y152" i="1"/>
  <c r="Y151" i="1"/>
  <c r="Y150" i="1"/>
  <c r="Y149" i="1"/>
  <c r="Y148" i="1"/>
  <c r="Y147" i="1"/>
  <c r="Y146" i="1"/>
  <c r="Y145" i="1"/>
  <c r="Y144" i="1"/>
  <c r="Y143" i="1"/>
  <c r="Y142" i="1"/>
  <c r="Y141" i="1"/>
  <c r="Y140" i="1"/>
  <c r="Y139" i="1"/>
  <c r="Y138" i="1"/>
  <c r="Y137" i="1"/>
  <c r="Y136" i="1"/>
  <c r="Y135" i="1"/>
  <c r="Y134" i="1"/>
  <c r="Y133" i="1"/>
  <c r="Y132" i="1"/>
  <c r="Y131" i="1"/>
  <c r="Y130" i="1"/>
  <c r="Y129" i="1"/>
  <c r="Y128" i="1"/>
  <c r="Y127" i="1"/>
  <c r="Y126" i="1"/>
  <c r="Y125" i="1"/>
  <c r="Y124" i="1"/>
  <c r="Y123" i="1"/>
  <c r="Y122" i="1"/>
  <c r="Y121" i="1"/>
  <c r="Y120" i="1"/>
  <c r="Y119" i="1"/>
  <c r="Y118" i="1"/>
  <c r="Y117" i="1"/>
  <c r="Y116" i="1"/>
  <c r="Y115" i="1"/>
  <c r="X206" i="1"/>
  <c r="X205" i="1"/>
  <c r="X204" i="1"/>
  <c r="X203" i="1"/>
  <c r="X202" i="1"/>
  <c r="X201" i="1"/>
  <c r="X200" i="1"/>
  <c r="X199" i="1"/>
  <c r="X198" i="1"/>
  <c r="X197" i="1"/>
  <c r="X196" i="1"/>
  <c r="X195" i="1"/>
  <c r="X194" i="1"/>
  <c r="X193" i="1"/>
  <c r="X192" i="1"/>
  <c r="X191" i="1"/>
  <c r="X190" i="1"/>
  <c r="X189" i="1"/>
  <c r="X188" i="1"/>
  <c r="X187" i="1"/>
  <c r="X186" i="1"/>
  <c r="X185" i="1"/>
  <c r="X184" i="1"/>
  <c r="X183" i="1"/>
  <c r="X182" i="1"/>
  <c r="X181" i="1"/>
  <c r="X180" i="1"/>
  <c r="X179" i="1"/>
  <c r="X178" i="1"/>
  <c r="X177" i="1"/>
  <c r="X176" i="1"/>
  <c r="X175" i="1"/>
  <c r="X174" i="1"/>
  <c r="X173" i="1"/>
  <c r="X172" i="1"/>
  <c r="X171" i="1"/>
  <c r="X170" i="1"/>
  <c r="X169" i="1"/>
  <c r="X168" i="1"/>
  <c r="X167" i="1"/>
  <c r="X166" i="1"/>
  <c r="X165" i="1"/>
  <c r="X164" i="1"/>
  <c r="X163" i="1"/>
  <c r="X162" i="1"/>
  <c r="X161" i="1"/>
  <c r="X160" i="1"/>
  <c r="X159" i="1"/>
  <c r="X158" i="1"/>
  <c r="X157" i="1"/>
  <c r="X156" i="1"/>
  <c r="X155" i="1"/>
  <c r="X154" i="1"/>
  <c r="X153" i="1"/>
  <c r="X152" i="1"/>
  <c r="X151" i="1"/>
  <c r="X150" i="1"/>
  <c r="X149" i="1"/>
  <c r="X148" i="1"/>
  <c r="X147" i="1"/>
  <c r="X146" i="1"/>
  <c r="X145" i="1"/>
  <c r="X144" i="1"/>
  <c r="X143" i="1"/>
  <c r="X142" i="1"/>
  <c r="X141" i="1"/>
  <c r="X140" i="1"/>
  <c r="X139" i="1"/>
  <c r="X138" i="1"/>
  <c r="X137" i="1"/>
  <c r="X136" i="1"/>
  <c r="X135" i="1"/>
  <c r="X134" i="1"/>
  <c r="X133" i="1"/>
  <c r="X132" i="1"/>
  <c r="X131" i="1"/>
  <c r="X130" i="1"/>
  <c r="X129" i="1"/>
  <c r="X128" i="1"/>
  <c r="X127" i="1"/>
  <c r="X126" i="1"/>
  <c r="X125" i="1"/>
  <c r="X124" i="1"/>
  <c r="X123" i="1"/>
  <c r="X122" i="1"/>
  <c r="X121" i="1"/>
  <c r="X120" i="1"/>
  <c r="X119" i="1"/>
  <c r="X118" i="1"/>
  <c r="X117" i="1"/>
  <c r="X116" i="1"/>
  <c r="X115" i="1"/>
  <c r="W206" i="1"/>
  <c r="W205" i="1"/>
  <c r="W204" i="1"/>
  <c r="W203" i="1"/>
  <c r="W202" i="1"/>
  <c r="W201" i="1"/>
  <c r="W200" i="1"/>
  <c r="W199" i="1"/>
  <c r="W198" i="1"/>
  <c r="W197" i="1"/>
  <c r="W196" i="1"/>
  <c r="W195" i="1"/>
  <c r="W194" i="1"/>
  <c r="W193" i="1"/>
  <c r="W192" i="1"/>
  <c r="W191" i="1"/>
  <c r="W190" i="1"/>
  <c r="W189" i="1"/>
  <c r="W188" i="1"/>
  <c r="W187" i="1"/>
  <c r="W186" i="1"/>
  <c r="W185" i="1"/>
  <c r="W184" i="1"/>
  <c r="W183" i="1"/>
  <c r="W182" i="1"/>
  <c r="W181" i="1"/>
  <c r="W180" i="1"/>
  <c r="W179" i="1"/>
  <c r="W178" i="1"/>
  <c r="W177" i="1"/>
  <c r="W176" i="1"/>
  <c r="W175" i="1"/>
  <c r="W174" i="1"/>
  <c r="W173" i="1"/>
  <c r="W172" i="1"/>
  <c r="W171" i="1"/>
  <c r="W170" i="1"/>
  <c r="W169" i="1"/>
  <c r="W168" i="1"/>
  <c r="W167" i="1"/>
  <c r="W166" i="1"/>
  <c r="W165" i="1"/>
  <c r="W164" i="1"/>
  <c r="W163" i="1"/>
  <c r="W162" i="1"/>
  <c r="W161" i="1"/>
  <c r="W160" i="1"/>
  <c r="W159" i="1"/>
  <c r="W158" i="1"/>
  <c r="W157" i="1"/>
  <c r="W156" i="1"/>
  <c r="W155" i="1"/>
  <c r="W154" i="1"/>
  <c r="W153" i="1"/>
  <c r="W152" i="1"/>
  <c r="W151" i="1"/>
  <c r="W150" i="1"/>
  <c r="W149" i="1"/>
  <c r="W148" i="1"/>
  <c r="W147" i="1"/>
  <c r="W146" i="1"/>
  <c r="W145" i="1"/>
  <c r="W144" i="1"/>
  <c r="W143" i="1"/>
  <c r="W142" i="1"/>
  <c r="W141" i="1"/>
  <c r="W140" i="1"/>
  <c r="W139" i="1"/>
  <c r="W138" i="1"/>
  <c r="W137" i="1"/>
  <c r="W136" i="1"/>
  <c r="W135" i="1"/>
  <c r="W134" i="1"/>
  <c r="W133" i="1"/>
  <c r="W132" i="1"/>
  <c r="W131" i="1"/>
  <c r="W130" i="1"/>
  <c r="W129" i="1"/>
  <c r="W128" i="1"/>
  <c r="W127" i="1"/>
  <c r="W126" i="1"/>
  <c r="W125" i="1"/>
  <c r="W124" i="1"/>
  <c r="W123" i="1"/>
  <c r="W122" i="1"/>
  <c r="W121" i="1"/>
  <c r="W120" i="1"/>
  <c r="W119" i="1"/>
  <c r="W118" i="1"/>
  <c r="W117" i="1"/>
  <c r="W116" i="1"/>
  <c r="W115" i="1"/>
  <c r="V206" i="1"/>
  <c r="V205" i="1"/>
  <c r="V204" i="1"/>
  <c r="V203" i="1"/>
  <c r="V202" i="1"/>
  <c r="V201" i="1"/>
  <c r="V200" i="1"/>
  <c r="V199" i="1"/>
  <c r="V198" i="1"/>
  <c r="V197" i="1"/>
  <c r="V196" i="1"/>
  <c r="V195" i="1"/>
  <c r="V194" i="1"/>
  <c r="V193" i="1"/>
  <c r="V192" i="1"/>
  <c r="V191" i="1"/>
  <c r="V190" i="1"/>
  <c r="V189" i="1"/>
  <c r="V188" i="1"/>
  <c r="V187" i="1"/>
  <c r="V186" i="1"/>
  <c r="V185" i="1"/>
  <c r="V184" i="1"/>
  <c r="V183" i="1"/>
  <c r="V182" i="1"/>
  <c r="V181" i="1"/>
  <c r="V180" i="1"/>
  <c r="V179" i="1"/>
  <c r="V178" i="1"/>
  <c r="V177" i="1"/>
  <c r="V176" i="1"/>
  <c r="V175" i="1"/>
  <c r="V174" i="1"/>
  <c r="V173" i="1"/>
  <c r="V172" i="1"/>
  <c r="V171" i="1"/>
  <c r="V170" i="1"/>
  <c r="V169" i="1"/>
  <c r="V168" i="1"/>
  <c r="V167" i="1"/>
  <c r="V166" i="1"/>
  <c r="V165" i="1"/>
  <c r="V164" i="1"/>
  <c r="V163" i="1"/>
  <c r="V162" i="1"/>
  <c r="V161" i="1"/>
  <c r="V160" i="1"/>
  <c r="V159" i="1"/>
  <c r="V158" i="1"/>
  <c r="V157" i="1"/>
  <c r="V156" i="1"/>
  <c r="V155" i="1"/>
  <c r="V154" i="1"/>
  <c r="V153" i="1"/>
  <c r="V152" i="1"/>
  <c r="V151" i="1"/>
  <c r="V150" i="1"/>
  <c r="V149" i="1"/>
  <c r="V148" i="1"/>
  <c r="V147" i="1"/>
  <c r="V146" i="1"/>
  <c r="V145" i="1"/>
  <c r="V144" i="1"/>
  <c r="V143" i="1"/>
  <c r="V142" i="1"/>
  <c r="V141" i="1"/>
  <c r="V140" i="1"/>
  <c r="V139" i="1"/>
  <c r="V138" i="1"/>
  <c r="V137" i="1"/>
  <c r="V136" i="1"/>
  <c r="V135" i="1"/>
  <c r="V134" i="1"/>
  <c r="V133" i="1"/>
  <c r="V132" i="1"/>
  <c r="V131" i="1"/>
  <c r="V130" i="1"/>
  <c r="V129" i="1"/>
  <c r="V128" i="1"/>
  <c r="V127" i="1"/>
  <c r="V126" i="1"/>
  <c r="V125" i="1"/>
  <c r="V124" i="1"/>
  <c r="V123" i="1"/>
  <c r="V122" i="1"/>
  <c r="V121" i="1"/>
  <c r="V120" i="1"/>
  <c r="V119" i="1"/>
  <c r="V118" i="1"/>
  <c r="V117" i="1"/>
  <c r="V116" i="1"/>
  <c r="V115" i="1"/>
  <c r="U206" i="1"/>
  <c r="U205" i="1"/>
  <c r="U204" i="1"/>
  <c r="U203" i="1"/>
  <c r="U202" i="1"/>
  <c r="U201" i="1"/>
  <c r="U200" i="1"/>
  <c r="U199" i="1"/>
  <c r="U198" i="1"/>
  <c r="U197" i="1"/>
  <c r="U196" i="1"/>
  <c r="U195" i="1"/>
  <c r="U194" i="1"/>
  <c r="U193" i="1"/>
  <c r="U192" i="1"/>
  <c r="U191" i="1"/>
  <c r="U190" i="1"/>
  <c r="U189" i="1"/>
  <c r="U188" i="1"/>
  <c r="U187" i="1"/>
  <c r="U186" i="1"/>
  <c r="U185" i="1"/>
  <c r="U184" i="1"/>
  <c r="U183" i="1"/>
  <c r="U182" i="1"/>
  <c r="U181" i="1"/>
  <c r="U180" i="1"/>
  <c r="U179" i="1"/>
  <c r="U178" i="1"/>
  <c r="U177" i="1"/>
  <c r="U176" i="1"/>
  <c r="U175" i="1"/>
  <c r="U174" i="1"/>
  <c r="U173" i="1"/>
  <c r="U172" i="1"/>
  <c r="U171" i="1"/>
  <c r="U170" i="1"/>
  <c r="U169" i="1"/>
  <c r="U168" i="1"/>
  <c r="U167" i="1"/>
  <c r="U166" i="1"/>
  <c r="U165" i="1"/>
  <c r="U164" i="1"/>
  <c r="U163" i="1"/>
  <c r="U162" i="1"/>
  <c r="U161" i="1"/>
  <c r="U160" i="1"/>
  <c r="U159" i="1"/>
  <c r="U158" i="1"/>
  <c r="U157" i="1"/>
  <c r="U156" i="1"/>
  <c r="U155" i="1"/>
  <c r="U154" i="1"/>
  <c r="U153" i="1"/>
  <c r="U152" i="1"/>
  <c r="U151" i="1"/>
  <c r="U150" i="1"/>
  <c r="U149" i="1"/>
  <c r="U148" i="1"/>
  <c r="U147" i="1"/>
  <c r="U146" i="1"/>
  <c r="U145" i="1"/>
  <c r="U144" i="1"/>
  <c r="U143" i="1"/>
  <c r="U142" i="1"/>
  <c r="U141" i="1"/>
  <c r="U140" i="1"/>
  <c r="U139" i="1"/>
  <c r="U138" i="1"/>
  <c r="U137" i="1"/>
  <c r="U136" i="1"/>
  <c r="U135" i="1"/>
  <c r="U134" i="1"/>
  <c r="U133" i="1"/>
  <c r="U132" i="1"/>
  <c r="U131" i="1"/>
  <c r="U130" i="1"/>
  <c r="U129" i="1"/>
  <c r="U128" i="1"/>
  <c r="U127" i="1"/>
  <c r="U126" i="1"/>
  <c r="U125" i="1"/>
  <c r="U124" i="1"/>
  <c r="U123" i="1"/>
  <c r="U122" i="1"/>
  <c r="U121" i="1"/>
  <c r="U120" i="1"/>
  <c r="U119" i="1"/>
  <c r="U118" i="1"/>
  <c r="U117" i="1"/>
  <c r="U116" i="1"/>
  <c r="U115" i="1"/>
  <c r="T206" i="1"/>
  <c r="T205" i="1"/>
  <c r="T204" i="1"/>
  <c r="T203" i="1"/>
  <c r="T202" i="1"/>
  <c r="T201" i="1"/>
  <c r="T200" i="1"/>
  <c r="T199" i="1"/>
  <c r="T198" i="1"/>
  <c r="T197" i="1"/>
  <c r="T196" i="1"/>
  <c r="T195" i="1"/>
  <c r="T194" i="1"/>
  <c r="T193" i="1"/>
  <c r="T192" i="1"/>
  <c r="T191" i="1"/>
  <c r="T190" i="1"/>
  <c r="T189" i="1"/>
  <c r="T188" i="1"/>
  <c r="T187" i="1"/>
  <c r="T186" i="1"/>
  <c r="T185" i="1"/>
  <c r="T184" i="1"/>
  <c r="T183" i="1"/>
  <c r="T182" i="1"/>
  <c r="T181" i="1"/>
  <c r="T180" i="1"/>
  <c r="T179" i="1"/>
  <c r="T178" i="1"/>
  <c r="T177" i="1"/>
  <c r="T176" i="1"/>
  <c r="T175" i="1"/>
  <c r="T174" i="1"/>
  <c r="T173" i="1"/>
  <c r="T172" i="1"/>
  <c r="T171" i="1"/>
  <c r="T170" i="1"/>
  <c r="T169" i="1"/>
  <c r="T168" i="1"/>
  <c r="T167" i="1"/>
  <c r="T166" i="1"/>
  <c r="T165" i="1"/>
  <c r="T164" i="1"/>
  <c r="T163" i="1"/>
  <c r="T162" i="1"/>
  <c r="T161" i="1"/>
  <c r="T160" i="1"/>
  <c r="T159" i="1"/>
  <c r="T158" i="1"/>
  <c r="T157" i="1"/>
  <c r="T156" i="1"/>
  <c r="T155" i="1"/>
  <c r="T154" i="1"/>
  <c r="T153" i="1"/>
  <c r="T152" i="1"/>
  <c r="T151" i="1"/>
  <c r="T150" i="1"/>
  <c r="T149" i="1"/>
  <c r="T148" i="1"/>
  <c r="T147" i="1"/>
  <c r="T146" i="1"/>
  <c r="T145" i="1"/>
  <c r="T144" i="1"/>
  <c r="T143" i="1"/>
  <c r="T142" i="1"/>
  <c r="T141" i="1"/>
  <c r="T140" i="1"/>
  <c r="T139" i="1"/>
  <c r="T138" i="1"/>
  <c r="T137" i="1"/>
  <c r="T136" i="1"/>
  <c r="T135" i="1"/>
  <c r="T134" i="1"/>
  <c r="T133" i="1"/>
  <c r="T132" i="1"/>
  <c r="T131" i="1"/>
  <c r="T130" i="1"/>
  <c r="T129" i="1"/>
  <c r="T128" i="1"/>
  <c r="T127" i="1"/>
  <c r="T126" i="1"/>
  <c r="T125" i="1"/>
  <c r="T124" i="1"/>
  <c r="T123" i="1"/>
  <c r="T122" i="1"/>
  <c r="T121" i="1"/>
  <c r="T120" i="1"/>
  <c r="T119" i="1"/>
  <c r="T118" i="1"/>
  <c r="T117" i="1"/>
  <c r="T116" i="1"/>
  <c r="T115" i="1"/>
  <c r="S206" i="1"/>
  <c r="S205" i="1"/>
  <c r="S204" i="1"/>
  <c r="S203" i="1"/>
  <c r="S202" i="1"/>
  <c r="S201" i="1"/>
  <c r="S200" i="1"/>
  <c r="S199" i="1"/>
  <c r="S198" i="1"/>
  <c r="S197" i="1"/>
  <c r="S196" i="1"/>
  <c r="S195" i="1"/>
  <c r="S194" i="1"/>
  <c r="S193" i="1"/>
  <c r="S192" i="1"/>
  <c r="S191" i="1"/>
  <c r="S190" i="1"/>
  <c r="S189" i="1"/>
  <c r="S188" i="1"/>
  <c r="S187" i="1"/>
  <c r="S186" i="1"/>
  <c r="S185" i="1"/>
  <c r="S184" i="1"/>
  <c r="S183" i="1"/>
  <c r="S182" i="1"/>
  <c r="S181" i="1"/>
  <c r="S180" i="1"/>
  <c r="S179" i="1"/>
  <c r="S178" i="1"/>
  <c r="S177" i="1"/>
  <c r="S176" i="1"/>
  <c r="S175" i="1"/>
  <c r="S174" i="1"/>
  <c r="S173" i="1"/>
  <c r="S172" i="1"/>
  <c r="S171" i="1"/>
  <c r="S170" i="1"/>
  <c r="CN170" i="1" s="1"/>
  <c r="S169" i="1"/>
  <c r="S168" i="1"/>
  <c r="S167" i="1"/>
  <c r="S166" i="1"/>
  <c r="S165" i="1"/>
  <c r="S164" i="1"/>
  <c r="S163" i="1"/>
  <c r="S162" i="1"/>
  <c r="S161" i="1"/>
  <c r="S160" i="1"/>
  <c r="S159" i="1"/>
  <c r="S158" i="1"/>
  <c r="S157" i="1"/>
  <c r="S156" i="1"/>
  <c r="S155" i="1"/>
  <c r="S154" i="1"/>
  <c r="S153" i="1"/>
  <c r="S152" i="1"/>
  <c r="S151" i="1"/>
  <c r="S150" i="1"/>
  <c r="S149" i="1"/>
  <c r="S148" i="1"/>
  <c r="S147" i="1"/>
  <c r="S146" i="1"/>
  <c r="S145" i="1"/>
  <c r="S144" i="1"/>
  <c r="S143" i="1"/>
  <c r="S142" i="1"/>
  <c r="S141" i="1"/>
  <c r="S140" i="1"/>
  <c r="S139" i="1"/>
  <c r="S138" i="1"/>
  <c r="S137" i="1"/>
  <c r="S136" i="1"/>
  <c r="S135" i="1"/>
  <c r="S134" i="1"/>
  <c r="S133" i="1"/>
  <c r="S132" i="1"/>
  <c r="S131" i="1"/>
  <c r="S130" i="1"/>
  <c r="S129" i="1"/>
  <c r="S128" i="1"/>
  <c r="S127" i="1"/>
  <c r="S126" i="1"/>
  <c r="S125" i="1"/>
  <c r="S124" i="1"/>
  <c r="S123" i="1"/>
  <c r="S122" i="1"/>
  <c r="S121" i="1"/>
  <c r="S120" i="1"/>
  <c r="S119" i="1"/>
  <c r="S118" i="1"/>
  <c r="S117" i="1"/>
  <c r="S116" i="1"/>
  <c r="S115" i="1"/>
  <c r="R206" i="1"/>
  <c r="R205" i="1"/>
  <c r="R204" i="1"/>
  <c r="R203" i="1"/>
  <c r="R202" i="1"/>
  <c r="R201" i="1"/>
  <c r="R200" i="1"/>
  <c r="R199" i="1"/>
  <c r="R198" i="1"/>
  <c r="R197" i="1"/>
  <c r="R196" i="1"/>
  <c r="R195" i="1"/>
  <c r="R194" i="1"/>
  <c r="R193" i="1"/>
  <c r="R192" i="1"/>
  <c r="R191" i="1"/>
  <c r="R190" i="1"/>
  <c r="R189" i="1"/>
  <c r="R188" i="1"/>
  <c r="R187" i="1"/>
  <c r="R186" i="1"/>
  <c r="R185" i="1"/>
  <c r="R184" i="1"/>
  <c r="R183" i="1"/>
  <c r="R182" i="1"/>
  <c r="R181" i="1"/>
  <c r="R180" i="1"/>
  <c r="R179" i="1"/>
  <c r="R178" i="1"/>
  <c r="R177" i="1"/>
  <c r="R176" i="1"/>
  <c r="R175" i="1"/>
  <c r="R174" i="1"/>
  <c r="R173" i="1"/>
  <c r="R172" i="1"/>
  <c r="R171" i="1"/>
  <c r="R170" i="1"/>
  <c r="CR170" i="1" s="1"/>
  <c r="R169" i="1"/>
  <c r="CO169" i="1" s="1"/>
  <c r="R168" i="1"/>
  <c r="R167" i="1"/>
  <c r="R166" i="1"/>
  <c r="R165" i="1"/>
  <c r="R164" i="1"/>
  <c r="R163" i="1"/>
  <c r="R162" i="1"/>
  <c r="R161" i="1"/>
  <c r="R160" i="1"/>
  <c r="R159" i="1"/>
  <c r="R158" i="1"/>
  <c r="R157" i="1"/>
  <c r="R156" i="1"/>
  <c r="R155" i="1"/>
  <c r="R154" i="1"/>
  <c r="R153" i="1"/>
  <c r="R152" i="1"/>
  <c r="R151" i="1"/>
  <c r="R150" i="1"/>
  <c r="R149" i="1"/>
  <c r="R148" i="1"/>
  <c r="R147" i="1"/>
  <c r="R146" i="1"/>
  <c r="R145" i="1"/>
  <c r="R144" i="1"/>
  <c r="R143" i="1"/>
  <c r="R142" i="1"/>
  <c r="R141" i="1"/>
  <c r="R140" i="1"/>
  <c r="R139" i="1"/>
  <c r="R138" i="1"/>
  <c r="R137" i="1"/>
  <c r="R136" i="1"/>
  <c r="R135" i="1"/>
  <c r="R134" i="1"/>
  <c r="R133" i="1"/>
  <c r="R132" i="1"/>
  <c r="R131" i="1"/>
  <c r="R130" i="1"/>
  <c r="R129" i="1"/>
  <c r="R128" i="1"/>
  <c r="R127" i="1"/>
  <c r="R126" i="1"/>
  <c r="R125" i="1"/>
  <c r="R124" i="1"/>
  <c r="R123" i="1"/>
  <c r="R122" i="1"/>
  <c r="R121" i="1"/>
  <c r="R120" i="1"/>
  <c r="R119" i="1"/>
  <c r="R118" i="1"/>
  <c r="R117" i="1"/>
  <c r="R116" i="1"/>
  <c r="R115" i="1"/>
  <c r="Q206" i="1"/>
  <c r="Q205" i="1"/>
  <c r="Q204" i="1"/>
  <c r="Q203" i="1"/>
  <c r="Q202" i="1"/>
  <c r="Q201" i="1"/>
  <c r="Q200" i="1"/>
  <c r="Q199" i="1"/>
  <c r="Q198" i="1"/>
  <c r="Q197" i="1"/>
  <c r="Q196" i="1"/>
  <c r="Q195" i="1"/>
  <c r="Q194" i="1"/>
  <c r="Q193" i="1"/>
  <c r="Q192" i="1"/>
  <c r="Q191" i="1"/>
  <c r="Q190" i="1"/>
  <c r="Q189" i="1"/>
  <c r="Q188" i="1"/>
  <c r="Q187" i="1"/>
  <c r="Q186" i="1"/>
  <c r="Q185" i="1"/>
  <c r="Q184" i="1"/>
  <c r="Q183" i="1"/>
  <c r="Q182" i="1"/>
  <c r="Q181" i="1"/>
  <c r="Q180" i="1"/>
  <c r="Q179" i="1"/>
  <c r="Q178" i="1"/>
  <c r="Q177" i="1"/>
  <c r="Q176" i="1"/>
  <c r="Q175" i="1"/>
  <c r="Q174" i="1"/>
  <c r="Q173" i="1"/>
  <c r="Q172" i="1"/>
  <c r="Q171" i="1"/>
  <c r="Q170" i="1"/>
  <c r="Q169" i="1"/>
  <c r="Q168" i="1"/>
  <c r="Q167" i="1"/>
  <c r="Q166" i="1"/>
  <c r="Q165" i="1"/>
  <c r="Q164" i="1"/>
  <c r="Q163" i="1"/>
  <c r="Q162" i="1"/>
  <c r="Q161" i="1"/>
  <c r="Q160" i="1"/>
  <c r="Q159" i="1"/>
  <c r="Q158" i="1"/>
  <c r="Q157" i="1"/>
  <c r="Q156" i="1"/>
  <c r="Q155" i="1"/>
  <c r="Q154" i="1"/>
  <c r="Q153" i="1"/>
  <c r="Q152" i="1"/>
  <c r="Q151" i="1"/>
  <c r="Q150" i="1"/>
  <c r="Q149" i="1"/>
  <c r="Q148" i="1"/>
  <c r="Q147" i="1"/>
  <c r="Q146" i="1"/>
  <c r="Q145" i="1"/>
  <c r="Q144" i="1"/>
  <c r="Q143" i="1"/>
  <c r="Q142" i="1"/>
  <c r="Q141" i="1"/>
  <c r="Q140" i="1"/>
  <c r="Q139" i="1"/>
  <c r="Q138" i="1"/>
  <c r="Q137" i="1"/>
  <c r="Q136" i="1"/>
  <c r="Q135" i="1"/>
  <c r="Q134" i="1"/>
  <c r="Q133" i="1"/>
  <c r="Q132" i="1"/>
  <c r="Q131" i="1"/>
  <c r="Q130" i="1"/>
  <c r="Q129" i="1"/>
  <c r="Q128" i="1"/>
  <c r="Q127" i="1"/>
  <c r="Q126" i="1"/>
  <c r="Q125" i="1"/>
  <c r="Q124" i="1"/>
  <c r="Q123" i="1"/>
  <c r="Q122" i="1"/>
  <c r="Q121" i="1"/>
  <c r="Q120" i="1"/>
  <c r="Q119" i="1"/>
  <c r="Q118" i="1"/>
  <c r="Q117" i="1"/>
  <c r="Q116" i="1"/>
  <c r="Q115" i="1"/>
  <c r="P206" i="1"/>
  <c r="P205" i="1"/>
  <c r="P204" i="1"/>
  <c r="P203" i="1"/>
  <c r="P202" i="1"/>
  <c r="P201" i="1"/>
  <c r="P200" i="1"/>
  <c r="P199" i="1"/>
  <c r="P198" i="1"/>
  <c r="P197" i="1"/>
  <c r="P196" i="1"/>
  <c r="P195" i="1"/>
  <c r="P194" i="1"/>
  <c r="P193" i="1"/>
  <c r="P192" i="1"/>
  <c r="P191" i="1"/>
  <c r="P190" i="1"/>
  <c r="P189" i="1"/>
  <c r="P188" i="1"/>
  <c r="P187" i="1"/>
  <c r="P186" i="1"/>
  <c r="P185" i="1"/>
  <c r="P184" i="1"/>
  <c r="P183" i="1"/>
  <c r="P182" i="1"/>
  <c r="P181" i="1"/>
  <c r="P180" i="1"/>
  <c r="P179" i="1"/>
  <c r="P178" i="1"/>
  <c r="P177" i="1"/>
  <c r="P176" i="1"/>
  <c r="P175" i="1"/>
  <c r="P174" i="1"/>
  <c r="P173" i="1"/>
  <c r="P172" i="1"/>
  <c r="P171" i="1"/>
  <c r="P170" i="1"/>
  <c r="P169" i="1"/>
  <c r="P168" i="1"/>
  <c r="P167" i="1"/>
  <c r="P166" i="1"/>
  <c r="P165" i="1"/>
  <c r="P164" i="1"/>
  <c r="P163" i="1"/>
  <c r="P162" i="1"/>
  <c r="P161" i="1"/>
  <c r="P160" i="1"/>
  <c r="P159" i="1"/>
  <c r="P158" i="1"/>
  <c r="P157" i="1"/>
  <c r="P156" i="1"/>
  <c r="P155" i="1"/>
  <c r="P154" i="1"/>
  <c r="P153" i="1"/>
  <c r="P152" i="1"/>
  <c r="P151" i="1"/>
  <c r="P150" i="1"/>
  <c r="P149" i="1"/>
  <c r="P148" i="1"/>
  <c r="P147" i="1"/>
  <c r="P146" i="1"/>
  <c r="P145" i="1"/>
  <c r="P144" i="1"/>
  <c r="P143" i="1"/>
  <c r="P142" i="1"/>
  <c r="P141" i="1"/>
  <c r="P140" i="1"/>
  <c r="P139" i="1"/>
  <c r="P138" i="1"/>
  <c r="P137" i="1"/>
  <c r="P136" i="1"/>
  <c r="P135" i="1"/>
  <c r="P134" i="1"/>
  <c r="P133" i="1"/>
  <c r="P132" i="1"/>
  <c r="P131" i="1"/>
  <c r="P130" i="1"/>
  <c r="P129" i="1"/>
  <c r="P128" i="1"/>
  <c r="P127" i="1"/>
  <c r="P126" i="1"/>
  <c r="P125" i="1"/>
  <c r="P124" i="1"/>
  <c r="P123" i="1"/>
  <c r="P122" i="1"/>
  <c r="P121" i="1"/>
  <c r="P120" i="1"/>
  <c r="P119" i="1"/>
  <c r="P118" i="1"/>
  <c r="P117" i="1"/>
  <c r="P116" i="1"/>
  <c r="P115" i="1"/>
  <c r="O206" i="1"/>
  <c r="O205" i="1"/>
  <c r="O204" i="1"/>
  <c r="O203" i="1"/>
  <c r="O202" i="1"/>
  <c r="O201" i="1"/>
  <c r="O200" i="1"/>
  <c r="O199" i="1"/>
  <c r="O198" i="1"/>
  <c r="O197" i="1"/>
  <c r="O196" i="1"/>
  <c r="O195" i="1"/>
  <c r="O194" i="1"/>
  <c r="O193" i="1"/>
  <c r="O192" i="1"/>
  <c r="O191" i="1"/>
  <c r="O190" i="1"/>
  <c r="O189" i="1"/>
  <c r="O188" i="1"/>
  <c r="O187" i="1"/>
  <c r="O186" i="1"/>
  <c r="O185" i="1"/>
  <c r="O184" i="1"/>
  <c r="O183" i="1"/>
  <c r="O182" i="1"/>
  <c r="O181" i="1"/>
  <c r="O180" i="1"/>
  <c r="O179" i="1"/>
  <c r="O178" i="1"/>
  <c r="O177" i="1"/>
  <c r="O176" i="1"/>
  <c r="O175" i="1"/>
  <c r="O174" i="1"/>
  <c r="O173" i="1"/>
  <c r="O172" i="1"/>
  <c r="O171" i="1"/>
  <c r="O170" i="1"/>
  <c r="O169" i="1"/>
  <c r="O168" i="1"/>
  <c r="O167" i="1"/>
  <c r="O166" i="1"/>
  <c r="O165" i="1"/>
  <c r="O164" i="1"/>
  <c r="O163" i="1"/>
  <c r="O162" i="1"/>
  <c r="O161" i="1"/>
  <c r="O160" i="1"/>
  <c r="O159" i="1"/>
  <c r="O158" i="1"/>
  <c r="O157" i="1"/>
  <c r="O156" i="1"/>
  <c r="O155" i="1"/>
  <c r="O154" i="1"/>
  <c r="O153" i="1"/>
  <c r="O152" i="1"/>
  <c r="O151" i="1"/>
  <c r="O150" i="1"/>
  <c r="O149" i="1"/>
  <c r="O148" i="1"/>
  <c r="O147" i="1"/>
  <c r="O146" i="1"/>
  <c r="O145" i="1"/>
  <c r="O144" i="1"/>
  <c r="O143" i="1"/>
  <c r="O142" i="1"/>
  <c r="O141" i="1"/>
  <c r="O140" i="1"/>
  <c r="O139" i="1"/>
  <c r="O138" i="1"/>
  <c r="O137" i="1"/>
  <c r="O136" i="1"/>
  <c r="O134" i="1"/>
  <c r="O133" i="1"/>
  <c r="O132" i="1"/>
  <c r="O131" i="1"/>
  <c r="O130" i="1"/>
  <c r="O129" i="1"/>
  <c r="O126" i="1"/>
  <c r="O125" i="1"/>
  <c r="O124" i="1"/>
  <c r="O123" i="1"/>
  <c r="O122" i="1"/>
  <c r="O121" i="1"/>
  <c r="O120" i="1"/>
  <c r="O119" i="1"/>
  <c r="O118" i="1"/>
  <c r="O117" i="1"/>
  <c r="O116" i="1"/>
  <c r="O115" i="1"/>
  <c r="N206" i="1"/>
  <c r="N205" i="1"/>
  <c r="N204" i="1"/>
  <c r="N203" i="1"/>
  <c r="N202" i="1"/>
  <c r="N201" i="1"/>
  <c r="N200" i="1"/>
  <c r="N199" i="1"/>
  <c r="N198" i="1"/>
  <c r="N197" i="1"/>
  <c r="N196" i="1"/>
  <c r="N195" i="1"/>
  <c r="N194" i="1"/>
  <c r="N193" i="1"/>
  <c r="N192" i="1"/>
  <c r="N191" i="1"/>
  <c r="N190" i="1"/>
  <c r="N189" i="1"/>
  <c r="N188" i="1"/>
  <c r="N187" i="1"/>
  <c r="N186" i="1"/>
  <c r="N185" i="1"/>
  <c r="N184" i="1"/>
  <c r="N183" i="1"/>
  <c r="N182" i="1"/>
  <c r="N181" i="1"/>
  <c r="N180" i="1"/>
  <c r="N179" i="1"/>
  <c r="N178" i="1"/>
  <c r="N177" i="1"/>
  <c r="N176" i="1"/>
  <c r="N175" i="1"/>
  <c r="N174" i="1"/>
  <c r="N173" i="1"/>
  <c r="N172" i="1"/>
  <c r="N171" i="1"/>
  <c r="N170" i="1"/>
  <c r="N169" i="1"/>
  <c r="N168" i="1"/>
  <c r="N167" i="1"/>
  <c r="N166" i="1"/>
  <c r="N165" i="1"/>
  <c r="N164" i="1"/>
  <c r="N163" i="1"/>
  <c r="N162" i="1"/>
  <c r="N161" i="1"/>
  <c r="N160" i="1"/>
  <c r="N159" i="1"/>
  <c r="N158" i="1"/>
  <c r="N157" i="1"/>
  <c r="N156" i="1"/>
  <c r="N155" i="1"/>
  <c r="N154" i="1"/>
  <c r="N153" i="1"/>
  <c r="N152" i="1"/>
  <c r="N151" i="1"/>
  <c r="N150" i="1"/>
  <c r="N149" i="1"/>
  <c r="N148" i="1"/>
  <c r="N147" i="1"/>
  <c r="N146" i="1"/>
  <c r="N145" i="1"/>
  <c r="N144" i="1"/>
  <c r="N143" i="1"/>
  <c r="N142" i="1"/>
  <c r="N141" i="1"/>
  <c r="N140" i="1"/>
  <c r="N139" i="1"/>
  <c r="N138" i="1"/>
  <c r="N137" i="1"/>
  <c r="N136" i="1"/>
  <c r="N135" i="1"/>
  <c r="N134" i="1"/>
  <c r="N133" i="1"/>
  <c r="N132" i="1"/>
  <c r="N131" i="1"/>
  <c r="N130" i="1"/>
  <c r="N129" i="1"/>
  <c r="N126" i="1"/>
  <c r="N125" i="1"/>
  <c r="N124" i="1"/>
  <c r="N123" i="1"/>
  <c r="N122" i="1"/>
  <c r="N121" i="1"/>
  <c r="N120" i="1"/>
  <c r="N119" i="1"/>
  <c r="N118" i="1"/>
  <c r="N117" i="1"/>
  <c r="N116" i="1"/>
  <c r="N115" i="1"/>
  <c r="M206" i="1"/>
  <c r="M205" i="1"/>
  <c r="M204" i="1"/>
  <c r="M203" i="1"/>
  <c r="M202" i="1"/>
  <c r="M201" i="1"/>
  <c r="M200" i="1"/>
  <c r="M199" i="1"/>
  <c r="M198" i="1"/>
  <c r="M197" i="1"/>
  <c r="M196" i="1"/>
  <c r="M195" i="1"/>
  <c r="M194" i="1"/>
  <c r="M193" i="1"/>
  <c r="M192" i="1"/>
  <c r="M191" i="1"/>
  <c r="M190" i="1"/>
  <c r="M189" i="1"/>
  <c r="M188" i="1"/>
  <c r="M187" i="1"/>
  <c r="M186" i="1"/>
  <c r="M185" i="1"/>
  <c r="M184" i="1"/>
  <c r="M183" i="1"/>
  <c r="M182" i="1"/>
  <c r="M181" i="1"/>
  <c r="M180" i="1"/>
  <c r="M179" i="1"/>
  <c r="M178" i="1"/>
  <c r="M177" i="1"/>
  <c r="M176" i="1"/>
  <c r="M175" i="1"/>
  <c r="M174" i="1"/>
  <c r="M173" i="1"/>
  <c r="M172" i="1"/>
  <c r="M171" i="1"/>
  <c r="M170" i="1"/>
  <c r="M169" i="1"/>
  <c r="M168" i="1"/>
  <c r="M167" i="1"/>
  <c r="M166" i="1"/>
  <c r="M165" i="1"/>
  <c r="M164" i="1"/>
  <c r="M163" i="1"/>
  <c r="M162" i="1"/>
  <c r="M161" i="1"/>
  <c r="M160" i="1"/>
  <c r="M159" i="1"/>
  <c r="M158" i="1"/>
  <c r="M157" i="1"/>
  <c r="M156" i="1"/>
  <c r="M155" i="1"/>
  <c r="M154" i="1"/>
  <c r="M153" i="1"/>
  <c r="M152" i="1"/>
  <c r="M151" i="1"/>
  <c r="M150" i="1"/>
  <c r="M149" i="1"/>
  <c r="M148" i="1"/>
  <c r="M147" i="1"/>
  <c r="M146" i="1"/>
  <c r="M145" i="1"/>
  <c r="M144" i="1"/>
  <c r="M143" i="1"/>
  <c r="M142" i="1"/>
  <c r="M141" i="1"/>
  <c r="M140" i="1"/>
  <c r="M139" i="1"/>
  <c r="M138" i="1"/>
  <c r="M137" i="1"/>
  <c r="M136" i="1"/>
  <c r="M135" i="1"/>
  <c r="M134" i="1"/>
  <c r="M133" i="1"/>
  <c r="M132" i="1"/>
  <c r="M131" i="1"/>
  <c r="M130" i="1"/>
  <c r="M129" i="1"/>
  <c r="M128" i="1"/>
  <c r="M127" i="1"/>
  <c r="M126" i="1"/>
  <c r="M125" i="1"/>
  <c r="M124" i="1"/>
  <c r="M123" i="1"/>
  <c r="M122" i="1"/>
  <c r="M121" i="1"/>
  <c r="M120" i="1"/>
  <c r="M119" i="1"/>
  <c r="M118" i="1"/>
  <c r="M117" i="1"/>
  <c r="M116" i="1"/>
  <c r="M115" i="1"/>
  <c r="L206" i="1"/>
  <c r="L205" i="1"/>
  <c r="L204" i="1"/>
  <c r="L203" i="1"/>
  <c r="L202" i="1"/>
  <c r="L201" i="1"/>
  <c r="L200" i="1"/>
  <c r="L199" i="1"/>
  <c r="L198" i="1"/>
  <c r="L197" i="1"/>
  <c r="L196" i="1"/>
  <c r="L195" i="1"/>
  <c r="L194" i="1"/>
  <c r="L193" i="1"/>
  <c r="L192" i="1"/>
  <c r="L191" i="1"/>
  <c r="L190" i="1"/>
  <c r="L189" i="1"/>
  <c r="L188" i="1"/>
  <c r="L187" i="1"/>
  <c r="L186" i="1"/>
  <c r="L185" i="1"/>
  <c r="L184" i="1"/>
  <c r="L183" i="1"/>
  <c r="L182" i="1"/>
  <c r="L181" i="1"/>
  <c r="L180" i="1"/>
  <c r="L179" i="1"/>
  <c r="L178" i="1"/>
  <c r="L177" i="1"/>
  <c r="L176" i="1"/>
  <c r="L175" i="1"/>
  <c r="L174" i="1"/>
  <c r="L173" i="1"/>
  <c r="L172" i="1"/>
  <c r="L171" i="1"/>
  <c r="L170" i="1"/>
  <c r="L169" i="1"/>
  <c r="L168" i="1"/>
  <c r="L167" i="1"/>
  <c r="L166" i="1"/>
  <c r="L165" i="1"/>
  <c r="L164" i="1"/>
  <c r="L163" i="1"/>
  <c r="L162" i="1"/>
  <c r="L161" i="1"/>
  <c r="L160" i="1"/>
  <c r="L159" i="1"/>
  <c r="L158" i="1"/>
  <c r="L157" i="1"/>
  <c r="L156" i="1"/>
  <c r="L155" i="1"/>
  <c r="L154" i="1"/>
  <c r="L153" i="1"/>
  <c r="L152" i="1"/>
  <c r="L151" i="1"/>
  <c r="L150" i="1"/>
  <c r="L149" i="1"/>
  <c r="L148" i="1"/>
  <c r="L147" i="1"/>
  <c r="L146" i="1"/>
  <c r="L145" i="1"/>
  <c r="L144" i="1"/>
  <c r="L143" i="1"/>
  <c r="L142" i="1"/>
  <c r="L141" i="1"/>
  <c r="L140" i="1"/>
  <c r="L139" i="1"/>
  <c r="L138" i="1"/>
  <c r="L137" i="1"/>
  <c r="L136" i="1"/>
  <c r="L135" i="1"/>
  <c r="L134" i="1"/>
  <c r="L133" i="1"/>
  <c r="L132" i="1"/>
  <c r="L131" i="1"/>
  <c r="L130" i="1"/>
  <c r="L129" i="1"/>
  <c r="L128" i="1"/>
  <c r="L127" i="1"/>
  <c r="L126" i="1"/>
  <c r="L125" i="1"/>
  <c r="L124" i="1"/>
  <c r="L123" i="1"/>
  <c r="L122" i="1"/>
  <c r="L121" i="1"/>
  <c r="L120" i="1"/>
  <c r="L119" i="1"/>
  <c r="L118" i="1"/>
  <c r="L117" i="1"/>
  <c r="L116" i="1"/>
  <c r="L115" i="1"/>
  <c r="K206" i="1"/>
  <c r="K205" i="1"/>
  <c r="K204" i="1"/>
  <c r="K203" i="1"/>
  <c r="K202" i="1"/>
  <c r="K201" i="1"/>
  <c r="K200" i="1"/>
  <c r="K199" i="1"/>
  <c r="K198" i="1"/>
  <c r="K197" i="1"/>
  <c r="K196" i="1"/>
  <c r="K195" i="1"/>
  <c r="K194" i="1"/>
  <c r="K193" i="1"/>
  <c r="K192" i="1"/>
  <c r="K191" i="1"/>
  <c r="K190" i="1"/>
  <c r="K189" i="1"/>
  <c r="K188" i="1"/>
  <c r="K187" i="1"/>
  <c r="K186" i="1"/>
  <c r="K185" i="1"/>
  <c r="K184" i="1"/>
  <c r="K183" i="1"/>
  <c r="K182" i="1"/>
  <c r="K181" i="1"/>
  <c r="K180" i="1"/>
  <c r="K179" i="1"/>
  <c r="K178" i="1"/>
  <c r="K177" i="1"/>
  <c r="K176" i="1"/>
  <c r="K175" i="1"/>
  <c r="K174" i="1"/>
  <c r="K173" i="1"/>
  <c r="K172" i="1"/>
  <c r="K171" i="1"/>
  <c r="K170" i="1"/>
  <c r="K169" i="1"/>
  <c r="K168" i="1"/>
  <c r="K167" i="1"/>
  <c r="K166" i="1"/>
  <c r="K165" i="1"/>
  <c r="K164" i="1"/>
  <c r="K163" i="1"/>
  <c r="K162" i="1"/>
  <c r="K161" i="1"/>
  <c r="K160" i="1"/>
  <c r="K159" i="1"/>
  <c r="K158" i="1"/>
  <c r="K157" i="1"/>
  <c r="K156" i="1"/>
  <c r="K155" i="1"/>
  <c r="K154" i="1"/>
  <c r="K153" i="1"/>
  <c r="K152" i="1"/>
  <c r="K151" i="1"/>
  <c r="K150" i="1"/>
  <c r="K149" i="1"/>
  <c r="K148" i="1"/>
  <c r="K147" i="1"/>
  <c r="K146" i="1"/>
  <c r="K145" i="1"/>
  <c r="K144" i="1"/>
  <c r="K143" i="1"/>
  <c r="K142" i="1"/>
  <c r="K141" i="1"/>
  <c r="K140" i="1"/>
  <c r="K139" i="1"/>
  <c r="K138" i="1"/>
  <c r="K137" i="1"/>
  <c r="K136" i="1"/>
  <c r="K135" i="1"/>
  <c r="K134" i="1"/>
  <c r="K133" i="1"/>
  <c r="K132" i="1"/>
  <c r="K131" i="1"/>
  <c r="K130" i="1"/>
  <c r="K129" i="1"/>
  <c r="K128" i="1"/>
  <c r="K127" i="1"/>
  <c r="K126" i="1"/>
  <c r="K125" i="1"/>
  <c r="K124" i="1"/>
  <c r="K123" i="1"/>
  <c r="K122" i="1"/>
  <c r="K121" i="1"/>
  <c r="K120" i="1"/>
  <c r="K119" i="1"/>
  <c r="K118" i="1"/>
  <c r="K117" i="1"/>
  <c r="K116" i="1"/>
  <c r="K115" i="1"/>
  <c r="J206" i="1"/>
  <c r="J205" i="1"/>
  <c r="J204" i="1"/>
  <c r="J203" i="1"/>
  <c r="J202" i="1"/>
  <c r="J201" i="1"/>
  <c r="J200" i="1"/>
  <c r="J199" i="1"/>
  <c r="J198" i="1"/>
  <c r="J197" i="1"/>
  <c r="J196" i="1"/>
  <c r="J195" i="1"/>
  <c r="J194" i="1"/>
  <c r="J193" i="1"/>
  <c r="J192" i="1"/>
  <c r="J191" i="1"/>
  <c r="J190" i="1"/>
  <c r="J189" i="1"/>
  <c r="J188" i="1"/>
  <c r="J187" i="1"/>
  <c r="J186" i="1"/>
  <c r="J185" i="1"/>
  <c r="J184" i="1"/>
  <c r="J183" i="1"/>
  <c r="J182" i="1"/>
  <c r="J181" i="1"/>
  <c r="J180" i="1"/>
  <c r="J179" i="1"/>
  <c r="J178" i="1"/>
  <c r="J177" i="1"/>
  <c r="J176" i="1"/>
  <c r="J175" i="1"/>
  <c r="J174" i="1"/>
  <c r="J173" i="1"/>
  <c r="J172" i="1"/>
  <c r="J171" i="1"/>
  <c r="J170" i="1"/>
  <c r="J169" i="1"/>
  <c r="J168" i="1"/>
  <c r="J167" i="1"/>
  <c r="J166" i="1"/>
  <c r="J165" i="1"/>
  <c r="J164" i="1"/>
  <c r="J163" i="1"/>
  <c r="J162" i="1"/>
  <c r="J161" i="1"/>
  <c r="J160" i="1"/>
  <c r="J159" i="1"/>
  <c r="J158" i="1"/>
  <c r="J157" i="1"/>
  <c r="J156" i="1"/>
  <c r="J155" i="1"/>
  <c r="J154" i="1"/>
  <c r="J153" i="1"/>
  <c r="J152" i="1"/>
  <c r="J151" i="1"/>
  <c r="J150" i="1"/>
  <c r="J149" i="1"/>
  <c r="J148" i="1"/>
  <c r="J147" i="1"/>
  <c r="J146" i="1"/>
  <c r="J145" i="1"/>
  <c r="J144" i="1"/>
  <c r="J143" i="1"/>
  <c r="J142" i="1"/>
  <c r="J141" i="1"/>
  <c r="J140" i="1"/>
  <c r="J139" i="1"/>
  <c r="J138" i="1"/>
  <c r="J137" i="1"/>
  <c r="J136" i="1"/>
  <c r="J135" i="1"/>
  <c r="J134" i="1"/>
  <c r="J133" i="1"/>
  <c r="J132" i="1"/>
  <c r="J131" i="1"/>
  <c r="J130" i="1"/>
  <c r="J129" i="1"/>
  <c r="J128" i="1"/>
  <c r="J127" i="1"/>
  <c r="J126" i="1"/>
  <c r="J125" i="1"/>
  <c r="J124" i="1"/>
  <c r="J123" i="1"/>
  <c r="J122" i="1"/>
  <c r="J121" i="1"/>
  <c r="J120" i="1"/>
  <c r="J119" i="1"/>
  <c r="J118" i="1"/>
  <c r="J117" i="1"/>
  <c r="J116" i="1"/>
  <c r="J115" i="1"/>
  <c r="I206" i="1"/>
  <c r="I205" i="1"/>
  <c r="I204" i="1"/>
  <c r="I203" i="1"/>
  <c r="I202" i="1"/>
  <c r="I201" i="1"/>
  <c r="I200" i="1"/>
  <c r="I199" i="1"/>
  <c r="I198" i="1"/>
  <c r="I197" i="1"/>
  <c r="I196" i="1"/>
  <c r="I195" i="1"/>
  <c r="I194" i="1"/>
  <c r="I193" i="1"/>
  <c r="I192" i="1"/>
  <c r="I191" i="1"/>
  <c r="I190" i="1"/>
  <c r="I189" i="1"/>
  <c r="I188" i="1"/>
  <c r="I187" i="1"/>
  <c r="I186" i="1"/>
  <c r="I185" i="1"/>
  <c r="I184" i="1"/>
  <c r="I183" i="1"/>
  <c r="I182" i="1"/>
  <c r="I181" i="1"/>
  <c r="I180" i="1"/>
  <c r="I179" i="1"/>
  <c r="I178" i="1"/>
  <c r="I177" i="1"/>
  <c r="I176" i="1"/>
  <c r="I175" i="1"/>
  <c r="I174" i="1"/>
  <c r="I173" i="1"/>
  <c r="I172" i="1"/>
  <c r="I171" i="1"/>
  <c r="I170" i="1"/>
  <c r="I169" i="1"/>
  <c r="I168" i="1"/>
  <c r="I167" i="1"/>
  <c r="I166" i="1"/>
  <c r="I165" i="1"/>
  <c r="I164" i="1"/>
  <c r="I163" i="1"/>
  <c r="I162" i="1"/>
  <c r="I161" i="1"/>
  <c r="I160" i="1"/>
  <c r="I159" i="1"/>
  <c r="I158" i="1"/>
  <c r="I157" i="1"/>
  <c r="I156" i="1"/>
  <c r="I155" i="1"/>
  <c r="I154" i="1"/>
  <c r="I153" i="1"/>
  <c r="I152" i="1"/>
  <c r="I151" i="1"/>
  <c r="I150" i="1"/>
  <c r="I149" i="1"/>
  <c r="I148" i="1"/>
  <c r="I147" i="1"/>
  <c r="I146" i="1"/>
  <c r="I145" i="1"/>
  <c r="I144" i="1"/>
  <c r="I143" i="1"/>
  <c r="I142" i="1"/>
  <c r="I141" i="1"/>
  <c r="I140" i="1"/>
  <c r="I139" i="1"/>
  <c r="I138" i="1"/>
  <c r="I137" i="1"/>
  <c r="I136" i="1"/>
  <c r="I135" i="1"/>
  <c r="I134" i="1"/>
  <c r="I133" i="1"/>
  <c r="I132" i="1"/>
  <c r="I131" i="1"/>
  <c r="I130" i="1"/>
  <c r="I129" i="1"/>
  <c r="I128" i="1"/>
  <c r="I127" i="1"/>
  <c r="I126" i="1"/>
  <c r="I125" i="1"/>
  <c r="I124" i="1"/>
  <c r="I123" i="1"/>
  <c r="I122" i="1"/>
  <c r="I121" i="1"/>
  <c r="I120" i="1"/>
  <c r="I119" i="1"/>
  <c r="I118" i="1"/>
  <c r="I117" i="1"/>
  <c r="I116" i="1"/>
  <c r="I115" i="1"/>
  <c r="H206" i="1"/>
  <c r="H205" i="1"/>
  <c r="H204" i="1"/>
  <c r="H203" i="1"/>
  <c r="H202" i="1"/>
  <c r="H201" i="1"/>
  <c r="H200" i="1"/>
  <c r="H199" i="1"/>
  <c r="H198" i="1"/>
  <c r="H197" i="1"/>
  <c r="H196" i="1"/>
  <c r="H195" i="1"/>
  <c r="H194" i="1"/>
  <c r="H193" i="1"/>
  <c r="H192" i="1"/>
  <c r="H191" i="1"/>
  <c r="H190" i="1"/>
  <c r="H189" i="1"/>
  <c r="H188" i="1"/>
  <c r="H187" i="1"/>
  <c r="H186" i="1"/>
  <c r="H185" i="1"/>
  <c r="H184" i="1"/>
  <c r="H183" i="1"/>
  <c r="H182" i="1"/>
  <c r="H181" i="1"/>
  <c r="H180" i="1"/>
  <c r="H179" i="1"/>
  <c r="H178" i="1"/>
  <c r="H177" i="1"/>
  <c r="H176" i="1"/>
  <c r="H175" i="1"/>
  <c r="H174" i="1"/>
  <c r="H173" i="1"/>
  <c r="H172" i="1"/>
  <c r="H171" i="1"/>
  <c r="H170" i="1"/>
  <c r="H169" i="1"/>
  <c r="H168" i="1"/>
  <c r="H167" i="1"/>
  <c r="H166" i="1"/>
  <c r="H165" i="1"/>
  <c r="H164" i="1"/>
  <c r="H163" i="1"/>
  <c r="H162" i="1"/>
  <c r="H161" i="1"/>
  <c r="H160" i="1"/>
  <c r="H159" i="1"/>
  <c r="H158" i="1"/>
  <c r="H157" i="1"/>
  <c r="H156" i="1"/>
  <c r="H155" i="1"/>
  <c r="H154" i="1"/>
  <c r="H153" i="1"/>
  <c r="H152" i="1"/>
  <c r="H151" i="1"/>
  <c r="H150" i="1"/>
  <c r="H149" i="1"/>
  <c r="H148" i="1"/>
  <c r="H147" i="1"/>
  <c r="H146" i="1"/>
  <c r="H145" i="1"/>
  <c r="H144" i="1"/>
  <c r="H143" i="1"/>
  <c r="H142" i="1"/>
  <c r="H141" i="1"/>
  <c r="H140" i="1"/>
  <c r="H139" i="1"/>
  <c r="H138" i="1"/>
  <c r="H137" i="1"/>
  <c r="H136" i="1"/>
  <c r="H135" i="1"/>
  <c r="H134" i="1"/>
  <c r="H133" i="1"/>
  <c r="H132" i="1"/>
  <c r="H131" i="1"/>
  <c r="H130" i="1"/>
  <c r="H129" i="1"/>
  <c r="H128" i="1"/>
  <c r="H127" i="1"/>
  <c r="H126" i="1"/>
  <c r="H125" i="1"/>
  <c r="H124" i="1"/>
  <c r="H123" i="1"/>
  <c r="H122" i="1"/>
  <c r="H121" i="1"/>
  <c r="H120" i="1"/>
  <c r="H119" i="1"/>
  <c r="H118" i="1"/>
  <c r="H117" i="1"/>
  <c r="H116" i="1"/>
  <c r="H115" i="1"/>
  <c r="G206" i="1"/>
  <c r="G205" i="1"/>
  <c r="G204" i="1"/>
  <c r="G203" i="1"/>
  <c r="G202" i="1"/>
  <c r="G201" i="1"/>
  <c r="G200" i="1"/>
  <c r="G199" i="1"/>
  <c r="G198" i="1"/>
  <c r="G197" i="1"/>
  <c r="G196" i="1"/>
  <c r="G195" i="1"/>
  <c r="G194" i="1"/>
  <c r="G193" i="1"/>
  <c r="G192" i="1"/>
  <c r="G191" i="1"/>
  <c r="G190" i="1"/>
  <c r="G189" i="1"/>
  <c r="G188" i="1"/>
  <c r="G187" i="1"/>
  <c r="G186" i="1"/>
  <c r="G185" i="1"/>
  <c r="G184" i="1"/>
  <c r="G183" i="1"/>
  <c r="G182" i="1"/>
  <c r="G181" i="1"/>
  <c r="G180" i="1"/>
  <c r="G179" i="1"/>
  <c r="G178" i="1"/>
  <c r="G177" i="1"/>
  <c r="G176" i="1"/>
  <c r="G175" i="1"/>
  <c r="G174" i="1"/>
  <c r="G173" i="1"/>
  <c r="G172" i="1"/>
  <c r="G171" i="1"/>
  <c r="G170" i="1"/>
  <c r="G169" i="1"/>
  <c r="G168" i="1"/>
  <c r="G167" i="1"/>
  <c r="G166" i="1"/>
  <c r="G165" i="1"/>
  <c r="G164" i="1"/>
  <c r="G163" i="1"/>
  <c r="G162" i="1"/>
  <c r="G161" i="1"/>
  <c r="G160" i="1"/>
  <c r="G159" i="1"/>
  <c r="G158" i="1"/>
  <c r="G157" i="1"/>
  <c r="G156" i="1"/>
  <c r="G155" i="1"/>
  <c r="G154" i="1"/>
  <c r="G153" i="1"/>
  <c r="G152" i="1"/>
  <c r="G151" i="1"/>
  <c r="G150" i="1"/>
  <c r="G149" i="1"/>
  <c r="G148" i="1"/>
  <c r="G147" i="1"/>
  <c r="G146" i="1"/>
  <c r="G145" i="1"/>
  <c r="G144" i="1"/>
  <c r="G143" i="1"/>
  <c r="G142" i="1"/>
  <c r="G141" i="1"/>
  <c r="G140" i="1"/>
  <c r="G139" i="1"/>
  <c r="G138" i="1"/>
  <c r="G137" i="1"/>
  <c r="G136" i="1"/>
  <c r="G135" i="1"/>
  <c r="G134" i="1"/>
  <c r="G133" i="1"/>
  <c r="G132" i="1"/>
  <c r="G131" i="1"/>
  <c r="G130" i="1"/>
  <c r="G129" i="1"/>
  <c r="G128" i="1"/>
  <c r="G127" i="1"/>
  <c r="G126" i="1"/>
  <c r="G125" i="1"/>
  <c r="G124" i="1"/>
  <c r="G123" i="1"/>
  <c r="G122" i="1"/>
  <c r="G121" i="1"/>
  <c r="G120" i="1"/>
  <c r="G119" i="1"/>
  <c r="G118" i="1"/>
  <c r="G117" i="1"/>
  <c r="G116" i="1"/>
  <c r="G115" i="1"/>
  <c r="F206" i="1"/>
  <c r="F205" i="1"/>
  <c r="F204" i="1"/>
  <c r="F203" i="1"/>
  <c r="F202" i="1"/>
  <c r="F201" i="1"/>
  <c r="F200" i="1"/>
  <c r="F199" i="1"/>
  <c r="F198" i="1"/>
  <c r="F197" i="1"/>
  <c r="F196" i="1"/>
  <c r="F195" i="1"/>
  <c r="F194" i="1"/>
  <c r="F193" i="1"/>
  <c r="F192" i="1"/>
  <c r="F191" i="1"/>
  <c r="F190" i="1"/>
  <c r="F189" i="1"/>
  <c r="F188" i="1"/>
  <c r="F187" i="1"/>
  <c r="F186" i="1"/>
  <c r="F185" i="1"/>
  <c r="F184" i="1"/>
  <c r="F183" i="1"/>
  <c r="F182" i="1"/>
  <c r="F181" i="1"/>
  <c r="F180" i="1"/>
  <c r="F179" i="1"/>
  <c r="F178" i="1"/>
  <c r="F177" i="1"/>
  <c r="F176" i="1"/>
  <c r="F175" i="1"/>
  <c r="F174" i="1"/>
  <c r="F173" i="1"/>
  <c r="F172" i="1"/>
  <c r="F171" i="1"/>
  <c r="F170" i="1"/>
  <c r="F169" i="1"/>
  <c r="F168" i="1"/>
  <c r="F167" i="1"/>
  <c r="F166" i="1"/>
  <c r="F165" i="1"/>
  <c r="F164" i="1"/>
  <c r="F163" i="1"/>
  <c r="F162" i="1"/>
  <c r="F161" i="1"/>
  <c r="F160" i="1"/>
  <c r="F159" i="1"/>
  <c r="F158" i="1"/>
  <c r="F157" i="1"/>
  <c r="F156" i="1"/>
  <c r="F155" i="1"/>
  <c r="F154" i="1"/>
  <c r="F153" i="1"/>
  <c r="F152" i="1"/>
  <c r="F151" i="1"/>
  <c r="F150" i="1"/>
  <c r="F149" i="1"/>
  <c r="F148" i="1"/>
  <c r="F147" i="1"/>
  <c r="F146" i="1"/>
  <c r="F145" i="1"/>
  <c r="F144" i="1"/>
  <c r="F143" i="1"/>
  <c r="F142" i="1"/>
  <c r="F141" i="1"/>
  <c r="F140" i="1"/>
  <c r="F139" i="1"/>
  <c r="F138" i="1"/>
  <c r="F137" i="1"/>
  <c r="F136" i="1"/>
  <c r="F135" i="1"/>
  <c r="F134" i="1"/>
  <c r="F133" i="1"/>
  <c r="F132" i="1"/>
  <c r="F131" i="1"/>
  <c r="F130" i="1"/>
  <c r="F129" i="1"/>
  <c r="F128" i="1"/>
  <c r="F127" i="1"/>
  <c r="F126" i="1"/>
  <c r="F125" i="1"/>
  <c r="F124" i="1"/>
  <c r="F123" i="1"/>
  <c r="F122" i="1"/>
  <c r="F121" i="1"/>
  <c r="F120" i="1"/>
  <c r="F119" i="1"/>
  <c r="F118" i="1"/>
  <c r="F117" i="1"/>
  <c r="F116" i="1"/>
  <c r="F115" i="1"/>
  <c r="E206" i="1"/>
  <c r="E205" i="1"/>
  <c r="E204" i="1"/>
  <c r="E203" i="1"/>
  <c r="E202" i="1"/>
  <c r="E201" i="1"/>
  <c r="E200" i="1"/>
  <c r="E199" i="1"/>
  <c r="E198" i="1"/>
  <c r="E197" i="1"/>
  <c r="E196" i="1"/>
  <c r="E195" i="1"/>
  <c r="E194" i="1"/>
  <c r="E193" i="1"/>
  <c r="E192" i="1"/>
  <c r="E191" i="1"/>
  <c r="E190" i="1"/>
  <c r="E189" i="1"/>
  <c r="E188" i="1"/>
  <c r="E187" i="1"/>
  <c r="E186" i="1"/>
  <c r="E185" i="1"/>
  <c r="E184" i="1"/>
  <c r="E183" i="1"/>
  <c r="E182" i="1"/>
  <c r="E181" i="1"/>
  <c r="E180" i="1"/>
  <c r="E179" i="1"/>
  <c r="E178" i="1"/>
  <c r="E177" i="1"/>
  <c r="E176" i="1"/>
  <c r="E175" i="1"/>
  <c r="E174" i="1"/>
  <c r="E173" i="1"/>
  <c r="E172" i="1"/>
  <c r="E171" i="1"/>
  <c r="E170" i="1"/>
  <c r="E169" i="1"/>
  <c r="E168" i="1"/>
  <c r="E167" i="1"/>
  <c r="E166" i="1"/>
  <c r="E165" i="1"/>
  <c r="E164" i="1"/>
  <c r="E163" i="1"/>
  <c r="E162" i="1"/>
  <c r="E161" i="1"/>
  <c r="E160" i="1"/>
  <c r="E159" i="1"/>
  <c r="E158" i="1"/>
  <c r="E157" i="1"/>
  <c r="E156" i="1"/>
  <c r="E155" i="1"/>
  <c r="E154" i="1"/>
  <c r="E153" i="1"/>
  <c r="E152" i="1"/>
  <c r="E151" i="1"/>
  <c r="E150" i="1"/>
  <c r="E149" i="1"/>
  <c r="E148" i="1"/>
  <c r="E147" i="1"/>
  <c r="E146" i="1"/>
  <c r="E145" i="1"/>
  <c r="E144" i="1"/>
  <c r="E143" i="1"/>
  <c r="E142" i="1"/>
  <c r="E141" i="1"/>
  <c r="E140" i="1"/>
  <c r="E139" i="1"/>
  <c r="E138" i="1"/>
  <c r="E137" i="1"/>
  <c r="E136" i="1"/>
  <c r="E135" i="1"/>
  <c r="E134" i="1"/>
  <c r="E133" i="1"/>
  <c r="E132" i="1"/>
  <c r="E131" i="1"/>
  <c r="E130" i="1"/>
  <c r="E129" i="1"/>
  <c r="E128" i="1"/>
  <c r="E127" i="1"/>
  <c r="E126" i="1"/>
  <c r="E125" i="1"/>
  <c r="E124" i="1"/>
  <c r="E123" i="1"/>
  <c r="E122" i="1"/>
  <c r="E121" i="1"/>
  <c r="E120" i="1"/>
  <c r="E119" i="1"/>
  <c r="E118" i="1"/>
  <c r="E117" i="1"/>
  <c r="E116" i="1"/>
  <c r="E115" i="1"/>
  <c r="W44" i="4"/>
  <c r="W43" i="4"/>
  <c r="D23" i="20"/>
  <c r="W38" i="4"/>
  <c r="W37" i="4"/>
  <c r="W36" i="4"/>
  <c r="W35" i="4"/>
  <c r="W34" i="4"/>
  <c r="W33" i="4"/>
  <c r="W32" i="4"/>
  <c r="W31" i="4"/>
  <c r="W30" i="4"/>
  <c r="W29" i="4"/>
  <c r="W28" i="4"/>
  <c r="W27" i="4"/>
  <c r="V44" i="4"/>
  <c r="V43" i="4"/>
  <c r="D22" i="20"/>
  <c r="V38" i="4"/>
  <c r="V37" i="4"/>
  <c r="V36" i="4"/>
  <c r="V35" i="4"/>
  <c r="V34" i="4"/>
  <c r="V33" i="4"/>
  <c r="V32" i="4"/>
  <c r="V31" i="4"/>
  <c r="V30" i="4"/>
  <c r="V29" i="4"/>
  <c r="V28" i="4"/>
  <c r="V27" i="4"/>
  <c r="U44" i="4"/>
  <c r="U43" i="4"/>
  <c r="D21" i="20"/>
  <c r="U38" i="4"/>
  <c r="U37" i="4"/>
  <c r="U36" i="4"/>
  <c r="U35" i="4"/>
  <c r="U34" i="4"/>
  <c r="U33" i="4"/>
  <c r="U32" i="4"/>
  <c r="U31" i="4"/>
  <c r="U30" i="4"/>
  <c r="U29" i="4"/>
  <c r="U28" i="4"/>
  <c r="U27" i="4"/>
  <c r="T44" i="4"/>
  <c r="T43" i="4"/>
  <c r="D20" i="20"/>
  <c r="T38" i="4"/>
  <c r="T37" i="4"/>
  <c r="T36" i="4"/>
  <c r="T35" i="4"/>
  <c r="T34" i="4"/>
  <c r="T33" i="4"/>
  <c r="T32" i="4"/>
  <c r="T31" i="4"/>
  <c r="T30" i="4"/>
  <c r="T29" i="4"/>
  <c r="T28" i="4"/>
  <c r="T27" i="4"/>
  <c r="S44" i="4"/>
  <c r="S43" i="4"/>
  <c r="D19" i="20"/>
  <c r="S38" i="4"/>
  <c r="S37" i="4"/>
  <c r="S36" i="4"/>
  <c r="S35" i="4"/>
  <c r="S34" i="4"/>
  <c r="S33" i="4"/>
  <c r="S32" i="4"/>
  <c r="S31" i="4"/>
  <c r="S30" i="4"/>
  <c r="S29" i="4"/>
  <c r="S28" i="4"/>
  <c r="S27" i="4"/>
  <c r="R44" i="4"/>
  <c r="R43" i="4"/>
  <c r="D18" i="20"/>
  <c r="R38" i="4"/>
  <c r="R37" i="4"/>
  <c r="R36" i="4"/>
  <c r="R35" i="4"/>
  <c r="R34" i="4"/>
  <c r="R33" i="4"/>
  <c r="R32" i="4"/>
  <c r="R31" i="4"/>
  <c r="R30" i="4"/>
  <c r="R29" i="4"/>
  <c r="R28" i="4"/>
  <c r="R27" i="4"/>
  <c r="Q38" i="4"/>
  <c r="Q37" i="4"/>
  <c r="Q36" i="4"/>
  <c r="Q35" i="4"/>
  <c r="Q34" i="4"/>
  <c r="Q33" i="4"/>
  <c r="Q31" i="4"/>
  <c r="Q30" i="4"/>
  <c r="Q29" i="4"/>
  <c r="Q28" i="4"/>
  <c r="Q27" i="4"/>
  <c r="P38" i="4"/>
  <c r="P37" i="4"/>
  <c r="P36" i="4"/>
  <c r="P35" i="4"/>
  <c r="P34" i="4"/>
  <c r="P33" i="4"/>
  <c r="P31" i="4"/>
  <c r="P30" i="4"/>
  <c r="P29" i="4"/>
  <c r="P28" i="4"/>
  <c r="P27" i="4"/>
  <c r="O38" i="4"/>
  <c r="O37" i="4"/>
  <c r="O36" i="4"/>
  <c r="O35" i="4"/>
  <c r="O34" i="4"/>
  <c r="O33" i="4"/>
  <c r="O32" i="4"/>
  <c r="O30" i="4"/>
  <c r="O29" i="4"/>
  <c r="O28" i="4"/>
  <c r="O27" i="4"/>
  <c r="N38" i="4"/>
  <c r="N37" i="4"/>
  <c r="N36" i="4"/>
  <c r="N35" i="4"/>
  <c r="N34" i="4"/>
  <c r="N33" i="4"/>
  <c r="N32" i="4"/>
  <c r="N30" i="4"/>
  <c r="N29" i="4"/>
  <c r="N28" i="4"/>
  <c r="N27" i="4"/>
  <c r="M38" i="4"/>
  <c r="M37" i="4"/>
  <c r="M36" i="4"/>
  <c r="M35" i="4"/>
  <c r="M34" i="4"/>
  <c r="M33" i="4"/>
  <c r="M32" i="4"/>
  <c r="M30" i="4"/>
  <c r="M29" i="4"/>
  <c r="M28" i="4"/>
  <c r="M27" i="4"/>
  <c r="L38" i="4"/>
  <c r="L37" i="4"/>
  <c r="L36" i="4"/>
  <c r="L35" i="4"/>
  <c r="L34" i="4"/>
  <c r="L33" i="4"/>
  <c r="L32" i="4"/>
  <c r="L30" i="4"/>
  <c r="L29" i="4"/>
  <c r="L28" i="4"/>
  <c r="L27" i="4"/>
  <c r="K38" i="4"/>
  <c r="K37" i="4"/>
  <c r="K36" i="4"/>
  <c r="K35" i="4"/>
  <c r="K34" i="4"/>
  <c r="K33" i="4"/>
  <c r="K32" i="4"/>
  <c r="K31" i="4"/>
  <c r="K29" i="4"/>
  <c r="K28" i="4"/>
  <c r="K27" i="4"/>
  <c r="J38" i="4"/>
  <c r="J37" i="4"/>
  <c r="J36" i="4"/>
  <c r="J35" i="4"/>
  <c r="J34" i="4"/>
  <c r="J33" i="4"/>
  <c r="J32" i="4"/>
  <c r="J31" i="4"/>
  <c r="J29" i="4"/>
  <c r="J28" i="4"/>
  <c r="J27" i="4"/>
  <c r="I38" i="4"/>
  <c r="I37" i="4"/>
  <c r="I36" i="4"/>
  <c r="I35" i="4"/>
  <c r="I34" i="4"/>
  <c r="I33" i="4"/>
  <c r="I32" i="4"/>
  <c r="I31" i="4"/>
  <c r="I29" i="4"/>
  <c r="I28" i="4"/>
  <c r="I27" i="4"/>
  <c r="H44" i="4"/>
  <c r="H43" i="4"/>
  <c r="D8" i="20"/>
  <c r="H38" i="4"/>
  <c r="H37" i="4"/>
  <c r="H36" i="4"/>
  <c r="H35" i="4"/>
  <c r="H34" i="4"/>
  <c r="H33" i="4"/>
  <c r="H32" i="4"/>
  <c r="H31" i="4"/>
  <c r="H30" i="4"/>
  <c r="H29" i="4"/>
  <c r="H28" i="4"/>
  <c r="H27" i="4"/>
  <c r="G38" i="4"/>
  <c r="G37" i="4"/>
  <c r="G36" i="4"/>
  <c r="G35" i="4"/>
  <c r="G34" i="4"/>
  <c r="G33" i="4"/>
  <c r="G32" i="4"/>
  <c r="G31" i="4"/>
  <c r="G30" i="4"/>
  <c r="G29" i="4"/>
  <c r="G27" i="4"/>
  <c r="F38" i="4"/>
  <c r="F37" i="4"/>
  <c r="F36" i="4"/>
  <c r="F35" i="4"/>
  <c r="F34" i="4"/>
  <c r="F33" i="4"/>
  <c r="F32" i="4"/>
  <c r="F31" i="4"/>
  <c r="F30" i="4"/>
  <c r="F29" i="4"/>
  <c r="F27" i="4"/>
  <c r="E38" i="4"/>
  <c r="E37" i="4"/>
  <c r="E36" i="4"/>
  <c r="E35" i="4"/>
  <c r="E34" i="4"/>
  <c r="E33" i="4"/>
  <c r="E32" i="4"/>
  <c r="E31" i="4"/>
  <c r="E30" i="4"/>
  <c r="E29" i="4"/>
  <c r="E28" i="4"/>
  <c r="D44" i="4"/>
  <c r="D43" i="4"/>
  <c r="D4" i="20"/>
  <c r="D38" i="4"/>
  <c r="D37" i="4"/>
  <c r="D36" i="4"/>
  <c r="D35" i="4"/>
  <c r="D34" i="4"/>
  <c r="D33" i="4"/>
  <c r="D32" i="4"/>
  <c r="D31" i="4"/>
  <c r="D30" i="4"/>
  <c r="D29" i="4"/>
  <c r="D28" i="4"/>
  <c r="D27" i="4"/>
  <c r="X44" i="4"/>
  <c r="X43" i="4"/>
  <c r="CI186" i="1"/>
  <c r="CI177" i="1"/>
  <c r="CI170" i="1"/>
  <c r="CI149" i="1"/>
  <c r="CI125" i="1"/>
  <c r="CI123" i="1"/>
  <c r="AO135" i="1"/>
  <c r="Z128" i="1"/>
  <c r="N127" i="1"/>
  <c r="O135" i="1"/>
  <c r="E438" i="5" l="1"/>
  <c r="E437" i="5"/>
  <c r="E444" i="5"/>
  <c r="E455" i="5" s="1"/>
  <c r="E443" i="5"/>
  <c r="E423" i="5"/>
  <c r="E442" i="5"/>
  <c r="E441" i="5"/>
  <c r="E440" i="5"/>
  <c r="E439" i="5"/>
  <c r="CI157" i="1"/>
  <c r="E424" i="5"/>
  <c r="E422" i="5"/>
  <c r="CI169" i="1"/>
  <c r="CI150" i="1"/>
  <c r="CI151" i="1"/>
  <c r="CI152" i="1"/>
  <c r="CI148" i="1"/>
  <c r="CI136" i="1"/>
  <c r="CI126" i="1"/>
  <c r="CI124" i="1"/>
  <c r="CI116" i="1"/>
  <c r="CI122" i="1"/>
  <c r="CI162" i="1"/>
  <c r="CI119" i="1"/>
  <c r="CI168" i="1"/>
  <c r="CI120" i="1"/>
  <c r="CI121" i="1"/>
  <c r="CI179" i="1"/>
  <c r="CI166" i="1"/>
  <c r="CI115" i="1"/>
  <c r="CI118" i="1"/>
  <c r="CI117" i="1"/>
  <c r="CI145" i="1"/>
  <c r="E72" i="5"/>
  <c r="E73" i="5"/>
  <c r="E74" i="5"/>
  <c r="CI140" i="1" s="1"/>
  <c r="CI141" i="1"/>
  <c r="AO136" i="1"/>
  <c r="CL136" i="1" s="1"/>
  <c r="CT135" i="1"/>
  <c r="CS136" i="1"/>
  <c r="AO141" i="1"/>
  <c r="CK141" i="1" s="1"/>
  <c r="AO128" i="1"/>
  <c r="N128" i="1"/>
  <c r="CN135" i="1"/>
  <c r="CU135" i="1"/>
  <c r="CM135" i="1"/>
  <c r="CI134" i="1"/>
  <c r="CI137" i="1"/>
  <c r="CM136" i="1"/>
  <c r="CU136" i="1"/>
  <c r="AO142" i="1"/>
  <c r="CU142" i="1" s="1"/>
  <c r="CR135" i="1"/>
  <c r="CO136" i="1"/>
  <c r="CI138" i="1"/>
  <c r="CP135" i="1"/>
  <c r="CQ135" i="1"/>
  <c r="CN136" i="1"/>
  <c r="CI132" i="1"/>
  <c r="CI129" i="1"/>
  <c r="O127" i="1"/>
  <c r="AO127" i="1"/>
  <c r="CP127" i="1" s="1"/>
  <c r="CI127" i="1"/>
  <c r="CI135" i="1"/>
  <c r="CK135" i="1"/>
  <c r="CS135" i="1"/>
  <c r="CP136" i="1"/>
  <c r="CO135" i="1"/>
  <c r="O128" i="1"/>
  <c r="CN128" i="1" s="1"/>
  <c r="AA128" i="1"/>
  <c r="CI128" i="1"/>
  <c r="CL135" i="1"/>
  <c r="E59" i="5"/>
  <c r="CT178" i="1"/>
  <c r="CU178" i="1"/>
  <c r="CL178" i="1"/>
  <c r="CM178" i="1"/>
  <c r="E18" i="5"/>
  <c r="E24" i="5" s="1"/>
  <c r="E23" i="5"/>
  <c r="CN178" i="1"/>
  <c r="E25" i="5"/>
  <c r="E26" i="5" s="1"/>
  <c r="CO178" i="1"/>
  <c r="CP178" i="1"/>
  <c r="CQ178" i="1"/>
  <c r="CR178" i="1"/>
  <c r="CK178" i="1"/>
  <c r="CI161" i="1"/>
  <c r="CR169" i="1"/>
  <c r="CK169" i="1"/>
  <c r="CS169" i="1"/>
  <c r="CL169" i="1"/>
  <c r="CT169" i="1"/>
  <c r="CM169" i="1"/>
  <c r="CU169" i="1"/>
  <c r="CP169" i="1"/>
  <c r="CQ169" i="1"/>
  <c r="CN169" i="1"/>
  <c r="CI192" i="1"/>
  <c r="CI193" i="1"/>
  <c r="CI194" i="1"/>
  <c r="CM170" i="1"/>
  <c r="CO170" i="1"/>
  <c r="CP170" i="1"/>
  <c r="CQ170" i="1"/>
  <c r="CU170" i="1"/>
  <c r="E429" i="5" l="1"/>
  <c r="E426" i="5" s="1"/>
  <c r="E431" i="5"/>
  <c r="E428" i="5"/>
  <c r="E425" i="5" s="1"/>
  <c r="E430" i="5"/>
  <c r="E427" i="5" s="1"/>
  <c r="E433" i="5"/>
  <c r="E432" i="5"/>
  <c r="F28" i="4"/>
  <c r="D6" i="20" s="1"/>
  <c r="G28" i="4"/>
  <c r="D7" i="20" s="1"/>
  <c r="CI139" i="1"/>
  <c r="CI133" i="1"/>
  <c r="CL141" i="1"/>
  <c r="CN142" i="1"/>
  <c r="CL127" i="1"/>
  <c r="CR136" i="1"/>
  <c r="CQ141" i="1"/>
  <c r="CQ136" i="1"/>
  <c r="CK136" i="1"/>
  <c r="CU141" i="1"/>
  <c r="CP141" i="1"/>
  <c r="CT141" i="1"/>
  <c r="CO141" i="1"/>
  <c r="CP128" i="1"/>
  <c r="CS141" i="1"/>
  <c r="CI142" i="1"/>
  <c r="CI131" i="1"/>
  <c r="E126" i="5" s="1"/>
  <c r="CT136" i="1"/>
  <c r="CR141" i="1"/>
  <c r="CU128" i="1"/>
  <c r="CQ127" i="1"/>
  <c r="CT127" i="1"/>
  <c r="CN141" i="1"/>
  <c r="CM141" i="1"/>
  <c r="CT142" i="1"/>
  <c r="CL142" i="1"/>
  <c r="CS142" i="1"/>
  <c r="CK142" i="1"/>
  <c r="CR142" i="1"/>
  <c r="CP142" i="1"/>
  <c r="CQ142" i="1"/>
  <c r="CM142" i="1"/>
  <c r="CI130" i="1"/>
  <c r="E132" i="5" s="1"/>
  <c r="CN127" i="1"/>
  <c r="CM127" i="1"/>
  <c r="CU127" i="1"/>
  <c r="CM128" i="1"/>
  <c r="CT128" i="1"/>
  <c r="CS128" i="1"/>
  <c r="CR128" i="1"/>
  <c r="CL128" i="1"/>
  <c r="CK128" i="1"/>
  <c r="CO128" i="1"/>
  <c r="CS127" i="1"/>
  <c r="CK127" i="1"/>
  <c r="CR127" i="1"/>
  <c r="CO127" i="1"/>
  <c r="CQ128" i="1"/>
  <c r="CO142" i="1"/>
  <c r="E56" i="5"/>
  <c r="E460" i="5" l="1"/>
  <c r="E459" i="5"/>
  <c r="E463" i="5"/>
  <c r="E452" i="5"/>
  <c r="E450" i="5"/>
  <c r="E462" i="5"/>
  <c r="E461" i="5"/>
  <c r="E600" i="5"/>
  <c r="E598" i="5"/>
  <c r="E449" i="5"/>
  <c r="E453" i="5"/>
  <c r="E448" i="5"/>
  <c r="E454" i="5"/>
  <c r="E469" i="5" s="1"/>
  <c r="E451" i="5"/>
  <c r="E468" i="5" s="1"/>
  <c r="G44" i="4"/>
  <c r="G43" i="4"/>
  <c r="E280" i="5"/>
  <c r="F44" i="4"/>
  <c r="E281" i="5"/>
  <c r="F43" i="4"/>
  <c r="E128" i="5"/>
  <c r="CI154" i="1"/>
  <c r="CI153" i="1"/>
  <c r="E27" i="4"/>
  <c r="D5" i="20" s="1"/>
  <c r="K30" i="4"/>
  <c r="D11" i="20" s="1"/>
  <c r="E467" i="5" l="1"/>
  <c r="K43" i="4"/>
  <c r="E114" i="5"/>
  <c r="E117" i="5" s="1"/>
  <c r="K44" i="4"/>
  <c r="N31" i="4"/>
  <c r="D14" i="20" s="1"/>
  <c r="P32" i="4"/>
  <c r="D16" i="20" s="1"/>
  <c r="Q32" i="4"/>
  <c r="D17" i="20" s="1"/>
  <c r="M31" i="4"/>
  <c r="D13" i="20" s="1"/>
  <c r="L31" i="4"/>
  <c r="D12" i="20" s="1"/>
  <c r="O31" i="4"/>
  <c r="D15" i="20" s="1"/>
  <c r="I30" i="4"/>
  <c r="D9" i="20" s="1"/>
  <c r="J30" i="4"/>
  <c r="D10" i="20" s="1"/>
  <c r="E44" i="4"/>
  <c r="E43" i="4"/>
  <c r="E278" i="5"/>
  <c r="E276" i="5"/>
  <c r="E599" i="5" l="1"/>
  <c r="E597" i="5"/>
  <c r="E470" i="5"/>
  <c r="J43" i="4"/>
  <c r="E279" i="5"/>
  <c r="J44" i="4"/>
  <c r="N43" i="4"/>
  <c r="N44" i="4"/>
  <c r="E110" i="5"/>
  <c r="E113" i="5" s="1"/>
  <c r="I44" i="4"/>
  <c r="I43" i="4"/>
  <c r="P44" i="4"/>
  <c r="P43" i="4"/>
  <c r="L44" i="4"/>
  <c r="L43" i="4"/>
  <c r="M44" i="4"/>
  <c r="M43" i="4"/>
  <c r="Q44" i="4"/>
  <c r="Q43" i="4"/>
  <c r="E106" i="5"/>
  <c r="E109" i="5" s="1"/>
  <c r="O44" i="4"/>
  <c r="E118" i="5"/>
  <c r="E121" i="5" s="1"/>
  <c r="E102" i="5"/>
  <c r="E105" i="5" s="1"/>
  <c r="O43" i="4"/>
  <c r="CI199" i="1"/>
  <c r="CI205" i="1"/>
  <c r="CI147" i="1"/>
  <c r="CI187" i="1"/>
  <c r="X19" i="4" l="1"/>
  <c r="E516" i="5" s="1"/>
  <c r="X20" i="4"/>
  <c r="E517" i="5" s="1"/>
  <c r="E135" i="5"/>
  <c r="E136" i="5"/>
  <c r="CI189" i="1"/>
  <c r="E530" i="5"/>
  <c r="E527" i="5"/>
  <c r="E525" i="5"/>
  <c r="E512" i="5"/>
  <c r="E511" i="5"/>
  <c r="E510" i="5"/>
  <c r="E509" i="5"/>
  <c r="E505" i="5"/>
  <c r="E504" i="5"/>
  <c r="E503" i="5"/>
  <c r="E502" i="5"/>
  <c r="E482" i="5"/>
  <c r="E481" i="5"/>
  <c r="E480" i="5"/>
  <c r="E476" i="5"/>
  <c r="E475" i="5"/>
  <c r="E274" i="5"/>
  <c r="E272" i="5"/>
  <c r="E270" i="5"/>
  <c r="E268" i="5"/>
  <c r="E253" i="5"/>
  <c r="E251" i="5"/>
  <c r="E246" i="5"/>
  <c r="E244" i="5"/>
  <c r="E242" i="5"/>
  <c r="E236" i="5"/>
  <c r="E234" i="5"/>
  <c r="E232" i="5"/>
  <c r="E230" i="5"/>
  <c r="E228" i="5"/>
  <c r="E223" i="5"/>
  <c r="E221" i="5"/>
  <c r="E219" i="5"/>
  <c r="E214" i="5"/>
  <c r="E212" i="5"/>
  <c r="E210" i="5"/>
  <c r="E208" i="5"/>
  <c r="E206" i="5"/>
  <c r="E201" i="5"/>
  <c r="E199" i="5"/>
  <c r="E197" i="5"/>
  <c r="E257" i="5" s="1"/>
  <c r="E195" i="5"/>
  <c r="E193" i="5"/>
  <c r="E191" i="5"/>
  <c r="E189" i="5"/>
  <c r="E187" i="5"/>
  <c r="E182" i="5"/>
  <c r="E180" i="5"/>
  <c r="E178" i="5"/>
  <c r="E173" i="5"/>
  <c r="E172" i="5"/>
  <c r="E170" i="5"/>
  <c r="E168" i="5"/>
  <c r="E166" i="5"/>
  <c r="E164" i="5"/>
  <c r="E162" i="5"/>
  <c r="E160" i="5"/>
  <c r="E155" i="5"/>
  <c r="E153" i="5"/>
  <c r="E151" i="5"/>
  <c r="E150" i="5"/>
  <c r="E148" i="5"/>
  <c r="E146" i="5"/>
  <c r="E140" i="5"/>
  <c r="E120" i="5"/>
  <c r="E116" i="5"/>
  <c r="E112" i="5"/>
  <c r="E108" i="5"/>
  <c r="E104" i="5"/>
  <c r="E83" i="5" l="1"/>
  <c r="E84" i="5" s="1"/>
  <c r="E85" i="5" s="1"/>
  <c r="CI201" i="1"/>
  <c r="CI195" i="1"/>
  <c r="E57" i="5"/>
  <c r="CI188" i="1"/>
  <c r="CI190" i="1"/>
  <c r="CI191" i="1"/>
  <c r="E538" i="5"/>
  <c r="E544" i="5"/>
  <c r="E539" i="5"/>
  <c r="E540" i="5"/>
  <c r="E541" i="5"/>
  <c r="E529" i="5"/>
  <c r="E543" i="5"/>
  <c r="E255" i="5"/>
  <c r="E528" i="5"/>
  <c r="E133" i="5" l="1"/>
  <c r="E94" i="5"/>
  <c r="CI178" i="1" s="1"/>
  <c r="CI143" i="1"/>
  <c r="CI144" i="1"/>
  <c r="E555" i="5"/>
  <c r="E552" i="5"/>
  <c r="E550" i="5"/>
  <c r="E561" i="5"/>
  <c r="E134" i="5" l="1"/>
  <c r="E129" i="5"/>
  <c r="E131" i="5"/>
  <c r="E130" i="5" s="1"/>
  <c r="E127" i="5"/>
  <c r="E125" i="5" s="1"/>
  <c r="E560" i="5"/>
  <c r="E551" i="5"/>
  <c r="E554" i="5"/>
  <c r="D371" i="9" l="1"/>
  <c r="N359" i="9" l="1"/>
  <c r="N358" i="9"/>
  <c r="M358" i="9"/>
  <c r="M360" i="9" s="1"/>
  <c r="N357" i="9"/>
  <c r="M357" i="9"/>
  <c r="N356" i="9"/>
  <c r="M356" i="9"/>
  <c r="N355" i="9"/>
  <c r="M355" i="9"/>
  <c r="L449" i="40"/>
  <c r="L448" i="40"/>
  <c r="L447" i="40"/>
  <c r="L446" i="40"/>
  <c r="L442" i="40"/>
  <c r="L441" i="40"/>
  <c r="L440" i="40"/>
  <c r="L439" i="40"/>
  <c r="L438" i="40"/>
  <c r="L437" i="40"/>
  <c r="L436" i="40"/>
  <c r="L435" i="40"/>
  <c r="L434" i="40"/>
  <c r="D396" i="40"/>
  <c r="D395" i="40" s="1"/>
  <c r="D393" i="40"/>
  <c r="D392" i="40"/>
  <c r="D339" i="40"/>
  <c r="D338" i="40"/>
  <c r="D337" i="40"/>
  <c r="D336" i="40"/>
  <c r="D335" i="40"/>
  <c r="D334" i="40"/>
  <c r="D333" i="40"/>
  <c r="D332" i="40"/>
  <c r="D331" i="40"/>
  <c r="D330" i="40"/>
  <c r="D329" i="40"/>
  <c r="D328" i="40"/>
  <c r="D327" i="40"/>
  <c r="D326" i="40"/>
  <c r="D325" i="40"/>
  <c r="D324" i="40"/>
  <c r="D320" i="40"/>
  <c r="D318" i="40"/>
  <c r="D316" i="40"/>
  <c r="D315" i="40"/>
  <c r="D313" i="40"/>
  <c r="D309" i="40"/>
  <c r="D308" i="40"/>
  <c r="D307" i="40"/>
  <c r="D306" i="40"/>
  <c r="D305" i="40"/>
  <c r="D301" i="40"/>
  <c r="D300" i="40"/>
  <c r="D299" i="40"/>
  <c r="D298" i="40"/>
  <c r="D297" i="40"/>
  <c r="D296" i="40"/>
  <c r="D295" i="40"/>
  <c r="D294" i="40"/>
  <c r="D293" i="40"/>
  <c r="D289" i="40"/>
  <c r="D288" i="40"/>
  <c r="D286" i="40"/>
  <c r="D284" i="40"/>
  <c r="D283" i="40"/>
  <c r="D282" i="40"/>
  <c r="D281" i="40"/>
  <c r="D275" i="40"/>
  <c r="D236" i="40" s="1"/>
  <c r="D274" i="40"/>
  <c r="D273" i="40"/>
  <c r="D272" i="40"/>
  <c r="D271" i="40"/>
  <c r="D270" i="40"/>
  <c r="D269" i="40"/>
  <c r="D267" i="40"/>
  <c r="D268" i="40" s="1"/>
  <c r="D266" i="40"/>
  <c r="D265" i="40"/>
  <c r="D264" i="40"/>
  <c r="D263" i="40"/>
  <c r="D262" i="40"/>
  <c r="D261" i="40"/>
  <c r="D260" i="40"/>
  <c r="D259" i="40"/>
  <c r="D258" i="40"/>
  <c r="D257" i="40"/>
  <c r="D256" i="40"/>
  <c r="D255" i="40"/>
  <c r="D254" i="40"/>
  <c r="D253" i="40"/>
  <c r="D252" i="40"/>
  <c r="D251" i="40"/>
  <c r="D250" i="40"/>
  <c r="D249" i="40"/>
  <c r="D248" i="40"/>
  <c r="D247" i="40"/>
  <c r="D246" i="40"/>
  <c r="D245" i="40"/>
  <c r="D244" i="40"/>
  <c r="D243" i="40"/>
  <c r="D242" i="40"/>
  <c r="D241" i="40"/>
  <c r="D240" i="40"/>
  <c r="D208" i="40" s="1"/>
  <c r="D239" i="40"/>
  <c r="D238" i="40"/>
  <c r="D276" i="40" s="1"/>
  <c r="D237" i="40"/>
  <c r="D235" i="40"/>
  <c r="D234" i="40"/>
  <c r="D233" i="40"/>
  <c r="D232" i="40"/>
  <c r="D231" i="40"/>
  <c r="D230" i="40"/>
  <c r="D229" i="40"/>
  <c r="D228" i="40"/>
  <c r="D227" i="40"/>
  <c r="D226" i="40"/>
  <c r="K335" i="9" s="1"/>
  <c r="D225" i="40"/>
  <c r="D224" i="40"/>
  <c r="D223" i="40"/>
  <c r="D222" i="40"/>
  <c r="D221" i="40"/>
  <c r="D220" i="40"/>
  <c r="D219" i="40"/>
  <c r="D218" i="40"/>
  <c r="D216" i="40"/>
  <c r="D215" i="40"/>
  <c r="D214" i="40"/>
  <c r="D213" i="40"/>
  <c r="D207" i="40"/>
  <c r="D206" i="40"/>
  <c r="D205" i="40"/>
  <c r="D204" i="40"/>
  <c r="D203" i="40"/>
  <c r="D202" i="40"/>
  <c r="D201" i="40"/>
  <c r="D200" i="40"/>
  <c r="D62" i="40"/>
  <c r="D42" i="40"/>
  <c r="K32" i="40"/>
  <c r="D32" i="40"/>
  <c r="K31" i="40"/>
  <c r="D31" i="40"/>
  <c r="D27" i="40"/>
  <c r="D293" i="9"/>
  <c r="D341" i="9"/>
  <c r="J32" i="2"/>
  <c r="K32" i="2"/>
  <c r="E537" i="5" l="1"/>
  <c r="E559" i="5"/>
  <c r="E563" i="5"/>
  <c r="E562" i="5"/>
  <c r="E542" i="5"/>
  <c r="D217" i="40"/>
  <c r="D277" i="40"/>
  <c r="D212" i="40"/>
  <c r="N360" i="9"/>
  <c r="E115" i="5" l="1"/>
  <c r="E553" i="5"/>
  <c r="E622" i="5" l="1"/>
  <c r="E621" i="5"/>
  <c r="E623" i="5"/>
  <c r="E111" i="5" l="1"/>
  <c r="E103" i="5"/>
  <c r="E107" i="5"/>
  <c r="E119" i="5"/>
  <c r="E625" i="5"/>
  <c r="E549" i="5"/>
  <c r="E548" i="5"/>
  <c r="E592" i="5" l="1"/>
  <c r="E591" i="5" l="1"/>
  <c r="E590" i="5"/>
  <c r="E593" i="5" l="1"/>
  <c r="E518" i="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tc={D9E18358-C1BE-4D62-A2D7-E14C0D7DCAB5}</author>
  </authors>
  <commentList>
    <comment ref="D59" authorId="0" shapeId="0" xr:uid="{D9E18358-C1BE-4D62-A2D7-E14C0D7DCAB5}">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 iw,EPS + iwh,EPS to XVSS,BIO and XE: the MEPS calculation is an indicator only, not properly integrated EPS variable. Makes it hard to implement in the calculation of bound water while the provided information wouldn't be not valid. This is simpler estimation for EPS correction of the specific plant, so a correction parameter should be calibrated for the bound water calculation during the calibration.
Réponse :
    XB,e added</t>
      </text>
    </comment>
  </commentList>
</comments>
</file>

<file path=xl/sharedStrings.xml><?xml version="1.0" encoding="utf-8"?>
<sst xmlns="http://schemas.openxmlformats.org/spreadsheetml/2006/main" count="10445" uniqueCount="5051">
  <si>
    <t>Symbol</t>
  </si>
  <si>
    <t>Name</t>
  </si>
  <si>
    <t>Unit</t>
  </si>
  <si>
    <t>Handling</t>
  </si>
  <si>
    <t xml:space="preserve">Equilibrium matrix </t>
  </si>
  <si>
    <t>Expression</t>
  </si>
  <si>
    <t>Elemental composition</t>
  </si>
  <si>
    <t>Chemical formula</t>
  </si>
  <si>
    <t>Charge</t>
  </si>
  <si>
    <t>Reaction</t>
  </si>
  <si>
    <t>The elemental composition matrix should have as many columns as the kinetic matrix (minus Rate and Reaction)</t>
  </si>
  <si>
    <t>pH</t>
  </si>
  <si>
    <t>Influent</t>
  </si>
  <si>
    <t>Initial concentration</t>
  </si>
  <si>
    <t>Phase</t>
  </si>
  <si>
    <t>IS</t>
  </si>
  <si>
    <t>(order is relevant)</t>
  </si>
  <si>
    <t>This button checks if the column names of the equilibrium matrix are the same as the names of the equilibrium species</t>
  </si>
  <si>
    <t>The macro expects the elemental composition matrix to be under the kinetic matrix somewhere started in column D</t>
  </si>
  <si>
    <t>The elemental composition matrix starts with the string 'Elemental composition' (not case-sensitive) in column D</t>
  </si>
  <si>
    <t>If every value is under the absolute limit (by default 1E-15) the matrix passed the check</t>
  </si>
  <si>
    <t>The equilibrium species should start in cell E3 and end in the first column that has an empty cell in the 3rd row</t>
  </si>
  <si>
    <t>The first row of the equilibrium matrix should be the 4th and the last should be the one before the first empty cell in column C after the 4th row</t>
  </si>
  <si>
    <r>
      <t>Cell names such as H3 are not allowed in the equilibrium matrix but parameters like NH</t>
    </r>
    <r>
      <rPr>
        <vertAlign val="subscript"/>
        <sz val="11"/>
        <color indexed="8"/>
        <rFont val="Calibri"/>
        <family val="2"/>
        <charset val="238"/>
      </rPr>
      <t>3</t>
    </r>
    <r>
      <rPr>
        <sz val="11"/>
        <color indexed="8"/>
        <rFont val="Calibri"/>
        <family val="2"/>
        <charset val="238"/>
      </rPr>
      <t xml:space="preserve"> can be used.</t>
    </r>
  </si>
  <si>
    <t>The macro creates a numerical copy of the equilibrium matrix and calculates ionic strength and charge balance.</t>
  </si>
  <si>
    <t>Everything under the datatable declared as free area and will be deleted</t>
  </si>
  <si>
    <t>a</t>
  </si>
  <si>
    <t>HOW TO USE MODEL SHEETS</t>
  </si>
  <si>
    <t>A</t>
  </si>
  <si>
    <t>Starting a new model: Kinetic setup</t>
  </si>
  <si>
    <t>Under State variables form heading</t>
  </si>
  <si>
    <t>Insert new rows for new State variables</t>
  </si>
  <si>
    <t>Name "Initial concentration" cells from symbols (use CTRL-M [Mark Name] shortcut)</t>
  </si>
  <si>
    <t>Press "Create Kinetic matrix"</t>
  </si>
  <si>
    <t>Insert new rows under state variable names for new rate expressions</t>
  </si>
  <si>
    <t>(3)</t>
  </si>
  <si>
    <t>Optional: Fill in reactions if model is fully elementally balanced</t>
  </si>
  <si>
    <t>Insert new rows under elemental composition for the balancing features desired (C, N, P,charge, etc)</t>
  </si>
  <si>
    <t>On the Parameters Tab</t>
  </si>
  <si>
    <t>Insert new rows for Kinetic and Stoichiometric parameters</t>
  </si>
  <si>
    <t>Fill in names, other information (values required)</t>
  </si>
  <si>
    <t>Name "Default" cells from symbols (use CTRL-M [Mark Name] shortcut)</t>
  </si>
  <si>
    <t>Fill in Elemental Composition matrix (preferentially using stoichiometric parameter names fom Parameter tab - alternatively values can be used)</t>
  </si>
  <si>
    <t>Check cells marked red for balancing errors if necessary</t>
  </si>
  <si>
    <t>Under Equilibrium species form heading</t>
  </si>
  <si>
    <t>Insert new rows for new Equlibrium species</t>
  </si>
  <si>
    <t>Fill in symbols (subscript, etc. formatting OK)</t>
  </si>
  <si>
    <t>Press "Prepare pH check"</t>
  </si>
  <si>
    <t>B</t>
  </si>
  <si>
    <t>Modifying an existing model: Kinetic setup</t>
  </si>
  <si>
    <t>Insert or delete rows for State variables as required</t>
  </si>
  <si>
    <t>Option 1:</t>
  </si>
  <si>
    <t>Press "Create Kinetic matrix". This will delete the existing kinetic matrix and prepare a new list of matrix headings</t>
  </si>
  <si>
    <t xml:space="preserve">Option 2: </t>
  </si>
  <si>
    <t>Press "Check States" Any discrepancy between the two lists will be reported</t>
  </si>
  <si>
    <t>Insert or delete rows under state variable names for rate expressions for the modifications</t>
  </si>
  <si>
    <t>Insert or delete rows under elemental composition for the balancing features desired (C, N, P,charge, etc)</t>
  </si>
  <si>
    <t>Insert or delete rows for Kinetic and Stoichiometric parameters</t>
  </si>
  <si>
    <t>Modifying an existing model: Equilibrium setup (skip with models without pH modelling)</t>
  </si>
  <si>
    <t>Insert or delete rows for Equlibrium species as required</t>
  </si>
  <si>
    <t>Press "Create Equilibrium matrix". This will delete the existing Equilibrium matrix and prepare a new list of matrix headings</t>
  </si>
  <si>
    <t>In the Equilibrium Matrix tab, insert or delete columns in the existing model matrix so that matrix columns match with Equilibrium species list in States Tab</t>
  </si>
  <si>
    <t>Press "Check Species" Any discrepancy between the two lists will be reported</t>
  </si>
  <si>
    <t>Insert or delete rows under equilibrium species names for dissociation/precipitation expressions as required</t>
  </si>
  <si>
    <t>BUILT IN MACRO FUNCTIONALITY</t>
  </si>
  <si>
    <t>CTRL-M</t>
  </si>
  <si>
    <t>Mark Name:</t>
  </si>
  <si>
    <t>In a selection box, assigns names to the rightmost column of cells from leftmost column of cell contents</t>
  </si>
  <si>
    <t>b</t>
  </si>
  <si>
    <t>c</t>
  </si>
  <si>
    <t>d</t>
  </si>
  <si>
    <t>Create Kinetic Matrix</t>
  </si>
  <si>
    <t>After a warning message, the existing kinetic matrix's columns will be deleted and new ones will be created from the state variables. Rate expressions and reactions are not affected</t>
  </si>
  <si>
    <t>The table headings cannot be changed</t>
  </si>
  <si>
    <t>The columns will be coloured - Integrated variables are blue, others are orange</t>
  </si>
  <si>
    <t>Check Kinetic Matrix</t>
  </si>
  <si>
    <t>This button checks if the names of the state variables are the same as the column names of the kinetic matrix</t>
  </si>
  <si>
    <t>Create Equilibrium Matrix</t>
  </si>
  <si>
    <t>After a warning message, the existing equilibrium matrix's columns will be deleted and new ones will be created from the equilibrium variables</t>
  </si>
  <si>
    <t>Check Equilibrium Matrix</t>
  </si>
  <si>
    <t>When the button is pressed, the macro counts the rows and columns of the kinetic matrix</t>
  </si>
  <si>
    <t>In the Kinetic matrix the states variables start in cell E3 and ends in the first column in the 3rd row that's first 4 character are 'Rate' or 'Reac'</t>
  </si>
  <si>
    <t>The first row of the kinetic matrix should be the 4th row and the last is the first empty cell in column C</t>
  </si>
  <si>
    <t>The elemental composition's last row is defined by the first empty cell in column C after the string 'Elemental Composition'</t>
  </si>
  <si>
    <t>Everything under the elemental composition matrix  will be deleted</t>
  </si>
  <si>
    <t>Prepare pH check</t>
  </si>
  <si>
    <t>This macro will prepare the necessary setup for the solver to determine the current pH and ionic strength</t>
  </si>
  <si>
    <t>When the button is pressed, the macro counts the rows and columns of the equilibrium matrix</t>
  </si>
  <si>
    <t>The macro expects the datatable under the matrix including pH, IS and CH as well as all the names used in the equilibrium matrix</t>
  </si>
  <si>
    <r>
      <t>This is to determine if e.g. NH3 is a cell or a parameter that is called NH3_ (Excel name of NH</t>
    </r>
    <r>
      <rPr>
        <vertAlign val="subscript"/>
        <sz val="11"/>
        <color indexed="8"/>
        <rFont val="Calibri"/>
        <family val="2"/>
        <charset val="238"/>
      </rPr>
      <t>3</t>
    </r>
    <r>
      <rPr>
        <sz val="11"/>
        <color indexed="8"/>
        <rFont val="Calibri"/>
        <family val="2"/>
      </rPr>
      <t>)</t>
    </r>
  </si>
  <si>
    <t>The totals are linked back to the datatable so you can use the solver extension to calculate current pH and IS</t>
  </si>
  <si>
    <t>activity coefficients</t>
  </si>
  <si>
    <t>ionic strength (IS)</t>
  </si>
  <si>
    <t>j</t>
  </si>
  <si>
    <t>Known problems and solutions</t>
  </si>
  <si>
    <t>Go to View -&gt; Macros -&gt; Show macros</t>
  </si>
  <si>
    <t>Click on MarkNames macro then on the button labeled 'Others'</t>
  </si>
  <si>
    <t>Here you can set the shortcut key</t>
  </si>
  <si>
    <r>
      <t xml:space="preserve">Ctrl-M doesn't work </t>
    </r>
    <r>
      <rPr>
        <sz val="11"/>
        <color indexed="8"/>
        <rFont val="Calibri"/>
        <family val="2"/>
        <charset val="238"/>
      </rPr>
      <t>(this usually happens when you open two documents and Excel rebinds Ctrl-M to something else)</t>
    </r>
  </si>
  <si>
    <t>Press "Check Continuity and Rates"</t>
  </si>
  <si>
    <t>The macro creates a numerical copy of the kinetic matrix under the compositon matrix, then it creates the balancing matrix to the right of the numerical copy</t>
  </si>
  <si>
    <t>Fill in symbols (subscripts, and other formatting can be used), and other fields, "Handling" and "Initial concentration" are required fields</t>
  </si>
  <si>
    <t>Fill in symbols for new States (subscripts, and other formatting can be used), and other fields, "Handling" and "Initial concentration" are required fields</t>
  </si>
  <si>
    <t>The columns will be recoloured (red means failed)</t>
  </si>
  <si>
    <t>Check Continuity and Rates</t>
  </si>
  <si>
    <t>This macro will prepare a continuity check on the kinetic matrix and will calculate numerical values for the rate expressions based on initial conditions</t>
  </si>
  <si>
    <t>The macro checks and calculates rate expressions too.</t>
  </si>
  <si>
    <t>EQSRBGJPMU</t>
  </si>
  <si>
    <t>EFVSNZETB</t>
  </si>
  <si>
    <t>Macros must be enabled to view and operate this Model Tool. See Security Warning Options... above.
If you just disabled macros, you need to close and reload this document.
Once you have enabled macros, select Continue.</t>
  </si>
  <si>
    <t>IEAZTPZI</t>
  </si>
  <si>
    <t>Symbols should look like this:</t>
  </si>
  <si>
    <t>If a type (and ':') is ommitted, the default type is double</t>
  </si>
  <si>
    <t>FJYCEHEZW</t>
  </si>
  <si>
    <t>functionname(arg1:type1; arg2:type2; …):type</t>
  </si>
  <si>
    <t>Code section</t>
  </si>
  <si>
    <t>Rule</t>
  </si>
  <si>
    <t>Principle/comment</t>
  </si>
  <si>
    <t>Codelocation(Algebraic blocksection #1)</t>
  </si>
  <si>
    <t>Press "Create Equilibrium matrix"</t>
  </si>
  <si>
    <t>UYCEVBLMNN</t>
  </si>
  <si>
    <t>On the Algebraic Model Tab</t>
  </si>
  <si>
    <t>Check Expressions</t>
  </si>
  <si>
    <t>This macro will calculate the value of algebraic expressions if it can.</t>
  </si>
  <si>
    <t>The macro warns if there are some typos in the expression</t>
  </si>
  <si>
    <t>Please note that names with spaces and names ending with zeros are not recommended.</t>
  </si>
  <si>
    <t>UMVMLPHFQV</t>
  </si>
  <si>
    <t>IZLBOCQYUXB</t>
  </si>
  <si>
    <t>Gujer kinetic matrix</t>
  </si>
  <si>
    <t>BKJAALFJYDEB</t>
  </si>
  <si>
    <t>Helene Haduc</t>
  </si>
  <si>
    <t>GQSJAHVFDFP</t>
  </si>
  <si>
    <t>Imre Takacs</t>
  </si>
  <si>
    <t>Local functions</t>
  </si>
  <si>
    <t>Tableau</t>
  </si>
  <si>
    <t>H</t>
  </si>
  <si>
    <t>NH3</t>
  </si>
  <si>
    <t>Cl-</t>
  </si>
  <si>
    <t>NO3-</t>
  </si>
  <si>
    <t>Cat</t>
  </si>
  <si>
    <t>An</t>
  </si>
  <si>
    <t>logK</t>
  </si>
  <si>
    <t>Cl</t>
  </si>
  <si>
    <t>NO3</t>
  </si>
  <si>
    <t>OH</t>
  </si>
  <si>
    <t>NH4</t>
  </si>
  <si>
    <t>Total Concentrations</t>
  </si>
  <si>
    <t>Initial Guesses</t>
  </si>
  <si>
    <t>COD</t>
  </si>
  <si>
    <t>Temperature sensitivity</t>
  </si>
  <si>
    <t>theta^(temp-tbase)</t>
  </si>
  <si>
    <t>Arrh(theta;temp;tbase)</t>
  </si>
  <si>
    <t>Value</t>
  </si>
  <si>
    <t>REFERENCE</t>
  </si>
  <si>
    <t>Name "Initial concentration" cells from symbols (use CTRL-M [Mark Name] shortcut, see below)</t>
  </si>
  <si>
    <t xml:space="preserve">Fill in matrix stoichiometry and kinetic rates (library or new defined functions and kinetic calculated variables can be used) </t>
  </si>
  <si>
    <t>If you used functions, check them using the button</t>
  </si>
  <si>
    <t>Fill in column B (under symbol j) with unique values (like 1, 2, 3, etc)</t>
  </si>
  <si>
    <t>In column C, place rate names (cannot start with numbers, i.e. r1 OK, 1 is not OK)</t>
  </si>
  <si>
    <t>(5)</t>
  </si>
  <si>
    <t>On the Calculated variables Tab</t>
  </si>
  <si>
    <t>If you defined calculated variables to be used in the matrix (e.g. KSmonod = S/K+S), check them using the checking button</t>
  </si>
  <si>
    <t>Insert new rows under equilibrium species names for new dissociation expressions</t>
  </si>
  <si>
    <t>Fill in matrix with algebraic expressions to calculate each species from pH and IS  (1 equation in each column)</t>
  </si>
  <si>
    <t>Use solver to calculate pH and IS (ionic strength) for current solution (from initial concentrations in States Tab)</t>
  </si>
  <si>
    <t>Msat(var; k)</t>
  </si>
  <si>
    <t>Monod saturation</t>
  </si>
  <si>
    <t>var / (k + var)</t>
  </si>
  <si>
    <t>Minh(var; k)</t>
  </si>
  <si>
    <t>Monod inhibition</t>
  </si>
  <si>
    <t>k / (k + var)</t>
  </si>
  <si>
    <t>Bellinh(var; Klo; Khi)</t>
  </si>
  <si>
    <t>Bell-shaped inhibition</t>
  </si>
  <si>
    <t>(1 + 2 * 10^(0.5 * (Klo - Khi))) / (1 + 10^(var - Khi) + 10^(Klo - var))</t>
  </si>
  <si>
    <t>Logsat(var; slope; halfval)</t>
  </si>
  <si>
    <t>Logistic saturation</t>
  </si>
  <si>
    <t>1 / (1 + exp((halfval - var) / slope))</t>
  </si>
  <si>
    <t>Loginh(var; slope; halfval)</t>
  </si>
  <si>
    <t>Logistic inhibition</t>
  </si>
  <si>
    <t>1 / (1 + exp((var - halfval) / slope))</t>
  </si>
  <si>
    <t>Lin(var;m;b)</t>
  </si>
  <si>
    <t>Straight line</t>
  </si>
  <si>
    <t>m*var+b</t>
  </si>
  <si>
    <t>Hardbound(var;lolim;hilim)</t>
  </si>
  <si>
    <t>Hard bounding</t>
  </si>
  <si>
    <t>max(lolim;min(hilim;var))</t>
  </si>
  <si>
    <t>MinuslogVar(x)</t>
  </si>
  <si>
    <t>Equilibrium constants</t>
  </si>
  <si>
    <t>10^(-x)</t>
  </si>
  <si>
    <t>These functions are automatically mapped to C++ syntax and can be used as well:</t>
  </si>
  <si>
    <t>Max(a;b)</t>
  </si>
  <si>
    <t>maximum</t>
  </si>
  <si>
    <t>max(a,b)</t>
  </si>
  <si>
    <t>Pow(a;b)</t>
  </si>
  <si>
    <t>power</t>
  </si>
  <si>
    <t>pow(a,b)</t>
  </si>
  <si>
    <t>Abs(x)</t>
  </si>
  <si>
    <t>abs</t>
  </si>
  <si>
    <t>abs(x)</t>
  </si>
  <si>
    <t>Exp(x)</t>
  </si>
  <si>
    <t>natural base exponent</t>
  </si>
  <si>
    <t>exp(x)</t>
  </si>
  <si>
    <t>Mod(x;y)</t>
  </si>
  <si>
    <t>Modulo operator</t>
  </si>
  <si>
    <t>fmod(x,y)</t>
  </si>
  <si>
    <t>Log10(x)</t>
  </si>
  <si>
    <t>10 based logarithm</t>
  </si>
  <si>
    <t>log10(x)</t>
  </si>
  <si>
    <t>There are other C++ functions predefined in the library - however if those are used, Excel will be unable to check the validity of the matrix</t>
  </si>
  <si>
    <t>Any changes to this sheet will turn Create Functions button gray which means you can't use the custom functions in kinetic matrix unless you press it and it turns green</t>
  </si>
  <si>
    <t>Calculate</t>
  </si>
  <si>
    <t>This macro will calculate the value of algebraic expressions and place it in the Value column if it can. It will also name Calculated variable cells so they can be used in other tabs</t>
  </si>
  <si>
    <t xml:space="preserve">QUICK REMINDER </t>
  </si>
  <si>
    <t>Clear existing names if any (Formulas - Name Manager - Select All - Delete)</t>
  </si>
  <si>
    <t>Colloidal biodegradable substrate</t>
  </si>
  <si>
    <t>Slowly biodegradable substrate</t>
  </si>
  <si>
    <t>Soluble unbiodegradable organics</t>
  </si>
  <si>
    <t>Colloidal unbiodegradable organics</t>
  </si>
  <si>
    <t>Particulate unbiodegradable organics</t>
  </si>
  <si>
    <t>Endogenous decay products</t>
  </si>
  <si>
    <t>Hydrolysis</t>
  </si>
  <si>
    <t>Fermentation</t>
  </si>
  <si>
    <t>Anoxic methylotrophs</t>
  </si>
  <si>
    <t>r1</t>
  </si>
  <si>
    <t>r2</t>
  </si>
  <si>
    <t>r3</t>
  </si>
  <si>
    <t>r4</t>
  </si>
  <si>
    <t>r5</t>
  </si>
  <si>
    <t>r6</t>
  </si>
  <si>
    <t>r7</t>
  </si>
  <si>
    <t>r8</t>
  </si>
  <si>
    <t>r9</t>
  </si>
  <si>
    <t>r10</t>
  </si>
  <si>
    <t>r11</t>
  </si>
  <si>
    <t>r12</t>
  </si>
  <si>
    <t>r13</t>
  </si>
  <si>
    <t>r14</t>
  </si>
  <si>
    <t>r15</t>
  </si>
  <si>
    <t>r16</t>
  </si>
  <si>
    <t>r17</t>
  </si>
  <si>
    <t>r18</t>
  </si>
  <si>
    <t>r19</t>
  </si>
  <si>
    <t>r20</t>
  </si>
  <si>
    <t>r21</t>
  </si>
  <si>
    <t>r22</t>
  </si>
  <si>
    <t>r23</t>
  </si>
  <si>
    <t>r24</t>
  </si>
  <si>
    <t>r25</t>
  </si>
  <si>
    <t>r26</t>
  </si>
  <si>
    <t>r29</t>
  </si>
  <si>
    <t>N</t>
  </si>
  <si>
    <t>P</t>
  </si>
  <si>
    <t>L</t>
  </si>
  <si>
    <t>S</t>
  </si>
  <si>
    <t>C</t>
  </si>
  <si>
    <t>X</t>
  </si>
  <si>
    <t>Integrated</t>
  </si>
  <si>
    <t>Atomic mass of oxygen</t>
  </si>
  <si>
    <t>Atomic mass of nitrogen</t>
  </si>
  <si>
    <t>base is ammonia</t>
  </si>
  <si>
    <t>Atomic mass of iron</t>
  </si>
  <si>
    <t>Atomic mass of aluminium</t>
  </si>
  <si>
    <t>Atomic mass of phosphorus</t>
  </si>
  <si>
    <t>MRsat(s;x;k)</t>
  </si>
  <si>
    <t>Monod ratio saturation</t>
  </si>
  <si>
    <t>MRinh(s;x;k)</t>
  </si>
  <si>
    <t>Monod ratio inhibition</t>
  </si>
  <si>
    <t>Atomic mass of hydrogen</t>
  </si>
  <si>
    <t>TSS content of PP</t>
  </si>
  <si>
    <t>Particulate unbiodegradable organic N</t>
  </si>
  <si>
    <t>Maximum specific growth rate of OHOs</t>
  </si>
  <si>
    <t>Temperature dependency</t>
  </si>
  <si>
    <t>N content of biomasses</t>
  </si>
  <si>
    <t>P content of biomasses</t>
  </si>
  <si>
    <t>Atomic mass of carbon</t>
  </si>
  <si>
    <t>Temperature calculations</t>
  </si>
  <si>
    <t>Arrhenius base temperature</t>
  </si>
  <si>
    <t>COD of all biomasses</t>
  </si>
  <si>
    <t>-</t>
  </si>
  <si>
    <t>Temperature sensitvity</t>
  </si>
  <si>
    <t>T</t>
  </si>
  <si>
    <t>NITO growth</t>
  </si>
  <si>
    <t>COD removal including 1-step denitrification</t>
  </si>
  <si>
    <t>1-step nitrification</t>
  </si>
  <si>
    <t>Chemical P removal (based on SCM approach)</t>
  </si>
  <si>
    <t>Anaerobic digestion</t>
  </si>
  <si>
    <t>Struvite precipitation</t>
  </si>
  <si>
    <t>OHO decay</t>
  </si>
  <si>
    <t>MEOLO decay</t>
  </si>
  <si>
    <t>Readily biodegradable substrate (non-VFA)</t>
  </si>
  <si>
    <t>NITO decay</t>
  </si>
  <si>
    <t>Atomic mass of sodium</t>
  </si>
  <si>
    <t>Anaerobic methanol conversion</t>
  </si>
  <si>
    <t>HMETO decay</t>
  </si>
  <si>
    <t>AMETO decay</t>
  </si>
  <si>
    <t>2CH3OH -&gt; CH3COOH + 2H2</t>
  </si>
  <si>
    <t>r35</t>
  </si>
  <si>
    <t>r36</t>
  </si>
  <si>
    <t>r37</t>
  </si>
  <si>
    <t>r38</t>
  </si>
  <si>
    <t>r39</t>
  </si>
  <si>
    <r>
      <t>Total inorganic carbon (CO</t>
    </r>
    <r>
      <rPr>
        <vertAlign val="subscript"/>
        <sz val="11"/>
        <color rgb="FF000000"/>
        <rFont val="Calibri"/>
        <family val="2"/>
        <scheme val="minor"/>
      </rPr>
      <t>2</t>
    </r>
    <r>
      <rPr>
        <sz val="11"/>
        <color rgb="FF000000"/>
        <rFont val="Calibri"/>
        <family val="2"/>
        <charset val="238"/>
        <scheme val="minor"/>
      </rPr>
      <t>)</t>
    </r>
  </si>
  <si>
    <t>Decimals</t>
  </si>
  <si>
    <t>Type(Kinetic)</t>
  </si>
  <si>
    <t>Conversion kinetics</t>
  </si>
  <si>
    <t>Common switches</t>
  </si>
  <si>
    <t>AMETO growth</t>
  </si>
  <si>
    <t>HMETO growth</t>
  </si>
  <si>
    <t>Maximum specific growth rate of AMETO</t>
  </si>
  <si>
    <t>CO2+4H2 -&gt; CH4+2H2O</t>
  </si>
  <si>
    <t>Dissociation of water</t>
  </si>
  <si>
    <t>10^(-pH)</t>
  </si>
  <si>
    <t>Ionization of ammonia</t>
  </si>
  <si>
    <t>Nitrate fully dissociated</t>
  </si>
  <si>
    <t>Sodium fully dissociated</t>
  </si>
  <si>
    <t>Chloride fully dissociated</t>
  </si>
  <si>
    <t>Carbonate dissociation</t>
  </si>
  <si>
    <t>Phosphate dissociation</t>
  </si>
  <si>
    <t>VFA (HAc) dissociation</t>
  </si>
  <si>
    <t>Type(Stoichiometric)</t>
  </si>
  <si>
    <t>Charge balance</t>
  </si>
  <si>
    <t>Type(Equilibrium)</t>
  </si>
  <si>
    <t>Calculated variables</t>
  </si>
  <si>
    <r>
      <t>g COD.m</t>
    </r>
    <r>
      <rPr>
        <vertAlign val="superscript"/>
        <sz val="11"/>
        <rFont val="Calibri"/>
        <family val="2"/>
      </rPr>
      <t>-3</t>
    </r>
  </si>
  <si>
    <t>Particulate ultimate biochemical oxygen demand</t>
  </si>
  <si>
    <t>Total ultimate biochemical oxygen demand</t>
  </si>
  <si>
    <r>
      <t>S</t>
    </r>
    <r>
      <rPr>
        <vertAlign val="subscript"/>
        <sz val="11"/>
        <rFont val="Calibri"/>
        <family val="2"/>
        <scheme val="minor"/>
      </rPr>
      <t>BOD,5</t>
    </r>
  </si>
  <si>
    <r>
      <t>X</t>
    </r>
    <r>
      <rPr>
        <vertAlign val="subscript"/>
        <sz val="11"/>
        <rFont val="Calibri"/>
        <family val="2"/>
        <scheme val="minor"/>
      </rPr>
      <t>BOD,5</t>
    </r>
  </si>
  <si>
    <r>
      <t>T</t>
    </r>
    <r>
      <rPr>
        <vertAlign val="subscript"/>
        <sz val="11"/>
        <rFont val="Calibri"/>
        <family val="2"/>
        <scheme val="minor"/>
      </rPr>
      <t>BOD,5</t>
    </r>
  </si>
  <si>
    <r>
      <t>S</t>
    </r>
    <r>
      <rPr>
        <vertAlign val="subscript"/>
        <sz val="11"/>
        <rFont val="Calibri"/>
        <family val="2"/>
        <scheme val="minor"/>
      </rPr>
      <t>COD</t>
    </r>
  </si>
  <si>
    <t>Total chemical oxygen demand</t>
  </si>
  <si>
    <t>Uptake rates</t>
  </si>
  <si>
    <t>OUR</t>
  </si>
  <si>
    <t>Reactive</t>
  </si>
  <si>
    <t>NUR</t>
  </si>
  <si>
    <t>Nitrate uptake rate (N3UR)</t>
  </si>
  <si>
    <t>AUR</t>
  </si>
  <si>
    <t>Ammonia uptake rate (AUR)</t>
  </si>
  <si>
    <t>Total Kjeldahl nitrogen (TKN)</t>
  </si>
  <si>
    <r>
      <t>g N.m</t>
    </r>
    <r>
      <rPr>
        <vertAlign val="superscript"/>
        <sz val="11"/>
        <rFont val="Calibri"/>
        <family val="2"/>
      </rPr>
      <t>-3</t>
    </r>
  </si>
  <si>
    <t>Total nitrogen</t>
  </si>
  <si>
    <t>Activity coefficients</t>
  </si>
  <si>
    <r>
      <t>f</t>
    </r>
    <r>
      <rPr>
        <vertAlign val="subscript"/>
        <sz val="11"/>
        <rFont val="Calibri"/>
        <family val="2"/>
        <scheme val="minor"/>
      </rPr>
      <t>mono</t>
    </r>
  </si>
  <si>
    <t>Monovalent activity coefficient</t>
  </si>
  <si>
    <r>
      <t>f</t>
    </r>
    <r>
      <rPr>
        <vertAlign val="subscript"/>
        <sz val="11"/>
        <rFont val="Calibri"/>
        <family val="2"/>
        <scheme val="minor"/>
      </rPr>
      <t>di</t>
    </r>
  </si>
  <si>
    <t>Divalent activity coefficient</t>
  </si>
  <si>
    <r>
      <t>f</t>
    </r>
    <r>
      <rPr>
        <vertAlign val="subscript"/>
        <sz val="11"/>
        <rFont val="Calibri"/>
        <family val="2"/>
        <scheme val="minor"/>
      </rPr>
      <t>tri</t>
    </r>
  </si>
  <si>
    <t>Trivalent activity coefficient</t>
  </si>
  <si>
    <r>
      <t>K</t>
    </r>
    <r>
      <rPr>
        <vertAlign val="subscript"/>
        <sz val="11"/>
        <rFont val="Calibri"/>
        <family val="2"/>
        <scheme val="minor"/>
      </rPr>
      <t>W</t>
    </r>
  </si>
  <si>
    <r>
      <t>K</t>
    </r>
    <r>
      <rPr>
        <vertAlign val="subscript"/>
        <sz val="11"/>
        <rFont val="Calibri"/>
        <family val="2"/>
        <scheme val="minor"/>
      </rPr>
      <t>C1</t>
    </r>
  </si>
  <si>
    <r>
      <t>K</t>
    </r>
    <r>
      <rPr>
        <vertAlign val="subscript"/>
        <sz val="11"/>
        <rFont val="Calibri"/>
        <family val="2"/>
        <scheme val="minor"/>
      </rPr>
      <t>C2</t>
    </r>
  </si>
  <si>
    <t>Yield on ultimate BOD</t>
  </si>
  <si>
    <t>Particulate biochemical oxygen demand (5 days)</t>
  </si>
  <si>
    <t>Total biochemical oxygen demand (5 days)</t>
  </si>
  <si>
    <r>
      <t>SC</t>
    </r>
    <r>
      <rPr>
        <vertAlign val="subscript"/>
        <sz val="11"/>
        <rFont val="Calibri"/>
        <family val="2"/>
        <scheme val="minor"/>
      </rPr>
      <t>COD</t>
    </r>
  </si>
  <si>
    <t>Filtered flocculated chemical oxygen demand</t>
  </si>
  <si>
    <r>
      <t>g O2.m</t>
    </r>
    <r>
      <rPr>
        <vertAlign val="superscript"/>
        <sz val="11"/>
        <rFont val="Calibri"/>
        <family val="2"/>
        <scheme val="minor"/>
      </rPr>
      <t>-3</t>
    </r>
    <r>
      <rPr>
        <sz val="11"/>
        <rFont val="Calibri"/>
        <family val="2"/>
        <scheme val="minor"/>
      </rPr>
      <t>.d</t>
    </r>
    <r>
      <rPr>
        <vertAlign val="superscript"/>
        <sz val="11"/>
        <rFont val="Calibri"/>
        <family val="2"/>
        <scheme val="minor"/>
      </rPr>
      <t>-1</t>
    </r>
  </si>
  <si>
    <t>r40</t>
  </si>
  <si>
    <t>r41</t>
  </si>
  <si>
    <t>Magnesium</t>
  </si>
  <si>
    <r>
      <t>X</t>
    </r>
    <r>
      <rPr>
        <b/>
        <vertAlign val="subscript"/>
        <sz val="12"/>
        <rFont val="Calibri"/>
        <family val="2"/>
        <scheme val="minor"/>
      </rPr>
      <t>STR</t>
    </r>
  </si>
  <si>
    <r>
      <t>K</t>
    </r>
    <r>
      <rPr>
        <vertAlign val="subscript"/>
        <sz val="11"/>
        <rFont val="Calibri"/>
        <family val="2"/>
        <scheme val="minor"/>
      </rPr>
      <t>P1</t>
    </r>
  </si>
  <si>
    <r>
      <t>K</t>
    </r>
    <r>
      <rPr>
        <vertAlign val="subscript"/>
        <sz val="11"/>
        <rFont val="Calibri"/>
        <family val="2"/>
        <scheme val="minor"/>
      </rPr>
      <t>P2</t>
    </r>
  </si>
  <si>
    <r>
      <t>K</t>
    </r>
    <r>
      <rPr>
        <vertAlign val="subscript"/>
        <sz val="11"/>
        <rFont val="Calibri"/>
        <family val="2"/>
        <scheme val="minor"/>
      </rPr>
      <t>P3</t>
    </r>
  </si>
  <si>
    <r>
      <t>g TSS.m</t>
    </r>
    <r>
      <rPr>
        <vertAlign val="superscript"/>
        <sz val="11"/>
        <rFont val="Calibri"/>
        <family val="2"/>
      </rPr>
      <t>-3</t>
    </r>
  </si>
  <si>
    <r>
      <t>AM</t>
    </r>
    <r>
      <rPr>
        <vertAlign val="subscript"/>
        <sz val="11"/>
        <rFont val="Calibri"/>
        <family val="2"/>
        <scheme val="minor"/>
      </rPr>
      <t>C</t>
    </r>
  </si>
  <si>
    <r>
      <t>g.mol</t>
    </r>
    <r>
      <rPr>
        <vertAlign val="superscript"/>
        <sz val="11"/>
        <rFont val="Calibri"/>
        <family val="2"/>
        <scheme val="minor"/>
      </rPr>
      <t>-1</t>
    </r>
  </si>
  <si>
    <r>
      <t>AM</t>
    </r>
    <r>
      <rPr>
        <vertAlign val="subscript"/>
        <sz val="11"/>
        <rFont val="Calibri"/>
        <family val="2"/>
        <scheme val="minor"/>
      </rPr>
      <t>P</t>
    </r>
  </si>
  <si>
    <r>
      <t>AM</t>
    </r>
    <r>
      <rPr>
        <vertAlign val="subscript"/>
        <sz val="11"/>
        <rFont val="Calibri"/>
        <family val="2"/>
        <scheme val="minor"/>
      </rPr>
      <t>N</t>
    </r>
  </si>
  <si>
    <r>
      <t>AM</t>
    </r>
    <r>
      <rPr>
        <vertAlign val="subscript"/>
        <sz val="11"/>
        <rFont val="Calibri"/>
        <family val="2"/>
        <scheme val="minor"/>
      </rPr>
      <t>O</t>
    </r>
  </si>
  <si>
    <r>
      <t>AM</t>
    </r>
    <r>
      <rPr>
        <vertAlign val="subscript"/>
        <sz val="11"/>
        <rFont val="Calibri"/>
        <family val="2"/>
        <scheme val="minor"/>
      </rPr>
      <t>Ca</t>
    </r>
  </si>
  <si>
    <t>Atomic mass of calcium</t>
  </si>
  <si>
    <r>
      <rPr>
        <sz val="11"/>
        <rFont val="Calibri"/>
        <family val="2"/>
        <scheme val="minor"/>
      </rPr>
      <t>AM</t>
    </r>
    <r>
      <rPr>
        <vertAlign val="subscript"/>
        <sz val="11"/>
        <rFont val="Calibri"/>
        <family val="2"/>
        <scheme val="minor"/>
      </rPr>
      <t>Fe</t>
    </r>
  </si>
  <si>
    <r>
      <t>AM</t>
    </r>
    <r>
      <rPr>
        <vertAlign val="subscript"/>
        <sz val="11"/>
        <rFont val="Calibri"/>
        <family val="2"/>
        <scheme val="minor"/>
      </rPr>
      <t>Al</t>
    </r>
  </si>
  <si>
    <r>
      <t>AM</t>
    </r>
    <r>
      <rPr>
        <vertAlign val="subscript"/>
        <sz val="11"/>
        <rFont val="Calibri"/>
        <family val="2"/>
        <scheme val="minor"/>
      </rPr>
      <t>H</t>
    </r>
  </si>
  <si>
    <r>
      <t>AM</t>
    </r>
    <r>
      <rPr>
        <vertAlign val="subscript"/>
        <sz val="11"/>
        <rFont val="Calibri"/>
        <family val="2"/>
        <scheme val="minor"/>
      </rPr>
      <t>Na</t>
    </r>
  </si>
  <si>
    <r>
      <t>AM</t>
    </r>
    <r>
      <rPr>
        <vertAlign val="subscript"/>
        <sz val="11"/>
        <rFont val="Calibri"/>
        <family val="2"/>
        <scheme val="minor"/>
      </rPr>
      <t>Cl</t>
    </r>
  </si>
  <si>
    <t>Atomic mass of chlorine</t>
  </si>
  <si>
    <t>Newton-Raphson</t>
  </si>
  <si>
    <t>Target</t>
  </si>
  <si>
    <t>Minimum</t>
  </si>
  <si>
    <t>Maximum</t>
  </si>
  <si>
    <t>chargebalanceerror</t>
  </si>
  <si>
    <t>pHunit</t>
  </si>
  <si>
    <t>Ionic strength (IS)</t>
  </si>
  <si>
    <t>ISerror</t>
  </si>
  <si>
    <t>ISunit</t>
  </si>
  <si>
    <t>Key cation component</t>
  </si>
  <si>
    <t>0</t>
  </si>
  <si>
    <r>
      <t>mol.L</t>
    </r>
    <r>
      <rPr>
        <vertAlign val="superscript"/>
        <sz val="11"/>
        <rFont val="Calibri"/>
        <family val="2"/>
        <scheme val="minor"/>
      </rPr>
      <t>-1</t>
    </r>
  </si>
  <si>
    <t>Fit ionic strength</t>
  </si>
  <si>
    <r>
      <t>S</t>
    </r>
    <r>
      <rPr>
        <vertAlign val="subscript"/>
        <sz val="11"/>
        <rFont val="Calibri"/>
        <family val="2"/>
        <scheme val="minor"/>
      </rPr>
      <t>CO2</t>
    </r>
  </si>
  <si>
    <t>Main buffer system component</t>
  </si>
  <si>
    <t>SCO2error</t>
  </si>
  <si>
    <t>chargebalance</t>
  </si>
  <si>
    <t>Ionic strength error</t>
  </si>
  <si>
    <t>Alkalinity error for CO2 calculation</t>
  </si>
  <si>
    <r>
      <t>S</t>
    </r>
    <r>
      <rPr>
        <vertAlign val="subscript"/>
        <sz val="11"/>
        <rFont val="Calibri"/>
        <family val="2"/>
        <scheme val="minor"/>
      </rPr>
      <t>ALK</t>
    </r>
    <r>
      <rPr>
        <sz val="11"/>
        <rFont val="Calibri"/>
        <family val="2"/>
        <scheme val="minor"/>
      </rPr>
      <t>-S</t>
    </r>
    <r>
      <rPr>
        <vertAlign val="subscript"/>
        <sz val="11"/>
        <rFont val="Calibri"/>
        <family val="2"/>
        <scheme val="minor"/>
      </rPr>
      <t>ALK,input</t>
    </r>
  </si>
  <si>
    <t>Charge balance and ionic strength</t>
  </si>
  <si>
    <t>Alkalinity (ALK)</t>
  </si>
  <si>
    <t>Equilibrium species</t>
  </si>
  <si>
    <r>
      <t>[H</t>
    </r>
    <r>
      <rPr>
        <b/>
        <vertAlign val="superscript"/>
        <sz val="11"/>
        <rFont val="Calibri"/>
        <family val="2"/>
      </rPr>
      <t>+</t>
    </r>
    <r>
      <rPr>
        <b/>
        <sz val="11"/>
        <rFont val="Calibri"/>
        <family val="2"/>
      </rPr>
      <t>]</t>
    </r>
  </si>
  <si>
    <t>Proton</t>
  </si>
  <si>
    <r>
      <t>[OH</t>
    </r>
    <r>
      <rPr>
        <b/>
        <vertAlign val="superscript"/>
        <sz val="11"/>
        <rFont val="Calibri"/>
        <family val="2"/>
      </rPr>
      <t>-</t>
    </r>
    <r>
      <rPr>
        <b/>
        <sz val="11"/>
        <rFont val="Calibri"/>
        <family val="2"/>
      </rPr>
      <t>]</t>
    </r>
  </si>
  <si>
    <t>Hydroxide ion</t>
  </si>
  <si>
    <r>
      <t>[NH</t>
    </r>
    <r>
      <rPr>
        <b/>
        <vertAlign val="subscript"/>
        <sz val="11"/>
        <rFont val="Calibri"/>
        <family val="2"/>
      </rPr>
      <t>3</t>
    </r>
    <r>
      <rPr>
        <b/>
        <sz val="11"/>
        <rFont val="Calibri"/>
        <family val="2"/>
      </rPr>
      <t>]</t>
    </r>
  </si>
  <si>
    <t>Free ammonia</t>
  </si>
  <si>
    <r>
      <t>[NH</t>
    </r>
    <r>
      <rPr>
        <b/>
        <vertAlign val="subscript"/>
        <sz val="11"/>
        <rFont val="Calibri"/>
        <family val="2"/>
      </rPr>
      <t>4</t>
    </r>
    <r>
      <rPr>
        <b/>
        <vertAlign val="superscript"/>
        <sz val="11"/>
        <rFont val="Calibri"/>
        <family val="2"/>
      </rPr>
      <t>+</t>
    </r>
    <r>
      <rPr>
        <b/>
        <sz val="11"/>
        <rFont val="Calibri"/>
        <family val="2"/>
      </rPr>
      <t>]</t>
    </r>
  </si>
  <si>
    <t>Ammonium</t>
  </si>
  <si>
    <r>
      <t>[H</t>
    </r>
    <r>
      <rPr>
        <b/>
        <vertAlign val="subscript"/>
        <sz val="11"/>
        <rFont val="Calibri"/>
        <family val="2"/>
      </rPr>
      <t>2</t>
    </r>
    <r>
      <rPr>
        <b/>
        <sz val="11"/>
        <rFont val="Calibri"/>
        <family val="2"/>
      </rPr>
      <t>CO</t>
    </r>
    <r>
      <rPr>
        <b/>
        <vertAlign val="subscript"/>
        <sz val="11"/>
        <rFont val="Calibri"/>
        <family val="2"/>
      </rPr>
      <t>3</t>
    </r>
    <r>
      <rPr>
        <b/>
        <sz val="11"/>
        <rFont val="Calibri"/>
        <family val="2"/>
      </rPr>
      <t>]</t>
    </r>
  </si>
  <si>
    <t>Carbonic acid</t>
  </si>
  <si>
    <r>
      <t>[HCO</t>
    </r>
    <r>
      <rPr>
        <b/>
        <vertAlign val="subscript"/>
        <sz val="11"/>
        <rFont val="Calibri"/>
        <family val="2"/>
      </rPr>
      <t>3</t>
    </r>
    <r>
      <rPr>
        <b/>
        <vertAlign val="superscript"/>
        <sz val="11"/>
        <rFont val="Calibri"/>
        <family val="2"/>
      </rPr>
      <t>-</t>
    </r>
    <r>
      <rPr>
        <b/>
        <sz val="11"/>
        <rFont val="Calibri"/>
        <family val="2"/>
      </rPr>
      <t>]</t>
    </r>
  </si>
  <si>
    <t>Bicarbonate ion</t>
  </si>
  <si>
    <r>
      <t>[CO</t>
    </r>
    <r>
      <rPr>
        <b/>
        <vertAlign val="subscript"/>
        <sz val="11"/>
        <rFont val="Calibri"/>
        <family val="2"/>
      </rPr>
      <t>3</t>
    </r>
    <r>
      <rPr>
        <b/>
        <vertAlign val="superscript"/>
        <sz val="11"/>
        <rFont val="Calibri"/>
        <family val="2"/>
      </rPr>
      <t>2-</t>
    </r>
    <r>
      <rPr>
        <b/>
        <sz val="11"/>
        <rFont val="Calibri"/>
        <family val="2"/>
      </rPr>
      <t>]</t>
    </r>
  </si>
  <si>
    <t>Carbonate ion</t>
  </si>
  <si>
    <r>
      <t>[H</t>
    </r>
    <r>
      <rPr>
        <b/>
        <vertAlign val="subscript"/>
        <sz val="11"/>
        <rFont val="Calibri"/>
        <family val="2"/>
      </rPr>
      <t>3</t>
    </r>
    <r>
      <rPr>
        <b/>
        <sz val="11"/>
        <rFont val="Calibri"/>
        <family val="2"/>
      </rPr>
      <t>PO</t>
    </r>
    <r>
      <rPr>
        <b/>
        <vertAlign val="subscript"/>
        <sz val="11"/>
        <rFont val="Calibri"/>
        <family val="2"/>
      </rPr>
      <t>4</t>
    </r>
    <r>
      <rPr>
        <b/>
        <sz val="11"/>
        <rFont val="Calibri"/>
        <family val="2"/>
      </rPr>
      <t>]</t>
    </r>
  </si>
  <si>
    <t>Phosphoric acid</t>
  </si>
  <si>
    <r>
      <t>[H</t>
    </r>
    <r>
      <rPr>
        <b/>
        <vertAlign val="subscript"/>
        <sz val="11"/>
        <rFont val="Calibri"/>
        <family val="2"/>
      </rPr>
      <t>2</t>
    </r>
    <r>
      <rPr>
        <b/>
        <sz val="11"/>
        <rFont val="Calibri"/>
        <family val="2"/>
      </rPr>
      <t>PO</t>
    </r>
    <r>
      <rPr>
        <b/>
        <vertAlign val="subscript"/>
        <sz val="11"/>
        <rFont val="Calibri"/>
        <family val="2"/>
      </rPr>
      <t>4</t>
    </r>
    <r>
      <rPr>
        <b/>
        <vertAlign val="superscript"/>
        <sz val="11"/>
        <rFont val="Calibri"/>
        <family val="2"/>
      </rPr>
      <t>-</t>
    </r>
    <r>
      <rPr>
        <b/>
        <sz val="11"/>
        <rFont val="Calibri"/>
        <family val="2"/>
      </rPr>
      <t>]</t>
    </r>
  </si>
  <si>
    <t>Dihydrogen phosphate ion</t>
  </si>
  <si>
    <r>
      <t>[HPO</t>
    </r>
    <r>
      <rPr>
        <b/>
        <vertAlign val="subscript"/>
        <sz val="11"/>
        <rFont val="Calibri"/>
        <family val="2"/>
      </rPr>
      <t>4</t>
    </r>
    <r>
      <rPr>
        <b/>
        <vertAlign val="superscript"/>
        <sz val="11"/>
        <rFont val="Calibri"/>
        <family val="2"/>
      </rPr>
      <t>2-</t>
    </r>
    <r>
      <rPr>
        <b/>
        <sz val="11"/>
        <rFont val="Calibri"/>
        <family val="2"/>
      </rPr>
      <t>]</t>
    </r>
  </si>
  <si>
    <t>Hydrogen phosphate ion</t>
  </si>
  <si>
    <r>
      <t>[PO</t>
    </r>
    <r>
      <rPr>
        <b/>
        <vertAlign val="subscript"/>
        <sz val="11"/>
        <rFont val="Calibri"/>
        <family val="2"/>
      </rPr>
      <t>4</t>
    </r>
    <r>
      <rPr>
        <b/>
        <vertAlign val="superscript"/>
        <sz val="11"/>
        <rFont val="Calibri"/>
        <family val="2"/>
      </rPr>
      <t>3-</t>
    </r>
    <r>
      <rPr>
        <b/>
        <sz val="11"/>
        <rFont val="Calibri"/>
        <family val="2"/>
      </rPr>
      <t>]</t>
    </r>
  </si>
  <si>
    <t>Phosphate ion</t>
  </si>
  <si>
    <t>[HAc]</t>
  </si>
  <si>
    <t>Acetic acid</t>
  </si>
  <si>
    <r>
      <t>[Ac</t>
    </r>
    <r>
      <rPr>
        <b/>
        <vertAlign val="superscript"/>
        <sz val="11"/>
        <rFont val="Calibri"/>
        <family val="2"/>
      </rPr>
      <t>-</t>
    </r>
    <r>
      <rPr>
        <b/>
        <sz val="11"/>
        <rFont val="Calibri"/>
        <family val="2"/>
      </rPr>
      <t>]</t>
    </r>
  </si>
  <si>
    <t>Acetate ion</t>
  </si>
  <si>
    <t>Nitrate ion</t>
  </si>
  <si>
    <r>
      <t>[NO</t>
    </r>
    <r>
      <rPr>
        <b/>
        <vertAlign val="subscript"/>
        <sz val="11"/>
        <rFont val="Calibri"/>
        <family val="2"/>
      </rPr>
      <t>3</t>
    </r>
    <r>
      <rPr>
        <b/>
        <vertAlign val="superscript"/>
        <sz val="11"/>
        <rFont val="Calibri"/>
        <family val="2"/>
      </rPr>
      <t>-</t>
    </r>
    <r>
      <rPr>
        <b/>
        <sz val="11"/>
        <rFont val="Calibri"/>
        <family val="2"/>
      </rPr>
      <t>]</t>
    </r>
  </si>
  <si>
    <r>
      <t>diss</t>
    </r>
    <r>
      <rPr>
        <vertAlign val="subscript"/>
        <sz val="11"/>
        <rFont val="Calibri"/>
        <family val="2"/>
      </rPr>
      <t>H2O</t>
    </r>
  </si>
  <si>
    <r>
      <t>K</t>
    </r>
    <r>
      <rPr>
        <vertAlign val="subscript"/>
        <sz val="11"/>
        <rFont val="Calibri"/>
        <family val="2"/>
      </rPr>
      <t>W</t>
    </r>
    <r>
      <rPr>
        <sz val="11"/>
        <rFont val="Calibri"/>
        <family val="2"/>
      </rPr>
      <t>/[H</t>
    </r>
    <r>
      <rPr>
        <vertAlign val="superscript"/>
        <sz val="11"/>
        <rFont val="Calibri"/>
        <family val="2"/>
      </rPr>
      <t>+</t>
    </r>
    <r>
      <rPr>
        <sz val="11"/>
        <rFont val="Calibri"/>
        <family val="2"/>
      </rPr>
      <t>]</t>
    </r>
  </si>
  <si>
    <r>
      <t>S</t>
    </r>
    <r>
      <rPr>
        <vertAlign val="subscript"/>
        <sz val="11"/>
        <rFont val="Calibri"/>
        <family val="2"/>
      </rPr>
      <t>NOx</t>
    </r>
    <r>
      <rPr>
        <sz val="11"/>
        <rFont val="Calibri"/>
        <family val="2"/>
      </rPr>
      <t>/(AM</t>
    </r>
    <r>
      <rPr>
        <vertAlign val="subscript"/>
        <sz val="11"/>
        <rFont val="Calibri"/>
        <family val="2"/>
      </rPr>
      <t>N</t>
    </r>
    <r>
      <rPr>
        <sz val="11"/>
        <rFont val="Calibri"/>
        <family val="2"/>
      </rPr>
      <t>*1000)</t>
    </r>
  </si>
  <si>
    <r>
      <t>diss</t>
    </r>
    <r>
      <rPr>
        <vertAlign val="subscript"/>
        <sz val="11"/>
        <rFont val="Calibri"/>
        <family val="2"/>
      </rPr>
      <t>CO2</t>
    </r>
  </si>
  <si>
    <r>
      <t>diss</t>
    </r>
    <r>
      <rPr>
        <vertAlign val="subscript"/>
        <sz val="11"/>
        <rFont val="Calibri"/>
        <family val="2"/>
      </rPr>
      <t>PO4</t>
    </r>
  </si>
  <si>
    <r>
      <t>S</t>
    </r>
    <r>
      <rPr>
        <vertAlign val="subscript"/>
        <sz val="11"/>
        <rFont val="Calibri"/>
        <family val="2"/>
      </rPr>
      <t>PO4</t>
    </r>
    <r>
      <rPr>
        <sz val="11"/>
        <rFont val="Calibri"/>
        <family val="2"/>
      </rPr>
      <t>/(AM</t>
    </r>
    <r>
      <rPr>
        <vertAlign val="subscript"/>
        <sz val="11"/>
        <rFont val="Calibri"/>
        <family val="2"/>
      </rPr>
      <t>P</t>
    </r>
    <r>
      <rPr>
        <sz val="11"/>
        <rFont val="Calibri"/>
        <family val="2"/>
      </rPr>
      <t>*1000)*[H</t>
    </r>
    <r>
      <rPr>
        <vertAlign val="superscript"/>
        <sz val="11"/>
        <rFont val="Calibri"/>
        <family val="2"/>
      </rPr>
      <t>+</t>
    </r>
    <r>
      <rPr>
        <sz val="11"/>
        <rFont val="Calibri"/>
        <family val="2"/>
      </rPr>
      <t>]^3/([H</t>
    </r>
    <r>
      <rPr>
        <vertAlign val="superscript"/>
        <sz val="11"/>
        <rFont val="Calibri"/>
        <family val="2"/>
      </rPr>
      <t>+</t>
    </r>
    <r>
      <rPr>
        <sz val="11"/>
        <rFont val="Calibri"/>
        <family val="2"/>
      </rPr>
      <t>]^3+[H</t>
    </r>
    <r>
      <rPr>
        <vertAlign val="superscript"/>
        <sz val="11"/>
        <rFont val="Calibri"/>
        <family val="2"/>
      </rPr>
      <t>+</t>
    </r>
    <r>
      <rPr>
        <sz val="11"/>
        <rFont val="Calibri"/>
        <family val="2"/>
      </rPr>
      <t>]^2*K</t>
    </r>
    <r>
      <rPr>
        <vertAlign val="subscript"/>
        <sz val="11"/>
        <rFont val="Calibri"/>
        <family val="2"/>
      </rPr>
      <t>P1</t>
    </r>
    <r>
      <rPr>
        <sz val="11"/>
        <rFont val="Calibri"/>
        <family val="2"/>
      </rPr>
      <t>+K</t>
    </r>
    <r>
      <rPr>
        <vertAlign val="subscript"/>
        <sz val="11"/>
        <rFont val="Calibri"/>
        <family val="2"/>
      </rPr>
      <t>P2</t>
    </r>
    <r>
      <rPr>
        <sz val="11"/>
        <rFont val="Calibri"/>
        <family val="2"/>
      </rPr>
      <t>*[H</t>
    </r>
    <r>
      <rPr>
        <vertAlign val="superscript"/>
        <sz val="11"/>
        <rFont val="Calibri"/>
        <family val="2"/>
      </rPr>
      <t>+</t>
    </r>
    <r>
      <rPr>
        <sz val="11"/>
        <rFont val="Calibri"/>
        <family val="2"/>
      </rPr>
      <t>]*K</t>
    </r>
    <r>
      <rPr>
        <vertAlign val="subscript"/>
        <sz val="11"/>
        <rFont val="Calibri"/>
        <family val="2"/>
      </rPr>
      <t>P1</t>
    </r>
    <r>
      <rPr>
        <sz val="11"/>
        <rFont val="Calibri"/>
        <family val="2"/>
      </rPr>
      <t>+K</t>
    </r>
    <r>
      <rPr>
        <vertAlign val="subscript"/>
        <sz val="11"/>
        <rFont val="Calibri"/>
        <family val="2"/>
      </rPr>
      <t>P2</t>
    </r>
    <r>
      <rPr>
        <sz val="11"/>
        <rFont val="Calibri"/>
        <family val="2"/>
      </rPr>
      <t>*K</t>
    </r>
    <r>
      <rPr>
        <vertAlign val="subscript"/>
        <sz val="11"/>
        <rFont val="Calibri"/>
        <family val="2"/>
      </rPr>
      <t>P1</t>
    </r>
    <r>
      <rPr>
        <sz val="11"/>
        <rFont val="Calibri"/>
        <family val="2"/>
      </rPr>
      <t>*K</t>
    </r>
    <r>
      <rPr>
        <vertAlign val="subscript"/>
        <sz val="11"/>
        <rFont val="Calibri"/>
        <family val="2"/>
      </rPr>
      <t>P3</t>
    </r>
    <r>
      <rPr>
        <sz val="11"/>
        <rFont val="Calibri"/>
        <family val="2"/>
      </rPr>
      <t>)</t>
    </r>
  </si>
  <si>
    <r>
      <t>[H</t>
    </r>
    <r>
      <rPr>
        <vertAlign val="superscript"/>
        <sz val="11"/>
        <rFont val="Calibri"/>
        <family val="2"/>
      </rPr>
      <t>+</t>
    </r>
    <r>
      <rPr>
        <sz val="11"/>
        <rFont val="Calibri"/>
        <family val="2"/>
      </rPr>
      <t>]^2*K</t>
    </r>
    <r>
      <rPr>
        <vertAlign val="subscript"/>
        <sz val="11"/>
        <rFont val="Calibri"/>
        <family val="2"/>
      </rPr>
      <t>P1</t>
    </r>
    <r>
      <rPr>
        <sz val="11"/>
        <rFont val="Calibri"/>
        <family val="2"/>
      </rPr>
      <t>*S</t>
    </r>
    <r>
      <rPr>
        <vertAlign val="subscript"/>
        <sz val="11"/>
        <rFont val="Calibri"/>
        <family val="2"/>
      </rPr>
      <t>PO4</t>
    </r>
    <r>
      <rPr>
        <sz val="11"/>
        <rFont val="Calibri"/>
        <family val="2"/>
      </rPr>
      <t>/(AM</t>
    </r>
    <r>
      <rPr>
        <vertAlign val="subscript"/>
        <sz val="11"/>
        <rFont val="Calibri"/>
        <family val="2"/>
      </rPr>
      <t>P</t>
    </r>
    <r>
      <rPr>
        <sz val="11"/>
        <rFont val="Calibri"/>
        <family val="2"/>
      </rPr>
      <t>*1000)/([H</t>
    </r>
    <r>
      <rPr>
        <vertAlign val="superscript"/>
        <sz val="11"/>
        <rFont val="Calibri"/>
        <family val="2"/>
      </rPr>
      <t>+</t>
    </r>
    <r>
      <rPr>
        <sz val="11"/>
        <rFont val="Calibri"/>
        <family val="2"/>
      </rPr>
      <t>]^3+[H</t>
    </r>
    <r>
      <rPr>
        <vertAlign val="superscript"/>
        <sz val="11"/>
        <rFont val="Calibri"/>
        <family val="2"/>
      </rPr>
      <t>+</t>
    </r>
    <r>
      <rPr>
        <sz val="11"/>
        <rFont val="Calibri"/>
        <family val="2"/>
      </rPr>
      <t>]^2*K</t>
    </r>
    <r>
      <rPr>
        <vertAlign val="subscript"/>
        <sz val="11"/>
        <rFont val="Calibri"/>
        <family val="2"/>
      </rPr>
      <t>P1</t>
    </r>
    <r>
      <rPr>
        <sz val="11"/>
        <rFont val="Calibri"/>
        <family val="2"/>
      </rPr>
      <t>+K</t>
    </r>
    <r>
      <rPr>
        <vertAlign val="subscript"/>
        <sz val="11"/>
        <rFont val="Calibri"/>
        <family val="2"/>
      </rPr>
      <t>P2</t>
    </r>
    <r>
      <rPr>
        <sz val="11"/>
        <rFont val="Calibri"/>
        <family val="2"/>
      </rPr>
      <t>*[H</t>
    </r>
    <r>
      <rPr>
        <vertAlign val="superscript"/>
        <sz val="11"/>
        <rFont val="Calibri"/>
        <family val="2"/>
      </rPr>
      <t>+</t>
    </r>
    <r>
      <rPr>
        <sz val="11"/>
        <rFont val="Calibri"/>
        <family val="2"/>
      </rPr>
      <t>]*K</t>
    </r>
    <r>
      <rPr>
        <vertAlign val="subscript"/>
        <sz val="11"/>
        <rFont val="Calibri"/>
        <family val="2"/>
      </rPr>
      <t>P1</t>
    </r>
    <r>
      <rPr>
        <sz val="11"/>
        <rFont val="Calibri"/>
        <family val="2"/>
      </rPr>
      <t>+K</t>
    </r>
    <r>
      <rPr>
        <vertAlign val="subscript"/>
        <sz val="11"/>
        <rFont val="Calibri"/>
        <family val="2"/>
      </rPr>
      <t>P2</t>
    </r>
    <r>
      <rPr>
        <sz val="11"/>
        <rFont val="Calibri"/>
        <family val="2"/>
      </rPr>
      <t>*K</t>
    </r>
    <r>
      <rPr>
        <vertAlign val="subscript"/>
        <sz val="11"/>
        <rFont val="Calibri"/>
        <family val="2"/>
      </rPr>
      <t>P1</t>
    </r>
    <r>
      <rPr>
        <sz val="11"/>
        <rFont val="Calibri"/>
        <family val="2"/>
      </rPr>
      <t>*K</t>
    </r>
    <r>
      <rPr>
        <vertAlign val="subscript"/>
        <sz val="11"/>
        <rFont val="Calibri"/>
        <family val="2"/>
      </rPr>
      <t>P3</t>
    </r>
    <r>
      <rPr>
        <sz val="11"/>
        <rFont val="Calibri"/>
        <family val="2"/>
      </rPr>
      <t>)</t>
    </r>
  </si>
  <si>
    <r>
      <t>[H</t>
    </r>
    <r>
      <rPr>
        <vertAlign val="superscript"/>
        <sz val="11"/>
        <rFont val="Calibri"/>
        <family val="2"/>
      </rPr>
      <t>+</t>
    </r>
    <r>
      <rPr>
        <sz val="11"/>
        <rFont val="Calibri"/>
        <family val="2"/>
      </rPr>
      <t>]*K</t>
    </r>
    <r>
      <rPr>
        <vertAlign val="subscript"/>
        <sz val="11"/>
        <rFont val="Calibri"/>
        <family val="2"/>
      </rPr>
      <t>P2</t>
    </r>
    <r>
      <rPr>
        <sz val="11"/>
        <rFont val="Calibri"/>
        <family val="2"/>
      </rPr>
      <t>/([H</t>
    </r>
    <r>
      <rPr>
        <vertAlign val="superscript"/>
        <sz val="11"/>
        <rFont val="Calibri"/>
        <family val="2"/>
      </rPr>
      <t>+</t>
    </r>
    <r>
      <rPr>
        <sz val="11"/>
        <rFont val="Calibri"/>
        <family val="2"/>
      </rPr>
      <t>]^3+[H</t>
    </r>
    <r>
      <rPr>
        <vertAlign val="superscript"/>
        <sz val="11"/>
        <rFont val="Calibri"/>
        <family val="2"/>
      </rPr>
      <t>+</t>
    </r>
    <r>
      <rPr>
        <sz val="11"/>
        <rFont val="Calibri"/>
        <family val="2"/>
      </rPr>
      <t>]^2*K</t>
    </r>
    <r>
      <rPr>
        <vertAlign val="subscript"/>
        <sz val="11"/>
        <rFont val="Calibri"/>
        <family val="2"/>
      </rPr>
      <t>P1</t>
    </r>
    <r>
      <rPr>
        <sz val="11"/>
        <rFont val="Calibri"/>
        <family val="2"/>
      </rPr>
      <t>+K</t>
    </r>
    <r>
      <rPr>
        <vertAlign val="subscript"/>
        <sz val="11"/>
        <rFont val="Calibri"/>
        <family val="2"/>
      </rPr>
      <t>P2</t>
    </r>
    <r>
      <rPr>
        <sz val="11"/>
        <rFont val="Calibri"/>
        <family val="2"/>
      </rPr>
      <t>*[H</t>
    </r>
    <r>
      <rPr>
        <vertAlign val="superscript"/>
        <sz val="11"/>
        <rFont val="Calibri"/>
        <family val="2"/>
      </rPr>
      <t>+</t>
    </r>
    <r>
      <rPr>
        <sz val="11"/>
        <rFont val="Calibri"/>
        <family val="2"/>
      </rPr>
      <t>]*K</t>
    </r>
    <r>
      <rPr>
        <vertAlign val="subscript"/>
        <sz val="11"/>
        <rFont val="Calibri"/>
        <family val="2"/>
      </rPr>
      <t>P1</t>
    </r>
    <r>
      <rPr>
        <sz val="11"/>
        <rFont val="Calibri"/>
        <family val="2"/>
      </rPr>
      <t>+K</t>
    </r>
    <r>
      <rPr>
        <vertAlign val="subscript"/>
        <sz val="11"/>
        <rFont val="Calibri"/>
        <family val="2"/>
      </rPr>
      <t>P2</t>
    </r>
    <r>
      <rPr>
        <sz val="11"/>
        <rFont val="Calibri"/>
        <family val="2"/>
      </rPr>
      <t>*K</t>
    </r>
    <r>
      <rPr>
        <vertAlign val="subscript"/>
        <sz val="11"/>
        <rFont val="Calibri"/>
        <family val="2"/>
      </rPr>
      <t>P1</t>
    </r>
    <r>
      <rPr>
        <sz val="11"/>
        <rFont val="Calibri"/>
        <family val="2"/>
      </rPr>
      <t>*K</t>
    </r>
    <r>
      <rPr>
        <vertAlign val="subscript"/>
        <sz val="11"/>
        <rFont val="Calibri"/>
        <family val="2"/>
      </rPr>
      <t>P3</t>
    </r>
    <r>
      <rPr>
        <sz val="11"/>
        <rFont val="Calibri"/>
        <family val="2"/>
      </rPr>
      <t>)*K</t>
    </r>
    <r>
      <rPr>
        <vertAlign val="subscript"/>
        <sz val="11"/>
        <rFont val="Calibri"/>
        <family val="2"/>
      </rPr>
      <t>P1</t>
    </r>
    <r>
      <rPr>
        <sz val="11"/>
        <rFont val="Calibri"/>
        <family val="2"/>
      </rPr>
      <t>*S</t>
    </r>
    <r>
      <rPr>
        <vertAlign val="subscript"/>
        <sz val="11"/>
        <rFont val="Calibri"/>
        <family val="2"/>
      </rPr>
      <t>PO4</t>
    </r>
    <r>
      <rPr>
        <sz val="11"/>
        <rFont val="Calibri"/>
        <family val="2"/>
      </rPr>
      <t>/(AM</t>
    </r>
    <r>
      <rPr>
        <vertAlign val="subscript"/>
        <sz val="11"/>
        <rFont val="Calibri"/>
        <family val="2"/>
      </rPr>
      <t>P</t>
    </r>
    <r>
      <rPr>
        <sz val="11"/>
        <rFont val="Calibri"/>
        <family val="2"/>
      </rPr>
      <t>*1000)</t>
    </r>
  </si>
  <si>
    <r>
      <t>K</t>
    </r>
    <r>
      <rPr>
        <vertAlign val="subscript"/>
        <sz val="11"/>
        <rFont val="Calibri"/>
        <family val="2"/>
      </rPr>
      <t>P3</t>
    </r>
    <r>
      <rPr>
        <sz val="11"/>
        <rFont val="Calibri"/>
        <family val="2"/>
      </rPr>
      <t>*K</t>
    </r>
    <r>
      <rPr>
        <vertAlign val="subscript"/>
        <sz val="11"/>
        <rFont val="Calibri"/>
        <family val="2"/>
      </rPr>
      <t>P2</t>
    </r>
    <r>
      <rPr>
        <sz val="11"/>
        <rFont val="Calibri"/>
        <family val="2"/>
      </rPr>
      <t>/([H</t>
    </r>
    <r>
      <rPr>
        <vertAlign val="superscript"/>
        <sz val="11"/>
        <rFont val="Calibri"/>
        <family val="2"/>
      </rPr>
      <t>+</t>
    </r>
    <r>
      <rPr>
        <sz val="11"/>
        <rFont val="Calibri"/>
        <family val="2"/>
      </rPr>
      <t>]^3+[H</t>
    </r>
    <r>
      <rPr>
        <vertAlign val="superscript"/>
        <sz val="11"/>
        <rFont val="Calibri"/>
        <family val="2"/>
      </rPr>
      <t>+</t>
    </r>
    <r>
      <rPr>
        <sz val="11"/>
        <rFont val="Calibri"/>
        <family val="2"/>
      </rPr>
      <t>]^2*K</t>
    </r>
    <r>
      <rPr>
        <vertAlign val="subscript"/>
        <sz val="11"/>
        <rFont val="Calibri"/>
        <family val="2"/>
      </rPr>
      <t>P1</t>
    </r>
    <r>
      <rPr>
        <sz val="11"/>
        <rFont val="Calibri"/>
        <family val="2"/>
      </rPr>
      <t>+K</t>
    </r>
    <r>
      <rPr>
        <vertAlign val="subscript"/>
        <sz val="11"/>
        <rFont val="Calibri"/>
        <family val="2"/>
      </rPr>
      <t>P2</t>
    </r>
    <r>
      <rPr>
        <sz val="11"/>
        <rFont val="Calibri"/>
        <family val="2"/>
      </rPr>
      <t>*[H</t>
    </r>
    <r>
      <rPr>
        <vertAlign val="superscript"/>
        <sz val="11"/>
        <rFont val="Calibri"/>
        <family val="2"/>
      </rPr>
      <t>+</t>
    </r>
    <r>
      <rPr>
        <sz val="11"/>
        <rFont val="Calibri"/>
        <family val="2"/>
      </rPr>
      <t>]*K</t>
    </r>
    <r>
      <rPr>
        <vertAlign val="subscript"/>
        <sz val="11"/>
        <rFont val="Calibri"/>
        <family val="2"/>
      </rPr>
      <t>P1</t>
    </r>
    <r>
      <rPr>
        <sz val="11"/>
        <rFont val="Calibri"/>
        <family val="2"/>
      </rPr>
      <t>+K</t>
    </r>
    <r>
      <rPr>
        <vertAlign val="subscript"/>
        <sz val="11"/>
        <rFont val="Calibri"/>
        <family val="2"/>
      </rPr>
      <t>P2</t>
    </r>
    <r>
      <rPr>
        <sz val="11"/>
        <rFont val="Calibri"/>
        <family val="2"/>
      </rPr>
      <t>*K</t>
    </r>
    <r>
      <rPr>
        <vertAlign val="subscript"/>
        <sz val="11"/>
        <rFont val="Calibri"/>
        <family val="2"/>
      </rPr>
      <t>P1</t>
    </r>
    <r>
      <rPr>
        <sz val="11"/>
        <rFont val="Calibri"/>
        <family val="2"/>
      </rPr>
      <t>*K</t>
    </r>
    <r>
      <rPr>
        <vertAlign val="subscript"/>
        <sz val="11"/>
        <rFont val="Calibri"/>
        <family val="2"/>
      </rPr>
      <t>P3</t>
    </r>
    <r>
      <rPr>
        <sz val="11"/>
        <rFont val="Calibri"/>
        <family val="2"/>
      </rPr>
      <t>)*K</t>
    </r>
    <r>
      <rPr>
        <vertAlign val="subscript"/>
        <sz val="11"/>
        <rFont val="Calibri"/>
        <family val="2"/>
      </rPr>
      <t>P1</t>
    </r>
    <r>
      <rPr>
        <sz val="11"/>
        <rFont val="Calibri"/>
        <family val="2"/>
      </rPr>
      <t>*S</t>
    </r>
    <r>
      <rPr>
        <vertAlign val="subscript"/>
        <sz val="11"/>
        <rFont val="Calibri"/>
        <family val="2"/>
      </rPr>
      <t>PO4</t>
    </r>
    <r>
      <rPr>
        <sz val="11"/>
        <rFont val="Calibri"/>
        <family val="2"/>
      </rPr>
      <t>/(AM</t>
    </r>
    <r>
      <rPr>
        <vertAlign val="subscript"/>
        <sz val="11"/>
        <rFont val="Calibri"/>
        <family val="2"/>
      </rPr>
      <t>P</t>
    </r>
    <r>
      <rPr>
        <sz val="11"/>
        <rFont val="Calibri"/>
        <family val="2"/>
      </rPr>
      <t>*1000)</t>
    </r>
  </si>
  <si>
    <r>
      <t>diss</t>
    </r>
    <r>
      <rPr>
        <vertAlign val="subscript"/>
        <sz val="11"/>
        <rFont val="Calibri"/>
        <family val="2"/>
      </rPr>
      <t>VFA</t>
    </r>
  </si>
  <si>
    <r>
      <t>map</t>
    </r>
    <r>
      <rPr>
        <vertAlign val="subscript"/>
        <sz val="11"/>
        <rFont val="Calibri"/>
        <family val="2"/>
      </rPr>
      <t>Na</t>
    </r>
  </si>
  <si>
    <r>
      <t>map</t>
    </r>
    <r>
      <rPr>
        <vertAlign val="subscript"/>
        <sz val="11"/>
        <rFont val="Calibri"/>
        <family val="2"/>
      </rPr>
      <t>Cl</t>
    </r>
  </si>
  <si>
    <t>G</t>
  </si>
  <si>
    <t>r42</t>
  </si>
  <si>
    <t>r43</t>
  </si>
  <si>
    <t>r45</t>
  </si>
  <si>
    <t>r46</t>
  </si>
  <si>
    <t>Calculated gas transfer coefficients</t>
  </si>
  <si>
    <r>
      <t>d</t>
    </r>
    <r>
      <rPr>
        <vertAlign val="superscript"/>
        <sz val="11"/>
        <rFont val="Calibri"/>
        <family val="2"/>
        <scheme val="minor"/>
      </rPr>
      <t>-1</t>
    </r>
  </si>
  <si>
    <r>
      <t>mol.L</t>
    </r>
    <r>
      <rPr>
        <vertAlign val="superscript"/>
        <sz val="11"/>
        <rFont val="Calibri"/>
        <family val="2"/>
        <scheme val="minor"/>
      </rPr>
      <t>-1</t>
    </r>
    <r>
      <rPr>
        <sz val="11"/>
        <rFont val="Calibri"/>
        <family val="2"/>
        <scheme val="minor"/>
      </rPr>
      <t>.bar</t>
    </r>
    <r>
      <rPr>
        <vertAlign val="superscript"/>
        <sz val="11"/>
        <rFont val="Calibri"/>
        <family val="2"/>
        <scheme val="minor"/>
      </rPr>
      <t>-1</t>
    </r>
  </si>
  <si>
    <r>
      <t>Henry coefficient for CH</t>
    </r>
    <r>
      <rPr>
        <vertAlign val="subscript"/>
        <sz val="11"/>
        <rFont val="Calibri"/>
        <family val="2"/>
        <scheme val="minor"/>
      </rPr>
      <t xml:space="preserve">4 </t>
    </r>
    <r>
      <rPr>
        <sz val="11"/>
        <rFont val="Calibri"/>
        <family val="2"/>
        <scheme val="minor"/>
      </rPr>
      <t>@25°C</t>
    </r>
  </si>
  <si>
    <r>
      <t>MM</t>
    </r>
    <r>
      <rPr>
        <vertAlign val="subscript"/>
        <sz val="11"/>
        <rFont val="Calibri"/>
        <family val="2"/>
        <scheme val="minor"/>
      </rPr>
      <t>GO2</t>
    </r>
  </si>
  <si>
    <t>Molecular mass of oxygen</t>
  </si>
  <si>
    <r>
      <t>MM</t>
    </r>
    <r>
      <rPr>
        <vertAlign val="subscript"/>
        <sz val="11"/>
        <rFont val="Calibri"/>
        <family val="2"/>
        <scheme val="minor"/>
      </rPr>
      <t>O2</t>
    </r>
  </si>
  <si>
    <r>
      <t>MM</t>
    </r>
    <r>
      <rPr>
        <vertAlign val="subscript"/>
        <sz val="11"/>
        <rFont val="Calibri"/>
        <family val="2"/>
        <scheme val="minor"/>
      </rPr>
      <t>N2</t>
    </r>
  </si>
  <si>
    <t>Molecular mass of nitrogen</t>
  </si>
  <si>
    <r>
      <t>MM</t>
    </r>
    <r>
      <rPr>
        <vertAlign val="subscript"/>
        <sz val="11"/>
        <rFont val="Calibri"/>
        <family val="2"/>
        <scheme val="minor"/>
      </rPr>
      <t>GN2</t>
    </r>
  </si>
  <si>
    <t>Molecular mass of hydrogen</t>
  </si>
  <si>
    <t>Molecular mass of methane</t>
  </si>
  <si>
    <t>Diffusion coefficient of oxygen in water</t>
  </si>
  <si>
    <t>Diffusion coefficient of nitrogen in water</t>
  </si>
  <si>
    <t>Diffusion coefficient of carbon dioxide in water</t>
  </si>
  <si>
    <t>Diffusion coefficient of hydrogen in water @ 25°C</t>
  </si>
  <si>
    <t>Diffusion coefficient of methane in water @ 25°C</t>
  </si>
  <si>
    <r>
      <t>MM</t>
    </r>
    <r>
      <rPr>
        <vertAlign val="subscript"/>
        <sz val="11"/>
        <rFont val="Calibri"/>
        <family val="2"/>
        <scheme val="minor"/>
      </rPr>
      <t>GH2</t>
    </r>
  </si>
  <si>
    <r>
      <t>MM</t>
    </r>
    <r>
      <rPr>
        <vertAlign val="subscript"/>
        <sz val="11"/>
        <rFont val="Calibri"/>
        <family val="2"/>
        <scheme val="minor"/>
      </rPr>
      <t>GCH4</t>
    </r>
  </si>
  <si>
    <t>r47</t>
  </si>
  <si>
    <t>r48</t>
  </si>
  <si>
    <t>r49</t>
  </si>
  <si>
    <t>Total HFOs</t>
  </si>
  <si>
    <r>
      <t>g Fe.m</t>
    </r>
    <r>
      <rPr>
        <vertAlign val="superscript"/>
        <sz val="8"/>
        <rFont val="Arial"/>
        <family val="2"/>
      </rPr>
      <t>-3</t>
    </r>
  </si>
  <si>
    <t>Henry coefficients</t>
  </si>
  <si>
    <t>Low limit</t>
  </si>
  <si>
    <t>High limit</t>
  </si>
  <si>
    <r>
      <t>Henry coefficient for O</t>
    </r>
    <r>
      <rPr>
        <vertAlign val="subscript"/>
        <sz val="11"/>
        <rFont val="Calibri"/>
        <family val="2"/>
        <scheme val="minor"/>
      </rPr>
      <t xml:space="preserve">2 </t>
    </r>
    <r>
      <rPr>
        <sz val="11"/>
        <rFont val="Calibri"/>
        <family val="2"/>
        <scheme val="minor"/>
      </rPr>
      <t>@25°C</t>
    </r>
  </si>
  <si>
    <r>
      <t>Temperature dependency factor for O</t>
    </r>
    <r>
      <rPr>
        <vertAlign val="subscript"/>
        <sz val="11"/>
        <rFont val="Calibri"/>
        <family val="2"/>
        <scheme val="minor"/>
      </rPr>
      <t>2</t>
    </r>
    <r>
      <rPr>
        <sz val="11"/>
        <rFont val="Calibri"/>
        <family val="2"/>
        <scheme val="minor"/>
      </rPr>
      <t xml:space="preserve"> Henry coefficient</t>
    </r>
  </si>
  <si>
    <t>K</t>
  </si>
  <si>
    <r>
      <t>Henry coefficient for CO</t>
    </r>
    <r>
      <rPr>
        <vertAlign val="subscript"/>
        <sz val="11"/>
        <rFont val="Calibri"/>
        <family val="2"/>
        <scheme val="minor"/>
      </rPr>
      <t xml:space="preserve">2 </t>
    </r>
    <r>
      <rPr>
        <sz val="11"/>
        <rFont val="Calibri"/>
        <family val="2"/>
        <scheme val="minor"/>
      </rPr>
      <t>@25°C</t>
    </r>
  </si>
  <si>
    <r>
      <t>Temperature dependency factor for N</t>
    </r>
    <r>
      <rPr>
        <vertAlign val="subscript"/>
        <sz val="11"/>
        <rFont val="Calibri"/>
        <family val="2"/>
        <scheme val="minor"/>
      </rPr>
      <t>2</t>
    </r>
    <r>
      <rPr>
        <sz val="11"/>
        <rFont val="Calibri"/>
        <family val="2"/>
        <scheme val="minor"/>
      </rPr>
      <t>O Henry coefficient</t>
    </r>
  </si>
  <si>
    <t>Henry coefficient for NO @25°C</t>
  </si>
  <si>
    <t>Temperature dependency factor for NO Henry coefficient</t>
  </si>
  <si>
    <r>
      <t>Henry coefficient for N</t>
    </r>
    <r>
      <rPr>
        <vertAlign val="subscript"/>
        <sz val="11"/>
        <rFont val="Calibri"/>
        <family val="2"/>
        <scheme val="minor"/>
      </rPr>
      <t>2</t>
    </r>
    <r>
      <rPr>
        <sz val="11"/>
        <rFont val="Calibri"/>
        <family val="2"/>
        <scheme val="minor"/>
      </rPr>
      <t>O @25°C</t>
    </r>
  </si>
  <si>
    <r>
      <t>Henry coefficient for N</t>
    </r>
    <r>
      <rPr>
        <vertAlign val="subscript"/>
        <sz val="11"/>
        <rFont val="Calibri"/>
        <family val="2"/>
        <scheme val="minor"/>
      </rPr>
      <t xml:space="preserve">2 </t>
    </r>
    <r>
      <rPr>
        <sz val="11"/>
        <rFont val="Calibri"/>
        <family val="2"/>
        <scheme val="minor"/>
      </rPr>
      <t>@25°C</t>
    </r>
  </si>
  <si>
    <r>
      <t>Temperature dependency factor for N</t>
    </r>
    <r>
      <rPr>
        <vertAlign val="subscript"/>
        <sz val="11"/>
        <rFont val="Calibri"/>
        <family val="2"/>
        <scheme val="minor"/>
      </rPr>
      <t>2</t>
    </r>
    <r>
      <rPr>
        <sz val="11"/>
        <rFont val="Calibri"/>
        <family val="2"/>
        <scheme val="minor"/>
      </rPr>
      <t xml:space="preserve"> Henry coefficient</t>
    </r>
  </si>
  <si>
    <r>
      <t>Henry coefficient for H</t>
    </r>
    <r>
      <rPr>
        <vertAlign val="subscript"/>
        <sz val="11"/>
        <rFont val="Calibri"/>
        <family val="2"/>
        <scheme val="minor"/>
      </rPr>
      <t xml:space="preserve">2 </t>
    </r>
    <r>
      <rPr>
        <sz val="11"/>
        <rFont val="Calibri"/>
        <family val="2"/>
        <scheme val="minor"/>
      </rPr>
      <t>@25°C</t>
    </r>
  </si>
  <si>
    <r>
      <t>Temperature dependency factor for H</t>
    </r>
    <r>
      <rPr>
        <vertAlign val="subscript"/>
        <sz val="11"/>
        <rFont val="Calibri"/>
        <family val="2"/>
        <scheme val="minor"/>
      </rPr>
      <t>2</t>
    </r>
    <r>
      <rPr>
        <sz val="11"/>
        <rFont val="Calibri"/>
        <family val="2"/>
        <scheme val="minor"/>
      </rPr>
      <t xml:space="preserve"> Henry coefficient</t>
    </r>
  </si>
  <si>
    <r>
      <t>Temperature dependency factor for CH</t>
    </r>
    <r>
      <rPr>
        <vertAlign val="subscript"/>
        <sz val="11"/>
        <rFont val="Calibri"/>
        <family val="2"/>
        <scheme val="minor"/>
      </rPr>
      <t>4</t>
    </r>
    <r>
      <rPr>
        <sz val="11"/>
        <rFont val="Calibri"/>
        <family val="2"/>
        <scheme val="minor"/>
      </rPr>
      <t xml:space="preserve"> Henry coefficient</t>
    </r>
  </si>
  <si>
    <r>
      <t>m</t>
    </r>
    <r>
      <rPr>
        <vertAlign val="superscript"/>
        <sz val="11"/>
        <rFont val="Calibri"/>
        <family val="2"/>
        <scheme val="minor"/>
      </rPr>
      <t>2</t>
    </r>
    <r>
      <rPr>
        <sz val="11"/>
        <rFont val="Calibri"/>
        <family val="2"/>
        <scheme val="minor"/>
      </rPr>
      <t>.d</t>
    </r>
    <r>
      <rPr>
        <vertAlign val="superscript"/>
        <sz val="11"/>
        <rFont val="Calibri"/>
        <family val="2"/>
        <scheme val="minor"/>
      </rPr>
      <t>-1</t>
    </r>
  </si>
  <si>
    <r>
      <t>m</t>
    </r>
    <r>
      <rPr>
        <vertAlign val="superscript"/>
        <sz val="11"/>
        <rFont val="Calibri"/>
        <family val="2"/>
      </rPr>
      <t>2</t>
    </r>
    <r>
      <rPr>
        <sz val="11"/>
        <rFont val="Calibri"/>
        <family val="2"/>
      </rPr>
      <t>.d</t>
    </r>
    <r>
      <rPr>
        <vertAlign val="superscript"/>
        <sz val="11"/>
        <rFont val="Calibri"/>
        <family val="2"/>
      </rPr>
      <t>-1</t>
    </r>
  </si>
  <si>
    <t>Physical constants - water</t>
  </si>
  <si>
    <r>
      <t>A</t>
    </r>
    <r>
      <rPr>
        <vertAlign val="subscript"/>
        <sz val="11"/>
        <rFont val="Calibri"/>
        <family val="2"/>
        <scheme val="minor"/>
      </rPr>
      <t>H2O</t>
    </r>
  </si>
  <si>
    <t>Antoine constant 'A'</t>
  </si>
  <si>
    <r>
      <t>B</t>
    </r>
    <r>
      <rPr>
        <vertAlign val="subscript"/>
        <sz val="11"/>
        <rFont val="Calibri"/>
        <family val="2"/>
        <scheme val="minor"/>
      </rPr>
      <t>H2O</t>
    </r>
  </si>
  <si>
    <t>Antoine constant 'B'</t>
  </si>
  <si>
    <r>
      <t>C</t>
    </r>
    <r>
      <rPr>
        <vertAlign val="subscript"/>
        <sz val="11"/>
        <rFont val="Calibri"/>
        <family val="2"/>
        <scheme val="minor"/>
      </rPr>
      <t>H2O</t>
    </r>
  </si>
  <si>
    <t>Antoine constant 'C'</t>
  </si>
  <si>
    <r>
      <rPr>
        <sz val="11"/>
        <rFont val="Calibri"/>
        <family val="2"/>
      </rPr>
      <t>ρ</t>
    </r>
    <r>
      <rPr>
        <vertAlign val="subscript"/>
        <sz val="11"/>
        <rFont val="Calibri"/>
        <family val="2"/>
        <scheme val="minor"/>
      </rPr>
      <t>H2O</t>
    </r>
  </si>
  <si>
    <t>Physical constants - air</t>
  </si>
  <si>
    <r>
      <t>f</t>
    </r>
    <r>
      <rPr>
        <vertAlign val="subscript"/>
        <sz val="11"/>
        <rFont val="Calibri"/>
        <family val="2"/>
      </rPr>
      <t>O2,air</t>
    </r>
  </si>
  <si>
    <t>Oxygen content of air</t>
  </si>
  <si>
    <r>
      <t>m</t>
    </r>
    <r>
      <rPr>
        <vertAlign val="superscript"/>
        <sz val="11"/>
        <rFont val="Calibri"/>
        <family val="2"/>
      </rPr>
      <t>3</t>
    </r>
    <r>
      <rPr>
        <sz val="11"/>
        <rFont val="Calibri"/>
        <family val="2"/>
      </rPr>
      <t>.m</t>
    </r>
    <r>
      <rPr>
        <vertAlign val="superscript"/>
        <sz val="11"/>
        <rFont val="Calibri"/>
        <family val="2"/>
      </rPr>
      <t>-3</t>
    </r>
  </si>
  <si>
    <r>
      <t>f</t>
    </r>
    <r>
      <rPr>
        <vertAlign val="subscript"/>
        <sz val="11"/>
        <rFont val="Calibri"/>
        <family val="2"/>
      </rPr>
      <t>N2,air</t>
    </r>
  </si>
  <si>
    <t>Nitrogen content of air</t>
  </si>
  <si>
    <r>
      <t>f</t>
    </r>
    <r>
      <rPr>
        <vertAlign val="subscript"/>
        <sz val="11"/>
        <rFont val="Calibri"/>
        <family val="2"/>
      </rPr>
      <t>Ar,air</t>
    </r>
  </si>
  <si>
    <t>Argon content of air</t>
  </si>
  <si>
    <r>
      <t>f</t>
    </r>
    <r>
      <rPr>
        <vertAlign val="subscript"/>
        <sz val="11"/>
        <rFont val="Calibri"/>
        <family val="2"/>
      </rPr>
      <t>CO2,air</t>
    </r>
  </si>
  <si>
    <t>Carbon dioxide content of air</t>
  </si>
  <si>
    <t>Physical constants</t>
  </si>
  <si>
    <t>R</t>
  </si>
  <si>
    <t>Ideal gas constant</t>
  </si>
  <si>
    <r>
      <t>J.mol</t>
    </r>
    <r>
      <rPr>
        <vertAlign val="superscript"/>
        <sz val="11"/>
        <rFont val="Calibri"/>
        <family val="2"/>
        <scheme val="minor"/>
      </rPr>
      <t>-1</t>
    </r>
    <r>
      <rPr>
        <sz val="11"/>
        <rFont val="Calibri"/>
        <family val="2"/>
        <scheme val="minor"/>
      </rPr>
      <t>.K</t>
    </r>
    <r>
      <rPr>
        <vertAlign val="superscript"/>
        <sz val="11"/>
        <rFont val="Calibri"/>
        <family val="2"/>
        <scheme val="minor"/>
      </rPr>
      <t>-1</t>
    </r>
  </si>
  <si>
    <t>F</t>
  </si>
  <si>
    <t>Faraday constant</t>
  </si>
  <si>
    <r>
      <t>C.mol</t>
    </r>
    <r>
      <rPr>
        <vertAlign val="superscript"/>
        <sz val="11"/>
        <rFont val="Calibri"/>
        <family val="2"/>
        <scheme val="minor"/>
      </rPr>
      <t>-1</t>
    </r>
  </si>
  <si>
    <r>
      <t>g</t>
    </r>
    <r>
      <rPr>
        <vertAlign val="subscript"/>
        <sz val="11"/>
        <rFont val="Calibri"/>
        <family val="2"/>
        <scheme val="minor"/>
      </rPr>
      <t>grav</t>
    </r>
  </si>
  <si>
    <t>Gravity acceleration constant</t>
  </si>
  <si>
    <r>
      <t>m.s</t>
    </r>
    <r>
      <rPr>
        <vertAlign val="superscript"/>
        <sz val="11"/>
        <rFont val="Calibri"/>
        <family val="2"/>
        <scheme val="minor"/>
      </rPr>
      <t>-2</t>
    </r>
  </si>
  <si>
    <t>Mathematical constants</t>
  </si>
  <si>
    <t>pi</t>
  </si>
  <si>
    <t>Pi number</t>
  </si>
  <si>
    <t>Atomic masses</t>
  </si>
  <si>
    <r>
      <t>AM</t>
    </r>
    <r>
      <rPr>
        <vertAlign val="subscript"/>
        <sz val="11"/>
        <rFont val="Calibri"/>
        <family val="2"/>
        <scheme val="minor"/>
      </rPr>
      <t>He</t>
    </r>
  </si>
  <si>
    <t>Atomic mass of helium</t>
  </si>
  <si>
    <r>
      <t>AM</t>
    </r>
    <r>
      <rPr>
        <vertAlign val="subscript"/>
        <sz val="11"/>
        <rFont val="Calibri"/>
        <family val="2"/>
        <scheme val="minor"/>
      </rPr>
      <t>Li</t>
    </r>
  </si>
  <si>
    <t>Atomic mass of lithium</t>
  </si>
  <si>
    <r>
      <t>AM</t>
    </r>
    <r>
      <rPr>
        <vertAlign val="subscript"/>
        <sz val="11"/>
        <rFont val="Calibri"/>
        <family val="2"/>
        <scheme val="minor"/>
      </rPr>
      <t>Be</t>
    </r>
  </si>
  <si>
    <t>Atomic mass of beryllium</t>
  </si>
  <si>
    <r>
      <t>AM</t>
    </r>
    <r>
      <rPr>
        <vertAlign val="subscript"/>
        <sz val="11"/>
        <rFont val="Calibri"/>
        <family val="2"/>
        <scheme val="minor"/>
      </rPr>
      <t>B</t>
    </r>
  </si>
  <si>
    <t>Atomic mass of boron</t>
  </si>
  <si>
    <r>
      <t>AM</t>
    </r>
    <r>
      <rPr>
        <vertAlign val="subscript"/>
        <sz val="11"/>
        <rFont val="Calibri"/>
        <family val="2"/>
        <scheme val="minor"/>
      </rPr>
      <t>F</t>
    </r>
  </si>
  <si>
    <t>Atomic mass of fluorine</t>
  </si>
  <si>
    <r>
      <t>AM</t>
    </r>
    <r>
      <rPr>
        <vertAlign val="subscript"/>
        <sz val="11"/>
        <rFont val="Calibri"/>
        <family val="2"/>
        <scheme val="minor"/>
      </rPr>
      <t>Ne</t>
    </r>
  </si>
  <si>
    <t>Atomic mass of neon</t>
  </si>
  <si>
    <r>
      <t>AM</t>
    </r>
    <r>
      <rPr>
        <vertAlign val="subscript"/>
        <sz val="11"/>
        <rFont val="Calibri"/>
        <family val="2"/>
        <scheme val="minor"/>
      </rPr>
      <t>Mg</t>
    </r>
  </si>
  <si>
    <t>Atomic mass of magnesium</t>
  </si>
  <si>
    <r>
      <t>AM</t>
    </r>
    <r>
      <rPr>
        <vertAlign val="subscript"/>
        <sz val="11"/>
        <rFont val="Calibri"/>
        <family val="2"/>
        <scheme val="minor"/>
      </rPr>
      <t>Si</t>
    </r>
  </si>
  <si>
    <t>Atomic mass of silicon</t>
  </si>
  <si>
    <r>
      <t>AM</t>
    </r>
    <r>
      <rPr>
        <vertAlign val="subscript"/>
        <sz val="11"/>
        <rFont val="Calibri"/>
        <family val="2"/>
        <scheme val="minor"/>
      </rPr>
      <t>S</t>
    </r>
  </si>
  <si>
    <t>Atomic mass of sulphur</t>
  </si>
  <si>
    <r>
      <t>AM</t>
    </r>
    <r>
      <rPr>
        <vertAlign val="subscript"/>
        <sz val="11"/>
        <rFont val="Calibri"/>
        <family val="2"/>
        <scheme val="minor"/>
      </rPr>
      <t>Ar</t>
    </r>
  </si>
  <si>
    <t>Atomic mass of argon</t>
  </si>
  <si>
    <r>
      <t>AM</t>
    </r>
    <r>
      <rPr>
        <vertAlign val="subscript"/>
        <sz val="11"/>
        <rFont val="Calibri"/>
        <family val="2"/>
        <scheme val="minor"/>
      </rPr>
      <t>K</t>
    </r>
  </si>
  <si>
    <t>Atomic mass of potassium</t>
  </si>
  <si>
    <r>
      <t>AM</t>
    </r>
    <r>
      <rPr>
        <vertAlign val="subscript"/>
        <sz val="11"/>
        <rFont val="Calibri"/>
        <family val="2"/>
        <scheme val="minor"/>
      </rPr>
      <t>Sc</t>
    </r>
  </si>
  <si>
    <t>Atomic mass of scandium</t>
  </si>
  <si>
    <r>
      <t>AM</t>
    </r>
    <r>
      <rPr>
        <vertAlign val="subscript"/>
        <sz val="11"/>
        <rFont val="Calibri"/>
        <family val="2"/>
        <scheme val="minor"/>
      </rPr>
      <t>Ti</t>
    </r>
  </si>
  <si>
    <t>Atomic mass of titanium</t>
  </si>
  <si>
    <r>
      <t>AM</t>
    </r>
    <r>
      <rPr>
        <vertAlign val="subscript"/>
        <sz val="11"/>
        <rFont val="Calibri"/>
        <family val="2"/>
        <scheme val="minor"/>
      </rPr>
      <t>V</t>
    </r>
  </si>
  <si>
    <t>Atomic mass of vanadium</t>
  </si>
  <si>
    <r>
      <t>AM</t>
    </r>
    <r>
      <rPr>
        <vertAlign val="subscript"/>
        <sz val="11"/>
        <rFont val="Calibri"/>
        <family val="2"/>
        <scheme val="minor"/>
      </rPr>
      <t>Cr</t>
    </r>
  </si>
  <si>
    <t>Atomic mass of chromium</t>
  </si>
  <si>
    <r>
      <t>AM</t>
    </r>
    <r>
      <rPr>
        <vertAlign val="subscript"/>
        <sz val="11"/>
        <rFont val="Calibri"/>
        <family val="2"/>
        <scheme val="minor"/>
      </rPr>
      <t>Mn</t>
    </r>
  </si>
  <si>
    <t>Atomic mass of manganese</t>
  </si>
  <si>
    <r>
      <t>AM</t>
    </r>
    <r>
      <rPr>
        <vertAlign val="subscript"/>
        <sz val="11"/>
        <rFont val="Calibri"/>
        <family val="2"/>
        <scheme val="minor"/>
      </rPr>
      <t>Co</t>
    </r>
  </si>
  <si>
    <t>Atomic mass of cobalt</t>
  </si>
  <si>
    <r>
      <t>AM</t>
    </r>
    <r>
      <rPr>
        <vertAlign val="subscript"/>
        <sz val="11"/>
        <rFont val="Calibri"/>
        <family val="2"/>
        <scheme val="minor"/>
      </rPr>
      <t>Ni</t>
    </r>
  </si>
  <si>
    <t>Atomic mass of nickel</t>
  </si>
  <si>
    <r>
      <t>AM</t>
    </r>
    <r>
      <rPr>
        <vertAlign val="subscript"/>
        <sz val="11"/>
        <rFont val="Calibri"/>
        <family val="2"/>
        <scheme val="minor"/>
      </rPr>
      <t>Cu</t>
    </r>
  </si>
  <si>
    <t>Atomic mass of copper</t>
  </si>
  <si>
    <r>
      <t>AM</t>
    </r>
    <r>
      <rPr>
        <vertAlign val="subscript"/>
        <sz val="11"/>
        <rFont val="Calibri"/>
        <family val="2"/>
        <scheme val="minor"/>
      </rPr>
      <t>Zn</t>
    </r>
  </si>
  <si>
    <t>Atomic mass of zinc</t>
  </si>
  <si>
    <r>
      <t>AM</t>
    </r>
    <r>
      <rPr>
        <vertAlign val="subscript"/>
        <sz val="11"/>
        <rFont val="Calibri"/>
        <family val="2"/>
        <scheme val="minor"/>
      </rPr>
      <t>Ga</t>
    </r>
  </si>
  <si>
    <t>Atomic mass of gallium</t>
  </si>
  <si>
    <r>
      <t>AM</t>
    </r>
    <r>
      <rPr>
        <vertAlign val="subscript"/>
        <sz val="11"/>
        <rFont val="Calibri"/>
        <family val="2"/>
        <scheme val="minor"/>
      </rPr>
      <t>Ge</t>
    </r>
  </si>
  <si>
    <t>Atomic mass of germanium</t>
  </si>
  <si>
    <r>
      <t>AM</t>
    </r>
    <r>
      <rPr>
        <vertAlign val="subscript"/>
        <sz val="11"/>
        <rFont val="Calibri"/>
        <family val="2"/>
        <scheme val="minor"/>
      </rPr>
      <t>As</t>
    </r>
  </si>
  <si>
    <t>Atomic mass of arsenic</t>
  </si>
  <si>
    <r>
      <t>AM</t>
    </r>
    <r>
      <rPr>
        <vertAlign val="subscript"/>
        <sz val="11"/>
        <rFont val="Calibri"/>
        <family val="2"/>
        <scheme val="minor"/>
      </rPr>
      <t>Se</t>
    </r>
  </si>
  <si>
    <t>Atomic mass of selenium</t>
  </si>
  <si>
    <r>
      <t>AM</t>
    </r>
    <r>
      <rPr>
        <vertAlign val="subscript"/>
        <sz val="11"/>
        <rFont val="Calibri"/>
        <family val="2"/>
        <scheme val="minor"/>
      </rPr>
      <t>Br</t>
    </r>
  </si>
  <si>
    <t>Atomic mass of bromine</t>
  </si>
  <si>
    <r>
      <t>AM</t>
    </r>
    <r>
      <rPr>
        <vertAlign val="subscript"/>
        <sz val="11"/>
        <rFont val="Calibri"/>
        <family val="2"/>
        <scheme val="minor"/>
      </rPr>
      <t>Kr</t>
    </r>
  </si>
  <si>
    <t>Atomic mass of krypton</t>
  </si>
  <si>
    <r>
      <t>AM</t>
    </r>
    <r>
      <rPr>
        <vertAlign val="subscript"/>
        <sz val="11"/>
        <rFont val="Calibri"/>
        <family val="2"/>
        <scheme val="minor"/>
      </rPr>
      <t>Rb</t>
    </r>
  </si>
  <si>
    <t>Atomic mass of rubidium</t>
  </si>
  <si>
    <r>
      <t>AM</t>
    </r>
    <r>
      <rPr>
        <vertAlign val="subscript"/>
        <sz val="11"/>
        <rFont val="Calibri"/>
        <family val="2"/>
        <scheme val="minor"/>
      </rPr>
      <t>Sr</t>
    </r>
  </si>
  <si>
    <t>Atomic mass of strontium</t>
  </si>
  <si>
    <r>
      <t>AM</t>
    </r>
    <r>
      <rPr>
        <vertAlign val="subscript"/>
        <sz val="11"/>
        <rFont val="Calibri"/>
        <family val="2"/>
        <scheme val="minor"/>
      </rPr>
      <t>Y</t>
    </r>
  </si>
  <si>
    <t>Atomic mass of yttrium</t>
  </si>
  <si>
    <r>
      <t>AM</t>
    </r>
    <r>
      <rPr>
        <vertAlign val="subscript"/>
        <sz val="11"/>
        <rFont val="Calibri"/>
        <family val="2"/>
        <scheme val="minor"/>
      </rPr>
      <t>Zr</t>
    </r>
  </si>
  <si>
    <t>Atomic mass of zirconium</t>
  </si>
  <si>
    <r>
      <t>AM</t>
    </r>
    <r>
      <rPr>
        <vertAlign val="subscript"/>
        <sz val="11"/>
        <rFont val="Calibri"/>
        <family val="2"/>
        <scheme val="minor"/>
      </rPr>
      <t>Nb</t>
    </r>
  </si>
  <si>
    <t>Atomic mass of niobium</t>
  </si>
  <si>
    <r>
      <t>AM</t>
    </r>
    <r>
      <rPr>
        <vertAlign val="subscript"/>
        <sz val="11"/>
        <rFont val="Calibri"/>
        <family val="2"/>
        <scheme val="minor"/>
      </rPr>
      <t>Mo</t>
    </r>
  </si>
  <si>
    <t>Atomic mass of molybdenum</t>
  </si>
  <si>
    <r>
      <t>AM</t>
    </r>
    <r>
      <rPr>
        <vertAlign val="subscript"/>
        <sz val="11"/>
        <rFont val="Calibri"/>
        <family val="2"/>
        <scheme val="minor"/>
      </rPr>
      <t>Tc</t>
    </r>
  </si>
  <si>
    <t>Atomic mass of technetium</t>
  </si>
  <si>
    <r>
      <t>AM</t>
    </r>
    <r>
      <rPr>
        <vertAlign val="subscript"/>
        <sz val="11"/>
        <rFont val="Calibri"/>
        <family val="2"/>
        <scheme val="minor"/>
      </rPr>
      <t>Ru</t>
    </r>
  </si>
  <si>
    <t>Atomic mass of ruthenium</t>
  </si>
  <si>
    <r>
      <t>AM</t>
    </r>
    <r>
      <rPr>
        <vertAlign val="subscript"/>
        <sz val="11"/>
        <rFont val="Calibri"/>
        <family val="2"/>
        <scheme val="minor"/>
      </rPr>
      <t>Rh</t>
    </r>
  </si>
  <si>
    <t>Atomic mass of rhodium</t>
  </si>
  <si>
    <r>
      <t>AM</t>
    </r>
    <r>
      <rPr>
        <vertAlign val="subscript"/>
        <sz val="11"/>
        <rFont val="Calibri"/>
        <family val="2"/>
        <scheme val="minor"/>
      </rPr>
      <t>Pd</t>
    </r>
  </si>
  <si>
    <t>Atomic mass of palladium</t>
  </si>
  <si>
    <r>
      <t>AM</t>
    </r>
    <r>
      <rPr>
        <vertAlign val="subscript"/>
        <sz val="11"/>
        <rFont val="Calibri"/>
        <family val="2"/>
        <scheme val="minor"/>
      </rPr>
      <t>Ag</t>
    </r>
  </si>
  <si>
    <t>Atomic mass of silver</t>
  </si>
  <si>
    <r>
      <t>AM</t>
    </r>
    <r>
      <rPr>
        <vertAlign val="subscript"/>
        <sz val="11"/>
        <rFont val="Calibri"/>
        <family val="2"/>
        <scheme val="minor"/>
      </rPr>
      <t>Cd</t>
    </r>
  </si>
  <si>
    <t>Atomic mass of cadmium</t>
  </si>
  <si>
    <r>
      <t>AM</t>
    </r>
    <r>
      <rPr>
        <vertAlign val="subscript"/>
        <sz val="11"/>
        <rFont val="Calibri"/>
        <family val="2"/>
        <scheme val="minor"/>
      </rPr>
      <t>In</t>
    </r>
  </si>
  <si>
    <t>Atomic mass of indium</t>
  </si>
  <si>
    <r>
      <t>AM</t>
    </r>
    <r>
      <rPr>
        <vertAlign val="subscript"/>
        <sz val="11"/>
        <rFont val="Calibri"/>
        <family val="2"/>
        <scheme val="minor"/>
      </rPr>
      <t>Sn</t>
    </r>
  </si>
  <si>
    <t>Atomic mass of tin</t>
  </si>
  <si>
    <r>
      <t>AM</t>
    </r>
    <r>
      <rPr>
        <vertAlign val="subscript"/>
        <sz val="11"/>
        <rFont val="Calibri"/>
        <family val="2"/>
        <scheme val="minor"/>
      </rPr>
      <t>Sb</t>
    </r>
  </si>
  <si>
    <t>Atomic mass of antimony</t>
  </si>
  <si>
    <r>
      <t>AM</t>
    </r>
    <r>
      <rPr>
        <vertAlign val="subscript"/>
        <sz val="11"/>
        <rFont val="Calibri"/>
        <family val="2"/>
        <scheme val="minor"/>
      </rPr>
      <t>Te</t>
    </r>
  </si>
  <si>
    <t>Atomic mass of tellurium</t>
  </si>
  <si>
    <r>
      <t>AM</t>
    </r>
    <r>
      <rPr>
        <vertAlign val="subscript"/>
        <sz val="11"/>
        <rFont val="Calibri"/>
        <family val="2"/>
        <scheme val="minor"/>
      </rPr>
      <t>I</t>
    </r>
  </si>
  <si>
    <t>Atomic mass of iodine</t>
  </si>
  <si>
    <r>
      <t>AM</t>
    </r>
    <r>
      <rPr>
        <vertAlign val="subscript"/>
        <sz val="11"/>
        <rFont val="Calibri"/>
        <family val="2"/>
        <scheme val="minor"/>
      </rPr>
      <t>Xe</t>
    </r>
  </si>
  <si>
    <t>Atomic mass of xenon</t>
  </si>
  <si>
    <r>
      <t>AM</t>
    </r>
    <r>
      <rPr>
        <vertAlign val="subscript"/>
        <sz val="11"/>
        <rFont val="Calibri"/>
        <family val="2"/>
        <scheme val="minor"/>
      </rPr>
      <t>Cs</t>
    </r>
  </si>
  <si>
    <t>Atomic mass of cesium</t>
  </si>
  <si>
    <r>
      <t>AM</t>
    </r>
    <r>
      <rPr>
        <vertAlign val="subscript"/>
        <sz val="11"/>
        <rFont val="Calibri"/>
        <family val="2"/>
        <scheme val="minor"/>
      </rPr>
      <t>Ba</t>
    </r>
  </si>
  <si>
    <t>Atomic mass of barium</t>
  </si>
  <si>
    <r>
      <t>AM</t>
    </r>
    <r>
      <rPr>
        <vertAlign val="subscript"/>
        <sz val="11"/>
        <rFont val="Calibri"/>
        <family val="2"/>
        <scheme val="minor"/>
      </rPr>
      <t>La</t>
    </r>
  </si>
  <si>
    <t>Atomic mass of lanthanum</t>
  </si>
  <si>
    <r>
      <t>AM</t>
    </r>
    <r>
      <rPr>
        <vertAlign val="subscript"/>
        <sz val="11"/>
        <rFont val="Calibri"/>
        <family val="2"/>
        <scheme val="minor"/>
      </rPr>
      <t>Ce</t>
    </r>
  </si>
  <si>
    <t>Atomic mass of cerium</t>
  </si>
  <si>
    <r>
      <t>AM</t>
    </r>
    <r>
      <rPr>
        <vertAlign val="subscript"/>
        <sz val="11"/>
        <rFont val="Calibri"/>
        <family val="2"/>
        <scheme val="minor"/>
      </rPr>
      <t>Pr</t>
    </r>
  </si>
  <si>
    <t>Atomic mass of praseodymium</t>
  </si>
  <si>
    <r>
      <t>AM</t>
    </r>
    <r>
      <rPr>
        <vertAlign val="subscript"/>
        <sz val="11"/>
        <rFont val="Calibri"/>
        <family val="2"/>
        <scheme val="minor"/>
      </rPr>
      <t>Nd</t>
    </r>
  </si>
  <si>
    <t>Atomic mass of neodymium</t>
  </si>
  <si>
    <r>
      <t>AM</t>
    </r>
    <r>
      <rPr>
        <vertAlign val="subscript"/>
        <sz val="11"/>
        <rFont val="Calibri"/>
        <family val="2"/>
        <scheme val="minor"/>
      </rPr>
      <t>Pm</t>
    </r>
  </si>
  <si>
    <t>Atomic mass of promethium</t>
  </si>
  <si>
    <r>
      <t>AM</t>
    </r>
    <r>
      <rPr>
        <vertAlign val="subscript"/>
        <sz val="11"/>
        <rFont val="Calibri"/>
        <family val="2"/>
        <scheme val="minor"/>
      </rPr>
      <t>Sm</t>
    </r>
  </si>
  <si>
    <t>Atomic mass of samarium</t>
  </si>
  <si>
    <r>
      <t>AM</t>
    </r>
    <r>
      <rPr>
        <vertAlign val="subscript"/>
        <sz val="11"/>
        <rFont val="Calibri"/>
        <family val="2"/>
        <scheme val="minor"/>
      </rPr>
      <t>Eu</t>
    </r>
  </si>
  <si>
    <t>Atomic mass of europium</t>
  </si>
  <si>
    <r>
      <t>AM</t>
    </r>
    <r>
      <rPr>
        <vertAlign val="subscript"/>
        <sz val="11"/>
        <rFont val="Calibri"/>
        <family val="2"/>
        <scheme val="minor"/>
      </rPr>
      <t>Gd</t>
    </r>
  </si>
  <si>
    <t>Atomic mass of gadolinium</t>
  </si>
  <si>
    <r>
      <t>AM</t>
    </r>
    <r>
      <rPr>
        <vertAlign val="subscript"/>
        <sz val="11"/>
        <rFont val="Calibri"/>
        <family val="2"/>
        <scheme val="minor"/>
      </rPr>
      <t>Tb</t>
    </r>
  </si>
  <si>
    <t>Atomic mass of terbium</t>
  </si>
  <si>
    <r>
      <t>AM</t>
    </r>
    <r>
      <rPr>
        <vertAlign val="subscript"/>
        <sz val="11"/>
        <rFont val="Calibri"/>
        <family val="2"/>
        <scheme val="minor"/>
      </rPr>
      <t>Dy</t>
    </r>
  </si>
  <si>
    <t>Atomic mass of dysprosium</t>
  </si>
  <si>
    <r>
      <t>AM</t>
    </r>
    <r>
      <rPr>
        <vertAlign val="subscript"/>
        <sz val="11"/>
        <rFont val="Calibri"/>
        <family val="2"/>
        <scheme val="minor"/>
      </rPr>
      <t>Ho</t>
    </r>
  </si>
  <si>
    <t>Atomic mass of holmium</t>
  </si>
  <si>
    <r>
      <t>AM</t>
    </r>
    <r>
      <rPr>
        <vertAlign val="subscript"/>
        <sz val="11"/>
        <rFont val="Calibri"/>
        <family val="2"/>
        <scheme val="minor"/>
      </rPr>
      <t>Er</t>
    </r>
  </si>
  <si>
    <t>Atomic mass of erbium</t>
  </si>
  <si>
    <r>
      <t>AM</t>
    </r>
    <r>
      <rPr>
        <vertAlign val="subscript"/>
        <sz val="11"/>
        <rFont val="Calibri"/>
        <family val="2"/>
        <scheme val="minor"/>
      </rPr>
      <t>Tm</t>
    </r>
  </si>
  <si>
    <t>Atomic mass of thulium</t>
  </si>
  <si>
    <r>
      <t>AM</t>
    </r>
    <r>
      <rPr>
        <vertAlign val="subscript"/>
        <sz val="11"/>
        <rFont val="Calibri"/>
        <family val="2"/>
        <scheme val="minor"/>
      </rPr>
      <t>Yb</t>
    </r>
  </si>
  <si>
    <t>Atomic mass of ytterbium</t>
  </si>
  <si>
    <r>
      <t>AM</t>
    </r>
    <r>
      <rPr>
        <vertAlign val="subscript"/>
        <sz val="11"/>
        <rFont val="Calibri"/>
        <family val="2"/>
        <scheme val="minor"/>
      </rPr>
      <t>Lu</t>
    </r>
  </si>
  <si>
    <t>Atomic mass of lutetium</t>
  </si>
  <si>
    <r>
      <t>AM</t>
    </r>
    <r>
      <rPr>
        <vertAlign val="subscript"/>
        <sz val="11"/>
        <rFont val="Calibri"/>
        <family val="2"/>
        <scheme val="minor"/>
      </rPr>
      <t>Hf</t>
    </r>
  </si>
  <si>
    <t>Atomic mass of hafnium</t>
  </si>
  <si>
    <r>
      <t>AM</t>
    </r>
    <r>
      <rPr>
        <vertAlign val="subscript"/>
        <sz val="11"/>
        <rFont val="Calibri"/>
        <family val="2"/>
        <scheme val="minor"/>
      </rPr>
      <t>Ta</t>
    </r>
  </si>
  <si>
    <t xml:space="preserve">Atomic mass of tantalum </t>
  </si>
  <si>
    <r>
      <t>AM</t>
    </r>
    <r>
      <rPr>
        <vertAlign val="subscript"/>
        <sz val="11"/>
        <rFont val="Calibri"/>
        <family val="2"/>
        <scheme val="minor"/>
      </rPr>
      <t>W</t>
    </r>
  </si>
  <si>
    <t>Atomic mass of tungsten</t>
  </si>
  <si>
    <r>
      <t>AM</t>
    </r>
    <r>
      <rPr>
        <vertAlign val="subscript"/>
        <sz val="11"/>
        <rFont val="Calibri"/>
        <family val="2"/>
        <scheme val="minor"/>
      </rPr>
      <t>Re</t>
    </r>
  </si>
  <si>
    <t>Atomic mass of rhenium</t>
  </si>
  <si>
    <r>
      <t>AM</t>
    </r>
    <r>
      <rPr>
        <vertAlign val="subscript"/>
        <sz val="11"/>
        <rFont val="Calibri"/>
        <family val="2"/>
        <scheme val="minor"/>
      </rPr>
      <t>Os</t>
    </r>
  </si>
  <si>
    <t>Atomic mass of osmium</t>
  </si>
  <si>
    <r>
      <t>AM</t>
    </r>
    <r>
      <rPr>
        <vertAlign val="subscript"/>
        <sz val="11"/>
        <rFont val="Calibri"/>
        <family val="2"/>
        <scheme val="minor"/>
      </rPr>
      <t>Ir</t>
    </r>
  </si>
  <si>
    <t>Atomic mass of iridium</t>
  </si>
  <si>
    <r>
      <t>AM</t>
    </r>
    <r>
      <rPr>
        <vertAlign val="subscript"/>
        <sz val="11"/>
        <rFont val="Calibri"/>
        <family val="2"/>
        <scheme val="minor"/>
      </rPr>
      <t>Pt</t>
    </r>
  </si>
  <si>
    <t>Atomic mass of platinum</t>
  </si>
  <si>
    <r>
      <t>AM</t>
    </r>
    <r>
      <rPr>
        <vertAlign val="subscript"/>
        <sz val="11"/>
        <rFont val="Calibri"/>
        <family val="2"/>
        <scheme val="minor"/>
      </rPr>
      <t>Au</t>
    </r>
  </si>
  <si>
    <t>Atomic mass of gold</t>
  </si>
  <si>
    <r>
      <t>AM</t>
    </r>
    <r>
      <rPr>
        <vertAlign val="subscript"/>
        <sz val="11"/>
        <rFont val="Calibri"/>
        <family val="2"/>
        <scheme val="minor"/>
      </rPr>
      <t>Hg</t>
    </r>
  </si>
  <si>
    <t>Atomic mass of mercury</t>
  </si>
  <si>
    <r>
      <t>AM</t>
    </r>
    <r>
      <rPr>
        <vertAlign val="subscript"/>
        <sz val="11"/>
        <rFont val="Calibri"/>
        <family val="2"/>
        <scheme val="minor"/>
      </rPr>
      <t>Tl</t>
    </r>
  </si>
  <si>
    <t>Atomic mass of thallium</t>
  </si>
  <si>
    <r>
      <t>AM</t>
    </r>
    <r>
      <rPr>
        <vertAlign val="subscript"/>
        <sz val="11"/>
        <rFont val="Calibri"/>
        <family val="2"/>
        <scheme val="minor"/>
      </rPr>
      <t>Pb</t>
    </r>
  </si>
  <si>
    <t>Atomic mass of lead</t>
  </si>
  <si>
    <r>
      <t>AM</t>
    </r>
    <r>
      <rPr>
        <vertAlign val="subscript"/>
        <sz val="11"/>
        <rFont val="Calibri"/>
        <family val="2"/>
        <scheme val="minor"/>
      </rPr>
      <t>Bi</t>
    </r>
  </si>
  <si>
    <t>Atomic mass of bismuth</t>
  </si>
  <si>
    <r>
      <t>AM</t>
    </r>
    <r>
      <rPr>
        <vertAlign val="subscript"/>
        <sz val="11"/>
        <rFont val="Calibri"/>
        <family val="2"/>
        <scheme val="minor"/>
      </rPr>
      <t>Po</t>
    </r>
  </si>
  <si>
    <t>Atomic mass of polonium</t>
  </si>
  <si>
    <r>
      <t>AM</t>
    </r>
    <r>
      <rPr>
        <vertAlign val="subscript"/>
        <sz val="11"/>
        <rFont val="Calibri"/>
        <family val="2"/>
        <scheme val="minor"/>
      </rPr>
      <t>At</t>
    </r>
  </si>
  <si>
    <t>Atomic mass of astatine</t>
  </si>
  <si>
    <r>
      <t>AM</t>
    </r>
    <r>
      <rPr>
        <vertAlign val="subscript"/>
        <sz val="11"/>
        <rFont val="Calibri"/>
        <family val="2"/>
        <scheme val="minor"/>
      </rPr>
      <t>Rn</t>
    </r>
  </si>
  <si>
    <t>Atomic mass of radon</t>
  </si>
  <si>
    <r>
      <t>AM</t>
    </r>
    <r>
      <rPr>
        <vertAlign val="subscript"/>
        <sz val="11"/>
        <rFont val="Calibri"/>
        <family val="2"/>
        <scheme val="minor"/>
      </rPr>
      <t>Fr</t>
    </r>
  </si>
  <si>
    <t>Atomic mass of francium</t>
  </si>
  <si>
    <r>
      <t>AM</t>
    </r>
    <r>
      <rPr>
        <vertAlign val="subscript"/>
        <sz val="11"/>
        <rFont val="Calibri"/>
        <family val="2"/>
        <scheme val="minor"/>
      </rPr>
      <t>Ra</t>
    </r>
  </si>
  <si>
    <t>Atomic mass of radium</t>
  </si>
  <si>
    <r>
      <t>AM</t>
    </r>
    <r>
      <rPr>
        <vertAlign val="subscript"/>
        <sz val="11"/>
        <rFont val="Calibri"/>
        <family val="2"/>
        <scheme val="minor"/>
      </rPr>
      <t>Ac</t>
    </r>
  </si>
  <si>
    <t>Atomic mass of actinium</t>
  </si>
  <si>
    <r>
      <t>AM</t>
    </r>
    <r>
      <rPr>
        <vertAlign val="subscript"/>
        <sz val="11"/>
        <rFont val="Calibri"/>
        <family val="2"/>
        <scheme val="minor"/>
      </rPr>
      <t>Th</t>
    </r>
  </si>
  <si>
    <t>Atomic mass of thorium</t>
  </si>
  <si>
    <r>
      <t>AM</t>
    </r>
    <r>
      <rPr>
        <vertAlign val="subscript"/>
        <sz val="11"/>
        <rFont val="Calibri"/>
        <family val="2"/>
        <scheme val="minor"/>
      </rPr>
      <t>Pa</t>
    </r>
  </si>
  <si>
    <t>Atomic mass of protactinium</t>
  </si>
  <si>
    <r>
      <t>AM</t>
    </r>
    <r>
      <rPr>
        <vertAlign val="subscript"/>
        <sz val="11"/>
        <rFont val="Calibri"/>
        <family val="2"/>
        <scheme val="minor"/>
      </rPr>
      <t>U</t>
    </r>
  </si>
  <si>
    <t>Atomic mass of uranium</t>
  </si>
  <si>
    <r>
      <t>AM</t>
    </r>
    <r>
      <rPr>
        <vertAlign val="subscript"/>
        <sz val="11"/>
        <rFont val="Calibri"/>
        <family val="2"/>
        <scheme val="minor"/>
      </rPr>
      <t>Np</t>
    </r>
  </si>
  <si>
    <t>Atomic mass of neptunium</t>
  </si>
  <si>
    <r>
      <t>AM</t>
    </r>
    <r>
      <rPr>
        <vertAlign val="subscript"/>
        <sz val="11"/>
        <rFont val="Calibri"/>
        <family val="2"/>
        <scheme val="minor"/>
      </rPr>
      <t>Pu</t>
    </r>
  </si>
  <si>
    <t>Atomic mass of plutonium</t>
  </si>
  <si>
    <r>
      <t>AM</t>
    </r>
    <r>
      <rPr>
        <vertAlign val="subscript"/>
        <sz val="11"/>
        <rFont val="Calibri"/>
        <family val="2"/>
        <scheme val="minor"/>
      </rPr>
      <t>Am</t>
    </r>
  </si>
  <si>
    <t>Atomic mass of americium</t>
  </si>
  <si>
    <r>
      <t>AM</t>
    </r>
    <r>
      <rPr>
        <vertAlign val="subscript"/>
        <sz val="11"/>
        <rFont val="Calibri"/>
        <family val="2"/>
        <scheme val="minor"/>
      </rPr>
      <t>Cm</t>
    </r>
  </si>
  <si>
    <t>Atomic mass of curium</t>
  </si>
  <si>
    <r>
      <t>AM</t>
    </r>
    <r>
      <rPr>
        <vertAlign val="subscript"/>
        <sz val="11"/>
        <rFont val="Calibri"/>
        <family val="2"/>
        <scheme val="minor"/>
      </rPr>
      <t>Bk</t>
    </r>
  </si>
  <si>
    <t>Atomic mass of berkelium</t>
  </si>
  <si>
    <r>
      <t>AM</t>
    </r>
    <r>
      <rPr>
        <vertAlign val="subscript"/>
        <sz val="11"/>
        <rFont val="Calibri"/>
        <family val="2"/>
        <scheme val="minor"/>
      </rPr>
      <t>Cf</t>
    </r>
  </si>
  <si>
    <t>Atomic mass of californium</t>
  </si>
  <si>
    <r>
      <t>AM</t>
    </r>
    <r>
      <rPr>
        <vertAlign val="subscript"/>
        <sz val="11"/>
        <rFont val="Calibri"/>
        <family val="2"/>
        <scheme val="minor"/>
      </rPr>
      <t>Es</t>
    </r>
  </si>
  <si>
    <t>Atomic mass of einsteinium</t>
  </si>
  <si>
    <r>
      <t>AM</t>
    </r>
    <r>
      <rPr>
        <vertAlign val="subscript"/>
        <sz val="11"/>
        <rFont val="Calibri"/>
        <family val="2"/>
        <scheme val="minor"/>
      </rPr>
      <t>Fm</t>
    </r>
  </si>
  <si>
    <t>Atomic mass of fermium</t>
  </si>
  <si>
    <r>
      <t>AM</t>
    </r>
    <r>
      <rPr>
        <vertAlign val="subscript"/>
        <sz val="11"/>
        <rFont val="Calibri"/>
        <family val="2"/>
        <scheme val="minor"/>
      </rPr>
      <t>Md</t>
    </r>
  </si>
  <si>
    <t>Atomic mass of mendelevium</t>
  </si>
  <si>
    <r>
      <t>AM</t>
    </r>
    <r>
      <rPr>
        <vertAlign val="subscript"/>
        <sz val="11"/>
        <rFont val="Calibri"/>
        <family val="2"/>
        <scheme val="minor"/>
      </rPr>
      <t>No</t>
    </r>
  </si>
  <si>
    <t>Atomic mass of nobelium</t>
  </si>
  <si>
    <r>
      <t>AM</t>
    </r>
    <r>
      <rPr>
        <vertAlign val="subscript"/>
        <sz val="11"/>
        <rFont val="Calibri"/>
        <family val="2"/>
        <scheme val="minor"/>
      </rPr>
      <t>Lr</t>
    </r>
  </si>
  <si>
    <t>Atomic mass of lawrencium</t>
  </si>
  <si>
    <r>
      <t>AM</t>
    </r>
    <r>
      <rPr>
        <vertAlign val="subscript"/>
        <sz val="11"/>
        <rFont val="Calibri"/>
        <family val="2"/>
        <scheme val="minor"/>
      </rPr>
      <t>Rf</t>
    </r>
  </si>
  <si>
    <t>Atomic mass of rutherfordium</t>
  </si>
  <si>
    <r>
      <t>AM</t>
    </r>
    <r>
      <rPr>
        <vertAlign val="subscript"/>
        <sz val="11"/>
        <rFont val="Calibri"/>
        <family val="2"/>
        <scheme val="minor"/>
      </rPr>
      <t>Db</t>
    </r>
  </si>
  <si>
    <t>Atomic mass of dubnium</t>
  </si>
  <si>
    <r>
      <t>AM</t>
    </r>
    <r>
      <rPr>
        <vertAlign val="subscript"/>
        <sz val="11"/>
        <rFont val="Calibri"/>
        <family val="2"/>
        <scheme val="minor"/>
      </rPr>
      <t>Sg</t>
    </r>
  </si>
  <si>
    <t>Atomic mass of seaborgium</t>
  </si>
  <si>
    <r>
      <t>AM</t>
    </r>
    <r>
      <rPr>
        <vertAlign val="subscript"/>
        <sz val="11"/>
        <rFont val="Calibri"/>
        <family val="2"/>
        <scheme val="minor"/>
      </rPr>
      <t>Bh</t>
    </r>
  </si>
  <si>
    <t>Atomic mass of bohrium</t>
  </si>
  <si>
    <r>
      <t>AM</t>
    </r>
    <r>
      <rPr>
        <vertAlign val="subscript"/>
        <sz val="11"/>
        <rFont val="Calibri"/>
        <family val="2"/>
        <scheme val="minor"/>
      </rPr>
      <t>Hs</t>
    </r>
  </si>
  <si>
    <t>Atomic mass of hassium</t>
  </si>
  <si>
    <r>
      <t>AM</t>
    </r>
    <r>
      <rPr>
        <vertAlign val="subscript"/>
        <sz val="11"/>
        <rFont val="Calibri"/>
        <family val="2"/>
        <scheme val="minor"/>
      </rPr>
      <t>Mt</t>
    </r>
  </si>
  <si>
    <t>Atomic mass of meitnerium</t>
  </si>
  <si>
    <r>
      <t>AM</t>
    </r>
    <r>
      <rPr>
        <vertAlign val="subscript"/>
        <sz val="11"/>
        <rFont val="Calibri"/>
        <family val="2"/>
        <scheme val="minor"/>
      </rPr>
      <t>Ds</t>
    </r>
  </si>
  <si>
    <t>Atomic mass of darmstadtium</t>
  </si>
  <si>
    <r>
      <t>AM</t>
    </r>
    <r>
      <rPr>
        <vertAlign val="subscript"/>
        <sz val="11"/>
        <rFont val="Calibri"/>
        <family val="2"/>
        <scheme val="minor"/>
      </rPr>
      <t>Rg</t>
    </r>
  </si>
  <si>
    <t>Atomic mass of roentgenium</t>
  </si>
  <si>
    <r>
      <t>AM</t>
    </r>
    <r>
      <rPr>
        <vertAlign val="subscript"/>
        <sz val="11"/>
        <rFont val="Calibri"/>
        <family val="2"/>
        <scheme val="minor"/>
      </rPr>
      <t>Cn</t>
    </r>
  </si>
  <si>
    <t>Atomic mass of copernicium</t>
  </si>
  <si>
    <r>
      <t>AM</t>
    </r>
    <r>
      <rPr>
        <vertAlign val="subscript"/>
        <sz val="11"/>
        <rFont val="Calibri"/>
        <family val="2"/>
        <scheme val="minor"/>
      </rPr>
      <t>Uut</t>
    </r>
  </si>
  <si>
    <t>Atomic mass of ununtrium</t>
  </si>
  <si>
    <r>
      <t>AM</t>
    </r>
    <r>
      <rPr>
        <vertAlign val="subscript"/>
        <sz val="11"/>
        <rFont val="Calibri"/>
        <family val="2"/>
        <scheme val="minor"/>
      </rPr>
      <t>Fl</t>
    </r>
  </si>
  <si>
    <t>Atomic mass of flerovium</t>
  </si>
  <si>
    <r>
      <t>AM</t>
    </r>
    <r>
      <rPr>
        <vertAlign val="subscript"/>
        <sz val="11"/>
        <rFont val="Calibri"/>
        <family val="2"/>
        <scheme val="minor"/>
      </rPr>
      <t>Uup</t>
    </r>
  </si>
  <si>
    <t>Atomic mass of ununpentium</t>
  </si>
  <si>
    <r>
      <t>AM</t>
    </r>
    <r>
      <rPr>
        <vertAlign val="subscript"/>
        <sz val="11"/>
        <rFont val="Calibri"/>
        <family val="2"/>
        <scheme val="minor"/>
      </rPr>
      <t>Lv</t>
    </r>
  </si>
  <si>
    <t>Atomic mass of livermorium</t>
  </si>
  <si>
    <r>
      <t>AM</t>
    </r>
    <r>
      <rPr>
        <vertAlign val="subscript"/>
        <sz val="11"/>
        <rFont val="Calibri"/>
        <family val="2"/>
        <scheme val="minor"/>
      </rPr>
      <t>Uus</t>
    </r>
  </si>
  <si>
    <t>Atomic mass of ununseptium</t>
  </si>
  <si>
    <r>
      <t>AM</t>
    </r>
    <r>
      <rPr>
        <vertAlign val="subscript"/>
        <sz val="11"/>
        <rFont val="Calibri"/>
        <family val="2"/>
        <scheme val="minor"/>
      </rPr>
      <t>Uuo</t>
    </r>
  </si>
  <si>
    <t>Atomic mass of ununoctium</t>
  </si>
  <si>
    <t>Molecular masses (gas phase)</t>
  </si>
  <si>
    <r>
      <t>MM</t>
    </r>
    <r>
      <rPr>
        <vertAlign val="subscript"/>
        <sz val="11"/>
        <rFont val="Calibri"/>
        <family val="2"/>
        <scheme val="minor"/>
      </rPr>
      <t>GCO2</t>
    </r>
  </si>
  <si>
    <t>Molecular mass of carbon dioxide</t>
  </si>
  <si>
    <t>GO2 is a workaround - we should equip SMT with a mechanism to be able to handle GO2, SO2, etc. similarly when it is about finding molecular mass</t>
  </si>
  <si>
    <r>
      <t>MM</t>
    </r>
    <r>
      <rPr>
        <vertAlign val="subscript"/>
        <sz val="11"/>
        <rFont val="Calibri"/>
        <family val="2"/>
        <scheme val="minor"/>
      </rPr>
      <t>GNO</t>
    </r>
  </si>
  <si>
    <t>Molecular mass of nitric oxide</t>
  </si>
  <si>
    <t>GNO is a workaround - we should equip SMT with a mechanism to be able to handle GNO, SNO, etc. similarly when it is about finding molecular mass</t>
  </si>
  <si>
    <r>
      <t>MM</t>
    </r>
    <r>
      <rPr>
        <vertAlign val="subscript"/>
        <sz val="11"/>
        <rFont val="Calibri"/>
        <family val="2"/>
        <scheme val="minor"/>
      </rPr>
      <t>GN2O</t>
    </r>
  </si>
  <si>
    <t>Molecular mass of nitrous oxide</t>
  </si>
  <si>
    <t>GN2O is a workaround - we should equip SMT with a mechanism to be able to handle GN2O, SN2O, etc. similarly when it is about finding molecular mass</t>
  </si>
  <si>
    <t>Molecular masses</t>
  </si>
  <si>
    <r>
      <t>MM</t>
    </r>
    <r>
      <rPr>
        <vertAlign val="subscript"/>
        <sz val="11"/>
        <rFont val="Calibri"/>
        <family val="2"/>
        <scheme val="minor"/>
      </rPr>
      <t>NH3</t>
    </r>
  </si>
  <si>
    <t>Molecular mass of ammonia</t>
  </si>
  <si>
    <t>Molecular mass of phosphate</t>
  </si>
  <si>
    <r>
      <t>MM</t>
    </r>
    <r>
      <rPr>
        <vertAlign val="subscript"/>
        <sz val="11"/>
        <rFont val="Calibri"/>
        <family val="2"/>
        <scheme val="minor"/>
      </rPr>
      <t>CH3OH</t>
    </r>
  </si>
  <si>
    <t>Molecular mass of methanol</t>
  </si>
  <si>
    <r>
      <t>MM</t>
    </r>
    <r>
      <rPr>
        <vertAlign val="subscript"/>
        <sz val="11"/>
        <rFont val="Calibri"/>
        <family val="2"/>
        <scheme val="minor"/>
      </rPr>
      <t>CH3COOH</t>
    </r>
  </si>
  <si>
    <t>Molecular mass of acetic acid</t>
  </si>
  <si>
    <t>Specific molecular masses</t>
  </si>
  <si>
    <r>
      <t>MM</t>
    </r>
    <r>
      <rPr>
        <vertAlign val="subscript"/>
        <sz val="11"/>
        <rFont val="Calibri"/>
        <family val="2"/>
        <scheme val="minor"/>
      </rPr>
      <t>EQ,GCH4</t>
    </r>
  </si>
  <si>
    <r>
      <t>MM</t>
    </r>
    <r>
      <rPr>
        <vertAlign val="subscript"/>
        <sz val="11"/>
        <rFont val="Calibri"/>
        <family val="2"/>
        <scheme val="minor"/>
      </rPr>
      <t>EQ,GH2</t>
    </r>
  </si>
  <si>
    <t>Dissociation constants</t>
  </si>
  <si>
    <t>Electron equivalences</t>
  </si>
  <si>
    <r>
      <t>EEQ</t>
    </r>
    <r>
      <rPr>
        <vertAlign val="subscript"/>
        <sz val="11"/>
        <rFont val="Calibri"/>
        <family val="2"/>
      </rPr>
      <t>N2</t>
    </r>
  </si>
  <si>
    <r>
      <t>Electron equivalence of N</t>
    </r>
    <r>
      <rPr>
        <vertAlign val="subscript"/>
        <sz val="11"/>
        <rFont val="Calibri"/>
        <family val="2"/>
      </rPr>
      <t>2</t>
    </r>
  </si>
  <si>
    <r>
      <t>EEQ</t>
    </r>
    <r>
      <rPr>
        <vertAlign val="subscript"/>
        <sz val="11"/>
        <rFont val="Calibri"/>
        <family val="2"/>
      </rPr>
      <t>N2O</t>
    </r>
  </si>
  <si>
    <r>
      <t>Electron equivalence of N</t>
    </r>
    <r>
      <rPr>
        <vertAlign val="subscript"/>
        <sz val="11"/>
        <rFont val="Calibri"/>
        <family val="2"/>
      </rPr>
      <t>2</t>
    </r>
    <r>
      <rPr>
        <sz val="11"/>
        <rFont val="Calibri"/>
        <family val="2"/>
      </rPr>
      <t>O</t>
    </r>
  </si>
  <si>
    <r>
      <t>EEQ</t>
    </r>
    <r>
      <rPr>
        <vertAlign val="subscript"/>
        <sz val="11"/>
        <rFont val="Calibri"/>
        <family val="2"/>
      </rPr>
      <t>NO</t>
    </r>
  </si>
  <si>
    <t>Electron equivalence of NO</t>
  </si>
  <si>
    <r>
      <t>EEQ</t>
    </r>
    <r>
      <rPr>
        <vertAlign val="subscript"/>
        <sz val="11"/>
        <rFont val="Calibri"/>
        <family val="2"/>
      </rPr>
      <t>NO2</t>
    </r>
  </si>
  <si>
    <r>
      <t>Electron equivalence of NO</t>
    </r>
    <r>
      <rPr>
        <vertAlign val="subscript"/>
        <sz val="11"/>
        <rFont val="Calibri"/>
        <family val="2"/>
      </rPr>
      <t>2</t>
    </r>
  </si>
  <si>
    <r>
      <t>EEQ</t>
    </r>
    <r>
      <rPr>
        <vertAlign val="subscript"/>
        <sz val="11"/>
        <rFont val="Calibri"/>
        <family val="2"/>
      </rPr>
      <t>NO3</t>
    </r>
  </si>
  <si>
    <r>
      <t>Electron equivalence of NO</t>
    </r>
    <r>
      <rPr>
        <vertAlign val="subscript"/>
        <sz val="11"/>
        <rFont val="Calibri"/>
        <family val="2"/>
      </rPr>
      <t>3</t>
    </r>
  </si>
  <si>
    <r>
      <t>Electron equivalence of NO</t>
    </r>
    <r>
      <rPr>
        <vertAlign val="subscript"/>
        <sz val="11"/>
        <rFont val="Calibri"/>
        <family val="2"/>
      </rPr>
      <t>2</t>
    </r>
    <r>
      <rPr>
        <sz val="11"/>
        <rFont val="Calibri"/>
        <family val="2"/>
      </rPr>
      <t xml:space="preserve"> to NO</t>
    </r>
    <r>
      <rPr>
        <vertAlign val="subscript"/>
        <sz val="11"/>
        <rFont val="Calibri"/>
        <family val="2"/>
      </rPr>
      <t>3</t>
    </r>
  </si>
  <si>
    <r>
      <t>Electron equivalence of N</t>
    </r>
    <r>
      <rPr>
        <vertAlign val="subscript"/>
        <sz val="11"/>
        <rFont val="Calibri"/>
        <family val="2"/>
      </rPr>
      <t>2</t>
    </r>
    <r>
      <rPr>
        <sz val="11"/>
        <rFont val="Calibri"/>
        <family val="2"/>
      </rPr>
      <t xml:space="preserve"> to NO</t>
    </r>
    <r>
      <rPr>
        <vertAlign val="subscript"/>
        <sz val="11"/>
        <rFont val="Calibri"/>
        <family val="2"/>
      </rPr>
      <t>2</t>
    </r>
  </si>
  <si>
    <r>
      <t>Electron equivalence of NO to NO</t>
    </r>
    <r>
      <rPr>
        <vertAlign val="subscript"/>
        <sz val="11"/>
        <rFont val="Calibri"/>
        <family val="2"/>
      </rPr>
      <t>2</t>
    </r>
  </si>
  <si>
    <r>
      <t>Electron equivalence of N</t>
    </r>
    <r>
      <rPr>
        <vertAlign val="subscript"/>
        <sz val="11"/>
        <rFont val="Calibri"/>
        <family val="2"/>
      </rPr>
      <t>2</t>
    </r>
    <r>
      <rPr>
        <sz val="11"/>
        <rFont val="Calibri"/>
        <family val="2"/>
      </rPr>
      <t>O to NO</t>
    </r>
  </si>
  <si>
    <r>
      <t>Electron equivalence of N</t>
    </r>
    <r>
      <rPr>
        <vertAlign val="subscript"/>
        <sz val="11"/>
        <rFont val="Calibri"/>
        <family val="2"/>
      </rPr>
      <t>2</t>
    </r>
    <r>
      <rPr>
        <sz val="11"/>
        <rFont val="Calibri"/>
        <family val="2"/>
      </rPr>
      <t xml:space="preserve"> to N</t>
    </r>
    <r>
      <rPr>
        <vertAlign val="subscript"/>
        <sz val="11"/>
        <rFont val="Calibri"/>
        <family val="2"/>
      </rPr>
      <t>2</t>
    </r>
    <r>
      <rPr>
        <sz val="11"/>
        <rFont val="Calibri"/>
        <family val="2"/>
      </rPr>
      <t>O</t>
    </r>
  </si>
  <si>
    <t>(s/x)/(s/x+k)</t>
  </si>
  <si>
    <t>Sign(x)</t>
  </si>
  <si>
    <t>Sign</t>
  </si>
  <si>
    <t>Temperature dependent Henry coefficient for NO</t>
  </si>
  <si>
    <t>Max(lolim;Min(hilim;var))</t>
  </si>
  <si>
    <t>If(x&gt;0;1;If(x&lt;0;-1;0))</t>
  </si>
  <si>
    <t>SUMO functions</t>
  </si>
  <si>
    <t>this can be used in Excel from FuncEngine 1.5.2</t>
  </si>
  <si>
    <t>Diffusion coefficient of NO in water @ 25°C</t>
  </si>
  <si>
    <r>
      <t>g.m</t>
    </r>
    <r>
      <rPr>
        <vertAlign val="superscript"/>
        <sz val="11"/>
        <rFont val="Calibri"/>
        <family val="2"/>
        <scheme val="minor"/>
      </rPr>
      <t>-3</t>
    </r>
  </si>
  <si>
    <t>Pa</t>
  </si>
  <si>
    <t>Other parameters</t>
  </si>
  <si>
    <t>pH effects on/not on from systemcode</t>
  </si>
  <si>
    <t>Boolean</t>
  </si>
  <si>
    <r>
      <t>Electron equivalence of N</t>
    </r>
    <r>
      <rPr>
        <vertAlign val="subscript"/>
        <sz val="11"/>
        <rFont val="Calibri"/>
        <family val="2"/>
      </rPr>
      <t>2</t>
    </r>
    <r>
      <rPr>
        <sz val="11"/>
        <rFont val="Calibri"/>
        <family val="2"/>
        <scheme val="minor"/>
      </rPr>
      <t xml:space="preserve"> to NO</t>
    </r>
    <r>
      <rPr>
        <vertAlign val="subscript"/>
        <sz val="11"/>
        <rFont val="Calibri"/>
        <family val="2"/>
      </rPr>
      <t>3</t>
    </r>
  </si>
  <si>
    <t>Total phosphorus</t>
  </si>
  <si>
    <r>
      <t>g P.m</t>
    </r>
    <r>
      <rPr>
        <vertAlign val="superscript"/>
        <sz val="11"/>
        <rFont val="Calibri"/>
        <family val="2"/>
      </rPr>
      <t>-3</t>
    </r>
  </si>
  <si>
    <t>Sumo__pHEffects</t>
  </si>
  <si>
    <t>On the Components Tab</t>
  </si>
  <si>
    <t>On the Model Tab</t>
  </si>
  <si>
    <t>Starting a new model: pH setup (skip with models without pH modelling)</t>
  </si>
  <si>
    <t>On the Species Tab</t>
  </si>
  <si>
    <t>On the pH Tab</t>
  </si>
  <si>
    <r>
      <rPr>
        <b/>
        <sz val="11"/>
        <color indexed="8"/>
        <rFont val="Calibri"/>
        <family val="2"/>
      </rPr>
      <t>Functions</t>
    </r>
    <r>
      <rPr>
        <sz val="11"/>
        <color indexed="8"/>
        <rFont val="Calibri"/>
        <family val="2"/>
      </rPr>
      <t xml:space="preserve"> that can be used in rate expressions are listed in systemcode.xlsx. Some examples are given below:</t>
    </r>
  </si>
  <si>
    <r>
      <rPr>
        <b/>
        <sz val="11"/>
        <color indexed="8"/>
        <rFont val="Calibri"/>
        <family val="2"/>
      </rPr>
      <t xml:space="preserve">Excel </t>
    </r>
    <r>
      <rPr>
        <sz val="11"/>
        <color indexed="8"/>
        <rFont val="Calibri"/>
        <family val="2"/>
      </rPr>
      <t>frequently mixes up macros when two workbooks are open at the same time. Open Workbooks one at a time when using the checking macros.</t>
    </r>
  </si>
  <si>
    <t>General stoichiometry</t>
  </si>
  <si>
    <t>Set</t>
  </si>
  <si>
    <t>input alkalinity - in feed PU</t>
  </si>
  <si>
    <r>
      <t>S</t>
    </r>
    <r>
      <rPr>
        <vertAlign val="subscript"/>
        <sz val="11"/>
        <rFont val="Calibri"/>
        <family val="2"/>
        <charset val="238"/>
      </rPr>
      <t>ALK,input</t>
    </r>
  </si>
  <si>
    <r>
      <t>S</t>
    </r>
    <r>
      <rPr>
        <b/>
        <vertAlign val="subscript"/>
        <sz val="11"/>
        <rFont val="Calibri"/>
        <family val="2"/>
        <scheme val="minor"/>
      </rPr>
      <t>VFA</t>
    </r>
  </si>
  <si>
    <r>
      <t>S</t>
    </r>
    <r>
      <rPr>
        <b/>
        <vertAlign val="subscript"/>
        <sz val="11"/>
        <rFont val="Calibri"/>
        <family val="2"/>
        <scheme val="minor"/>
      </rPr>
      <t>B</t>
    </r>
  </si>
  <si>
    <r>
      <t>S</t>
    </r>
    <r>
      <rPr>
        <b/>
        <vertAlign val="subscript"/>
        <sz val="11"/>
        <rFont val="Calibri"/>
        <family val="2"/>
        <scheme val="minor"/>
      </rPr>
      <t>MEOL</t>
    </r>
  </si>
  <si>
    <r>
      <t>C</t>
    </r>
    <r>
      <rPr>
        <b/>
        <vertAlign val="subscript"/>
        <sz val="11"/>
        <rFont val="Calibri"/>
        <family val="2"/>
        <scheme val="minor"/>
      </rPr>
      <t>B</t>
    </r>
  </si>
  <si>
    <r>
      <t>X</t>
    </r>
    <r>
      <rPr>
        <b/>
        <vertAlign val="subscript"/>
        <sz val="11"/>
        <rFont val="Calibri"/>
        <family val="2"/>
        <scheme val="minor"/>
      </rPr>
      <t>B</t>
    </r>
  </si>
  <si>
    <r>
      <t>S</t>
    </r>
    <r>
      <rPr>
        <b/>
        <vertAlign val="subscript"/>
        <sz val="11"/>
        <rFont val="Calibri"/>
        <family val="2"/>
        <scheme val="minor"/>
      </rPr>
      <t>U</t>
    </r>
  </si>
  <si>
    <r>
      <t>C</t>
    </r>
    <r>
      <rPr>
        <b/>
        <vertAlign val="subscript"/>
        <sz val="11"/>
        <rFont val="Calibri"/>
        <family val="2"/>
        <scheme val="minor"/>
      </rPr>
      <t>U</t>
    </r>
  </si>
  <si>
    <r>
      <t>X</t>
    </r>
    <r>
      <rPr>
        <b/>
        <vertAlign val="subscript"/>
        <sz val="11"/>
        <rFont val="Calibri"/>
        <family val="2"/>
        <scheme val="minor"/>
      </rPr>
      <t>U</t>
    </r>
  </si>
  <si>
    <r>
      <t>X</t>
    </r>
    <r>
      <rPr>
        <b/>
        <vertAlign val="subscript"/>
        <sz val="11"/>
        <rFont val="Calibri"/>
        <family val="2"/>
        <scheme val="minor"/>
      </rPr>
      <t>E</t>
    </r>
  </si>
  <si>
    <r>
      <t>X</t>
    </r>
    <r>
      <rPr>
        <b/>
        <vertAlign val="subscript"/>
        <sz val="11"/>
        <rFont val="Calibri"/>
        <family val="2"/>
        <scheme val="minor"/>
      </rPr>
      <t>OHO</t>
    </r>
  </si>
  <si>
    <r>
      <t>X</t>
    </r>
    <r>
      <rPr>
        <b/>
        <vertAlign val="subscript"/>
        <sz val="11"/>
        <rFont val="Calibri"/>
        <family val="2"/>
        <scheme val="minor"/>
      </rPr>
      <t>MEOLO</t>
    </r>
  </si>
  <si>
    <r>
      <t>X</t>
    </r>
    <r>
      <rPr>
        <b/>
        <vertAlign val="subscript"/>
        <sz val="11"/>
        <rFont val="Calibri"/>
        <family val="2"/>
        <scheme val="minor"/>
      </rPr>
      <t>NITO</t>
    </r>
  </si>
  <si>
    <r>
      <t>X</t>
    </r>
    <r>
      <rPr>
        <b/>
        <vertAlign val="subscript"/>
        <sz val="11"/>
        <rFont val="Calibri"/>
        <family val="2"/>
        <scheme val="minor"/>
      </rPr>
      <t>AMETO</t>
    </r>
  </si>
  <si>
    <r>
      <t>X</t>
    </r>
    <r>
      <rPr>
        <b/>
        <vertAlign val="subscript"/>
        <sz val="11"/>
        <rFont val="Calibri"/>
        <family val="2"/>
        <scheme val="minor"/>
      </rPr>
      <t>HMETO</t>
    </r>
  </si>
  <si>
    <r>
      <t>S</t>
    </r>
    <r>
      <rPr>
        <b/>
        <vertAlign val="subscript"/>
        <sz val="11"/>
        <rFont val="Calibri"/>
        <family val="2"/>
        <scheme val="minor"/>
      </rPr>
      <t>NHx</t>
    </r>
  </si>
  <si>
    <r>
      <t>S</t>
    </r>
    <r>
      <rPr>
        <b/>
        <vertAlign val="subscript"/>
        <sz val="11"/>
        <rFont val="Calibri"/>
        <family val="2"/>
        <scheme val="minor"/>
      </rPr>
      <t>NOx</t>
    </r>
  </si>
  <si>
    <r>
      <t>S</t>
    </r>
    <r>
      <rPr>
        <b/>
        <vertAlign val="subscript"/>
        <sz val="11"/>
        <rFont val="Calibri"/>
        <family val="2"/>
        <scheme val="minor"/>
      </rPr>
      <t>N2</t>
    </r>
  </si>
  <si>
    <r>
      <t>S</t>
    </r>
    <r>
      <rPr>
        <b/>
        <vertAlign val="subscript"/>
        <sz val="11"/>
        <rFont val="Calibri"/>
        <family val="2"/>
        <scheme val="minor"/>
      </rPr>
      <t>N,B</t>
    </r>
  </si>
  <si>
    <t>Soluble biodegradable organic N (from SB)</t>
  </si>
  <si>
    <r>
      <t>X</t>
    </r>
    <r>
      <rPr>
        <b/>
        <vertAlign val="subscript"/>
        <sz val="11"/>
        <rFont val="Calibri"/>
        <family val="2"/>
        <scheme val="minor"/>
      </rPr>
      <t>N,B</t>
    </r>
  </si>
  <si>
    <r>
      <t>X</t>
    </r>
    <r>
      <rPr>
        <b/>
        <vertAlign val="subscript"/>
        <sz val="11"/>
        <rFont val="Calibri"/>
        <family val="2"/>
        <scheme val="minor"/>
      </rPr>
      <t>N,U</t>
    </r>
  </si>
  <si>
    <r>
      <t>S</t>
    </r>
    <r>
      <rPr>
        <b/>
        <vertAlign val="subscript"/>
        <sz val="11"/>
        <rFont val="Calibri"/>
        <family val="2"/>
        <scheme val="minor"/>
      </rPr>
      <t>PO4</t>
    </r>
  </si>
  <si>
    <r>
      <t>S</t>
    </r>
    <r>
      <rPr>
        <b/>
        <vertAlign val="subscript"/>
        <sz val="11"/>
        <rFont val="Calibri"/>
        <family val="2"/>
        <scheme val="minor"/>
      </rPr>
      <t>P,B</t>
    </r>
  </si>
  <si>
    <r>
      <t>X</t>
    </r>
    <r>
      <rPr>
        <b/>
        <vertAlign val="subscript"/>
        <sz val="11"/>
        <rFont val="Calibri"/>
        <family val="2"/>
        <scheme val="minor"/>
      </rPr>
      <t>P,B</t>
    </r>
  </si>
  <si>
    <r>
      <t>X</t>
    </r>
    <r>
      <rPr>
        <b/>
        <vertAlign val="subscript"/>
        <sz val="11"/>
        <rFont val="Calibri"/>
        <family val="2"/>
        <scheme val="minor"/>
      </rPr>
      <t>P,U</t>
    </r>
  </si>
  <si>
    <r>
      <t>S</t>
    </r>
    <r>
      <rPr>
        <b/>
        <vertAlign val="subscript"/>
        <sz val="11"/>
        <rFont val="Calibri"/>
        <family val="2"/>
        <scheme val="minor"/>
      </rPr>
      <t>O2</t>
    </r>
  </si>
  <si>
    <r>
      <t>g O</t>
    </r>
    <r>
      <rPr>
        <vertAlign val="subscript"/>
        <sz val="11"/>
        <rFont val="Calibri"/>
        <family val="2"/>
      </rPr>
      <t>2</t>
    </r>
    <r>
      <rPr>
        <sz val="11"/>
        <rFont val="Calibri"/>
        <family val="2"/>
      </rPr>
      <t>.m</t>
    </r>
    <r>
      <rPr>
        <vertAlign val="superscript"/>
        <sz val="11"/>
        <rFont val="Calibri"/>
        <family val="2"/>
      </rPr>
      <t>-3</t>
    </r>
  </si>
  <si>
    <r>
      <t>S</t>
    </r>
    <r>
      <rPr>
        <b/>
        <vertAlign val="subscript"/>
        <sz val="11"/>
        <rFont val="Calibri"/>
        <family val="2"/>
        <scheme val="minor"/>
      </rPr>
      <t>CH4</t>
    </r>
  </si>
  <si>
    <r>
      <t>S</t>
    </r>
    <r>
      <rPr>
        <b/>
        <vertAlign val="subscript"/>
        <sz val="11"/>
        <rFont val="Calibri"/>
        <family val="2"/>
        <scheme val="minor"/>
      </rPr>
      <t>H2</t>
    </r>
  </si>
  <si>
    <r>
      <t>S</t>
    </r>
    <r>
      <rPr>
        <b/>
        <vertAlign val="subscript"/>
        <sz val="11"/>
        <rFont val="Calibri"/>
        <family val="2"/>
        <scheme val="minor"/>
      </rPr>
      <t>CO2</t>
    </r>
  </si>
  <si>
    <r>
      <t>X</t>
    </r>
    <r>
      <rPr>
        <b/>
        <vertAlign val="subscript"/>
        <sz val="11"/>
        <rFont val="Calibri"/>
        <family val="2"/>
        <scheme val="minor"/>
      </rPr>
      <t>INORG</t>
    </r>
  </si>
  <si>
    <r>
      <t>g Mg.m</t>
    </r>
    <r>
      <rPr>
        <vertAlign val="superscript"/>
        <sz val="11"/>
        <rFont val="Calibri"/>
        <family val="2"/>
      </rPr>
      <t>-3</t>
    </r>
  </si>
  <si>
    <r>
      <t>g.m</t>
    </r>
    <r>
      <rPr>
        <vertAlign val="superscript"/>
        <sz val="11"/>
        <rFont val="Calibri"/>
        <family val="2"/>
      </rPr>
      <t>-3</t>
    </r>
  </si>
  <si>
    <r>
      <t>g Fe.m</t>
    </r>
    <r>
      <rPr>
        <vertAlign val="superscript"/>
        <sz val="11"/>
        <rFont val="Calibri"/>
        <family val="2"/>
      </rPr>
      <t>-3</t>
    </r>
  </si>
  <si>
    <t>Components</t>
  </si>
  <si>
    <t>Default</t>
  </si>
  <si>
    <t>Particle size</t>
  </si>
  <si>
    <r>
      <t>mol.L</t>
    </r>
    <r>
      <rPr>
        <vertAlign val="superscript"/>
        <sz val="11"/>
        <rFont val="Calibri"/>
        <family val="2"/>
      </rPr>
      <t>-1</t>
    </r>
  </si>
  <si>
    <r>
      <t>mol.L</t>
    </r>
    <r>
      <rPr>
        <vertAlign val="superscript"/>
        <sz val="11"/>
        <rFont val="Calibri"/>
        <family val="2"/>
      </rPr>
      <t>-1</t>
    </r>
    <r>
      <rPr>
        <sz val="11"/>
        <color theme="1"/>
        <rFont val="Calibri"/>
        <family val="2"/>
        <scheme val="minor"/>
      </rPr>
      <t/>
    </r>
  </si>
  <si>
    <r>
      <t>IS</t>
    </r>
    <r>
      <rPr>
        <vertAlign val="subscript"/>
        <sz val="11"/>
        <rFont val="Calibri"/>
        <family val="2"/>
        <charset val="238"/>
      </rPr>
      <t>calc</t>
    </r>
  </si>
  <si>
    <t>r44</t>
  </si>
  <si>
    <r>
      <t>d</t>
    </r>
    <r>
      <rPr>
        <vertAlign val="superscript"/>
        <sz val="11"/>
        <color indexed="8"/>
        <rFont val="Calibri"/>
        <family val="2"/>
        <scheme val="minor"/>
      </rPr>
      <t>-1</t>
    </r>
  </si>
  <si>
    <r>
      <t>g COD.m</t>
    </r>
    <r>
      <rPr>
        <vertAlign val="superscript"/>
        <sz val="11"/>
        <color indexed="8"/>
        <rFont val="Calibri"/>
        <family val="2"/>
        <scheme val="minor"/>
      </rPr>
      <t>-3</t>
    </r>
  </si>
  <si>
    <r>
      <t>g O</t>
    </r>
    <r>
      <rPr>
        <vertAlign val="subscript"/>
        <sz val="11"/>
        <color indexed="8"/>
        <rFont val="Calibri"/>
        <family val="2"/>
        <scheme val="minor"/>
      </rPr>
      <t>2</t>
    </r>
    <r>
      <rPr>
        <sz val="11"/>
        <color indexed="8"/>
        <rFont val="Calibri"/>
        <family val="2"/>
        <scheme val="minor"/>
      </rPr>
      <t>.m</t>
    </r>
    <r>
      <rPr>
        <vertAlign val="superscript"/>
        <sz val="11"/>
        <color indexed="8"/>
        <rFont val="Calibri"/>
        <family val="2"/>
        <scheme val="minor"/>
      </rPr>
      <t>-3</t>
    </r>
  </si>
  <si>
    <r>
      <t>g N.m</t>
    </r>
    <r>
      <rPr>
        <vertAlign val="superscript"/>
        <sz val="11"/>
        <color indexed="8"/>
        <rFont val="Calibri"/>
        <family val="2"/>
        <scheme val="minor"/>
      </rPr>
      <t>-3</t>
    </r>
  </si>
  <si>
    <r>
      <t>µ</t>
    </r>
    <r>
      <rPr>
        <vertAlign val="subscript"/>
        <sz val="11"/>
        <color indexed="8"/>
        <rFont val="Calibri"/>
        <family val="2"/>
        <scheme val="minor"/>
      </rPr>
      <t>NITO</t>
    </r>
  </si>
  <si>
    <r>
      <t>µ</t>
    </r>
    <r>
      <rPr>
        <vertAlign val="subscript"/>
        <sz val="11"/>
        <color indexed="8"/>
        <rFont val="Calibri"/>
        <family val="2"/>
        <scheme val="minor"/>
      </rPr>
      <t>HMETO</t>
    </r>
  </si>
  <si>
    <r>
      <t>b</t>
    </r>
    <r>
      <rPr>
        <vertAlign val="subscript"/>
        <sz val="11"/>
        <color indexed="8"/>
        <rFont val="Calibri"/>
        <family val="2"/>
        <scheme val="minor"/>
      </rPr>
      <t>HMETO</t>
    </r>
    <r>
      <rPr>
        <sz val="11"/>
        <color indexed="8"/>
        <rFont val="Calibri"/>
        <family val="2"/>
      </rPr>
      <t/>
    </r>
  </si>
  <si>
    <r>
      <t>q</t>
    </r>
    <r>
      <rPr>
        <vertAlign val="subscript"/>
        <sz val="11"/>
        <color indexed="8"/>
        <rFont val="Calibri"/>
        <family val="2"/>
        <scheme val="minor"/>
      </rPr>
      <t>FLOC</t>
    </r>
  </si>
  <si>
    <r>
      <t>q</t>
    </r>
    <r>
      <rPr>
        <vertAlign val="subscript"/>
        <sz val="11"/>
        <color indexed="8"/>
        <rFont val="Calibri"/>
        <family val="2"/>
        <scheme val="minor"/>
      </rPr>
      <t>AMMON</t>
    </r>
  </si>
  <si>
    <r>
      <t>q</t>
    </r>
    <r>
      <rPr>
        <vertAlign val="subscript"/>
        <sz val="11"/>
        <color indexed="8"/>
        <rFont val="Calibri"/>
        <family val="2"/>
        <scheme val="minor"/>
      </rPr>
      <t>ASSIM</t>
    </r>
  </si>
  <si>
    <r>
      <rPr>
        <sz val="11"/>
        <color indexed="8"/>
        <rFont val="Calibri"/>
        <family val="2"/>
        <scheme val="minor"/>
      </rPr>
      <t>θ</t>
    </r>
    <r>
      <rPr>
        <vertAlign val="subscript"/>
        <sz val="11"/>
        <color indexed="8"/>
        <rFont val="Calibri"/>
        <family val="2"/>
        <scheme val="minor"/>
      </rPr>
      <t>µ,OHO</t>
    </r>
  </si>
  <si>
    <r>
      <t>θ</t>
    </r>
    <r>
      <rPr>
        <vertAlign val="subscript"/>
        <sz val="11"/>
        <color indexed="8"/>
        <rFont val="Calibri"/>
        <family val="2"/>
        <scheme val="minor"/>
      </rPr>
      <t>FERM,OHO</t>
    </r>
  </si>
  <si>
    <r>
      <t>θ</t>
    </r>
    <r>
      <rPr>
        <vertAlign val="subscript"/>
        <sz val="11"/>
        <color indexed="8"/>
        <rFont val="Calibri"/>
        <family val="2"/>
        <scheme val="minor"/>
      </rPr>
      <t>b,OHO</t>
    </r>
  </si>
  <si>
    <r>
      <t>θ</t>
    </r>
    <r>
      <rPr>
        <vertAlign val="subscript"/>
        <sz val="11"/>
        <color indexed="8"/>
        <rFont val="Calibri"/>
        <family val="2"/>
        <scheme val="minor"/>
      </rPr>
      <t>µ,MEOLO</t>
    </r>
  </si>
  <si>
    <r>
      <t>θ</t>
    </r>
    <r>
      <rPr>
        <vertAlign val="subscript"/>
        <sz val="11"/>
        <color indexed="8"/>
        <rFont val="Calibri"/>
        <family val="2"/>
        <scheme val="minor"/>
      </rPr>
      <t>b,MEOLO</t>
    </r>
  </si>
  <si>
    <r>
      <t>θ</t>
    </r>
    <r>
      <rPr>
        <vertAlign val="subscript"/>
        <sz val="11"/>
        <color indexed="8"/>
        <rFont val="Calibri"/>
        <family val="2"/>
        <scheme val="minor"/>
      </rPr>
      <t>q,PAO,PHA</t>
    </r>
  </si>
  <si>
    <r>
      <t>θ</t>
    </r>
    <r>
      <rPr>
        <vertAlign val="subscript"/>
        <sz val="11"/>
        <color indexed="8"/>
        <rFont val="Calibri"/>
        <family val="2"/>
        <scheme val="minor"/>
      </rPr>
      <t>µ,NITO</t>
    </r>
  </si>
  <si>
    <r>
      <t>θ</t>
    </r>
    <r>
      <rPr>
        <vertAlign val="subscript"/>
        <sz val="11"/>
        <color indexed="8"/>
        <rFont val="Calibri"/>
        <family val="2"/>
        <scheme val="minor"/>
      </rPr>
      <t>b,NITO</t>
    </r>
  </si>
  <si>
    <r>
      <t>θ</t>
    </r>
    <r>
      <rPr>
        <vertAlign val="subscript"/>
        <sz val="11"/>
        <color indexed="8"/>
        <rFont val="Calibri"/>
        <family val="2"/>
        <scheme val="minor"/>
      </rPr>
      <t>µ,AMETO</t>
    </r>
  </si>
  <si>
    <r>
      <t>θ</t>
    </r>
    <r>
      <rPr>
        <vertAlign val="subscript"/>
        <sz val="11"/>
        <color indexed="8"/>
        <rFont val="Calibri"/>
        <family val="2"/>
        <scheme val="minor"/>
      </rPr>
      <t>b,AMETO</t>
    </r>
  </si>
  <si>
    <r>
      <t>θ</t>
    </r>
    <r>
      <rPr>
        <vertAlign val="subscript"/>
        <sz val="11"/>
        <color indexed="8"/>
        <rFont val="Calibri"/>
        <family val="2"/>
        <scheme val="minor"/>
      </rPr>
      <t>µ,HMETO</t>
    </r>
  </si>
  <si>
    <r>
      <t>θ</t>
    </r>
    <r>
      <rPr>
        <vertAlign val="subscript"/>
        <sz val="11"/>
        <color indexed="8"/>
        <rFont val="Calibri"/>
        <family val="2"/>
        <scheme val="minor"/>
      </rPr>
      <t>b,HMETO</t>
    </r>
  </si>
  <si>
    <r>
      <t>θ</t>
    </r>
    <r>
      <rPr>
        <vertAlign val="subscript"/>
        <sz val="11"/>
        <color indexed="8"/>
        <rFont val="Calibri"/>
        <family val="2"/>
        <scheme val="minor"/>
      </rPr>
      <t>q,FLOC</t>
    </r>
  </si>
  <si>
    <r>
      <t>θ</t>
    </r>
    <r>
      <rPr>
        <vertAlign val="subscript"/>
        <sz val="11"/>
        <color indexed="8"/>
        <rFont val="Calibri"/>
        <family val="2"/>
        <scheme val="minor"/>
      </rPr>
      <t>q,HYD</t>
    </r>
  </si>
  <si>
    <r>
      <t>θ</t>
    </r>
    <r>
      <rPr>
        <vertAlign val="subscript"/>
        <sz val="11"/>
        <color indexed="8"/>
        <rFont val="Calibri"/>
        <family val="2"/>
        <scheme val="minor"/>
      </rPr>
      <t>q,AMMON</t>
    </r>
  </si>
  <si>
    <r>
      <t>θ</t>
    </r>
    <r>
      <rPr>
        <vertAlign val="subscript"/>
        <sz val="11"/>
        <color indexed="8"/>
        <rFont val="Calibri"/>
        <family val="2"/>
        <scheme val="minor"/>
      </rPr>
      <t>q,ASSIM</t>
    </r>
  </si>
  <si>
    <r>
      <t>Y</t>
    </r>
    <r>
      <rPr>
        <vertAlign val="subscript"/>
        <sz val="11"/>
        <rFont val="Calibri"/>
        <family val="2"/>
        <scheme val="minor"/>
      </rPr>
      <t>NITO</t>
    </r>
  </si>
  <si>
    <r>
      <t>Y</t>
    </r>
    <r>
      <rPr>
        <vertAlign val="subscript"/>
        <sz val="11"/>
        <rFont val="Calibri"/>
        <family val="2"/>
        <scheme val="minor"/>
      </rPr>
      <t>MEOLO</t>
    </r>
  </si>
  <si>
    <r>
      <t>Y</t>
    </r>
    <r>
      <rPr>
        <vertAlign val="subscript"/>
        <sz val="11"/>
        <rFont val="Calibri"/>
        <family val="2"/>
        <scheme val="minor"/>
      </rPr>
      <t>HMETO</t>
    </r>
  </si>
  <si>
    <r>
      <t>Y</t>
    </r>
    <r>
      <rPr>
        <vertAlign val="subscript"/>
        <sz val="11"/>
        <rFont val="Calibri"/>
        <family val="2"/>
        <scheme val="minor"/>
      </rPr>
      <t>AMETO</t>
    </r>
  </si>
  <si>
    <r>
      <t>f</t>
    </r>
    <r>
      <rPr>
        <vertAlign val="subscript"/>
        <sz val="11"/>
        <rFont val="Calibri"/>
        <family val="2"/>
        <scheme val="minor"/>
      </rPr>
      <t>E</t>
    </r>
  </si>
  <si>
    <r>
      <t>i</t>
    </r>
    <r>
      <rPr>
        <vertAlign val="subscript"/>
        <sz val="11"/>
        <rFont val="Calibri"/>
        <family val="2"/>
        <scheme val="minor"/>
      </rPr>
      <t>N,BIO</t>
    </r>
  </si>
  <si>
    <r>
      <t>i</t>
    </r>
    <r>
      <rPr>
        <vertAlign val="subscript"/>
        <sz val="11"/>
        <rFont val="Calibri"/>
        <family val="2"/>
        <scheme val="minor"/>
      </rPr>
      <t>P,BIO</t>
    </r>
  </si>
  <si>
    <r>
      <t>i</t>
    </r>
    <r>
      <rPr>
        <vertAlign val="subscript"/>
        <sz val="11"/>
        <rFont val="Calibri"/>
        <family val="2"/>
        <scheme val="minor"/>
      </rPr>
      <t>CV,BIO</t>
    </r>
  </si>
  <si>
    <r>
      <t>i</t>
    </r>
    <r>
      <rPr>
        <vertAlign val="subscript"/>
        <sz val="11"/>
        <rFont val="Calibri"/>
        <family val="2"/>
        <scheme val="minor"/>
      </rPr>
      <t>CV,PHA</t>
    </r>
  </si>
  <si>
    <r>
      <t>i</t>
    </r>
    <r>
      <rPr>
        <vertAlign val="subscript"/>
        <sz val="11"/>
        <rFont val="Calibri"/>
        <family val="2"/>
        <scheme val="minor"/>
      </rPr>
      <t>P,XSTR</t>
    </r>
  </si>
  <si>
    <r>
      <t>f</t>
    </r>
    <r>
      <rPr>
        <vertAlign val="subscript"/>
        <sz val="11"/>
        <rFont val="Calibri"/>
        <family val="2"/>
        <scheme val="minor"/>
      </rPr>
      <t>P,VFA</t>
    </r>
  </si>
  <si>
    <r>
      <t>i</t>
    </r>
    <r>
      <rPr>
        <vertAlign val="subscript"/>
        <sz val="11"/>
        <rFont val="Calibri"/>
        <family val="2"/>
        <scheme val="minor"/>
      </rPr>
      <t>TSS,PP</t>
    </r>
  </si>
  <si>
    <t>Active site factor for HFO,H</t>
  </si>
  <si>
    <t>Active site factor for HFO,L</t>
  </si>
  <si>
    <r>
      <t>K</t>
    </r>
    <r>
      <rPr>
        <vertAlign val="subscript"/>
        <sz val="11"/>
        <rFont val="Calibri"/>
        <family val="2"/>
        <scheme val="minor"/>
      </rPr>
      <t>NHx,BIO</t>
    </r>
  </si>
  <si>
    <r>
      <t>g N.m</t>
    </r>
    <r>
      <rPr>
        <vertAlign val="superscript"/>
        <sz val="11"/>
        <rFont val="Calibri"/>
        <family val="2"/>
        <scheme val="minor"/>
      </rPr>
      <t>-3</t>
    </r>
  </si>
  <si>
    <r>
      <t>K</t>
    </r>
    <r>
      <rPr>
        <vertAlign val="subscript"/>
        <sz val="11"/>
        <rFont val="Calibri"/>
        <family val="2"/>
        <scheme val="minor"/>
      </rPr>
      <t>PO4,BIO</t>
    </r>
  </si>
  <si>
    <r>
      <t>g P.m</t>
    </r>
    <r>
      <rPr>
        <vertAlign val="superscript"/>
        <sz val="11"/>
        <rFont val="Calibri"/>
        <family val="2"/>
        <scheme val="minor"/>
      </rPr>
      <t>-3</t>
    </r>
  </si>
  <si>
    <r>
      <t>K</t>
    </r>
    <r>
      <rPr>
        <vertAlign val="subscript"/>
        <sz val="11"/>
        <rFont val="Calibri"/>
        <family val="2"/>
        <scheme val="minor"/>
      </rPr>
      <t>CAT</t>
    </r>
  </si>
  <si>
    <r>
      <t>K</t>
    </r>
    <r>
      <rPr>
        <vertAlign val="subscript"/>
        <sz val="11"/>
        <rFont val="Calibri"/>
        <family val="2"/>
        <scheme val="minor"/>
      </rPr>
      <t>AN</t>
    </r>
  </si>
  <si>
    <r>
      <t>C</t>
    </r>
    <r>
      <rPr>
        <vertAlign val="superscript"/>
        <sz val="11"/>
        <rFont val="Calibri"/>
        <family val="2"/>
        <scheme val="minor"/>
      </rPr>
      <t>o</t>
    </r>
  </si>
  <si>
    <r>
      <t>T</t>
    </r>
    <r>
      <rPr>
        <vertAlign val="subscript"/>
        <sz val="11"/>
        <rFont val="Calibri"/>
        <family val="2"/>
        <scheme val="minor"/>
      </rPr>
      <t>base</t>
    </r>
  </si>
  <si>
    <t>Saturation/inhibition terms</t>
  </si>
  <si>
    <r>
      <t>Msat</t>
    </r>
    <r>
      <rPr>
        <vertAlign val="subscript"/>
        <sz val="11"/>
        <rFont val="Calibri"/>
        <family val="2"/>
        <scheme val="minor"/>
      </rPr>
      <t>SVFA,KVFA</t>
    </r>
  </si>
  <si>
    <r>
      <t>Msat(S</t>
    </r>
    <r>
      <rPr>
        <vertAlign val="subscript"/>
        <sz val="11"/>
        <rFont val="Calibri"/>
        <family val="2"/>
        <scheme val="minor"/>
      </rPr>
      <t>VFA</t>
    </r>
    <r>
      <rPr>
        <sz val="11"/>
        <rFont val="Calibri"/>
        <family val="2"/>
        <scheme val="minor"/>
      </rPr>
      <t>;K</t>
    </r>
    <r>
      <rPr>
        <vertAlign val="subscript"/>
        <sz val="11"/>
        <rFont val="Calibri"/>
        <family val="2"/>
        <scheme val="minor"/>
      </rPr>
      <t>VFA</t>
    </r>
    <r>
      <rPr>
        <sz val="11"/>
        <rFont val="Calibri"/>
        <family val="2"/>
        <scheme val="minor"/>
      </rPr>
      <t>)</t>
    </r>
  </si>
  <si>
    <r>
      <t>[HPO</t>
    </r>
    <r>
      <rPr>
        <vertAlign val="subscript"/>
        <sz val="11"/>
        <rFont val="Calibri"/>
        <family val="2"/>
        <scheme val="minor"/>
      </rPr>
      <t>4</t>
    </r>
    <r>
      <rPr>
        <vertAlign val="superscript"/>
        <sz val="11"/>
        <rFont val="Calibri"/>
        <family val="2"/>
        <scheme val="minor"/>
      </rPr>
      <t>2-</t>
    </r>
    <r>
      <rPr>
        <sz val="11"/>
        <rFont val="Calibri"/>
        <family val="2"/>
        <scheme val="minor"/>
      </rPr>
      <t>]</t>
    </r>
    <r>
      <rPr>
        <vertAlign val="subscript"/>
        <sz val="11"/>
        <rFont val="Calibri"/>
        <family val="2"/>
        <scheme val="minor"/>
      </rPr>
      <t>eq</t>
    </r>
  </si>
  <si>
    <t>Hydrogen phosphate molar concentration in equivalence point</t>
  </si>
  <si>
    <r>
      <t>[H</t>
    </r>
    <r>
      <rPr>
        <vertAlign val="subscript"/>
        <sz val="11"/>
        <rFont val="Calibri"/>
        <family val="2"/>
        <scheme val="minor"/>
      </rPr>
      <t>2</t>
    </r>
    <r>
      <rPr>
        <sz val="11"/>
        <rFont val="Calibri"/>
        <family val="2"/>
        <scheme val="minor"/>
      </rPr>
      <t>PO</t>
    </r>
    <r>
      <rPr>
        <vertAlign val="subscript"/>
        <sz val="11"/>
        <rFont val="Calibri"/>
        <family val="2"/>
        <scheme val="minor"/>
      </rPr>
      <t>4</t>
    </r>
    <r>
      <rPr>
        <vertAlign val="superscript"/>
        <sz val="11"/>
        <rFont val="Calibri"/>
        <family val="2"/>
        <scheme val="minor"/>
      </rPr>
      <t>-</t>
    </r>
    <r>
      <rPr>
        <sz val="11"/>
        <rFont val="Calibri"/>
        <family val="2"/>
        <scheme val="minor"/>
      </rPr>
      <t>]</t>
    </r>
    <r>
      <rPr>
        <vertAlign val="subscript"/>
        <sz val="11"/>
        <rFont val="Calibri"/>
        <family val="2"/>
        <scheme val="minor"/>
      </rPr>
      <t>eq</t>
    </r>
  </si>
  <si>
    <t>Dihydrogen phosphate molar concentration in equivalence point</t>
  </si>
  <si>
    <r>
      <t>[Ac</t>
    </r>
    <r>
      <rPr>
        <vertAlign val="superscript"/>
        <sz val="11"/>
        <rFont val="Calibri"/>
        <family val="2"/>
        <scheme val="minor"/>
      </rPr>
      <t>-</t>
    </r>
    <r>
      <rPr>
        <sz val="11"/>
        <rFont val="Calibri"/>
        <family val="2"/>
        <scheme val="minor"/>
      </rPr>
      <t>]</t>
    </r>
    <r>
      <rPr>
        <vertAlign val="subscript"/>
        <sz val="11"/>
        <rFont val="Calibri"/>
        <family val="2"/>
        <scheme val="minor"/>
      </rPr>
      <t>eq</t>
    </r>
  </si>
  <si>
    <t>Acetate molar concentration in equivalence point</t>
  </si>
  <si>
    <t>Coefficients for alkalinity calculation</t>
  </si>
  <si>
    <r>
      <t>[H</t>
    </r>
    <r>
      <rPr>
        <vertAlign val="superscript"/>
        <sz val="11"/>
        <rFont val="Calibri"/>
        <family val="2"/>
        <scheme val="minor"/>
      </rPr>
      <t>+</t>
    </r>
    <r>
      <rPr>
        <sz val="11"/>
        <rFont val="Calibri"/>
        <family val="2"/>
        <scheme val="minor"/>
      </rPr>
      <t>]</t>
    </r>
    <r>
      <rPr>
        <vertAlign val="subscript"/>
        <sz val="11"/>
        <rFont val="Calibri"/>
        <family val="2"/>
        <scheme val="minor"/>
      </rPr>
      <t>eq</t>
    </r>
  </si>
  <si>
    <t>Hydrogen ion concentration in equivalence point</t>
  </si>
  <si>
    <t>CH3COOH -&gt; CH4+CO2</t>
  </si>
  <si>
    <t>Davies correction coefficient</t>
  </si>
  <si>
    <t>1-(T-3.9863)^2*(T+288.9414)/(508929.2*(T+68.12963))+0.011445*Exp(-374.3/T)</t>
  </si>
  <si>
    <t>ε</t>
  </si>
  <si>
    <r>
      <t>A</t>
    </r>
    <r>
      <rPr>
        <vertAlign val="subscript"/>
        <sz val="11"/>
        <rFont val="Calibri"/>
        <family val="2"/>
        <scheme val="minor"/>
      </rPr>
      <t>Davies</t>
    </r>
  </si>
  <si>
    <t>ρ</t>
  </si>
  <si>
    <t>http://webbook.nist.gov/cgi/cbook.cgi?ID=C124389&amp;Mask=10</t>
  </si>
  <si>
    <t>http://webbook.nist.gov/cgi/cbook.cgi?ID=C10102439&amp;Mask=10</t>
  </si>
  <si>
    <t>http://webbook.nist.gov/cgi/cbook.cgi?ID=C10024972&amp;Mask=10</t>
  </si>
  <si>
    <t>http://webbook.nist.gov/cgi/cbook.cgi?ID=C7727379&amp;Mask=10</t>
  </si>
  <si>
    <r>
      <t>c</t>
    </r>
    <r>
      <rPr>
        <vertAlign val="subscript"/>
        <sz val="11"/>
        <rFont val="Calibri"/>
        <family val="2"/>
        <scheme val="minor"/>
      </rPr>
      <t>p,water</t>
    </r>
  </si>
  <si>
    <t>Heat capacity of water at standard temperature (25°C)</t>
  </si>
  <si>
    <r>
      <t>K</t>
    </r>
    <r>
      <rPr>
        <vertAlign val="subscript"/>
        <sz val="11"/>
        <rFont val="Calibri"/>
        <family val="2"/>
        <scheme val="minor"/>
      </rPr>
      <t>W,param</t>
    </r>
  </si>
  <si>
    <r>
      <t>K</t>
    </r>
    <r>
      <rPr>
        <vertAlign val="subscript"/>
        <sz val="11"/>
        <rFont val="Calibri"/>
        <family val="2"/>
        <scheme val="minor"/>
      </rPr>
      <t>C1,param</t>
    </r>
  </si>
  <si>
    <r>
      <t>K</t>
    </r>
    <r>
      <rPr>
        <vertAlign val="subscript"/>
        <sz val="11"/>
        <rFont val="Calibri"/>
        <family val="2"/>
        <scheme val="minor"/>
      </rPr>
      <t>C2,param</t>
    </r>
  </si>
  <si>
    <r>
      <t>K</t>
    </r>
    <r>
      <rPr>
        <vertAlign val="subscript"/>
        <sz val="11"/>
        <rFont val="Calibri"/>
        <family val="2"/>
        <scheme val="minor"/>
      </rPr>
      <t>P1,param</t>
    </r>
  </si>
  <si>
    <r>
      <t>K</t>
    </r>
    <r>
      <rPr>
        <vertAlign val="subscript"/>
        <sz val="11"/>
        <rFont val="Calibri"/>
        <family val="2"/>
        <scheme val="minor"/>
      </rPr>
      <t>P2,param</t>
    </r>
  </si>
  <si>
    <r>
      <t>K</t>
    </r>
    <r>
      <rPr>
        <vertAlign val="subscript"/>
        <sz val="11"/>
        <rFont val="Calibri"/>
        <family val="2"/>
        <scheme val="minor"/>
      </rPr>
      <t>P3,param</t>
    </r>
  </si>
  <si>
    <t>IS coefficients</t>
  </si>
  <si>
    <r>
      <t>f</t>
    </r>
    <r>
      <rPr>
        <vertAlign val="subscript"/>
        <sz val="11"/>
        <rFont val="Calibri"/>
        <family val="2"/>
        <scheme val="minor"/>
      </rPr>
      <t>mono,IS,cat</t>
    </r>
  </si>
  <si>
    <t>Coefficient for ionic strength calculation for monovalent cations</t>
  </si>
  <si>
    <r>
      <t>f</t>
    </r>
    <r>
      <rPr>
        <vertAlign val="subscript"/>
        <sz val="11"/>
        <rFont val="Calibri"/>
        <family val="2"/>
        <scheme val="minor"/>
      </rPr>
      <t>mono,IS,an</t>
    </r>
  </si>
  <si>
    <t>Coefficient for ionic strength calculation for monovalent anions</t>
  </si>
  <si>
    <r>
      <t>f</t>
    </r>
    <r>
      <rPr>
        <vertAlign val="subscript"/>
        <sz val="11"/>
        <rFont val="Calibri"/>
        <family val="2"/>
        <scheme val="minor"/>
      </rPr>
      <t>di,IS,cat</t>
    </r>
  </si>
  <si>
    <t>Coefficient for ionic strength calculation for divalent cations</t>
  </si>
  <si>
    <r>
      <t>f</t>
    </r>
    <r>
      <rPr>
        <vertAlign val="subscript"/>
        <sz val="11"/>
        <rFont val="Calibri"/>
        <family val="2"/>
        <scheme val="minor"/>
      </rPr>
      <t>di,IS,an</t>
    </r>
  </si>
  <si>
    <t>Coefficient for ionic strength calculation for divalent anions</t>
  </si>
  <si>
    <r>
      <t>f</t>
    </r>
    <r>
      <rPr>
        <vertAlign val="subscript"/>
        <sz val="11"/>
        <rFont val="Calibri"/>
        <family val="2"/>
        <scheme val="minor"/>
      </rPr>
      <t>tri,IS,cat</t>
    </r>
  </si>
  <si>
    <t>Coefficient for ionic strength calculation for trivalent cations</t>
  </si>
  <si>
    <r>
      <t>f</t>
    </r>
    <r>
      <rPr>
        <vertAlign val="subscript"/>
        <sz val="11"/>
        <rFont val="Calibri"/>
        <family val="2"/>
        <scheme val="minor"/>
      </rPr>
      <t>tri,IS,an</t>
    </r>
  </si>
  <si>
    <t>Coefficient for ionic strength calculation for trivalent anions</t>
  </si>
  <si>
    <t>Unit conversion coefficients</t>
  </si>
  <si>
    <r>
      <t>c</t>
    </r>
    <r>
      <rPr>
        <vertAlign val="subscript"/>
        <sz val="11"/>
        <rFont val="Calibri"/>
        <family val="2"/>
        <scheme val="minor"/>
      </rPr>
      <t>ppm,Vconc</t>
    </r>
  </si>
  <si>
    <t>Conversion coefficient between ppm and volumetric concentration</t>
  </si>
  <si>
    <r>
      <t>c</t>
    </r>
    <r>
      <rPr>
        <vertAlign val="subscript"/>
        <sz val="11"/>
        <rFont val="Calibri"/>
        <family val="2"/>
        <scheme val="minor"/>
      </rPr>
      <t>s,d</t>
    </r>
  </si>
  <si>
    <r>
      <t>c</t>
    </r>
    <r>
      <rPr>
        <vertAlign val="subscript"/>
        <sz val="11"/>
        <rFont val="Calibri"/>
        <family val="2"/>
        <scheme val="minor"/>
      </rPr>
      <t>mg,g</t>
    </r>
  </si>
  <si>
    <t>Conversion coefficient between milligrams and grams</t>
  </si>
  <si>
    <r>
      <t>c</t>
    </r>
    <r>
      <rPr>
        <vertAlign val="subscript"/>
        <sz val="11"/>
        <rFont val="Calibri"/>
        <family val="2"/>
        <scheme val="minor"/>
      </rPr>
      <t>L,m3</t>
    </r>
  </si>
  <si>
    <r>
      <t>2727.586+0.6224107*T</t>
    </r>
    <r>
      <rPr>
        <vertAlign val="subscript"/>
        <sz val="11"/>
        <rFont val="Calibri"/>
        <family val="2"/>
        <scheme val="minor"/>
      </rPr>
      <t>K</t>
    </r>
    <r>
      <rPr>
        <sz val="11"/>
        <rFont val="Calibri"/>
        <family val="2"/>
        <scheme val="minor"/>
      </rPr>
      <t>-466.9151*Ln( T</t>
    </r>
    <r>
      <rPr>
        <vertAlign val="subscript"/>
        <sz val="11"/>
        <rFont val="Calibri"/>
        <family val="2"/>
        <scheme val="minor"/>
      </rPr>
      <t xml:space="preserve">K </t>
    </r>
    <r>
      <rPr>
        <sz val="11"/>
        <rFont val="Calibri"/>
        <family val="2"/>
        <scheme val="minor"/>
      </rPr>
      <t>)-(52000.87/T</t>
    </r>
    <r>
      <rPr>
        <vertAlign val="subscript"/>
        <sz val="11"/>
        <rFont val="Calibri"/>
        <family val="2"/>
        <scheme val="minor"/>
      </rPr>
      <t>K</t>
    </r>
    <r>
      <rPr>
        <sz val="11"/>
        <rFont val="Calibri"/>
        <family val="2"/>
        <scheme val="minor"/>
      </rPr>
      <t>)</t>
    </r>
  </si>
  <si>
    <r>
      <t>S</t>
    </r>
    <r>
      <rPr>
        <vertAlign val="subscript"/>
        <sz val="11"/>
        <rFont val="Calibri"/>
        <family val="2"/>
        <scheme val="minor"/>
      </rPr>
      <t>COD</t>
    </r>
    <r>
      <rPr>
        <sz val="11"/>
        <rFont val="Calibri"/>
        <family val="2"/>
        <scheme val="minor"/>
      </rPr>
      <t xml:space="preserve"> + C</t>
    </r>
    <r>
      <rPr>
        <vertAlign val="subscript"/>
        <sz val="11"/>
        <rFont val="Calibri"/>
        <family val="2"/>
        <scheme val="minor"/>
      </rPr>
      <t xml:space="preserve">B </t>
    </r>
    <r>
      <rPr>
        <sz val="11"/>
        <rFont val="Calibri"/>
        <family val="2"/>
        <scheme val="minor"/>
      </rPr>
      <t>+C</t>
    </r>
    <r>
      <rPr>
        <vertAlign val="subscript"/>
        <sz val="11"/>
        <rFont val="Calibri"/>
        <family val="2"/>
        <scheme val="minor"/>
      </rPr>
      <t>U</t>
    </r>
  </si>
  <si>
    <t>Dissociation constants - temperature corrected</t>
  </si>
  <si>
    <r>
      <t>K</t>
    </r>
    <r>
      <rPr>
        <vertAlign val="subscript"/>
        <sz val="11"/>
        <rFont val="Calibri"/>
        <family val="2"/>
        <scheme val="minor"/>
      </rPr>
      <t>W,T</t>
    </r>
  </si>
  <si>
    <r>
      <t>K</t>
    </r>
    <r>
      <rPr>
        <vertAlign val="subscript"/>
        <sz val="11"/>
        <rFont val="Calibri"/>
        <family val="2"/>
        <scheme val="minor"/>
      </rPr>
      <t>C1,T</t>
    </r>
  </si>
  <si>
    <r>
      <t>K</t>
    </r>
    <r>
      <rPr>
        <vertAlign val="subscript"/>
        <sz val="11"/>
        <rFont val="Calibri"/>
        <family val="2"/>
        <scheme val="minor"/>
      </rPr>
      <t>C2,T</t>
    </r>
  </si>
  <si>
    <r>
      <t>K</t>
    </r>
    <r>
      <rPr>
        <vertAlign val="subscript"/>
        <sz val="11"/>
        <rFont val="Calibri"/>
        <family val="2"/>
        <scheme val="minor"/>
      </rPr>
      <t>P1,T</t>
    </r>
  </si>
  <si>
    <r>
      <t>K</t>
    </r>
    <r>
      <rPr>
        <vertAlign val="subscript"/>
        <sz val="11"/>
        <rFont val="Calibri"/>
        <family val="2"/>
        <scheme val="minor"/>
      </rPr>
      <t>P2,T</t>
    </r>
  </si>
  <si>
    <r>
      <t>K</t>
    </r>
    <r>
      <rPr>
        <vertAlign val="subscript"/>
        <sz val="11"/>
        <rFont val="Calibri"/>
        <family val="2"/>
        <scheme val="minor"/>
      </rPr>
      <t>P3,T</t>
    </r>
  </si>
  <si>
    <r>
      <t>K</t>
    </r>
    <r>
      <rPr>
        <vertAlign val="subscript"/>
        <sz val="11"/>
        <rFont val="Calibri"/>
        <family val="2"/>
        <scheme val="minor"/>
      </rPr>
      <t>W,T</t>
    </r>
    <r>
      <rPr>
        <sz val="11"/>
        <rFont val="Calibri"/>
        <family val="2"/>
        <scheme val="minor"/>
      </rPr>
      <t>/f</t>
    </r>
    <r>
      <rPr>
        <vertAlign val="subscript"/>
        <sz val="11"/>
        <rFont val="Calibri"/>
        <family val="2"/>
        <scheme val="minor"/>
      </rPr>
      <t>mono</t>
    </r>
    <r>
      <rPr>
        <sz val="11"/>
        <rFont val="Calibri"/>
        <family val="2"/>
        <scheme val="minor"/>
      </rPr>
      <t>^2</t>
    </r>
  </si>
  <si>
    <r>
      <t>K</t>
    </r>
    <r>
      <rPr>
        <vertAlign val="subscript"/>
        <sz val="11"/>
        <rFont val="Calibri"/>
        <family val="2"/>
        <scheme val="minor"/>
      </rPr>
      <t>C1,T</t>
    </r>
    <r>
      <rPr>
        <sz val="11"/>
        <rFont val="Calibri"/>
        <family val="2"/>
        <scheme val="minor"/>
      </rPr>
      <t>/f</t>
    </r>
    <r>
      <rPr>
        <vertAlign val="subscript"/>
        <sz val="11"/>
        <rFont val="Calibri"/>
        <family val="2"/>
        <scheme val="minor"/>
      </rPr>
      <t>mono</t>
    </r>
    <r>
      <rPr>
        <sz val="11"/>
        <rFont val="Calibri"/>
        <family val="2"/>
        <scheme val="minor"/>
      </rPr>
      <t>^2</t>
    </r>
  </si>
  <si>
    <r>
      <t>K</t>
    </r>
    <r>
      <rPr>
        <vertAlign val="subscript"/>
        <sz val="11"/>
        <rFont val="Calibri"/>
        <family val="2"/>
        <scheme val="minor"/>
      </rPr>
      <t>C2,T</t>
    </r>
    <r>
      <rPr>
        <sz val="11"/>
        <rFont val="Calibri"/>
        <family val="2"/>
        <scheme val="minor"/>
      </rPr>
      <t>/f</t>
    </r>
    <r>
      <rPr>
        <vertAlign val="subscript"/>
        <sz val="11"/>
        <rFont val="Calibri"/>
        <family val="2"/>
        <scheme val="minor"/>
      </rPr>
      <t>di</t>
    </r>
  </si>
  <si>
    <r>
      <t>K</t>
    </r>
    <r>
      <rPr>
        <vertAlign val="subscript"/>
        <sz val="11"/>
        <rFont val="Calibri"/>
        <family val="2"/>
        <scheme val="minor"/>
      </rPr>
      <t>P1,T</t>
    </r>
    <r>
      <rPr>
        <sz val="11"/>
        <rFont val="Calibri"/>
        <family val="2"/>
        <scheme val="minor"/>
      </rPr>
      <t>/f</t>
    </r>
    <r>
      <rPr>
        <vertAlign val="subscript"/>
        <sz val="11"/>
        <rFont val="Calibri"/>
        <family val="2"/>
        <scheme val="minor"/>
      </rPr>
      <t>mono</t>
    </r>
    <r>
      <rPr>
        <sz val="11"/>
        <rFont val="Calibri"/>
        <family val="2"/>
        <scheme val="minor"/>
      </rPr>
      <t>^2</t>
    </r>
  </si>
  <si>
    <r>
      <t>K</t>
    </r>
    <r>
      <rPr>
        <vertAlign val="subscript"/>
        <sz val="11"/>
        <rFont val="Calibri"/>
        <family val="2"/>
        <scheme val="minor"/>
      </rPr>
      <t>P2,T</t>
    </r>
    <r>
      <rPr>
        <sz val="11"/>
        <rFont val="Calibri"/>
        <family val="2"/>
        <scheme val="minor"/>
      </rPr>
      <t>/f</t>
    </r>
    <r>
      <rPr>
        <vertAlign val="subscript"/>
        <sz val="11"/>
        <rFont val="Calibri"/>
        <family val="2"/>
        <scheme val="minor"/>
      </rPr>
      <t>di</t>
    </r>
  </si>
  <si>
    <r>
      <t>K</t>
    </r>
    <r>
      <rPr>
        <vertAlign val="subscript"/>
        <sz val="11"/>
        <rFont val="Calibri"/>
        <family val="2"/>
        <scheme val="minor"/>
      </rPr>
      <t>P3,T</t>
    </r>
    <r>
      <rPr>
        <sz val="11"/>
        <rFont val="Calibri"/>
        <family val="2"/>
        <scheme val="minor"/>
      </rPr>
      <t>/(f</t>
    </r>
    <r>
      <rPr>
        <vertAlign val="subscript"/>
        <sz val="11"/>
        <rFont val="Calibri"/>
        <family val="2"/>
        <scheme val="minor"/>
      </rPr>
      <t>mono</t>
    </r>
    <r>
      <rPr>
        <sz val="11"/>
        <rFont val="Calibri"/>
        <family val="2"/>
        <scheme val="minor"/>
      </rPr>
      <t>*f</t>
    </r>
    <r>
      <rPr>
        <vertAlign val="subscript"/>
        <sz val="11"/>
        <rFont val="Calibri"/>
        <family val="2"/>
        <scheme val="minor"/>
      </rPr>
      <t>tri</t>
    </r>
    <r>
      <rPr>
        <sz val="11"/>
        <rFont val="Calibri"/>
        <family val="2"/>
        <scheme val="minor"/>
      </rPr>
      <t>)*f</t>
    </r>
    <r>
      <rPr>
        <vertAlign val="subscript"/>
        <sz val="11"/>
        <rFont val="Calibri"/>
        <family val="2"/>
        <scheme val="minor"/>
      </rPr>
      <t>di</t>
    </r>
  </si>
  <si>
    <t>Standard enthalpy of formation of species</t>
  </si>
  <si>
    <t>Standard enthalpy of proton</t>
  </si>
  <si>
    <t>http://www.riverdell.org/cms/lib05/NJ01001380/Centricity/Domain/68/Thermodynamic_Values.pdf</t>
  </si>
  <si>
    <t>Standard enthalpy of oxonium ion</t>
  </si>
  <si>
    <t>http://www.vias.org/genchem/standard_enthalpies_table.html</t>
  </si>
  <si>
    <t>Standard enthalpy of hydroxil ion</t>
  </si>
  <si>
    <t>Standard enthalpy of free ammonia</t>
  </si>
  <si>
    <t>Standard enthalpy of ammonium</t>
  </si>
  <si>
    <t>Standard enthalpy of nitrous acid</t>
  </si>
  <si>
    <t>Standard enthalpy of nitrite</t>
  </si>
  <si>
    <t>Standard enthalpy of nitrate</t>
  </si>
  <si>
    <t>Standard enthalpy of carbonic acid</t>
  </si>
  <si>
    <t>Standard enthalpy of bicarbonate ion</t>
  </si>
  <si>
    <t>Standard enthalpy of carbonate ion</t>
  </si>
  <si>
    <t>Perry's Chemical Engineering Handbook, Chap. 2</t>
  </si>
  <si>
    <t>Standard enthalpy of dihydrogen phosphate ion</t>
  </si>
  <si>
    <t>http://bluedevilchem.com/honorshome/hch10/hch10docs/files/heatsformation.pdf</t>
  </si>
  <si>
    <t>Standard enthalpy of hydrogen phosphate ion</t>
  </si>
  <si>
    <t>Standard enthalpy of phosphate ion</t>
  </si>
  <si>
    <t>Standard enthalpy of acetic acid</t>
  </si>
  <si>
    <t>Standard enthalpy of acetate ion</t>
  </si>
  <si>
    <t>Standard enthalpy of formation of compounds</t>
  </si>
  <si>
    <r>
      <t>H</t>
    </r>
    <r>
      <rPr>
        <vertAlign val="subscript"/>
        <sz val="11"/>
        <rFont val="Calibri"/>
        <family val="2"/>
        <scheme val="minor"/>
      </rPr>
      <t>H2O</t>
    </r>
  </si>
  <si>
    <t>Standard enthalpy of formation of H2O (l)</t>
  </si>
  <si>
    <t>Perry's Chemical Engineering Handbook, 2-189</t>
  </si>
  <si>
    <t>Dissociation constants - activity corrected</t>
  </si>
  <si>
    <t>Stoichiometric yields</t>
  </si>
  <si>
    <t>Calcium</t>
  </si>
  <si>
    <r>
      <t>g Ca.m</t>
    </r>
    <r>
      <rPr>
        <vertAlign val="superscript"/>
        <sz val="11"/>
        <rFont val="Calibri"/>
        <family val="2"/>
      </rPr>
      <t>-3</t>
    </r>
  </si>
  <si>
    <t>Ca</t>
  </si>
  <si>
    <t>Mg</t>
  </si>
  <si>
    <r>
      <t>map</t>
    </r>
    <r>
      <rPr>
        <vertAlign val="subscript"/>
        <sz val="11"/>
        <rFont val="Calibri"/>
        <family val="2"/>
      </rPr>
      <t>Ca</t>
    </r>
  </si>
  <si>
    <r>
      <t>map</t>
    </r>
    <r>
      <rPr>
        <vertAlign val="subscript"/>
        <sz val="11"/>
        <rFont val="Calibri"/>
        <family val="2"/>
      </rPr>
      <t>Mg</t>
    </r>
  </si>
  <si>
    <t>Calcium fully dissociated</t>
  </si>
  <si>
    <t>Magnesium fully dissociated</t>
  </si>
  <si>
    <r>
      <t>S</t>
    </r>
    <r>
      <rPr>
        <vertAlign val="subscript"/>
        <sz val="11"/>
        <rFont val="Calibri"/>
        <family val="2"/>
      </rPr>
      <t>Ca</t>
    </r>
    <r>
      <rPr>
        <sz val="11"/>
        <rFont val="Calibri"/>
        <family val="2"/>
      </rPr>
      <t>/(AM</t>
    </r>
    <r>
      <rPr>
        <vertAlign val="subscript"/>
        <sz val="11"/>
        <rFont val="Calibri"/>
        <family val="2"/>
      </rPr>
      <t>Ca</t>
    </r>
    <r>
      <rPr>
        <sz val="11"/>
        <rFont val="Calibri"/>
        <family val="2"/>
      </rPr>
      <t>*1000)</t>
    </r>
  </si>
  <si>
    <r>
      <t>S</t>
    </r>
    <r>
      <rPr>
        <vertAlign val="subscript"/>
        <sz val="11"/>
        <rFont val="Calibri"/>
        <family val="2"/>
      </rPr>
      <t>Mg</t>
    </r>
    <r>
      <rPr>
        <sz val="11"/>
        <rFont val="Calibri"/>
        <family val="2"/>
      </rPr>
      <t>/(AM</t>
    </r>
    <r>
      <rPr>
        <vertAlign val="subscript"/>
        <sz val="11"/>
        <rFont val="Calibri"/>
        <family val="2"/>
      </rPr>
      <t>Mg</t>
    </r>
    <r>
      <rPr>
        <sz val="11"/>
        <rFont val="Calibri"/>
        <family val="2"/>
      </rPr>
      <t>*1000)</t>
    </r>
  </si>
  <si>
    <r>
      <t>[Ca</t>
    </r>
    <r>
      <rPr>
        <b/>
        <vertAlign val="superscript"/>
        <sz val="11"/>
        <rFont val="Calibri"/>
        <family val="2"/>
      </rPr>
      <t>2+</t>
    </r>
    <r>
      <rPr>
        <b/>
        <sz val="11"/>
        <rFont val="Calibri"/>
        <family val="2"/>
      </rPr>
      <t>]</t>
    </r>
  </si>
  <si>
    <r>
      <t>[Mg</t>
    </r>
    <r>
      <rPr>
        <b/>
        <vertAlign val="superscript"/>
        <sz val="11"/>
        <rFont val="Calibri"/>
        <family val="2"/>
      </rPr>
      <t>2+</t>
    </r>
    <r>
      <rPr>
        <b/>
        <sz val="11"/>
        <rFont val="Calibri"/>
        <family val="2"/>
      </rPr>
      <t>]</t>
    </r>
  </si>
  <si>
    <t>Calcium ion</t>
  </si>
  <si>
    <t>Magnesium ion</t>
  </si>
  <si>
    <r>
      <t>S</t>
    </r>
    <r>
      <rPr>
        <b/>
        <vertAlign val="subscript"/>
        <sz val="11"/>
        <rFont val="Calibri"/>
        <family val="2"/>
        <scheme val="minor"/>
      </rPr>
      <t>Ca</t>
    </r>
  </si>
  <si>
    <r>
      <t>X</t>
    </r>
    <r>
      <rPr>
        <b/>
        <vertAlign val="subscript"/>
        <sz val="12"/>
        <rFont val="Calibri"/>
        <family val="2"/>
        <scheme val="minor"/>
      </rPr>
      <t>CaCO3</t>
    </r>
  </si>
  <si>
    <r>
      <t>i</t>
    </r>
    <r>
      <rPr>
        <vertAlign val="subscript"/>
        <sz val="11"/>
        <rFont val="Calibri"/>
        <family val="2"/>
        <scheme val="minor"/>
      </rPr>
      <t>Ca,PP</t>
    </r>
  </si>
  <si>
    <r>
      <t>i</t>
    </r>
    <r>
      <rPr>
        <vertAlign val="subscript"/>
        <sz val="11"/>
        <rFont val="Calibri"/>
        <family val="2"/>
        <scheme val="minor"/>
      </rPr>
      <t>Mg,PP</t>
    </r>
  </si>
  <si>
    <r>
      <t>Henry</t>
    </r>
    <r>
      <rPr>
        <vertAlign val="subscript"/>
        <sz val="11"/>
        <rFont val="Calibri"/>
        <family val="2"/>
        <scheme val="minor"/>
      </rPr>
      <t>GO2,25</t>
    </r>
  </si>
  <si>
    <r>
      <t>Henry</t>
    </r>
    <r>
      <rPr>
        <vertAlign val="subscript"/>
        <sz val="11"/>
        <rFont val="Calibri"/>
        <family val="2"/>
        <scheme val="minor"/>
      </rPr>
      <t>GO2,dt</t>
    </r>
  </si>
  <si>
    <r>
      <t>Henry</t>
    </r>
    <r>
      <rPr>
        <vertAlign val="subscript"/>
        <sz val="11"/>
        <rFont val="Calibri"/>
        <family val="2"/>
        <scheme val="minor"/>
      </rPr>
      <t>GCO2,25</t>
    </r>
  </si>
  <si>
    <r>
      <t>Henry</t>
    </r>
    <r>
      <rPr>
        <vertAlign val="subscript"/>
        <sz val="11"/>
        <rFont val="Calibri"/>
        <family val="2"/>
        <scheme val="minor"/>
      </rPr>
      <t>GCO2,dt</t>
    </r>
  </si>
  <si>
    <r>
      <t>Henry</t>
    </r>
    <r>
      <rPr>
        <vertAlign val="subscript"/>
        <sz val="11"/>
        <rFont val="Calibri"/>
        <family val="2"/>
        <scheme val="minor"/>
      </rPr>
      <t>GNO,25</t>
    </r>
  </si>
  <si>
    <r>
      <t>Henry</t>
    </r>
    <r>
      <rPr>
        <vertAlign val="subscript"/>
        <sz val="11"/>
        <rFont val="Calibri"/>
        <family val="2"/>
        <scheme val="minor"/>
      </rPr>
      <t>GNO,dt</t>
    </r>
  </si>
  <si>
    <r>
      <t>Henry</t>
    </r>
    <r>
      <rPr>
        <vertAlign val="subscript"/>
        <sz val="11"/>
        <rFont val="Calibri"/>
        <family val="2"/>
        <scheme val="minor"/>
      </rPr>
      <t>GN2O,25</t>
    </r>
  </si>
  <si>
    <r>
      <t>Henry</t>
    </r>
    <r>
      <rPr>
        <vertAlign val="subscript"/>
        <sz val="11"/>
        <rFont val="Calibri"/>
        <family val="2"/>
        <scheme val="minor"/>
      </rPr>
      <t>GN2O,dt</t>
    </r>
  </si>
  <si>
    <r>
      <t>Henry</t>
    </r>
    <r>
      <rPr>
        <vertAlign val="subscript"/>
        <sz val="11"/>
        <rFont val="Calibri"/>
        <family val="2"/>
        <scheme val="minor"/>
      </rPr>
      <t>GN2,25</t>
    </r>
  </si>
  <si>
    <r>
      <t>Henry</t>
    </r>
    <r>
      <rPr>
        <vertAlign val="subscript"/>
        <sz val="11"/>
        <rFont val="Calibri"/>
        <family val="2"/>
        <scheme val="minor"/>
      </rPr>
      <t>GN2,dt</t>
    </r>
  </si>
  <si>
    <r>
      <t>Henry</t>
    </r>
    <r>
      <rPr>
        <vertAlign val="subscript"/>
        <sz val="11"/>
        <rFont val="Calibri"/>
        <family val="2"/>
        <scheme val="minor"/>
      </rPr>
      <t>GH2,25</t>
    </r>
  </si>
  <si>
    <r>
      <t>Henry</t>
    </r>
    <r>
      <rPr>
        <vertAlign val="subscript"/>
        <sz val="11"/>
        <rFont val="Calibri"/>
        <family val="2"/>
        <scheme val="minor"/>
      </rPr>
      <t>GH2,dt</t>
    </r>
  </si>
  <si>
    <r>
      <t>Henry</t>
    </r>
    <r>
      <rPr>
        <vertAlign val="subscript"/>
        <sz val="11"/>
        <rFont val="Calibri"/>
        <family val="2"/>
        <scheme val="minor"/>
      </rPr>
      <t>GCH4,25</t>
    </r>
  </si>
  <si>
    <r>
      <t>Henry</t>
    </r>
    <r>
      <rPr>
        <vertAlign val="subscript"/>
        <sz val="11"/>
        <rFont val="Calibri"/>
        <family val="2"/>
        <scheme val="minor"/>
      </rPr>
      <t>GCH4,dt</t>
    </r>
  </si>
  <si>
    <r>
      <t>MM</t>
    </r>
    <r>
      <rPr>
        <vertAlign val="subscript"/>
        <sz val="11"/>
        <rFont val="Calibri"/>
        <family val="2"/>
        <scheme val="minor"/>
      </rPr>
      <t>NH4</t>
    </r>
  </si>
  <si>
    <r>
      <t>MM</t>
    </r>
    <r>
      <rPr>
        <vertAlign val="subscript"/>
        <sz val="11"/>
        <rFont val="Calibri"/>
        <family val="2"/>
        <scheme val="minor"/>
      </rPr>
      <t>NO2</t>
    </r>
  </si>
  <si>
    <r>
      <t>MM</t>
    </r>
    <r>
      <rPr>
        <vertAlign val="subscript"/>
        <sz val="11"/>
        <rFont val="Calibri"/>
        <family val="2"/>
        <scheme val="minor"/>
      </rPr>
      <t>NO3</t>
    </r>
  </si>
  <si>
    <r>
      <t>MM</t>
    </r>
    <r>
      <rPr>
        <vertAlign val="subscript"/>
        <sz val="11"/>
        <rFont val="Calibri"/>
        <family val="2"/>
        <scheme val="minor"/>
      </rPr>
      <t>CO3</t>
    </r>
  </si>
  <si>
    <t>Molecular mass of carbonate</t>
  </si>
  <si>
    <r>
      <t>MM</t>
    </r>
    <r>
      <rPr>
        <vertAlign val="subscript"/>
        <sz val="11"/>
        <rFont val="Calibri"/>
        <family val="2"/>
        <scheme val="minor"/>
      </rPr>
      <t>HCO3</t>
    </r>
  </si>
  <si>
    <t>Molecular mass of hydrogen carbonate</t>
  </si>
  <si>
    <r>
      <t>MM</t>
    </r>
    <r>
      <rPr>
        <vertAlign val="subscript"/>
        <sz val="11"/>
        <rFont val="Calibri"/>
        <family val="2"/>
        <scheme val="minor"/>
      </rPr>
      <t>H2CO3</t>
    </r>
  </si>
  <si>
    <t>Molecular mass of carbonic acid</t>
  </si>
  <si>
    <t>Molecular mass of sulfuric acid</t>
  </si>
  <si>
    <r>
      <t>MM</t>
    </r>
    <r>
      <rPr>
        <vertAlign val="subscript"/>
        <sz val="11"/>
        <rFont val="Calibri"/>
        <family val="2"/>
        <scheme val="minor"/>
      </rPr>
      <t>HCl</t>
    </r>
  </si>
  <si>
    <t>Molecular mass of hydrogen sulfide</t>
  </si>
  <si>
    <t>Molecular mass of calcium carbonate</t>
  </si>
  <si>
    <t>Molecular mass of struvite</t>
  </si>
  <si>
    <r>
      <t>MM</t>
    </r>
    <r>
      <rPr>
        <vertAlign val="subscript"/>
        <sz val="11"/>
        <rFont val="Calibri"/>
        <family val="2"/>
        <scheme val="minor"/>
      </rPr>
      <t>SiO2</t>
    </r>
  </si>
  <si>
    <t>Molecular mass of silica</t>
  </si>
  <si>
    <r>
      <t>EEQ</t>
    </r>
    <r>
      <rPr>
        <vertAlign val="subscript"/>
        <sz val="11"/>
        <rFont val="Calibri"/>
        <family val="2"/>
      </rPr>
      <t>NO2,NO3</t>
    </r>
  </si>
  <si>
    <r>
      <t>EEQ</t>
    </r>
    <r>
      <rPr>
        <vertAlign val="subscript"/>
        <sz val="11"/>
        <rFont val="Calibri"/>
        <family val="2"/>
      </rPr>
      <t>N2,NO2</t>
    </r>
  </si>
  <si>
    <r>
      <t>EEQ</t>
    </r>
    <r>
      <rPr>
        <vertAlign val="subscript"/>
        <sz val="11"/>
        <rFont val="Calibri"/>
        <family val="2"/>
      </rPr>
      <t>NO,NO2</t>
    </r>
  </si>
  <si>
    <r>
      <t>EEQ</t>
    </r>
    <r>
      <rPr>
        <vertAlign val="subscript"/>
        <sz val="11"/>
        <rFont val="Calibri"/>
        <family val="2"/>
      </rPr>
      <t>N2O,NO</t>
    </r>
  </si>
  <si>
    <r>
      <t>EEQ</t>
    </r>
    <r>
      <rPr>
        <vertAlign val="subscript"/>
        <sz val="11"/>
        <rFont val="Calibri"/>
        <family val="2"/>
      </rPr>
      <t>N2,N2O</t>
    </r>
  </si>
  <si>
    <r>
      <t>c</t>
    </r>
    <r>
      <rPr>
        <vertAlign val="subscript"/>
        <sz val="11"/>
        <rFont val="Calibri"/>
        <family val="2"/>
        <scheme val="minor"/>
      </rPr>
      <t>g,kg</t>
    </r>
  </si>
  <si>
    <t>Conversion coefficient between grams and kilograms</t>
  </si>
  <si>
    <r>
      <t>c</t>
    </r>
    <r>
      <rPr>
        <vertAlign val="subscript"/>
        <sz val="11"/>
        <rFont val="Calibri"/>
        <family val="2"/>
        <scheme val="minor"/>
      </rPr>
      <t>Pa,Hgmm</t>
    </r>
  </si>
  <si>
    <r>
      <t>c</t>
    </r>
    <r>
      <rPr>
        <vertAlign val="subscript"/>
        <sz val="11"/>
        <rFont val="Calibri"/>
        <family val="2"/>
        <scheme val="minor"/>
      </rPr>
      <t>Pa,bar</t>
    </r>
  </si>
  <si>
    <r>
      <t>c</t>
    </r>
    <r>
      <rPr>
        <vertAlign val="subscript"/>
        <sz val="11"/>
        <rFont val="Calibri"/>
        <family val="2"/>
        <scheme val="minor"/>
      </rPr>
      <t>cm2,m2</t>
    </r>
  </si>
  <si>
    <t>Maximum specific growth rate of HMETO</t>
  </si>
  <si>
    <r>
      <t>S</t>
    </r>
    <r>
      <rPr>
        <b/>
        <vertAlign val="subscript"/>
        <sz val="11"/>
        <rFont val="Calibri"/>
        <family val="2"/>
      </rPr>
      <t>K</t>
    </r>
  </si>
  <si>
    <t>Potassium</t>
  </si>
  <si>
    <r>
      <t>g Na.m</t>
    </r>
    <r>
      <rPr>
        <vertAlign val="superscript"/>
        <sz val="11"/>
        <rFont val="Calibri"/>
        <family val="2"/>
      </rPr>
      <t>-3</t>
    </r>
  </si>
  <si>
    <r>
      <t>g K.m</t>
    </r>
    <r>
      <rPr>
        <vertAlign val="superscript"/>
        <sz val="11"/>
        <rFont val="Calibri"/>
        <family val="2"/>
      </rPr>
      <t>-3</t>
    </r>
  </si>
  <si>
    <r>
      <t>g Cl.m</t>
    </r>
    <r>
      <rPr>
        <vertAlign val="superscript"/>
        <sz val="11"/>
        <rFont val="Calibri"/>
        <family val="2"/>
      </rPr>
      <t>-3</t>
    </r>
  </si>
  <si>
    <t>Ferrous ion</t>
  </si>
  <si>
    <r>
      <t>G</t>
    </r>
    <r>
      <rPr>
        <b/>
        <vertAlign val="subscript"/>
        <sz val="11"/>
        <rFont val="Calibri"/>
        <family val="2"/>
      </rPr>
      <t>NH3</t>
    </r>
  </si>
  <si>
    <t>Sodium (strong cations)</t>
  </si>
  <si>
    <r>
      <t>[K</t>
    </r>
    <r>
      <rPr>
        <b/>
        <vertAlign val="superscript"/>
        <sz val="11"/>
        <rFont val="Calibri"/>
        <family val="2"/>
      </rPr>
      <t>+</t>
    </r>
    <r>
      <rPr>
        <b/>
        <sz val="11"/>
        <rFont val="Calibri"/>
        <family val="2"/>
      </rPr>
      <t>]</t>
    </r>
  </si>
  <si>
    <t>Chloride (strong anions)</t>
  </si>
  <si>
    <r>
      <t>[Fe</t>
    </r>
    <r>
      <rPr>
        <b/>
        <vertAlign val="superscript"/>
        <sz val="11"/>
        <rFont val="Calibri"/>
        <family val="2"/>
      </rPr>
      <t>2+</t>
    </r>
    <r>
      <rPr>
        <b/>
        <sz val="11"/>
        <rFont val="Calibri"/>
        <family val="2"/>
      </rPr>
      <t>]</t>
    </r>
  </si>
  <si>
    <r>
      <t>10^(-(2835.8/T</t>
    </r>
    <r>
      <rPr>
        <vertAlign val="subscript"/>
        <sz val="11"/>
        <rFont val="Calibri"/>
        <family val="2"/>
        <scheme val="minor"/>
      </rPr>
      <t>K</t>
    </r>
    <r>
      <rPr>
        <sz val="11"/>
        <rFont val="Calibri"/>
        <family val="2"/>
        <scheme val="minor"/>
      </rPr>
      <t xml:space="preserve"> - 0.6322 + 0.00123*T</t>
    </r>
    <r>
      <rPr>
        <vertAlign val="subscript"/>
        <sz val="11"/>
        <rFont val="Calibri"/>
        <family val="2"/>
        <scheme val="minor"/>
      </rPr>
      <t>K</t>
    </r>
    <r>
      <rPr>
        <sz val="11"/>
        <rFont val="Calibri"/>
        <family val="2"/>
        <scheme val="minor"/>
      </rPr>
      <t>))</t>
    </r>
  </si>
  <si>
    <r>
      <t>i</t>
    </r>
    <r>
      <rPr>
        <vertAlign val="subscript"/>
        <sz val="11"/>
        <rFont val="Calibri"/>
        <family val="2"/>
        <scheme val="minor"/>
      </rPr>
      <t>N,CU</t>
    </r>
  </si>
  <si>
    <r>
      <t>i</t>
    </r>
    <r>
      <rPr>
        <vertAlign val="subscript"/>
        <sz val="11"/>
        <rFont val="Calibri"/>
        <family val="2"/>
        <scheme val="minor"/>
      </rPr>
      <t>P,CB</t>
    </r>
  </si>
  <si>
    <r>
      <t>i</t>
    </r>
    <r>
      <rPr>
        <vertAlign val="subscript"/>
        <sz val="11"/>
        <rFont val="Calibri"/>
        <family val="2"/>
        <scheme val="minor"/>
      </rPr>
      <t>P,CU</t>
    </r>
  </si>
  <si>
    <r>
      <t>i</t>
    </r>
    <r>
      <rPr>
        <vertAlign val="subscript"/>
        <sz val="11"/>
        <rFont val="Calibri"/>
        <family val="2"/>
        <scheme val="minor"/>
      </rPr>
      <t>P,SU</t>
    </r>
  </si>
  <si>
    <t>15% of VSS - Ekama</t>
  </si>
  <si>
    <t>and other cations</t>
  </si>
  <si>
    <t>and other anions</t>
  </si>
  <si>
    <t>Diffusion coefficient of ammonia in water</t>
  </si>
  <si>
    <r>
      <t>MM</t>
    </r>
    <r>
      <rPr>
        <vertAlign val="subscript"/>
        <sz val="11"/>
        <rFont val="Calibri"/>
        <family val="2"/>
        <scheme val="minor"/>
      </rPr>
      <t>SO4</t>
    </r>
  </si>
  <si>
    <r>
      <t>MM</t>
    </r>
    <r>
      <rPr>
        <vertAlign val="subscript"/>
        <sz val="11"/>
        <rFont val="Calibri"/>
        <family val="2"/>
        <scheme val="minor"/>
      </rPr>
      <t>HSO4</t>
    </r>
  </si>
  <si>
    <r>
      <t>MM</t>
    </r>
    <r>
      <rPr>
        <vertAlign val="subscript"/>
        <sz val="11"/>
        <rFont val="Calibri"/>
        <family val="2"/>
        <scheme val="minor"/>
      </rPr>
      <t>H2SO4</t>
    </r>
  </si>
  <si>
    <t>N content in GN2</t>
  </si>
  <si>
    <t>N content in GNO</t>
  </si>
  <si>
    <t>N content in GN2O</t>
  </si>
  <si>
    <t>Molecular mass of GCO2</t>
  </si>
  <si>
    <t>Molecular mass of GO2</t>
  </si>
  <si>
    <t>Molecular mass of GCH4</t>
  </si>
  <si>
    <t>Molecular mass of GH2</t>
  </si>
  <si>
    <r>
      <t>EEQ</t>
    </r>
    <r>
      <rPr>
        <vertAlign val="subscript"/>
        <sz val="11"/>
        <rFont val="Calibri"/>
        <family val="2"/>
        <scheme val="minor"/>
      </rPr>
      <t>N2,NO3</t>
    </r>
  </si>
  <si>
    <t>=0.5*1^2</t>
  </si>
  <si>
    <t>=0.5*(-1)^2</t>
  </si>
  <si>
    <t>=0.5*2^2</t>
  </si>
  <si>
    <t>=0.5*(-2)^2</t>
  </si>
  <si>
    <t>=0.5*3^2</t>
  </si>
  <si>
    <t>=0.5*(-3)^2</t>
  </si>
  <si>
    <r>
      <t>c</t>
    </r>
    <r>
      <rPr>
        <vertAlign val="subscript"/>
        <sz val="11"/>
        <rFont val="Calibri"/>
        <family val="2"/>
        <scheme val="minor"/>
      </rPr>
      <t>ms,h</t>
    </r>
  </si>
  <si>
    <t>Conversion coefficient between milliseconds and hours</t>
  </si>
  <si>
    <r>
      <t>ms.h</t>
    </r>
    <r>
      <rPr>
        <vertAlign val="superscript"/>
        <sz val="11"/>
        <rFont val="Calibri"/>
        <family val="2"/>
        <scheme val="minor"/>
      </rPr>
      <t>-1</t>
    </r>
  </si>
  <si>
    <r>
      <t>H</t>
    </r>
    <r>
      <rPr>
        <vertAlign val="subscript"/>
        <sz val="11"/>
        <rFont val="Calibri"/>
        <family val="2"/>
        <scheme val="minor"/>
      </rPr>
      <t>Hp</t>
    </r>
  </si>
  <si>
    <r>
      <t>H</t>
    </r>
    <r>
      <rPr>
        <vertAlign val="subscript"/>
        <sz val="11"/>
        <rFont val="Calibri"/>
        <family val="2"/>
        <scheme val="minor"/>
      </rPr>
      <t>H3Op</t>
    </r>
  </si>
  <si>
    <r>
      <t>H</t>
    </r>
    <r>
      <rPr>
        <vertAlign val="subscript"/>
        <sz val="11"/>
        <rFont val="Calibri"/>
        <family val="2"/>
        <scheme val="minor"/>
      </rPr>
      <t>OHm</t>
    </r>
  </si>
  <si>
    <r>
      <t>H</t>
    </r>
    <r>
      <rPr>
        <vertAlign val="subscript"/>
        <sz val="11"/>
        <rFont val="Calibri"/>
        <family val="2"/>
        <scheme val="minor"/>
      </rPr>
      <t>NH3</t>
    </r>
  </si>
  <si>
    <r>
      <t>H</t>
    </r>
    <r>
      <rPr>
        <vertAlign val="subscript"/>
        <sz val="11"/>
        <rFont val="Calibri"/>
        <family val="2"/>
        <scheme val="minor"/>
      </rPr>
      <t>NH4p</t>
    </r>
  </si>
  <si>
    <r>
      <t>H</t>
    </r>
    <r>
      <rPr>
        <vertAlign val="subscript"/>
        <sz val="11"/>
        <rFont val="Calibri"/>
        <family val="2"/>
        <scheme val="minor"/>
      </rPr>
      <t>HNO2</t>
    </r>
  </si>
  <si>
    <r>
      <t>H</t>
    </r>
    <r>
      <rPr>
        <vertAlign val="subscript"/>
        <sz val="11"/>
        <rFont val="Calibri"/>
        <family val="2"/>
        <scheme val="minor"/>
      </rPr>
      <t>NO2m</t>
    </r>
  </si>
  <si>
    <r>
      <t>H</t>
    </r>
    <r>
      <rPr>
        <vertAlign val="subscript"/>
        <sz val="11"/>
        <rFont val="Calibri"/>
        <family val="2"/>
        <scheme val="minor"/>
      </rPr>
      <t>NO3m</t>
    </r>
  </si>
  <si>
    <r>
      <t>H</t>
    </r>
    <r>
      <rPr>
        <vertAlign val="subscript"/>
        <sz val="11"/>
        <rFont val="Calibri"/>
        <family val="2"/>
        <scheme val="minor"/>
      </rPr>
      <t>H2CO3</t>
    </r>
  </si>
  <si>
    <r>
      <t>H</t>
    </r>
    <r>
      <rPr>
        <vertAlign val="subscript"/>
        <sz val="11"/>
        <rFont val="Calibri"/>
        <family val="2"/>
        <scheme val="minor"/>
      </rPr>
      <t>HCO3m</t>
    </r>
  </si>
  <si>
    <r>
      <t>H</t>
    </r>
    <r>
      <rPr>
        <vertAlign val="subscript"/>
        <sz val="11"/>
        <rFont val="Calibri"/>
        <family val="2"/>
        <scheme val="minor"/>
      </rPr>
      <t>CO32m</t>
    </r>
  </si>
  <si>
    <r>
      <t>H</t>
    </r>
    <r>
      <rPr>
        <vertAlign val="subscript"/>
        <sz val="11"/>
        <rFont val="Calibri"/>
        <family val="2"/>
        <scheme val="minor"/>
      </rPr>
      <t>H3PO4</t>
    </r>
  </si>
  <si>
    <r>
      <t>H</t>
    </r>
    <r>
      <rPr>
        <vertAlign val="subscript"/>
        <sz val="11"/>
        <rFont val="Calibri"/>
        <family val="2"/>
        <scheme val="minor"/>
      </rPr>
      <t>H2PO4m</t>
    </r>
  </si>
  <si>
    <r>
      <t>H</t>
    </r>
    <r>
      <rPr>
        <vertAlign val="subscript"/>
        <sz val="11"/>
        <rFont val="Calibri"/>
        <family val="2"/>
        <scheme val="minor"/>
      </rPr>
      <t>HPO42m</t>
    </r>
  </si>
  <si>
    <r>
      <t>H</t>
    </r>
    <r>
      <rPr>
        <vertAlign val="subscript"/>
        <sz val="11"/>
        <rFont val="Calibri"/>
        <family val="2"/>
        <scheme val="minor"/>
      </rPr>
      <t>PO43m</t>
    </r>
  </si>
  <si>
    <r>
      <t>H</t>
    </r>
    <r>
      <rPr>
        <vertAlign val="subscript"/>
        <sz val="11"/>
        <rFont val="Calibri"/>
        <family val="2"/>
        <scheme val="minor"/>
      </rPr>
      <t>HAc</t>
    </r>
  </si>
  <si>
    <r>
      <t>H</t>
    </r>
    <r>
      <rPr>
        <vertAlign val="subscript"/>
        <sz val="11"/>
        <rFont val="Calibri"/>
        <family val="2"/>
        <scheme val="minor"/>
      </rPr>
      <t>Acm</t>
    </r>
  </si>
  <si>
    <r>
      <t>S</t>
    </r>
    <r>
      <rPr>
        <vertAlign val="subscript"/>
        <sz val="11"/>
        <rFont val="Calibri"/>
        <family val="2"/>
      </rPr>
      <t>K</t>
    </r>
    <r>
      <rPr>
        <sz val="11"/>
        <rFont val="Calibri"/>
        <family val="2"/>
      </rPr>
      <t>/(AM</t>
    </r>
    <r>
      <rPr>
        <vertAlign val="subscript"/>
        <sz val="11"/>
        <rFont val="Calibri"/>
        <family val="2"/>
      </rPr>
      <t>K</t>
    </r>
    <r>
      <rPr>
        <sz val="11"/>
        <rFont val="Calibri"/>
        <family val="2"/>
      </rPr>
      <t>*1000)</t>
    </r>
  </si>
  <si>
    <r>
      <t>map</t>
    </r>
    <r>
      <rPr>
        <vertAlign val="subscript"/>
        <sz val="11"/>
        <rFont val="Calibri"/>
        <family val="2"/>
      </rPr>
      <t>K</t>
    </r>
  </si>
  <si>
    <r>
      <t>map</t>
    </r>
    <r>
      <rPr>
        <vertAlign val="subscript"/>
        <sz val="11"/>
        <rFont val="Calibri"/>
        <family val="2"/>
      </rPr>
      <t>NO3</t>
    </r>
  </si>
  <si>
    <t>Potassium fully dissociated</t>
  </si>
  <si>
    <r>
      <t>map</t>
    </r>
    <r>
      <rPr>
        <vertAlign val="subscript"/>
        <sz val="11"/>
        <rFont val="Calibri"/>
        <family val="2"/>
      </rPr>
      <t>SFerrous</t>
    </r>
  </si>
  <si>
    <t>Molecular mass of hydrogen chloride</t>
  </si>
  <si>
    <t>Molecular mass of hydrogen sulfate</t>
  </si>
  <si>
    <r>
      <t>MM</t>
    </r>
    <r>
      <rPr>
        <vertAlign val="subscript"/>
        <sz val="11"/>
        <rFont val="Calibri"/>
        <family val="2"/>
        <scheme val="minor"/>
      </rPr>
      <t>GNH3</t>
    </r>
  </si>
  <si>
    <t>Molecular mass of sulfate</t>
  </si>
  <si>
    <r>
      <t>MM</t>
    </r>
    <r>
      <rPr>
        <vertAlign val="subscript"/>
        <sz val="11"/>
        <rFont val="Calibri"/>
        <family val="2"/>
        <scheme val="minor"/>
      </rPr>
      <t>H2S</t>
    </r>
  </si>
  <si>
    <t>N content in GNH3</t>
  </si>
  <si>
    <t>Na</t>
  </si>
  <si>
    <r>
      <t>X</t>
    </r>
    <r>
      <rPr>
        <b/>
        <vertAlign val="subscript"/>
        <sz val="11"/>
        <rFont val="Calibri"/>
        <family val="2"/>
        <scheme val="minor"/>
      </rPr>
      <t>Vivi</t>
    </r>
  </si>
  <si>
    <t>Molecular mass of vivianite</t>
  </si>
  <si>
    <t>Molecular mass of iron sulfide</t>
  </si>
  <si>
    <r>
      <t>MM</t>
    </r>
    <r>
      <rPr>
        <vertAlign val="subscript"/>
        <sz val="11"/>
        <rFont val="Calibri"/>
        <family val="2"/>
        <scheme val="minor"/>
      </rPr>
      <t>H2O</t>
    </r>
  </si>
  <si>
    <t>Molecular mass of water</t>
  </si>
  <si>
    <r>
      <t>MM</t>
    </r>
    <r>
      <rPr>
        <vertAlign val="subscript"/>
        <sz val="11"/>
        <rFont val="Calibri"/>
        <family val="2"/>
        <scheme val="minor"/>
      </rPr>
      <t>Vivi</t>
    </r>
  </si>
  <si>
    <r>
      <t>MM</t>
    </r>
    <r>
      <rPr>
        <vertAlign val="subscript"/>
        <sz val="11"/>
        <rFont val="Calibri"/>
        <family val="2"/>
        <scheme val="minor"/>
      </rPr>
      <t>FeS</t>
    </r>
  </si>
  <si>
    <t xml:space="preserve">                                                      </t>
  </si>
  <si>
    <r>
      <t>i</t>
    </r>
    <r>
      <rPr>
        <vertAlign val="subscript"/>
        <sz val="11"/>
        <rFont val="Calibri"/>
        <family val="2"/>
        <scheme val="minor"/>
      </rPr>
      <t>N,CB</t>
    </r>
  </si>
  <si>
    <r>
      <t>i</t>
    </r>
    <r>
      <rPr>
        <vertAlign val="subscript"/>
        <sz val="11"/>
        <rFont val="Calibri"/>
        <family val="2"/>
        <scheme val="minor"/>
      </rPr>
      <t>N,SU</t>
    </r>
  </si>
  <si>
    <t>Vivianite precipitation</t>
  </si>
  <si>
    <r>
      <t>MgNH</t>
    </r>
    <r>
      <rPr>
        <vertAlign val="subscript"/>
        <sz val="11"/>
        <color indexed="8"/>
        <rFont val="Calibri"/>
        <family val="2"/>
        <scheme val="minor"/>
      </rPr>
      <t>4</t>
    </r>
    <r>
      <rPr>
        <sz val="11"/>
        <color indexed="8"/>
        <rFont val="Calibri"/>
        <family val="2"/>
        <scheme val="minor"/>
      </rPr>
      <t>PO</t>
    </r>
    <r>
      <rPr>
        <vertAlign val="subscript"/>
        <sz val="11"/>
        <color indexed="8"/>
        <rFont val="Calibri"/>
        <family val="2"/>
        <scheme val="minor"/>
      </rPr>
      <t>4</t>
    </r>
    <r>
      <rPr>
        <sz val="11"/>
        <color indexed="8"/>
        <rFont val="Calibri"/>
        <family val="2"/>
        <scheme val="minor"/>
      </rPr>
      <t xml:space="preserve"> * 6H</t>
    </r>
    <r>
      <rPr>
        <vertAlign val="subscript"/>
        <sz val="11"/>
        <color indexed="8"/>
        <rFont val="Calibri"/>
        <family val="2"/>
        <scheme val="minor"/>
      </rPr>
      <t>2</t>
    </r>
    <r>
      <rPr>
        <sz val="11"/>
        <color indexed="8"/>
        <rFont val="Calibri"/>
        <family val="2"/>
        <scheme val="minor"/>
      </rPr>
      <t>O</t>
    </r>
  </si>
  <si>
    <t>Amorphous calcium phosphate precipitation</t>
  </si>
  <si>
    <t>Calcium carbonate precipitation</t>
  </si>
  <si>
    <r>
      <t>CaCO</t>
    </r>
    <r>
      <rPr>
        <vertAlign val="subscript"/>
        <sz val="11"/>
        <color indexed="8"/>
        <rFont val="Calibri"/>
        <family val="2"/>
        <scheme val="minor"/>
      </rPr>
      <t>3</t>
    </r>
  </si>
  <si>
    <r>
      <t>Ca</t>
    </r>
    <r>
      <rPr>
        <vertAlign val="subscript"/>
        <sz val="11"/>
        <color indexed="8"/>
        <rFont val="Calibri"/>
        <family val="2"/>
      </rPr>
      <t>3</t>
    </r>
    <r>
      <rPr>
        <sz val="11"/>
        <color indexed="8"/>
        <rFont val="Calibri"/>
        <family val="2"/>
      </rPr>
      <t>(</t>
    </r>
    <r>
      <rPr>
        <sz val="11"/>
        <color indexed="8"/>
        <rFont val="Calibri"/>
        <family val="2"/>
        <scheme val="minor"/>
      </rPr>
      <t>PO</t>
    </r>
    <r>
      <rPr>
        <vertAlign val="subscript"/>
        <sz val="11"/>
        <color indexed="8"/>
        <rFont val="Calibri"/>
        <family val="2"/>
        <scheme val="minor"/>
      </rPr>
      <t>4</t>
    </r>
    <r>
      <rPr>
        <sz val="11"/>
        <color indexed="8"/>
        <rFont val="Calibri"/>
        <family val="2"/>
        <scheme val="minor"/>
      </rPr>
      <t>)</t>
    </r>
    <r>
      <rPr>
        <vertAlign val="subscript"/>
        <sz val="11"/>
        <color indexed="8"/>
        <rFont val="Calibri"/>
        <family val="2"/>
        <scheme val="minor"/>
      </rPr>
      <t>2</t>
    </r>
    <r>
      <rPr>
        <sz val="11"/>
        <color indexed="8"/>
        <rFont val="Calibri"/>
        <family val="2"/>
        <scheme val="minor"/>
      </rPr>
      <t xml:space="preserve"> * 4H</t>
    </r>
    <r>
      <rPr>
        <vertAlign val="subscript"/>
        <sz val="11"/>
        <color indexed="8"/>
        <rFont val="Calibri"/>
        <family val="2"/>
        <scheme val="minor"/>
      </rPr>
      <t>2</t>
    </r>
    <r>
      <rPr>
        <sz val="11"/>
        <color indexed="8"/>
        <rFont val="Calibri"/>
        <family val="2"/>
        <scheme val="minor"/>
      </rPr>
      <t>O</t>
    </r>
  </si>
  <si>
    <r>
      <t>Fe</t>
    </r>
    <r>
      <rPr>
        <vertAlign val="subscript"/>
        <sz val="11"/>
        <color indexed="8"/>
        <rFont val="Calibri"/>
        <family val="2"/>
      </rPr>
      <t>3</t>
    </r>
    <r>
      <rPr>
        <sz val="11"/>
        <color indexed="8"/>
        <rFont val="Calibri"/>
        <family val="2"/>
      </rPr>
      <t>(PO</t>
    </r>
    <r>
      <rPr>
        <vertAlign val="subscript"/>
        <sz val="11"/>
        <color indexed="8"/>
        <rFont val="Calibri"/>
        <family val="2"/>
      </rPr>
      <t>4</t>
    </r>
    <r>
      <rPr>
        <sz val="11"/>
        <color indexed="8"/>
        <rFont val="Calibri"/>
        <family val="2"/>
      </rPr>
      <t>)</t>
    </r>
    <r>
      <rPr>
        <vertAlign val="subscript"/>
        <sz val="11"/>
        <color indexed="8"/>
        <rFont val="Calibri"/>
        <family val="2"/>
      </rPr>
      <t xml:space="preserve">2 </t>
    </r>
    <r>
      <rPr>
        <sz val="11"/>
        <color indexed="8"/>
        <rFont val="Calibri"/>
        <family val="2"/>
      </rPr>
      <t>* 8H</t>
    </r>
    <r>
      <rPr>
        <vertAlign val="subscript"/>
        <sz val="11"/>
        <color indexed="8"/>
        <rFont val="Calibri"/>
        <family val="2"/>
      </rPr>
      <t>2</t>
    </r>
    <r>
      <rPr>
        <sz val="11"/>
        <color indexed="8"/>
        <rFont val="Calibri"/>
        <family val="2"/>
      </rPr>
      <t>O</t>
    </r>
  </si>
  <si>
    <t>Molecular mass of amorphous calcium phosphate</t>
  </si>
  <si>
    <r>
      <t>X</t>
    </r>
    <r>
      <rPr>
        <b/>
        <vertAlign val="subscript"/>
        <sz val="12"/>
        <rFont val="Calibri"/>
        <family val="2"/>
        <scheme val="minor"/>
      </rPr>
      <t>ACP</t>
    </r>
  </si>
  <si>
    <r>
      <t>g TIC.m</t>
    </r>
    <r>
      <rPr>
        <vertAlign val="superscript"/>
        <sz val="11"/>
        <rFont val="Calibri"/>
        <family val="2"/>
      </rPr>
      <t>-3</t>
    </r>
  </si>
  <si>
    <t>Anaerobic endogenous decay products</t>
  </si>
  <si>
    <t>1 / (1 + Exp((halfval - var) * slope))</t>
  </si>
  <si>
    <t>1 / (1 + Exp((var - halfval) * slope))</t>
  </si>
  <si>
    <t>Haldane equation</t>
  </si>
  <si>
    <t>Noncompinh(var; halfinh)</t>
  </si>
  <si>
    <t>Non-competetive inhibition</t>
  </si>
  <si>
    <t>1 / (1 + (var / halfinh))</t>
  </si>
  <si>
    <r>
      <t>i</t>
    </r>
    <r>
      <rPr>
        <vertAlign val="subscript"/>
        <sz val="11"/>
        <rFont val="Calibri"/>
        <family val="2"/>
        <scheme val="minor"/>
      </rPr>
      <t>CV,VFA</t>
    </r>
  </si>
  <si>
    <r>
      <t>i</t>
    </r>
    <r>
      <rPr>
        <vertAlign val="subscript"/>
        <sz val="11"/>
        <rFont val="Calibri"/>
        <family val="2"/>
        <scheme val="minor"/>
      </rPr>
      <t>CV,SB</t>
    </r>
  </si>
  <si>
    <r>
      <t>i</t>
    </r>
    <r>
      <rPr>
        <vertAlign val="subscript"/>
        <sz val="11"/>
        <rFont val="Calibri"/>
        <family val="2"/>
        <scheme val="minor"/>
      </rPr>
      <t>CV,SU</t>
    </r>
  </si>
  <si>
    <r>
      <t>i</t>
    </r>
    <r>
      <rPr>
        <vertAlign val="subscript"/>
        <sz val="11"/>
        <rFont val="Calibri"/>
        <family val="2"/>
        <scheme val="minor"/>
      </rPr>
      <t>CV,CB</t>
    </r>
  </si>
  <si>
    <r>
      <t>i</t>
    </r>
    <r>
      <rPr>
        <vertAlign val="subscript"/>
        <sz val="11"/>
        <rFont val="Calibri"/>
        <family val="2"/>
        <scheme val="minor"/>
      </rPr>
      <t>CV,CU</t>
    </r>
  </si>
  <si>
    <r>
      <t>EEQ</t>
    </r>
    <r>
      <rPr>
        <vertAlign val="subscript"/>
        <sz val="11"/>
        <rFont val="Calibri"/>
        <family val="2"/>
        <scheme val="minor"/>
      </rPr>
      <t>H2S</t>
    </r>
  </si>
  <si>
    <t>-1</t>
  </si>
  <si>
    <r>
      <t>MM</t>
    </r>
    <r>
      <rPr>
        <vertAlign val="subscript"/>
        <sz val="11"/>
        <rFont val="Calibri"/>
        <family val="2"/>
        <scheme val="minor"/>
      </rPr>
      <t>EQ,GH2S</t>
    </r>
  </si>
  <si>
    <t>Molecular mass of GH2S</t>
  </si>
  <si>
    <t>Non-pH</t>
  </si>
  <si>
    <r>
      <t>Henry</t>
    </r>
    <r>
      <rPr>
        <vertAlign val="subscript"/>
        <sz val="11"/>
        <rFont val="Calibri"/>
        <family val="2"/>
        <scheme val="minor"/>
      </rPr>
      <t>GH2S,25</t>
    </r>
  </si>
  <si>
    <r>
      <t>Henry</t>
    </r>
    <r>
      <rPr>
        <vertAlign val="subscript"/>
        <sz val="11"/>
        <rFont val="Calibri"/>
        <family val="2"/>
        <scheme val="minor"/>
      </rPr>
      <t>GH2S,dt</t>
    </r>
  </si>
  <si>
    <r>
      <t>Temperature dependency factor for H</t>
    </r>
    <r>
      <rPr>
        <vertAlign val="subscript"/>
        <sz val="11"/>
        <rFont val="Calibri"/>
        <family val="2"/>
        <scheme val="minor"/>
      </rPr>
      <t>2</t>
    </r>
    <r>
      <rPr>
        <sz val="11"/>
        <rFont val="Calibri"/>
        <family val="2"/>
        <scheme val="minor"/>
      </rPr>
      <t>S Henry coefficient</t>
    </r>
  </si>
  <si>
    <r>
      <t>MM</t>
    </r>
    <r>
      <rPr>
        <vertAlign val="subscript"/>
        <sz val="11"/>
        <rFont val="Calibri"/>
        <family val="2"/>
        <scheme val="minor"/>
      </rPr>
      <t>GH2S</t>
    </r>
  </si>
  <si>
    <t>Advanced</t>
  </si>
  <si>
    <r>
      <t>f</t>
    </r>
    <r>
      <rPr>
        <vertAlign val="subscript"/>
        <sz val="11"/>
        <rFont val="Calibri"/>
        <family val="2"/>
        <scheme val="minor"/>
      </rPr>
      <t>Na</t>
    </r>
  </si>
  <si>
    <r>
      <t>S</t>
    </r>
    <r>
      <rPr>
        <b/>
        <vertAlign val="subscript"/>
        <sz val="11"/>
        <rFont val="Calibri"/>
        <family val="2"/>
      </rPr>
      <t>CAT</t>
    </r>
  </si>
  <si>
    <r>
      <t>S</t>
    </r>
    <r>
      <rPr>
        <b/>
        <vertAlign val="subscript"/>
        <sz val="11"/>
        <rFont val="Calibri"/>
        <family val="2"/>
      </rPr>
      <t>AN</t>
    </r>
  </si>
  <si>
    <r>
      <t>S</t>
    </r>
    <r>
      <rPr>
        <vertAlign val="subscript"/>
        <sz val="11"/>
        <rFont val="Calibri"/>
        <family val="2"/>
        <scheme val="minor"/>
      </rPr>
      <t>CAT</t>
    </r>
  </si>
  <si>
    <r>
      <t>S</t>
    </r>
    <r>
      <rPr>
        <vertAlign val="subscript"/>
        <sz val="11"/>
        <rFont val="Calibri"/>
        <family val="2"/>
      </rPr>
      <t>CAT</t>
    </r>
    <r>
      <rPr>
        <sz val="11"/>
        <rFont val="Calibri"/>
        <family val="2"/>
      </rPr>
      <t>/(AM</t>
    </r>
    <r>
      <rPr>
        <vertAlign val="subscript"/>
        <sz val="11"/>
        <rFont val="Calibri"/>
        <family val="2"/>
      </rPr>
      <t>Na</t>
    </r>
    <r>
      <rPr>
        <sz val="11"/>
        <rFont val="Calibri"/>
        <family val="2"/>
      </rPr>
      <t>*1000)</t>
    </r>
  </si>
  <si>
    <r>
      <t>S</t>
    </r>
    <r>
      <rPr>
        <vertAlign val="subscript"/>
        <sz val="11"/>
        <rFont val="Calibri"/>
        <family val="2"/>
      </rPr>
      <t>AN</t>
    </r>
    <r>
      <rPr>
        <sz val="11"/>
        <rFont val="Calibri"/>
        <family val="2"/>
      </rPr>
      <t>/(AM</t>
    </r>
    <r>
      <rPr>
        <vertAlign val="subscript"/>
        <sz val="11"/>
        <rFont val="Calibri"/>
        <family val="2"/>
      </rPr>
      <t>Cl</t>
    </r>
    <r>
      <rPr>
        <sz val="11"/>
        <rFont val="Calibri"/>
        <family val="2"/>
      </rPr>
      <t>*1000)</t>
    </r>
  </si>
  <si>
    <t>Charge balance error for SCAT calculation</t>
  </si>
  <si>
    <r>
      <t>pH</t>
    </r>
    <r>
      <rPr>
        <vertAlign val="subscript"/>
        <sz val="11"/>
        <rFont val="Calibri"/>
        <family val="2"/>
        <scheme val="minor"/>
      </rPr>
      <t>low</t>
    </r>
  </si>
  <si>
    <r>
      <t>pH</t>
    </r>
    <r>
      <rPr>
        <vertAlign val="subscript"/>
        <sz val="11"/>
        <rFont val="Calibri"/>
        <family val="2"/>
        <scheme val="minor"/>
      </rPr>
      <t>high</t>
    </r>
  </si>
  <si>
    <t>www.dynamita.com</t>
  </si>
  <si>
    <r>
      <t>f(G</t>
    </r>
    <r>
      <rPr>
        <vertAlign val="subscript"/>
        <sz val="11"/>
        <rFont val="Calibri"/>
        <family val="2"/>
      </rPr>
      <t>O2</t>
    </r>
    <r>
      <rPr>
        <sz val="11"/>
        <rFont val="Calibri"/>
        <family val="2"/>
      </rPr>
      <t>)</t>
    </r>
  </si>
  <si>
    <r>
      <t>f(G</t>
    </r>
    <r>
      <rPr>
        <vertAlign val="subscript"/>
        <sz val="11"/>
        <rFont val="Calibri"/>
        <family val="2"/>
      </rPr>
      <t>CO2</t>
    </r>
    <r>
      <rPr>
        <sz val="11"/>
        <rFont val="Calibri"/>
        <family val="2"/>
      </rPr>
      <t>)</t>
    </r>
  </si>
  <si>
    <r>
      <t>f(G</t>
    </r>
    <r>
      <rPr>
        <vertAlign val="subscript"/>
        <sz val="11"/>
        <rFont val="Calibri"/>
        <family val="2"/>
      </rPr>
      <t>CH4</t>
    </r>
    <r>
      <rPr>
        <sz val="11"/>
        <rFont val="Calibri"/>
        <family val="2"/>
      </rPr>
      <t>)</t>
    </r>
  </si>
  <si>
    <r>
      <t>f(G</t>
    </r>
    <r>
      <rPr>
        <vertAlign val="subscript"/>
        <sz val="11"/>
        <rFont val="Calibri"/>
        <family val="2"/>
      </rPr>
      <t>H2</t>
    </r>
    <r>
      <rPr>
        <sz val="11"/>
        <rFont val="Calibri"/>
        <family val="2"/>
      </rPr>
      <t>)</t>
    </r>
  </si>
  <si>
    <r>
      <t>f(G</t>
    </r>
    <r>
      <rPr>
        <vertAlign val="subscript"/>
        <sz val="11"/>
        <rFont val="Calibri"/>
        <family val="2"/>
      </rPr>
      <t>N2</t>
    </r>
    <r>
      <rPr>
        <sz val="11"/>
        <rFont val="Calibri"/>
        <family val="2"/>
      </rPr>
      <t>)</t>
    </r>
  </si>
  <si>
    <t>Other system parameters</t>
  </si>
  <si>
    <t>NoName</t>
  </si>
  <si>
    <t>Testing Attributes</t>
  </si>
  <si>
    <t>Biofilm</t>
  </si>
  <si>
    <t>TestAttribute</t>
  </si>
  <si>
    <r>
      <t>f(G</t>
    </r>
    <r>
      <rPr>
        <vertAlign val="subscript"/>
        <sz val="11"/>
        <rFont val="Calibri"/>
        <family val="2"/>
      </rPr>
      <t>H2S</t>
    </r>
    <r>
      <rPr>
        <sz val="11"/>
        <rFont val="Calibri"/>
        <family val="2"/>
      </rPr>
      <t>)</t>
    </r>
  </si>
  <si>
    <r>
      <t>f(G</t>
    </r>
    <r>
      <rPr>
        <vertAlign val="subscript"/>
        <sz val="11"/>
        <rFont val="Calibri"/>
        <family val="2"/>
      </rPr>
      <t>NH3</t>
    </r>
    <r>
      <rPr>
        <sz val="11"/>
        <rFont val="Calibri"/>
        <family val="2"/>
      </rPr>
      <t>)</t>
    </r>
  </si>
  <si>
    <r>
      <t>g O</t>
    </r>
    <r>
      <rPr>
        <vertAlign val="subscript"/>
        <sz val="11"/>
        <rFont val="Calibri"/>
        <family val="2"/>
        <scheme val="minor"/>
      </rPr>
      <t>2</t>
    </r>
    <r>
      <rPr>
        <sz val="11"/>
        <rFont val="Calibri"/>
        <family val="2"/>
        <scheme val="minor"/>
      </rPr>
      <t>.m</t>
    </r>
    <r>
      <rPr>
        <vertAlign val="superscript"/>
        <sz val="11"/>
        <rFont val="Calibri"/>
        <family val="2"/>
        <scheme val="minor"/>
      </rPr>
      <t>-3</t>
    </r>
  </si>
  <si>
    <r>
      <t>g COD.m</t>
    </r>
    <r>
      <rPr>
        <vertAlign val="superscript"/>
        <sz val="11"/>
        <rFont val="Calibri"/>
        <family val="2"/>
        <scheme val="minor"/>
      </rPr>
      <t>-3</t>
    </r>
  </si>
  <si>
    <r>
      <t>K</t>
    </r>
    <r>
      <rPr>
        <vertAlign val="subscript"/>
        <sz val="11"/>
        <rFont val="Calibri"/>
        <family val="2"/>
        <scheme val="minor"/>
      </rPr>
      <t>PO4,PAO</t>
    </r>
  </si>
  <si>
    <r>
      <t>K</t>
    </r>
    <r>
      <rPr>
        <vertAlign val="subscript"/>
        <sz val="11"/>
        <rFont val="Calibri"/>
        <family val="2"/>
        <scheme val="minor"/>
      </rPr>
      <t>PP,lim</t>
    </r>
  </si>
  <si>
    <r>
      <t>K</t>
    </r>
    <r>
      <rPr>
        <vertAlign val="subscript"/>
        <sz val="11"/>
        <rFont val="Calibri"/>
        <family val="2"/>
        <scheme val="minor"/>
      </rPr>
      <t>HYD</t>
    </r>
  </si>
  <si>
    <r>
      <t>K</t>
    </r>
    <r>
      <rPr>
        <vertAlign val="subscript"/>
        <sz val="11"/>
        <rFont val="Calibri"/>
        <family val="2"/>
        <scheme val="minor"/>
      </rPr>
      <t>NOx,ASSIM</t>
    </r>
  </si>
  <si>
    <r>
      <t>µ</t>
    </r>
    <r>
      <rPr>
        <vertAlign val="subscript"/>
        <sz val="11"/>
        <rFont val="Calibri"/>
        <family val="2"/>
        <scheme val="minor"/>
      </rPr>
      <t>OHO</t>
    </r>
  </si>
  <si>
    <r>
      <t>b</t>
    </r>
    <r>
      <rPr>
        <vertAlign val="subscript"/>
        <sz val="11"/>
        <rFont val="Calibri"/>
        <family val="2"/>
        <scheme val="minor"/>
      </rPr>
      <t>OHO</t>
    </r>
  </si>
  <si>
    <r>
      <t>µ</t>
    </r>
    <r>
      <rPr>
        <vertAlign val="subscript"/>
        <sz val="11"/>
        <rFont val="Calibri"/>
        <family val="2"/>
        <scheme val="minor"/>
      </rPr>
      <t>FERM,OHO</t>
    </r>
  </si>
  <si>
    <r>
      <t>b</t>
    </r>
    <r>
      <rPr>
        <vertAlign val="subscript"/>
        <sz val="11"/>
        <rFont val="Calibri"/>
        <family val="2"/>
        <scheme val="minor"/>
      </rPr>
      <t>NITO</t>
    </r>
  </si>
  <si>
    <r>
      <t>µ</t>
    </r>
    <r>
      <rPr>
        <vertAlign val="subscript"/>
        <sz val="11"/>
        <rFont val="Calibri"/>
        <family val="2"/>
        <scheme val="minor"/>
      </rPr>
      <t>MEOLO</t>
    </r>
  </si>
  <si>
    <r>
      <t>b</t>
    </r>
    <r>
      <rPr>
        <vertAlign val="subscript"/>
        <sz val="11"/>
        <rFont val="Calibri"/>
        <family val="2"/>
        <scheme val="minor"/>
      </rPr>
      <t>MEOLO</t>
    </r>
  </si>
  <si>
    <r>
      <t>q</t>
    </r>
    <r>
      <rPr>
        <vertAlign val="subscript"/>
        <sz val="11"/>
        <rFont val="Calibri"/>
        <family val="2"/>
        <scheme val="minor"/>
      </rPr>
      <t>MEOL</t>
    </r>
  </si>
  <si>
    <r>
      <t>µ</t>
    </r>
    <r>
      <rPr>
        <vertAlign val="subscript"/>
        <sz val="11"/>
        <rFont val="Calibri"/>
        <family val="2"/>
        <scheme val="minor"/>
      </rPr>
      <t>AMETO</t>
    </r>
  </si>
  <si>
    <r>
      <t>b</t>
    </r>
    <r>
      <rPr>
        <vertAlign val="subscript"/>
        <sz val="11"/>
        <rFont val="Calibri"/>
        <family val="2"/>
        <scheme val="minor"/>
      </rPr>
      <t>AMETO</t>
    </r>
    <r>
      <rPr>
        <sz val="11"/>
        <color indexed="8"/>
        <rFont val="Calibri"/>
        <family val="2"/>
      </rPr>
      <t/>
    </r>
  </si>
  <si>
    <t>Parameters for half saturation coefficients in biofilms</t>
  </si>
  <si>
    <r>
      <rPr>
        <sz val="11"/>
        <rFont val="Calibri"/>
        <family val="2"/>
        <scheme val="minor"/>
      </rPr>
      <t>f</t>
    </r>
    <r>
      <rPr>
        <vertAlign val="subscript"/>
        <sz val="11"/>
        <rFont val="Calibri"/>
        <family val="2"/>
        <scheme val="minor"/>
      </rPr>
      <t>KS,biofilm</t>
    </r>
  </si>
  <si>
    <t>http://webbook.nist.gov/cgi/cbook.cgi?Formula=H2&amp;NoIon=on&amp;Units=SI&amp;cSO=on</t>
  </si>
  <si>
    <t>http://webbook.nist.gov/cgi/cbook.cgi?Formula=CH4&amp;NoIon=on&amp;Units=SI&amp;cSO=on</t>
  </si>
  <si>
    <r>
      <t>Henry</t>
    </r>
    <r>
      <rPr>
        <vertAlign val="subscript"/>
        <sz val="11"/>
        <rFont val="Calibri"/>
        <family val="2"/>
        <scheme val="minor"/>
      </rPr>
      <t>GNH3,25</t>
    </r>
  </si>
  <si>
    <r>
      <t>Henry coefficient for NH</t>
    </r>
    <r>
      <rPr>
        <vertAlign val="subscript"/>
        <sz val="11"/>
        <rFont val="Calibri"/>
        <family val="2"/>
        <scheme val="minor"/>
      </rPr>
      <t xml:space="preserve">3 </t>
    </r>
    <r>
      <rPr>
        <sz val="11"/>
        <rFont val="Calibri"/>
        <family val="2"/>
        <scheme val="minor"/>
      </rPr>
      <t>@25°C</t>
    </r>
  </si>
  <si>
    <t>http://webbook.nist.gov/cgi/cbook.cgi?Formula=NH3&amp;NoIon=on&amp;Units=SI&amp;cSO=on</t>
  </si>
  <si>
    <r>
      <t>Henry</t>
    </r>
    <r>
      <rPr>
        <vertAlign val="subscript"/>
        <sz val="11"/>
        <rFont val="Calibri"/>
        <family val="2"/>
        <scheme val="minor"/>
      </rPr>
      <t>GNH3,dt</t>
    </r>
  </si>
  <si>
    <r>
      <t>Temperature dependency factor for NH</t>
    </r>
    <r>
      <rPr>
        <vertAlign val="subscript"/>
        <sz val="11"/>
        <rFont val="Calibri"/>
        <family val="2"/>
        <scheme val="minor"/>
      </rPr>
      <t>3</t>
    </r>
    <r>
      <rPr>
        <sz val="11"/>
        <rFont val="Calibri"/>
        <family val="2"/>
        <scheme val="minor"/>
      </rPr>
      <t xml:space="preserve"> Henry coefficient</t>
    </r>
  </si>
  <si>
    <r>
      <t>Henry coefficient for H</t>
    </r>
    <r>
      <rPr>
        <vertAlign val="subscript"/>
        <sz val="11"/>
        <rFont val="Calibri"/>
        <family val="2"/>
        <scheme val="minor"/>
      </rPr>
      <t>2</t>
    </r>
    <r>
      <rPr>
        <sz val="11"/>
        <rFont val="Calibri"/>
        <family val="2"/>
        <scheme val="minor"/>
      </rPr>
      <t>S</t>
    </r>
    <r>
      <rPr>
        <vertAlign val="subscript"/>
        <sz val="11"/>
        <rFont val="Calibri"/>
        <family val="2"/>
        <scheme val="minor"/>
      </rPr>
      <t xml:space="preserve"> </t>
    </r>
    <r>
      <rPr>
        <sz val="11"/>
        <rFont val="Calibri"/>
        <family val="2"/>
        <scheme val="minor"/>
      </rPr>
      <t>@25°C</t>
    </r>
  </si>
  <si>
    <t>http://webbook.nist.gov/cgi/cbook.cgi?Formula=H2S&amp;NoIon=on&amp;Units=SI&amp;cSO=on</t>
  </si>
  <si>
    <t>Diffusion coefficient of hydrogen sulfide in water @ 25°C</t>
  </si>
  <si>
    <t>Enthalpy of water at 0°C</t>
  </si>
  <si>
    <t>Molecular mass of hydrogen sulphide</t>
  </si>
  <si>
    <r>
      <t>MM</t>
    </r>
    <r>
      <rPr>
        <vertAlign val="subscript"/>
        <sz val="11"/>
        <rFont val="Calibri"/>
        <family val="2"/>
        <scheme val="minor"/>
      </rPr>
      <t>ACP</t>
    </r>
  </si>
  <si>
    <r>
      <t>Electron equivalence of H</t>
    </r>
    <r>
      <rPr>
        <vertAlign val="subscript"/>
        <sz val="11"/>
        <rFont val="Calibri"/>
        <family val="2"/>
        <scheme val="minor"/>
      </rPr>
      <t>2</t>
    </r>
    <r>
      <rPr>
        <sz val="11"/>
        <rFont val="Calibri"/>
        <family val="2"/>
        <scheme val="minor"/>
      </rPr>
      <t>S to H</t>
    </r>
    <r>
      <rPr>
        <vertAlign val="subscript"/>
        <sz val="11"/>
        <rFont val="Calibri"/>
        <family val="2"/>
        <scheme val="minor"/>
      </rPr>
      <t>2</t>
    </r>
    <r>
      <rPr>
        <sz val="11"/>
        <rFont val="Calibri"/>
        <family val="2"/>
        <scheme val="minor"/>
      </rPr>
      <t>SO</t>
    </r>
    <r>
      <rPr>
        <vertAlign val="subscript"/>
        <sz val="11"/>
        <rFont val="Calibri"/>
        <family val="2"/>
        <scheme val="minor"/>
      </rPr>
      <t>4</t>
    </r>
  </si>
  <si>
    <t>Precipitation/redissolution rates</t>
  </si>
  <si>
    <t>Digester</t>
  </si>
  <si>
    <t>NonDetect</t>
  </si>
  <si>
    <r>
      <t>g TIC.m</t>
    </r>
    <r>
      <rPr>
        <vertAlign val="superscript"/>
        <sz val="11"/>
        <rFont val="Calibri"/>
        <family val="2"/>
        <scheme val="minor"/>
      </rPr>
      <t>-3</t>
    </r>
  </si>
  <si>
    <t>Type(Energy)</t>
  </si>
  <si>
    <t>Temperature [K]</t>
  </si>
  <si>
    <t>Temperature [°C]</t>
  </si>
  <si>
    <t>°C</t>
  </si>
  <si>
    <t>Zero</t>
  </si>
  <si>
    <t xml:space="preserve">  </t>
  </si>
  <si>
    <t>Type(Chargebalance)</t>
  </si>
  <si>
    <t>Rate</t>
  </si>
  <si>
    <r>
      <t>f(S</t>
    </r>
    <r>
      <rPr>
        <vertAlign val="subscript"/>
        <sz val="11"/>
        <rFont val="Calibri"/>
        <family val="2"/>
        <scheme val="minor"/>
      </rPr>
      <t>CO2</t>
    </r>
    <r>
      <rPr>
        <sz val="11"/>
        <rFont val="Calibri"/>
        <family val="2"/>
        <scheme val="minor"/>
      </rPr>
      <t>); pH</t>
    </r>
  </si>
  <si>
    <r>
      <t>f(S</t>
    </r>
    <r>
      <rPr>
        <vertAlign val="subscript"/>
        <sz val="11"/>
        <rFont val="Calibri"/>
        <family val="2"/>
        <scheme val="minor"/>
      </rPr>
      <t>PO4</t>
    </r>
    <r>
      <rPr>
        <sz val="11"/>
        <rFont val="Calibri"/>
        <family val="2"/>
        <scheme val="minor"/>
      </rPr>
      <t>);pH</t>
    </r>
  </si>
  <si>
    <r>
      <t>f(S</t>
    </r>
    <r>
      <rPr>
        <vertAlign val="subscript"/>
        <sz val="11"/>
        <rFont val="Calibri"/>
        <family val="2"/>
        <scheme val="minor"/>
      </rPr>
      <t>Ca</t>
    </r>
    <r>
      <rPr>
        <sz val="11"/>
        <rFont val="Calibri"/>
        <family val="2"/>
        <scheme val="minor"/>
      </rPr>
      <t>); pH</t>
    </r>
  </si>
  <si>
    <r>
      <t>f(S</t>
    </r>
    <r>
      <rPr>
        <vertAlign val="subscript"/>
        <sz val="11"/>
        <rFont val="Calibri"/>
        <family val="2"/>
      </rPr>
      <t>Mg</t>
    </r>
    <r>
      <rPr>
        <sz val="11"/>
        <rFont val="Calibri"/>
        <family val="2"/>
      </rPr>
      <t>); pH</t>
    </r>
  </si>
  <si>
    <r>
      <t>f(S</t>
    </r>
    <r>
      <rPr>
        <vertAlign val="subscript"/>
        <sz val="11"/>
        <rFont val="Calibri"/>
        <family val="2"/>
      </rPr>
      <t>CAT</t>
    </r>
    <r>
      <rPr>
        <sz val="11"/>
        <rFont val="Calibri"/>
        <family val="2"/>
      </rPr>
      <t>); pH</t>
    </r>
  </si>
  <si>
    <r>
      <t>f(S</t>
    </r>
    <r>
      <rPr>
        <vertAlign val="subscript"/>
        <sz val="11"/>
        <rFont val="Calibri"/>
        <family val="2"/>
      </rPr>
      <t>K</t>
    </r>
    <r>
      <rPr>
        <sz val="11"/>
        <rFont val="Calibri"/>
        <family val="2"/>
      </rPr>
      <t>); pH</t>
    </r>
  </si>
  <si>
    <r>
      <t>f(S</t>
    </r>
    <r>
      <rPr>
        <vertAlign val="subscript"/>
        <sz val="11"/>
        <rFont val="Calibri"/>
        <family val="2"/>
      </rPr>
      <t>AN</t>
    </r>
    <r>
      <rPr>
        <sz val="11"/>
        <rFont val="Calibri"/>
        <family val="2"/>
      </rPr>
      <t>); pH</t>
    </r>
  </si>
  <si>
    <t>Hsat(var; halfval; halfinh)</t>
  </si>
  <si>
    <t>var / (halfval + var + (var^2/halfinh))</t>
  </si>
  <si>
    <t>Arrhenius coefficient for fermentation (OHO)</t>
  </si>
  <si>
    <t>Arrhenius coefficient for flocculation</t>
  </si>
  <si>
    <t>Arrhenius coefficient for hydrolysis</t>
  </si>
  <si>
    <t>Arrhenius coefficient for ammonification</t>
  </si>
  <si>
    <t>Arrhenius coefficient for PO4 conversion</t>
  </si>
  <si>
    <t>Arrhenius coefficient endogenous residual conversion</t>
  </si>
  <si>
    <t>Arrhenius coefficient assimilative kinetics</t>
  </si>
  <si>
    <t>Arrhenius coefficient for OHO growth</t>
  </si>
  <si>
    <t>Arrhenius coefficient for OHO decay</t>
  </si>
  <si>
    <t>Arrhenius coefficient for MEOLO growth</t>
  </si>
  <si>
    <t>Arrhenius coefficient for MEOLO decay</t>
  </si>
  <si>
    <t>Arrhenius coefficient for PAO growth (P limited)</t>
  </si>
  <si>
    <t>Arrhenius coefficient for PHA storage</t>
  </si>
  <si>
    <t>Arrhenius coefficient for anaerobic PP storage</t>
  </si>
  <si>
    <t>Arrhenius coefficient for NITO decay</t>
  </si>
  <si>
    <t>Arrhenius coefficient for NITO growth</t>
  </si>
  <si>
    <t>Arrhenius coefficient for AMETO growth</t>
  </si>
  <si>
    <t>Arrhenius coefficient for AMETO decay</t>
  </si>
  <si>
    <t>Arrhenius coefficient for HMETO growth</t>
  </si>
  <si>
    <t>Arrhenius coefficient for HMETO decay</t>
  </si>
  <si>
    <r>
      <t>f(S</t>
    </r>
    <r>
      <rPr>
        <vertAlign val="subscript"/>
        <sz val="11"/>
        <rFont val="Calibri"/>
        <family val="2"/>
        <scheme val="minor"/>
      </rPr>
      <t>NHx</t>
    </r>
    <r>
      <rPr>
        <sz val="11"/>
        <rFont val="Calibri"/>
        <family val="2"/>
        <scheme val="minor"/>
      </rPr>
      <t>); pH</t>
    </r>
  </si>
  <si>
    <t>Non-Biofilm</t>
  </si>
  <si>
    <t>Non-pHSet; pH</t>
  </si>
  <si>
    <r>
      <t>[AN</t>
    </r>
    <r>
      <rPr>
        <b/>
        <vertAlign val="superscript"/>
        <sz val="11"/>
        <rFont val="Calibri"/>
        <family val="2"/>
      </rPr>
      <t>-</t>
    </r>
    <r>
      <rPr>
        <b/>
        <sz val="11"/>
        <rFont val="Calibri"/>
        <family val="2"/>
      </rPr>
      <t>]</t>
    </r>
  </si>
  <si>
    <r>
      <t>[CAT</t>
    </r>
    <r>
      <rPr>
        <b/>
        <vertAlign val="superscript"/>
        <sz val="11"/>
        <rFont val="Calibri"/>
        <family val="2"/>
      </rPr>
      <t>+</t>
    </r>
    <r>
      <rPr>
        <b/>
        <sz val="11"/>
        <rFont val="Calibri"/>
        <family val="2"/>
      </rPr>
      <t>]</t>
    </r>
  </si>
  <si>
    <t>Parameters for gas transfer</t>
  </si>
  <si>
    <t>BigNumber</t>
  </si>
  <si>
    <t>pHSet</t>
  </si>
  <si>
    <r>
      <t>Diffusion coefficient of N</t>
    </r>
    <r>
      <rPr>
        <vertAlign val="subscript"/>
        <sz val="11"/>
        <rFont val="Calibri"/>
        <family val="2"/>
      </rPr>
      <t>2</t>
    </r>
    <r>
      <rPr>
        <sz val="11"/>
        <rFont val="Calibri"/>
        <family val="2"/>
      </rPr>
      <t>O in water @ 25°C</t>
    </r>
  </si>
  <si>
    <r>
      <t>MM</t>
    </r>
    <r>
      <rPr>
        <vertAlign val="subscript"/>
        <sz val="11"/>
        <rFont val="Calibri"/>
        <family val="2"/>
      </rPr>
      <t>Fe2O3</t>
    </r>
  </si>
  <si>
    <r>
      <t>Molecular mass of Fe</t>
    </r>
    <r>
      <rPr>
        <vertAlign val="subscript"/>
        <sz val="11"/>
        <rFont val="Calibri"/>
        <family val="2"/>
        <scheme val="minor"/>
      </rPr>
      <t>2</t>
    </r>
    <r>
      <rPr>
        <sz val="11"/>
        <rFont val="Calibri"/>
        <family val="2"/>
        <scheme val="minor"/>
      </rPr>
      <t>O</t>
    </r>
    <r>
      <rPr>
        <vertAlign val="subscript"/>
        <sz val="11"/>
        <rFont val="Calibri"/>
        <family val="2"/>
        <scheme val="minor"/>
      </rPr>
      <t>3</t>
    </r>
  </si>
  <si>
    <r>
      <t>MM</t>
    </r>
    <r>
      <rPr>
        <vertAlign val="subscript"/>
        <sz val="11"/>
        <rFont val="Calibri"/>
        <family val="2"/>
      </rPr>
      <t>PO4</t>
    </r>
  </si>
  <si>
    <r>
      <t>MM</t>
    </r>
    <r>
      <rPr>
        <vertAlign val="subscript"/>
        <sz val="11"/>
        <rFont val="Calibri"/>
        <family val="2"/>
      </rPr>
      <t>CO2</t>
    </r>
  </si>
  <si>
    <r>
      <t>MM</t>
    </r>
    <r>
      <rPr>
        <vertAlign val="subscript"/>
        <sz val="11"/>
        <rFont val="Calibri"/>
        <family val="2"/>
        <scheme val="minor"/>
      </rPr>
      <t>CaCO3</t>
    </r>
  </si>
  <si>
    <r>
      <t>MM</t>
    </r>
    <r>
      <rPr>
        <vertAlign val="subscript"/>
        <sz val="11"/>
        <rFont val="Calibri"/>
        <family val="2"/>
        <scheme val="minor"/>
      </rPr>
      <t>STR</t>
    </r>
  </si>
  <si>
    <r>
      <t>MM</t>
    </r>
    <r>
      <rPr>
        <vertAlign val="subscript"/>
        <sz val="11"/>
        <rFont val="Calibri"/>
        <family val="2"/>
        <scheme val="minor"/>
      </rPr>
      <t>EQ,GN2</t>
    </r>
  </si>
  <si>
    <r>
      <t>MM</t>
    </r>
    <r>
      <rPr>
        <vertAlign val="subscript"/>
        <sz val="11"/>
        <rFont val="Calibri"/>
        <family val="2"/>
        <scheme val="minor"/>
      </rPr>
      <t>EQ,GNH3</t>
    </r>
  </si>
  <si>
    <r>
      <t>MM</t>
    </r>
    <r>
      <rPr>
        <vertAlign val="subscript"/>
        <sz val="11"/>
        <rFont val="Calibri"/>
        <family val="2"/>
        <scheme val="minor"/>
      </rPr>
      <t>EQ,GNO</t>
    </r>
  </si>
  <si>
    <r>
      <t>MM</t>
    </r>
    <r>
      <rPr>
        <vertAlign val="subscript"/>
        <sz val="11"/>
        <rFont val="Calibri"/>
        <family val="2"/>
        <scheme val="minor"/>
      </rPr>
      <t>EQ,GN2O</t>
    </r>
  </si>
  <si>
    <r>
      <t>MM</t>
    </r>
    <r>
      <rPr>
        <vertAlign val="subscript"/>
        <sz val="11"/>
        <rFont val="Calibri"/>
        <family val="2"/>
        <scheme val="minor"/>
      </rPr>
      <t>EQ,GCO2</t>
    </r>
  </si>
  <si>
    <r>
      <t>C</t>
    </r>
    <r>
      <rPr>
        <vertAlign val="subscript"/>
        <sz val="11"/>
        <rFont val="Calibri"/>
        <family val="2"/>
        <scheme val="minor"/>
      </rPr>
      <t>O2</t>
    </r>
    <r>
      <rPr>
        <sz val="11"/>
        <rFont val="Calibri"/>
        <family val="2"/>
        <scheme val="minor"/>
      </rPr>
      <t xml:space="preserve"> is used in mg/l in kinetic matrix, no need for any special eq-type value, so the exact value is the same as the molecular mass. This is needed only because of the CSTR code, which needs MM</t>
    </r>
    <r>
      <rPr>
        <vertAlign val="subscript"/>
        <sz val="11"/>
        <rFont val="Calibri"/>
        <family val="2"/>
        <scheme val="minor"/>
      </rPr>
      <t>EQ,XXX</t>
    </r>
    <r>
      <rPr>
        <sz val="11"/>
        <rFont val="Calibri"/>
        <family val="2"/>
        <scheme val="minor"/>
      </rPr>
      <t xml:space="preserve"> data</t>
    </r>
  </si>
  <si>
    <r>
      <t>MM</t>
    </r>
    <r>
      <rPr>
        <vertAlign val="subscript"/>
        <sz val="11"/>
        <rFont val="Calibri"/>
        <family val="2"/>
        <scheme val="minor"/>
      </rPr>
      <t>EQ,GO2</t>
    </r>
  </si>
  <si>
    <t>Hvitved-Jacobsen 2013</t>
  </si>
  <si>
    <t>base is sulphate</t>
  </si>
  <si>
    <t>pH = 4.1929</t>
  </si>
  <si>
    <t>Standard enthalpy of hydrogen sulfide (aq)</t>
  </si>
  <si>
    <t>Standard enthalpy of bisulfide ion</t>
  </si>
  <si>
    <t xml:space="preserve">Minteq V4 H+ + HS- = H2S  (log_k 7.02/ delta_h -22 kJ)and  HS- = S-2 + H+ ( log_k -17.3/delta_h 49.4 kJ)
</t>
  </si>
  <si>
    <t>Standard enthalpy of sulfide ion</t>
  </si>
  <si>
    <t>Standard enthalpy of sulfuric acid</t>
  </si>
  <si>
    <t>Standard enthalpy of hydrosulfate ion</t>
  </si>
  <si>
    <t>Minteq V4 H+ + SO42- = HSO4- (log_k 1.99/ delta_h 22 kJ) and http://bluedevilchem.com/honorshome/hch10/hch10docs/files/heatsformation.pdf</t>
  </si>
  <si>
    <t>Standard enthalpy of sulfate ion</t>
  </si>
  <si>
    <r>
      <t>S</t>
    </r>
    <r>
      <rPr>
        <vertAlign val="subscript"/>
        <sz val="11"/>
        <rFont val="Calibri"/>
        <family val="2"/>
        <scheme val="minor"/>
      </rPr>
      <t>ALK</t>
    </r>
  </si>
  <si>
    <r>
      <t>f</t>
    </r>
    <r>
      <rPr>
        <vertAlign val="subscript"/>
        <sz val="11"/>
        <rFont val="Calibri"/>
        <family val="2"/>
      </rPr>
      <t>mono,IS,cat</t>
    </r>
  </si>
  <si>
    <r>
      <t>f</t>
    </r>
    <r>
      <rPr>
        <vertAlign val="subscript"/>
        <sz val="11"/>
        <rFont val="Calibri"/>
        <family val="2"/>
      </rPr>
      <t>mono,IS,an</t>
    </r>
  </si>
  <si>
    <r>
      <t>f</t>
    </r>
    <r>
      <rPr>
        <vertAlign val="subscript"/>
        <sz val="11"/>
        <rFont val="Calibri"/>
        <family val="2"/>
      </rPr>
      <t>di,IS,an</t>
    </r>
  </si>
  <si>
    <r>
      <t>f</t>
    </r>
    <r>
      <rPr>
        <vertAlign val="subscript"/>
        <sz val="11"/>
        <rFont val="Calibri"/>
        <family val="2"/>
      </rPr>
      <t>tri,IS,an</t>
    </r>
  </si>
  <si>
    <r>
      <t>f</t>
    </r>
    <r>
      <rPr>
        <vertAlign val="subscript"/>
        <sz val="11"/>
        <rFont val="Calibri"/>
        <family val="2"/>
      </rPr>
      <t>di,IS,cat</t>
    </r>
  </si>
  <si>
    <t>Enthalpy</t>
  </si>
  <si>
    <t>Water with 0°C is considered to have zero enthalpy. Initial values are calculated for 20°C</t>
  </si>
  <si>
    <r>
      <t>MM</t>
    </r>
    <r>
      <rPr>
        <vertAlign val="subscript"/>
        <sz val="11"/>
        <rFont val="Calibri"/>
        <family val="2"/>
        <charset val="238"/>
        <scheme val="minor"/>
      </rPr>
      <t>MKP</t>
    </r>
  </si>
  <si>
    <t>Molecular mass of struvite-K</t>
  </si>
  <si>
    <r>
      <t>MM</t>
    </r>
    <r>
      <rPr>
        <vertAlign val="subscript"/>
        <sz val="11"/>
        <rFont val="Calibri"/>
        <family val="2"/>
        <scheme val="minor"/>
      </rPr>
      <t>HDP</t>
    </r>
  </si>
  <si>
    <t>Molecular mass of HDP</t>
  </si>
  <si>
    <r>
      <t>MM</t>
    </r>
    <r>
      <rPr>
        <vertAlign val="subscript"/>
        <sz val="11"/>
        <rFont val="Calibri"/>
        <family val="2"/>
        <scheme val="minor"/>
      </rPr>
      <t>HAP</t>
    </r>
  </si>
  <si>
    <t>Molecular mass of HAP</t>
  </si>
  <si>
    <r>
      <t>MM</t>
    </r>
    <r>
      <rPr>
        <vertAlign val="subscript"/>
        <sz val="11"/>
        <rFont val="Calibri"/>
        <family val="2"/>
        <scheme val="minor"/>
      </rPr>
      <t>CaOH</t>
    </r>
  </si>
  <si>
    <t>Molecular mass of CaOH</t>
  </si>
  <si>
    <r>
      <t>MM</t>
    </r>
    <r>
      <rPr>
        <vertAlign val="subscript"/>
        <sz val="11"/>
        <rFont val="Calibri"/>
        <family val="2"/>
        <scheme val="minor"/>
      </rPr>
      <t>CaHCO3</t>
    </r>
  </si>
  <si>
    <r>
      <t>MM</t>
    </r>
    <r>
      <rPr>
        <vertAlign val="subscript"/>
        <sz val="11"/>
        <rFont val="Calibri"/>
        <family val="2"/>
        <scheme val="minor"/>
      </rPr>
      <t>CaPO4</t>
    </r>
  </si>
  <si>
    <r>
      <t>MM</t>
    </r>
    <r>
      <rPr>
        <vertAlign val="subscript"/>
        <sz val="11"/>
        <rFont val="Calibri"/>
        <family val="2"/>
        <scheme val="minor"/>
      </rPr>
      <t>CaHPO4</t>
    </r>
  </si>
  <si>
    <r>
      <t>MM</t>
    </r>
    <r>
      <rPr>
        <vertAlign val="subscript"/>
        <sz val="11"/>
        <rFont val="Calibri"/>
        <family val="2"/>
        <scheme val="minor"/>
      </rPr>
      <t>CaH2PO4</t>
    </r>
  </si>
  <si>
    <r>
      <t>MM</t>
    </r>
    <r>
      <rPr>
        <vertAlign val="subscript"/>
        <sz val="11"/>
        <rFont val="Calibri"/>
        <family val="2"/>
        <scheme val="minor"/>
      </rPr>
      <t>MgOH</t>
    </r>
  </si>
  <si>
    <r>
      <t>MM</t>
    </r>
    <r>
      <rPr>
        <vertAlign val="subscript"/>
        <sz val="11"/>
        <rFont val="Calibri"/>
        <family val="2"/>
        <scheme val="minor"/>
      </rPr>
      <t>MgCO3</t>
    </r>
  </si>
  <si>
    <r>
      <t>MM</t>
    </r>
    <r>
      <rPr>
        <vertAlign val="subscript"/>
        <sz val="11"/>
        <rFont val="Calibri"/>
        <family val="2"/>
        <scheme val="minor"/>
      </rPr>
      <t>MgHCO3</t>
    </r>
  </si>
  <si>
    <r>
      <t>MM</t>
    </r>
    <r>
      <rPr>
        <vertAlign val="subscript"/>
        <sz val="11"/>
        <rFont val="Calibri"/>
        <family val="2"/>
        <scheme val="minor"/>
      </rPr>
      <t>MgHPO4</t>
    </r>
  </si>
  <si>
    <r>
      <t>MM</t>
    </r>
    <r>
      <rPr>
        <vertAlign val="subscript"/>
        <sz val="11"/>
        <rFont val="Calibri"/>
        <family val="2"/>
        <scheme val="minor"/>
      </rPr>
      <t>MgPO4</t>
    </r>
  </si>
  <si>
    <r>
      <t>MM</t>
    </r>
    <r>
      <rPr>
        <vertAlign val="subscript"/>
        <sz val="11"/>
        <rFont val="Calibri"/>
        <family val="2"/>
        <scheme val="minor"/>
      </rPr>
      <t>MgH2PO4</t>
    </r>
  </si>
  <si>
    <r>
      <t>MM</t>
    </r>
    <r>
      <rPr>
        <vertAlign val="subscript"/>
        <sz val="11"/>
        <rFont val="Calibri"/>
        <family val="2"/>
        <scheme val="minor"/>
      </rPr>
      <t>NaHPO4</t>
    </r>
  </si>
  <si>
    <t>Precipitation constants</t>
  </si>
  <si>
    <r>
      <t>H</t>
    </r>
    <r>
      <rPr>
        <vertAlign val="subscript"/>
        <sz val="11"/>
        <rFont val="Calibri"/>
        <family val="2"/>
        <scheme val="minor"/>
      </rPr>
      <t>Ca2p</t>
    </r>
  </si>
  <si>
    <t>Standard enthalpy of calcium ion</t>
  </si>
  <si>
    <r>
      <t>H</t>
    </r>
    <r>
      <rPr>
        <vertAlign val="subscript"/>
        <sz val="11"/>
        <rFont val="Calibri"/>
        <family val="2"/>
        <scheme val="minor"/>
      </rPr>
      <t>Mg2p</t>
    </r>
  </si>
  <si>
    <r>
      <t>H</t>
    </r>
    <r>
      <rPr>
        <vertAlign val="subscript"/>
        <sz val="11"/>
        <rFont val="Calibri"/>
        <family val="2"/>
        <scheme val="minor"/>
      </rPr>
      <t>Nap</t>
    </r>
  </si>
  <si>
    <t>Standard enthalpy of sodium ion</t>
  </si>
  <si>
    <r>
      <t>g.m</t>
    </r>
    <r>
      <rPr>
        <vertAlign val="superscript"/>
        <sz val="11"/>
        <rFont val="Calibri"/>
        <family val="2"/>
        <scheme val="minor"/>
      </rPr>
      <t>-3</t>
    </r>
    <r>
      <rPr>
        <sz val="11"/>
        <rFont val="Calibri"/>
        <family val="2"/>
        <scheme val="minor"/>
      </rPr>
      <t>.d</t>
    </r>
    <r>
      <rPr>
        <vertAlign val="superscript"/>
        <sz val="11"/>
        <rFont val="Calibri"/>
        <family val="2"/>
        <scheme val="minor"/>
      </rPr>
      <t>-1</t>
    </r>
  </si>
  <si>
    <r>
      <t>Electron equivalence of S0 to H</t>
    </r>
    <r>
      <rPr>
        <vertAlign val="subscript"/>
        <sz val="11"/>
        <rFont val="Calibri"/>
        <family val="2"/>
        <scheme val="minor"/>
      </rPr>
      <t>2</t>
    </r>
    <r>
      <rPr>
        <sz val="11"/>
        <rFont val="Calibri"/>
        <family val="2"/>
        <scheme val="minor"/>
      </rPr>
      <t>SO</t>
    </r>
    <r>
      <rPr>
        <vertAlign val="subscript"/>
        <sz val="11"/>
        <rFont val="Calibri"/>
        <family val="2"/>
        <scheme val="minor"/>
      </rPr>
      <t>4</t>
    </r>
  </si>
  <si>
    <t>Precipitation constants - activity corrected</t>
  </si>
  <si>
    <r>
      <t>K</t>
    </r>
    <r>
      <rPr>
        <vertAlign val="subscript"/>
        <sz val="11"/>
        <rFont val="Calibri"/>
        <family val="2"/>
        <scheme val="minor"/>
      </rPr>
      <t>sp,CaCO3,param</t>
    </r>
  </si>
  <si>
    <r>
      <t>K</t>
    </r>
    <r>
      <rPr>
        <vertAlign val="subscript"/>
        <sz val="11"/>
        <rFont val="Calibri"/>
        <family val="2"/>
        <scheme val="minor"/>
      </rPr>
      <t>sp,STR,param</t>
    </r>
  </si>
  <si>
    <r>
      <t>K</t>
    </r>
    <r>
      <rPr>
        <vertAlign val="subscript"/>
        <sz val="11"/>
        <rFont val="Calibri"/>
        <family val="2"/>
        <scheme val="minor"/>
      </rPr>
      <t>sp,Vivi,param</t>
    </r>
  </si>
  <si>
    <r>
      <t>K</t>
    </r>
    <r>
      <rPr>
        <vertAlign val="subscript"/>
        <sz val="11"/>
        <rFont val="Calibri"/>
        <family val="2"/>
        <scheme val="minor"/>
      </rPr>
      <t>sp,HDP,param</t>
    </r>
  </si>
  <si>
    <r>
      <t>K</t>
    </r>
    <r>
      <rPr>
        <vertAlign val="subscript"/>
        <sz val="11"/>
        <rFont val="Calibri"/>
        <family val="2"/>
        <scheme val="minor"/>
      </rPr>
      <t>sp,MKP,param</t>
    </r>
  </si>
  <si>
    <r>
      <t>K</t>
    </r>
    <r>
      <rPr>
        <vertAlign val="subscript"/>
        <sz val="11"/>
        <rFont val="Calibri"/>
        <family val="2"/>
        <scheme val="minor"/>
      </rPr>
      <t>sp,ACP,param</t>
    </r>
  </si>
  <si>
    <r>
      <t>K</t>
    </r>
    <r>
      <rPr>
        <vertAlign val="subscript"/>
        <sz val="11"/>
        <rFont val="Calibri"/>
        <family val="2"/>
        <scheme val="minor"/>
      </rPr>
      <t>sp,STR</t>
    </r>
  </si>
  <si>
    <r>
      <t>K</t>
    </r>
    <r>
      <rPr>
        <vertAlign val="subscript"/>
        <sz val="11"/>
        <rFont val="Calibri"/>
        <family val="2"/>
        <scheme val="minor"/>
      </rPr>
      <t>sp,Vivi</t>
    </r>
  </si>
  <si>
    <r>
      <t>K</t>
    </r>
    <r>
      <rPr>
        <vertAlign val="subscript"/>
        <sz val="11"/>
        <rFont val="Calibri"/>
        <family val="2"/>
        <scheme val="minor"/>
      </rPr>
      <t>sp,ACP</t>
    </r>
  </si>
  <si>
    <r>
      <t>K</t>
    </r>
    <r>
      <rPr>
        <vertAlign val="subscript"/>
        <sz val="11"/>
        <rFont val="Calibri"/>
        <family val="2"/>
        <scheme val="minor"/>
      </rPr>
      <t>sp,CaCO3</t>
    </r>
  </si>
  <si>
    <r>
      <t>EEQ</t>
    </r>
    <r>
      <rPr>
        <vertAlign val="subscript"/>
        <sz val="11"/>
        <rFont val="Calibri"/>
        <family val="2"/>
        <scheme val="minor"/>
      </rPr>
      <t>S</t>
    </r>
  </si>
  <si>
    <t>Molecular mass of CaHCO3+</t>
  </si>
  <si>
    <t>Molecular mass of CaPO4-</t>
  </si>
  <si>
    <t>Molecular mass of CaHPO4</t>
  </si>
  <si>
    <t>Molecular mass of CaH2PO4+</t>
  </si>
  <si>
    <t>Molecular mass of MgOH+</t>
  </si>
  <si>
    <t>Molecular mass of MgCO3</t>
  </si>
  <si>
    <t>Molecular mass of MgHCO3+</t>
  </si>
  <si>
    <t>Molecular mass of MgHPO4</t>
  </si>
  <si>
    <t>Molecular mass of MgPO4-</t>
  </si>
  <si>
    <t>Molecular mass of MgH2PO4+</t>
  </si>
  <si>
    <t>Molecular mass of NaHPO4-</t>
  </si>
  <si>
    <r>
      <t>K</t>
    </r>
    <r>
      <rPr>
        <vertAlign val="subscript"/>
        <sz val="11"/>
        <rFont val="Calibri"/>
        <family val="2"/>
        <scheme val="minor"/>
      </rPr>
      <t>S1,param</t>
    </r>
  </si>
  <si>
    <r>
      <t>K</t>
    </r>
    <r>
      <rPr>
        <vertAlign val="subscript"/>
        <sz val="11"/>
        <rFont val="Calibri"/>
        <family val="2"/>
        <scheme val="minor"/>
      </rPr>
      <t>S2,param</t>
    </r>
  </si>
  <si>
    <r>
      <t>K</t>
    </r>
    <r>
      <rPr>
        <vertAlign val="subscript"/>
        <sz val="11"/>
        <rFont val="Calibri"/>
        <family val="2"/>
        <scheme val="minor"/>
      </rPr>
      <t>SO41,param</t>
    </r>
  </si>
  <si>
    <r>
      <t>K</t>
    </r>
    <r>
      <rPr>
        <vertAlign val="subscript"/>
        <sz val="11"/>
        <rFont val="Calibri"/>
        <family val="2"/>
        <scheme val="minor"/>
      </rPr>
      <t>SO42,param</t>
    </r>
  </si>
  <si>
    <r>
      <t>K</t>
    </r>
    <r>
      <rPr>
        <vertAlign val="subscript"/>
        <sz val="11"/>
        <rFont val="Calibri"/>
        <family val="2"/>
        <scheme val="minor"/>
      </rPr>
      <t>sp,FeS,param</t>
    </r>
  </si>
  <si>
    <r>
      <t>EEQ</t>
    </r>
    <r>
      <rPr>
        <vertAlign val="subscript"/>
        <sz val="11"/>
        <rFont val="Calibri"/>
        <family val="2"/>
        <scheme val="minor"/>
      </rPr>
      <t>Fe2</t>
    </r>
  </si>
  <si>
    <r>
      <t>Electron equivalence of Fe</t>
    </r>
    <r>
      <rPr>
        <vertAlign val="superscript"/>
        <sz val="11"/>
        <rFont val="Calibri"/>
        <family val="2"/>
        <scheme val="minor"/>
      </rPr>
      <t>2+</t>
    </r>
  </si>
  <si>
    <r>
      <t>H</t>
    </r>
    <r>
      <rPr>
        <vertAlign val="subscript"/>
        <sz val="11"/>
        <rFont val="Calibri"/>
        <family val="2"/>
        <scheme val="minor"/>
      </rPr>
      <t>H2S</t>
    </r>
  </si>
  <si>
    <r>
      <t>H</t>
    </r>
    <r>
      <rPr>
        <vertAlign val="subscript"/>
        <sz val="11"/>
        <rFont val="Calibri"/>
        <family val="2"/>
        <scheme val="minor"/>
      </rPr>
      <t>HSm</t>
    </r>
  </si>
  <si>
    <r>
      <t>H</t>
    </r>
    <r>
      <rPr>
        <vertAlign val="subscript"/>
        <sz val="11"/>
        <rFont val="Calibri"/>
        <family val="2"/>
        <scheme val="minor"/>
      </rPr>
      <t>S2m</t>
    </r>
  </si>
  <si>
    <r>
      <t>H</t>
    </r>
    <r>
      <rPr>
        <vertAlign val="subscript"/>
        <sz val="11"/>
        <rFont val="Calibri"/>
        <family val="2"/>
        <scheme val="minor"/>
      </rPr>
      <t>H2SO4</t>
    </r>
  </si>
  <si>
    <r>
      <t>H</t>
    </r>
    <r>
      <rPr>
        <vertAlign val="subscript"/>
        <sz val="11"/>
        <rFont val="Calibri"/>
        <family val="2"/>
        <scheme val="minor"/>
      </rPr>
      <t>HSO4m</t>
    </r>
  </si>
  <si>
    <r>
      <t>H</t>
    </r>
    <r>
      <rPr>
        <vertAlign val="subscript"/>
        <sz val="11"/>
        <rFont val="Calibri"/>
        <family val="2"/>
        <scheme val="minor"/>
      </rPr>
      <t>SO42m</t>
    </r>
  </si>
  <si>
    <r>
      <t>-X</t>
    </r>
    <r>
      <rPr>
        <vertAlign val="subscript"/>
        <sz val="11"/>
        <rFont val="Calibri"/>
        <family val="2"/>
      </rPr>
      <t>HFO,H</t>
    </r>
    <r>
      <rPr>
        <sz val="11"/>
        <rFont val="Calibri"/>
        <family val="2"/>
      </rPr>
      <t>/(X</t>
    </r>
    <r>
      <rPr>
        <vertAlign val="subscript"/>
        <sz val="11"/>
        <rFont val="Calibri"/>
        <family val="2"/>
      </rPr>
      <t>HFO,H</t>
    </r>
    <r>
      <rPr>
        <sz val="11"/>
        <rFont val="Calibri"/>
        <family val="2"/>
      </rPr>
      <t>+X</t>
    </r>
    <r>
      <rPr>
        <vertAlign val="subscript"/>
        <sz val="11"/>
        <rFont val="Calibri"/>
        <family val="2"/>
      </rPr>
      <t>HFO,H,P</t>
    </r>
    <r>
      <rPr>
        <sz val="11"/>
        <rFont val="Calibri"/>
        <family val="2"/>
      </rPr>
      <t>)</t>
    </r>
  </si>
  <si>
    <r>
      <t>X</t>
    </r>
    <r>
      <rPr>
        <vertAlign val="subscript"/>
        <sz val="11"/>
        <rFont val="Calibri"/>
        <family val="2"/>
      </rPr>
      <t>HFO,H</t>
    </r>
    <r>
      <rPr>
        <sz val="11"/>
        <rFont val="Calibri"/>
        <family val="2"/>
      </rPr>
      <t>/(X</t>
    </r>
    <r>
      <rPr>
        <vertAlign val="subscript"/>
        <sz val="11"/>
        <rFont val="Calibri"/>
        <family val="2"/>
      </rPr>
      <t>HFO,H</t>
    </r>
    <r>
      <rPr>
        <sz val="11"/>
        <rFont val="Calibri"/>
        <family val="2"/>
      </rPr>
      <t>+X</t>
    </r>
    <r>
      <rPr>
        <vertAlign val="subscript"/>
        <sz val="11"/>
        <rFont val="Calibri"/>
        <family val="2"/>
      </rPr>
      <t>HFO,H,P</t>
    </r>
    <r>
      <rPr>
        <sz val="11"/>
        <rFont val="Calibri"/>
        <family val="2"/>
      </rPr>
      <t>)</t>
    </r>
  </si>
  <si>
    <r>
      <t>-X</t>
    </r>
    <r>
      <rPr>
        <vertAlign val="subscript"/>
        <sz val="11"/>
        <rFont val="Calibri"/>
        <family val="2"/>
      </rPr>
      <t>HFO,L</t>
    </r>
    <r>
      <rPr>
        <sz val="11"/>
        <rFont val="Calibri"/>
        <family val="2"/>
      </rPr>
      <t>/(X</t>
    </r>
    <r>
      <rPr>
        <vertAlign val="subscript"/>
        <sz val="11"/>
        <rFont val="Calibri"/>
        <family val="2"/>
      </rPr>
      <t>HFO,L</t>
    </r>
    <r>
      <rPr>
        <sz val="11"/>
        <rFont val="Calibri"/>
        <family val="2"/>
      </rPr>
      <t>+X</t>
    </r>
    <r>
      <rPr>
        <vertAlign val="subscript"/>
        <sz val="11"/>
        <rFont val="Calibri"/>
        <family val="2"/>
      </rPr>
      <t>HFO,L,P</t>
    </r>
    <r>
      <rPr>
        <sz val="11"/>
        <rFont val="Calibri"/>
        <family val="2"/>
      </rPr>
      <t>)</t>
    </r>
  </si>
  <si>
    <r>
      <t>X</t>
    </r>
    <r>
      <rPr>
        <vertAlign val="subscript"/>
        <sz val="11"/>
        <rFont val="Calibri"/>
        <family val="2"/>
      </rPr>
      <t>HFO,L</t>
    </r>
    <r>
      <rPr>
        <sz val="11"/>
        <rFont val="Calibri"/>
        <family val="2"/>
      </rPr>
      <t>/(X</t>
    </r>
    <r>
      <rPr>
        <vertAlign val="subscript"/>
        <sz val="11"/>
        <rFont val="Calibri"/>
        <family val="2"/>
      </rPr>
      <t>HFO,L</t>
    </r>
    <r>
      <rPr>
        <sz val="11"/>
        <rFont val="Calibri"/>
        <family val="2"/>
      </rPr>
      <t>+X</t>
    </r>
    <r>
      <rPr>
        <vertAlign val="subscript"/>
        <sz val="11"/>
        <rFont val="Calibri"/>
        <family val="2"/>
      </rPr>
      <t>HFO,L,P</t>
    </r>
    <r>
      <rPr>
        <sz val="11"/>
        <rFont val="Calibri"/>
        <family val="2"/>
      </rPr>
      <t>)</t>
    </r>
  </si>
  <si>
    <r>
      <t>-X</t>
    </r>
    <r>
      <rPr>
        <vertAlign val="subscript"/>
        <sz val="11"/>
        <rFont val="Calibri"/>
        <family val="2"/>
      </rPr>
      <t>HFO,H,P</t>
    </r>
    <r>
      <rPr>
        <sz val="11"/>
        <rFont val="Calibri"/>
        <family val="2"/>
      </rPr>
      <t>/(X</t>
    </r>
    <r>
      <rPr>
        <vertAlign val="subscript"/>
        <sz val="11"/>
        <rFont val="Calibri"/>
        <family val="2"/>
      </rPr>
      <t>HFO,H</t>
    </r>
    <r>
      <rPr>
        <sz val="11"/>
        <rFont val="Calibri"/>
        <family val="2"/>
      </rPr>
      <t>+X</t>
    </r>
    <r>
      <rPr>
        <vertAlign val="subscript"/>
        <sz val="11"/>
        <rFont val="Calibri"/>
        <family val="2"/>
      </rPr>
      <t>HFO,H,P</t>
    </r>
    <r>
      <rPr>
        <sz val="11"/>
        <rFont val="Calibri"/>
        <family val="2"/>
      </rPr>
      <t>)</t>
    </r>
  </si>
  <si>
    <r>
      <t>X</t>
    </r>
    <r>
      <rPr>
        <vertAlign val="subscript"/>
        <sz val="11"/>
        <rFont val="Calibri"/>
        <family val="2"/>
      </rPr>
      <t>HFO,H,P</t>
    </r>
    <r>
      <rPr>
        <sz val="11"/>
        <rFont val="Calibri"/>
        <family val="2"/>
      </rPr>
      <t>/(X</t>
    </r>
    <r>
      <rPr>
        <vertAlign val="subscript"/>
        <sz val="11"/>
        <rFont val="Calibri"/>
        <family val="2"/>
      </rPr>
      <t>HFO,H</t>
    </r>
    <r>
      <rPr>
        <sz val="11"/>
        <rFont val="Calibri"/>
        <family val="2"/>
      </rPr>
      <t>+X</t>
    </r>
    <r>
      <rPr>
        <vertAlign val="subscript"/>
        <sz val="11"/>
        <rFont val="Calibri"/>
        <family val="2"/>
      </rPr>
      <t>HFO,H,P</t>
    </r>
    <r>
      <rPr>
        <sz val="11"/>
        <rFont val="Calibri"/>
        <family val="2"/>
      </rPr>
      <t>)</t>
    </r>
  </si>
  <si>
    <r>
      <t>-X</t>
    </r>
    <r>
      <rPr>
        <vertAlign val="subscript"/>
        <sz val="11"/>
        <rFont val="Calibri"/>
        <family val="2"/>
      </rPr>
      <t>HFO,L,P</t>
    </r>
    <r>
      <rPr>
        <sz val="11"/>
        <rFont val="Calibri"/>
        <family val="2"/>
      </rPr>
      <t>/(X</t>
    </r>
    <r>
      <rPr>
        <vertAlign val="subscript"/>
        <sz val="11"/>
        <rFont val="Calibri"/>
        <family val="2"/>
      </rPr>
      <t>HFO,L</t>
    </r>
    <r>
      <rPr>
        <sz val="11"/>
        <rFont val="Calibri"/>
        <family val="2"/>
      </rPr>
      <t>+X</t>
    </r>
    <r>
      <rPr>
        <vertAlign val="subscript"/>
        <sz val="11"/>
        <rFont val="Calibri"/>
        <family val="2"/>
      </rPr>
      <t>HFO,L,P</t>
    </r>
    <r>
      <rPr>
        <sz val="11"/>
        <rFont val="Calibri"/>
        <family val="2"/>
      </rPr>
      <t>)</t>
    </r>
  </si>
  <si>
    <r>
      <t>X</t>
    </r>
    <r>
      <rPr>
        <vertAlign val="subscript"/>
        <sz val="11"/>
        <rFont val="Calibri"/>
        <family val="2"/>
      </rPr>
      <t>HFO,L,P</t>
    </r>
    <r>
      <rPr>
        <sz val="11"/>
        <rFont val="Calibri"/>
        <family val="2"/>
      </rPr>
      <t>/(X</t>
    </r>
    <r>
      <rPr>
        <vertAlign val="subscript"/>
        <sz val="11"/>
        <rFont val="Calibri"/>
        <family val="2"/>
      </rPr>
      <t>HFO,L</t>
    </r>
    <r>
      <rPr>
        <sz val="11"/>
        <rFont val="Calibri"/>
        <family val="2"/>
      </rPr>
      <t>+X</t>
    </r>
    <r>
      <rPr>
        <vertAlign val="subscript"/>
        <sz val="11"/>
        <rFont val="Calibri"/>
        <family val="2"/>
      </rPr>
      <t>HFO,L,P</t>
    </r>
    <r>
      <rPr>
        <sz val="11"/>
        <rFont val="Calibri"/>
        <family val="2"/>
      </rPr>
      <t>)</t>
    </r>
  </si>
  <si>
    <t>Precipitation kinetics</t>
  </si>
  <si>
    <t>Arrhenius coefficient for ferrous iron oxidation kinetics</t>
  </si>
  <si>
    <t>Arrhenius coefficient for ferric iron reduction kinetics</t>
  </si>
  <si>
    <r>
      <t>i</t>
    </r>
    <r>
      <rPr>
        <vertAlign val="subscript"/>
        <sz val="11"/>
        <rFont val="Calibri"/>
        <family val="2"/>
        <scheme val="minor"/>
      </rPr>
      <t>N,XSTR</t>
    </r>
  </si>
  <si>
    <r>
      <t>i</t>
    </r>
    <r>
      <rPr>
        <vertAlign val="subscript"/>
        <sz val="11"/>
        <rFont val="Calibri"/>
        <family val="2"/>
        <scheme val="minor"/>
      </rPr>
      <t>P,XACP</t>
    </r>
  </si>
  <si>
    <r>
      <t>q</t>
    </r>
    <r>
      <rPr>
        <vertAlign val="subscript"/>
        <sz val="11"/>
        <color theme="1"/>
        <rFont val="Calibri"/>
        <family val="2"/>
        <scheme val="minor"/>
      </rPr>
      <t>STR</t>
    </r>
  </si>
  <si>
    <r>
      <t>q</t>
    </r>
    <r>
      <rPr>
        <vertAlign val="subscript"/>
        <sz val="11"/>
        <color theme="1"/>
        <rFont val="Calibri"/>
        <family val="2"/>
        <scheme val="minor"/>
      </rPr>
      <t>ACP</t>
    </r>
  </si>
  <si>
    <r>
      <t>q</t>
    </r>
    <r>
      <rPr>
        <vertAlign val="subscript"/>
        <sz val="11"/>
        <color theme="1"/>
        <rFont val="Calibri"/>
        <family val="2"/>
        <scheme val="minor"/>
      </rPr>
      <t>CaCO3</t>
    </r>
  </si>
  <si>
    <r>
      <t>q</t>
    </r>
    <r>
      <rPr>
        <vertAlign val="subscript"/>
        <sz val="11"/>
        <color theme="1"/>
        <rFont val="Calibri"/>
        <family val="2"/>
        <scheme val="minor"/>
      </rPr>
      <t>Vivi</t>
    </r>
  </si>
  <si>
    <r>
      <t>i</t>
    </r>
    <r>
      <rPr>
        <vertAlign val="subscript"/>
        <sz val="11"/>
        <rFont val="Calibri"/>
        <family val="2"/>
        <scheme val="minor"/>
      </rPr>
      <t>P,XVivi</t>
    </r>
  </si>
  <si>
    <t>2/3</t>
  </si>
  <si>
    <t>1/3</t>
  </si>
  <si>
    <r>
      <t>i</t>
    </r>
    <r>
      <rPr>
        <vertAlign val="subscript"/>
        <sz val="11"/>
        <rFont val="Calibri"/>
        <family val="2"/>
        <scheme val="minor"/>
      </rPr>
      <t>K,PP</t>
    </r>
  </si>
  <si>
    <t>(k)/(s/x+k)</t>
  </si>
  <si>
    <t>Logsat(var; halfval; slope)</t>
  </si>
  <si>
    <t>Loginh(var; halfval; slope)</t>
  </si>
  <si>
    <t>Dmp(dx; x)</t>
  </si>
  <si>
    <t xml:space="preserve">Derivative damping </t>
  </si>
  <si>
    <r>
      <t>Henry</t>
    </r>
    <r>
      <rPr>
        <vertAlign val="subscript"/>
        <sz val="11"/>
        <rFont val="Calibri"/>
        <family val="2"/>
        <scheme val="minor"/>
      </rPr>
      <t>GO2</t>
    </r>
    <r>
      <rPr>
        <sz val="11"/>
        <rFont val="Calibri"/>
        <family val="2"/>
        <scheme val="minor"/>
      </rPr>
      <t>(T)</t>
    </r>
  </si>
  <si>
    <r>
      <t>Temperature dependent Henry coefficient for O</t>
    </r>
    <r>
      <rPr>
        <vertAlign val="subscript"/>
        <sz val="11"/>
        <rFont val="Calibri"/>
        <family val="2"/>
        <scheme val="minor"/>
      </rPr>
      <t>2</t>
    </r>
  </si>
  <si>
    <r>
      <t>Henry</t>
    </r>
    <r>
      <rPr>
        <vertAlign val="subscript"/>
        <sz val="11"/>
        <rFont val="Calibri"/>
        <family val="2"/>
        <scheme val="minor"/>
      </rPr>
      <t>GO2_25</t>
    </r>
    <r>
      <rPr>
        <sz val="11"/>
        <rFont val="Calibri"/>
        <family val="2"/>
        <scheme val="minor"/>
      </rPr>
      <t>*Exp(Henry</t>
    </r>
    <r>
      <rPr>
        <vertAlign val="subscript"/>
        <sz val="11"/>
        <rFont val="Calibri"/>
        <family val="2"/>
        <scheme val="minor"/>
      </rPr>
      <t>GO2_dt</t>
    </r>
    <r>
      <rPr>
        <sz val="11"/>
        <rFont val="Calibri"/>
        <family val="2"/>
        <scheme val="minor"/>
      </rPr>
      <t>*((1/T)-(1/298.15)))</t>
    </r>
  </si>
  <si>
    <r>
      <t>Henry</t>
    </r>
    <r>
      <rPr>
        <vertAlign val="subscript"/>
        <sz val="11"/>
        <rFont val="Calibri"/>
        <family val="2"/>
        <scheme val="minor"/>
      </rPr>
      <t>GCO2</t>
    </r>
    <r>
      <rPr>
        <sz val="11"/>
        <rFont val="Calibri"/>
        <family val="2"/>
        <scheme val="minor"/>
      </rPr>
      <t>(T)</t>
    </r>
  </si>
  <si>
    <r>
      <t>Temperature dependent Henry coefficient for CO</t>
    </r>
    <r>
      <rPr>
        <vertAlign val="subscript"/>
        <sz val="11"/>
        <rFont val="Calibri"/>
        <family val="2"/>
        <scheme val="minor"/>
      </rPr>
      <t>2</t>
    </r>
  </si>
  <si>
    <r>
      <t>Henry</t>
    </r>
    <r>
      <rPr>
        <vertAlign val="subscript"/>
        <sz val="11"/>
        <rFont val="Calibri"/>
        <family val="2"/>
        <scheme val="minor"/>
      </rPr>
      <t>GCO2_25</t>
    </r>
    <r>
      <rPr>
        <sz val="11"/>
        <rFont val="Calibri"/>
        <family val="2"/>
        <scheme val="minor"/>
      </rPr>
      <t>*Exp(Henry</t>
    </r>
    <r>
      <rPr>
        <vertAlign val="subscript"/>
        <sz val="11"/>
        <rFont val="Calibri"/>
        <family val="2"/>
        <scheme val="minor"/>
      </rPr>
      <t>GCO2_dt</t>
    </r>
    <r>
      <rPr>
        <sz val="11"/>
        <rFont val="Calibri"/>
        <family val="2"/>
        <scheme val="minor"/>
      </rPr>
      <t>*((1/T)-(1/298.15)))</t>
    </r>
  </si>
  <si>
    <r>
      <t>Henry</t>
    </r>
    <r>
      <rPr>
        <vertAlign val="subscript"/>
        <sz val="11"/>
        <rFont val="Calibri"/>
        <family val="2"/>
        <scheme val="minor"/>
      </rPr>
      <t>GNO</t>
    </r>
    <r>
      <rPr>
        <sz val="11"/>
        <rFont val="Calibri"/>
        <family val="2"/>
        <scheme val="minor"/>
      </rPr>
      <t>(T)</t>
    </r>
  </si>
  <si>
    <r>
      <t>Henry</t>
    </r>
    <r>
      <rPr>
        <vertAlign val="subscript"/>
        <sz val="11"/>
        <rFont val="Calibri"/>
        <family val="2"/>
        <scheme val="minor"/>
      </rPr>
      <t>GNO_25</t>
    </r>
    <r>
      <rPr>
        <sz val="11"/>
        <rFont val="Calibri"/>
        <family val="2"/>
        <scheme val="minor"/>
      </rPr>
      <t>*Exp(Henry</t>
    </r>
    <r>
      <rPr>
        <vertAlign val="subscript"/>
        <sz val="11"/>
        <rFont val="Calibri"/>
        <family val="2"/>
        <scheme val="minor"/>
      </rPr>
      <t>GNO_dt</t>
    </r>
    <r>
      <rPr>
        <sz val="11"/>
        <rFont val="Calibri"/>
        <family val="2"/>
        <scheme val="minor"/>
      </rPr>
      <t>*((1/T)-(1/298.15)))</t>
    </r>
  </si>
  <si>
    <r>
      <t>Henry</t>
    </r>
    <r>
      <rPr>
        <vertAlign val="subscript"/>
        <sz val="11"/>
        <rFont val="Calibri"/>
        <family val="2"/>
        <scheme val="minor"/>
      </rPr>
      <t>GN2O</t>
    </r>
    <r>
      <rPr>
        <sz val="11"/>
        <rFont val="Calibri"/>
        <family val="2"/>
        <scheme val="minor"/>
      </rPr>
      <t>(T)</t>
    </r>
  </si>
  <si>
    <r>
      <t>Temperature dependent Henry coefficient for N</t>
    </r>
    <r>
      <rPr>
        <vertAlign val="subscript"/>
        <sz val="11"/>
        <rFont val="Calibri"/>
        <family val="2"/>
        <scheme val="minor"/>
      </rPr>
      <t>2</t>
    </r>
    <r>
      <rPr>
        <sz val="11"/>
        <rFont val="Calibri"/>
        <family val="2"/>
        <scheme val="minor"/>
      </rPr>
      <t>O</t>
    </r>
  </si>
  <si>
    <r>
      <t>Henry</t>
    </r>
    <r>
      <rPr>
        <vertAlign val="subscript"/>
        <sz val="11"/>
        <rFont val="Calibri"/>
        <family val="2"/>
        <scheme val="minor"/>
      </rPr>
      <t>GN2O_25</t>
    </r>
    <r>
      <rPr>
        <sz val="11"/>
        <rFont val="Calibri"/>
        <family val="2"/>
        <scheme val="minor"/>
      </rPr>
      <t>*Exp(Henry</t>
    </r>
    <r>
      <rPr>
        <vertAlign val="subscript"/>
        <sz val="11"/>
        <rFont val="Calibri"/>
        <family val="2"/>
        <scheme val="minor"/>
      </rPr>
      <t>GN2O_dt</t>
    </r>
    <r>
      <rPr>
        <sz val="11"/>
        <rFont val="Calibri"/>
        <family val="2"/>
        <scheme val="minor"/>
      </rPr>
      <t>*((1/T)-(1/298.15)))</t>
    </r>
  </si>
  <si>
    <r>
      <t>Henry</t>
    </r>
    <r>
      <rPr>
        <vertAlign val="subscript"/>
        <sz val="11"/>
        <rFont val="Calibri"/>
        <family val="2"/>
        <scheme val="minor"/>
      </rPr>
      <t>GN2</t>
    </r>
    <r>
      <rPr>
        <sz val="11"/>
        <rFont val="Calibri"/>
        <family val="2"/>
        <scheme val="minor"/>
      </rPr>
      <t>(T)</t>
    </r>
  </si>
  <si>
    <r>
      <t>Temperature dependent Henry coefficient for N</t>
    </r>
    <r>
      <rPr>
        <vertAlign val="subscript"/>
        <sz val="11"/>
        <rFont val="Calibri"/>
        <family val="2"/>
        <scheme val="minor"/>
      </rPr>
      <t>2</t>
    </r>
  </si>
  <si>
    <r>
      <t>Henry</t>
    </r>
    <r>
      <rPr>
        <vertAlign val="subscript"/>
        <sz val="11"/>
        <rFont val="Calibri"/>
        <family val="2"/>
        <scheme val="minor"/>
      </rPr>
      <t>GN2_25</t>
    </r>
    <r>
      <rPr>
        <sz val="11"/>
        <rFont val="Calibri"/>
        <family val="2"/>
        <scheme val="minor"/>
      </rPr>
      <t>*Exp(Henry</t>
    </r>
    <r>
      <rPr>
        <vertAlign val="subscript"/>
        <sz val="11"/>
        <rFont val="Calibri"/>
        <family val="2"/>
        <scheme val="minor"/>
      </rPr>
      <t>GN2_dt</t>
    </r>
    <r>
      <rPr>
        <sz val="11"/>
        <rFont val="Calibri"/>
        <family val="2"/>
        <scheme val="minor"/>
      </rPr>
      <t>*((1/T)-(1/298.15)))</t>
    </r>
  </si>
  <si>
    <r>
      <t>Henry</t>
    </r>
    <r>
      <rPr>
        <vertAlign val="subscript"/>
        <sz val="11"/>
        <rFont val="Calibri"/>
        <family val="2"/>
        <scheme val="minor"/>
      </rPr>
      <t>GH2</t>
    </r>
    <r>
      <rPr>
        <sz val="11"/>
        <rFont val="Calibri"/>
        <family val="2"/>
        <scheme val="minor"/>
      </rPr>
      <t>(T)</t>
    </r>
  </si>
  <si>
    <r>
      <t>Temperature dependent Henry coefficient for H</t>
    </r>
    <r>
      <rPr>
        <vertAlign val="subscript"/>
        <sz val="11"/>
        <rFont val="Calibri"/>
        <family val="2"/>
        <scheme val="minor"/>
      </rPr>
      <t>2</t>
    </r>
  </si>
  <si>
    <r>
      <t>Henry</t>
    </r>
    <r>
      <rPr>
        <vertAlign val="subscript"/>
        <sz val="11"/>
        <rFont val="Calibri"/>
        <family val="2"/>
        <scheme val="minor"/>
      </rPr>
      <t>GH2_25</t>
    </r>
    <r>
      <rPr>
        <sz val="11"/>
        <rFont val="Calibri"/>
        <family val="2"/>
        <scheme val="minor"/>
      </rPr>
      <t>*Exp(Henry</t>
    </r>
    <r>
      <rPr>
        <vertAlign val="subscript"/>
        <sz val="11"/>
        <rFont val="Calibri"/>
        <family val="2"/>
        <scheme val="minor"/>
      </rPr>
      <t>GH2_dt</t>
    </r>
    <r>
      <rPr>
        <sz val="11"/>
        <rFont val="Calibri"/>
        <family val="2"/>
        <scheme val="minor"/>
      </rPr>
      <t>*((1/T)-(1/298.15)))</t>
    </r>
  </si>
  <si>
    <r>
      <t>Henry</t>
    </r>
    <r>
      <rPr>
        <vertAlign val="subscript"/>
        <sz val="11"/>
        <rFont val="Calibri"/>
        <family val="2"/>
        <scheme val="minor"/>
      </rPr>
      <t>GCH4</t>
    </r>
    <r>
      <rPr>
        <sz val="11"/>
        <rFont val="Calibri"/>
        <family val="2"/>
        <scheme val="minor"/>
      </rPr>
      <t>(T)</t>
    </r>
  </si>
  <si>
    <r>
      <t>Temperature dependent Henry coefficient for CH</t>
    </r>
    <r>
      <rPr>
        <vertAlign val="subscript"/>
        <sz val="11"/>
        <rFont val="Calibri"/>
        <family val="2"/>
        <scheme val="minor"/>
      </rPr>
      <t>4</t>
    </r>
  </si>
  <si>
    <r>
      <t>Henry</t>
    </r>
    <r>
      <rPr>
        <vertAlign val="subscript"/>
        <sz val="11"/>
        <rFont val="Calibri"/>
        <family val="2"/>
        <scheme val="minor"/>
      </rPr>
      <t>GCH4_25</t>
    </r>
    <r>
      <rPr>
        <sz val="11"/>
        <rFont val="Calibri"/>
        <family val="2"/>
        <scheme val="minor"/>
      </rPr>
      <t>*Exp(Henry</t>
    </r>
    <r>
      <rPr>
        <vertAlign val="subscript"/>
        <sz val="11"/>
        <rFont val="Calibri"/>
        <family val="2"/>
        <scheme val="minor"/>
      </rPr>
      <t>GCH4_dt</t>
    </r>
    <r>
      <rPr>
        <sz val="11"/>
        <rFont val="Calibri"/>
        <family val="2"/>
        <scheme val="minor"/>
      </rPr>
      <t>*((1/T)-(1/298.15)))</t>
    </r>
  </si>
  <si>
    <t>C++ functions</t>
  </si>
  <si>
    <t>New functions to be used only in C++ (must follow C++ syntax)</t>
  </si>
  <si>
    <t>SignedAbs(x1; x2)</t>
  </si>
  <si>
    <t>Abs value with sign of x2</t>
  </si>
  <si>
    <t>Damp(x)</t>
  </si>
  <si>
    <t xml:space="preserve">Logarithmic damping </t>
  </si>
  <si>
    <t>AbsError(modelvar;data)</t>
  </si>
  <si>
    <t>Absolute error</t>
  </si>
  <si>
    <t>RelError(modelvar;data)</t>
  </si>
  <si>
    <t>Relative error</t>
  </si>
  <si>
    <t>AbsSumOfSquares(modelvar;data)</t>
  </si>
  <si>
    <t>Sum of squares</t>
  </si>
  <si>
    <t>pow((modelvar-data), 2)</t>
  </si>
  <si>
    <t>RelSumOfSquares(modelvar;data)</t>
  </si>
  <si>
    <t>Sum of relative squares</t>
  </si>
  <si>
    <t>pow(((modelvar-data)/modelvar), 2)</t>
  </si>
  <si>
    <t>MaxElemIndex([] x)</t>
  </si>
  <si>
    <t>Index of element with maximum value in 'x'</t>
  </si>
  <si>
    <t>return std::distance(x.data, std::max_element(x.data, x.data+x.size))+1;</t>
  </si>
  <si>
    <t>SumIf([] x;[] y; z)</t>
  </si>
  <si>
    <t>Conditional sum</t>
  </si>
  <si>
    <t>If(BOOL a;b;c)</t>
  </si>
  <si>
    <t>if (a is true) then b else c</t>
  </si>
  <si>
    <t>return a ? b : c;</t>
  </si>
  <si>
    <t>Average([] x)</t>
  </si>
  <si>
    <t>Average of array elements</t>
  </si>
  <si>
    <t>Max([] x)</t>
  </si>
  <si>
    <t>Maximum of array elements</t>
  </si>
  <si>
    <t>Min([] x)</t>
  </si>
  <si>
    <t>Minimum of array elements</t>
  </si>
  <si>
    <t>Sum([] x)</t>
  </si>
  <si>
    <t>Sum of array elements</t>
  </si>
  <si>
    <t>And(BOOL x; BOOL y)</t>
  </si>
  <si>
    <t>Logical 'and'</t>
  </si>
  <si>
    <t>return x &amp;&amp; y;</t>
  </si>
  <si>
    <t>And(BOOL x; BOOL y; BOOL z)</t>
  </si>
  <si>
    <t>Logical 'and' for three arguments</t>
  </si>
  <si>
    <t>return x &amp;&amp; y &amp;&amp; z;</t>
  </si>
  <si>
    <t>And(BOOL x; BOOL y; BOOL z; BOOL m)</t>
  </si>
  <si>
    <t>Logical 'and' for four arguments</t>
  </si>
  <si>
    <t>return x &amp;&amp; y &amp;&amp; z &amp;&amp; m;</t>
  </si>
  <si>
    <t>And(BOOL x; BOOL y; BOOL z; BOOL m; BOOL n)</t>
  </si>
  <si>
    <t>Logical 'and' for five arguments</t>
  </si>
  <si>
    <t>return x &amp;&amp; y &amp;&amp; z &amp;&amp; m &amp;&amp; n;</t>
  </si>
  <si>
    <t>And(BOOL x; BOOL y; BOOL z; BOOL m; BOOL n; BOOL o)</t>
  </si>
  <si>
    <t>Logical 'and' for six arguments</t>
  </si>
  <si>
    <t>return x &amp;&amp; y &amp;&amp; z &amp;&amp; m &amp;&amp; n &amp;&amp; o;</t>
  </si>
  <si>
    <t>Or(BOOL x; BOOL y)</t>
  </si>
  <si>
    <t>Logical 'or'</t>
  </si>
  <si>
    <t>return x || y;</t>
  </si>
  <si>
    <t>Or(BOOL x; BOOL y; BOOL z)</t>
  </si>
  <si>
    <t>Logical 'or' for three arguments</t>
  </si>
  <si>
    <t>return x || y || z;</t>
  </si>
  <si>
    <t>Or(BOOL x; BOOL y; BOOL z; BOOL m)</t>
  </si>
  <si>
    <t>Logical 'or' for four arguments</t>
  </si>
  <si>
    <t>return x || y || z || m;</t>
  </si>
  <si>
    <t>Or(BOOL x; BOOL y; BOOL z; BOOL m; BOOL n)</t>
  </si>
  <si>
    <t>Logical 'or' for five arguments</t>
  </si>
  <si>
    <t>return x || y || z || m || n;</t>
  </si>
  <si>
    <t>Or(BOOL x; BOOL y; BOOL z; BOOL m; BOOL n; BOOL o)</t>
  </si>
  <si>
    <t>Logical 'or' for six arguments</t>
  </si>
  <si>
    <t>return x || y || z || m || n || o;</t>
  </si>
  <si>
    <t>SUMO to C++ mapping</t>
  </si>
  <si>
    <t>Min(a;b)</t>
  </si>
  <si>
    <t>min(a,b)</t>
  </si>
  <si>
    <t>Max(a;b;c)</t>
  </si>
  <si>
    <t>max(Max(a;b);c)</t>
  </si>
  <si>
    <t>Max(a;b;c;d)</t>
  </si>
  <si>
    <t>max(Max(a;b;c);d)</t>
  </si>
  <si>
    <t>Max(a;b;c;d;e)</t>
  </si>
  <si>
    <t>max(Max(a;b;c;d);e)</t>
  </si>
  <si>
    <t>Max(a;b;c;d;e;f)</t>
  </si>
  <si>
    <t>max(Max(a;b;c;d;e);f)</t>
  </si>
  <si>
    <t>Max(a;b;c;d;e;f;g)</t>
  </si>
  <si>
    <t>max(Max(a;b;c;d;e;f);g)</t>
  </si>
  <si>
    <t>Max(a;b;c;d;e;f;g;h)</t>
  </si>
  <si>
    <t>max(Max(a;b;c;d;e;f;g);h)</t>
  </si>
  <si>
    <t>Max(a;b;c;d;e;f;g;h;i)</t>
  </si>
  <si>
    <t>max(Max(a;b;c;d;e;f;g;h);i)</t>
  </si>
  <si>
    <t>Max(a;b;c;d;e;f;g;h;i;j)</t>
  </si>
  <si>
    <t>max(Max(a;b;c;d;e;f;g;h;i);j)</t>
  </si>
  <si>
    <t>Max(a;b;c;d;e;f;g;h;i;j;k)</t>
  </si>
  <si>
    <t>max(Max(a;b;c;d;e;f;g;h;i;j);k)</t>
  </si>
  <si>
    <t>Max(a;b;c;d;e;f;g;h;i;j;k;l)</t>
  </si>
  <si>
    <t>max(Max(a;b;c;d;e;f;g;h;i;j;k);l)</t>
  </si>
  <si>
    <t>Max(a;b;c;d;e;f;g;h;i;j;k;l;m)</t>
  </si>
  <si>
    <t>max(Max(a;b;c;d;e;f;g;h;i;j;k;l);m)</t>
  </si>
  <si>
    <t>Max(a;b;c;d;e;f;g;h;i;j;k;l;m;n)</t>
  </si>
  <si>
    <t>max(Max(a;b;c;d;e;f;g;h;i;j;k;l;m);n)</t>
  </si>
  <si>
    <t>Max(a;b;c;d;e;f;g;h;i;j;k;l;m;n;o)</t>
  </si>
  <si>
    <t>max(Max(a;b;c;d;e;f;g;h;i;j;k;l;m;n);o)</t>
  </si>
  <si>
    <t>Max(a;b;c;d;e;f;g;h;i;j;k;l;m;n;o;p)</t>
  </si>
  <si>
    <t>max(Max(a;b;c;d;e;f;g;h;i;j;k;l;m;n;o);p)</t>
  </si>
  <si>
    <t>Max(a;b;c;d;e;f;g;h;i;j;k;l;m;n;o;p;q)</t>
  </si>
  <si>
    <t>max(Max(a;b;c;d;e;f;g;h;i;j;k;l;m;n;o;p);q)</t>
  </si>
  <si>
    <t>Max(a;b;c;d;e;f;g;h;i;j;k;l;m;n;o;p;q;r)</t>
  </si>
  <si>
    <t>max(Max(a;b;c;d;e;f;g;h;i;j;k;l;m;n;o;p;q);r)</t>
  </si>
  <si>
    <t>Max(a;b;c;d;e;f;g;h;i;j;k;l;m;n;o;p;q;r;s)</t>
  </si>
  <si>
    <t>max(Max(a;b;c;d;e;f;g;h;i;j;k;l;m;n;o;p;q;r);s)</t>
  </si>
  <si>
    <t>Max(a;b;c;d;e;f;g;h;i;j;k;l;m;n;o;p;q;r;s;t)</t>
  </si>
  <si>
    <t>max(Max(a;b;c;d;e;f;g;h;i;j;k;l;m;n;o;p;q;r;s);t)</t>
  </si>
  <si>
    <t>Power</t>
  </si>
  <si>
    <t>Natural base exponent</t>
  </si>
  <si>
    <t>Ln(x)</t>
  </si>
  <si>
    <t>e based logarithm</t>
  </si>
  <si>
    <t>log(x)</t>
  </si>
  <si>
    <t>Min(a;b;c)</t>
  </si>
  <si>
    <t>Minimum of three numbers</t>
  </si>
  <si>
    <t>min(min(a;b);c)</t>
  </si>
  <si>
    <t>Min(a;b;c;d)</t>
  </si>
  <si>
    <t>Minimum of four numbers</t>
  </si>
  <si>
    <t>min(Min(a;b;c);d)</t>
  </si>
  <si>
    <t>Min(a;b;c;d;e)</t>
  </si>
  <si>
    <t>Minimum of five numbers</t>
  </si>
  <si>
    <t>min(Min(a;b;c;d);e)</t>
  </si>
  <si>
    <t>Built in C++ functions</t>
  </si>
  <si>
    <t>Pure</t>
  </si>
  <si>
    <t>valid C++ functions (don't need definition)</t>
  </si>
  <si>
    <t>Argument</t>
  </si>
  <si>
    <t>cos</t>
  </si>
  <si>
    <t>Compute cosine</t>
  </si>
  <si>
    <t>sin</t>
  </si>
  <si>
    <t>Compute sine</t>
  </si>
  <si>
    <t>tan</t>
  </si>
  <si>
    <t>Compute tangent</t>
  </si>
  <si>
    <t>acos</t>
  </si>
  <si>
    <t>Compute arc cosine</t>
  </si>
  <si>
    <t>asin</t>
  </si>
  <si>
    <t>Compute arc sine</t>
  </si>
  <si>
    <t>atan</t>
  </si>
  <si>
    <t>Compute arc tangent</t>
  </si>
  <si>
    <t>atan2</t>
  </si>
  <si>
    <t>Compute arc tangent with two parameters</t>
  </si>
  <si>
    <t>cosh</t>
  </si>
  <si>
    <t>Compute hyperbolic cosine</t>
  </si>
  <si>
    <t>sinh</t>
  </si>
  <si>
    <t>Compute hyperbolic sine</t>
  </si>
  <si>
    <t>tanh</t>
  </si>
  <si>
    <t>Compute hyperbolic tangent</t>
  </si>
  <si>
    <t>exp</t>
  </si>
  <si>
    <t>Compute exponential function</t>
  </si>
  <si>
    <t>(power)</t>
  </si>
  <si>
    <t>ldexp</t>
  </si>
  <si>
    <t>Generate number from significand and exponent</t>
  </si>
  <si>
    <t>log</t>
  </si>
  <si>
    <t>Compute natural logarithm</t>
  </si>
  <si>
    <t>log10</t>
  </si>
  <si>
    <t>Compute common logarithm</t>
  </si>
  <si>
    <t>sqrt</t>
  </si>
  <si>
    <t>Compute square root</t>
  </si>
  <si>
    <t>ceil</t>
  </si>
  <si>
    <t>Round up value</t>
  </si>
  <si>
    <t>fabs</t>
  </si>
  <si>
    <t>Compute absolute value</t>
  </si>
  <si>
    <t>floor</t>
  </si>
  <si>
    <t>Round down value</t>
  </si>
  <si>
    <t>round</t>
  </si>
  <si>
    <t>Round value to next integer</t>
  </si>
  <si>
    <t>fmod</t>
  </si>
  <si>
    <t>Compute remainder of division</t>
  </si>
  <si>
    <t>pow</t>
  </si>
  <si>
    <t>(base,power)</t>
  </si>
  <si>
    <t>min</t>
  </si>
  <si>
    <t>minimum of</t>
  </si>
  <si>
    <t>max</t>
  </si>
  <si>
    <t>maximum of</t>
  </si>
  <si>
    <t>distance</t>
  </si>
  <si>
    <t>Return distance between two iterators</t>
  </si>
  <si>
    <t>max_element</t>
  </si>
  <si>
    <t>Return largest element in a range</t>
  </si>
  <si>
    <t>int</t>
  </si>
  <si>
    <t>converts to integer</t>
  </si>
  <si>
    <r>
      <t>η</t>
    </r>
    <r>
      <rPr>
        <vertAlign val="subscript"/>
        <sz val="11"/>
        <rFont val="Calibri"/>
        <family val="2"/>
        <scheme val="minor"/>
      </rPr>
      <t>H2O</t>
    </r>
  </si>
  <si>
    <r>
      <t>kg.m</t>
    </r>
    <r>
      <rPr>
        <vertAlign val="superscript"/>
        <sz val="11"/>
        <rFont val="Calibri"/>
        <family val="2"/>
        <scheme val="minor"/>
      </rPr>
      <t>-1</t>
    </r>
    <r>
      <rPr>
        <sz val="11"/>
        <rFont val="Calibri"/>
        <family val="2"/>
        <scheme val="minor"/>
      </rPr>
      <t>.s</t>
    </r>
    <r>
      <rPr>
        <vertAlign val="superscript"/>
        <sz val="11"/>
        <rFont val="Calibri"/>
        <family val="2"/>
        <scheme val="minor"/>
      </rPr>
      <t>-1</t>
    </r>
  </si>
  <si>
    <r>
      <t>R</t>
    </r>
    <r>
      <rPr>
        <vertAlign val="subscript"/>
        <sz val="11"/>
        <rFont val="Calibri"/>
        <family val="2"/>
        <scheme val="minor"/>
      </rPr>
      <t>air</t>
    </r>
  </si>
  <si>
    <t>Specific mass based gas constant for air</t>
  </si>
  <si>
    <r>
      <t>J.kg</t>
    </r>
    <r>
      <rPr>
        <vertAlign val="superscript"/>
        <sz val="11"/>
        <rFont val="Calibri"/>
        <family val="2"/>
        <scheme val="minor"/>
      </rPr>
      <t>-1</t>
    </r>
    <r>
      <rPr>
        <sz val="11"/>
        <rFont val="Calibri"/>
        <family val="2"/>
        <scheme val="minor"/>
      </rPr>
      <t>.K</t>
    </r>
    <r>
      <rPr>
        <vertAlign val="superscript"/>
        <sz val="11"/>
        <rFont val="Calibri"/>
        <family val="2"/>
        <scheme val="minor"/>
      </rPr>
      <t>-1</t>
    </r>
  </si>
  <si>
    <t>κ</t>
  </si>
  <si>
    <r>
      <t xml:space="preserve">However the elements under standard conditions are considered to have zero enthalpy, Sumo uses 0°C as the point where water has zero enthalpy. Reason: in this case there is no need for solvers to deal with negative </t>
    </r>
    <r>
      <rPr>
        <sz val="11"/>
        <color rgb="FF0082C8"/>
        <rFont val="Calibri"/>
        <family val="2"/>
        <scheme val="minor"/>
      </rPr>
      <t>SV</t>
    </r>
    <r>
      <rPr>
        <sz val="11"/>
        <rFont val="Calibri"/>
        <family val="2"/>
        <scheme val="minor"/>
      </rPr>
      <t>s. Otherwise all cases when T is below 25°C, this would be the case.</t>
    </r>
  </si>
  <si>
    <t>Conversion coefficient between secs and days</t>
  </si>
  <si>
    <r>
      <t>s.d</t>
    </r>
    <r>
      <rPr>
        <vertAlign val="superscript"/>
        <sz val="11"/>
        <rFont val="Calibri"/>
        <family val="2"/>
        <scheme val="minor"/>
      </rPr>
      <t>-1</t>
    </r>
  </si>
  <si>
    <r>
      <t>c</t>
    </r>
    <r>
      <rPr>
        <vertAlign val="subscript"/>
        <sz val="11"/>
        <rFont val="Calibri"/>
        <family val="2"/>
        <scheme val="minor"/>
      </rPr>
      <t>s,h</t>
    </r>
  </si>
  <si>
    <t>Conversion coefficient between seconds and hours</t>
  </si>
  <si>
    <r>
      <t>s.h</t>
    </r>
    <r>
      <rPr>
        <vertAlign val="superscript"/>
        <sz val="11"/>
        <rFont val="Calibri"/>
        <family val="2"/>
        <scheme val="minor"/>
      </rPr>
      <t>-1</t>
    </r>
  </si>
  <si>
    <r>
      <t>mg.g</t>
    </r>
    <r>
      <rPr>
        <vertAlign val="superscript"/>
        <sz val="11"/>
        <rFont val="Calibri"/>
        <family val="2"/>
        <scheme val="minor"/>
      </rPr>
      <t>-1</t>
    </r>
  </si>
  <si>
    <r>
      <t>g.kg</t>
    </r>
    <r>
      <rPr>
        <vertAlign val="superscript"/>
        <sz val="11"/>
        <rFont val="Calibri"/>
        <family val="2"/>
        <scheme val="minor"/>
      </rPr>
      <t>-1</t>
    </r>
  </si>
  <si>
    <t>Conversion coefficient between liters and cubic meters</t>
  </si>
  <si>
    <r>
      <t>L.m</t>
    </r>
    <r>
      <rPr>
        <vertAlign val="superscript"/>
        <sz val="11"/>
        <rFont val="Calibri"/>
        <family val="2"/>
        <scheme val="minor"/>
      </rPr>
      <t>-3</t>
    </r>
  </si>
  <si>
    <r>
      <t>Pa.Hgmm</t>
    </r>
    <r>
      <rPr>
        <vertAlign val="superscript"/>
        <sz val="11"/>
        <rFont val="Calibri"/>
        <family val="2"/>
        <scheme val="minor"/>
      </rPr>
      <t>-1</t>
    </r>
  </si>
  <si>
    <r>
      <t>Pa.bar</t>
    </r>
    <r>
      <rPr>
        <vertAlign val="superscript"/>
        <sz val="11"/>
        <rFont val="Calibri"/>
        <family val="2"/>
        <scheme val="minor"/>
      </rPr>
      <t>-1</t>
    </r>
  </si>
  <si>
    <r>
      <t>cm</t>
    </r>
    <r>
      <rPr>
        <vertAlign val="superscript"/>
        <sz val="11"/>
        <rFont val="Calibri"/>
        <family val="2"/>
        <scheme val="minor"/>
      </rPr>
      <t>2</t>
    </r>
    <r>
      <rPr>
        <sz val="11"/>
        <rFont val="Calibri"/>
        <family val="2"/>
        <scheme val="minor"/>
      </rPr>
      <t>.m</t>
    </r>
    <r>
      <rPr>
        <vertAlign val="superscript"/>
        <sz val="11"/>
        <rFont val="Calibri"/>
        <family val="2"/>
        <scheme val="minor"/>
      </rPr>
      <t>-2</t>
    </r>
  </si>
  <si>
    <r>
      <t>S</t>
    </r>
    <r>
      <rPr>
        <b/>
        <vertAlign val="subscript"/>
        <sz val="11"/>
        <rFont val="Calibri"/>
        <family val="2"/>
        <scheme val="minor"/>
      </rPr>
      <t>Fe2</t>
    </r>
  </si>
  <si>
    <r>
      <t>S</t>
    </r>
    <r>
      <rPr>
        <vertAlign val="subscript"/>
        <sz val="11"/>
        <rFont val="Calibri"/>
        <family val="2"/>
      </rPr>
      <t>Fe2</t>
    </r>
    <r>
      <rPr>
        <sz val="11"/>
        <rFont val="Calibri"/>
        <family val="2"/>
      </rPr>
      <t>/(AM</t>
    </r>
    <r>
      <rPr>
        <vertAlign val="subscript"/>
        <sz val="11"/>
        <rFont val="Calibri"/>
        <family val="2"/>
      </rPr>
      <t>Fe</t>
    </r>
    <r>
      <rPr>
        <sz val="11"/>
        <rFont val="Calibri"/>
        <family val="2"/>
      </rPr>
      <t>*1000)</t>
    </r>
  </si>
  <si>
    <t>Total iron</t>
  </si>
  <si>
    <r>
      <t>PrecipDrivingForce</t>
    </r>
    <r>
      <rPr>
        <vertAlign val="subscript"/>
        <sz val="11"/>
        <color theme="1"/>
        <rFont val="Calibri"/>
        <family val="2"/>
        <scheme val="minor"/>
      </rPr>
      <t>ACP</t>
    </r>
  </si>
  <si>
    <r>
      <t>PrecipDrivingForce</t>
    </r>
    <r>
      <rPr>
        <vertAlign val="subscript"/>
        <sz val="11"/>
        <color theme="1"/>
        <rFont val="Calibri"/>
        <family val="2"/>
        <scheme val="minor"/>
      </rPr>
      <t>CaCO3</t>
    </r>
  </si>
  <si>
    <t>Sidestream</t>
  </si>
  <si>
    <r>
      <t>K</t>
    </r>
    <r>
      <rPr>
        <vertAlign val="subscript"/>
        <sz val="11"/>
        <rFont val="Calibri"/>
        <family val="2"/>
        <scheme val="minor"/>
      </rPr>
      <t>O2,NITO</t>
    </r>
  </si>
  <si>
    <r>
      <t>g TIC.m</t>
    </r>
    <r>
      <rPr>
        <vertAlign val="superscript"/>
        <sz val="11"/>
        <color indexed="8"/>
        <rFont val="Calibri"/>
        <family val="2"/>
        <scheme val="minor"/>
      </rPr>
      <t>-3</t>
    </r>
  </si>
  <si>
    <r>
      <t>f(S</t>
    </r>
    <r>
      <rPr>
        <vertAlign val="subscript"/>
        <sz val="11"/>
        <rFont val="Calibri"/>
        <family val="2"/>
      </rPr>
      <t>VFA</t>
    </r>
    <r>
      <rPr>
        <sz val="11"/>
        <rFont val="Calibri"/>
        <family val="2"/>
      </rPr>
      <t>)pH</t>
    </r>
  </si>
  <si>
    <t>Non-Biofilm; Non-Sidestream</t>
  </si>
  <si>
    <t>Biofilm; Non-Sidestream</t>
  </si>
  <si>
    <r>
      <t>g Mg.m</t>
    </r>
    <r>
      <rPr>
        <vertAlign val="superscript"/>
        <sz val="11"/>
        <rFont val="Calibri"/>
        <family val="2"/>
        <scheme val="minor"/>
      </rPr>
      <t>-3</t>
    </r>
  </si>
  <si>
    <r>
      <t>g K.m</t>
    </r>
    <r>
      <rPr>
        <vertAlign val="superscript"/>
        <sz val="11"/>
        <rFont val="Calibri"/>
        <family val="2"/>
        <scheme val="minor"/>
      </rPr>
      <t>-3</t>
    </r>
  </si>
  <si>
    <r>
      <t>g Ca.m</t>
    </r>
    <r>
      <rPr>
        <vertAlign val="superscript"/>
        <sz val="11"/>
        <rFont val="Calibri"/>
        <family val="2"/>
        <scheme val="minor"/>
      </rPr>
      <t>-3</t>
    </r>
  </si>
  <si>
    <r>
      <t>K</t>
    </r>
    <r>
      <rPr>
        <vertAlign val="subscript"/>
        <sz val="11"/>
        <rFont val="Calibri"/>
        <family val="2"/>
        <scheme val="minor"/>
      </rPr>
      <t>Mg,PAO</t>
    </r>
  </si>
  <si>
    <r>
      <t>K</t>
    </r>
    <r>
      <rPr>
        <vertAlign val="subscript"/>
        <sz val="11"/>
        <rFont val="Calibri"/>
        <family val="2"/>
        <scheme val="minor"/>
      </rPr>
      <t>K,PAO</t>
    </r>
  </si>
  <si>
    <r>
      <t>K</t>
    </r>
    <r>
      <rPr>
        <vertAlign val="subscript"/>
        <sz val="11"/>
        <rFont val="Calibri"/>
        <family val="2"/>
        <scheme val="minor"/>
      </rPr>
      <t>Ca,PAO</t>
    </r>
  </si>
  <si>
    <t>Precipitation</t>
  </si>
  <si>
    <r>
      <t>f(S</t>
    </r>
    <r>
      <rPr>
        <vertAlign val="subscript"/>
        <sz val="11"/>
        <rFont val="Calibri"/>
        <family val="2"/>
      </rPr>
      <t>Fe2</t>
    </r>
    <r>
      <rPr>
        <sz val="11"/>
        <rFont val="Calibri"/>
        <family val="2"/>
      </rPr>
      <t>); pH</t>
    </r>
  </si>
  <si>
    <r>
      <t>f(X</t>
    </r>
    <r>
      <rPr>
        <vertAlign val="subscript"/>
        <sz val="11"/>
        <rFont val="Calibri"/>
        <family val="2"/>
      </rPr>
      <t>B</t>
    </r>
    <r>
      <rPr>
        <sz val="11"/>
        <rFont val="Calibri"/>
        <family val="2"/>
      </rPr>
      <t>)</t>
    </r>
  </si>
  <si>
    <r>
      <t>K</t>
    </r>
    <r>
      <rPr>
        <vertAlign val="subscript"/>
        <sz val="11"/>
        <color indexed="8"/>
        <rFont val="Calibri"/>
        <family val="2"/>
        <scheme val="minor"/>
      </rPr>
      <t>O2,NITO,sidestream</t>
    </r>
  </si>
  <si>
    <r>
      <t>i</t>
    </r>
    <r>
      <rPr>
        <vertAlign val="subscript"/>
        <sz val="11"/>
        <rFont val="Calibri"/>
        <family val="2"/>
        <scheme val="minor"/>
      </rPr>
      <t>CIT,BIO</t>
    </r>
  </si>
  <si>
    <r>
      <t>-EEQ</t>
    </r>
    <r>
      <rPr>
        <vertAlign val="subscript"/>
        <sz val="11"/>
        <rFont val="Calibri"/>
        <family val="2"/>
        <scheme val="minor"/>
      </rPr>
      <t>NO3</t>
    </r>
  </si>
  <si>
    <r>
      <t>-EEQ</t>
    </r>
    <r>
      <rPr>
        <vertAlign val="subscript"/>
        <sz val="11"/>
        <rFont val="Calibri"/>
        <family val="2"/>
        <scheme val="minor"/>
      </rPr>
      <t>N2</t>
    </r>
  </si>
  <si>
    <r>
      <t>3*AM</t>
    </r>
    <r>
      <rPr>
        <vertAlign val="subscript"/>
        <sz val="11"/>
        <rFont val="Calibri"/>
        <family val="2"/>
      </rPr>
      <t>Fe</t>
    </r>
    <r>
      <rPr>
        <sz val="11"/>
        <rFont val="Calibri"/>
        <family val="2"/>
      </rPr>
      <t>/MM</t>
    </r>
    <r>
      <rPr>
        <vertAlign val="subscript"/>
        <sz val="11"/>
        <rFont val="Calibri"/>
        <family val="2"/>
      </rPr>
      <t>Vivi</t>
    </r>
    <r>
      <rPr>
        <sz val="11"/>
        <rFont val="Calibri"/>
        <family val="2"/>
      </rPr>
      <t>*EEQ</t>
    </r>
    <r>
      <rPr>
        <vertAlign val="subscript"/>
        <sz val="11"/>
        <rFont val="Calibri"/>
        <family val="2"/>
      </rPr>
      <t>Fe2</t>
    </r>
  </si>
  <si>
    <r>
      <t>i</t>
    </r>
    <r>
      <rPr>
        <vertAlign val="subscript"/>
        <sz val="11"/>
        <rFont val="Calibri"/>
        <family val="2"/>
      </rPr>
      <t>N,BIO</t>
    </r>
  </si>
  <si>
    <r>
      <t>AM</t>
    </r>
    <r>
      <rPr>
        <vertAlign val="subscript"/>
        <sz val="11"/>
        <rFont val="Calibri"/>
        <family val="2"/>
        <scheme val="minor"/>
      </rPr>
      <t>N</t>
    </r>
    <r>
      <rPr>
        <sz val="11"/>
        <rFont val="Calibri"/>
        <family val="2"/>
        <scheme val="minor"/>
      </rPr>
      <t>/MM</t>
    </r>
    <r>
      <rPr>
        <vertAlign val="subscript"/>
        <sz val="11"/>
        <rFont val="Calibri"/>
        <family val="2"/>
        <scheme val="minor"/>
      </rPr>
      <t>STR</t>
    </r>
  </si>
  <si>
    <r>
      <t>i</t>
    </r>
    <r>
      <rPr>
        <vertAlign val="subscript"/>
        <sz val="11"/>
        <rFont val="Calibri"/>
        <family val="2"/>
      </rPr>
      <t>P,BIO</t>
    </r>
  </si>
  <si>
    <r>
      <t>2*AM</t>
    </r>
    <r>
      <rPr>
        <vertAlign val="subscript"/>
        <sz val="11"/>
        <rFont val="Calibri"/>
        <family val="2"/>
        <scheme val="minor"/>
      </rPr>
      <t>P</t>
    </r>
    <r>
      <rPr>
        <sz val="11"/>
        <rFont val="Calibri"/>
        <family val="2"/>
        <scheme val="minor"/>
      </rPr>
      <t>/MM</t>
    </r>
    <r>
      <rPr>
        <vertAlign val="subscript"/>
        <sz val="11"/>
        <rFont val="Calibri"/>
        <family val="2"/>
        <scheme val="minor"/>
      </rPr>
      <t>ACP</t>
    </r>
  </si>
  <si>
    <r>
      <t>AM</t>
    </r>
    <r>
      <rPr>
        <vertAlign val="subscript"/>
        <sz val="11"/>
        <rFont val="Calibri"/>
        <family val="2"/>
        <scheme val="minor"/>
      </rPr>
      <t>P</t>
    </r>
    <r>
      <rPr>
        <sz val="11"/>
        <rFont val="Calibri"/>
        <family val="2"/>
        <scheme val="minor"/>
      </rPr>
      <t>/MM</t>
    </r>
    <r>
      <rPr>
        <vertAlign val="subscript"/>
        <sz val="11"/>
        <rFont val="Calibri"/>
        <family val="2"/>
        <scheme val="minor"/>
      </rPr>
      <t>STR</t>
    </r>
  </si>
  <si>
    <r>
      <t>2*AM</t>
    </r>
    <r>
      <rPr>
        <vertAlign val="subscript"/>
        <sz val="11"/>
        <rFont val="Calibri"/>
        <family val="2"/>
      </rPr>
      <t>P</t>
    </r>
    <r>
      <rPr>
        <sz val="11"/>
        <rFont val="Calibri"/>
        <family val="2"/>
      </rPr>
      <t>/MM</t>
    </r>
    <r>
      <rPr>
        <vertAlign val="subscript"/>
        <sz val="11"/>
        <rFont val="Calibri"/>
        <family val="2"/>
      </rPr>
      <t>Vivi</t>
    </r>
  </si>
  <si>
    <r>
      <t>i</t>
    </r>
    <r>
      <rPr>
        <vertAlign val="subscript"/>
        <sz val="11"/>
        <rFont val="Calibri"/>
        <family val="2"/>
        <scheme val="minor"/>
      </rPr>
      <t>K,PP</t>
    </r>
    <r>
      <rPr>
        <sz val="11"/>
        <rFont val="Calibri"/>
        <family val="2"/>
        <scheme val="minor"/>
      </rPr>
      <t>*AM</t>
    </r>
    <r>
      <rPr>
        <vertAlign val="subscript"/>
        <sz val="11"/>
        <rFont val="Calibri"/>
        <family val="2"/>
        <scheme val="minor"/>
      </rPr>
      <t>K</t>
    </r>
    <r>
      <rPr>
        <sz val="11"/>
        <rFont val="Calibri"/>
        <family val="2"/>
        <scheme val="minor"/>
      </rPr>
      <t>/AM</t>
    </r>
    <r>
      <rPr>
        <vertAlign val="subscript"/>
        <sz val="11"/>
        <rFont val="Calibri"/>
        <family val="2"/>
        <scheme val="minor"/>
      </rPr>
      <t>P</t>
    </r>
  </si>
  <si>
    <r>
      <t>i</t>
    </r>
    <r>
      <rPr>
        <vertAlign val="subscript"/>
        <sz val="11"/>
        <rFont val="Calibri"/>
        <family val="2"/>
        <scheme val="minor"/>
      </rPr>
      <t>Ca,PP</t>
    </r>
    <r>
      <rPr>
        <sz val="11"/>
        <rFont val="Calibri"/>
        <family val="2"/>
        <scheme val="minor"/>
      </rPr>
      <t>*AM</t>
    </r>
    <r>
      <rPr>
        <vertAlign val="subscript"/>
        <sz val="11"/>
        <rFont val="Calibri"/>
        <family val="2"/>
        <scheme val="minor"/>
      </rPr>
      <t>Ca</t>
    </r>
    <r>
      <rPr>
        <sz val="11"/>
        <rFont val="Calibri"/>
        <family val="2"/>
        <scheme val="minor"/>
      </rPr>
      <t>/AM</t>
    </r>
    <r>
      <rPr>
        <vertAlign val="subscript"/>
        <sz val="11"/>
        <rFont val="Calibri"/>
        <family val="2"/>
        <scheme val="minor"/>
      </rPr>
      <t>P</t>
    </r>
  </si>
  <si>
    <r>
      <t>AM</t>
    </r>
    <r>
      <rPr>
        <vertAlign val="subscript"/>
        <sz val="11"/>
        <rFont val="Calibri"/>
        <family val="2"/>
        <scheme val="minor"/>
      </rPr>
      <t>Ca</t>
    </r>
    <r>
      <rPr>
        <sz val="11"/>
        <rFont val="Calibri"/>
        <family val="2"/>
        <scheme val="minor"/>
      </rPr>
      <t>/MM</t>
    </r>
    <r>
      <rPr>
        <vertAlign val="subscript"/>
        <sz val="11"/>
        <rFont val="Calibri"/>
        <family val="2"/>
        <scheme val="minor"/>
      </rPr>
      <t>CaCO3</t>
    </r>
  </si>
  <si>
    <r>
      <t>3*AM</t>
    </r>
    <r>
      <rPr>
        <vertAlign val="subscript"/>
        <sz val="11"/>
        <rFont val="Calibri"/>
        <family val="2"/>
        <scheme val="minor"/>
      </rPr>
      <t>Ca</t>
    </r>
    <r>
      <rPr>
        <sz val="11"/>
        <rFont val="Calibri"/>
        <family val="2"/>
        <scheme val="minor"/>
      </rPr>
      <t>/MM</t>
    </r>
    <r>
      <rPr>
        <vertAlign val="subscript"/>
        <sz val="11"/>
        <rFont val="Calibri"/>
        <family val="2"/>
        <scheme val="minor"/>
      </rPr>
      <t>ACP</t>
    </r>
  </si>
  <si>
    <r>
      <t>i</t>
    </r>
    <r>
      <rPr>
        <vertAlign val="subscript"/>
        <sz val="11"/>
        <rFont val="Calibri"/>
        <family val="2"/>
        <scheme val="minor"/>
      </rPr>
      <t>Mg,PP</t>
    </r>
    <r>
      <rPr>
        <sz val="11"/>
        <rFont val="Calibri"/>
        <family val="2"/>
        <scheme val="minor"/>
      </rPr>
      <t>*AM</t>
    </r>
    <r>
      <rPr>
        <vertAlign val="subscript"/>
        <sz val="11"/>
        <rFont val="Calibri"/>
        <family val="2"/>
        <scheme val="minor"/>
      </rPr>
      <t>Mg</t>
    </r>
    <r>
      <rPr>
        <sz val="11"/>
        <rFont val="Calibri"/>
        <family val="2"/>
        <scheme val="minor"/>
      </rPr>
      <t>/AM</t>
    </r>
    <r>
      <rPr>
        <vertAlign val="subscript"/>
        <sz val="11"/>
        <rFont val="Calibri"/>
        <family val="2"/>
        <scheme val="minor"/>
      </rPr>
      <t>P</t>
    </r>
  </si>
  <si>
    <r>
      <t>AM</t>
    </r>
    <r>
      <rPr>
        <vertAlign val="subscript"/>
        <sz val="11"/>
        <rFont val="Calibri"/>
        <family val="2"/>
        <scheme val="minor"/>
      </rPr>
      <t>Mg</t>
    </r>
    <r>
      <rPr>
        <sz val="11"/>
        <rFont val="Calibri"/>
        <family val="2"/>
        <scheme val="minor"/>
      </rPr>
      <t>/MM</t>
    </r>
    <r>
      <rPr>
        <vertAlign val="subscript"/>
        <sz val="11"/>
        <rFont val="Calibri"/>
        <family val="2"/>
        <scheme val="minor"/>
      </rPr>
      <t>STR</t>
    </r>
  </si>
  <si>
    <r>
      <t>3*AM</t>
    </r>
    <r>
      <rPr>
        <vertAlign val="subscript"/>
        <sz val="11"/>
        <rFont val="Calibri"/>
        <family val="2"/>
      </rPr>
      <t>Fe</t>
    </r>
    <r>
      <rPr>
        <sz val="11"/>
        <rFont val="Calibri"/>
        <family val="2"/>
      </rPr>
      <t>/MM</t>
    </r>
    <r>
      <rPr>
        <vertAlign val="subscript"/>
        <sz val="11"/>
        <rFont val="Calibri"/>
        <family val="2"/>
      </rPr>
      <t>Vivi</t>
    </r>
  </si>
  <si>
    <r>
      <t>S</t>
    </r>
    <r>
      <rPr>
        <b/>
        <vertAlign val="subscript"/>
        <sz val="11"/>
        <rFont val="Calibri"/>
        <family val="2"/>
        <scheme val="minor"/>
      </rPr>
      <t>Mg</t>
    </r>
  </si>
  <si>
    <r>
      <t>X</t>
    </r>
    <r>
      <rPr>
        <b/>
        <vertAlign val="subscript"/>
        <sz val="11"/>
        <rFont val="Calibri"/>
        <family val="2"/>
        <scheme val="minor"/>
      </rPr>
      <t>HFO,H</t>
    </r>
  </si>
  <si>
    <r>
      <t>X</t>
    </r>
    <r>
      <rPr>
        <b/>
        <vertAlign val="subscript"/>
        <sz val="11"/>
        <rFont val="Calibri"/>
        <family val="2"/>
        <scheme val="minor"/>
      </rPr>
      <t>HFO,L</t>
    </r>
  </si>
  <si>
    <r>
      <t>X</t>
    </r>
    <r>
      <rPr>
        <b/>
        <vertAlign val="subscript"/>
        <sz val="11"/>
        <rFont val="Calibri"/>
        <family val="2"/>
        <scheme val="minor"/>
      </rPr>
      <t>HFO,old</t>
    </r>
  </si>
  <si>
    <r>
      <t>X</t>
    </r>
    <r>
      <rPr>
        <b/>
        <vertAlign val="subscript"/>
        <sz val="11"/>
        <rFont val="Calibri"/>
        <family val="2"/>
        <scheme val="minor"/>
      </rPr>
      <t>HFO,H,P</t>
    </r>
  </si>
  <si>
    <r>
      <t>X</t>
    </r>
    <r>
      <rPr>
        <b/>
        <vertAlign val="subscript"/>
        <sz val="11"/>
        <rFont val="Calibri"/>
        <family val="2"/>
        <scheme val="minor"/>
      </rPr>
      <t>HFO,L,P</t>
    </r>
  </si>
  <si>
    <r>
      <t>X</t>
    </r>
    <r>
      <rPr>
        <b/>
        <vertAlign val="subscript"/>
        <sz val="11"/>
        <rFont val="Calibri"/>
        <family val="2"/>
      </rPr>
      <t>HFO,H,P,old</t>
    </r>
  </si>
  <si>
    <r>
      <t>X</t>
    </r>
    <r>
      <rPr>
        <b/>
        <vertAlign val="subscript"/>
        <sz val="11"/>
        <rFont val="Calibri"/>
        <family val="2"/>
      </rPr>
      <t>HFO,L,P,old</t>
    </r>
  </si>
  <si>
    <r>
      <t>G</t>
    </r>
    <r>
      <rPr>
        <b/>
        <vertAlign val="subscript"/>
        <sz val="11"/>
        <rFont val="Calibri"/>
        <family val="2"/>
      </rPr>
      <t>CO2</t>
    </r>
  </si>
  <si>
    <r>
      <t>G</t>
    </r>
    <r>
      <rPr>
        <b/>
        <vertAlign val="subscript"/>
        <sz val="11"/>
        <rFont val="Calibri"/>
        <family val="2"/>
      </rPr>
      <t>CH4</t>
    </r>
  </si>
  <si>
    <r>
      <t>G</t>
    </r>
    <r>
      <rPr>
        <b/>
        <vertAlign val="subscript"/>
        <sz val="11"/>
        <rFont val="Calibri"/>
        <family val="2"/>
      </rPr>
      <t>H2</t>
    </r>
  </si>
  <si>
    <r>
      <t>G</t>
    </r>
    <r>
      <rPr>
        <b/>
        <vertAlign val="subscript"/>
        <sz val="11"/>
        <rFont val="Calibri"/>
        <family val="2"/>
      </rPr>
      <t>O2</t>
    </r>
  </si>
  <si>
    <r>
      <t>G</t>
    </r>
    <r>
      <rPr>
        <b/>
        <vertAlign val="subscript"/>
        <sz val="11"/>
        <rFont val="Calibri"/>
        <family val="2"/>
      </rPr>
      <t>N2</t>
    </r>
  </si>
  <si>
    <r>
      <t>OHO growth on VFAs, O</t>
    </r>
    <r>
      <rPr>
        <vertAlign val="subscript"/>
        <sz val="11"/>
        <color rgb="FF000000"/>
        <rFont val="Calibri"/>
        <family val="2"/>
        <scheme val="minor"/>
      </rPr>
      <t>2</t>
    </r>
  </si>
  <si>
    <r>
      <t>-i</t>
    </r>
    <r>
      <rPr>
        <vertAlign val="subscript"/>
        <sz val="11"/>
        <rFont val="Calibri"/>
        <family val="2"/>
      </rPr>
      <t>N,BIO</t>
    </r>
  </si>
  <si>
    <r>
      <t>-i</t>
    </r>
    <r>
      <rPr>
        <vertAlign val="subscript"/>
        <sz val="11"/>
        <rFont val="Calibri"/>
        <family val="2"/>
      </rPr>
      <t>P,BIO</t>
    </r>
  </si>
  <si>
    <r>
      <t>OHO growth on S</t>
    </r>
    <r>
      <rPr>
        <vertAlign val="subscript"/>
        <sz val="11"/>
        <color rgb="FF000000"/>
        <rFont val="Calibri"/>
        <family val="2"/>
        <scheme val="minor"/>
      </rPr>
      <t>B</t>
    </r>
    <r>
      <rPr>
        <sz val="11"/>
        <color rgb="FF000000"/>
        <rFont val="Calibri"/>
        <family val="2"/>
        <charset val="238"/>
        <scheme val="minor"/>
      </rPr>
      <t>, O</t>
    </r>
    <r>
      <rPr>
        <vertAlign val="subscript"/>
        <sz val="11"/>
        <color rgb="FF000000"/>
        <rFont val="Calibri"/>
        <family val="2"/>
        <scheme val="minor"/>
      </rPr>
      <t>2</t>
    </r>
  </si>
  <si>
    <r>
      <t>OHO growth on S</t>
    </r>
    <r>
      <rPr>
        <vertAlign val="subscript"/>
        <sz val="11"/>
        <color rgb="FF000000"/>
        <rFont val="Calibri"/>
        <family val="2"/>
        <scheme val="minor"/>
      </rPr>
      <t>MEOL</t>
    </r>
    <r>
      <rPr>
        <sz val="11"/>
        <color rgb="FF000000"/>
        <rFont val="Calibri"/>
        <family val="2"/>
        <charset val="238"/>
        <scheme val="minor"/>
      </rPr>
      <t>, O</t>
    </r>
    <r>
      <rPr>
        <vertAlign val="subscript"/>
        <sz val="11"/>
        <color rgb="FF000000"/>
        <rFont val="Calibri"/>
        <family val="2"/>
        <scheme val="minor"/>
      </rPr>
      <t>2</t>
    </r>
  </si>
  <si>
    <r>
      <t>1-f</t>
    </r>
    <r>
      <rPr>
        <vertAlign val="subscript"/>
        <sz val="11"/>
        <rFont val="Calibri"/>
        <family val="2"/>
      </rPr>
      <t>E</t>
    </r>
  </si>
  <si>
    <r>
      <t>f</t>
    </r>
    <r>
      <rPr>
        <vertAlign val="subscript"/>
        <sz val="11"/>
        <rFont val="Calibri"/>
        <family val="2"/>
      </rPr>
      <t>E</t>
    </r>
  </si>
  <si>
    <r>
      <t>(1-f</t>
    </r>
    <r>
      <rPr>
        <vertAlign val="subscript"/>
        <sz val="11"/>
        <rFont val="Calibri"/>
        <family val="2"/>
      </rPr>
      <t>E</t>
    </r>
    <r>
      <rPr>
        <sz val="11"/>
        <rFont val="Calibri"/>
        <family val="2"/>
      </rPr>
      <t>)*i</t>
    </r>
    <r>
      <rPr>
        <vertAlign val="subscript"/>
        <sz val="11"/>
        <rFont val="Calibri"/>
        <family val="2"/>
      </rPr>
      <t>N,BIO</t>
    </r>
  </si>
  <si>
    <r>
      <t>(1-f</t>
    </r>
    <r>
      <rPr>
        <vertAlign val="subscript"/>
        <sz val="11"/>
        <rFont val="Calibri"/>
        <family val="2"/>
      </rPr>
      <t>E</t>
    </r>
    <r>
      <rPr>
        <sz val="11"/>
        <rFont val="Calibri"/>
        <family val="2"/>
      </rPr>
      <t>)*i</t>
    </r>
    <r>
      <rPr>
        <vertAlign val="subscript"/>
        <sz val="11"/>
        <rFont val="Calibri"/>
        <family val="2"/>
      </rPr>
      <t>P,BIO</t>
    </r>
  </si>
  <si>
    <r>
      <t>-1/Y</t>
    </r>
    <r>
      <rPr>
        <vertAlign val="subscript"/>
        <sz val="11"/>
        <rFont val="Calibri"/>
        <family val="2"/>
      </rPr>
      <t>MEOLO</t>
    </r>
  </si>
  <si>
    <r>
      <t>-(1-Y</t>
    </r>
    <r>
      <rPr>
        <vertAlign val="subscript"/>
        <sz val="11"/>
        <rFont val="Calibri"/>
        <family val="2"/>
      </rPr>
      <t>MEOLO</t>
    </r>
    <r>
      <rPr>
        <sz val="11"/>
        <rFont val="Calibri"/>
        <family val="2"/>
      </rPr>
      <t>)/(EEQ</t>
    </r>
    <r>
      <rPr>
        <vertAlign val="subscript"/>
        <sz val="11"/>
        <rFont val="Calibri"/>
        <family val="2"/>
      </rPr>
      <t>N2,NO3</t>
    </r>
    <r>
      <rPr>
        <sz val="11"/>
        <rFont val="Calibri"/>
        <family val="2"/>
      </rPr>
      <t>*Y</t>
    </r>
    <r>
      <rPr>
        <vertAlign val="subscript"/>
        <sz val="11"/>
        <rFont val="Calibri"/>
        <family val="2"/>
      </rPr>
      <t>MEOLO</t>
    </r>
    <r>
      <rPr>
        <sz val="11"/>
        <rFont val="Calibri"/>
        <family val="2"/>
      </rPr>
      <t>)</t>
    </r>
  </si>
  <si>
    <r>
      <t>(1-Y</t>
    </r>
    <r>
      <rPr>
        <vertAlign val="subscript"/>
        <sz val="11"/>
        <rFont val="Calibri"/>
        <family val="2"/>
      </rPr>
      <t>MEOLO</t>
    </r>
    <r>
      <rPr>
        <sz val="11"/>
        <rFont val="Calibri"/>
        <family val="2"/>
      </rPr>
      <t>)/(EEQ</t>
    </r>
    <r>
      <rPr>
        <vertAlign val="subscript"/>
        <sz val="11"/>
        <rFont val="Calibri"/>
        <family val="2"/>
      </rPr>
      <t>N2,NO3</t>
    </r>
    <r>
      <rPr>
        <sz val="11"/>
        <rFont val="Calibri"/>
        <family val="2"/>
      </rPr>
      <t>*Y</t>
    </r>
    <r>
      <rPr>
        <vertAlign val="subscript"/>
        <sz val="11"/>
        <rFont val="Calibri"/>
        <family val="2"/>
      </rPr>
      <t>MEOLO</t>
    </r>
    <r>
      <rPr>
        <sz val="11"/>
        <rFont val="Calibri"/>
        <family val="2"/>
      </rPr>
      <t>)</t>
    </r>
  </si>
  <si>
    <r>
      <t>PAO growth on PHA, O</t>
    </r>
    <r>
      <rPr>
        <vertAlign val="subscript"/>
        <sz val="11"/>
        <color rgb="FF000000"/>
        <rFont val="Calibri"/>
        <family val="2"/>
        <scheme val="minor"/>
      </rPr>
      <t>2</t>
    </r>
    <r>
      <rPr>
        <sz val="11"/>
        <color rgb="FF000000"/>
        <rFont val="Calibri"/>
        <family val="2"/>
        <charset val="238"/>
        <scheme val="minor"/>
      </rPr>
      <t>; PO</t>
    </r>
    <r>
      <rPr>
        <vertAlign val="subscript"/>
        <sz val="11"/>
        <color rgb="FF000000"/>
        <rFont val="Calibri"/>
        <family val="2"/>
        <scheme val="minor"/>
      </rPr>
      <t>4</t>
    </r>
    <r>
      <rPr>
        <sz val="11"/>
        <color rgb="FF000000"/>
        <rFont val="Calibri"/>
        <family val="2"/>
        <charset val="238"/>
        <scheme val="minor"/>
      </rPr>
      <t xml:space="preserve"> limited</t>
    </r>
  </si>
  <si>
    <r>
      <t>i</t>
    </r>
    <r>
      <rPr>
        <vertAlign val="subscript"/>
        <sz val="11"/>
        <rFont val="Calibri"/>
        <family val="2"/>
      </rPr>
      <t>K,PP</t>
    </r>
    <r>
      <rPr>
        <sz val="11"/>
        <rFont val="Calibri"/>
        <family val="2"/>
      </rPr>
      <t>*AM</t>
    </r>
    <r>
      <rPr>
        <vertAlign val="subscript"/>
        <sz val="11"/>
        <rFont val="Calibri"/>
        <family val="2"/>
      </rPr>
      <t>K</t>
    </r>
    <r>
      <rPr>
        <sz val="11"/>
        <rFont val="Calibri"/>
        <family val="2"/>
      </rPr>
      <t>/AM</t>
    </r>
    <r>
      <rPr>
        <vertAlign val="subscript"/>
        <sz val="11"/>
        <rFont val="Calibri"/>
        <family val="2"/>
      </rPr>
      <t>P</t>
    </r>
    <r>
      <rPr>
        <sz val="11"/>
        <rFont val="Calibri"/>
        <family val="2"/>
      </rPr>
      <t>*i</t>
    </r>
    <r>
      <rPr>
        <vertAlign val="subscript"/>
        <sz val="11"/>
        <rFont val="Calibri"/>
        <family val="2"/>
      </rPr>
      <t>P,BIO</t>
    </r>
  </si>
  <si>
    <r>
      <t>f</t>
    </r>
    <r>
      <rPr>
        <vertAlign val="subscript"/>
        <sz val="11"/>
        <rFont val="Calibri"/>
        <family val="2"/>
      </rPr>
      <t>P,VFA</t>
    </r>
  </si>
  <si>
    <r>
      <t>-f</t>
    </r>
    <r>
      <rPr>
        <vertAlign val="subscript"/>
        <sz val="11"/>
        <rFont val="Calibri"/>
        <family val="2"/>
      </rPr>
      <t>P,VFA</t>
    </r>
  </si>
  <si>
    <r>
      <t>i</t>
    </r>
    <r>
      <rPr>
        <vertAlign val="subscript"/>
        <sz val="11"/>
        <rFont val="Calibri"/>
        <family val="2"/>
      </rPr>
      <t>Ca,PP</t>
    </r>
    <r>
      <rPr>
        <sz val="11"/>
        <rFont val="Calibri"/>
        <family val="2"/>
      </rPr>
      <t>*AM</t>
    </r>
    <r>
      <rPr>
        <vertAlign val="subscript"/>
        <sz val="11"/>
        <rFont val="Calibri"/>
        <family val="2"/>
      </rPr>
      <t>Ca</t>
    </r>
    <r>
      <rPr>
        <sz val="11"/>
        <rFont val="Calibri"/>
        <family val="2"/>
      </rPr>
      <t>/AM</t>
    </r>
    <r>
      <rPr>
        <vertAlign val="subscript"/>
        <sz val="11"/>
        <rFont val="Calibri"/>
        <family val="2"/>
      </rPr>
      <t>P</t>
    </r>
    <r>
      <rPr>
        <sz val="11"/>
        <rFont val="Calibri"/>
        <family val="2"/>
      </rPr>
      <t>*f</t>
    </r>
    <r>
      <rPr>
        <vertAlign val="subscript"/>
        <sz val="11"/>
        <rFont val="Calibri"/>
        <family val="2"/>
      </rPr>
      <t>P,VFA</t>
    </r>
  </si>
  <si>
    <r>
      <t>i</t>
    </r>
    <r>
      <rPr>
        <vertAlign val="subscript"/>
        <sz val="11"/>
        <rFont val="Calibri"/>
        <family val="2"/>
      </rPr>
      <t>Mg,PP</t>
    </r>
    <r>
      <rPr>
        <sz val="11"/>
        <rFont val="Calibri"/>
        <family val="2"/>
      </rPr>
      <t>*AM</t>
    </r>
    <r>
      <rPr>
        <vertAlign val="subscript"/>
        <sz val="11"/>
        <rFont val="Calibri"/>
        <family val="2"/>
      </rPr>
      <t>Mg</t>
    </r>
    <r>
      <rPr>
        <sz val="11"/>
        <rFont val="Calibri"/>
        <family val="2"/>
      </rPr>
      <t>/AM</t>
    </r>
    <r>
      <rPr>
        <vertAlign val="subscript"/>
        <sz val="11"/>
        <rFont val="Calibri"/>
        <family val="2"/>
      </rPr>
      <t>P</t>
    </r>
    <r>
      <rPr>
        <sz val="11"/>
        <rFont val="Calibri"/>
        <family val="2"/>
      </rPr>
      <t>*f</t>
    </r>
    <r>
      <rPr>
        <vertAlign val="subscript"/>
        <sz val="11"/>
        <rFont val="Calibri"/>
        <family val="2"/>
      </rPr>
      <t>P,VFA</t>
    </r>
  </si>
  <si>
    <r>
      <t>i</t>
    </r>
    <r>
      <rPr>
        <vertAlign val="subscript"/>
        <sz val="11"/>
        <rFont val="Calibri"/>
        <family val="2"/>
      </rPr>
      <t>K,PP</t>
    </r>
    <r>
      <rPr>
        <sz val="11"/>
        <rFont val="Calibri"/>
        <family val="2"/>
      </rPr>
      <t>*AM</t>
    </r>
    <r>
      <rPr>
        <vertAlign val="subscript"/>
        <sz val="11"/>
        <rFont val="Calibri"/>
        <family val="2"/>
      </rPr>
      <t>K</t>
    </r>
    <r>
      <rPr>
        <sz val="11"/>
        <rFont val="Calibri"/>
        <family val="2"/>
      </rPr>
      <t>/AM</t>
    </r>
    <r>
      <rPr>
        <vertAlign val="subscript"/>
        <sz val="11"/>
        <rFont val="Calibri"/>
        <family val="2"/>
      </rPr>
      <t>P</t>
    </r>
    <r>
      <rPr>
        <sz val="11"/>
        <rFont val="Calibri"/>
        <family val="2"/>
      </rPr>
      <t>*f</t>
    </r>
    <r>
      <rPr>
        <vertAlign val="subscript"/>
        <sz val="11"/>
        <rFont val="Calibri"/>
        <family val="2"/>
      </rPr>
      <t>P,VFA</t>
    </r>
  </si>
  <si>
    <r>
      <t>i</t>
    </r>
    <r>
      <rPr>
        <vertAlign val="subscript"/>
        <sz val="11"/>
        <rFont val="Calibri"/>
        <family val="2"/>
      </rPr>
      <t>Ca,PP</t>
    </r>
    <r>
      <rPr>
        <sz val="11"/>
        <rFont val="Calibri"/>
        <family val="2"/>
      </rPr>
      <t>*AM</t>
    </r>
    <r>
      <rPr>
        <vertAlign val="subscript"/>
        <sz val="11"/>
        <rFont val="Calibri"/>
        <family val="2"/>
      </rPr>
      <t>Ca</t>
    </r>
    <r>
      <rPr>
        <sz val="11"/>
        <rFont val="Calibri"/>
        <family val="2"/>
      </rPr>
      <t>/AM</t>
    </r>
    <r>
      <rPr>
        <vertAlign val="subscript"/>
        <sz val="11"/>
        <rFont val="Calibri"/>
        <family val="2"/>
      </rPr>
      <t>P</t>
    </r>
  </si>
  <si>
    <r>
      <t>i</t>
    </r>
    <r>
      <rPr>
        <vertAlign val="subscript"/>
        <sz val="11"/>
        <rFont val="Calibri"/>
        <family val="2"/>
      </rPr>
      <t>Mg,PP</t>
    </r>
    <r>
      <rPr>
        <sz val="11"/>
        <rFont val="Calibri"/>
        <family val="2"/>
      </rPr>
      <t>*AM</t>
    </r>
    <r>
      <rPr>
        <vertAlign val="subscript"/>
        <sz val="11"/>
        <rFont val="Calibri"/>
        <family val="2"/>
      </rPr>
      <t>Mg</t>
    </r>
    <r>
      <rPr>
        <sz val="11"/>
        <rFont val="Calibri"/>
        <family val="2"/>
      </rPr>
      <t>/AM</t>
    </r>
    <r>
      <rPr>
        <vertAlign val="subscript"/>
        <sz val="11"/>
        <rFont val="Calibri"/>
        <family val="2"/>
      </rPr>
      <t>P</t>
    </r>
  </si>
  <si>
    <r>
      <t>i</t>
    </r>
    <r>
      <rPr>
        <vertAlign val="subscript"/>
        <sz val="11"/>
        <rFont val="Calibri"/>
        <family val="2"/>
      </rPr>
      <t>K,PP</t>
    </r>
    <r>
      <rPr>
        <sz val="11"/>
        <rFont val="Calibri"/>
        <family val="2"/>
      </rPr>
      <t>*AM</t>
    </r>
    <r>
      <rPr>
        <vertAlign val="subscript"/>
        <sz val="11"/>
        <rFont val="Calibri"/>
        <family val="2"/>
      </rPr>
      <t>K</t>
    </r>
    <r>
      <rPr>
        <sz val="11"/>
        <rFont val="Calibri"/>
        <family val="2"/>
      </rPr>
      <t>/AM</t>
    </r>
    <r>
      <rPr>
        <vertAlign val="subscript"/>
        <sz val="11"/>
        <rFont val="Calibri"/>
        <family val="2"/>
      </rPr>
      <t>P</t>
    </r>
  </si>
  <si>
    <r>
      <t>-1/Y</t>
    </r>
    <r>
      <rPr>
        <vertAlign val="subscript"/>
        <sz val="11"/>
        <rFont val="Calibri"/>
        <family val="2"/>
      </rPr>
      <t>NITO</t>
    </r>
    <r>
      <rPr>
        <sz val="11"/>
        <rFont val="Calibri"/>
        <family val="2"/>
      </rPr>
      <t>-i</t>
    </r>
    <r>
      <rPr>
        <vertAlign val="subscript"/>
        <sz val="11"/>
        <rFont val="Calibri"/>
        <family val="2"/>
      </rPr>
      <t>N,BIO</t>
    </r>
  </si>
  <si>
    <r>
      <t>1/Y</t>
    </r>
    <r>
      <rPr>
        <vertAlign val="subscript"/>
        <sz val="11"/>
        <rFont val="Calibri"/>
        <family val="2"/>
      </rPr>
      <t>NITO</t>
    </r>
  </si>
  <si>
    <r>
      <t>-(EEQ</t>
    </r>
    <r>
      <rPr>
        <vertAlign val="subscript"/>
        <sz val="11"/>
        <rFont val="Calibri"/>
        <family val="2"/>
      </rPr>
      <t>NO3</t>
    </r>
    <r>
      <rPr>
        <sz val="11"/>
        <rFont val="Calibri"/>
        <family val="2"/>
      </rPr>
      <t>-Y</t>
    </r>
    <r>
      <rPr>
        <vertAlign val="subscript"/>
        <sz val="11"/>
        <rFont val="Calibri"/>
        <family val="2"/>
      </rPr>
      <t>NITO</t>
    </r>
    <r>
      <rPr>
        <sz val="11"/>
        <rFont val="Calibri"/>
        <family val="2"/>
      </rPr>
      <t>)/Y</t>
    </r>
    <r>
      <rPr>
        <vertAlign val="subscript"/>
        <sz val="11"/>
        <rFont val="Calibri"/>
        <family val="2"/>
      </rPr>
      <t>NITO</t>
    </r>
  </si>
  <si>
    <r>
      <t>-i</t>
    </r>
    <r>
      <rPr>
        <vertAlign val="subscript"/>
        <sz val="11"/>
        <rFont val="Calibri"/>
        <family val="2"/>
      </rPr>
      <t>CIT,BIO</t>
    </r>
  </si>
  <si>
    <r>
      <t>-1/Y</t>
    </r>
    <r>
      <rPr>
        <vertAlign val="subscript"/>
        <sz val="11"/>
        <rFont val="Calibri"/>
        <family val="2"/>
      </rPr>
      <t>AMETO</t>
    </r>
  </si>
  <si>
    <r>
      <t>(1-Y</t>
    </r>
    <r>
      <rPr>
        <vertAlign val="subscript"/>
        <sz val="11"/>
        <rFont val="Calibri"/>
        <family val="2"/>
      </rPr>
      <t>AMETO</t>
    </r>
    <r>
      <rPr>
        <sz val="11"/>
        <rFont val="Calibri"/>
        <family val="2"/>
      </rPr>
      <t>)/Y</t>
    </r>
    <r>
      <rPr>
        <vertAlign val="subscript"/>
        <sz val="11"/>
        <rFont val="Calibri"/>
        <family val="2"/>
      </rPr>
      <t>AMETO</t>
    </r>
  </si>
  <si>
    <r>
      <t>(1-Y</t>
    </r>
    <r>
      <rPr>
        <vertAlign val="subscript"/>
        <sz val="11"/>
        <rFont val="Calibri"/>
        <family val="2"/>
      </rPr>
      <t>HMETO</t>
    </r>
    <r>
      <rPr>
        <sz val="11"/>
        <rFont val="Calibri"/>
        <family val="2"/>
      </rPr>
      <t>)/Y</t>
    </r>
    <r>
      <rPr>
        <vertAlign val="subscript"/>
        <sz val="11"/>
        <rFont val="Calibri"/>
        <family val="2"/>
      </rPr>
      <t>HMETO</t>
    </r>
  </si>
  <si>
    <r>
      <t>-1/Y</t>
    </r>
    <r>
      <rPr>
        <vertAlign val="subscript"/>
        <sz val="11"/>
        <rFont val="Calibri"/>
        <family val="2"/>
      </rPr>
      <t>HMETO</t>
    </r>
  </si>
  <si>
    <t>Flocculation of colloidal biodegradable substrate</t>
  </si>
  <si>
    <r>
      <t>i</t>
    </r>
    <r>
      <rPr>
        <vertAlign val="subscript"/>
        <sz val="11"/>
        <rFont val="Calibri"/>
        <family val="2"/>
      </rPr>
      <t>N,CB</t>
    </r>
  </si>
  <si>
    <r>
      <t>i</t>
    </r>
    <r>
      <rPr>
        <vertAlign val="subscript"/>
        <sz val="11"/>
        <rFont val="Calibri"/>
        <family val="2"/>
      </rPr>
      <t>P,CB</t>
    </r>
  </si>
  <si>
    <t>Flocculation of colloidal unbiodegradable organics</t>
  </si>
  <si>
    <r>
      <t>i</t>
    </r>
    <r>
      <rPr>
        <vertAlign val="subscript"/>
        <sz val="11"/>
        <rFont val="Calibri"/>
        <family val="2"/>
      </rPr>
      <t>N,CU</t>
    </r>
  </si>
  <si>
    <r>
      <t>i</t>
    </r>
    <r>
      <rPr>
        <vertAlign val="subscript"/>
        <sz val="11"/>
        <rFont val="Calibri"/>
        <family val="2"/>
      </rPr>
      <t>P,CU</t>
    </r>
  </si>
  <si>
    <r>
      <t>X</t>
    </r>
    <r>
      <rPr>
        <vertAlign val="subscript"/>
        <sz val="11"/>
        <rFont val="Calibri"/>
        <family val="2"/>
      </rPr>
      <t>N,B</t>
    </r>
    <r>
      <rPr>
        <sz val="11"/>
        <rFont val="Calibri"/>
        <family val="2"/>
      </rPr>
      <t>/X</t>
    </r>
    <r>
      <rPr>
        <vertAlign val="subscript"/>
        <sz val="11"/>
        <rFont val="Calibri"/>
        <family val="2"/>
      </rPr>
      <t>B</t>
    </r>
  </si>
  <si>
    <r>
      <t>-X</t>
    </r>
    <r>
      <rPr>
        <vertAlign val="subscript"/>
        <sz val="11"/>
        <rFont val="Calibri"/>
        <family val="2"/>
      </rPr>
      <t>N,B</t>
    </r>
    <r>
      <rPr>
        <sz val="11"/>
        <rFont val="Calibri"/>
        <family val="2"/>
      </rPr>
      <t>/X</t>
    </r>
    <r>
      <rPr>
        <vertAlign val="subscript"/>
        <sz val="11"/>
        <rFont val="Calibri"/>
        <family val="2"/>
      </rPr>
      <t>B</t>
    </r>
  </si>
  <si>
    <r>
      <t>X</t>
    </r>
    <r>
      <rPr>
        <vertAlign val="subscript"/>
        <sz val="11"/>
        <rFont val="Calibri"/>
        <family val="2"/>
      </rPr>
      <t>P,B</t>
    </r>
    <r>
      <rPr>
        <sz val="11"/>
        <rFont val="Calibri"/>
        <family val="2"/>
      </rPr>
      <t>/X</t>
    </r>
    <r>
      <rPr>
        <vertAlign val="subscript"/>
        <sz val="11"/>
        <rFont val="Calibri"/>
        <family val="2"/>
      </rPr>
      <t>B</t>
    </r>
  </si>
  <si>
    <r>
      <t>-X</t>
    </r>
    <r>
      <rPr>
        <vertAlign val="subscript"/>
        <sz val="11"/>
        <rFont val="Calibri"/>
        <family val="2"/>
      </rPr>
      <t>P,B</t>
    </r>
    <r>
      <rPr>
        <sz val="11"/>
        <rFont val="Calibri"/>
        <family val="2"/>
      </rPr>
      <t>/X</t>
    </r>
    <r>
      <rPr>
        <vertAlign val="subscript"/>
        <sz val="11"/>
        <rFont val="Calibri"/>
        <family val="2"/>
      </rPr>
      <t>B</t>
    </r>
  </si>
  <si>
    <r>
      <t>S</t>
    </r>
    <r>
      <rPr>
        <vertAlign val="subscript"/>
        <sz val="11"/>
        <color rgb="FF000000"/>
        <rFont val="Calibri"/>
        <family val="2"/>
        <scheme val="minor"/>
      </rPr>
      <t>P,B</t>
    </r>
    <r>
      <rPr>
        <sz val="11"/>
        <color rgb="FF000000"/>
        <rFont val="Calibri"/>
        <family val="2"/>
        <charset val="238"/>
        <scheme val="minor"/>
      </rPr>
      <t xml:space="preserve"> conversion to PO</t>
    </r>
    <r>
      <rPr>
        <vertAlign val="subscript"/>
        <sz val="11"/>
        <color rgb="FF000000"/>
        <rFont val="Calibri"/>
        <family val="2"/>
        <scheme val="minor"/>
      </rPr>
      <t>4</t>
    </r>
  </si>
  <si>
    <r>
      <t>Reduction of X</t>
    </r>
    <r>
      <rPr>
        <vertAlign val="subscript"/>
        <sz val="11"/>
        <rFont val="Calibri"/>
        <family val="2"/>
      </rPr>
      <t>HFO</t>
    </r>
    <r>
      <rPr>
        <sz val="11"/>
        <rFont val="Calibri"/>
        <family val="2"/>
      </rPr>
      <t xml:space="preserve"> with organic matter</t>
    </r>
  </si>
  <si>
    <r>
      <t>Oxidation of Fe</t>
    </r>
    <r>
      <rPr>
        <vertAlign val="superscript"/>
        <sz val="11"/>
        <rFont val="Calibri"/>
        <family val="2"/>
        <scheme val="minor"/>
      </rPr>
      <t>2+</t>
    </r>
    <r>
      <rPr>
        <sz val="11"/>
        <rFont val="Calibri"/>
        <family val="2"/>
        <scheme val="minor"/>
      </rPr>
      <t xml:space="preserve"> </t>
    </r>
  </si>
  <si>
    <r>
      <t>-EEQ</t>
    </r>
    <r>
      <rPr>
        <vertAlign val="subscript"/>
        <sz val="11"/>
        <rFont val="Calibri"/>
        <family val="2"/>
      </rPr>
      <t>Fe2</t>
    </r>
  </si>
  <si>
    <r>
      <t>-AM</t>
    </r>
    <r>
      <rPr>
        <vertAlign val="subscript"/>
        <sz val="11"/>
        <rFont val="Calibri"/>
        <family val="2"/>
      </rPr>
      <t>Ca</t>
    </r>
    <r>
      <rPr>
        <sz val="11"/>
        <rFont val="Calibri"/>
        <family val="2"/>
      </rPr>
      <t>/MM</t>
    </r>
    <r>
      <rPr>
        <vertAlign val="subscript"/>
        <sz val="11"/>
        <rFont val="Calibri"/>
        <family val="2"/>
      </rPr>
      <t>CaCO3</t>
    </r>
  </si>
  <si>
    <r>
      <t>q</t>
    </r>
    <r>
      <rPr>
        <vertAlign val="subscript"/>
        <sz val="11"/>
        <rFont val="Calibri"/>
        <family val="2"/>
      </rPr>
      <t>CaCO3</t>
    </r>
    <r>
      <rPr>
        <sz val="11"/>
        <rFont val="Calibri"/>
        <family val="2"/>
      </rPr>
      <t>*PrecipDrivingForce</t>
    </r>
    <r>
      <rPr>
        <vertAlign val="subscript"/>
        <sz val="11"/>
        <rFont val="Calibri"/>
        <family val="2"/>
      </rPr>
      <t>CaCO3</t>
    </r>
    <r>
      <rPr>
        <vertAlign val="superscript"/>
        <sz val="11"/>
        <rFont val="Calibri"/>
        <family val="2"/>
      </rPr>
      <t>^2</t>
    </r>
  </si>
  <si>
    <r>
      <t>-2*AM</t>
    </r>
    <r>
      <rPr>
        <vertAlign val="subscript"/>
        <sz val="11"/>
        <rFont val="Calibri"/>
        <family val="2"/>
      </rPr>
      <t>P</t>
    </r>
    <r>
      <rPr>
        <sz val="11"/>
        <rFont val="Calibri"/>
        <family val="2"/>
      </rPr>
      <t>/MM</t>
    </r>
    <r>
      <rPr>
        <vertAlign val="subscript"/>
        <sz val="11"/>
        <rFont val="Calibri"/>
        <family val="2"/>
      </rPr>
      <t>ACP</t>
    </r>
  </si>
  <si>
    <r>
      <t>-3*AM</t>
    </r>
    <r>
      <rPr>
        <vertAlign val="subscript"/>
        <sz val="11"/>
        <rFont val="Calibri"/>
        <family val="2"/>
      </rPr>
      <t>Ca</t>
    </r>
    <r>
      <rPr>
        <sz val="11"/>
        <rFont val="Calibri"/>
        <family val="2"/>
      </rPr>
      <t>/MM</t>
    </r>
    <r>
      <rPr>
        <vertAlign val="subscript"/>
        <sz val="11"/>
        <rFont val="Calibri"/>
        <family val="2"/>
      </rPr>
      <t>ACP</t>
    </r>
  </si>
  <si>
    <r>
      <t>q</t>
    </r>
    <r>
      <rPr>
        <vertAlign val="subscript"/>
        <sz val="11"/>
        <rFont val="Calibri"/>
        <family val="2"/>
      </rPr>
      <t>ACP</t>
    </r>
    <r>
      <rPr>
        <sz val="11"/>
        <rFont val="Calibri"/>
        <family val="2"/>
      </rPr>
      <t>*PrecipDrivingForce</t>
    </r>
    <r>
      <rPr>
        <vertAlign val="subscript"/>
        <sz val="11"/>
        <rFont val="Calibri"/>
        <family val="2"/>
      </rPr>
      <t>ACP</t>
    </r>
    <r>
      <rPr>
        <vertAlign val="superscript"/>
        <sz val="11"/>
        <rFont val="Calibri"/>
        <family val="2"/>
      </rPr>
      <t>^2</t>
    </r>
  </si>
  <si>
    <r>
      <t>-AM</t>
    </r>
    <r>
      <rPr>
        <vertAlign val="subscript"/>
        <sz val="11"/>
        <rFont val="Calibri"/>
        <family val="2"/>
      </rPr>
      <t>N</t>
    </r>
    <r>
      <rPr>
        <sz val="11"/>
        <rFont val="Calibri"/>
        <family val="2"/>
      </rPr>
      <t>/MM</t>
    </r>
    <r>
      <rPr>
        <vertAlign val="subscript"/>
        <sz val="11"/>
        <rFont val="Calibri"/>
        <family val="2"/>
      </rPr>
      <t>STR</t>
    </r>
  </si>
  <si>
    <r>
      <t>-AM</t>
    </r>
    <r>
      <rPr>
        <vertAlign val="subscript"/>
        <sz val="11"/>
        <rFont val="Calibri"/>
        <family val="2"/>
      </rPr>
      <t>P</t>
    </r>
    <r>
      <rPr>
        <sz val="11"/>
        <rFont val="Calibri"/>
        <family val="2"/>
      </rPr>
      <t>/MM</t>
    </r>
    <r>
      <rPr>
        <vertAlign val="subscript"/>
        <sz val="11"/>
        <rFont val="Calibri"/>
        <family val="2"/>
      </rPr>
      <t>STR</t>
    </r>
  </si>
  <si>
    <r>
      <t>-AM</t>
    </r>
    <r>
      <rPr>
        <vertAlign val="subscript"/>
        <sz val="11"/>
        <rFont val="Calibri"/>
        <family val="2"/>
      </rPr>
      <t>Mg</t>
    </r>
    <r>
      <rPr>
        <sz val="11"/>
        <rFont val="Calibri"/>
        <family val="2"/>
      </rPr>
      <t>/MM</t>
    </r>
    <r>
      <rPr>
        <vertAlign val="subscript"/>
        <sz val="11"/>
        <rFont val="Calibri"/>
        <family val="2"/>
      </rPr>
      <t>STR</t>
    </r>
  </si>
  <si>
    <r>
      <t>q</t>
    </r>
    <r>
      <rPr>
        <vertAlign val="subscript"/>
        <sz val="11"/>
        <rFont val="Calibri"/>
        <family val="2"/>
      </rPr>
      <t>STR</t>
    </r>
    <r>
      <rPr>
        <sz val="11"/>
        <rFont val="Calibri"/>
        <family val="2"/>
      </rPr>
      <t>*PrecipDrivingForce</t>
    </r>
    <r>
      <rPr>
        <vertAlign val="subscript"/>
        <sz val="11"/>
        <rFont val="Calibri"/>
        <family val="2"/>
      </rPr>
      <t>STR</t>
    </r>
    <r>
      <rPr>
        <vertAlign val="superscript"/>
        <sz val="11"/>
        <rFont val="Calibri"/>
        <family val="2"/>
      </rPr>
      <t>^3</t>
    </r>
  </si>
  <si>
    <r>
      <t>-2*AM</t>
    </r>
    <r>
      <rPr>
        <vertAlign val="subscript"/>
        <sz val="11"/>
        <rFont val="Calibri"/>
        <family val="2"/>
      </rPr>
      <t>P</t>
    </r>
    <r>
      <rPr>
        <sz val="11"/>
        <rFont val="Calibri"/>
        <family val="2"/>
      </rPr>
      <t>/MM</t>
    </r>
    <r>
      <rPr>
        <vertAlign val="subscript"/>
        <sz val="11"/>
        <rFont val="Calibri"/>
        <family val="2"/>
      </rPr>
      <t>Vivi</t>
    </r>
  </si>
  <si>
    <r>
      <t>-3*AM</t>
    </r>
    <r>
      <rPr>
        <vertAlign val="subscript"/>
        <sz val="11"/>
        <rFont val="Calibri"/>
        <family val="2"/>
      </rPr>
      <t>Fe</t>
    </r>
    <r>
      <rPr>
        <sz val="11"/>
        <rFont val="Calibri"/>
        <family val="2"/>
      </rPr>
      <t>/MM</t>
    </r>
    <r>
      <rPr>
        <vertAlign val="subscript"/>
        <sz val="11"/>
        <rFont val="Calibri"/>
        <family val="2"/>
      </rPr>
      <t>Vivi</t>
    </r>
  </si>
  <si>
    <r>
      <t>q</t>
    </r>
    <r>
      <rPr>
        <vertAlign val="subscript"/>
        <sz val="11"/>
        <rFont val="Calibri"/>
        <family val="2"/>
      </rPr>
      <t>Vivi</t>
    </r>
    <r>
      <rPr>
        <sz val="11"/>
        <rFont val="Calibri"/>
        <family val="2"/>
      </rPr>
      <t>*PrecipDrivingForce</t>
    </r>
    <r>
      <rPr>
        <vertAlign val="subscript"/>
        <sz val="11"/>
        <rFont val="Calibri"/>
        <family val="2"/>
      </rPr>
      <t>Vivi</t>
    </r>
    <r>
      <rPr>
        <vertAlign val="superscript"/>
        <sz val="11"/>
        <rFont val="Calibri"/>
        <family val="2"/>
      </rPr>
      <t>^2</t>
    </r>
  </si>
  <si>
    <r>
      <t>µ</t>
    </r>
    <r>
      <rPr>
        <vertAlign val="subscript"/>
        <sz val="11"/>
        <rFont val="Calibri"/>
        <family val="2"/>
        <scheme val="minor"/>
      </rPr>
      <t>PAO,lim</t>
    </r>
  </si>
  <si>
    <r>
      <t>q</t>
    </r>
    <r>
      <rPr>
        <vertAlign val="subscript"/>
        <sz val="11"/>
        <rFont val="Calibri"/>
        <family val="2"/>
        <scheme val="minor"/>
      </rPr>
      <t>CaCO3,PREC</t>
    </r>
  </si>
  <si>
    <r>
      <t>q</t>
    </r>
    <r>
      <rPr>
        <vertAlign val="subscript"/>
        <sz val="11"/>
        <rFont val="Calibri"/>
        <family val="2"/>
        <scheme val="minor"/>
      </rPr>
      <t>CaCO3,DISS</t>
    </r>
  </si>
  <si>
    <r>
      <t>q</t>
    </r>
    <r>
      <rPr>
        <vertAlign val="subscript"/>
        <sz val="11"/>
        <rFont val="Calibri"/>
        <family val="2"/>
        <scheme val="minor"/>
      </rPr>
      <t>STR,PREC</t>
    </r>
  </si>
  <si>
    <r>
      <t>q</t>
    </r>
    <r>
      <rPr>
        <vertAlign val="subscript"/>
        <sz val="11"/>
        <rFont val="Calibri"/>
        <family val="2"/>
        <scheme val="minor"/>
      </rPr>
      <t>STR,DISS</t>
    </r>
  </si>
  <si>
    <r>
      <t>q</t>
    </r>
    <r>
      <rPr>
        <vertAlign val="subscript"/>
        <sz val="11"/>
        <rFont val="Calibri"/>
        <family val="2"/>
        <scheme val="minor"/>
      </rPr>
      <t>ACP,PREC</t>
    </r>
  </si>
  <si>
    <r>
      <t>q</t>
    </r>
    <r>
      <rPr>
        <vertAlign val="subscript"/>
        <sz val="11"/>
        <rFont val="Calibri"/>
        <family val="2"/>
        <scheme val="minor"/>
      </rPr>
      <t>ACP,DISS</t>
    </r>
  </si>
  <si>
    <r>
      <t>q</t>
    </r>
    <r>
      <rPr>
        <vertAlign val="subscript"/>
        <sz val="11"/>
        <rFont val="Calibri"/>
        <family val="2"/>
        <scheme val="minor"/>
      </rPr>
      <t>Vivi,PREC</t>
    </r>
  </si>
  <si>
    <r>
      <t>q</t>
    </r>
    <r>
      <rPr>
        <vertAlign val="subscript"/>
        <sz val="11"/>
        <rFont val="Calibri"/>
        <family val="2"/>
        <scheme val="minor"/>
      </rPr>
      <t>Vivi,DISS</t>
    </r>
  </si>
  <si>
    <r>
      <t>q</t>
    </r>
    <r>
      <rPr>
        <vertAlign val="subscript"/>
        <sz val="11"/>
        <rFont val="Calibri"/>
        <family val="2"/>
        <scheme val="minor"/>
      </rPr>
      <t>HFOH,AGING</t>
    </r>
  </si>
  <si>
    <r>
      <t>q</t>
    </r>
    <r>
      <rPr>
        <vertAlign val="subscript"/>
        <sz val="11"/>
        <rFont val="Calibri"/>
        <family val="2"/>
        <scheme val="minor"/>
      </rPr>
      <t>HFOL,AGING</t>
    </r>
  </si>
  <si>
    <r>
      <rPr>
        <sz val="11"/>
        <color indexed="8"/>
        <rFont val="Calibri"/>
        <family val="2"/>
        <scheme val="minor"/>
      </rPr>
      <t>q</t>
    </r>
    <r>
      <rPr>
        <vertAlign val="subscript"/>
        <sz val="11"/>
        <color indexed="8"/>
        <rFont val="Calibri"/>
        <family val="2"/>
        <scheme val="minor"/>
      </rPr>
      <t>HFO,RED</t>
    </r>
  </si>
  <si>
    <r>
      <t>η</t>
    </r>
    <r>
      <rPr>
        <vertAlign val="subscript"/>
        <sz val="11"/>
        <rFont val="Calibri"/>
        <family val="2"/>
        <scheme val="minor"/>
      </rPr>
      <t>HYD,anox</t>
    </r>
  </si>
  <si>
    <r>
      <t>η</t>
    </r>
    <r>
      <rPr>
        <vertAlign val="subscript"/>
        <sz val="11"/>
        <rFont val="Calibri"/>
        <family val="2"/>
        <scheme val="minor"/>
      </rPr>
      <t>HYD,ana</t>
    </r>
  </si>
  <si>
    <r>
      <t>η</t>
    </r>
    <r>
      <rPr>
        <vertAlign val="subscript"/>
        <sz val="11"/>
        <rFont val="Calibri"/>
        <family val="2"/>
        <scheme val="minor"/>
      </rPr>
      <t>b,anox</t>
    </r>
  </si>
  <si>
    <r>
      <t>η</t>
    </r>
    <r>
      <rPr>
        <vertAlign val="subscript"/>
        <sz val="11"/>
        <rFont val="Calibri"/>
        <family val="2"/>
        <scheme val="minor"/>
      </rPr>
      <t>b,ana</t>
    </r>
  </si>
  <si>
    <r>
      <t>η</t>
    </r>
    <r>
      <rPr>
        <vertAlign val="subscript"/>
        <sz val="11"/>
        <rFont val="Calibri"/>
        <family val="2"/>
        <scheme val="minor"/>
      </rPr>
      <t>OHO,anox</t>
    </r>
  </si>
  <si>
    <r>
      <t>θ</t>
    </r>
    <r>
      <rPr>
        <vertAlign val="subscript"/>
        <sz val="11"/>
        <color indexed="8"/>
        <rFont val="Calibri"/>
        <family val="2"/>
        <scheme val="minor"/>
      </rPr>
      <t>q,HFO,RED</t>
    </r>
  </si>
  <si>
    <r>
      <t>θ</t>
    </r>
    <r>
      <rPr>
        <vertAlign val="subscript"/>
        <sz val="11"/>
        <color indexed="8"/>
        <rFont val="Calibri"/>
        <family val="2"/>
        <scheme val="minor"/>
      </rPr>
      <t>µ,PAO,lim</t>
    </r>
  </si>
  <si>
    <r>
      <t>Y</t>
    </r>
    <r>
      <rPr>
        <vertAlign val="subscript"/>
        <sz val="11"/>
        <rFont val="Calibri"/>
        <family val="2"/>
        <scheme val="minor"/>
      </rPr>
      <t>OHO,VFA,ox</t>
    </r>
  </si>
  <si>
    <r>
      <t>Y</t>
    </r>
    <r>
      <rPr>
        <vertAlign val="subscript"/>
        <sz val="11"/>
        <rFont val="Calibri"/>
        <family val="2"/>
        <scheme val="minor"/>
      </rPr>
      <t>OHO,VFA,anox</t>
    </r>
  </si>
  <si>
    <r>
      <t>Y</t>
    </r>
    <r>
      <rPr>
        <vertAlign val="subscript"/>
        <sz val="11"/>
        <rFont val="Calibri"/>
        <family val="2"/>
        <scheme val="minor"/>
      </rPr>
      <t>OHO,SB,ox</t>
    </r>
  </si>
  <si>
    <r>
      <t>Y</t>
    </r>
    <r>
      <rPr>
        <vertAlign val="subscript"/>
        <sz val="11"/>
        <rFont val="Calibri"/>
        <family val="2"/>
        <scheme val="minor"/>
      </rPr>
      <t>OHO,SB,anox</t>
    </r>
  </si>
  <si>
    <r>
      <t>Y</t>
    </r>
    <r>
      <rPr>
        <vertAlign val="subscript"/>
        <sz val="11"/>
        <rFont val="Calibri"/>
        <family val="2"/>
        <scheme val="minor"/>
      </rPr>
      <t>OHO,SB,ana</t>
    </r>
  </si>
  <si>
    <r>
      <t>Y</t>
    </r>
    <r>
      <rPr>
        <vertAlign val="subscript"/>
        <sz val="11"/>
        <rFont val="Calibri"/>
        <family val="2"/>
        <scheme val="minor"/>
      </rPr>
      <t>OHO,SMEOL,ox</t>
    </r>
  </si>
  <si>
    <r>
      <t>X</t>
    </r>
    <r>
      <rPr>
        <b/>
        <vertAlign val="subscript"/>
        <sz val="11"/>
        <rFont val="Calibri"/>
        <family val="2"/>
        <scheme val="minor"/>
      </rPr>
      <t>E,ana</t>
    </r>
  </si>
  <si>
    <r>
      <t>q</t>
    </r>
    <r>
      <rPr>
        <vertAlign val="subscript"/>
        <sz val="11"/>
        <rFont val="Calibri"/>
        <family val="2"/>
      </rPr>
      <t>XE,T</t>
    </r>
    <r>
      <rPr>
        <sz val="11"/>
        <rFont val="Calibri"/>
        <family val="2"/>
      </rPr>
      <t>*X</t>
    </r>
    <r>
      <rPr>
        <vertAlign val="subscript"/>
        <sz val="11"/>
        <rFont val="Calibri"/>
        <family val="2"/>
      </rPr>
      <t>E</t>
    </r>
  </si>
  <si>
    <r>
      <t>-1/Y</t>
    </r>
    <r>
      <rPr>
        <vertAlign val="subscript"/>
        <sz val="11"/>
        <rFont val="Calibri"/>
        <family val="2"/>
      </rPr>
      <t>OHO,VFA,ox</t>
    </r>
  </si>
  <si>
    <r>
      <t>-1/Y</t>
    </r>
    <r>
      <rPr>
        <vertAlign val="subscript"/>
        <sz val="11"/>
        <rFont val="Calibri"/>
        <family val="2"/>
      </rPr>
      <t>OHO,VFA,anox</t>
    </r>
  </si>
  <si>
    <r>
      <t>-1/Y</t>
    </r>
    <r>
      <rPr>
        <vertAlign val="subscript"/>
        <sz val="11"/>
        <rFont val="Calibri"/>
        <family val="2"/>
      </rPr>
      <t>OHO,SB,ox</t>
    </r>
  </si>
  <si>
    <r>
      <t>-1/Y</t>
    </r>
    <r>
      <rPr>
        <vertAlign val="subscript"/>
        <sz val="11"/>
        <rFont val="Calibri"/>
        <family val="2"/>
      </rPr>
      <t>OHO,SB,anox</t>
    </r>
  </si>
  <si>
    <r>
      <t>-1/Y</t>
    </r>
    <r>
      <rPr>
        <vertAlign val="subscript"/>
        <sz val="11"/>
        <rFont val="Calibri"/>
        <family val="2"/>
      </rPr>
      <t>OHO,SB,ana</t>
    </r>
  </si>
  <si>
    <r>
      <t>-1/Y</t>
    </r>
    <r>
      <rPr>
        <vertAlign val="subscript"/>
        <sz val="11"/>
        <rFont val="Calibri"/>
        <family val="2"/>
      </rPr>
      <t>OHO,SMEOL,ox</t>
    </r>
  </si>
  <si>
    <r>
      <t>-(1-Y</t>
    </r>
    <r>
      <rPr>
        <vertAlign val="subscript"/>
        <sz val="11"/>
        <rFont val="Calibri"/>
        <family val="2"/>
      </rPr>
      <t>OHO,VFA,anox</t>
    </r>
    <r>
      <rPr>
        <sz val="11"/>
        <rFont val="Calibri"/>
        <family val="2"/>
      </rPr>
      <t>)/(EEQ</t>
    </r>
    <r>
      <rPr>
        <vertAlign val="subscript"/>
        <sz val="11"/>
        <rFont val="Calibri"/>
        <family val="2"/>
      </rPr>
      <t>N2,NO3</t>
    </r>
    <r>
      <rPr>
        <sz val="11"/>
        <rFont val="Calibri"/>
        <family val="2"/>
      </rPr>
      <t>*Y</t>
    </r>
    <r>
      <rPr>
        <vertAlign val="subscript"/>
        <sz val="11"/>
        <rFont val="Calibri"/>
        <family val="2"/>
      </rPr>
      <t>OHO,VFA,anox</t>
    </r>
    <r>
      <rPr>
        <sz val="11"/>
        <rFont val="Calibri"/>
        <family val="2"/>
      </rPr>
      <t>)</t>
    </r>
  </si>
  <si>
    <r>
      <t>-(1-Y</t>
    </r>
    <r>
      <rPr>
        <vertAlign val="subscript"/>
        <sz val="11"/>
        <rFont val="Calibri"/>
        <family val="2"/>
      </rPr>
      <t>OHO,SB,anox</t>
    </r>
    <r>
      <rPr>
        <sz val="11"/>
        <rFont val="Calibri"/>
        <family val="2"/>
      </rPr>
      <t>)/(EEQ</t>
    </r>
    <r>
      <rPr>
        <vertAlign val="subscript"/>
        <sz val="11"/>
        <rFont val="Calibri"/>
        <family val="2"/>
      </rPr>
      <t>N2,NO3</t>
    </r>
    <r>
      <rPr>
        <sz val="11"/>
        <rFont val="Calibri"/>
        <family val="2"/>
      </rPr>
      <t>*Y</t>
    </r>
    <r>
      <rPr>
        <vertAlign val="subscript"/>
        <sz val="11"/>
        <rFont val="Calibri"/>
        <family val="2"/>
      </rPr>
      <t>OHO,SB,anox</t>
    </r>
    <r>
      <rPr>
        <sz val="11"/>
        <rFont val="Calibri"/>
        <family val="2"/>
      </rPr>
      <t>)</t>
    </r>
  </si>
  <si>
    <r>
      <t>(1-Y</t>
    </r>
    <r>
      <rPr>
        <vertAlign val="subscript"/>
        <sz val="11"/>
        <rFont val="Calibri"/>
        <family val="2"/>
      </rPr>
      <t>OHO,VFA,anox</t>
    </r>
    <r>
      <rPr>
        <sz val="11"/>
        <rFont val="Calibri"/>
        <family val="2"/>
      </rPr>
      <t>)/(EEQ</t>
    </r>
    <r>
      <rPr>
        <vertAlign val="subscript"/>
        <sz val="11"/>
        <rFont val="Calibri"/>
        <family val="2"/>
      </rPr>
      <t>N2,NO3</t>
    </r>
    <r>
      <rPr>
        <sz val="11"/>
        <rFont val="Calibri"/>
        <family val="2"/>
      </rPr>
      <t>*Y</t>
    </r>
    <r>
      <rPr>
        <vertAlign val="subscript"/>
        <sz val="11"/>
        <rFont val="Calibri"/>
        <family val="2"/>
      </rPr>
      <t>OHO,VFA,anox</t>
    </r>
    <r>
      <rPr>
        <sz val="11"/>
        <rFont val="Calibri"/>
        <family val="2"/>
      </rPr>
      <t>)</t>
    </r>
  </si>
  <si>
    <r>
      <t>(1-Y</t>
    </r>
    <r>
      <rPr>
        <vertAlign val="subscript"/>
        <sz val="11"/>
        <rFont val="Calibri"/>
        <family val="2"/>
      </rPr>
      <t>OHO,SB,anox</t>
    </r>
    <r>
      <rPr>
        <sz val="11"/>
        <rFont val="Calibri"/>
        <family val="2"/>
      </rPr>
      <t>)/(EEQ</t>
    </r>
    <r>
      <rPr>
        <vertAlign val="subscript"/>
        <sz val="11"/>
        <rFont val="Calibri"/>
        <family val="2"/>
      </rPr>
      <t>N2,NO3</t>
    </r>
    <r>
      <rPr>
        <sz val="11"/>
        <rFont val="Calibri"/>
        <family val="2"/>
      </rPr>
      <t>*Y</t>
    </r>
    <r>
      <rPr>
        <vertAlign val="subscript"/>
        <sz val="11"/>
        <rFont val="Calibri"/>
        <family val="2"/>
      </rPr>
      <t>OHO,SB,anox</t>
    </r>
    <r>
      <rPr>
        <sz val="11"/>
        <rFont val="Calibri"/>
        <family val="2"/>
      </rPr>
      <t>)</t>
    </r>
  </si>
  <si>
    <r>
      <t>-(1-Y</t>
    </r>
    <r>
      <rPr>
        <vertAlign val="subscript"/>
        <sz val="11"/>
        <rFont val="Calibri"/>
        <family val="2"/>
      </rPr>
      <t>OHO,VFA,ox</t>
    </r>
    <r>
      <rPr>
        <sz val="11"/>
        <rFont val="Calibri"/>
        <family val="2"/>
      </rPr>
      <t>)/Y</t>
    </r>
    <r>
      <rPr>
        <vertAlign val="subscript"/>
        <sz val="11"/>
        <rFont val="Calibri"/>
        <family val="2"/>
      </rPr>
      <t>OHO,VFA,ox</t>
    </r>
  </si>
  <si>
    <r>
      <t>-(1-Y</t>
    </r>
    <r>
      <rPr>
        <vertAlign val="subscript"/>
        <sz val="11"/>
        <rFont val="Calibri"/>
        <family val="2"/>
      </rPr>
      <t>OHO,SB,ox</t>
    </r>
    <r>
      <rPr>
        <sz val="11"/>
        <rFont val="Calibri"/>
        <family val="2"/>
      </rPr>
      <t>)/Y</t>
    </r>
    <r>
      <rPr>
        <vertAlign val="subscript"/>
        <sz val="11"/>
        <rFont val="Calibri"/>
        <family val="2"/>
      </rPr>
      <t>OHO,SB,ox</t>
    </r>
  </si>
  <si>
    <r>
      <t>-(1-Y</t>
    </r>
    <r>
      <rPr>
        <vertAlign val="subscript"/>
        <sz val="11"/>
        <rFont val="Calibri"/>
        <family val="2"/>
      </rPr>
      <t>OHO,SMEOL,ox</t>
    </r>
    <r>
      <rPr>
        <sz val="11"/>
        <rFont val="Calibri"/>
        <family val="2"/>
      </rPr>
      <t>)/Y</t>
    </r>
    <r>
      <rPr>
        <vertAlign val="subscript"/>
        <sz val="11"/>
        <rFont val="Calibri"/>
        <family val="2"/>
      </rPr>
      <t>OHO,SMEOL,ox</t>
    </r>
  </si>
  <si>
    <r>
      <t>θ</t>
    </r>
    <r>
      <rPr>
        <vertAlign val="subscript"/>
        <sz val="11"/>
        <color indexed="8"/>
        <rFont val="Calibri"/>
        <family val="2"/>
        <scheme val="minor"/>
      </rPr>
      <t>q,XE</t>
    </r>
  </si>
  <si>
    <r>
      <t>θ</t>
    </r>
    <r>
      <rPr>
        <vertAlign val="subscript"/>
        <sz val="11"/>
        <color indexed="8"/>
        <rFont val="Calibri"/>
        <family val="2"/>
        <scheme val="minor"/>
      </rPr>
      <t>q,SPB</t>
    </r>
  </si>
  <si>
    <r>
      <t>q</t>
    </r>
    <r>
      <rPr>
        <vertAlign val="subscript"/>
        <sz val="11"/>
        <color indexed="8"/>
        <rFont val="Calibri"/>
        <family val="2"/>
        <scheme val="minor"/>
      </rPr>
      <t>SPB</t>
    </r>
  </si>
  <si>
    <r>
      <t>q</t>
    </r>
    <r>
      <rPr>
        <vertAlign val="subscript"/>
        <sz val="11"/>
        <color indexed="8"/>
        <rFont val="Calibri"/>
        <family val="2"/>
        <scheme val="minor"/>
      </rPr>
      <t>XE</t>
    </r>
  </si>
  <si>
    <r>
      <t>X</t>
    </r>
    <r>
      <rPr>
        <vertAlign val="subscript"/>
        <sz val="11"/>
        <rFont val="Calibri"/>
        <family val="2"/>
        <scheme val="minor"/>
      </rPr>
      <t>BIO</t>
    </r>
  </si>
  <si>
    <r>
      <t>X</t>
    </r>
    <r>
      <rPr>
        <vertAlign val="subscript"/>
        <sz val="11"/>
        <rFont val="Calibri"/>
        <family val="2"/>
        <scheme val="minor"/>
      </rPr>
      <t>COD</t>
    </r>
  </si>
  <si>
    <r>
      <t>X</t>
    </r>
    <r>
      <rPr>
        <vertAlign val="subscript"/>
        <sz val="11"/>
        <rFont val="Calibri"/>
        <family val="2"/>
        <scheme val="minor"/>
      </rPr>
      <t>VSS,BIO</t>
    </r>
  </si>
  <si>
    <r>
      <t>g VSS.m</t>
    </r>
    <r>
      <rPr>
        <vertAlign val="superscript"/>
        <sz val="11"/>
        <rFont val="Calibri"/>
        <family val="2"/>
        <scheme val="minor"/>
      </rPr>
      <t>-3</t>
    </r>
  </si>
  <si>
    <r>
      <t>X</t>
    </r>
    <r>
      <rPr>
        <vertAlign val="subscript"/>
        <sz val="11"/>
        <rFont val="Calibri"/>
        <family val="2"/>
        <scheme val="minor"/>
      </rPr>
      <t>VSS</t>
    </r>
  </si>
  <si>
    <r>
      <t>X</t>
    </r>
    <r>
      <rPr>
        <vertAlign val="subscript"/>
        <sz val="11"/>
        <rFont val="Calibri"/>
        <family val="2"/>
        <scheme val="minor"/>
      </rPr>
      <t>TSS</t>
    </r>
  </si>
  <si>
    <r>
      <t>g TSS.m</t>
    </r>
    <r>
      <rPr>
        <vertAlign val="superscript"/>
        <sz val="11"/>
        <rFont val="Calibri"/>
        <family val="2"/>
        <scheme val="minor"/>
      </rPr>
      <t>-3</t>
    </r>
  </si>
  <si>
    <r>
      <t>X</t>
    </r>
    <r>
      <rPr>
        <vertAlign val="subscript"/>
        <sz val="11"/>
        <rFont val="Calibri"/>
        <family val="2"/>
        <scheme val="minor"/>
      </rPr>
      <t>VS</t>
    </r>
  </si>
  <si>
    <r>
      <t>g VS.m</t>
    </r>
    <r>
      <rPr>
        <vertAlign val="superscript"/>
        <sz val="11"/>
        <rFont val="Calibri"/>
        <family val="2"/>
        <scheme val="minor"/>
      </rPr>
      <t>-3</t>
    </r>
  </si>
  <si>
    <r>
      <t>T</t>
    </r>
    <r>
      <rPr>
        <vertAlign val="subscript"/>
        <sz val="11"/>
        <rFont val="Calibri"/>
        <family val="2"/>
        <scheme val="minor"/>
      </rPr>
      <t>COD</t>
    </r>
  </si>
  <si>
    <r>
      <t>T</t>
    </r>
    <r>
      <rPr>
        <vertAlign val="subscript"/>
        <sz val="11"/>
        <rFont val="Calibri"/>
        <family val="2"/>
        <scheme val="minor"/>
      </rPr>
      <t>KN</t>
    </r>
  </si>
  <si>
    <r>
      <t>T</t>
    </r>
    <r>
      <rPr>
        <vertAlign val="subscript"/>
        <sz val="11"/>
        <rFont val="Calibri"/>
        <family val="2"/>
        <scheme val="minor"/>
      </rPr>
      <t>N</t>
    </r>
  </si>
  <si>
    <r>
      <t>T</t>
    </r>
    <r>
      <rPr>
        <vertAlign val="subscript"/>
        <sz val="11"/>
        <rFont val="Calibri"/>
        <family val="2"/>
        <scheme val="minor"/>
      </rPr>
      <t>P</t>
    </r>
  </si>
  <si>
    <r>
      <t>X</t>
    </r>
    <r>
      <rPr>
        <vertAlign val="subscript"/>
        <sz val="11"/>
        <rFont val="Calibri"/>
        <family val="2"/>
        <scheme val="minor"/>
      </rPr>
      <t>HFO</t>
    </r>
  </si>
  <si>
    <r>
      <t>T</t>
    </r>
    <r>
      <rPr>
        <vertAlign val="subscript"/>
        <sz val="11"/>
        <rFont val="Calibri"/>
        <family val="2"/>
        <scheme val="minor"/>
      </rPr>
      <t>Fe</t>
    </r>
  </si>
  <si>
    <r>
      <t>X</t>
    </r>
    <r>
      <rPr>
        <vertAlign val="subscript"/>
        <sz val="11"/>
        <rFont val="Calibri"/>
        <family val="2"/>
        <scheme val="minor"/>
      </rPr>
      <t>HFO,P</t>
    </r>
  </si>
  <si>
    <r>
      <t>PrecipDrivingForce</t>
    </r>
    <r>
      <rPr>
        <vertAlign val="subscript"/>
        <sz val="11"/>
        <color theme="1"/>
        <rFont val="Calibri"/>
        <family val="2"/>
        <scheme val="minor"/>
      </rPr>
      <t>STR</t>
    </r>
  </si>
  <si>
    <r>
      <t>(([Mg</t>
    </r>
    <r>
      <rPr>
        <vertAlign val="superscript"/>
        <sz val="11"/>
        <color theme="1"/>
        <rFont val="Calibri"/>
        <family val="2"/>
        <scheme val="minor"/>
      </rPr>
      <t>2+</t>
    </r>
    <r>
      <rPr>
        <sz val="11"/>
        <color theme="1"/>
        <rFont val="Calibri"/>
        <family val="2"/>
        <scheme val="minor"/>
      </rPr>
      <t>]</t>
    </r>
    <r>
      <rPr>
        <vertAlign val="superscript"/>
        <sz val="11"/>
        <color theme="1"/>
        <rFont val="Calibri"/>
        <family val="2"/>
        <scheme val="minor"/>
      </rPr>
      <t>^(1/3)</t>
    </r>
    <r>
      <rPr>
        <sz val="11"/>
        <color theme="1"/>
        <rFont val="Calibri"/>
        <family val="2"/>
        <scheme val="minor"/>
      </rPr>
      <t>*[NH</t>
    </r>
    <r>
      <rPr>
        <vertAlign val="subscript"/>
        <sz val="11"/>
        <color theme="1"/>
        <rFont val="Calibri"/>
        <family val="2"/>
        <scheme val="minor"/>
      </rPr>
      <t>4</t>
    </r>
    <r>
      <rPr>
        <vertAlign val="superscript"/>
        <sz val="11"/>
        <color theme="1"/>
        <rFont val="Calibri"/>
        <family val="2"/>
        <scheme val="minor"/>
      </rPr>
      <t>+</t>
    </r>
    <r>
      <rPr>
        <sz val="11"/>
        <color theme="1"/>
        <rFont val="Calibri"/>
        <family val="2"/>
        <scheme val="minor"/>
      </rPr>
      <t>]</t>
    </r>
    <r>
      <rPr>
        <vertAlign val="superscript"/>
        <sz val="11"/>
        <color theme="1"/>
        <rFont val="Calibri"/>
        <family val="2"/>
        <scheme val="minor"/>
      </rPr>
      <t>^(1/3)</t>
    </r>
    <r>
      <rPr>
        <sz val="11"/>
        <color theme="1"/>
        <rFont val="Calibri"/>
        <family val="2"/>
        <scheme val="minor"/>
      </rPr>
      <t xml:space="preserve"> * [PO</t>
    </r>
    <r>
      <rPr>
        <vertAlign val="subscript"/>
        <sz val="11"/>
        <color theme="1"/>
        <rFont val="Calibri"/>
        <family val="2"/>
        <scheme val="minor"/>
      </rPr>
      <t>4</t>
    </r>
    <r>
      <rPr>
        <vertAlign val="superscript"/>
        <sz val="11"/>
        <color theme="1"/>
        <rFont val="Calibri"/>
        <family val="2"/>
        <scheme val="minor"/>
      </rPr>
      <t>3-</t>
    </r>
    <r>
      <rPr>
        <sz val="11"/>
        <color theme="1"/>
        <rFont val="Calibri"/>
        <family val="2"/>
        <scheme val="minor"/>
      </rPr>
      <t>]</t>
    </r>
    <r>
      <rPr>
        <vertAlign val="superscript"/>
        <sz val="11"/>
        <color theme="1"/>
        <rFont val="Calibri"/>
        <family val="2"/>
        <scheme val="minor"/>
      </rPr>
      <t>^(1/3)</t>
    </r>
    <r>
      <rPr>
        <sz val="11"/>
        <color theme="1"/>
        <rFont val="Calibri"/>
        <family val="2"/>
        <scheme val="minor"/>
      </rPr>
      <t xml:space="preserve"> - K</t>
    </r>
    <r>
      <rPr>
        <vertAlign val="subscript"/>
        <sz val="11"/>
        <color theme="1"/>
        <rFont val="Calibri"/>
        <family val="2"/>
        <scheme val="minor"/>
      </rPr>
      <t>sp,STR</t>
    </r>
    <r>
      <rPr>
        <vertAlign val="superscript"/>
        <sz val="11"/>
        <color theme="1"/>
        <rFont val="Calibri"/>
        <family val="2"/>
        <scheme val="minor"/>
      </rPr>
      <t>^(1/3)</t>
    </r>
    <r>
      <rPr>
        <sz val="11"/>
        <color theme="1"/>
        <rFont val="Calibri"/>
        <family val="2"/>
        <scheme val="minor"/>
      </rPr>
      <t>)/ K</t>
    </r>
    <r>
      <rPr>
        <vertAlign val="subscript"/>
        <sz val="11"/>
        <color theme="1"/>
        <rFont val="Calibri"/>
        <family val="2"/>
        <scheme val="minor"/>
      </rPr>
      <t>sp,STR</t>
    </r>
    <r>
      <rPr>
        <vertAlign val="superscript"/>
        <sz val="11"/>
        <color theme="1"/>
        <rFont val="Calibri"/>
        <family val="2"/>
        <scheme val="minor"/>
      </rPr>
      <t>^(1/3)</t>
    </r>
    <r>
      <rPr>
        <sz val="11"/>
        <color theme="1"/>
        <rFont val="Calibri"/>
        <family val="2"/>
        <scheme val="minor"/>
      </rPr>
      <t>)</t>
    </r>
  </si>
  <si>
    <r>
      <t>([Ca</t>
    </r>
    <r>
      <rPr>
        <vertAlign val="superscript"/>
        <sz val="11"/>
        <color theme="1"/>
        <rFont val="Calibri"/>
        <family val="2"/>
        <scheme val="minor"/>
      </rPr>
      <t>2+</t>
    </r>
    <r>
      <rPr>
        <sz val="11"/>
        <color theme="1"/>
        <rFont val="Calibri"/>
        <family val="2"/>
        <scheme val="minor"/>
      </rPr>
      <t>]</t>
    </r>
    <r>
      <rPr>
        <vertAlign val="superscript"/>
        <sz val="11"/>
        <color theme="1"/>
        <rFont val="Calibri"/>
        <family val="2"/>
        <scheme val="minor"/>
      </rPr>
      <t>^(3/5)</t>
    </r>
    <r>
      <rPr>
        <sz val="11"/>
        <color theme="1"/>
        <rFont val="Calibri"/>
        <family val="2"/>
        <scheme val="minor"/>
      </rPr>
      <t>*[PO</t>
    </r>
    <r>
      <rPr>
        <vertAlign val="subscript"/>
        <sz val="11"/>
        <color theme="1"/>
        <rFont val="Calibri"/>
        <family val="2"/>
        <scheme val="minor"/>
      </rPr>
      <t>4</t>
    </r>
    <r>
      <rPr>
        <vertAlign val="superscript"/>
        <sz val="11"/>
        <color theme="1"/>
        <rFont val="Calibri"/>
        <family val="2"/>
        <scheme val="minor"/>
      </rPr>
      <t>3-</t>
    </r>
    <r>
      <rPr>
        <sz val="11"/>
        <color theme="1"/>
        <rFont val="Calibri"/>
        <family val="2"/>
        <scheme val="minor"/>
      </rPr>
      <t>]</t>
    </r>
    <r>
      <rPr>
        <vertAlign val="superscript"/>
        <sz val="11"/>
        <color theme="1"/>
        <rFont val="Calibri"/>
        <family val="2"/>
        <scheme val="minor"/>
      </rPr>
      <t>^(2/5)</t>
    </r>
    <r>
      <rPr>
        <sz val="11"/>
        <color theme="1"/>
        <rFont val="Calibri"/>
        <family val="2"/>
        <scheme val="minor"/>
      </rPr>
      <t>-K</t>
    </r>
    <r>
      <rPr>
        <vertAlign val="subscript"/>
        <sz val="11"/>
        <color theme="1"/>
        <rFont val="Calibri"/>
        <family val="2"/>
        <scheme val="minor"/>
      </rPr>
      <t>sp,ACP</t>
    </r>
    <r>
      <rPr>
        <vertAlign val="superscript"/>
        <sz val="11"/>
        <color theme="1"/>
        <rFont val="Calibri"/>
        <family val="2"/>
        <scheme val="minor"/>
      </rPr>
      <t>^(1/5)</t>
    </r>
    <r>
      <rPr>
        <sz val="11"/>
        <color theme="1"/>
        <rFont val="Calibri"/>
        <family val="2"/>
        <scheme val="minor"/>
      </rPr>
      <t>)/K</t>
    </r>
    <r>
      <rPr>
        <vertAlign val="subscript"/>
        <sz val="11"/>
        <color theme="1"/>
        <rFont val="Calibri"/>
        <family val="2"/>
        <scheme val="minor"/>
      </rPr>
      <t>sp,ACP</t>
    </r>
    <r>
      <rPr>
        <vertAlign val="superscript"/>
        <sz val="11"/>
        <color theme="1"/>
        <rFont val="Calibri"/>
        <family val="2"/>
        <scheme val="minor"/>
      </rPr>
      <t>^(1/5)</t>
    </r>
  </si>
  <si>
    <r>
      <t>([Ca</t>
    </r>
    <r>
      <rPr>
        <vertAlign val="superscript"/>
        <sz val="11"/>
        <color theme="1"/>
        <rFont val="Calibri"/>
        <family val="2"/>
        <scheme val="minor"/>
      </rPr>
      <t>2+</t>
    </r>
    <r>
      <rPr>
        <sz val="11"/>
        <color theme="1"/>
        <rFont val="Calibri"/>
        <family val="2"/>
        <scheme val="minor"/>
      </rPr>
      <t>]</t>
    </r>
    <r>
      <rPr>
        <vertAlign val="superscript"/>
        <sz val="11"/>
        <color theme="1"/>
        <rFont val="Calibri"/>
        <family val="2"/>
        <scheme val="minor"/>
      </rPr>
      <t>^(1/2)</t>
    </r>
    <r>
      <rPr>
        <sz val="11"/>
        <color theme="1"/>
        <rFont val="Calibri"/>
        <family val="2"/>
        <scheme val="minor"/>
      </rPr>
      <t>*[CO</t>
    </r>
    <r>
      <rPr>
        <vertAlign val="subscript"/>
        <sz val="11"/>
        <color theme="1"/>
        <rFont val="Calibri"/>
        <family val="2"/>
        <scheme val="minor"/>
      </rPr>
      <t>3</t>
    </r>
    <r>
      <rPr>
        <vertAlign val="superscript"/>
        <sz val="11"/>
        <color theme="1"/>
        <rFont val="Calibri"/>
        <family val="2"/>
        <scheme val="minor"/>
      </rPr>
      <t>2-</t>
    </r>
    <r>
      <rPr>
        <sz val="11"/>
        <color theme="1"/>
        <rFont val="Calibri"/>
        <family val="2"/>
        <scheme val="minor"/>
      </rPr>
      <t>]</t>
    </r>
    <r>
      <rPr>
        <vertAlign val="superscript"/>
        <sz val="11"/>
        <color theme="1"/>
        <rFont val="Calibri"/>
        <family val="2"/>
        <scheme val="minor"/>
      </rPr>
      <t>^(1/2)</t>
    </r>
    <r>
      <rPr>
        <sz val="11"/>
        <color theme="1"/>
        <rFont val="Calibri"/>
        <family val="2"/>
        <scheme val="minor"/>
      </rPr>
      <t>-K</t>
    </r>
    <r>
      <rPr>
        <vertAlign val="subscript"/>
        <sz val="11"/>
        <color theme="1"/>
        <rFont val="Calibri"/>
        <family val="2"/>
        <scheme val="minor"/>
      </rPr>
      <t>sp,CaCO3</t>
    </r>
    <r>
      <rPr>
        <vertAlign val="superscript"/>
        <sz val="11"/>
        <color theme="1"/>
        <rFont val="Calibri"/>
        <family val="2"/>
        <scheme val="minor"/>
      </rPr>
      <t>^(1/2)</t>
    </r>
    <r>
      <rPr>
        <sz val="11"/>
        <color theme="1"/>
        <rFont val="Calibri"/>
        <family val="2"/>
        <scheme val="minor"/>
      </rPr>
      <t>)/K</t>
    </r>
    <r>
      <rPr>
        <vertAlign val="subscript"/>
        <sz val="11"/>
        <color theme="1"/>
        <rFont val="Calibri"/>
        <family val="2"/>
        <scheme val="minor"/>
      </rPr>
      <t>sp,CaCO3</t>
    </r>
    <r>
      <rPr>
        <vertAlign val="superscript"/>
        <sz val="11"/>
        <color theme="1"/>
        <rFont val="Calibri"/>
        <family val="2"/>
        <scheme val="minor"/>
      </rPr>
      <t>^(1/2)</t>
    </r>
  </si>
  <si>
    <r>
      <t>PrecipDrivingForce</t>
    </r>
    <r>
      <rPr>
        <vertAlign val="subscript"/>
        <sz val="11"/>
        <color theme="1"/>
        <rFont val="Calibri"/>
        <family val="2"/>
        <scheme val="minor"/>
      </rPr>
      <t>Vivi</t>
    </r>
  </si>
  <si>
    <r>
      <t>(([Fe</t>
    </r>
    <r>
      <rPr>
        <vertAlign val="superscript"/>
        <sz val="11"/>
        <color theme="1"/>
        <rFont val="Calibri"/>
        <family val="2"/>
        <scheme val="minor"/>
      </rPr>
      <t>2+</t>
    </r>
    <r>
      <rPr>
        <sz val="11"/>
        <color theme="1"/>
        <rFont val="Calibri"/>
        <family val="2"/>
        <scheme val="minor"/>
      </rPr>
      <t>]</t>
    </r>
    <r>
      <rPr>
        <vertAlign val="superscript"/>
        <sz val="11"/>
        <color theme="1"/>
        <rFont val="Calibri"/>
        <family val="2"/>
        <scheme val="minor"/>
      </rPr>
      <t>^(3/5)</t>
    </r>
    <r>
      <rPr>
        <sz val="11"/>
        <color theme="1"/>
        <rFont val="Calibri"/>
        <family val="2"/>
        <scheme val="minor"/>
      </rPr>
      <t xml:space="preserve"> * [PO</t>
    </r>
    <r>
      <rPr>
        <vertAlign val="subscript"/>
        <sz val="11"/>
        <color theme="1"/>
        <rFont val="Calibri"/>
        <family val="2"/>
        <scheme val="minor"/>
      </rPr>
      <t>4</t>
    </r>
    <r>
      <rPr>
        <vertAlign val="superscript"/>
        <sz val="11"/>
        <color theme="1"/>
        <rFont val="Calibri"/>
        <family val="2"/>
        <scheme val="minor"/>
      </rPr>
      <t>3-</t>
    </r>
    <r>
      <rPr>
        <sz val="11"/>
        <color theme="1"/>
        <rFont val="Calibri"/>
        <family val="2"/>
        <scheme val="minor"/>
      </rPr>
      <t>]</t>
    </r>
    <r>
      <rPr>
        <vertAlign val="superscript"/>
        <sz val="11"/>
        <color theme="1"/>
        <rFont val="Calibri"/>
        <family val="2"/>
        <scheme val="minor"/>
      </rPr>
      <t>^(2/5)</t>
    </r>
    <r>
      <rPr>
        <sz val="11"/>
        <color theme="1"/>
        <rFont val="Calibri"/>
        <family val="2"/>
        <scheme val="minor"/>
      </rPr>
      <t xml:space="preserve"> - K</t>
    </r>
    <r>
      <rPr>
        <vertAlign val="subscript"/>
        <sz val="11"/>
        <color theme="1"/>
        <rFont val="Calibri"/>
        <family val="2"/>
        <scheme val="minor"/>
      </rPr>
      <t>sp,Vivi</t>
    </r>
    <r>
      <rPr>
        <vertAlign val="superscript"/>
        <sz val="11"/>
        <color theme="1"/>
        <rFont val="Calibri"/>
        <family val="2"/>
        <scheme val="minor"/>
      </rPr>
      <t>^(1/5)</t>
    </r>
    <r>
      <rPr>
        <sz val="11"/>
        <color theme="1"/>
        <rFont val="Calibri"/>
        <family val="2"/>
        <scheme val="minor"/>
      </rPr>
      <t>)/K</t>
    </r>
    <r>
      <rPr>
        <vertAlign val="subscript"/>
        <sz val="11"/>
        <color theme="1"/>
        <rFont val="Calibri"/>
        <family val="2"/>
        <scheme val="minor"/>
      </rPr>
      <t>sp,Vivi</t>
    </r>
    <r>
      <rPr>
        <vertAlign val="superscript"/>
        <sz val="11"/>
        <color theme="1"/>
        <rFont val="Calibri"/>
        <family val="2"/>
        <scheme val="minor"/>
      </rPr>
      <t>^(1/5)</t>
    </r>
    <r>
      <rPr>
        <sz val="11"/>
        <color theme="1"/>
        <rFont val="Calibri"/>
        <family val="2"/>
        <scheme val="minor"/>
      </rPr>
      <t>)</t>
    </r>
  </si>
  <si>
    <r>
      <t>g N.m</t>
    </r>
    <r>
      <rPr>
        <vertAlign val="superscript"/>
        <sz val="11"/>
        <rFont val="Calibri"/>
        <family val="2"/>
        <scheme val="minor"/>
      </rPr>
      <t>-3</t>
    </r>
    <r>
      <rPr>
        <sz val="11"/>
        <rFont val="Calibri"/>
        <family val="2"/>
        <scheme val="minor"/>
      </rPr>
      <t>.d</t>
    </r>
    <r>
      <rPr>
        <vertAlign val="superscript"/>
        <sz val="11"/>
        <rFont val="Calibri"/>
        <family val="2"/>
        <scheme val="minor"/>
      </rPr>
      <t>-1</t>
    </r>
  </si>
  <si>
    <r>
      <t>K</t>
    </r>
    <r>
      <rPr>
        <vertAlign val="subscript"/>
        <sz val="11"/>
        <rFont val="Calibri"/>
        <family val="2"/>
        <scheme val="minor"/>
      </rPr>
      <t>NHx,NITO</t>
    </r>
  </si>
  <si>
    <r>
      <t>K</t>
    </r>
    <r>
      <rPr>
        <vertAlign val="subscript"/>
        <sz val="11"/>
        <rFont val="Calibri"/>
        <family val="2"/>
        <scheme val="minor"/>
      </rPr>
      <t>O2,NITO,sidestream</t>
    </r>
  </si>
  <si>
    <r>
      <t>K</t>
    </r>
    <r>
      <rPr>
        <vertAlign val="subscript"/>
        <sz val="11"/>
        <rFont val="Calibri"/>
        <family val="2"/>
        <scheme val="minor"/>
      </rPr>
      <t>SB</t>
    </r>
  </si>
  <si>
    <r>
      <t>K</t>
    </r>
    <r>
      <rPr>
        <vertAlign val="subscript"/>
        <sz val="11"/>
        <rFont val="Calibri"/>
        <family val="2"/>
        <scheme val="minor"/>
      </rPr>
      <t>VFA</t>
    </r>
  </si>
  <si>
    <r>
      <t>g COD.m</t>
    </r>
    <r>
      <rPr>
        <vertAlign val="superscript"/>
        <sz val="11"/>
        <rFont val="Calibri"/>
        <family val="2"/>
        <scheme val="minor"/>
      </rPr>
      <t>-3</t>
    </r>
    <r>
      <rPr>
        <sz val="11"/>
        <color theme="1"/>
        <rFont val="Calibri"/>
        <family val="2"/>
        <scheme val="minor"/>
      </rPr>
      <t/>
    </r>
  </si>
  <si>
    <r>
      <t>K</t>
    </r>
    <r>
      <rPr>
        <vertAlign val="subscript"/>
        <sz val="11"/>
        <rFont val="Calibri"/>
        <family val="2"/>
        <scheme val="minor"/>
      </rPr>
      <t>O2,OHO</t>
    </r>
  </si>
  <si>
    <r>
      <t>K</t>
    </r>
    <r>
      <rPr>
        <vertAlign val="subscript"/>
        <sz val="11"/>
        <rFont val="Calibri"/>
        <family val="2"/>
        <scheme val="minor"/>
      </rPr>
      <t>MEOL,OHO</t>
    </r>
  </si>
  <si>
    <r>
      <t>K</t>
    </r>
    <r>
      <rPr>
        <vertAlign val="subscript"/>
        <sz val="11"/>
        <rFont val="Calibri"/>
        <family val="2"/>
        <scheme val="minor"/>
      </rPr>
      <t>MEOL</t>
    </r>
  </si>
  <si>
    <r>
      <t>K</t>
    </r>
    <r>
      <rPr>
        <vertAlign val="subscript"/>
        <sz val="11"/>
        <rFont val="Calibri"/>
        <family val="2"/>
        <scheme val="minor"/>
      </rPr>
      <t>PHA</t>
    </r>
  </si>
  <si>
    <r>
      <t>K</t>
    </r>
    <r>
      <rPr>
        <vertAlign val="subscript"/>
        <sz val="11"/>
        <rFont val="Calibri"/>
        <family val="2"/>
        <scheme val="minor"/>
      </rPr>
      <t>VFA,AMETO</t>
    </r>
  </si>
  <si>
    <r>
      <t>K</t>
    </r>
    <r>
      <rPr>
        <vertAlign val="subscript"/>
        <sz val="11"/>
        <rFont val="Calibri"/>
        <family val="2"/>
        <scheme val="minor"/>
      </rPr>
      <t>H2,HMETO</t>
    </r>
  </si>
  <si>
    <r>
      <t>K</t>
    </r>
    <r>
      <rPr>
        <vertAlign val="subscript"/>
        <sz val="11"/>
        <rFont val="Calibri"/>
        <family val="2"/>
        <scheme val="minor"/>
      </rPr>
      <t>CO2,BIO</t>
    </r>
  </si>
  <si>
    <r>
      <t>Msat</t>
    </r>
    <r>
      <rPr>
        <vertAlign val="subscript"/>
        <sz val="11"/>
        <rFont val="Calibri"/>
        <family val="2"/>
        <scheme val="minor"/>
      </rPr>
      <t>SNHx,KNHx,NITO</t>
    </r>
  </si>
  <si>
    <r>
      <t>Msat(S</t>
    </r>
    <r>
      <rPr>
        <vertAlign val="subscript"/>
        <sz val="11"/>
        <rFont val="Calibri"/>
        <family val="2"/>
        <scheme val="minor"/>
      </rPr>
      <t>NHx</t>
    </r>
    <r>
      <rPr>
        <sz val="11"/>
        <rFont val="Calibri"/>
        <family val="2"/>
        <scheme val="minor"/>
      </rPr>
      <t>;K</t>
    </r>
    <r>
      <rPr>
        <vertAlign val="subscript"/>
        <sz val="11"/>
        <rFont val="Calibri"/>
        <family val="2"/>
        <scheme val="minor"/>
      </rPr>
      <t>NHx,NITO</t>
    </r>
    <r>
      <rPr>
        <sz val="11"/>
        <rFont val="Calibri"/>
        <family val="2"/>
        <scheme val="minor"/>
      </rPr>
      <t>)</t>
    </r>
  </si>
  <si>
    <r>
      <t>Msat</t>
    </r>
    <r>
      <rPr>
        <vertAlign val="subscript"/>
        <sz val="11"/>
        <rFont val="Calibri"/>
        <family val="2"/>
        <scheme val="minor"/>
      </rPr>
      <t>SO2,KO2,NITO</t>
    </r>
  </si>
  <si>
    <r>
      <t>Msat(S</t>
    </r>
    <r>
      <rPr>
        <vertAlign val="subscript"/>
        <sz val="11"/>
        <rFont val="Calibri"/>
        <family val="2"/>
        <scheme val="minor"/>
      </rPr>
      <t>O2</t>
    </r>
    <r>
      <rPr>
        <sz val="11"/>
        <rFont val="Calibri"/>
        <family val="2"/>
        <scheme val="minor"/>
      </rPr>
      <t>;K</t>
    </r>
    <r>
      <rPr>
        <vertAlign val="subscript"/>
        <sz val="11"/>
        <rFont val="Calibri"/>
        <family val="2"/>
        <scheme val="minor"/>
      </rPr>
      <t>O2,NITO</t>
    </r>
    <r>
      <rPr>
        <sz val="11"/>
        <rFont val="Calibri"/>
        <family val="2"/>
        <scheme val="minor"/>
      </rPr>
      <t>)</t>
    </r>
  </si>
  <si>
    <r>
      <t>Msat</t>
    </r>
    <r>
      <rPr>
        <vertAlign val="subscript"/>
        <sz val="11"/>
        <rFont val="Calibri"/>
        <family val="2"/>
        <scheme val="minor"/>
      </rPr>
      <t>SO2,KO2,OHO</t>
    </r>
  </si>
  <si>
    <r>
      <t>Msat(S</t>
    </r>
    <r>
      <rPr>
        <vertAlign val="subscript"/>
        <sz val="11"/>
        <rFont val="Calibri"/>
        <family val="2"/>
        <scheme val="minor"/>
      </rPr>
      <t>O2</t>
    </r>
    <r>
      <rPr>
        <sz val="11"/>
        <rFont val="Calibri"/>
        <family val="2"/>
        <scheme val="minor"/>
      </rPr>
      <t>;K</t>
    </r>
    <r>
      <rPr>
        <vertAlign val="subscript"/>
        <sz val="11"/>
        <rFont val="Calibri"/>
        <family val="2"/>
        <scheme val="minor"/>
      </rPr>
      <t>O2,OHO</t>
    </r>
    <r>
      <rPr>
        <sz val="11"/>
        <rFont val="Calibri"/>
        <family val="2"/>
        <scheme val="minor"/>
      </rPr>
      <t>)</t>
    </r>
  </si>
  <si>
    <r>
      <t>Msat</t>
    </r>
    <r>
      <rPr>
        <vertAlign val="subscript"/>
        <sz val="11"/>
        <rFont val="Calibri"/>
        <family val="2"/>
        <scheme val="minor"/>
      </rPr>
      <t>SMEOL,KMEOL,OHO</t>
    </r>
  </si>
  <si>
    <r>
      <t>Msat(S</t>
    </r>
    <r>
      <rPr>
        <vertAlign val="subscript"/>
        <sz val="11"/>
        <rFont val="Calibri"/>
        <family val="2"/>
        <scheme val="minor"/>
      </rPr>
      <t>MEOL</t>
    </r>
    <r>
      <rPr>
        <sz val="11"/>
        <rFont val="Calibri"/>
        <family val="2"/>
        <scheme val="minor"/>
      </rPr>
      <t>;K</t>
    </r>
    <r>
      <rPr>
        <vertAlign val="subscript"/>
        <sz val="11"/>
        <rFont val="Calibri"/>
        <family val="2"/>
        <scheme val="minor"/>
      </rPr>
      <t>MEOL,OHO</t>
    </r>
    <r>
      <rPr>
        <sz val="11"/>
        <rFont val="Calibri"/>
        <family val="2"/>
        <scheme val="minor"/>
      </rPr>
      <t>)</t>
    </r>
  </si>
  <si>
    <r>
      <t>Msat</t>
    </r>
    <r>
      <rPr>
        <vertAlign val="subscript"/>
        <sz val="11"/>
        <rFont val="Calibri"/>
        <family val="2"/>
        <scheme val="minor"/>
      </rPr>
      <t>SMEOL,KMEOL</t>
    </r>
  </si>
  <si>
    <r>
      <t>Msat(S</t>
    </r>
    <r>
      <rPr>
        <vertAlign val="subscript"/>
        <sz val="11"/>
        <rFont val="Calibri"/>
        <family val="2"/>
        <scheme val="minor"/>
      </rPr>
      <t>MEOL</t>
    </r>
    <r>
      <rPr>
        <sz val="11"/>
        <rFont val="Calibri"/>
        <family val="2"/>
        <scheme val="minor"/>
      </rPr>
      <t>;K</t>
    </r>
    <r>
      <rPr>
        <vertAlign val="subscript"/>
        <sz val="11"/>
        <rFont val="Calibri"/>
        <family val="2"/>
        <scheme val="minor"/>
      </rPr>
      <t>MEOL</t>
    </r>
    <r>
      <rPr>
        <sz val="11"/>
        <rFont val="Calibri"/>
        <family val="2"/>
        <scheme val="minor"/>
      </rPr>
      <t>)</t>
    </r>
  </si>
  <si>
    <r>
      <t>Msat</t>
    </r>
    <r>
      <rPr>
        <vertAlign val="subscript"/>
        <sz val="11"/>
        <rFont val="Calibri"/>
        <family val="2"/>
        <scheme val="minor"/>
      </rPr>
      <t>SNHx,KNHx,BIO</t>
    </r>
  </si>
  <si>
    <r>
      <t>Msat(S</t>
    </r>
    <r>
      <rPr>
        <vertAlign val="subscript"/>
        <sz val="11"/>
        <rFont val="Calibri"/>
        <family val="2"/>
        <scheme val="minor"/>
      </rPr>
      <t>NHx</t>
    </r>
    <r>
      <rPr>
        <sz val="11"/>
        <rFont val="Calibri"/>
        <family val="2"/>
        <scheme val="minor"/>
      </rPr>
      <t>;K</t>
    </r>
    <r>
      <rPr>
        <vertAlign val="subscript"/>
        <sz val="11"/>
        <rFont val="Calibri"/>
        <family val="2"/>
        <scheme val="minor"/>
      </rPr>
      <t>NHx,BIO</t>
    </r>
    <r>
      <rPr>
        <sz val="11"/>
        <rFont val="Calibri"/>
        <family val="2"/>
        <scheme val="minor"/>
      </rPr>
      <t>)</t>
    </r>
  </si>
  <si>
    <r>
      <t>Msat</t>
    </r>
    <r>
      <rPr>
        <vertAlign val="subscript"/>
        <sz val="11"/>
        <rFont val="Calibri"/>
        <family val="2"/>
        <scheme val="minor"/>
      </rPr>
      <t>SPO4,KPO4,BIO</t>
    </r>
  </si>
  <si>
    <r>
      <t>Msat(S</t>
    </r>
    <r>
      <rPr>
        <vertAlign val="subscript"/>
        <sz val="11"/>
        <rFont val="Calibri"/>
        <family val="2"/>
        <scheme val="minor"/>
      </rPr>
      <t>PO4</t>
    </r>
    <r>
      <rPr>
        <sz val="11"/>
        <rFont val="Calibri"/>
        <family val="2"/>
        <scheme val="minor"/>
      </rPr>
      <t>;K</t>
    </r>
    <r>
      <rPr>
        <vertAlign val="subscript"/>
        <sz val="11"/>
        <rFont val="Calibri"/>
        <family val="2"/>
        <scheme val="minor"/>
      </rPr>
      <t>PO4,BIO</t>
    </r>
    <r>
      <rPr>
        <sz val="11"/>
        <rFont val="Calibri"/>
        <family val="2"/>
        <scheme val="minor"/>
      </rPr>
      <t>)</t>
    </r>
  </si>
  <si>
    <r>
      <t>Msat</t>
    </r>
    <r>
      <rPr>
        <vertAlign val="subscript"/>
        <sz val="11"/>
        <rFont val="Calibri"/>
        <family val="2"/>
        <scheme val="minor"/>
      </rPr>
      <t>SCAT,KCAT</t>
    </r>
  </si>
  <si>
    <r>
      <t>Msat(S</t>
    </r>
    <r>
      <rPr>
        <vertAlign val="subscript"/>
        <sz val="11"/>
        <rFont val="Calibri"/>
        <family val="2"/>
        <scheme val="minor"/>
      </rPr>
      <t>CAT</t>
    </r>
    <r>
      <rPr>
        <sz val="11"/>
        <rFont val="Calibri"/>
        <family val="2"/>
        <scheme val="minor"/>
      </rPr>
      <t>;K</t>
    </r>
    <r>
      <rPr>
        <vertAlign val="subscript"/>
        <sz val="11"/>
        <rFont val="Calibri"/>
        <family val="2"/>
        <scheme val="minor"/>
      </rPr>
      <t>CAT</t>
    </r>
    <r>
      <rPr>
        <sz val="11"/>
        <rFont val="Calibri"/>
        <family val="2"/>
        <scheme val="minor"/>
      </rPr>
      <t>)</t>
    </r>
  </si>
  <si>
    <r>
      <t>Msat</t>
    </r>
    <r>
      <rPr>
        <vertAlign val="subscript"/>
        <sz val="11"/>
        <rFont val="Calibri"/>
        <family val="2"/>
        <scheme val="minor"/>
      </rPr>
      <t>SAN,KAN</t>
    </r>
  </si>
  <si>
    <r>
      <t>Msat(S</t>
    </r>
    <r>
      <rPr>
        <vertAlign val="subscript"/>
        <sz val="11"/>
        <rFont val="Calibri"/>
        <family val="2"/>
        <scheme val="minor"/>
      </rPr>
      <t>AN</t>
    </r>
    <r>
      <rPr>
        <sz val="11"/>
        <rFont val="Calibri"/>
        <family val="2"/>
        <scheme val="minor"/>
      </rPr>
      <t>;K</t>
    </r>
    <r>
      <rPr>
        <vertAlign val="subscript"/>
        <sz val="11"/>
        <rFont val="Calibri"/>
        <family val="2"/>
        <scheme val="minor"/>
      </rPr>
      <t>AN</t>
    </r>
    <r>
      <rPr>
        <sz val="11"/>
        <rFont val="Calibri"/>
        <family val="2"/>
        <scheme val="minor"/>
      </rPr>
      <t>)</t>
    </r>
  </si>
  <si>
    <r>
      <t>Msat</t>
    </r>
    <r>
      <rPr>
        <vertAlign val="subscript"/>
        <sz val="11"/>
        <rFont val="Calibri"/>
        <family val="2"/>
        <scheme val="minor"/>
      </rPr>
      <t>SB,KSB</t>
    </r>
  </si>
  <si>
    <r>
      <t>Msat(S</t>
    </r>
    <r>
      <rPr>
        <vertAlign val="subscript"/>
        <sz val="11"/>
        <rFont val="Calibri"/>
        <family val="2"/>
        <scheme val="minor"/>
      </rPr>
      <t>B</t>
    </r>
    <r>
      <rPr>
        <sz val="11"/>
        <rFont val="Calibri"/>
        <family val="2"/>
        <scheme val="minor"/>
      </rPr>
      <t>;K</t>
    </r>
    <r>
      <rPr>
        <vertAlign val="subscript"/>
        <sz val="11"/>
        <rFont val="Calibri"/>
        <family val="2"/>
        <scheme val="minor"/>
      </rPr>
      <t>SB</t>
    </r>
    <r>
      <rPr>
        <sz val="11"/>
        <rFont val="Calibri"/>
        <family val="2"/>
        <scheme val="minor"/>
      </rPr>
      <t>)</t>
    </r>
  </si>
  <si>
    <r>
      <t>Msat</t>
    </r>
    <r>
      <rPr>
        <vertAlign val="subscript"/>
        <sz val="11"/>
        <rFont val="Calibri"/>
        <family val="2"/>
        <scheme val="minor"/>
      </rPr>
      <t>SPO4,KPO4,PAO</t>
    </r>
  </si>
  <si>
    <r>
      <t>Msat(S</t>
    </r>
    <r>
      <rPr>
        <vertAlign val="subscript"/>
        <sz val="11"/>
        <rFont val="Calibri"/>
        <family val="2"/>
        <scheme val="minor"/>
      </rPr>
      <t>PO4</t>
    </r>
    <r>
      <rPr>
        <sz val="11"/>
        <rFont val="Calibri"/>
        <family val="2"/>
        <scheme val="minor"/>
      </rPr>
      <t>;K</t>
    </r>
    <r>
      <rPr>
        <vertAlign val="subscript"/>
        <sz val="11"/>
        <rFont val="Calibri"/>
        <family val="2"/>
        <scheme val="minor"/>
      </rPr>
      <t>PO4,PAO</t>
    </r>
    <r>
      <rPr>
        <sz val="11"/>
        <rFont val="Calibri"/>
        <family val="2"/>
        <scheme val="minor"/>
      </rPr>
      <t>)</t>
    </r>
  </si>
  <si>
    <r>
      <t>Msat</t>
    </r>
    <r>
      <rPr>
        <vertAlign val="subscript"/>
        <sz val="11"/>
        <rFont val="Calibri"/>
        <family val="2"/>
        <scheme val="minor"/>
      </rPr>
      <t>SCa,KCa,PAO</t>
    </r>
  </si>
  <si>
    <r>
      <t>Msat(S</t>
    </r>
    <r>
      <rPr>
        <vertAlign val="subscript"/>
        <sz val="11"/>
        <rFont val="Calibri"/>
        <family val="2"/>
        <scheme val="minor"/>
      </rPr>
      <t>Ca</t>
    </r>
    <r>
      <rPr>
        <sz val="11"/>
        <rFont val="Calibri"/>
        <family val="2"/>
        <scheme val="minor"/>
      </rPr>
      <t>;K</t>
    </r>
    <r>
      <rPr>
        <vertAlign val="subscript"/>
        <sz val="11"/>
        <rFont val="Calibri"/>
        <family val="2"/>
        <scheme val="minor"/>
      </rPr>
      <t>Ca,PAO</t>
    </r>
    <r>
      <rPr>
        <sz val="11"/>
        <rFont val="Calibri"/>
        <family val="2"/>
        <scheme val="minor"/>
      </rPr>
      <t>)</t>
    </r>
  </si>
  <si>
    <r>
      <t>Msat</t>
    </r>
    <r>
      <rPr>
        <vertAlign val="subscript"/>
        <sz val="11"/>
        <rFont val="Calibri"/>
        <family val="2"/>
        <scheme val="minor"/>
      </rPr>
      <t>SMg,KMg,PAO</t>
    </r>
  </si>
  <si>
    <r>
      <t>Msat(S</t>
    </r>
    <r>
      <rPr>
        <vertAlign val="subscript"/>
        <sz val="11"/>
        <rFont val="Calibri"/>
        <family val="2"/>
        <scheme val="minor"/>
      </rPr>
      <t>Mg</t>
    </r>
    <r>
      <rPr>
        <sz val="11"/>
        <rFont val="Calibri"/>
        <family val="2"/>
        <scheme val="minor"/>
      </rPr>
      <t>;K</t>
    </r>
    <r>
      <rPr>
        <vertAlign val="subscript"/>
        <sz val="11"/>
        <rFont val="Calibri"/>
        <family val="2"/>
        <scheme val="minor"/>
      </rPr>
      <t>Mg,PAO</t>
    </r>
    <r>
      <rPr>
        <sz val="11"/>
        <rFont val="Calibri"/>
        <family val="2"/>
        <scheme val="minor"/>
      </rPr>
      <t>)</t>
    </r>
  </si>
  <si>
    <r>
      <t>Msat</t>
    </r>
    <r>
      <rPr>
        <vertAlign val="subscript"/>
        <sz val="11"/>
        <rFont val="Calibri"/>
        <family val="2"/>
        <scheme val="minor"/>
      </rPr>
      <t>SK,KK,PAO</t>
    </r>
  </si>
  <si>
    <r>
      <t>Msat(S</t>
    </r>
    <r>
      <rPr>
        <vertAlign val="subscript"/>
        <sz val="11"/>
        <rFont val="Calibri"/>
        <family val="2"/>
        <scheme val="minor"/>
      </rPr>
      <t>K</t>
    </r>
    <r>
      <rPr>
        <sz val="11"/>
        <rFont val="Calibri"/>
        <family val="2"/>
        <scheme val="minor"/>
      </rPr>
      <t>;K</t>
    </r>
    <r>
      <rPr>
        <vertAlign val="subscript"/>
        <sz val="11"/>
        <rFont val="Calibri"/>
        <family val="2"/>
        <scheme val="minor"/>
      </rPr>
      <t>K,PAO</t>
    </r>
    <r>
      <rPr>
        <sz val="11"/>
        <rFont val="Calibri"/>
        <family val="2"/>
        <scheme val="minor"/>
      </rPr>
      <t>)</t>
    </r>
  </si>
  <si>
    <r>
      <t>Msat</t>
    </r>
    <r>
      <rPr>
        <vertAlign val="subscript"/>
        <sz val="11"/>
        <rFont val="Calibri"/>
        <family val="2"/>
        <scheme val="minor"/>
      </rPr>
      <t>SCO2,KCO2,BIO</t>
    </r>
  </si>
  <si>
    <r>
      <t>Msat(S</t>
    </r>
    <r>
      <rPr>
        <vertAlign val="subscript"/>
        <sz val="11"/>
        <rFont val="Calibri"/>
        <family val="2"/>
        <scheme val="minor"/>
      </rPr>
      <t>CO2</t>
    </r>
    <r>
      <rPr>
        <sz val="11"/>
        <rFont val="Calibri"/>
        <family val="2"/>
        <scheme val="minor"/>
      </rPr>
      <t>;K</t>
    </r>
    <r>
      <rPr>
        <vertAlign val="subscript"/>
        <sz val="11"/>
        <rFont val="Calibri"/>
        <family val="2"/>
        <scheme val="minor"/>
      </rPr>
      <t>CO2,BIO</t>
    </r>
    <r>
      <rPr>
        <sz val="11"/>
        <rFont val="Calibri"/>
        <family val="2"/>
        <scheme val="minor"/>
      </rPr>
      <t>)</t>
    </r>
  </si>
  <si>
    <r>
      <t>Msat</t>
    </r>
    <r>
      <rPr>
        <vertAlign val="subscript"/>
        <sz val="11"/>
        <rFont val="Calibri"/>
        <family val="2"/>
        <scheme val="minor"/>
      </rPr>
      <t>SH2,KH2,HMETO</t>
    </r>
  </si>
  <si>
    <r>
      <t>Msat(S</t>
    </r>
    <r>
      <rPr>
        <vertAlign val="subscript"/>
        <sz val="11"/>
        <rFont val="Calibri"/>
        <family val="2"/>
        <scheme val="minor"/>
      </rPr>
      <t>H2</t>
    </r>
    <r>
      <rPr>
        <sz val="11"/>
        <rFont val="Calibri"/>
        <family val="2"/>
        <scheme val="minor"/>
      </rPr>
      <t>;K</t>
    </r>
    <r>
      <rPr>
        <vertAlign val="subscript"/>
        <sz val="11"/>
        <rFont val="Calibri"/>
        <family val="2"/>
        <scheme val="minor"/>
      </rPr>
      <t>H2,HMETO</t>
    </r>
    <r>
      <rPr>
        <sz val="11"/>
        <rFont val="Calibri"/>
        <family val="2"/>
        <scheme val="minor"/>
      </rPr>
      <t>)</t>
    </r>
  </si>
  <si>
    <r>
      <t>Msat</t>
    </r>
    <r>
      <rPr>
        <vertAlign val="subscript"/>
        <sz val="11"/>
        <rFont val="Calibri"/>
        <family val="2"/>
        <scheme val="minor"/>
      </rPr>
      <t>SNOx,KNOx,ASSIM</t>
    </r>
  </si>
  <si>
    <r>
      <t>Msat(S</t>
    </r>
    <r>
      <rPr>
        <vertAlign val="subscript"/>
        <sz val="11"/>
        <rFont val="Calibri"/>
        <family val="2"/>
        <scheme val="minor"/>
      </rPr>
      <t>NOx</t>
    </r>
    <r>
      <rPr>
        <sz val="11"/>
        <rFont val="Calibri"/>
        <family val="2"/>
        <scheme val="minor"/>
      </rPr>
      <t>;K</t>
    </r>
    <r>
      <rPr>
        <vertAlign val="subscript"/>
        <sz val="11"/>
        <rFont val="Calibri"/>
        <family val="2"/>
        <scheme val="minor"/>
      </rPr>
      <t>NOx,ASSIM</t>
    </r>
    <r>
      <rPr>
        <sz val="11"/>
        <rFont val="Calibri"/>
        <family val="2"/>
        <scheme val="minor"/>
      </rPr>
      <t>)</t>
    </r>
  </si>
  <si>
    <r>
      <t>LogsatpH</t>
    </r>
    <r>
      <rPr>
        <vertAlign val="subscript"/>
        <sz val="11"/>
        <rFont val="Calibri"/>
        <family val="2"/>
        <scheme val="minor"/>
      </rPr>
      <t>CO2,NITO</t>
    </r>
  </si>
  <si>
    <r>
      <t>Minh</t>
    </r>
    <r>
      <rPr>
        <vertAlign val="subscript"/>
        <sz val="11"/>
        <rFont val="Calibri"/>
        <family val="2"/>
        <scheme val="minor"/>
      </rPr>
      <t>SVFA,KVFA</t>
    </r>
  </si>
  <si>
    <r>
      <t>Minh(S</t>
    </r>
    <r>
      <rPr>
        <vertAlign val="subscript"/>
        <sz val="11"/>
        <rFont val="Calibri"/>
        <family val="2"/>
        <scheme val="minor"/>
      </rPr>
      <t>VFA</t>
    </r>
    <r>
      <rPr>
        <sz val="11"/>
        <rFont val="Calibri"/>
        <family val="2"/>
        <scheme val="minor"/>
      </rPr>
      <t>;K</t>
    </r>
    <r>
      <rPr>
        <vertAlign val="subscript"/>
        <sz val="11"/>
        <rFont val="Calibri"/>
        <family val="2"/>
        <scheme val="minor"/>
      </rPr>
      <t>VFA</t>
    </r>
    <r>
      <rPr>
        <sz val="11"/>
        <rFont val="Calibri"/>
        <family val="2"/>
        <scheme val="minor"/>
      </rPr>
      <t>)</t>
    </r>
  </si>
  <si>
    <r>
      <t>Minh</t>
    </r>
    <r>
      <rPr>
        <vertAlign val="subscript"/>
        <sz val="11"/>
        <rFont val="Calibri"/>
        <family val="2"/>
        <scheme val="minor"/>
      </rPr>
      <t>SO2,KO2,NITO</t>
    </r>
  </si>
  <si>
    <r>
      <t>Minh(S</t>
    </r>
    <r>
      <rPr>
        <vertAlign val="subscript"/>
        <sz val="11"/>
        <rFont val="Calibri"/>
        <family val="2"/>
        <scheme val="minor"/>
      </rPr>
      <t>O2</t>
    </r>
    <r>
      <rPr>
        <sz val="11"/>
        <rFont val="Calibri"/>
        <family val="2"/>
        <scheme val="minor"/>
      </rPr>
      <t>;K</t>
    </r>
    <r>
      <rPr>
        <vertAlign val="subscript"/>
        <sz val="11"/>
        <rFont val="Calibri"/>
        <family val="2"/>
        <scheme val="minor"/>
      </rPr>
      <t>O2,NITO</t>
    </r>
    <r>
      <rPr>
        <sz val="11"/>
        <rFont val="Calibri"/>
        <family val="2"/>
        <scheme val="minor"/>
      </rPr>
      <t>)</t>
    </r>
  </si>
  <si>
    <r>
      <t>Minh</t>
    </r>
    <r>
      <rPr>
        <vertAlign val="subscript"/>
        <sz val="11"/>
        <rFont val="Calibri"/>
        <family val="2"/>
        <scheme val="minor"/>
      </rPr>
      <t>SO2,KO2,OHO</t>
    </r>
  </si>
  <si>
    <r>
      <t>MinhpH</t>
    </r>
    <r>
      <rPr>
        <vertAlign val="subscript"/>
        <sz val="11"/>
        <rFont val="Calibri"/>
        <family val="2"/>
        <scheme val="minor"/>
      </rPr>
      <t>NH3,NITO</t>
    </r>
  </si>
  <si>
    <r>
      <t>Bellinh</t>
    </r>
    <r>
      <rPr>
        <vertAlign val="subscript"/>
        <sz val="11"/>
        <rFont val="Calibri"/>
        <family val="2"/>
        <scheme val="minor"/>
      </rPr>
      <t>pH</t>
    </r>
  </si>
  <si>
    <r>
      <t>Bellinh(pH;pH</t>
    </r>
    <r>
      <rPr>
        <vertAlign val="subscript"/>
        <sz val="11"/>
        <rFont val="Calibri"/>
        <family val="2"/>
        <scheme val="minor"/>
      </rPr>
      <t>low</t>
    </r>
    <r>
      <rPr>
        <sz val="11"/>
        <rFont val="Calibri"/>
        <family val="2"/>
        <scheme val="minor"/>
      </rPr>
      <t>;pH</t>
    </r>
    <r>
      <rPr>
        <vertAlign val="subscript"/>
        <sz val="11"/>
        <rFont val="Calibri"/>
        <family val="2"/>
        <scheme val="minor"/>
      </rPr>
      <t>high</t>
    </r>
    <r>
      <rPr>
        <sz val="11"/>
        <rFont val="Calibri"/>
        <family val="2"/>
        <scheme val="minor"/>
      </rPr>
      <t>)</t>
    </r>
  </si>
  <si>
    <r>
      <t>µ</t>
    </r>
    <r>
      <rPr>
        <vertAlign val="subscript"/>
        <sz val="11"/>
        <color indexed="8"/>
        <rFont val="Calibri"/>
        <family val="2"/>
        <scheme val="minor"/>
      </rPr>
      <t>OHO,T</t>
    </r>
  </si>
  <si>
    <r>
      <t>µ</t>
    </r>
    <r>
      <rPr>
        <vertAlign val="subscript"/>
        <sz val="11"/>
        <color indexed="8"/>
        <rFont val="Calibri"/>
        <family val="2"/>
        <scheme val="minor"/>
      </rPr>
      <t>OHO</t>
    </r>
    <r>
      <rPr>
        <sz val="11"/>
        <color indexed="8"/>
        <rFont val="Calibri"/>
        <family val="2"/>
        <scheme val="minor"/>
      </rPr>
      <t>*Arrh(θ</t>
    </r>
    <r>
      <rPr>
        <vertAlign val="subscript"/>
        <sz val="11"/>
        <color indexed="8"/>
        <rFont val="Calibri"/>
        <family val="2"/>
        <scheme val="minor"/>
      </rPr>
      <t>µ,OHO</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</si>
  <si>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µ</t>
    </r>
    <r>
      <rPr>
        <vertAlign val="subscript"/>
        <sz val="11"/>
        <color indexed="8"/>
        <rFont val="Calibri"/>
        <family val="2"/>
        <scheme val="minor"/>
      </rPr>
      <t>FERM,OHO,T</t>
    </r>
  </si>
  <si>
    <r>
      <t>µ</t>
    </r>
    <r>
      <rPr>
        <vertAlign val="subscript"/>
        <sz val="11"/>
        <color indexed="8"/>
        <rFont val="Calibri"/>
        <family val="2"/>
        <scheme val="minor"/>
      </rPr>
      <t>FERM,OHO</t>
    </r>
    <r>
      <rPr>
        <sz val="11"/>
        <color indexed="8"/>
        <rFont val="Calibri"/>
        <family val="2"/>
        <scheme val="minor"/>
      </rPr>
      <t>*Arrh(θ</t>
    </r>
    <r>
      <rPr>
        <vertAlign val="subscript"/>
        <sz val="11"/>
        <color indexed="8"/>
        <rFont val="Calibri"/>
        <family val="2"/>
        <scheme val="minor"/>
      </rPr>
      <t>FERM,OHO</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</si>
  <si>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b</t>
    </r>
    <r>
      <rPr>
        <vertAlign val="subscript"/>
        <sz val="11"/>
        <color indexed="8"/>
        <rFont val="Calibri"/>
        <family val="2"/>
        <scheme val="minor"/>
      </rPr>
      <t>OHO,T</t>
    </r>
  </si>
  <si>
    <r>
      <t>b</t>
    </r>
    <r>
      <rPr>
        <vertAlign val="subscript"/>
        <sz val="11"/>
        <color indexed="8"/>
        <rFont val="Calibri"/>
        <family val="2"/>
        <scheme val="minor"/>
      </rPr>
      <t>OHO</t>
    </r>
    <r>
      <rPr>
        <sz val="11"/>
        <color indexed="8"/>
        <rFont val="Calibri"/>
        <family val="2"/>
        <scheme val="minor"/>
      </rPr>
      <t>*Arrh(θ</t>
    </r>
    <r>
      <rPr>
        <vertAlign val="subscript"/>
        <sz val="11"/>
        <color indexed="8"/>
        <rFont val="Calibri"/>
        <family val="2"/>
        <scheme val="minor"/>
      </rPr>
      <t>b,OHO</t>
    </r>
    <r>
      <rPr>
        <sz val="11"/>
        <color indexed="8"/>
        <rFont val="Calibri"/>
        <family val="2"/>
        <scheme val="minor"/>
      </rPr>
      <t>;T;T</t>
    </r>
    <r>
      <rPr>
        <vertAlign val="subscript"/>
        <sz val="11"/>
        <color indexed="8"/>
        <rFont val="Calibri"/>
        <family val="2"/>
        <scheme val="minor"/>
      </rPr>
      <t>base</t>
    </r>
    <r>
      <rPr>
        <sz val="11"/>
        <color indexed="8"/>
        <rFont val="Calibri"/>
        <family val="2"/>
        <scheme val="minor"/>
      </rPr>
      <t>)</t>
    </r>
  </si>
  <si>
    <r>
      <t>µ</t>
    </r>
    <r>
      <rPr>
        <vertAlign val="subscript"/>
        <sz val="11"/>
        <color indexed="8"/>
        <rFont val="Calibri"/>
        <family val="2"/>
        <scheme val="minor"/>
      </rPr>
      <t>MEOLO,T</t>
    </r>
  </si>
  <si>
    <r>
      <t>µ</t>
    </r>
    <r>
      <rPr>
        <vertAlign val="subscript"/>
        <sz val="11"/>
        <color indexed="8"/>
        <rFont val="Calibri"/>
        <family val="2"/>
        <scheme val="minor"/>
      </rPr>
      <t>MEOLO</t>
    </r>
    <r>
      <rPr>
        <sz val="11"/>
        <color indexed="8"/>
        <rFont val="Calibri"/>
        <family val="2"/>
        <scheme val="minor"/>
      </rPr>
      <t>*Arrh(θ</t>
    </r>
    <r>
      <rPr>
        <vertAlign val="subscript"/>
        <sz val="11"/>
        <color indexed="8"/>
        <rFont val="Calibri"/>
        <family val="2"/>
        <scheme val="minor"/>
      </rPr>
      <t>µ,MEOLO</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</si>
  <si>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b</t>
    </r>
    <r>
      <rPr>
        <vertAlign val="subscript"/>
        <sz val="11"/>
        <color indexed="8"/>
        <rFont val="Calibri"/>
        <family val="2"/>
        <scheme val="minor"/>
      </rPr>
      <t>MEOLO,T</t>
    </r>
  </si>
  <si>
    <r>
      <t>b</t>
    </r>
    <r>
      <rPr>
        <vertAlign val="subscript"/>
        <sz val="11"/>
        <color indexed="8"/>
        <rFont val="Calibri"/>
        <family val="2"/>
        <scheme val="minor"/>
      </rPr>
      <t>MEOLO</t>
    </r>
    <r>
      <rPr>
        <sz val="11"/>
        <color indexed="8"/>
        <rFont val="Calibri"/>
        <family val="2"/>
        <scheme val="minor"/>
      </rPr>
      <t>*Arrh(θ</t>
    </r>
    <r>
      <rPr>
        <vertAlign val="subscript"/>
        <sz val="11"/>
        <color indexed="8"/>
        <rFont val="Calibri"/>
        <family val="2"/>
        <scheme val="minor"/>
      </rPr>
      <t>b,MEOLO</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</si>
  <si>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q</t>
    </r>
    <r>
      <rPr>
        <vertAlign val="subscript"/>
        <sz val="11"/>
        <color indexed="8"/>
        <rFont val="Calibri"/>
        <family val="2"/>
        <scheme val="minor"/>
      </rPr>
      <t>PAO,PHA,T</t>
    </r>
  </si>
  <si>
    <r>
      <t>q</t>
    </r>
    <r>
      <rPr>
        <vertAlign val="subscript"/>
        <sz val="11"/>
        <color indexed="8"/>
        <rFont val="Calibri"/>
        <family val="2"/>
        <scheme val="minor"/>
      </rPr>
      <t>PAO,PHA</t>
    </r>
    <r>
      <rPr>
        <sz val="11"/>
        <color indexed="8"/>
        <rFont val="Calibri"/>
        <family val="2"/>
        <scheme val="minor"/>
      </rPr>
      <t>*Arrh(θ</t>
    </r>
    <r>
      <rPr>
        <vertAlign val="subscript"/>
        <sz val="11"/>
        <color indexed="8"/>
        <rFont val="Calibri"/>
        <family val="2"/>
        <scheme val="minor"/>
      </rPr>
      <t>q,PAO,PHA</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</si>
  <si>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µ</t>
    </r>
    <r>
      <rPr>
        <vertAlign val="subscript"/>
        <sz val="11"/>
        <color indexed="8"/>
        <rFont val="Calibri"/>
        <family val="2"/>
        <scheme val="minor"/>
      </rPr>
      <t>NITO,T</t>
    </r>
  </si>
  <si>
    <r>
      <t>µ</t>
    </r>
    <r>
      <rPr>
        <vertAlign val="subscript"/>
        <sz val="11"/>
        <color indexed="8"/>
        <rFont val="Calibri"/>
        <family val="2"/>
        <scheme val="minor"/>
      </rPr>
      <t>NITO</t>
    </r>
    <r>
      <rPr>
        <sz val="11"/>
        <color indexed="8"/>
        <rFont val="Calibri"/>
        <family val="2"/>
        <scheme val="minor"/>
      </rPr>
      <t>*Arrh(θ</t>
    </r>
    <r>
      <rPr>
        <vertAlign val="subscript"/>
        <sz val="11"/>
        <color indexed="8"/>
        <rFont val="Calibri"/>
        <family val="2"/>
        <scheme val="minor"/>
      </rPr>
      <t>µ,NITO</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</si>
  <si>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b</t>
    </r>
    <r>
      <rPr>
        <vertAlign val="subscript"/>
        <sz val="11"/>
        <color indexed="8"/>
        <rFont val="Calibri"/>
        <family val="2"/>
        <scheme val="minor"/>
      </rPr>
      <t>NITO,T</t>
    </r>
  </si>
  <si>
    <r>
      <t>b</t>
    </r>
    <r>
      <rPr>
        <vertAlign val="subscript"/>
        <sz val="11"/>
        <color indexed="8"/>
        <rFont val="Calibri"/>
        <family val="2"/>
        <scheme val="minor"/>
      </rPr>
      <t>NITO</t>
    </r>
    <r>
      <rPr>
        <sz val="11"/>
        <color indexed="8"/>
        <rFont val="Calibri"/>
        <family val="2"/>
        <scheme val="minor"/>
      </rPr>
      <t>*Arrh(θ</t>
    </r>
    <r>
      <rPr>
        <vertAlign val="subscript"/>
        <sz val="11"/>
        <color indexed="8"/>
        <rFont val="Calibri"/>
        <family val="2"/>
        <scheme val="minor"/>
      </rPr>
      <t>b,NITO</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</si>
  <si>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µ</t>
    </r>
    <r>
      <rPr>
        <vertAlign val="subscript"/>
        <sz val="11"/>
        <color indexed="8"/>
        <rFont val="Calibri"/>
        <family val="2"/>
        <scheme val="minor"/>
      </rPr>
      <t>AMETO,T</t>
    </r>
  </si>
  <si>
    <r>
      <t>µ</t>
    </r>
    <r>
      <rPr>
        <vertAlign val="subscript"/>
        <sz val="11"/>
        <color indexed="8"/>
        <rFont val="Calibri"/>
        <family val="2"/>
        <scheme val="minor"/>
      </rPr>
      <t>AMETO</t>
    </r>
    <r>
      <rPr>
        <sz val="11"/>
        <color indexed="8"/>
        <rFont val="Calibri"/>
        <family val="2"/>
        <scheme val="minor"/>
      </rPr>
      <t>*Arrh(θ</t>
    </r>
    <r>
      <rPr>
        <vertAlign val="subscript"/>
        <sz val="11"/>
        <color indexed="8"/>
        <rFont val="Calibri"/>
        <family val="2"/>
        <scheme val="minor"/>
      </rPr>
      <t>µ,AMETO</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</si>
  <si>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b</t>
    </r>
    <r>
      <rPr>
        <vertAlign val="subscript"/>
        <sz val="11"/>
        <color indexed="8"/>
        <rFont val="Calibri"/>
        <family val="2"/>
        <scheme val="minor"/>
      </rPr>
      <t>AMETO,T</t>
    </r>
  </si>
  <si>
    <r>
      <t>b</t>
    </r>
    <r>
      <rPr>
        <vertAlign val="subscript"/>
        <sz val="11"/>
        <color indexed="8"/>
        <rFont val="Calibri"/>
        <family val="2"/>
        <scheme val="minor"/>
      </rPr>
      <t>AMETO</t>
    </r>
    <r>
      <rPr>
        <sz val="11"/>
        <color indexed="8"/>
        <rFont val="Calibri"/>
        <family val="2"/>
        <scheme val="minor"/>
      </rPr>
      <t>*Arrh(θ</t>
    </r>
    <r>
      <rPr>
        <vertAlign val="subscript"/>
        <sz val="11"/>
        <color indexed="8"/>
        <rFont val="Calibri"/>
        <family val="2"/>
        <scheme val="minor"/>
      </rPr>
      <t>b,AMETO</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</si>
  <si>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µ</t>
    </r>
    <r>
      <rPr>
        <vertAlign val="subscript"/>
        <sz val="11"/>
        <color indexed="8"/>
        <rFont val="Calibri"/>
        <family val="2"/>
        <scheme val="minor"/>
      </rPr>
      <t>HMETO,T</t>
    </r>
  </si>
  <si>
    <r>
      <t>µ</t>
    </r>
    <r>
      <rPr>
        <vertAlign val="subscript"/>
        <sz val="11"/>
        <color indexed="8"/>
        <rFont val="Calibri"/>
        <family val="2"/>
        <scheme val="minor"/>
      </rPr>
      <t>HMETO</t>
    </r>
    <r>
      <rPr>
        <sz val="11"/>
        <color indexed="8"/>
        <rFont val="Calibri"/>
        <family val="2"/>
        <scheme val="minor"/>
      </rPr>
      <t>*Arrh(θ</t>
    </r>
    <r>
      <rPr>
        <vertAlign val="subscript"/>
        <sz val="11"/>
        <color indexed="8"/>
        <rFont val="Calibri"/>
        <family val="2"/>
        <scheme val="minor"/>
      </rPr>
      <t>µ,HMETO</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</si>
  <si>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b</t>
    </r>
    <r>
      <rPr>
        <vertAlign val="subscript"/>
        <sz val="11"/>
        <color indexed="8"/>
        <rFont val="Calibri"/>
        <family val="2"/>
        <scheme val="minor"/>
      </rPr>
      <t>HMETO,T</t>
    </r>
  </si>
  <si>
    <r>
      <t>b</t>
    </r>
    <r>
      <rPr>
        <vertAlign val="subscript"/>
        <sz val="11"/>
        <color indexed="8"/>
        <rFont val="Calibri"/>
        <family val="2"/>
        <scheme val="minor"/>
      </rPr>
      <t>HMETO</t>
    </r>
    <r>
      <rPr>
        <sz val="11"/>
        <color indexed="8"/>
        <rFont val="Calibri"/>
        <family val="2"/>
        <scheme val="minor"/>
      </rPr>
      <t>*Arrh(θ</t>
    </r>
    <r>
      <rPr>
        <vertAlign val="subscript"/>
        <sz val="11"/>
        <color indexed="8"/>
        <rFont val="Calibri"/>
        <family val="2"/>
        <scheme val="minor"/>
      </rPr>
      <t>b,HMETO</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</si>
  <si>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q</t>
    </r>
    <r>
      <rPr>
        <vertAlign val="subscript"/>
        <sz val="11"/>
        <color indexed="8"/>
        <rFont val="Calibri"/>
        <family val="2"/>
        <scheme val="minor"/>
      </rPr>
      <t>FLOC,T</t>
    </r>
  </si>
  <si>
    <r>
      <t>q</t>
    </r>
    <r>
      <rPr>
        <vertAlign val="subscript"/>
        <sz val="11"/>
        <color indexed="8"/>
        <rFont val="Calibri"/>
        <family val="2"/>
        <scheme val="minor"/>
      </rPr>
      <t>FLOC</t>
    </r>
    <r>
      <rPr>
        <sz val="11"/>
        <color indexed="8"/>
        <rFont val="Calibri"/>
        <family val="2"/>
        <scheme val="minor"/>
      </rPr>
      <t>*Arrh(θ</t>
    </r>
    <r>
      <rPr>
        <vertAlign val="subscript"/>
        <sz val="11"/>
        <color indexed="8"/>
        <rFont val="Calibri"/>
        <family val="2"/>
        <scheme val="minor"/>
      </rPr>
      <t>q,FLOC</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</si>
  <si>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q</t>
    </r>
    <r>
      <rPr>
        <vertAlign val="subscript"/>
        <sz val="11"/>
        <color indexed="8"/>
        <rFont val="Calibri"/>
        <family val="2"/>
        <scheme val="minor"/>
      </rPr>
      <t>AMMON,T</t>
    </r>
  </si>
  <si>
    <r>
      <t>q</t>
    </r>
    <r>
      <rPr>
        <vertAlign val="subscript"/>
        <sz val="11"/>
        <color indexed="8"/>
        <rFont val="Calibri"/>
        <family val="2"/>
        <scheme val="minor"/>
      </rPr>
      <t>AMMON</t>
    </r>
    <r>
      <rPr>
        <sz val="11"/>
        <color indexed="8"/>
        <rFont val="Calibri"/>
        <family val="2"/>
        <scheme val="minor"/>
      </rPr>
      <t>*Arrh(θ</t>
    </r>
    <r>
      <rPr>
        <vertAlign val="subscript"/>
        <sz val="11"/>
        <color indexed="8"/>
        <rFont val="Calibri"/>
        <family val="2"/>
        <scheme val="minor"/>
      </rPr>
      <t>q,AMMON</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</si>
  <si>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q</t>
    </r>
    <r>
      <rPr>
        <vertAlign val="subscript"/>
        <sz val="11"/>
        <color indexed="8"/>
        <rFont val="Calibri"/>
        <family val="2"/>
        <scheme val="minor"/>
      </rPr>
      <t>ASSIM,T</t>
    </r>
  </si>
  <si>
    <r>
      <t>q</t>
    </r>
    <r>
      <rPr>
        <vertAlign val="subscript"/>
        <sz val="11"/>
        <color indexed="8"/>
        <rFont val="Calibri"/>
        <family val="2"/>
        <scheme val="minor"/>
      </rPr>
      <t>ASSIM</t>
    </r>
    <r>
      <rPr>
        <sz val="11"/>
        <color indexed="8"/>
        <rFont val="Calibri"/>
        <family val="2"/>
        <scheme val="minor"/>
      </rPr>
      <t>*Arrh(θ</t>
    </r>
    <r>
      <rPr>
        <vertAlign val="subscript"/>
        <sz val="11"/>
        <color indexed="8"/>
        <rFont val="Calibri"/>
        <family val="2"/>
        <scheme val="minor"/>
      </rPr>
      <t>q,ASSIM</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</si>
  <si>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1.82483*10^6*ρ^(0.5)*(ε*T</t>
    </r>
    <r>
      <rPr>
        <vertAlign val="subscript"/>
        <sz val="11"/>
        <rFont val="Calibri"/>
        <family val="2"/>
        <scheme val="minor"/>
      </rPr>
      <t>K</t>
    </r>
    <r>
      <rPr>
        <sz val="11"/>
        <rFont val="Calibri"/>
        <family val="2"/>
        <scheme val="minor"/>
      </rPr>
      <t>)^(-1.5)</t>
    </r>
  </si>
  <si>
    <r>
      <t>10^(-(3404.7/T</t>
    </r>
    <r>
      <rPr>
        <vertAlign val="subscript"/>
        <sz val="11"/>
        <rFont val="Calibri"/>
        <family val="2"/>
        <scheme val="minor"/>
      </rPr>
      <t>K</t>
    </r>
    <r>
      <rPr>
        <sz val="11"/>
        <rFont val="Calibri"/>
        <family val="2"/>
        <scheme val="minor"/>
      </rPr>
      <t>-14.8435+T</t>
    </r>
    <r>
      <rPr>
        <vertAlign val="subscript"/>
        <sz val="11"/>
        <rFont val="Calibri"/>
        <family val="2"/>
        <scheme val="minor"/>
      </rPr>
      <t>K</t>
    </r>
    <r>
      <rPr>
        <sz val="11"/>
        <rFont val="Calibri"/>
        <family val="2"/>
        <scheme val="minor"/>
      </rPr>
      <t>*0.03279))</t>
    </r>
  </si>
  <si>
    <r>
      <t>10^(-(2902.4/T</t>
    </r>
    <r>
      <rPr>
        <vertAlign val="subscript"/>
        <sz val="11"/>
        <rFont val="Calibri"/>
        <family val="2"/>
        <scheme val="minor"/>
      </rPr>
      <t>K</t>
    </r>
    <r>
      <rPr>
        <sz val="11"/>
        <rFont val="Calibri"/>
        <family val="2"/>
        <scheme val="minor"/>
      </rPr>
      <t>-6.498+T</t>
    </r>
    <r>
      <rPr>
        <vertAlign val="subscript"/>
        <sz val="11"/>
        <rFont val="Calibri"/>
        <family val="2"/>
        <scheme val="minor"/>
      </rPr>
      <t>K</t>
    </r>
    <r>
      <rPr>
        <sz val="11"/>
        <rFont val="Calibri"/>
        <family val="2"/>
        <scheme val="minor"/>
      </rPr>
      <t>*0.02379))</t>
    </r>
  </si>
  <si>
    <r>
      <t>10^(-(799.3/T</t>
    </r>
    <r>
      <rPr>
        <vertAlign val="subscript"/>
        <sz val="11"/>
        <rFont val="Calibri"/>
        <family val="2"/>
        <scheme val="minor"/>
      </rPr>
      <t>K</t>
    </r>
    <r>
      <rPr>
        <sz val="11"/>
        <rFont val="Calibri"/>
        <family val="2"/>
        <scheme val="minor"/>
      </rPr>
      <t>-4.5535+T</t>
    </r>
    <r>
      <rPr>
        <vertAlign val="subscript"/>
        <sz val="11"/>
        <rFont val="Calibri"/>
        <family val="2"/>
        <scheme val="minor"/>
      </rPr>
      <t>K</t>
    </r>
    <r>
      <rPr>
        <sz val="11"/>
        <rFont val="Calibri"/>
        <family val="2"/>
        <scheme val="minor"/>
      </rPr>
      <t>*0.01349))</t>
    </r>
  </si>
  <si>
    <r>
      <t>10^(-(1979.5/T</t>
    </r>
    <r>
      <rPr>
        <vertAlign val="subscript"/>
        <sz val="11"/>
        <rFont val="Calibri"/>
        <family val="2"/>
        <scheme val="minor"/>
      </rPr>
      <t>K</t>
    </r>
    <r>
      <rPr>
        <sz val="11"/>
        <rFont val="Calibri"/>
        <family val="2"/>
        <scheme val="minor"/>
      </rPr>
      <t>-5.3541+T</t>
    </r>
    <r>
      <rPr>
        <vertAlign val="subscript"/>
        <sz val="11"/>
        <rFont val="Calibri"/>
        <family val="2"/>
        <scheme val="minor"/>
      </rPr>
      <t>K</t>
    </r>
    <r>
      <rPr>
        <sz val="11"/>
        <rFont val="Calibri"/>
        <family val="2"/>
        <scheme val="minor"/>
      </rPr>
      <t>*0.01984))</t>
    </r>
  </si>
  <si>
    <r>
      <t>10^(-(1170.5/T</t>
    </r>
    <r>
      <rPr>
        <vertAlign val="subscript"/>
        <sz val="11"/>
        <rFont val="Calibri"/>
        <family val="2"/>
        <scheme val="minor"/>
      </rPr>
      <t>K</t>
    </r>
    <r>
      <rPr>
        <sz val="11"/>
        <rFont val="Calibri"/>
        <family val="2"/>
        <scheme val="minor"/>
      </rPr>
      <t>-3.165+T</t>
    </r>
    <r>
      <rPr>
        <vertAlign val="subscript"/>
        <sz val="11"/>
        <rFont val="Calibri"/>
        <family val="2"/>
        <scheme val="minor"/>
      </rPr>
      <t>K</t>
    </r>
    <r>
      <rPr>
        <sz val="11"/>
        <rFont val="Calibri"/>
        <family val="2"/>
        <scheme val="minor"/>
      </rPr>
      <t>*0.0134))</t>
    </r>
  </si>
  <si>
    <r>
      <t>IS -IS</t>
    </r>
    <r>
      <rPr>
        <vertAlign val="subscript"/>
        <sz val="11"/>
        <rFont val="Calibri"/>
        <family val="2"/>
        <scheme val="minor"/>
      </rPr>
      <t>calc</t>
    </r>
  </si>
  <si>
    <r>
      <t>T</t>
    </r>
    <r>
      <rPr>
        <vertAlign val="subscript"/>
        <sz val="11"/>
        <rFont val="Calibri"/>
        <family val="2"/>
        <scheme val="minor"/>
      </rPr>
      <t>K</t>
    </r>
  </si>
  <si>
    <r>
      <t>Msat(S</t>
    </r>
    <r>
      <rPr>
        <vertAlign val="subscript"/>
        <sz val="11"/>
        <rFont val="Calibri"/>
        <family val="2"/>
        <scheme val="minor"/>
      </rPr>
      <t>B</t>
    </r>
    <r>
      <rPr>
        <sz val="11"/>
        <rFont val="Calibri"/>
        <family val="2"/>
        <scheme val="minor"/>
      </rPr>
      <t>;K</t>
    </r>
    <r>
      <rPr>
        <vertAlign val="subscript"/>
        <sz val="11"/>
        <rFont val="Calibri"/>
        <family val="2"/>
        <scheme val="minor"/>
      </rPr>
      <t>SB,ana</t>
    </r>
    <r>
      <rPr>
        <sz val="11"/>
        <rFont val="Calibri"/>
        <family val="2"/>
        <scheme val="minor"/>
      </rPr>
      <t>)</t>
    </r>
  </si>
  <si>
    <r>
      <t>Msat</t>
    </r>
    <r>
      <rPr>
        <vertAlign val="subscript"/>
        <sz val="11"/>
        <rFont val="Calibri"/>
        <family val="2"/>
        <scheme val="minor"/>
      </rPr>
      <t>SB,KSB,ana</t>
    </r>
  </si>
  <si>
    <r>
      <t>µ</t>
    </r>
    <r>
      <rPr>
        <vertAlign val="subscript"/>
        <sz val="11"/>
        <color indexed="8"/>
        <rFont val="Calibri"/>
        <family val="2"/>
        <scheme val="minor"/>
      </rPr>
      <t>PAO,lim,T</t>
    </r>
  </si>
  <si>
    <r>
      <t>q</t>
    </r>
    <r>
      <rPr>
        <vertAlign val="subscript"/>
        <sz val="11"/>
        <color indexed="8"/>
        <rFont val="Calibri"/>
        <family val="2"/>
        <scheme val="minor"/>
      </rPr>
      <t>SPB,T</t>
    </r>
  </si>
  <si>
    <r>
      <t>q</t>
    </r>
    <r>
      <rPr>
        <vertAlign val="subscript"/>
        <sz val="11"/>
        <color indexed="8"/>
        <rFont val="Calibri"/>
        <family val="2"/>
        <scheme val="minor"/>
      </rPr>
      <t>SPB</t>
    </r>
    <r>
      <rPr>
        <sz val="11"/>
        <color indexed="8"/>
        <rFont val="Calibri"/>
        <family val="2"/>
        <scheme val="minor"/>
      </rPr>
      <t>*Arrh(θ</t>
    </r>
    <r>
      <rPr>
        <vertAlign val="subscript"/>
        <sz val="11"/>
        <color indexed="8"/>
        <rFont val="Calibri"/>
        <family val="2"/>
        <scheme val="minor"/>
      </rPr>
      <t>q,SPB</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</si>
  <si>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µ</t>
    </r>
    <r>
      <rPr>
        <vertAlign val="subscript"/>
        <sz val="11"/>
        <color indexed="8"/>
        <rFont val="Calibri"/>
        <family val="2"/>
        <scheme val="minor"/>
      </rPr>
      <t>PAO,lim</t>
    </r>
    <r>
      <rPr>
        <sz val="11"/>
        <color indexed="8"/>
        <rFont val="Calibri"/>
        <family val="2"/>
        <scheme val="minor"/>
      </rPr>
      <t>*Arrh(θ</t>
    </r>
    <r>
      <rPr>
        <vertAlign val="subscript"/>
        <sz val="11"/>
        <color indexed="8"/>
        <rFont val="Calibri"/>
        <family val="2"/>
        <scheme val="minor"/>
      </rPr>
      <t>µ,PAO,lim</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</si>
  <si>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q</t>
    </r>
    <r>
      <rPr>
        <vertAlign val="subscript"/>
        <sz val="11"/>
        <color indexed="8"/>
        <rFont val="Calibri"/>
        <family val="2"/>
        <scheme val="minor"/>
      </rPr>
      <t>XE,T</t>
    </r>
  </si>
  <si>
    <r>
      <t>q</t>
    </r>
    <r>
      <rPr>
        <vertAlign val="subscript"/>
        <sz val="11"/>
        <color indexed="8"/>
        <rFont val="Calibri"/>
        <family val="2"/>
        <scheme val="minor"/>
      </rPr>
      <t>XE</t>
    </r>
    <r>
      <rPr>
        <sz val="11"/>
        <color indexed="8"/>
        <rFont val="Calibri"/>
        <family val="2"/>
        <scheme val="minor"/>
      </rPr>
      <t>*Arrh(θ</t>
    </r>
    <r>
      <rPr>
        <vertAlign val="subscript"/>
        <sz val="11"/>
        <color indexed="8"/>
        <rFont val="Calibri"/>
        <family val="2"/>
        <scheme val="minor"/>
      </rPr>
      <t>q,XE</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</si>
  <si>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q</t>
    </r>
    <r>
      <rPr>
        <vertAlign val="subscript"/>
        <sz val="11"/>
        <color indexed="8"/>
        <rFont val="Calibri"/>
        <family val="2"/>
        <scheme val="minor"/>
      </rPr>
      <t>HFO,RED,T</t>
    </r>
  </si>
  <si>
    <r>
      <t>q</t>
    </r>
    <r>
      <rPr>
        <vertAlign val="subscript"/>
        <sz val="11"/>
        <color indexed="8"/>
        <rFont val="Calibri"/>
        <family val="2"/>
        <scheme val="minor"/>
      </rPr>
      <t>HFO,RED</t>
    </r>
    <r>
      <rPr>
        <sz val="11"/>
        <color indexed="8"/>
        <rFont val="Calibri"/>
        <family val="2"/>
        <scheme val="minor"/>
      </rPr>
      <t>*Arrh(θ</t>
    </r>
    <r>
      <rPr>
        <vertAlign val="subscript"/>
        <sz val="11"/>
        <color indexed="8"/>
        <rFont val="Calibri"/>
        <family val="2"/>
        <scheme val="minor"/>
      </rPr>
      <t>q,HFO,RED</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</si>
  <si>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K</t>
    </r>
    <r>
      <rPr>
        <vertAlign val="subscript"/>
        <sz val="11"/>
        <rFont val="Calibri"/>
        <family val="2"/>
        <scheme val="minor"/>
      </rPr>
      <t>SB,ana</t>
    </r>
  </si>
  <si>
    <r>
      <t>c</t>
    </r>
    <r>
      <rPr>
        <vertAlign val="subscript"/>
        <sz val="11"/>
        <rFont val="Calibri"/>
        <family val="2"/>
        <scheme val="minor"/>
      </rPr>
      <t>percent,Vconc</t>
    </r>
  </si>
  <si>
    <t>Conversion coefficient between percents and volumetric concentration</t>
  </si>
  <si>
    <r>
      <t>f(X</t>
    </r>
    <r>
      <rPr>
        <vertAlign val="subscript"/>
        <sz val="11"/>
        <rFont val="Calibri"/>
        <family val="2"/>
      </rPr>
      <t>INORG</t>
    </r>
    <r>
      <rPr>
        <sz val="11"/>
        <rFont val="Calibri"/>
        <family val="2"/>
      </rPr>
      <t>)</t>
    </r>
  </si>
  <si>
    <r>
      <t>IS</t>
    </r>
    <r>
      <rPr>
        <vertAlign val="subscript"/>
        <sz val="11"/>
        <rFont val="Calibri"/>
        <family val="2"/>
        <scheme val="minor"/>
      </rPr>
      <t>lim</t>
    </r>
  </si>
  <si>
    <r>
      <t>The f</t>
    </r>
    <r>
      <rPr>
        <vertAlign val="subscript"/>
        <sz val="11"/>
        <rFont val="Calibri"/>
        <family val="2"/>
        <scheme val="minor"/>
      </rPr>
      <t>mono</t>
    </r>
    <r>
      <rPr>
        <sz val="11"/>
        <rFont val="Calibri"/>
        <family val="2"/>
        <scheme val="minor"/>
      </rPr>
      <t>/f</t>
    </r>
    <r>
      <rPr>
        <vertAlign val="subscript"/>
        <sz val="11"/>
        <rFont val="Calibri"/>
        <family val="2"/>
        <scheme val="minor"/>
      </rPr>
      <t>di</t>
    </r>
    <r>
      <rPr>
        <sz val="11"/>
        <rFont val="Calibri"/>
        <family val="2"/>
        <scheme val="minor"/>
      </rPr>
      <t>/f</t>
    </r>
    <r>
      <rPr>
        <vertAlign val="subscript"/>
        <sz val="11"/>
        <rFont val="Calibri"/>
        <family val="2"/>
        <scheme val="minor"/>
      </rPr>
      <t>tri</t>
    </r>
    <r>
      <rPr>
        <sz val="11"/>
        <rFont val="Calibri"/>
        <family val="2"/>
        <scheme val="minor"/>
      </rPr>
      <t xml:space="preserve"> curves have minima at 0.3 and literally couldn't be used above that</t>
    </r>
  </si>
  <si>
    <r>
      <t>-EEQ</t>
    </r>
    <r>
      <rPr>
        <vertAlign val="subscript"/>
        <sz val="11"/>
        <rFont val="Calibri"/>
        <family val="2"/>
      </rPr>
      <t>Fe2</t>
    </r>
    <r>
      <rPr>
        <sz val="11"/>
        <rFont val="Calibri"/>
        <family val="2"/>
      </rPr>
      <t>*S</t>
    </r>
    <r>
      <rPr>
        <vertAlign val="subscript"/>
        <sz val="11"/>
        <rFont val="Calibri"/>
        <family val="2"/>
      </rPr>
      <t>B</t>
    </r>
    <r>
      <rPr>
        <sz val="11"/>
        <rFont val="Calibri"/>
        <family val="2"/>
      </rPr>
      <t>/(S</t>
    </r>
    <r>
      <rPr>
        <vertAlign val="subscript"/>
        <sz val="11"/>
        <rFont val="Calibri"/>
        <family val="2"/>
      </rPr>
      <t>B</t>
    </r>
    <r>
      <rPr>
        <sz val="11"/>
        <rFont val="Calibri"/>
        <family val="2"/>
      </rPr>
      <t>+S</t>
    </r>
    <r>
      <rPr>
        <vertAlign val="subscript"/>
        <sz val="11"/>
        <rFont val="Calibri"/>
        <family val="2"/>
      </rPr>
      <t>VFA</t>
    </r>
    <r>
      <rPr>
        <sz val="11"/>
        <rFont val="Calibri"/>
        <family val="2"/>
      </rPr>
      <t>)</t>
    </r>
  </si>
  <si>
    <r>
      <t>-EEQ</t>
    </r>
    <r>
      <rPr>
        <vertAlign val="subscript"/>
        <sz val="11"/>
        <rFont val="Calibri"/>
        <family val="2"/>
      </rPr>
      <t>Fe2</t>
    </r>
    <r>
      <rPr>
        <sz val="11"/>
        <rFont val="Calibri"/>
        <family val="2"/>
      </rPr>
      <t>*S</t>
    </r>
    <r>
      <rPr>
        <vertAlign val="subscript"/>
        <sz val="11"/>
        <rFont val="Calibri"/>
        <family val="2"/>
      </rPr>
      <t>VFA</t>
    </r>
    <r>
      <rPr>
        <sz val="11"/>
        <rFont val="Calibri"/>
        <family val="2"/>
      </rPr>
      <t>/(S</t>
    </r>
    <r>
      <rPr>
        <vertAlign val="subscript"/>
        <sz val="11"/>
        <rFont val="Calibri"/>
        <family val="2"/>
      </rPr>
      <t>B</t>
    </r>
    <r>
      <rPr>
        <sz val="11"/>
        <rFont val="Calibri"/>
        <family val="2"/>
      </rPr>
      <t>+S</t>
    </r>
    <r>
      <rPr>
        <vertAlign val="subscript"/>
        <sz val="11"/>
        <rFont val="Calibri"/>
        <family val="2"/>
      </rPr>
      <t>VFA</t>
    </r>
    <r>
      <rPr>
        <sz val="11"/>
        <rFont val="Calibri"/>
        <family val="2"/>
      </rPr>
      <t>)</t>
    </r>
  </si>
  <si>
    <r>
      <t>f(X</t>
    </r>
    <r>
      <rPr>
        <vertAlign val="subscript"/>
        <sz val="11"/>
        <rFont val="Calibri"/>
        <family val="2"/>
      </rPr>
      <t>N,B</t>
    </r>
    <r>
      <rPr>
        <sz val="11"/>
        <rFont val="Calibri"/>
        <family val="2"/>
      </rPr>
      <t>);f(X</t>
    </r>
    <r>
      <rPr>
        <vertAlign val="subscript"/>
        <sz val="11"/>
        <rFont val="Calibri"/>
        <family val="2"/>
      </rPr>
      <t>P,B</t>
    </r>
    <r>
      <rPr>
        <sz val="11"/>
        <rFont val="Calibri"/>
        <family val="2"/>
      </rPr>
      <t>)</t>
    </r>
  </si>
  <si>
    <t>Nriagu (1972); Al-Borno and Tomson (1994): 35.755 at 25°C DeltaH°: 5.05 kJ.mol-1 (small temperature dependency)</t>
  </si>
  <si>
    <r>
      <t>c</t>
    </r>
    <r>
      <rPr>
        <vertAlign val="subscript"/>
        <sz val="11"/>
        <rFont val="Calibri"/>
        <family val="2"/>
        <scheme val="minor"/>
      </rPr>
      <t>percent,fraction</t>
    </r>
  </si>
  <si>
    <t>Conversion coefficient between percents and fractions</t>
  </si>
  <si>
    <t>%</t>
  </si>
  <si>
    <r>
      <t>[H</t>
    </r>
    <r>
      <rPr>
        <vertAlign val="superscript"/>
        <sz val="11"/>
        <rFont val="Calibri"/>
        <family val="2"/>
        <scheme val="minor"/>
      </rPr>
      <t>+</t>
    </r>
    <r>
      <rPr>
        <sz val="11"/>
        <rFont val="Calibri"/>
        <family val="2"/>
        <scheme val="minor"/>
      </rPr>
      <t>]</t>
    </r>
    <r>
      <rPr>
        <vertAlign val="subscript"/>
        <sz val="11"/>
        <rFont val="Calibri"/>
        <family val="2"/>
        <scheme val="minor"/>
      </rPr>
      <t>eq</t>
    </r>
    <r>
      <rPr>
        <sz val="11"/>
        <rFont val="Calibri"/>
        <family val="2"/>
        <scheme val="minor"/>
      </rPr>
      <t>*K</t>
    </r>
    <r>
      <rPr>
        <vertAlign val="subscript"/>
        <sz val="11"/>
        <rFont val="Calibri"/>
        <family val="2"/>
        <scheme val="minor"/>
      </rPr>
      <t>P2</t>
    </r>
    <r>
      <rPr>
        <sz val="11"/>
        <rFont val="Calibri"/>
        <family val="2"/>
        <scheme val="minor"/>
      </rPr>
      <t>/([H</t>
    </r>
    <r>
      <rPr>
        <vertAlign val="superscript"/>
        <sz val="11"/>
        <rFont val="Calibri"/>
        <family val="2"/>
        <scheme val="minor"/>
      </rPr>
      <t>+</t>
    </r>
    <r>
      <rPr>
        <sz val="11"/>
        <rFont val="Calibri"/>
        <family val="2"/>
        <scheme val="minor"/>
      </rPr>
      <t>]</t>
    </r>
    <r>
      <rPr>
        <vertAlign val="subscript"/>
        <sz val="11"/>
        <rFont val="Calibri"/>
        <family val="2"/>
        <scheme val="minor"/>
      </rPr>
      <t>eq</t>
    </r>
    <r>
      <rPr>
        <sz val="11"/>
        <rFont val="Calibri"/>
        <family val="2"/>
        <scheme val="minor"/>
      </rPr>
      <t>^3+[H</t>
    </r>
    <r>
      <rPr>
        <vertAlign val="superscript"/>
        <sz val="11"/>
        <rFont val="Calibri"/>
        <family val="2"/>
        <scheme val="minor"/>
      </rPr>
      <t>+</t>
    </r>
    <r>
      <rPr>
        <sz val="11"/>
        <rFont val="Calibri"/>
        <family val="2"/>
        <scheme val="minor"/>
      </rPr>
      <t>]</t>
    </r>
    <r>
      <rPr>
        <vertAlign val="subscript"/>
        <sz val="11"/>
        <rFont val="Calibri"/>
        <family val="2"/>
        <scheme val="minor"/>
      </rPr>
      <t>eq</t>
    </r>
    <r>
      <rPr>
        <sz val="11"/>
        <rFont val="Calibri"/>
        <family val="2"/>
        <scheme val="minor"/>
      </rPr>
      <t>^2*K</t>
    </r>
    <r>
      <rPr>
        <vertAlign val="subscript"/>
        <sz val="11"/>
        <rFont val="Calibri"/>
        <family val="2"/>
        <scheme val="minor"/>
      </rPr>
      <t>P1</t>
    </r>
    <r>
      <rPr>
        <sz val="11"/>
        <rFont val="Calibri"/>
        <family val="2"/>
        <scheme val="minor"/>
      </rPr>
      <t>+K</t>
    </r>
    <r>
      <rPr>
        <vertAlign val="subscript"/>
        <sz val="11"/>
        <rFont val="Calibri"/>
        <family val="2"/>
        <scheme val="minor"/>
      </rPr>
      <t>P2</t>
    </r>
    <r>
      <rPr>
        <sz val="11"/>
        <rFont val="Calibri"/>
        <family val="2"/>
        <scheme val="minor"/>
      </rPr>
      <t>*[H</t>
    </r>
    <r>
      <rPr>
        <vertAlign val="superscript"/>
        <sz val="11"/>
        <rFont val="Calibri"/>
        <family val="2"/>
        <scheme val="minor"/>
      </rPr>
      <t>+</t>
    </r>
    <r>
      <rPr>
        <sz val="11"/>
        <rFont val="Calibri"/>
        <family val="2"/>
        <scheme val="minor"/>
      </rPr>
      <t>]</t>
    </r>
    <r>
      <rPr>
        <vertAlign val="subscript"/>
        <sz val="11"/>
        <rFont val="Calibri"/>
        <family val="2"/>
        <scheme val="minor"/>
      </rPr>
      <t>eq</t>
    </r>
    <r>
      <rPr>
        <sz val="11"/>
        <rFont val="Calibri"/>
        <family val="2"/>
        <scheme val="minor"/>
      </rPr>
      <t>*K</t>
    </r>
    <r>
      <rPr>
        <vertAlign val="subscript"/>
        <sz val="11"/>
        <rFont val="Calibri"/>
        <family val="2"/>
        <scheme val="minor"/>
      </rPr>
      <t>P1</t>
    </r>
    <r>
      <rPr>
        <sz val="11"/>
        <rFont val="Calibri"/>
        <family val="2"/>
        <scheme val="minor"/>
      </rPr>
      <t>+K</t>
    </r>
    <r>
      <rPr>
        <vertAlign val="subscript"/>
        <sz val="11"/>
        <rFont val="Calibri"/>
        <family val="2"/>
        <scheme val="minor"/>
      </rPr>
      <t>P2</t>
    </r>
    <r>
      <rPr>
        <sz val="11"/>
        <rFont val="Calibri"/>
        <family val="2"/>
        <scheme val="minor"/>
      </rPr>
      <t>*K</t>
    </r>
    <r>
      <rPr>
        <vertAlign val="subscript"/>
        <sz val="11"/>
        <rFont val="Calibri"/>
        <family val="2"/>
        <scheme val="minor"/>
      </rPr>
      <t>P1</t>
    </r>
    <r>
      <rPr>
        <sz val="11"/>
        <rFont val="Calibri"/>
        <family val="2"/>
        <scheme val="minor"/>
      </rPr>
      <t>*K</t>
    </r>
    <r>
      <rPr>
        <vertAlign val="subscript"/>
        <sz val="11"/>
        <rFont val="Calibri"/>
        <family val="2"/>
        <scheme val="minor"/>
      </rPr>
      <t>P3</t>
    </r>
    <r>
      <rPr>
        <sz val="11"/>
        <rFont val="Calibri"/>
        <family val="2"/>
        <scheme val="minor"/>
      </rPr>
      <t>)*K</t>
    </r>
    <r>
      <rPr>
        <vertAlign val="subscript"/>
        <sz val="11"/>
        <rFont val="Calibri"/>
        <family val="2"/>
        <scheme val="minor"/>
      </rPr>
      <t>P1</t>
    </r>
    <r>
      <rPr>
        <sz val="11"/>
        <rFont val="Calibri"/>
        <family val="2"/>
        <scheme val="minor"/>
      </rPr>
      <t>*S</t>
    </r>
    <r>
      <rPr>
        <vertAlign val="subscript"/>
        <sz val="11"/>
        <rFont val="Calibri"/>
        <family val="2"/>
        <scheme val="minor"/>
      </rPr>
      <t>PO4</t>
    </r>
    <r>
      <rPr>
        <sz val="11"/>
        <rFont val="Calibri"/>
        <family val="2"/>
        <scheme val="minor"/>
      </rPr>
      <t>/(AM</t>
    </r>
    <r>
      <rPr>
        <vertAlign val="subscript"/>
        <sz val="11"/>
        <rFont val="Calibri"/>
        <family val="2"/>
        <scheme val="minor"/>
      </rPr>
      <t>P</t>
    </r>
    <r>
      <rPr>
        <sz val="11"/>
        <rFont val="Calibri"/>
        <family val="2"/>
        <scheme val="minor"/>
      </rPr>
      <t>*1000)</t>
    </r>
  </si>
  <si>
    <r>
      <t>[H</t>
    </r>
    <r>
      <rPr>
        <vertAlign val="superscript"/>
        <sz val="11"/>
        <rFont val="Calibri"/>
        <family val="2"/>
        <scheme val="minor"/>
      </rPr>
      <t>+</t>
    </r>
    <r>
      <rPr>
        <sz val="11"/>
        <rFont val="Calibri"/>
        <family val="2"/>
        <scheme val="minor"/>
      </rPr>
      <t>]</t>
    </r>
    <r>
      <rPr>
        <vertAlign val="subscript"/>
        <sz val="11"/>
        <rFont val="Calibri"/>
        <family val="2"/>
        <scheme val="minor"/>
      </rPr>
      <t>eq</t>
    </r>
    <r>
      <rPr>
        <sz val="11"/>
        <rFont val="Calibri"/>
        <family val="2"/>
        <scheme val="minor"/>
      </rPr>
      <t>^2*K</t>
    </r>
    <r>
      <rPr>
        <vertAlign val="subscript"/>
        <sz val="11"/>
        <rFont val="Calibri"/>
        <family val="2"/>
        <scheme val="minor"/>
      </rPr>
      <t>P1</t>
    </r>
    <r>
      <rPr>
        <sz val="11"/>
        <rFont val="Calibri"/>
        <family val="2"/>
        <scheme val="minor"/>
      </rPr>
      <t>*S</t>
    </r>
    <r>
      <rPr>
        <vertAlign val="subscript"/>
        <sz val="11"/>
        <rFont val="Calibri"/>
        <family val="2"/>
        <scheme val="minor"/>
      </rPr>
      <t>PO4</t>
    </r>
    <r>
      <rPr>
        <sz val="11"/>
        <rFont val="Calibri"/>
        <family val="2"/>
        <scheme val="minor"/>
      </rPr>
      <t>/(AM</t>
    </r>
    <r>
      <rPr>
        <vertAlign val="subscript"/>
        <sz val="11"/>
        <rFont val="Calibri"/>
        <family val="2"/>
        <scheme val="minor"/>
      </rPr>
      <t>P</t>
    </r>
    <r>
      <rPr>
        <sz val="11"/>
        <rFont val="Calibri"/>
        <family val="2"/>
        <scheme val="minor"/>
      </rPr>
      <t>*1000)/([H</t>
    </r>
    <r>
      <rPr>
        <vertAlign val="superscript"/>
        <sz val="11"/>
        <rFont val="Calibri"/>
        <family val="2"/>
        <scheme val="minor"/>
      </rPr>
      <t>+</t>
    </r>
    <r>
      <rPr>
        <sz val="11"/>
        <rFont val="Calibri"/>
        <family val="2"/>
        <scheme val="minor"/>
      </rPr>
      <t>]</t>
    </r>
    <r>
      <rPr>
        <vertAlign val="subscript"/>
        <sz val="11"/>
        <rFont val="Calibri"/>
        <family val="2"/>
        <scheme val="minor"/>
      </rPr>
      <t>eq</t>
    </r>
    <r>
      <rPr>
        <sz val="11"/>
        <rFont val="Calibri"/>
        <family val="2"/>
        <scheme val="minor"/>
      </rPr>
      <t>^3+[H</t>
    </r>
    <r>
      <rPr>
        <vertAlign val="superscript"/>
        <sz val="11"/>
        <rFont val="Calibri"/>
        <family val="2"/>
        <scheme val="minor"/>
      </rPr>
      <t>+</t>
    </r>
    <r>
      <rPr>
        <sz val="11"/>
        <rFont val="Calibri"/>
        <family val="2"/>
        <scheme val="minor"/>
      </rPr>
      <t>]</t>
    </r>
    <r>
      <rPr>
        <vertAlign val="subscript"/>
        <sz val="11"/>
        <rFont val="Calibri"/>
        <family val="2"/>
        <scheme val="minor"/>
      </rPr>
      <t>eq</t>
    </r>
    <r>
      <rPr>
        <sz val="11"/>
        <rFont val="Calibri"/>
        <family val="2"/>
        <scheme val="minor"/>
      </rPr>
      <t>^2*K</t>
    </r>
    <r>
      <rPr>
        <vertAlign val="subscript"/>
        <sz val="11"/>
        <rFont val="Calibri"/>
        <family val="2"/>
        <scheme val="minor"/>
      </rPr>
      <t>P1</t>
    </r>
    <r>
      <rPr>
        <sz val="11"/>
        <rFont val="Calibri"/>
        <family val="2"/>
        <scheme val="minor"/>
      </rPr>
      <t>+K</t>
    </r>
    <r>
      <rPr>
        <vertAlign val="subscript"/>
        <sz val="11"/>
        <rFont val="Calibri"/>
        <family val="2"/>
        <scheme val="minor"/>
      </rPr>
      <t>P2</t>
    </r>
    <r>
      <rPr>
        <sz val="11"/>
        <rFont val="Calibri"/>
        <family val="2"/>
        <scheme val="minor"/>
      </rPr>
      <t>*[H</t>
    </r>
    <r>
      <rPr>
        <vertAlign val="superscript"/>
        <sz val="11"/>
        <rFont val="Calibri"/>
        <family val="2"/>
        <scheme val="minor"/>
      </rPr>
      <t>+</t>
    </r>
    <r>
      <rPr>
        <sz val="11"/>
        <rFont val="Calibri"/>
        <family val="2"/>
        <scheme val="minor"/>
      </rPr>
      <t>]</t>
    </r>
    <r>
      <rPr>
        <vertAlign val="subscript"/>
        <sz val="11"/>
        <rFont val="Calibri"/>
        <family val="2"/>
        <scheme val="minor"/>
      </rPr>
      <t>eq</t>
    </r>
    <r>
      <rPr>
        <sz val="11"/>
        <rFont val="Calibri"/>
        <family val="2"/>
        <scheme val="minor"/>
      </rPr>
      <t>*K</t>
    </r>
    <r>
      <rPr>
        <vertAlign val="subscript"/>
        <sz val="11"/>
        <rFont val="Calibri"/>
        <family val="2"/>
        <scheme val="minor"/>
      </rPr>
      <t>P1</t>
    </r>
    <r>
      <rPr>
        <sz val="11"/>
        <rFont val="Calibri"/>
        <family val="2"/>
        <scheme val="minor"/>
      </rPr>
      <t>+K</t>
    </r>
    <r>
      <rPr>
        <vertAlign val="subscript"/>
        <sz val="11"/>
        <rFont val="Calibri"/>
        <family val="2"/>
        <scheme val="minor"/>
      </rPr>
      <t>P2</t>
    </r>
    <r>
      <rPr>
        <sz val="11"/>
        <rFont val="Calibri"/>
        <family val="2"/>
        <scheme val="minor"/>
      </rPr>
      <t>*K</t>
    </r>
    <r>
      <rPr>
        <vertAlign val="subscript"/>
        <sz val="11"/>
        <rFont val="Calibri"/>
        <family val="2"/>
        <scheme val="minor"/>
      </rPr>
      <t>P1</t>
    </r>
    <r>
      <rPr>
        <sz val="11"/>
        <rFont val="Calibri"/>
        <family val="2"/>
        <scheme val="minor"/>
      </rPr>
      <t>*K</t>
    </r>
    <r>
      <rPr>
        <vertAlign val="subscript"/>
        <sz val="11"/>
        <rFont val="Calibri"/>
        <family val="2"/>
        <scheme val="minor"/>
      </rPr>
      <t>P3</t>
    </r>
    <r>
      <rPr>
        <sz val="11"/>
        <rFont val="Calibri"/>
        <family val="2"/>
        <scheme val="minor"/>
      </rPr>
      <t>)</t>
    </r>
  </si>
  <si>
    <r>
      <t>(3*[PO</t>
    </r>
    <r>
      <rPr>
        <vertAlign val="subscript"/>
        <sz val="11"/>
        <rFont val="Calibri"/>
        <family val="2"/>
        <scheme val="minor"/>
      </rPr>
      <t>4</t>
    </r>
    <r>
      <rPr>
        <vertAlign val="superscript"/>
        <sz val="11"/>
        <rFont val="Calibri"/>
        <family val="2"/>
        <scheme val="minor"/>
      </rPr>
      <t>3-</t>
    </r>
    <r>
      <rPr>
        <sz val="11"/>
        <rFont val="Calibri"/>
        <family val="2"/>
        <scheme val="minor"/>
      </rPr>
      <t>]</t>
    </r>
    <r>
      <rPr>
        <sz val="11"/>
        <rFont val="Calibri"/>
        <family val="2"/>
        <scheme val="minor"/>
      </rPr>
      <t xml:space="preserve"> + 2*[HPO</t>
    </r>
    <r>
      <rPr>
        <vertAlign val="subscript"/>
        <sz val="11"/>
        <rFont val="Calibri"/>
        <family val="2"/>
        <scheme val="minor"/>
      </rPr>
      <t>4</t>
    </r>
    <r>
      <rPr>
        <vertAlign val="superscript"/>
        <sz val="11"/>
        <rFont val="Calibri"/>
        <family val="2"/>
        <scheme val="minor"/>
      </rPr>
      <t>2-</t>
    </r>
    <r>
      <rPr>
        <sz val="11"/>
        <rFont val="Calibri"/>
        <family val="2"/>
        <scheme val="minor"/>
      </rPr>
      <t>]</t>
    </r>
    <r>
      <rPr>
        <sz val="11"/>
        <rFont val="Calibri"/>
        <family val="2"/>
        <scheme val="minor"/>
      </rPr>
      <t>)- 2*[HPO</t>
    </r>
    <r>
      <rPr>
        <vertAlign val="subscript"/>
        <sz val="11"/>
        <rFont val="Calibri"/>
        <family val="2"/>
        <scheme val="minor"/>
      </rPr>
      <t>4</t>
    </r>
    <r>
      <rPr>
        <vertAlign val="superscript"/>
        <sz val="11"/>
        <rFont val="Calibri"/>
        <family val="2"/>
        <scheme val="minor"/>
      </rPr>
      <t>2-</t>
    </r>
    <r>
      <rPr>
        <sz val="11"/>
        <rFont val="Calibri"/>
        <family val="2"/>
        <scheme val="minor"/>
      </rPr>
      <t>]</t>
    </r>
    <r>
      <rPr>
        <vertAlign val="subscript"/>
        <sz val="11"/>
        <rFont val="Calibri"/>
        <family val="2"/>
        <scheme val="minor"/>
      </rPr>
      <t>eq</t>
    </r>
    <r>
      <rPr>
        <sz val="11"/>
        <rFont val="Calibri"/>
        <family val="2"/>
        <scheme val="minor"/>
      </rPr>
      <t xml:space="preserve"> + [H</t>
    </r>
    <r>
      <rPr>
        <vertAlign val="subscript"/>
        <sz val="11"/>
        <rFont val="Calibri"/>
        <family val="2"/>
        <scheme val="minor"/>
      </rPr>
      <t>2</t>
    </r>
    <r>
      <rPr>
        <sz val="11"/>
        <rFont val="Calibri"/>
        <family val="2"/>
        <scheme val="minor"/>
      </rPr>
      <t>PO</t>
    </r>
    <r>
      <rPr>
        <vertAlign val="subscript"/>
        <sz val="11"/>
        <rFont val="Calibri"/>
        <family val="2"/>
        <scheme val="minor"/>
      </rPr>
      <t>4</t>
    </r>
    <r>
      <rPr>
        <vertAlign val="superscript"/>
        <sz val="11"/>
        <rFont val="Calibri"/>
        <family val="2"/>
        <scheme val="minor"/>
      </rPr>
      <t>-</t>
    </r>
    <r>
      <rPr>
        <sz val="11"/>
        <rFont val="Calibri"/>
        <family val="2"/>
        <scheme val="minor"/>
      </rPr>
      <t>]</t>
    </r>
    <r>
      <rPr>
        <sz val="11"/>
        <rFont val="Calibri"/>
        <family val="2"/>
        <scheme val="minor"/>
      </rPr>
      <t>- [H</t>
    </r>
    <r>
      <rPr>
        <vertAlign val="subscript"/>
        <sz val="11"/>
        <rFont val="Calibri"/>
        <family val="2"/>
        <scheme val="minor"/>
      </rPr>
      <t>2</t>
    </r>
    <r>
      <rPr>
        <sz val="11"/>
        <rFont val="Calibri"/>
        <family val="2"/>
        <scheme val="minor"/>
      </rPr>
      <t>PO</t>
    </r>
    <r>
      <rPr>
        <vertAlign val="subscript"/>
        <sz val="11"/>
        <rFont val="Calibri"/>
        <family val="2"/>
        <scheme val="minor"/>
      </rPr>
      <t>4</t>
    </r>
    <r>
      <rPr>
        <vertAlign val="superscript"/>
        <sz val="11"/>
        <rFont val="Calibri"/>
        <family val="2"/>
        <scheme val="minor"/>
      </rPr>
      <t>-</t>
    </r>
    <r>
      <rPr>
        <sz val="11"/>
        <rFont val="Calibri"/>
        <family val="2"/>
        <scheme val="minor"/>
      </rPr>
      <t>]</t>
    </r>
    <r>
      <rPr>
        <vertAlign val="subscript"/>
        <sz val="11"/>
        <rFont val="Calibri"/>
        <family val="2"/>
        <scheme val="minor"/>
      </rPr>
      <t>eq</t>
    </r>
    <r>
      <rPr>
        <sz val="11"/>
        <rFont val="Calibri"/>
        <family val="2"/>
        <scheme val="minor"/>
      </rPr>
      <t xml:space="preserve"> </t>
    </r>
    <r>
      <rPr>
        <sz val="11"/>
        <rFont val="Calibri"/>
        <family val="2"/>
        <scheme val="minor"/>
      </rPr>
      <t>+ [OH</t>
    </r>
    <r>
      <rPr>
        <vertAlign val="superscript"/>
        <sz val="11"/>
        <rFont val="Calibri"/>
        <family val="2"/>
        <scheme val="minor"/>
      </rPr>
      <t>-</t>
    </r>
    <r>
      <rPr>
        <sz val="11"/>
        <rFont val="Calibri"/>
        <family val="2"/>
        <scheme val="minor"/>
      </rPr>
      <t>]</t>
    </r>
    <r>
      <rPr>
        <sz val="11"/>
        <rFont val="Calibri"/>
        <family val="2"/>
        <scheme val="minor"/>
      </rPr>
      <t>+ [NH</t>
    </r>
    <r>
      <rPr>
        <vertAlign val="subscript"/>
        <sz val="11"/>
        <rFont val="Calibri"/>
        <family val="2"/>
        <scheme val="minor"/>
      </rPr>
      <t>3</t>
    </r>
    <r>
      <rPr>
        <sz val="11"/>
        <rFont val="Calibri"/>
        <family val="2"/>
        <scheme val="minor"/>
      </rPr>
      <t>] + 2*[CO</t>
    </r>
    <r>
      <rPr>
        <vertAlign val="subscript"/>
        <sz val="11"/>
        <rFont val="Calibri"/>
        <family val="2"/>
        <scheme val="minor"/>
      </rPr>
      <t>3</t>
    </r>
    <r>
      <rPr>
        <vertAlign val="superscript"/>
        <sz val="11"/>
        <rFont val="Calibri"/>
        <family val="2"/>
        <scheme val="minor"/>
      </rPr>
      <t>2-</t>
    </r>
    <r>
      <rPr>
        <sz val="11"/>
        <rFont val="Calibri"/>
        <family val="2"/>
        <scheme val="minor"/>
      </rPr>
      <t>]</t>
    </r>
    <r>
      <rPr>
        <sz val="11"/>
        <rFont val="Calibri"/>
        <family val="2"/>
        <scheme val="minor"/>
      </rPr>
      <t>+ [HCO</t>
    </r>
    <r>
      <rPr>
        <vertAlign val="subscript"/>
        <sz val="11"/>
        <rFont val="Calibri"/>
        <family val="2"/>
        <scheme val="minor"/>
      </rPr>
      <t>3</t>
    </r>
    <r>
      <rPr>
        <vertAlign val="superscript"/>
        <sz val="11"/>
        <rFont val="Calibri"/>
        <family val="2"/>
        <scheme val="minor"/>
      </rPr>
      <t>-</t>
    </r>
    <r>
      <rPr>
        <sz val="11"/>
        <rFont val="Calibri"/>
        <family val="2"/>
        <scheme val="minor"/>
      </rPr>
      <t>]</t>
    </r>
    <r>
      <rPr>
        <sz val="11"/>
        <rFont val="Calibri"/>
        <family val="2"/>
        <scheme val="minor"/>
      </rPr>
      <t>+ [Ac</t>
    </r>
    <r>
      <rPr>
        <vertAlign val="superscript"/>
        <sz val="11"/>
        <rFont val="Calibri"/>
        <family val="2"/>
        <scheme val="minor"/>
      </rPr>
      <t>-</t>
    </r>
    <r>
      <rPr>
        <sz val="11"/>
        <rFont val="Calibri"/>
        <family val="2"/>
        <scheme val="minor"/>
      </rPr>
      <t>] - [Ac</t>
    </r>
    <r>
      <rPr>
        <vertAlign val="superscript"/>
        <sz val="11"/>
        <rFont val="Calibri"/>
        <family val="2"/>
        <scheme val="minor"/>
      </rPr>
      <t>-</t>
    </r>
    <r>
      <rPr>
        <sz val="11"/>
        <rFont val="Calibri"/>
        <family val="2"/>
        <scheme val="minor"/>
      </rPr>
      <t>]</t>
    </r>
    <r>
      <rPr>
        <vertAlign val="subscript"/>
        <sz val="11"/>
        <rFont val="Calibri"/>
        <family val="2"/>
        <scheme val="minor"/>
      </rPr>
      <t>eq</t>
    </r>
    <r>
      <rPr>
        <sz val="11"/>
        <rFont val="Calibri"/>
        <family val="2"/>
        <scheme val="minor"/>
      </rPr>
      <t xml:space="preserve"> - [H</t>
    </r>
    <r>
      <rPr>
        <vertAlign val="superscript"/>
        <sz val="11"/>
        <rFont val="Calibri"/>
        <family val="2"/>
        <scheme val="minor"/>
      </rPr>
      <t>+</t>
    </r>
    <r>
      <rPr>
        <sz val="11"/>
        <rFont val="Calibri"/>
        <family val="2"/>
        <scheme val="minor"/>
      </rPr>
      <t>]</t>
    </r>
  </si>
  <si>
    <r>
      <t>eq ALK.L</t>
    </r>
    <r>
      <rPr>
        <vertAlign val="superscript"/>
        <sz val="11"/>
        <color theme="1"/>
        <rFont val="Calibri"/>
        <family val="2"/>
        <scheme val="minor"/>
      </rPr>
      <t>-1</t>
    </r>
  </si>
  <si>
    <r>
      <t>eq.L</t>
    </r>
    <r>
      <rPr>
        <vertAlign val="superscript"/>
        <sz val="11"/>
        <color theme="1"/>
        <rFont val="Calibri"/>
        <family val="2"/>
        <scheme val="minor"/>
      </rPr>
      <t>-1</t>
    </r>
  </si>
  <si>
    <t>Unitless</t>
  </si>
  <si>
    <t>PUR</t>
  </si>
  <si>
    <t>Phosphorus uptake rate (PUR)</t>
  </si>
  <si>
    <r>
      <t>g P.m</t>
    </r>
    <r>
      <rPr>
        <vertAlign val="superscript"/>
        <sz val="11"/>
        <rFont val="Calibri"/>
        <family val="2"/>
        <scheme val="minor"/>
      </rPr>
      <t>-3</t>
    </r>
    <r>
      <rPr>
        <sz val="11"/>
        <rFont val="Calibri"/>
        <family val="2"/>
        <scheme val="minor"/>
      </rPr>
      <t>.d</t>
    </r>
    <r>
      <rPr>
        <vertAlign val="superscript"/>
        <sz val="11"/>
        <rFont val="Calibri"/>
        <family val="2"/>
        <scheme val="minor"/>
      </rPr>
      <t>-1</t>
    </r>
  </si>
  <si>
    <r>
      <t>PUR</t>
    </r>
    <r>
      <rPr>
        <vertAlign val="subscript"/>
        <sz val="11"/>
        <rFont val="Calibri"/>
        <family val="2"/>
        <scheme val="minor"/>
      </rPr>
      <t>BIO</t>
    </r>
  </si>
  <si>
    <r>
      <t>PUR</t>
    </r>
    <r>
      <rPr>
        <vertAlign val="subscript"/>
        <sz val="11"/>
        <rFont val="Calibri"/>
        <family val="2"/>
        <scheme val="minor"/>
      </rPr>
      <t>CHEM</t>
    </r>
  </si>
  <si>
    <t>PRR</t>
  </si>
  <si>
    <t>Phosphorus release rate (PRR)</t>
  </si>
  <si>
    <r>
      <t>g N.g COD</t>
    </r>
    <r>
      <rPr>
        <vertAlign val="superscript"/>
        <sz val="11"/>
        <rFont val="Calibri"/>
        <family val="2"/>
        <scheme val="minor"/>
      </rPr>
      <t>-1</t>
    </r>
  </si>
  <si>
    <r>
      <t>g P.g COD</t>
    </r>
    <r>
      <rPr>
        <vertAlign val="superscript"/>
        <sz val="11"/>
        <rFont val="Calibri"/>
        <family val="2"/>
        <scheme val="minor"/>
      </rPr>
      <t>-1</t>
    </r>
  </si>
  <si>
    <r>
      <t>g COD.g VSS</t>
    </r>
    <r>
      <rPr>
        <vertAlign val="superscript"/>
        <sz val="11"/>
        <rFont val="Calibri"/>
        <family val="2"/>
        <scheme val="minor"/>
      </rPr>
      <t>-1</t>
    </r>
  </si>
  <si>
    <r>
      <t>g COD.g VS</t>
    </r>
    <r>
      <rPr>
        <vertAlign val="superscript"/>
        <sz val="11"/>
        <rFont val="Calibri"/>
        <family val="2"/>
        <scheme val="minor"/>
      </rPr>
      <t>-1</t>
    </r>
  </si>
  <si>
    <r>
      <t>g TIC.g COD</t>
    </r>
    <r>
      <rPr>
        <vertAlign val="superscript"/>
        <sz val="11"/>
        <rFont val="Calibri"/>
        <family val="2"/>
      </rPr>
      <t>-1</t>
    </r>
  </si>
  <si>
    <r>
      <t>g N.g TSS</t>
    </r>
    <r>
      <rPr>
        <vertAlign val="superscript"/>
        <sz val="11"/>
        <rFont val="Calibri"/>
        <family val="2"/>
        <scheme val="minor"/>
      </rPr>
      <t>-1</t>
    </r>
  </si>
  <si>
    <r>
      <t>g P.g TSS</t>
    </r>
    <r>
      <rPr>
        <vertAlign val="superscript"/>
        <sz val="11"/>
        <rFont val="Calibri"/>
        <family val="2"/>
        <scheme val="minor"/>
      </rPr>
      <t>-1</t>
    </r>
  </si>
  <si>
    <r>
      <t>mol Ca.mol P</t>
    </r>
    <r>
      <rPr>
        <vertAlign val="superscript"/>
        <sz val="11"/>
        <rFont val="Calibri"/>
        <family val="2"/>
        <scheme val="minor"/>
      </rPr>
      <t>-1</t>
    </r>
  </si>
  <si>
    <r>
      <t>mol Mg.mol P</t>
    </r>
    <r>
      <rPr>
        <vertAlign val="superscript"/>
        <sz val="11"/>
        <rFont val="Calibri"/>
        <family val="2"/>
        <scheme val="minor"/>
      </rPr>
      <t>-1</t>
    </r>
  </si>
  <si>
    <r>
      <t>mol P.mol Fe</t>
    </r>
    <r>
      <rPr>
        <vertAlign val="superscript"/>
        <sz val="11"/>
        <rFont val="Calibri"/>
        <family val="2"/>
        <scheme val="minor"/>
      </rPr>
      <t>-1</t>
    </r>
  </si>
  <si>
    <t>Check the species does exist in the systemcode.xlsx file</t>
  </si>
  <si>
    <t>On Constants Tab add the required thermodynamic constants and molecular masses</t>
  </si>
  <si>
    <t>In Process code/System files/systemcode.xlsx (if necessary)</t>
  </si>
  <si>
    <t>On Functions Tab add the required custom functions</t>
  </si>
  <si>
    <t>In your Model workbook, unhide the systemcode_constants and systemcode_functions and delete them</t>
  </si>
  <si>
    <t>Copy the Constants and Functions Tab from systemcode.xlsx into your Model workbook and renamed them systemcode_constants and systemcode_functions respectively</t>
  </si>
  <si>
    <t>Steps before starting a new model/modifying an existing one</t>
  </si>
  <si>
    <t>Please check that your macros are at the same version than the Sumo models you are using.</t>
  </si>
  <si>
    <t>Please make sure your systemcode tabs are up-to-date. If not:</t>
  </si>
  <si>
    <t>unhide tabs starting with "systemcode_"</t>
  </si>
  <si>
    <t>delete these tabs</t>
  </si>
  <si>
    <t>open the latest systemcode.xlsx</t>
  </si>
  <si>
    <t>copy functions and constants into your model file to replace the deleted ones</t>
  </si>
  <si>
    <t>rename them to systemcode_&lt;original name&gt;</t>
  </si>
  <si>
    <t> If you add a new chemical species , please verify that it does exist in the systemcode.xlsx Species tab</t>
  </si>
  <si>
    <t>If it does not exist yet, it has to be added</t>
  </si>
  <si>
    <r>
      <t>K</t>
    </r>
    <r>
      <rPr>
        <vertAlign val="subscript"/>
        <sz val="11"/>
        <rFont val="Calibri"/>
        <family val="2"/>
        <scheme val="minor"/>
      </rPr>
      <t>NHx,NITO,AS</t>
    </r>
  </si>
  <si>
    <r>
      <t>K</t>
    </r>
    <r>
      <rPr>
        <vertAlign val="subscript"/>
        <sz val="11"/>
        <rFont val="Calibri"/>
        <family val="2"/>
        <scheme val="minor"/>
      </rPr>
      <t>O2,NITO,AS</t>
    </r>
  </si>
  <si>
    <r>
      <t>K</t>
    </r>
    <r>
      <rPr>
        <vertAlign val="subscript"/>
        <sz val="11"/>
        <rFont val="Calibri"/>
        <family val="2"/>
        <scheme val="minor"/>
      </rPr>
      <t>SB,AS</t>
    </r>
  </si>
  <si>
    <r>
      <t>K</t>
    </r>
    <r>
      <rPr>
        <vertAlign val="subscript"/>
        <sz val="11"/>
        <rFont val="Calibri"/>
        <family val="2"/>
        <scheme val="minor"/>
      </rPr>
      <t>VFA,AS</t>
    </r>
  </si>
  <si>
    <r>
      <t>K</t>
    </r>
    <r>
      <rPr>
        <vertAlign val="subscript"/>
        <sz val="11"/>
        <rFont val="Calibri"/>
        <family val="2"/>
        <scheme val="minor"/>
      </rPr>
      <t>MEOL,OHO,AS</t>
    </r>
  </si>
  <si>
    <r>
      <t>K</t>
    </r>
    <r>
      <rPr>
        <vertAlign val="subscript"/>
        <sz val="11"/>
        <rFont val="Calibri"/>
        <family val="2"/>
        <scheme val="minor"/>
      </rPr>
      <t>O2,OHO,AS</t>
    </r>
  </si>
  <si>
    <r>
      <t>K</t>
    </r>
    <r>
      <rPr>
        <vertAlign val="subscript"/>
        <sz val="11"/>
        <rFont val="Calibri"/>
        <family val="2"/>
        <scheme val="minor"/>
      </rPr>
      <t>SB,ana,AS</t>
    </r>
  </si>
  <si>
    <r>
      <t>K</t>
    </r>
    <r>
      <rPr>
        <vertAlign val="subscript"/>
        <sz val="11"/>
        <rFont val="Calibri"/>
        <family val="2"/>
        <scheme val="minor"/>
      </rPr>
      <t>MEOL,AS</t>
    </r>
  </si>
  <si>
    <r>
      <t>K</t>
    </r>
    <r>
      <rPr>
        <vertAlign val="subscript"/>
        <sz val="11"/>
        <rFont val="Calibri"/>
        <family val="2"/>
        <scheme val="minor"/>
      </rPr>
      <t>PO4,PAO,AS</t>
    </r>
  </si>
  <si>
    <r>
      <t>K</t>
    </r>
    <r>
      <rPr>
        <vertAlign val="subscript"/>
        <sz val="11"/>
        <rFont val="Calibri"/>
        <family val="2"/>
        <scheme val="minor"/>
      </rPr>
      <t>Mg,PAO,AS</t>
    </r>
  </si>
  <si>
    <r>
      <t>K</t>
    </r>
    <r>
      <rPr>
        <vertAlign val="subscript"/>
        <sz val="11"/>
        <rFont val="Calibri"/>
        <family val="2"/>
        <scheme val="minor"/>
      </rPr>
      <t>K,PAO,AS</t>
    </r>
  </si>
  <si>
    <r>
      <t>K</t>
    </r>
    <r>
      <rPr>
        <vertAlign val="subscript"/>
        <sz val="11"/>
        <rFont val="Calibri"/>
        <family val="2"/>
        <scheme val="minor"/>
      </rPr>
      <t>Ca,PAO,AS</t>
    </r>
  </si>
  <si>
    <r>
      <t>K</t>
    </r>
    <r>
      <rPr>
        <vertAlign val="subscript"/>
        <sz val="11"/>
        <rFont val="Calibri"/>
        <family val="2"/>
        <scheme val="minor"/>
      </rPr>
      <t>VFA,AMETO,AS</t>
    </r>
  </si>
  <si>
    <r>
      <t>K</t>
    </r>
    <r>
      <rPr>
        <vertAlign val="subscript"/>
        <sz val="11"/>
        <color indexed="8"/>
        <rFont val="Calibri"/>
        <family val="2"/>
        <scheme val="minor"/>
      </rPr>
      <t>H2,HMETO,AS</t>
    </r>
  </si>
  <si>
    <r>
      <t>K</t>
    </r>
    <r>
      <rPr>
        <vertAlign val="subscript"/>
        <sz val="11"/>
        <rFont val="Calibri"/>
        <family val="2"/>
        <scheme val="minor"/>
      </rPr>
      <t>NHx,BIO,AS</t>
    </r>
  </si>
  <si>
    <r>
      <t>K</t>
    </r>
    <r>
      <rPr>
        <vertAlign val="subscript"/>
        <sz val="11"/>
        <rFont val="Calibri"/>
        <family val="2"/>
        <scheme val="minor"/>
      </rPr>
      <t>PO4,BIO,AS</t>
    </r>
  </si>
  <si>
    <r>
      <t>K</t>
    </r>
    <r>
      <rPr>
        <vertAlign val="subscript"/>
        <sz val="11"/>
        <color indexed="8"/>
        <rFont val="Calibri"/>
        <family val="2"/>
        <scheme val="minor"/>
      </rPr>
      <t>CO2,BIO,AS</t>
    </r>
  </si>
  <si>
    <r>
      <t>K</t>
    </r>
    <r>
      <rPr>
        <vertAlign val="subscript"/>
        <sz val="11"/>
        <rFont val="Calibri"/>
        <family val="2"/>
        <scheme val="minor"/>
      </rPr>
      <t>CAT,AS</t>
    </r>
  </si>
  <si>
    <r>
      <t>K</t>
    </r>
    <r>
      <rPr>
        <vertAlign val="subscript"/>
        <sz val="11"/>
        <rFont val="Calibri"/>
        <family val="2"/>
        <scheme val="minor"/>
      </rPr>
      <t>AN,AS</t>
    </r>
  </si>
  <si>
    <r>
      <t>K</t>
    </r>
    <r>
      <rPr>
        <vertAlign val="subscript"/>
        <sz val="11"/>
        <color indexed="8"/>
        <rFont val="Calibri"/>
        <family val="2"/>
        <scheme val="minor"/>
      </rPr>
      <t>HYD,AS</t>
    </r>
  </si>
  <si>
    <r>
      <t>K</t>
    </r>
    <r>
      <rPr>
        <vertAlign val="subscript"/>
        <sz val="11"/>
        <color indexed="8"/>
        <rFont val="Calibri"/>
        <family val="2"/>
        <scheme val="minor"/>
      </rPr>
      <t>NOx,ASSIM,AS</t>
    </r>
  </si>
  <si>
    <r>
      <t>K</t>
    </r>
    <r>
      <rPr>
        <vertAlign val="subscript"/>
        <sz val="11"/>
        <rFont val="Calibri"/>
        <family val="2"/>
        <scheme val="minor"/>
      </rPr>
      <t>H2,HMETO,AS</t>
    </r>
  </si>
  <si>
    <r>
      <t>K</t>
    </r>
    <r>
      <rPr>
        <vertAlign val="subscript"/>
        <sz val="11"/>
        <rFont val="Calibri"/>
        <family val="2"/>
        <scheme val="minor"/>
      </rPr>
      <t>CO2,BIO,AS</t>
    </r>
  </si>
  <si>
    <r>
      <t>K</t>
    </r>
    <r>
      <rPr>
        <vertAlign val="subscript"/>
        <sz val="11"/>
        <rFont val="Calibri"/>
        <family val="2"/>
        <scheme val="minor"/>
      </rPr>
      <t>HYD,AS</t>
    </r>
  </si>
  <si>
    <r>
      <t>K</t>
    </r>
    <r>
      <rPr>
        <vertAlign val="subscript"/>
        <sz val="11"/>
        <rFont val="Calibri"/>
        <family val="2"/>
        <scheme val="minor"/>
      </rPr>
      <t>NOx,ASSIM,AS</t>
    </r>
  </si>
  <si>
    <r>
      <t>Minh(S</t>
    </r>
    <r>
      <rPr>
        <vertAlign val="subscript"/>
        <sz val="11"/>
        <rFont val="Calibri"/>
        <family val="2"/>
        <scheme val="minor"/>
      </rPr>
      <t>O2</t>
    </r>
    <r>
      <rPr>
        <sz val="11"/>
        <rFont val="Calibri"/>
        <family val="2"/>
        <scheme val="minor"/>
      </rPr>
      <t>;K</t>
    </r>
    <r>
      <rPr>
        <vertAlign val="subscript"/>
        <sz val="11"/>
        <rFont val="Calibri"/>
        <family val="2"/>
        <scheme val="minor"/>
      </rPr>
      <t>O2,OHO</t>
    </r>
    <r>
      <rPr>
        <sz val="11"/>
        <rFont val="Calibri"/>
        <family val="2"/>
        <scheme val="minor"/>
      </rPr>
      <t>)</t>
    </r>
  </si>
  <si>
    <t>pH related inhibiton functions</t>
  </si>
  <si>
    <r>
      <t>g Fe.m</t>
    </r>
    <r>
      <rPr>
        <vertAlign val="superscript"/>
        <sz val="11"/>
        <rFont val="Calibri"/>
        <family val="2"/>
        <scheme val="minor"/>
      </rPr>
      <t>-3</t>
    </r>
  </si>
  <si>
    <r>
      <t>mol [HCO</t>
    </r>
    <r>
      <rPr>
        <vertAlign val="subscript"/>
        <sz val="11"/>
        <rFont val="Calibri"/>
        <family val="2"/>
        <scheme val="minor"/>
      </rPr>
      <t>3</t>
    </r>
    <r>
      <rPr>
        <vertAlign val="superscript"/>
        <sz val="11"/>
        <rFont val="Calibri"/>
        <family val="2"/>
        <scheme val="minor"/>
      </rPr>
      <t>-</t>
    </r>
    <r>
      <rPr>
        <sz val="11"/>
        <rFont val="Calibri"/>
        <family val="2"/>
        <scheme val="minor"/>
      </rPr>
      <t>].L</t>
    </r>
    <r>
      <rPr>
        <vertAlign val="superscript"/>
        <sz val="11"/>
        <rFont val="Calibri"/>
        <family val="2"/>
        <scheme val="minor"/>
      </rPr>
      <t>-1</t>
    </r>
  </si>
  <si>
    <r>
      <t>g P.m</t>
    </r>
    <r>
      <rPr>
        <vertAlign val="superscript"/>
        <sz val="11"/>
        <rFont val="Calibri"/>
        <family val="2"/>
        <scheme val="minor"/>
      </rPr>
      <t>-3</t>
    </r>
    <r>
      <rPr>
        <sz val="11"/>
        <color theme="1"/>
        <rFont val="Calibri"/>
        <family val="2"/>
        <scheme val="minor"/>
      </rPr>
      <t/>
    </r>
  </si>
  <si>
    <r>
      <t>g Na.m</t>
    </r>
    <r>
      <rPr>
        <vertAlign val="superscript"/>
        <sz val="11"/>
        <rFont val="Calibri"/>
        <family val="2"/>
        <scheme val="minor"/>
      </rPr>
      <t>-3</t>
    </r>
    <r>
      <rPr>
        <sz val="11"/>
        <color theme="1"/>
        <rFont val="Calibri"/>
        <family val="2"/>
        <scheme val="minor"/>
      </rPr>
      <t/>
    </r>
  </si>
  <si>
    <r>
      <t>g Cl.m</t>
    </r>
    <r>
      <rPr>
        <vertAlign val="superscript"/>
        <sz val="11"/>
        <rFont val="Calibri"/>
        <family val="2"/>
        <scheme val="minor"/>
      </rPr>
      <t>-3</t>
    </r>
    <r>
      <rPr>
        <sz val="11"/>
        <color theme="1"/>
        <rFont val="Calibri"/>
        <family val="2"/>
        <scheme val="minor"/>
      </rPr>
      <t/>
    </r>
  </si>
  <si>
    <r>
      <t>mol K.mol P</t>
    </r>
    <r>
      <rPr>
        <vertAlign val="superscript"/>
        <sz val="11"/>
        <rFont val="Calibri"/>
        <family val="2"/>
        <scheme val="minor"/>
      </rPr>
      <t>-1</t>
    </r>
  </si>
  <si>
    <r>
      <t>g Na.g NaCl</t>
    </r>
    <r>
      <rPr>
        <vertAlign val="superscript"/>
        <sz val="11"/>
        <rFont val="Calibri"/>
        <family val="2"/>
        <scheme val="minor"/>
      </rPr>
      <t>-1</t>
    </r>
  </si>
  <si>
    <t>Activated sludge</t>
  </si>
  <si>
    <t>VSS/TSS ratio</t>
  </si>
  <si>
    <r>
      <t>X</t>
    </r>
    <r>
      <rPr>
        <vertAlign val="subscript"/>
        <sz val="11"/>
        <rFont val="Calibri"/>
        <family val="2"/>
        <scheme val="minor"/>
      </rPr>
      <t>VSS</t>
    </r>
    <r>
      <rPr>
        <sz val="11"/>
        <rFont val="Calibri"/>
        <family val="2"/>
        <scheme val="minor"/>
      </rPr>
      <t>/X</t>
    </r>
    <r>
      <rPr>
        <vertAlign val="subscript"/>
        <sz val="11"/>
        <rFont val="Calibri"/>
        <family val="2"/>
        <scheme val="minor"/>
      </rPr>
      <t>TSS</t>
    </r>
  </si>
  <si>
    <r>
      <t>m</t>
    </r>
    <r>
      <rPr>
        <vertAlign val="subscript"/>
        <sz val="11"/>
        <rFont val="Calibri"/>
        <family val="2"/>
        <scheme val="minor"/>
      </rPr>
      <t>tox,anox</t>
    </r>
  </si>
  <si>
    <r>
      <t>m</t>
    </r>
    <r>
      <rPr>
        <vertAlign val="subscript"/>
        <sz val="11"/>
        <rFont val="Calibri"/>
        <family val="2"/>
        <scheme val="minor"/>
      </rPr>
      <t>tox,aer</t>
    </r>
  </si>
  <si>
    <r>
      <t>i</t>
    </r>
    <r>
      <rPr>
        <vertAlign val="subscript"/>
        <sz val="11"/>
        <rFont val="Calibri"/>
        <family val="2"/>
        <scheme val="minor"/>
      </rPr>
      <t>CIT,CH4</t>
    </r>
  </si>
  <si>
    <r>
      <t>i</t>
    </r>
    <r>
      <rPr>
        <vertAlign val="subscript"/>
        <sz val="11"/>
        <rFont val="Calibri"/>
        <family val="2"/>
        <scheme val="minor"/>
      </rPr>
      <t>CIT,VFA</t>
    </r>
  </si>
  <si>
    <r>
      <t>i</t>
    </r>
    <r>
      <rPr>
        <vertAlign val="subscript"/>
        <sz val="11"/>
        <rFont val="Calibri"/>
        <family val="2"/>
        <scheme val="minor"/>
      </rPr>
      <t>CIT,SB</t>
    </r>
  </si>
  <si>
    <r>
      <t>i</t>
    </r>
    <r>
      <rPr>
        <vertAlign val="subscript"/>
        <sz val="11"/>
        <rFont val="Calibri"/>
        <family val="2"/>
        <scheme val="minor"/>
      </rPr>
      <t>CIT,MEOL</t>
    </r>
  </si>
  <si>
    <r>
      <t>CH</t>
    </r>
    <r>
      <rPr>
        <vertAlign val="subscript"/>
        <sz val="11"/>
        <rFont val="Calibri"/>
        <family val="2"/>
        <scheme val="minor"/>
      </rPr>
      <t>4</t>
    </r>
    <r>
      <rPr>
        <sz val="11"/>
        <rFont val="Calibri"/>
        <family val="2"/>
        <scheme val="minor"/>
      </rPr>
      <t>: 64 g COD/mol C</t>
    </r>
  </si>
  <si>
    <r>
      <t>C</t>
    </r>
    <r>
      <rPr>
        <vertAlign val="subscript"/>
        <sz val="11"/>
        <rFont val="Calibri"/>
        <family val="2"/>
        <scheme val="minor"/>
      </rPr>
      <t>2</t>
    </r>
    <r>
      <rPr>
        <sz val="11"/>
        <rFont val="Calibri"/>
        <family val="2"/>
        <scheme val="minor"/>
      </rPr>
      <t>H</t>
    </r>
    <r>
      <rPr>
        <vertAlign val="subscript"/>
        <sz val="11"/>
        <rFont val="Calibri"/>
        <family val="2"/>
        <scheme val="minor"/>
      </rPr>
      <t>4</t>
    </r>
    <r>
      <rPr>
        <sz val="11"/>
        <rFont val="Calibri"/>
        <family val="2"/>
        <scheme val="minor"/>
      </rPr>
      <t>O</t>
    </r>
    <r>
      <rPr>
        <vertAlign val="subscript"/>
        <sz val="11"/>
        <rFont val="Calibri"/>
        <family val="2"/>
        <scheme val="minor"/>
      </rPr>
      <t>2</t>
    </r>
    <r>
      <rPr>
        <sz val="11"/>
        <rFont val="Calibri"/>
        <family val="2"/>
        <scheme val="minor"/>
      </rPr>
      <t>: 32 g COD/mol C</t>
    </r>
  </si>
  <si>
    <r>
      <t>i</t>
    </r>
    <r>
      <rPr>
        <vertAlign val="subscript"/>
        <sz val="11"/>
        <rFont val="Calibri"/>
        <family val="2"/>
        <scheme val="minor"/>
      </rPr>
      <t>CIT,PHA</t>
    </r>
  </si>
  <si>
    <r>
      <t>C</t>
    </r>
    <r>
      <rPr>
        <vertAlign val="subscript"/>
        <sz val="11"/>
        <rFont val="Calibri"/>
        <family val="2"/>
        <scheme val="minor"/>
      </rPr>
      <t>5</t>
    </r>
    <r>
      <rPr>
        <sz val="11"/>
        <rFont val="Calibri"/>
        <family val="2"/>
        <scheme val="minor"/>
      </rPr>
      <t>H</t>
    </r>
    <r>
      <rPr>
        <vertAlign val="subscript"/>
        <sz val="11"/>
        <rFont val="Calibri"/>
        <family val="2"/>
        <scheme val="minor"/>
      </rPr>
      <t>7</t>
    </r>
    <r>
      <rPr>
        <sz val="11"/>
        <rFont val="Calibri"/>
        <family val="2"/>
        <scheme val="minor"/>
      </rPr>
      <t>O</t>
    </r>
    <r>
      <rPr>
        <vertAlign val="subscript"/>
        <sz val="11"/>
        <rFont val="Calibri"/>
        <family val="2"/>
        <scheme val="minor"/>
      </rPr>
      <t>2</t>
    </r>
    <r>
      <rPr>
        <sz val="11"/>
        <rFont val="Calibri"/>
        <family val="2"/>
        <scheme val="minor"/>
      </rPr>
      <t>N: 32 g COD/mol C</t>
    </r>
  </si>
  <si>
    <r>
      <t>H[C</t>
    </r>
    <r>
      <rPr>
        <vertAlign val="subscript"/>
        <sz val="11"/>
        <color indexed="8"/>
        <rFont val="Calibri"/>
        <family val="2"/>
        <scheme val="minor"/>
      </rPr>
      <t>4</t>
    </r>
    <r>
      <rPr>
        <sz val="11"/>
        <color indexed="8"/>
        <rFont val="Calibri"/>
        <family val="2"/>
        <scheme val="minor"/>
      </rPr>
      <t>H</t>
    </r>
    <r>
      <rPr>
        <vertAlign val="subscript"/>
        <sz val="11"/>
        <color indexed="8"/>
        <rFont val="Calibri"/>
        <family val="2"/>
        <scheme val="minor"/>
      </rPr>
      <t>6</t>
    </r>
    <r>
      <rPr>
        <sz val="11"/>
        <color indexed="8"/>
        <rFont val="Calibri"/>
        <family val="2"/>
        <scheme val="minor"/>
      </rPr>
      <t>O</t>
    </r>
    <r>
      <rPr>
        <vertAlign val="subscript"/>
        <sz val="11"/>
        <color indexed="8"/>
        <rFont val="Calibri"/>
        <family val="2"/>
        <scheme val="minor"/>
      </rPr>
      <t>2</t>
    </r>
    <r>
      <rPr>
        <sz val="11"/>
        <color indexed="8"/>
        <rFont val="Calibri"/>
        <family val="2"/>
        <scheme val="minor"/>
      </rPr>
      <t>]</t>
    </r>
    <r>
      <rPr>
        <vertAlign val="subscript"/>
        <sz val="11"/>
        <color indexed="8"/>
        <rFont val="Calibri"/>
        <family val="2"/>
        <scheme val="minor"/>
      </rPr>
      <t>n</t>
    </r>
    <r>
      <rPr>
        <sz val="11"/>
        <color indexed="8"/>
        <rFont val="Calibri"/>
        <family val="2"/>
        <scheme val="minor"/>
      </rPr>
      <t>OH: 36 g COD/mol C</t>
    </r>
  </si>
  <si>
    <r>
      <t>i</t>
    </r>
    <r>
      <rPr>
        <vertAlign val="subscript"/>
        <sz val="11"/>
        <rFont val="Calibri"/>
        <family val="2"/>
      </rPr>
      <t>CIT,VFA</t>
    </r>
    <r>
      <rPr>
        <sz val="11"/>
        <rFont val="Calibri"/>
        <family val="2"/>
      </rPr>
      <t>/Y</t>
    </r>
    <r>
      <rPr>
        <vertAlign val="subscript"/>
        <sz val="11"/>
        <rFont val="Calibri"/>
        <family val="2"/>
      </rPr>
      <t>OHO,VFA,ox</t>
    </r>
    <r>
      <rPr>
        <sz val="11"/>
        <rFont val="Calibri"/>
        <family val="2"/>
      </rPr>
      <t>-i</t>
    </r>
    <r>
      <rPr>
        <vertAlign val="subscript"/>
        <sz val="11"/>
        <rFont val="Calibri"/>
        <family val="2"/>
      </rPr>
      <t>CIT,BIO</t>
    </r>
  </si>
  <si>
    <r>
      <t>i</t>
    </r>
    <r>
      <rPr>
        <vertAlign val="subscript"/>
        <sz val="11"/>
        <rFont val="Calibri"/>
        <family val="2"/>
      </rPr>
      <t>CIT,VFA</t>
    </r>
    <r>
      <rPr>
        <sz val="11"/>
        <rFont val="Calibri"/>
        <family val="2"/>
      </rPr>
      <t>/Y</t>
    </r>
    <r>
      <rPr>
        <vertAlign val="subscript"/>
        <sz val="11"/>
        <rFont val="Calibri"/>
        <family val="2"/>
      </rPr>
      <t>OHO,VFA,anox</t>
    </r>
    <r>
      <rPr>
        <sz val="11"/>
        <rFont val="Calibri"/>
        <family val="2"/>
      </rPr>
      <t>-i</t>
    </r>
    <r>
      <rPr>
        <vertAlign val="subscript"/>
        <sz val="11"/>
        <rFont val="Calibri"/>
        <family val="2"/>
      </rPr>
      <t>CIT,BIO</t>
    </r>
  </si>
  <si>
    <r>
      <t>i</t>
    </r>
    <r>
      <rPr>
        <vertAlign val="subscript"/>
        <sz val="11"/>
        <rFont val="Calibri"/>
        <family val="2"/>
      </rPr>
      <t>CIT,SB</t>
    </r>
    <r>
      <rPr>
        <sz val="11"/>
        <rFont val="Calibri"/>
        <family val="2"/>
      </rPr>
      <t>/Y</t>
    </r>
    <r>
      <rPr>
        <vertAlign val="subscript"/>
        <sz val="11"/>
        <rFont val="Calibri"/>
        <family val="2"/>
      </rPr>
      <t>OHO,SB,ox</t>
    </r>
    <r>
      <rPr>
        <sz val="11"/>
        <rFont val="Calibri"/>
        <family val="2"/>
      </rPr>
      <t>-i</t>
    </r>
    <r>
      <rPr>
        <vertAlign val="subscript"/>
        <sz val="11"/>
        <rFont val="Calibri"/>
        <family val="2"/>
      </rPr>
      <t>CIT,BIO</t>
    </r>
  </si>
  <si>
    <r>
      <t>i</t>
    </r>
    <r>
      <rPr>
        <vertAlign val="subscript"/>
        <sz val="11"/>
        <rFont val="Calibri"/>
        <family val="2"/>
      </rPr>
      <t>CIT,SB</t>
    </r>
    <r>
      <rPr>
        <sz val="11"/>
        <rFont val="Calibri"/>
        <family val="2"/>
      </rPr>
      <t>/Y</t>
    </r>
    <r>
      <rPr>
        <vertAlign val="subscript"/>
        <sz val="11"/>
        <rFont val="Calibri"/>
        <family val="2"/>
      </rPr>
      <t>OHO,SB,anox</t>
    </r>
    <r>
      <rPr>
        <sz val="11"/>
        <rFont val="Calibri"/>
        <family val="2"/>
      </rPr>
      <t>-i</t>
    </r>
    <r>
      <rPr>
        <vertAlign val="subscript"/>
        <sz val="11"/>
        <rFont val="Calibri"/>
        <family val="2"/>
      </rPr>
      <t>CIT,BIO</t>
    </r>
  </si>
  <si>
    <r>
      <t>i</t>
    </r>
    <r>
      <rPr>
        <vertAlign val="subscript"/>
        <sz val="11"/>
        <rFont val="Calibri"/>
        <family val="2"/>
      </rPr>
      <t>CIT,MEOL</t>
    </r>
    <r>
      <rPr>
        <sz val="11"/>
        <rFont val="Calibri"/>
        <family val="2"/>
      </rPr>
      <t>/Y</t>
    </r>
    <r>
      <rPr>
        <vertAlign val="subscript"/>
        <sz val="11"/>
        <rFont val="Calibri"/>
        <family val="2"/>
      </rPr>
      <t>MEOLO</t>
    </r>
    <r>
      <rPr>
        <sz val="11"/>
        <rFont val="Calibri"/>
        <family val="2"/>
      </rPr>
      <t>-i</t>
    </r>
    <r>
      <rPr>
        <vertAlign val="subscript"/>
        <sz val="11"/>
        <rFont val="Calibri"/>
        <family val="2"/>
      </rPr>
      <t>CIT,BIO</t>
    </r>
  </si>
  <si>
    <r>
      <t>i</t>
    </r>
    <r>
      <rPr>
        <vertAlign val="subscript"/>
        <sz val="11"/>
        <rFont val="Calibri"/>
        <family val="2"/>
      </rPr>
      <t>CIT,MEOL</t>
    </r>
    <r>
      <rPr>
        <sz val="11"/>
        <rFont val="Calibri"/>
        <family val="2"/>
      </rPr>
      <t>/Y</t>
    </r>
    <r>
      <rPr>
        <vertAlign val="subscript"/>
        <sz val="11"/>
        <rFont val="Calibri"/>
        <family val="2"/>
      </rPr>
      <t>OHO,SMEOL,ox</t>
    </r>
    <r>
      <rPr>
        <sz val="11"/>
        <rFont val="Calibri"/>
        <family val="2"/>
      </rPr>
      <t>-i</t>
    </r>
    <r>
      <rPr>
        <vertAlign val="subscript"/>
        <sz val="11"/>
        <rFont val="Calibri"/>
        <family val="2"/>
      </rPr>
      <t>CIT,BIO</t>
    </r>
  </si>
  <si>
    <r>
      <t>-i</t>
    </r>
    <r>
      <rPr>
        <vertAlign val="subscript"/>
        <sz val="11"/>
        <rFont val="Calibri"/>
        <family val="2"/>
      </rPr>
      <t>CIT,BIO</t>
    </r>
    <r>
      <rPr>
        <sz val="11"/>
        <rFont val="Calibri"/>
        <family val="2"/>
      </rPr>
      <t>-i</t>
    </r>
    <r>
      <rPr>
        <vertAlign val="subscript"/>
        <sz val="11"/>
        <rFont val="Calibri"/>
        <family val="2"/>
      </rPr>
      <t>CIT,CH4</t>
    </r>
    <r>
      <rPr>
        <sz val="11"/>
        <rFont val="Calibri"/>
        <family val="2"/>
      </rPr>
      <t>*(1-Y</t>
    </r>
    <r>
      <rPr>
        <vertAlign val="subscript"/>
        <sz val="11"/>
        <rFont val="Calibri"/>
        <family val="2"/>
      </rPr>
      <t>HMETO</t>
    </r>
    <r>
      <rPr>
        <sz val="11"/>
        <rFont val="Calibri"/>
        <family val="2"/>
      </rPr>
      <t>)/Y</t>
    </r>
    <r>
      <rPr>
        <vertAlign val="subscript"/>
        <sz val="11"/>
        <rFont val="Calibri"/>
        <family val="2"/>
      </rPr>
      <t>HMETO</t>
    </r>
  </si>
  <si>
    <r>
      <t>i</t>
    </r>
    <r>
      <rPr>
        <vertAlign val="subscript"/>
        <sz val="11"/>
        <rFont val="Calibri"/>
        <family val="2"/>
      </rPr>
      <t>CIT,MEOL</t>
    </r>
    <r>
      <rPr>
        <sz val="11"/>
        <rFont val="Calibri"/>
        <family val="2"/>
      </rPr>
      <t>-i</t>
    </r>
    <r>
      <rPr>
        <vertAlign val="subscript"/>
        <sz val="11"/>
        <rFont val="Calibri"/>
        <family val="2"/>
      </rPr>
      <t>CIT,VFA</t>
    </r>
    <r>
      <rPr>
        <sz val="11"/>
        <rFont val="Calibri"/>
        <family val="2"/>
      </rPr>
      <t>*2/3</t>
    </r>
  </si>
  <si>
    <r>
      <t>i</t>
    </r>
    <r>
      <rPr>
        <vertAlign val="subscript"/>
        <sz val="11"/>
        <rFont val="Calibri"/>
        <family val="2"/>
      </rPr>
      <t>CIT,VFA</t>
    </r>
    <r>
      <rPr>
        <sz val="11"/>
        <rFont val="Calibri"/>
        <family val="2"/>
      </rPr>
      <t>-i</t>
    </r>
    <r>
      <rPr>
        <vertAlign val="subscript"/>
        <sz val="11"/>
        <rFont val="Calibri"/>
        <family val="2"/>
      </rPr>
      <t>CIT,PHA</t>
    </r>
  </si>
  <si>
    <r>
      <t>i</t>
    </r>
    <r>
      <rPr>
        <vertAlign val="subscript"/>
        <sz val="11"/>
        <rFont val="Calibri"/>
        <family val="2"/>
      </rPr>
      <t>CIT,SB</t>
    </r>
    <r>
      <rPr>
        <sz val="11"/>
        <rFont val="Calibri"/>
        <family val="2"/>
      </rPr>
      <t>*EEQ</t>
    </r>
    <r>
      <rPr>
        <vertAlign val="subscript"/>
        <sz val="11"/>
        <rFont val="Calibri"/>
        <family val="2"/>
      </rPr>
      <t>Fe2</t>
    </r>
    <r>
      <rPr>
        <sz val="11"/>
        <rFont val="Calibri"/>
        <family val="2"/>
      </rPr>
      <t>*S</t>
    </r>
    <r>
      <rPr>
        <vertAlign val="subscript"/>
        <sz val="11"/>
        <rFont val="Calibri"/>
        <family val="2"/>
      </rPr>
      <t>B</t>
    </r>
    <r>
      <rPr>
        <sz val="11"/>
        <rFont val="Calibri"/>
        <family val="2"/>
      </rPr>
      <t>/(S</t>
    </r>
    <r>
      <rPr>
        <vertAlign val="subscript"/>
        <sz val="11"/>
        <rFont val="Calibri"/>
        <family val="2"/>
      </rPr>
      <t>B</t>
    </r>
    <r>
      <rPr>
        <sz val="11"/>
        <rFont val="Calibri"/>
        <family val="2"/>
      </rPr>
      <t>+S</t>
    </r>
    <r>
      <rPr>
        <vertAlign val="subscript"/>
        <sz val="11"/>
        <rFont val="Calibri"/>
        <family val="2"/>
      </rPr>
      <t>VFA</t>
    </r>
    <r>
      <rPr>
        <sz val="11"/>
        <rFont val="Calibri"/>
        <family val="2"/>
      </rPr>
      <t>)+i</t>
    </r>
    <r>
      <rPr>
        <vertAlign val="subscript"/>
        <sz val="11"/>
        <rFont val="Calibri"/>
        <family val="2"/>
      </rPr>
      <t>CIT,VFA</t>
    </r>
    <r>
      <rPr>
        <sz val="11"/>
        <rFont val="Calibri"/>
        <family val="2"/>
      </rPr>
      <t>*EEQ</t>
    </r>
    <r>
      <rPr>
        <vertAlign val="subscript"/>
        <sz val="11"/>
        <rFont val="Calibri"/>
        <family val="2"/>
      </rPr>
      <t>Fe2</t>
    </r>
    <r>
      <rPr>
        <sz val="11"/>
        <rFont val="Calibri"/>
        <family val="2"/>
      </rPr>
      <t>*S</t>
    </r>
    <r>
      <rPr>
        <vertAlign val="subscript"/>
        <sz val="11"/>
        <rFont val="Calibri"/>
        <family val="2"/>
      </rPr>
      <t>VFA</t>
    </r>
    <r>
      <rPr>
        <sz val="11"/>
        <rFont val="Calibri"/>
        <family val="2"/>
      </rPr>
      <t>/(S</t>
    </r>
    <r>
      <rPr>
        <vertAlign val="subscript"/>
        <sz val="11"/>
        <rFont val="Calibri"/>
        <family val="2"/>
      </rPr>
      <t>B</t>
    </r>
    <r>
      <rPr>
        <sz val="11"/>
        <rFont val="Calibri"/>
        <family val="2"/>
      </rPr>
      <t>+S</t>
    </r>
    <r>
      <rPr>
        <vertAlign val="subscript"/>
        <sz val="11"/>
        <rFont val="Calibri"/>
        <family val="2"/>
      </rPr>
      <t>VFA</t>
    </r>
    <r>
      <rPr>
        <sz val="11"/>
        <rFont val="Calibri"/>
        <family val="2"/>
      </rPr>
      <t>)</t>
    </r>
  </si>
  <si>
    <r>
      <t>pH</t>
    </r>
    <r>
      <rPr>
        <vertAlign val="subscript"/>
        <sz val="11"/>
        <rFont val="Calibri"/>
        <family val="2"/>
        <scheme val="minor"/>
      </rPr>
      <t>low,AMETO</t>
    </r>
  </si>
  <si>
    <r>
      <t>pH</t>
    </r>
    <r>
      <rPr>
        <vertAlign val="subscript"/>
        <sz val="11"/>
        <rFont val="Calibri"/>
        <family val="2"/>
        <scheme val="minor"/>
      </rPr>
      <t>high,AMETO</t>
    </r>
  </si>
  <si>
    <r>
      <t>pH</t>
    </r>
    <r>
      <rPr>
        <vertAlign val="subscript"/>
        <sz val="11"/>
        <rFont val="Calibri"/>
        <family val="2"/>
        <scheme val="minor"/>
      </rPr>
      <t>low,HMETO</t>
    </r>
  </si>
  <si>
    <r>
      <t>pH</t>
    </r>
    <r>
      <rPr>
        <vertAlign val="subscript"/>
        <sz val="11"/>
        <rFont val="Calibri"/>
        <family val="2"/>
        <scheme val="minor"/>
      </rPr>
      <t>high,HMETO</t>
    </r>
  </si>
  <si>
    <r>
      <t>Bellinh</t>
    </r>
    <r>
      <rPr>
        <vertAlign val="subscript"/>
        <sz val="11"/>
        <rFont val="Calibri"/>
        <family val="2"/>
        <scheme val="minor"/>
      </rPr>
      <t>pH,AMETO</t>
    </r>
  </si>
  <si>
    <r>
      <t>Bellinh</t>
    </r>
    <r>
      <rPr>
        <vertAlign val="subscript"/>
        <sz val="11"/>
        <rFont val="Calibri"/>
        <family val="2"/>
        <scheme val="minor"/>
      </rPr>
      <t>pH,HMETO</t>
    </r>
  </si>
  <si>
    <r>
      <t>Bellinh(pH;pH</t>
    </r>
    <r>
      <rPr>
        <vertAlign val="subscript"/>
        <sz val="11"/>
        <rFont val="Calibri"/>
        <family val="2"/>
        <scheme val="minor"/>
      </rPr>
      <t>low,AMETO</t>
    </r>
    <r>
      <rPr>
        <sz val="11"/>
        <rFont val="Calibri"/>
        <family val="2"/>
        <scheme val="minor"/>
      </rPr>
      <t>;pH</t>
    </r>
    <r>
      <rPr>
        <vertAlign val="subscript"/>
        <sz val="11"/>
        <rFont val="Calibri"/>
        <family val="2"/>
        <scheme val="minor"/>
      </rPr>
      <t>high,AMETO</t>
    </r>
    <r>
      <rPr>
        <sz val="11"/>
        <rFont val="Calibri"/>
        <family val="2"/>
        <scheme val="minor"/>
      </rPr>
      <t>)</t>
    </r>
  </si>
  <si>
    <r>
      <t>Bellinh(pH;pH</t>
    </r>
    <r>
      <rPr>
        <vertAlign val="subscript"/>
        <sz val="11"/>
        <rFont val="Calibri"/>
        <family val="2"/>
        <scheme val="minor"/>
      </rPr>
      <t>low,HMETO</t>
    </r>
    <r>
      <rPr>
        <sz val="11"/>
        <rFont val="Calibri"/>
        <family val="2"/>
        <scheme val="minor"/>
      </rPr>
      <t>;pH</t>
    </r>
    <r>
      <rPr>
        <vertAlign val="subscript"/>
        <sz val="11"/>
        <rFont val="Calibri"/>
        <family val="2"/>
        <scheme val="minor"/>
      </rPr>
      <t>high,HMETO</t>
    </r>
    <r>
      <rPr>
        <sz val="11"/>
        <rFont val="Calibri"/>
        <family val="2"/>
        <scheme val="minor"/>
      </rPr>
      <t>)</t>
    </r>
  </si>
  <si>
    <r>
      <t>i</t>
    </r>
    <r>
      <rPr>
        <vertAlign val="subscript"/>
        <sz val="11"/>
        <rFont val="Calibri"/>
        <family val="2"/>
      </rPr>
      <t>CIT,BIO</t>
    </r>
    <r>
      <rPr>
        <sz val="11"/>
        <rFont val="Calibri"/>
        <family val="2"/>
      </rPr>
      <t>-i</t>
    </r>
    <r>
      <rPr>
        <vertAlign val="subscript"/>
        <sz val="11"/>
        <rFont val="Calibri"/>
        <family val="2"/>
      </rPr>
      <t>CIT,SB</t>
    </r>
  </si>
  <si>
    <r>
      <t>Hsat</t>
    </r>
    <r>
      <rPr>
        <vertAlign val="subscript"/>
        <sz val="11"/>
        <rFont val="Calibri"/>
        <family val="2"/>
        <scheme val="minor"/>
      </rPr>
      <t>SVFA,AMETO</t>
    </r>
  </si>
  <si>
    <t>HFO kinetics</t>
  </si>
  <si>
    <t>A_MN/M_MSTR</t>
  </si>
  <si>
    <t>A_MP/M_MSTR</t>
  </si>
  <si>
    <t>2*A_MP/M_MACP</t>
  </si>
  <si>
    <t>2*A_MP/M_MVivi</t>
  </si>
  <si>
    <t>HFO stoichiometry</t>
  </si>
  <si>
    <t>Ferrous ions fully dissociated</t>
  </si>
  <si>
    <r>
      <t>m</t>
    </r>
    <r>
      <rPr>
        <vertAlign val="subscript"/>
        <sz val="11"/>
        <rFont val="Calibri"/>
        <family val="2"/>
        <scheme val="minor"/>
      </rPr>
      <t>tox,ana</t>
    </r>
  </si>
  <si>
    <t>unitless</t>
  </si>
  <si>
    <r>
      <t>10^(-A</t>
    </r>
    <r>
      <rPr>
        <vertAlign val="subscript"/>
        <sz val="11"/>
        <rFont val="Calibri"/>
        <family val="2"/>
        <scheme val="minor"/>
      </rPr>
      <t>Davies</t>
    </r>
    <r>
      <rPr>
        <sz val="11"/>
        <rFont val="Calibri"/>
        <family val="2"/>
        <scheme val="minor"/>
      </rPr>
      <t>*1^(2)*(IS</t>
    </r>
    <r>
      <rPr>
        <vertAlign val="subscript"/>
        <sz val="11"/>
        <rFont val="Calibri"/>
        <family val="2"/>
        <scheme val="minor"/>
      </rPr>
      <t>lim</t>
    </r>
    <r>
      <rPr>
        <sz val="11"/>
        <rFont val="Calibri"/>
        <family val="2"/>
        <scheme val="minor"/>
      </rPr>
      <t>^(0.5)/(1+1.5*IS</t>
    </r>
    <r>
      <rPr>
        <vertAlign val="subscript"/>
        <sz val="11"/>
        <rFont val="Calibri"/>
        <family val="2"/>
        <scheme val="minor"/>
      </rPr>
      <t>lim</t>
    </r>
    <r>
      <rPr>
        <sz val="11"/>
        <rFont val="Calibri"/>
        <family val="2"/>
        <scheme val="minor"/>
      </rPr>
      <t>^(0.5))-0.3*IS</t>
    </r>
    <r>
      <rPr>
        <vertAlign val="subscript"/>
        <sz val="11"/>
        <rFont val="Calibri"/>
        <family val="2"/>
        <scheme val="minor"/>
      </rPr>
      <t>lim</t>
    </r>
    <r>
      <rPr>
        <sz val="11"/>
        <rFont val="Calibri"/>
        <family val="2"/>
        <scheme val="minor"/>
      </rPr>
      <t>))</t>
    </r>
  </si>
  <si>
    <r>
      <t>10^(-A</t>
    </r>
    <r>
      <rPr>
        <vertAlign val="subscript"/>
        <sz val="11"/>
        <rFont val="Calibri"/>
        <family val="2"/>
        <scheme val="minor"/>
      </rPr>
      <t>Davies</t>
    </r>
    <r>
      <rPr>
        <sz val="11"/>
        <rFont val="Calibri"/>
        <family val="2"/>
        <scheme val="minor"/>
      </rPr>
      <t>*2^(2)*(IS</t>
    </r>
    <r>
      <rPr>
        <vertAlign val="subscript"/>
        <sz val="11"/>
        <rFont val="Calibri"/>
        <family val="2"/>
        <scheme val="minor"/>
      </rPr>
      <t>lim</t>
    </r>
    <r>
      <rPr>
        <sz val="11"/>
        <rFont val="Calibri"/>
        <family val="2"/>
        <scheme val="minor"/>
      </rPr>
      <t>^(0.5)/(1+1.5*IS</t>
    </r>
    <r>
      <rPr>
        <vertAlign val="subscript"/>
        <sz val="11"/>
        <rFont val="Calibri"/>
        <family val="2"/>
        <scheme val="minor"/>
      </rPr>
      <t>lim</t>
    </r>
    <r>
      <rPr>
        <sz val="11"/>
        <rFont val="Calibri"/>
        <family val="2"/>
        <scheme val="minor"/>
      </rPr>
      <t>^(0.5))-0.3*IS</t>
    </r>
    <r>
      <rPr>
        <vertAlign val="subscript"/>
        <sz val="11"/>
        <rFont val="Calibri"/>
        <family val="2"/>
        <scheme val="minor"/>
      </rPr>
      <t>lim</t>
    </r>
    <r>
      <rPr>
        <sz val="11"/>
        <rFont val="Calibri"/>
        <family val="2"/>
        <scheme val="minor"/>
      </rPr>
      <t>))</t>
    </r>
  </si>
  <si>
    <r>
      <t>10^(-A</t>
    </r>
    <r>
      <rPr>
        <vertAlign val="subscript"/>
        <sz val="11"/>
        <rFont val="Calibri"/>
        <family val="2"/>
        <scheme val="minor"/>
      </rPr>
      <t>Davies</t>
    </r>
    <r>
      <rPr>
        <sz val="11"/>
        <rFont val="Calibri"/>
        <family val="2"/>
        <scheme val="minor"/>
      </rPr>
      <t>*3^(2)*(IS</t>
    </r>
    <r>
      <rPr>
        <vertAlign val="subscript"/>
        <sz val="11"/>
        <rFont val="Calibri"/>
        <family val="2"/>
        <scheme val="minor"/>
      </rPr>
      <t>lim</t>
    </r>
    <r>
      <rPr>
        <sz val="11"/>
        <rFont val="Calibri"/>
        <family val="2"/>
        <scheme val="minor"/>
      </rPr>
      <t>^(0.5)/(1+1.5*IS</t>
    </r>
    <r>
      <rPr>
        <vertAlign val="subscript"/>
        <sz val="11"/>
        <rFont val="Calibri"/>
        <family val="2"/>
        <scheme val="minor"/>
      </rPr>
      <t>lim</t>
    </r>
    <r>
      <rPr>
        <sz val="11"/>
        <rFont val="Calibri"/>
        <family val="2"/>
        <scheme val="minor"/>
      </rPr>
      <t>^(0.5))-0.3*IS</t>
    </r>
    <r>
      <rPr>
        <vertAlign val="subscript"/>
        <sz val="11"/>
        <rFont val="Calibri"/>
        <family val="2"/>
        <scheme val="minor"/>
      </rPr>
      <t>lim</t>
    </r>
    <r>
      <rPr>
        <sz val="11"/>
        <rFont val="Calibri"/>
        <family val="2"/>
        <scheme val="minor"/>
      </rPr>
      <t>))</t>
    </r>
  </si>
  <si>
    <t>Key(940)</t>
  </si>
  <si>
    <t>Key(950)</t>
  </si>
  <si>
    <t>Key(960)</t>
  </si>
  <si>
    <t>Key(970)</t>
  </si>
  <si>
    <t>Key(980)</t>
  </si>
  <si>
    <t>Key(1000)</t>
  </si>
  <si>
    <t>Key(990)</t>
  </si>
  <si>
    <r>
      <t>X</t>
    </r>
    <r>
      <rPr>
        <vertAlign val="subscript"/>
        <sz val="11"/>
        <rFont val="Calibri"/>
        <family val="2"/>
        <scheme val="minor"/>
      </rPr>
      <t>ISS</t>
    </r>
  </si>
  <si>
    <r>
      <t>X</t>
    </r>
    <r>
      <rPr>
        <vertAlign val="subscript"/>
        <sz val="11"/>
        <rFont val="Calibri"/>
        <family val="2"/>
        <scheme val="minor"/>
      </rPr>
      <t>precip</t>
    </r>
  </si>
  <si>
    <r>
      <t>X</t>
    </r>
    <r>
      <rPr>
        <vertAlign val="subscript"/>
        <sz val="11"/>
        <rFont val="Calibri"/>
        <family val="2"/>
        <scheme val="minor"/>
      </rPr>
      <t>HFO,TSS</t>
    </r>
  </si>
  <si>
    <t>Total HFOs in TSS unit</t>
  </si>
  <si>
    <t>Dry matter</t>
  </si>
  <si>
    <r>
      <t>X</t>
    </r>
    <r>
      <rPr>
        <vertAlign val="subscript"/>
        <sz val="11"/>
        <rFont val="Calibri"/>
        <family val="2"/>
        <scheme val="minor"/>
      </rPr>
      <t>DM</t>
    </r>
  </si>
  <si>
    <r>
      <t>g.m</t>
    </r>
    <r>
      <rPr>
        <vertAlign val="superscript"/>
        <sz val="11"/>
        <rFont val="Calibri"/>
        <family val="2"/>
      </rPr>
      <t>-3</t>
    </r>
    <r>
      <rPr>
        <sz val="11"/>
        <rFont val="Calibri"/>
        <family val="2"/>
      </rPr>
      <t>.d</t>
    </r>
    <r>
      <rPr>
        <vertAlign val="superscript"/>
        <sz val="11"/>
        <rFont val="Calibri"/>
        <family val="2"/>
      </rPr>
      <t>-1</t>
    </r>
  </si>
  <si>
    <r>
      <t>MM</t>
    </r>
    <r>
      <rPr>
        <vertAlign val="subscript"/>
        <sz val="11"/>
        <rFont val="Calibri"/>
        <family val="2"/>
        <scheme val="minor"/>
      </rPr>
      <t>air</t>
    </r>
  </si>
  <si>
    <t>Molar mass of air</t>
  </si>
  <si>
    <r>
      <t>MM</t>
    </r>
    <r>
      <rPr>
        <vertAlign val="subscript"/>
        <sz val="11"/>
        <rFont val="Calibri"/>
        <family val="2"/>
        <scheme val="minor"/>
      </rPr>
      <t>NaCl</t>
    </r>
  </si>
  <si>
    <t>Molecular mass of NaCl</t>
  </si>
  <si>
    <r>
      <t>MM</t>
    </r>
    <r>
      <rPr>
        <vertAlign val="subscript"/>
        <sz val="11"/>
        <rFont val="Calibri"/>
        <family val="2"/>
        <scheme val="minor"/>
      </rPr>
      <t>NaOH</t>
    </r>
  </si>
  <si>
    <t>Molecular mass of NaOH</t>
  </si>
  <si>
    <r>
      <t>MM</t>
    </r>
    <r>
      <rPr>
        <vertAlign val="subscript"/>
        <sz val="11"/>
        <rFont val="Calibri"/>
        <family val="2"/>
        <scheme val="minor"/>
      </rPr>
      <t>MMC</t>
    </r>
  </si>
  <si>
    <t>Molecular mass of methyl mercaptan</t>
  </si>
  <si>
    <r>
      <t>g N.mol</t>
    </r>
    <r>
      <rPr>
        <vertAlign val="superscript"/>
        <sz val="11"/>
        <rFont val="Calibri"/>
        <family val="2"/>
        <scheme val="minor"/>
      </rPr>
      <t>-1</t>
    </r>
  </si>
  <si>
    <r>
      <t>g COD.mol</t>
    </r>
    <r>
      <rPr>
        <vertAlign val="superscript"/>
        <sz val="11"/>
        <rFont val="Calibri"/>
        <family val="2"/>
        <scheme val="minor"/>
      </rPr>
      <t>-1</t>
    </r>
  </si>
  <si>
    <r>
      <t>g S.mol</t>
    </r>
    <r>
      <rPr>
        <vertAlign val="superscript"/>
        <sz val="11"/>
        <rFont val="Calibri"/>
        <family val="2"/>
        <scheme val="minor"/>
      </rPr>
      <t>-1</t>
    </r>
  </si>
  <si>
    <r>
      <t>g COD.g N</t>
    </r>
    <r>
      <rPr>
        <vertAlign val="superscript"/>
        <sz val="11"/>
        <rFont val="Calibri"/>
        <family val="2"/>
      </rPr>
      <t>-1</t>
    </r>
  </si>
  <si>
    <r>
      <t>g COD.g Fe</t>
    </r>
    <r>
      <rPr>
        <vertAlign val="superscript"/>
        <sz val="11"/>
        <rFont val="Calibri"/>
        <family val="2"/>
      </rPr>
      <t>-1</t>
    </r>
  </si>
  <si>
    <r>
      <t>g COD.g S</t>
    </r>
    <r>
      <rPr>
        <vertAlign val="superscript"/>
        <sz val="11"/>
        <rFont val="Calibri"/>
        <family val="2"/>
      </rPr>
      <t>-1</t>
    </r>
  </si>
  <si>
    <r>
      <t>g COD.g S</t>
    </r>
    <r>
      <rPr>
        <vertAlign val="superscript"/>
        <sz val="11"/>
        <rFont val="Calibri"/>
        <family val="2"/>
        <scheme val="minor"/>
      </rPr>
      <t>-1</t>
    </r>
  </si>
  <si>
    <r>
      <t>ppm.m</t>
    </r>
    <r>
      <rPr>
        <vertAlign val="superscript"/>
        <sz val="11"/>
        <rFont val="Calibri"/>
        <family val="2"/>
        <scheme val="minor"/>
      </rPr>
      <t>-3</t>
    </r>
    <r>
      <rPr>
        <sz val="11"/>
        <rFont val="Calibri"/>
        <family val="2"/>
        <scheme val="minor"/>
      </rPr>
      <t>.m</t>
    </r>
    <r>
      <rPr>
        <vertAlign val="superscript"/>
        <sz val="11"/>
        <rFont val="Calibri"/>
        <family val="2"/>
        <scheme val="minor"/>
      </rPr>
      <t>3</t>
    </r>
  </si>
  <si>
    <r>
      <t>%.v.v</t>
    </r>
    <r>
      <rPr>
        <vertAlign val="superscript"/>
        <sz val="11"/>
        <rFont val="Calibri"/>
        <family val="2"/>
        <scheme val="minor"/>
      </rPr>
      <t>-1</t>
    </r>
  </si>
  <si>
    <t>Conversion coefficient between pascal and Hgmm</t>
  </si>
  <si>
    <t>Conversion coefficient between pascal and bar</t>
  </si>
  <si>
    <t>Conversion coefficient between square centimeters and square meters</t>
  </si>
  <si>
    <r>
      <t>c</t>
    </r>
    <r>
      <rPr>
        <vertAlign val="subscript"/>
        <sz val="11"/>
        <rFont val="Calibri"/>
        <family val="2"/>
        <scheme val="minor"/>
      </rPr>
      <t>cm3,m3</t>
    </r>
  </si>
  <si>
    <t>Conversion coefficient between cubic centimeters and cubic meters</t>
  </si>
  <si>
    <r>
      <t>cm</t>
    </r>
    <r>
      <rPr>
        <vertAlign val="superscript"/>
        <sz val="11"/>
        <rFont val="Calibri"/>
        <family val="2"/>
        <scheme val="minor"/>
      </rPr>
      <t>3</t>
    </r>
    <r>
      <rPr>
        <sz val="11"/>
        <rFont val="Calibri"/>
        <family val="2"/>
        <scheme val="minor"/>
      </rPr>
      <t>.m</t>
    </r>
    <r>
      <rPr>
        <vertAlign val="superscript"/>
        <sz val="11"/>
        <rFont val="Calibri"/>
        <family val="2"/>
        <scheme val="minor"/>
      </rPr>
      <t>-3</t>
    </r>
  </si>
  <si>
    <t>Standard enthalpy change of reactions</t>
  </si>
  <si>
    <t>Formula</t>
  </si>
  <si>
    <r>
      <t>dH</t>
    </r>
    <r>
      <rPr>
        <vertAlign val="subscript"/>
        <sz val="11"/>
        <rFont val="Calibri"/>
        <family val="2"/>
        <scheme val="minor"/>
      </rPr>
      <t>diss,H2O</t>
    </r>
  </si>
  <si>
    <t>Standard enthalpy change of dissociation of water</t>
  </si>
  <si>
    <r>
      <t>(H</t>
    </r>
    <r>
      <rPr>
        <vertAlign val="subscript"/>
        <sz val="11"/>
        <rFont val="Calibri"/>
        <family val="2"/>
        <scheme val="minor"/>
      </rPr>
      <t>OHm</t>
    </r>
    <r>
      <rPr>
        <sz val="11"/>
        <rFont val="Calibri"/>
        <family val="2"/>
        <scheme val="minor"/>
      </rPr>
      <t xml:space="preserve"> + H</t>
    </r>
    <r>
      <rPr>
        <vertAlign val="subscript"/>
        <sz val="11"/>
        <rFont val="Calibri"/>
        <family val="2"/>
        <scheme val="minor"/>
      </rPr>
      <t>Hp</t>
    </r>
    <r>
      <rPr>
        <sz val="11"/>
        <rFont val="Calibri"/>
        <family val="2"/>
        <scheme val="minor"/>
      </rPr>
      <t>) - H</t>
    </r>
    <r>
      <rPr>
        <vertAlign val="subscript"/>
        <sz val="11"/>
        <rFont val="Calibri"/>
        <family val="2"/>
        <scheme val="minor"/>
      </rPr>
      <t>H2O</t>
    </r>
  </si>
  <si>
    <r>
      <t>dH</t>
    </r>
    <r>
      <rPr>
        <vertAlign val="subscript"/>
        <sz val="11"/>
        <rFont val="Calibri"/>
        <family val="2"/>
        <scheme val="minor"/>
      </rPr>
      <t>ion,amm</t>
    </r>
  </si>
  <si>
    <t>Standard enthalpy change of ammonia ionization</t>
  </si>
  <si>
    <r>
      <t>dH</t>
    </r>
    <r>
      <rPr>
        <vertAlign val="subscript"/>
        <sz val="11"/>
        <rFont val="Calibri"/>
        <family val="2"/>
        <scheme val="minor"/>
      </rPr>
      <t>diss,CO2,1</t>
    </r>
  </si>
  <si>
    <t>Standard enthalpy change of carbonate dissociation, first step</t>
  </si>
  <si>
    <r>
      <t>(H</t>
    </r>
    <r>
      <rPr>
        <vertAlign val="subscript"/>
        <sz val="11"/>
        <rFont val="Calibri"/>
        <family val="2"/>
        <scheme val="minor"/>
      </rPr>
      <t>HCO3m</t>
    </r>
    <r>
      <rPr>
        <sz val="11"/>
        <rFont val="Calibri"/>
        <family val="2"/>
        <scheme val="minor"/>
      </rPr>
      <t xml:space="preserve"> + H</t>
    </r>
    <r>
      <rPr>
        <vertAlign val="subscript"/>
        <sz val="11"/>
        <rFont val="Calibri"/>
        <family val="2"/>
        <scheme val="minor"/>
      </rPr>
      <t>Hp</t>
    </r>
    <r>
      <rPr>
        <sz val="11"/>
        <rFont val="Calibri"/>
        <family val="2"/>
        <scheme val="minor"/>
      </rPr>
      <t>) - H</t>
    </r>
    <r>
      <rPr>
        <vertAlign val="subscript"/>
        <sz val="11"/>
        <rFont val="Calibri"/>
        <family val="2"/>
        <scheme val="minor"/>
      </rPr>
      <t>H2CO3</t>
    </r>
  </si>
  <si>
    <r>
      <t>dH</t>
    </r>
    <r>
      <rPr>
        <vertAlign val="subscript"/>
        <sz val="11"/>
        <rFont val="Calibri"/>
        <family val="2"/>
        <scheme val="minor"/>
      </rPr>
      <t>diss,CO2,2</t>
    </r>
  </si>
  <si>
    <t>Standard enthalpy change of carbonate dissociation, second step</t>
  </si>
  <si>
    <r>
      <t>(H</t>
    </r>
    <r>
      <rPr>
        <vertAlign val="subscript"/>
        <sz val="11"/>
        <rFont val="Calibri"/>
        <family val="2"/>
        <scheme val="minor"/>
      </rPr>
      <t>Hp</t>
    </r>
    <r>
      <rPr>
        <sz val="11"/>
        <rFont val="Calibri"/>
        <family val="2"/>
        <scheme val="minor"/>
      </rPr>
      <t xml:space="preserve"> + H</t>
    </r>
    <r>
      <rPr>
        <vertAlign val="subscript"/>
        <sz val="11"/>
        <rFont val="Calibri"/>
        <family val="2"/>
        <scheme val="minor"/>
      </rPr>
      <t>CO32m</t>
    </r>
    <r>
      <rPr>
        <sz val="11"/>
        <rFont val="Calibri"/>
        <family val="2"/>
        <scheme val="minor"/>
      </rPr>
      <t>) - (H</t>
    </r>
    <r>
      <rPr>
        <vertAlign val="subscript"/>
        <sz val="11"/>
        <rFont val="Calibri"/>
        <family val="2"/>
        <scheme val="minor"/>
      </rPr>
      <t>HCO3m</t>
    </r>
    <r>
      <rPr>
        <sz val="11"/>
        <rFont val="Calibri"/>
        <family val="2"/>
        <scheme val="minor"/>
      </rPr>
      <t>)</t>
    </r>
  </si>
  <si>
    <r>
      <t>dH</t>
    </r>
    <r>
      <rPr>
        <vertAlign val="subscript"/>
        <sz val="11"/>
        <rFont val="Calibri"/>
        <family val="2"/>
        <scheme val="minor"/>
      </rPr>
      <t>diss,PO4,1</t>
    </r>
  </si>
  <si>
    <t>Standard enthalpy change of phosphate dissociation, first step</t>
  </si>
  <si>
    <r>
      <t>(H</t>
    </r>
    <r>
      <rPr>
        <vertAlign val="subscript"/>
        <sz val="11"/>
        <rFont val="Calibri"/>
        <family val="2"/>
        <scheme val="minor"/>
      </rPr>
      <t>Hp</t>
    </r>
    <r>
      <rPr>
        <sz val="11"/>
        <rFont val="Calibri"/>
        <family val="2"/>
        <scheme val="minor"/>
      </rPr>
      <t xml:space="preserve"> + H</t>
    </r>
    <r>
      <rPr>
        <vertAlign val="subscript"/>
        <sz val="11"/>
        <rFont val="Calibri"/>
        <family val="2"/>
        <scheme val="minor"/>
      </rPr>
      <t>H2PO4m</t>
    </r>
    <r>
      <rPr>
        <sz val="11"/>
        <rFont val="Calibri"/>
        <family val="2"/>
        <scheme val="minor"/>
      </rPr>
      <t>) - (H</t>
    </r>
    <r>
      <rPr>
        <vertAlign val="subscript"/>
        <sz val="11"/>
        <rFont val="Calibri"/>
        <family val="2"/>
        <scheme val="minor"/>
      </rPr>
      <t>H3PO4</t>
    </r>
    <r>
      <rPr>
        <sz val="11"/>
        <rFont val="Calibri"/>
        <family val="2"/>
        <scheme val="minor"/>
      </rPr>
      <t>)</t>
    </r>
  </si>
  <si>
    <r>
      <t>dH</t>
    </r>
    <r>
      <rPr>
        <vertAlign val="subscript"/>
        <sz val="11"/>
        <rFont val="Calibri"/>
        <family val="2"/>
        <scheme val="minor"/>
      </rPr>
      <t>diss,PO4,2</t>
    </r>
  </si>
  <si>
    <t>Standard enthalpy change of phosphate dissociation, second step</t>
  </si>
  <si>
    <r>
      <t>(H</t>
    </r>
    <r>
      <rPr>
        <vertAlign val="subscript"/>
        <sz val="11"/>
        <rFont val="Calibri"/>
        <family val="2"/>
        <scheme val="minor"/>
      </rPr>
      <t>Hp</t>
    </r>
    <r>
      <rPr>
        <sz val="11"/>
        <rFont val="Calibri"/>
        <family val="2"/>
        <scheme val="minor"/>
      </rPr>
      <t xml:space="preserve"> + H</t>
    </r>
    <r>
      <rPr>
        <vertAlign val="subscript"/>
        <sz val="11"/>
        <rFont val="Calibri"/>
        <family val="2"/>
        <scheme val="minor"/>
      </rPr>
      <t>HPO42m</t>
    </r>
    <r>
      <rPr>
        <sz val="11"/>
        <rFont val="Calibri"/>
        <family val="2"/>
        <scheme val="minor"/>
      </rPr>
      <t>) - (H</t>
    </r>
    <r>
      <rPr>
        <vertAlign val="subscript"/>
        <sz val="11"/>
        <rFont val="Calibri"/>
        <family val="2"/>
        <scheme val="minor"/>
      </rPr>
      <t>H2PO4m</t>
    </r>
    <r>
      <rPr>
        <sz val="11"/>
        <rFont val="Calibri"/>
        <family val="2"/>
        <scheme val="minor"/>
      </rPr>
      <t>)</t>
    </r>
  </si>
  <si>
    <r>
      <t>dH</t>
    </r>
    <r>
      <rPr>
        <vertAlign val="subscript"/>
        <sz val="11"/>
        <rFont val="Calibri"/>
        <family val="2"/>
        <scheme val="minor"/>
      </rPr>
      <t>diss,PO4,3</t>
    </r>
  </si>
  <si>
    <t>Standard enthalpy change of phosphate dissociation, third step</t>
  </si>
  <si>
    <r>
      <t>(H</t>
    </r>
    <r>
      <rPr>
        <vertAlign val="subscript"/>
        <sz val="11"/>
        <rFont val="Calibri"/>
        <family val="2"/>
        <scheme val="minor"/>
      </rPr>
      <t>Hp</t>
    </r>
    <r>
      <rPr>
        <sz val="11"/>
        <rFont val="Calibri"/>
        <family val="2"/>
        <scheme val="minor"/>
      </rPr>
      <t xml:space="preserve"> + H</t>
    </r>
    <r>
      <rPr>
        <vertAlign val="subscript"/>
        <sz val="11"/>
        <rFont val="Calibri"/>
        <family val="2"/>
        <scheme val="minor"/>
      </rPr>
      <t>PO43m</t>
    </r>
    <r>
      <rPr>
        <sz val="11"/>
        <rFont val="Calibri"/>
        <family val="2"/>
        <scheme val="minor"/>
      </rPr>
      <t>) - (H</t>
    </r>
    <r>
      <rPr>
        <vertAlign val="subscript"/>
        <sz val="11"/>
        <rFont val="Calibri"/>
        <family val="2"/>
        <scheme val="minor"/>
      </rPr>
      <t>HPO42m</t>
    </r>
    <r>
      <rPr>
        <sz val="11"/>
        <rFont val="Calibri"/>
        <family val="2"/>
        <scheme val="minor"/>
      </rPr>
      <t>)</t>
    </r>
  </si>
  <si>
    <r>
      <t>dH</t>
    </r>
    <r>
      <rPr>
        <vertAlign val="subscript"/>
        <sz val="11"/>
        <rFont val="Calibri"/>
        <family val="2"/>
        <scheme val="minor"/>
      </rPr>
      <t>diss,VFA</t>
    </r>
  </si>
  <si>
    <t>Standard enthalpy change of VFA dissociation</t>
  </si>
  <si>
    <r>
      <t>(H</t>
    </r>
    <r>
      <rPr>
        <vertAlign val="subscript"/>
        <sz val="11"/>
        <rFont val="Calibri"/>
        <family val="2"/>
        <scheme val="minor"/>
      </rPr>
      <t>Hp</t>
    </r>
    <r>
      <rPr>
        <sz val="11"/>
        <rFont val="Calibri"/>
        <family val="2"/>
        <scheme val="minor"/>
      </rPr>
      <t xml:space="preserve"> + H</t>
    </r>
    <r>
      <rPr>
        <vertAlign val="subscript"/>
        <sz val="11"/>
        <rFont val="Calibri"/>
        <family val="2"/>
        <scheme val="minor"/>
      </rPr>
      <t>Acm</t>
    </r>
    <r>
      <rPr>
        <sz val="11"/>
        <rFont val="Calibri"/>
        <family val="2"/>
        <scheme val="minor"/>
      </rPr>
      <t>) - (H</t>
    </r>
    <r>
      <rPr>
        <vertAlign val="subscript"/>
        <sz val="11"/>
        <rFont val="Calibri"/>
        <family val="2"/>
        <scheme val="minor"/>
      </rPr>
      <t>HAc</t>
    </r>
    <r>
      <rPr>
        <sz val="11"/>
        <rFont val="Calibri"/>
        <family val="2"/>
        <scheme val="minor"/>
      </rPr>
      <t>)</t>
    </r>
  </si>
  <si>
    <r>
      <t>dH</t>
    </r>
    <r>
      <rPr>
        <vertAlign val="subscript"/>
        <sz val="11"/>
        <rFont val="Calibri"/>
        <family val="2"/>
        <scheme val="minor"/>
      </rPr>
      <t>diss,S,1</t>
    </r>
  </si>
  <si>
    <t>Standard enthalpy change of sulfide dissociation, first step</t>
  </si>
  <si>
    <r>
      <t>(H</t>
    </r>
    <r>
      <rPr>
        <vertAlign val="subscript"/>
        <sz val="11"/>
        <rFont val="Calibri"/>
        <family val="2"/>
        <scheme val="minor"/>
      </rPr>
      <t>HSm</t>
    </r>
    <r>
      <rPr>
        <sz val="11"/>
        <rFont val="Calibri"/>
        <family val="2"/>
        <scheme val="minor"/>
      </rPr>
      <t xml:space="preserve"> + H</t>
    </r>
    <r>
      <rPr>
        <vertAlign val="subscript"/>
        <sz val="11"/>
        <rFont val="Calibri"/>
        <family val="2"/>
        <scheme val="minor"/>
      </rPr>
      <t>H3Op</t>
    </r>
    <r>
      <rPr>
        <sz val="11"/>
        <rFont val="Calibri"/>
        <family val="2"/>
        <scheme val="minor"/>
      </rPr>
      <t>) - (H</t>
    </r>
    <r>
      <rPr>
        <vertAlign val="subscript"/>
        <sz val="11"/>
        <rFont val="Calibri"/>
        <family val="2"/>
        <scheme val="minor"/>
      </rPr>
      <t>H2S</t>
    </r>
    <r>
      <rPr>
        <sz val="11"/>
        <rFont val="Calibri"/>
        <family val="2"/>
        <scheme val="minor"/>
      </rPr>
      <t xml:space="preserve"> + H</t>
    </r>
    <r>
      <rPr>
        <vertAlign val="subscript"/>
        <sz val="11"/>
        <rFont val="Calibri"/>
        <family val="2"/>
        <scheme val="minor"/>
      </rPr>
      <t>H2O</t>
    </r>
    <r>
      <rPr>
        <sz val="11"/>
        <rFont val="Calibri"/>
        <family val="2"/>
        <scheme val="minor"/>
      </rPr>
      <t>)</t>
    </r>
  </si>
  <si>
    <r>
      <t>dH</t>
    </r>
    <r>
      <rPr>
        <vertAlign val="subscript"/>
        <sz val="11"/>
        <rFont val="Calibri"/>
        <family val="2"/>
        <scheme val="minor"/>
      </rPr>
      <t>diss,S,2</t>
    </r>
  </si>
  <si>
    <t>Standard enthalpy change of sulfide dissociation, second step</t>
  </si>
  <si>
    <r>
      <t>(H</t>
    </r>
    <r>
      <rPr>
        <vertAlign val="subscript"/>
        <sz val="11"/>
        <rFont val="Calibri"/>
        <family val="2"/>
        <scheme val="minor"/>
      </rPr>
      <t>H3Op</t>
    </r>
    <r>
      <rPr>
        <sz val="11"/>
        <rFont val="Calibri"/>
        <family val="2"/>
        <scheme val="minor"/>
      </rPr>
      <t xml:space="preserve"> + H</t>
    </r>
    <r>
      <rPr>
        <vertAlign val="subscript"/>
        <sz val="11"/>
        <rFont val="Calibri"/>
        <family val="2"/>
        <scheme val="minor"/>
      </rPr>
      <t>S2m</t>
    </r>
    <r>
      <rPr>
        <sz val="11"/>
        <rFont val="Calibri"/>
        <family val="2"/>
        <scheme val="minor"/>
      </rPr>
      <t>) - (H</t>
    </r>
    <r>
      <rPr>
        <vertAlign val="subscript"/>
        <sz val="11"/>
        <rFont val="Calibri"/>
        <family val="2"/>
        <scheme val="minor"/>
      </rPr>
      <t>HSm</t>
    </r>
    <r>
      <rPr>
        <sz val="11"/>
        <rFont val="Calibri"/>
        <family val="2"/>
        <scheme val="minor"/>
      </rPr>
      <t xml:space="preserve"> + H</t>
    </r>
    <r>
      <rPr>
        <vertAlign val="subscript"/>
        <sz val="11"/>
        <rFont val="Calibri"/>
        <family val="2"/>
        <scheme val="minor"/>
      </rPr>
      <t>H2O</t>
    </r>
    <r>
      <rPr>
        <sz val="11"/>
        <rFont val="Calibri"/>
        <family val="2"/>
        <scheme val="minor"/>
      </rPr>
      <t>)</t>
    </r>
  </si>
  <si>
    <r>
      <t>dH</t>
    </r>
    <r>
      <rPr>
        <vertAlign val="subscript"/>
        <sz val="11"/>
        <rFont val="Calibri"/>
        <family val="2"/>
        <scheme val="minor"/>
      </rPr>
      <t>diss,SO4,1</t>
    </r>
  </si>
  <si>
    <t>Standard enthalpy change of sulfate dissociation, first step</t>
  </si>
  <si>
    <r>
      <t>(H</t>
    </r>
    <r>
      <rPr>
        <vertAlign val="subscript"/>
        <sz val="11"/>
        <rFont val="Calibri"/>
        <family val="2"/>
        <scheme val="minor"/>
      </rPr>
      <t>HSO4m</t>
    </r>
    <r>
      <rPr>
        <sz val="11"/>
        <rFont val="Calibri"/>
        <family val="2"/>
        <scheme val="minor"/>
      </rPr>
      <t xml:space="preserve"> + H</t>
    </r>
    <r>
      <rPr>
        <vertAlign val="subscript"/>
        <sz val="11"/>
        <rFont val="Calibri"/>
        <family val="2"/>
        <scheme val="minor"/>
      </rPr>
      <t>H3Op</t>
    </r>
    <r>
      <rPr>
        <sz val="11"/>
        <rFont val="Calibri"/>
        <family val="2"/>
        <scheme val="minor"/>
      </rPr>
      <t>) - (H</t>
    </r>
    <r>
      <rPr>
        <vertAlign val="subscript"/>
        <sz val="11"/>
        <rFont val="Calibri"/>
        <family val="2"/>
        <scheme val="minor"/>
      </rPr>
      <t>H2SO4</t>
    </r>
    <r>
      <rPr>
        <sz val="11"/>
        <rFont val="Calibri"/>
        <family val="2"/>
        <scheme val="minor"/>
      </rPr>
      <t xml:space="preserve"> + H</t>
    </r>
    <r>
      <rPr>
        <vertAlign val="subscript"/>
        <sz val="11"/>
        <rFont val="Calibri"/>
        <family val="2"/>
        <scheme val="minor"/>
      </rPr>
      <t>H2O</t>
    </r>
    <r>
      <rPr>
        <sz val="11"/>
        <rFont val="Calibri"/>
        <family val="2"/>
        <scheme val="minor"/>
      </rPr>
      <t>)</t>
    </r>
  </si>
  <si>
    <r>
      <t>dH</t>
    </r>
    <r>
      <rPr>
        <vertAlign val="subscript"/>
        <sz val="11"/>
        <rFont val="Calibri"/>
        <family val="2"/>
        <scheme val="minor"/>
      </rPr>
      <t>diss,SO4,2</t>
    </r>
  </si>
  <si>
    <t>Standard enthalpy change of sulfate dissociation, second step</t>
  </si>
  <si>
    <r>
      <t>(H</t>
    </r>
    <r>
      <rPr>
        <vertAlign val="subscript"/>
        <sz val="11"/>
        <rFont val="Calibri"/>
        <family val="2"/>
        <scheme val="minor"/>
      </rPr>
      <t>H3Op</t>
    </r>
    <r>
      <rPr>
        <sz val="11"/>
        <rFont val="Calibri"/>
        <family val="2"/>
        <scheme val="minor"/>
      </rPr>
      <t xml:space="preserve"> + H</t>
    </r>
    <r>
      <rPr>
        <vertAlign val="subscript"/>
        <sz val="11"/>
        <rFont val="Calibri"/>
        <family val="2"/>
        <scheme val="minor"/>
      </rPr>
      <t>SO42m</t>
    </r>
    <r>
      <rPr>
        <sz val="11"/>
        <rFont val="Calibri"/>
        <family val="2"/>
        <scheme val="minor"/>
      </rPr>
      <t>) - (H</t>
    </r>
    <r>
      <rPr>
        <vertAlign val="subscript"/>
        <sz val="11"/>
        <rFont val="Calibri"/>
        <family val="2"/>
        <scheme val="minor"/>
      </rPr>
      <t>HSO4m</t>
    </r>
    <r>
      <rPr>
        <sz val="11"/>
        <rFont val="Calibri"/>
        <family val="2"/>
        <scheme val="minor"/>
      </rPr>
      <t xml:space="preserve"> + H</t>
    </r>
    <r>
      <rPr>
        <vertAlign val="subscript"/>
        <sz val="11"/>
        <rFont val="Calibri"/>
        <family val="2"/>
        <scheme val="minor"/>
      </rPr>
      <t>H2O</t>
    </r>
    <r>
      <rPr>
        <sz val="11"/>
        <rFont val="Calibri"/>
        <family val="2"/>
        <scheme val="minor"/>
      </rPr>
      <t>)</t>
    </r>
  </si>
  <si>
    <r>
      <t>dH</t>
    </r>
    <r>
      <rPr>
        <vertAlign val="subscript"/>
        <sz val="11"/>
        <rFont val="Calibri"/>
        <family val="2"/>
        <scheme val="minor"/>
      </rPr>
      <t>CaOHp</t>
    </r>
  </si>
  <si>
    <r>
      <t>Standard enthalpy change for ion pairing of CaOH</t>
    </r>
    <r>
      <rPr>
        <vertAlign val="superscript"/>
        <sz val="11"/>
        <rFont val="Calibri"/>
        <family val="2"/>
        <scheme val="minor"/>
      </rPr>
      <t>+</t>
    </r>
  </si>
  <si>
    <r>
      <t>dH</t>
    </r>
    <r>
      <rPr>
        <vertAlign val="subscript"/>
        <sz val="11"/>
        <rFont val="Calibri"/>
        <family val="2"/>
        <scheme val="minor"/>
      </rPr>
      <t>CaCO3</t>
    </r>
  </si>
  <si>
    <r>
      <t>Standard enthalpy change for ion pairing of CaCO</t>
    </r>
    <r>
      <rPr>
        <vertAlign val="subscript"/>
        <sz val="11"/>
        <rFont val="Calibri"/>
        <family val="2"/>
        <scheme val="minor"/>
      </rPr>
      <t>3</t>
    </r>
  </si>
  <si>
    <r>
      <t>dH</t>
    </r>
    <r>
      <rPr>
        <vertAlign val="subscript"/>
        <sz val="11"/>
        <rFont val="Calibri"/>
        <family val="2"/>
        <scheme val="minor"/>
      </rPr>
      <t>CaHCO3p</t>
    </r>
  </si>
  <si>
    <r>
      <t>Standard enthalpy change for ion pairing of CaHCO</t>
    </r>
    <r>
      <rPr>
        <vertAlign val="subscript"/>
        <sz val="11"/>
        <rFont val="Calibri"/>
        <family val="2"/>
        <scheme val="minor"/>
      </rPr>
      <t>3</t>
    </r>
    <r>
      <rPr>
        <vertAlign val="superscript"/>
        <sz val="11"/>
        <rFont val="Calibri"/>
        <family val="2"/>
        <scheme val="minor"/>
      </rPr>
      <t>+</t>
    </r>
  </si>
  <si>
    <r>
      <t>dH</t>
    </r>
    <r>
      <rPr>
        <vertAlign val="subscript"/>
        <sz val="11"/>
        <rFont val="Calibri"/>
        <family val="2"/>
        <scheme val="minor"/>
      </rPr>
      <t>CaPO4m</t>
    </r>
  </si>
  <si>
    <r>
      <t>Standard enthalpy change for ion pairing of CaPO</t>
    </r>
    <r>
      <rPr>
        <vertAlign val="subscript"/>
        <sz val="11"/>
        <rFont val="Calibri"/>
        <family val="2"/>
        <scheme val="minor"/>
      </rPr>
      <t>4</t>
    </r>
    <r>
      <rPr>
        <vertAlign val="superscript"/>
        <sz val="11"/>
        <rFont val="Calibri"/>
        <family val="2"/>
        <scheme val="minor"/>
      </rPr>
      <t>-</t>
    </r>
  </si>
  <si>
    <r>
      <t>dH</t>
    </r>
    <r>
      <rPr>
        <vertAlign val="subscript"/>
        <sz val="11"/>
        <rFont val="Calibri"/>
        <family val="2"/>
        <scheme val="minor"/>
      </rPr>
      <t>CaHPO4</t>
    </r>
  </si>
  <si>
    <r>
      <t>Standard enthalpy change for ion pairing of CaHPO</t>
    </r>
    <r>
      <rPr>
        <vertAlign val="subscript"/>
        <sz val="11"/>
        <rFont val="Calibri"/>
        <family val="2"/>
        <scheme val="minor"/>
      </rPr>
      <t>4</t>
    </r>
  </si>
  <si>
    <r>
      <t>dH</t>
    </r>
    <r>
      <rPr>
        <vertAlign val="subscript"/>
        <sz val="11"/>
        <rFont val="Calibri"/>
        <family val="2"/>
        <scheme val="minor"/>
      </rPr>
      <t>CaH2PO4p</t>
    </r>
  </si>
  <si>
    <r>
      <t>Standard enthalpy change for ion pairing of CaH</t>
    </r>
    <r>
      <rPr>
        <vertAlign val="subscript"/>
        <sz val="11"/>
        <rFont val="Calibri"/>
        <family val="2"/>
        <scheme val="minor"/>
      </rPr>
      <t>2</t>
    </r>
    <r>
      <rPr>
        <sz val="11"/>
        <rFont val="Calibri"/>
        <family val="2"/>
        <scheme val="minor"/>
      </rPr>
      <t>PO</t>
    </r>
    <r>
      <rPr>
        <vertAlign val="subscript"/>
        <sz val="11"/>
        <rFont val="Calibri"/>
        <family val="2"/>
        <scheme val="minor"/>
      </rPr>
      <t>4</t>
    </r>
    <r>
      <rPr>
        <vertAlign val="superscript"/>
        <sz val="11"/>
        <rFont val="Calibri"/>
        <family val="2"/>
        <scheme val="minor"/>
      </rPr>
      <t>+</t>
    </r>
  </si>
  <si>
    <r>
      <t>dH</t>
    </r>
    <r>
      <rPr>
        <vertAlign val="subscript"/>
        <sz val="11"/>
        <rFont val="Calibri"/>
        <family val="2"/>
        <scheme val="minor"/>
      </rPr>
      <t>MgOHp</t>
    </r>
  </si>
  <si>
    <r>
      <t>Standard enthalpy change for ion pairing of MgOH</t>
    </r>
    <r>
      <rPr>
        <vertAlign val="superscript"/>
        <sz val="11"/>
        <rFont val="Calibri"/>
        <family val="2"/>
        <scheme val="minor"/>
      </rPr>
      <t>+</t>
    </r>
  </si>
  <si>
    <r>
      <t>dH</t>
    </r>
    <r>
      <rPr>
        <vertAlign val="subscript"/>
        <sz val="11"/>
        <rFont val="Calibri"/>
        <family val="2"/>
        <scheme val="minor"/>
      </rPr>
      <t>MgCO3</t>
    </r>
  </si>
  <si>
    <r>
      <t>Standard enthalpy change for ion pairing of MgCO</t>
    </r>
    <r>
      <rPr>
        <vertAlign val="subscript"/>
        <sz val="11"/>
        <rFont val="Calibri"/>
        <family val="2"/>
        <scheme val="minor"/>
      </rPr>
      <t>3</t>
    </r>
  </si>
  <si>
    <r>
      <t>dH</t>
    </r>
    <r>
      <rPr>
        <vertAlign val="subscript"/>
        <sz val="11"/>
        <rFont val="Calibri"/>
        <family val="2"/>
        <scheme val="minor"/>
      </rPr>
      <t>MgHCO3p</t>
    </r>
  </si>
  <si>
    <r>
      <t>Standard enthalpy change for ion pairing of MgHCO</t>
    </r>
    <r>
      <rPr>
        <vertAlign val="subscript"/>
        <sz val="11"/>
        <rFont val="Calibri"/>
        <family val="2"/>
        <scheme val="minor"/>
      </rPr>
      <t>3</t>
    </r>
    <r>
      <rPr>
        <vertAlign val="superscript"/>
        <sz val="11"/>
        <rFont val="Calibri"/>
        <family val="2"/>
        <scheme val="minor"/>
      </rPr>
      <t>+</t>
    </r>
  </si>
  <si>
    <r>
      <t>dH</t>
    </r>
    <r>
      <rPr>
        <vertAlign val="subscript"/>
        <sz val="11"/>
        <rFont val="Calibri"/>
        <family val="2"/>
        <scheme val="minor"/>
      </rPr>
      <t>MgHPO4</t>
    </r>
  </si>
  <si>
    <r>
      <t>Standard enthalpy change for ion pairing of MgHPO</t>
    </r>
    <r>
      <rPr>
        <vertAlign val="subscript"/>
        <sz val="11"/>
        <rFont val="Calibri"/>
        <family val="2"/>
        <scheme val="minor"/>
      </rPr>
      <t>4</t>
    </r>
  </si>
  <si>
    <r>
      <t>dH</t>
    </r>
    <r>
      <rPr>
        <vertAlign val="subscript"/>
        <sz val="11"/>
        <rFont val="Calibri"/>
        <family val="2"/>
        <scheme val="minor"/>
      </rPr>
      <t>MgPO4m</t>
    </r>
  </si>
  <si>
    <r>
      <t>Standard enthalpy change for ion pairing of MgPO</t>
    </r>
    <r>
      <rPr>
        <vertAlign val="subscript"/>
        <sz val="11"/>
        <rFont val="Calibri"/>
        <family val="2"/>
        <scheme val="minor"/>
      </rPr>
      <t>4</t>
    </r>
    <r>
      <rPr>
        <vertAlign val="superscript"/>
        <sz val="11"/>
        <rFont val="Calibri"/>
        <family val="2"/>
        <scheme val="minor"/>
      </rPr>
      <t>-</t>
    </r>
  </si>
  <si>
    <r>
      <t>dH</t>
    </r>
    <r>
      <rPr>
        <vertAlign val="subscript"/>
        <sz val="11"/>
        <rFont val="Calibri"/>
        <family val="2"/>
        <scheme val="minor"/>
      </rPr>
      <t>MgH2PO4p</t>
    </r>
  </si>
  <si>
    <r>
      <t>Standard enthalpy change for ion pairing of MgH</t>
    </r>
    <r>
      <rPr>
        <vertAlign val="subscript"/>
        <sz val="11"/>
        <rFont val="Calibri"/>
        <family val="2"/>
        <scheme val="minor"/>
      </rPr>
      <t>2</t>
    </r>
    <r>
      <rPr>
        <sz val="11"/>
        <rFont val="Calibri"/>
        <family val="2"/>
        <scheme val="minor"/>
      </rPr>
      <t>PO</t>
    </r>
    <r>
      <rPr>
        <vertAlign val="subscript"/>
        <sz val="11"/>
        <rFont val="Calibri"/>
        <family val="2"/>
        <scheme val="minor"/>
      </rPr>
      <t>4</t>
    </r>
    <r>
      <rPr>
        <vertAlign val="superscript"/>
        <sz val="11"/>
        <rFont val="Calibri"/>
        <family val="2"/>
        <scheme val="minor"/>
      </rPr>
      <t>+</t>
    </r>
  </si>
  <si>
    <r>
      <t>dH</t>
    </r>
    <r>
      <rPr>
        <vertAlign val="subscript"/>
        <sz val="11"/>
        <rFont val="Calibri"/>
        <family val="2"/>
        <scheme val="minor"/>
      </rPr>
      <t>NaHPO4m</t>
    </r>
  </si>
  <si>
    <r>
      <t>Standard enthalpy change for ion pairing of NaHPO</t>
    </r>
    <r>
      <rPr>
        <vertAlign val="subscript"/>
        <sz val="11"/>
        <rFont val="Calibri"/>
        <family val="2"/>
        <scheme val="minor"/>
      </rPr>
      <t>4</t>
    </r>
    <r>
      <rPr>
        <vertAlign val="superscript"/>
        <sz val="11"/>
        <rFont val="Calibri"/>
        <family val="2"/>
        <scheme val="minor"/>
      </rPr>
      <t>-</t>
    </r>
  </si>
  <si>
    <t>Volatile solids (VS)</t>
  </si>
  <si>
    <t>Volatile suspended solids (VSS)</t>
  </si>
  <si>
    <r>
      <t>X</t>
    </r>
    <r>
      <rPr>
        <vertAlign val="subscript"/>
        <sz val="11"/>
        <rFont val="Calibri"/>
        <family val="2"/>
        <scheme val="minor"/>
      </rPr>
      <t>VS,ult</t>
    </r>
  </si>
  <si>
    <r>
      <t>Y</t>
    </r>
    <r>
      <rPr>
        <vertAlign val="subscript"/>
        <sz val="11"/>
        <rFont val="Calibri"/>
        <family val="2"/>
        <scheme val="minor"/>
      </rPr>
      <t>BOD,ult</t>
    </r>
  </si>
  <si>
    <r>
      <t>S</t>
    </r>
    <r>
      <rPr>
        <vertAlign val="subscript"/>
        <sz val="11"/>
        <rFont val="Calibri"/>
        <family val="2"/>
        <scheme val="minor"/>
      </rPr>
      <t>BOD,ult</t>
    </r>
  </si>
  <si>
    <r>
      <t>X</t>
    </r>
    <r>
      <rPr>
        <vertAlign val="subscript"/>
        <sz val="11"/>
        <rFont val="Calibri"/>
        <family val="2"/>
        <scheme val="minor"/>
      </rPr>
      <t>BOD,ult</t>
    </r>
  </si>
  <si>
    <r>
      <t>T</t>
    </r>
    <r>
      <rPr>
        <vertAlign val="subscript"/>
        <sz val="11"/>
        <rFont val="Calibri"/>
        <family val="2"/>
        <scheme val="minor"/>
      </rPr>
      <t>BOD,ult</t>
    </r>
  </si>
  <si>
    <t>COUR</t>
  </si>
  <si>
    <t>NOUR</t>
  </si>
  <si>
    <t>Metal</t>
  </si>
  <si>
    <r>
      <t>m</t>
    </r>
    <r>
      <rPr>
        <vertAlign val="subscript"/>
        <sz val="11"/>
        <rFont val="Calibri"/>
        <family val="2"/>
        <scheme val="minor"/>
      </rPr>
      <t>tox,ana,max</t>
    </r>
  </si>
  <si>
    <t>Non-Digester</t>
  </si>
  <si>
    <r>
      <t>X</t>
    </r>
    <r>
      <rPr>
        <b/>
        <vertAlign val="subscript"/>
        <sz val="11"/>
        <rFont val="Calibri"/>
        <family val="2"/>
        <scheme val="minor"/>
      </rPr>
      <t>PP</t>
    </r>
  </si>
  <si>
    <t>Glycogen accumulating organisms</t>
  </si>
  <si>
    <r>
      <t>b</t>
    </r>
    <r>
      <rPr>
        <vertAlign val="subscript"/>
        <sz val="11"/>
        <rFont val="Calibri"/>
        <family val="2"/>
        <scheme val="minor"/>
      </rPr>
      <t>PP,ana</t>
    </r>
  </si>
  <si>
    <r>
      <t>K</t>
    </r>
    <r>
      <rPr>
        <vertAlign val="subscript"/>
        <sz val="11"/>
        <rFont val="Calibri"/>
        <family val="2"/>
        <scheme val="minor"/>
      </rPr>
      <t>PP</t>
    </r>
  </si>
  <si>
    <r>
      <t>Msat</t>
    </r>
    <r>
      <rPr>
        <vertAlign val="subscript"/>
        <sz val="11"/>
        <rFont val="Calibri"/>
        <family val="2"/>
        <scheme val="minor"/>
      </rPr>
      <t>XPP,KPP,lim</t>
    </r>
  </si>
  <si>
    <r>
      <t>Msat(X</t>
    </r>
    <r>
      <rPr>
        <vertAlign val="subscript"/>
        <sz val="11"/>
        <rFont val="Calibri"/>
        <family val="2"/>
        <scheme val="minor"/>
      </rPr>
      <t>PP</t>
    </r>
    <r>
      <rPr>
        <sz val="11"/>
        <rFont val="Calibri"/>
        <family val="2"/>
        <scheme val="minor"/>
      </rPr>
      <t>;K</t>
    </r>
    <r>
      <rPr>
        <vertAlign val="subscript"/>
        <sz val="11"/>
        <rFont val="Calibri"/>
        <family val="2"/>
        <scheme val="minor"/>
      </rPr>
      <t>PP,lim</t>
    </r>
    <r>
      <rPr>
        <sz val="11"/>
        <rFont val="Calibri"/>
        <family val="2"/>
        <scheme val="minor"/>
      </rPr>
      <t>)</t>
    </r>
  </si>
  <si>
    <r>
      <t>b</t>
    </r>
    <r>
      <rPr>
        <vertAlign val="subscript"/>
        <sz val="11"/>
        <color indexed="8"/>
        <rFont val="Calibri"/>
        <family val="2"/>
        <scheme val="minor"/>
      </rPr>
      <t>PP,ana,T</t>
    </r>
  </si>
  <si>
    <r>
      <t>b</t>
    </r>
    <r>
      <rPr>
        <vertAlign val="subscript"/>
        <sz val="11"/>
        <color indexed="8"/>
        <rFont val="Calibri"/>
        <family val="2"/>
        <scheme val="minor"/>
      </rPr>
      <t>PP,ana</t>
    </r>
    <r>
      <rPr>
        <sz val="11"/>
        <color indexed="8"/>
        <rFont val="Calibri"/>
        <family val="2"/>
        <scheme val="minor"/>
      </rPr>
      <t>*Arrh(θ</t>
    </r>
    <r>
      <rPr>
        <vertAlign val="subscript"/>
        <sz val="11"/>
        <color indexed="8"/>
        <rFont val="Calibri"/>
        <family val="2"/>
        <scheme val="minor"/>
      </rPr>
      <t>b,PP,ana</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</si>
  <si>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θ</t>
    </r>
    <r>
      <rPr>
        <vertAlign val="subscript"/>
        <sz val="11"/>
        <color indexed="8"/>
        <rFont val="Calibri"/>
        <family val="2"/>
        <scheme val="minor"/>
      </rPr>
      <t>b,PP,ana</t>
    </r>
  </si>
  <si>
    <r>
      <t>-1/EEQ</t>
    </r>
    <r>
      <rPr>
        <vertAlign val="subscript"/>
        <sz val="11"/>
        <rFont val="Calibri"/>
        <family val="2"/>
      </rPr>
      <t>N2,NO3</t>
    </r>
    <r>
      <rPr>
        <sz val="11"/>
        <rFont val="Calibri"/>
        <family val="2"/>
      </rPr>
      <t/>
    </r>
  </si>
  <si>
    <r>
      <t>1/EEQ</t>
    </r>
    <r>
      <rPr>
        <vertAlign val="subscript"/>
        <sz val="11"/>
        <rFont val="Calibri"/>
        <family val="2"/>
      </rPr>
      <t>N2,NO3</t>
    </r>
    <r>
      <rPr>
        <sz val="11"/>
        <rFont val="Calibri"/>
        <family val="2"/>
      </rPr>
      <t/>
    </r>
  </si>
  <si>
    <t>r50</t>
  </si>
  <si>
    <t>r51</t>
  </si>
  <si>
    <t>r52</t>
  </si>
  <si>
    <t>r53</t>
  </si>
  <si>
    <t>r54</t>
  </si>
  <si>
    <t>r55</t>
  </si>
  <si>
    <t>r56</t>
  </si>
  <si>
    <t>r57</t>
  </si>
  <si>
    <r>
      <t>g COD.g COD</t>
    </r>
    <r>
      <rPr>
        <vertAlign val="superscript"/>
        <sz val="11"/>
        <rFont val="Calibri"/>
        <family val="2"/>
        <scheme val="minor"/>
      </rPr>
      <t>-1</t>
    </r>
  </si>
  <si>
    <r>
      <t>CH</t>
    </r>
    <r>
      <rPr>
        <vertAlign val="subscript"/>
        <sz val="11"/>
        <rFont val="Calibri"/>
        <family val="2"/>
        <scheme val="minor"/>
      </rPr>
      <t>4</t>
    </r>
    <r>
      <rPr>
        <sz val="11"/>
        <rFont val="Calibri"/>
        <family val="2"/>
        <scheme val="minor"/>
      </rPr>
      <t>O: 48 g COD/mol C</t>
    </r>
  </si>
  <si>
    <r>
      <t>i</t>
    </r>
    <r>
      <rPr>
        <vertAlign val="subscript"/>
        <sz val="11"/>
        <rFont val="Calibri"/>
        <family val="2"/>
        <scheme val="minor"/>
      </rPr>
      <t>N,XE</t>
    </r>
  </si>
  <si>
    <t>N content of endogenous products</t>
  </si>
  <si>
    <r>
      <t>i</t>
    </r>
    <r>
      <rPr>
        <vertAlign val="subscript"/>
        <sz val="11"/>
        <rFont val="Calibri"/>
        <family val="2"/>
      </rPr>
      <t>N,XE</t>
    </r>
  </si>
  <si>
    <r>
      <t>-f</t>
    </r>
    <r>
      <rPr>
        <vertAlign val="subscript"/>
        <sz val="11"/>
        <rFont val="Calibri"/>
        <family val="2"/>
      </rPr>
      <t>E</t>
    </r>
    <r>
      <rPr>
        <sz val="11"/>
        <rFont val="Calibri"/>
        <family val="2"/>
      </rPr>
      <t>*(i</t>
    </r>
    <r>
      <rPr>
        <vertAlign val="subscript"/>
        <sz val="11"/>
        <rFont val="Calibri"/>
        <family val="2"/>
      </rPr>
      <t>N,XE</t>
    </r>
    <r>
      <rPr>
        <sz val="11"/>
        <rFont val="Calibri"/>
        <family val="2"/>
      </rPr>
      <t>-i</t>
    </r>
    <r>
      <rPr>
        <vertAlign val="subscript"/>
        <sz val="11"/>
        <rFont val="Calibri"/>
        <family val="2"/>
      </rPr>
      <t>N,BIO</t>
    </r>
    <r>
      <rPr>
        <sz val="11"/>
        <rFont val="Calibri"/>
        <family val="2"/>
      </rPr>
      <t>)</t>
    </r>
  </si>
  <si>
    <t>Maximum specific growth rate of NITOs</t>
  </si>
  <si>
    <t>Precipitated solids</t>
  </si>
  <si>
    <t>pH calculation - pH not specified (Non pHSet)</t>
  </si>
  <si>
    <t>Temperature dependency correction</t>
  </si>
  <si>
    <t>Anaerobic toxicity factor</t>
  </si>
  <si>
    <t>Anoxic methanol utilizer kinetics (MEOLO)</t>
  </si>
  <si>
    <t>Oxidation-reduction potential constants</t>
  </si>
  <si>
    <r>
      <t>ORP</t>
    </r>
    <r>
      <rPr>
        <vertAlign val="subscript"/>
        <sz val="11"/>
        <rFont val="Calibri"/>
        <family val="2"/>
        <scheme val="minor"/>
      </rPr>
      <t>base</t>
    </r>
  </si>
  <si>
    <t>Base ORP value</t>
  </si>
  <si>
    <t>mV</t>
  </si>
  <si>
    <r>
      <t>K</t>
    </r>
    <r>
      <rPr>
        <vertAlign val="subscript"/>
        <sz val="11"/>
        <rFont val="Calibri"/>
        <family val="2"/>
        <scheme val="minor"/>
      </rPr>
      <t>ORP,SO2</t>
    </r>
  </si>
  <si>
    <t>Half-saturation of dissolved oxygen for ORP</t>
  </si>
  <si>
    <t>Oxidation-reduction potential</t>
  </si>
  <si>
    <r>
      <t>ORP</t>
    </r>
    <r>
      <rPr>
        <vertAlign val="subscript"/>
        <sz val="11"/>
        <rFont val="Calibri"/>
        <family val="2"/>
        <scheme val="minor"/>
      </rPr>
      <t>O2</t>
    </r>
  </si>
  <si>
    <t>ORP</t>
  </si>
  <si>
    <r>
      <t>Y</t>
    </r>
    <r>
      <rPr>
        <vertAlign val="subscript"/>
        <sz val="11"/>
        <rFont val="Calibri"/>
        <family val="2"/>
        <scheme val="minor"/>
      </rPr>
      <t>OHO,H2,ana,high</t>
    </r>
  </si>
  <si>
    <r>
      <t>Y</t>
    </r>
    <r>
      <rPr>
        <vertAlign val="subscript"/>
        <sz val="11"/>
        <rFont val="Calibri"/>
        <family val="2"/>
        <scheme val="minor"/>
      </rPr>
      <t>OHO,H2,ana,low</t>
    </r>
  </si>
  <si>
    <r>
      <t>K</t>
    </r>
    <r>
      <rPr>
        <vertAlign val="subscript"/>
        <sz val="11"/>
        <rFont val="Calibri"/>
        <family val="2"/>
        <scheme val="minor"/>
      </rPr>
      <t>VFA,FERM,AS</t>
    </r>
  </si>
  <si>
    <r>
      <t>(1-Y</t>
    </r>
    <r>
      <rPr>
        <vertAlign val="subscript"/>
        <sz val="11"/>
        <rFont val="Calibri"/>
        <family val="2"/>
      </rPr>
      <t>OHO,SB,ana</t>
    </r>
    <r>
      <rPr>
        <sz val="11"/>
        <rFont val="Calibri"/>
        <family val="2"/>
      </rPr>
      <t>-Y</t>
    </r>
    <r>
      <rPr>
        <vertAlign val="subscript"/>
        <sz val="11"/>
        <rFont val="Calibri"/>
        <family val="2"/>
      </rPr>
      <t>OHO,H2,ana,high</t>
    </r>
    <r>
      <rPr>
        <sz val="11"/>
        <rFont val="Calibri"/>
        <family val="2"/>
      </rPr>
      <t>)/Y</t>
    </r>
    <r>
      <rPr>
        <vertAlign val="subscript"/>
        <sz val="11"/>
        <rFont val="Calibri"/>
        <family val="2"/>
      </rPr>
      <t>OHO,SB,ana</t>
    </r>
  </si>
  <si>
    <r>
      <t>(1-Y</t>
    </r>
    <r>
      <rPr>
        <vertAlign val="subscript"/>
        <sz val="11"/>
        <rFont val="Calibri"/>
        <family val="2"/>
      </rPr>
      <t>OHO,SB,ana</t>
    </r>
    <r>
      <rPr>
        <sz val="11"/>
        <rFont val="Calibri"/>
        <family val="2"/>
      </rPr>
      <t>-Y</t>
    </r>
    <r>
      <rPr>
        <vertAlign val="subscript"/>
        <sz val="11"/>
        <rFont val="Calibri"/>
        <family val="2"/>
      </rPr>
      <t>OHO,H2,ana,low</t>
    </r>
    <r>
      <rPr>
        <sz val="11"/>
        <rFont val="Calibri"/>
        <family val="2"/>
      </rPr>
      <t>)/Y</t>
    </r>
    <r>
      <rPr>
        <vertAlign val="subscript"/>
        <sz val="11"/>
        <rFont val="Calibri"/>
        <family val="2"/>
      </rPr>
      <t>OHO,SB,ana</t>
    </r>
  </si>
  <si>
    <r>
      <t>S</t>
    </r>
    <r>
      <rPr>
        <vertAlign val="subscript"/>
        <sz val="11"/>
        <rFont val="Calibri"/>
        <family val="2"/>
      </rPr>
      <t>B</t>
    </r>
    <r>
      <rPr>
        <sz val="11"/>
        <rFont val="Calibri"/>
        <family val="2"/>
      </rPr>
      <t xml:space="preserve"> fermentation with high VFA (OHO growth, anaerobic)</t>
    </r>
  </si>
  <si>
    <t>r58</t>
  </si>
  <si>
    <r>
      <t>Y</t>
    </r>
    <r>
      <rPr>
        <vertAlign val="subscript"/>
        <sz val="11"/>
        <rFont val="Calibri"/>
        <family val="2"/>
      </rPr>
      <t>OHO,H2,ana,high</t>
    </r>
    <r>
      <rPr>
        <sz val="11"/>
        <rFont val="Calibri"/>
        <family val="2"/>
      </rPr>
      <t>/Y</t>
    </r>
    <r>
      <rPr>
        <vertAlign val="subscript"/>
        <sz val="11"/>
        <rFont val="Calibri"/>
        <family val="2"/>
      </rPr>
      <t>OHO,SB,ana</t>
    </r>
  </si>
  <si>
    <r>
      <t>Y</t>
    </r>
    <r>
      <rPr>
        <vertAlign val="subscript"/>
        <sz val="11"/>
        <rFont val="Calibri"/>
        <family val="2"/>
      </rPr>
      <t>OHO,H2,ana,low</t>
    </r>
    <r>
      <rPr>
        <sz val="11"/>
        <rFont val="Calibri"/>
        <family val="2"/>
      </rPr>
      <t>/Y</t>
    </r>
    <r>
      <rPr>
        <vertAlign val="subscript"/>
        <sz val="11"/>
        <rFont val="Calibri"/>
        <family val="2"/>
      </rPr>
      <t>OHO,SB,ana</t>
    </r>
  </si>
  <si>
    <r>
      <t>(i</t>
    </r>
    <r>
      <rPr>
        <vertAlign val="subscript"/>
        <sz val="11"/>
        <rFont val="Calibri"/>
        <family val="2"/>
      </rPr>
      <t>CIT,SB</t>
    </r>
    <r>
      <rPr>
        <sz val="11"/>
        <rFont val="Calibri"/>
        <family val="2"/>
      </rPr>
      <t>-i</t>
    </r>
    <r>
      <rPr>
        <vertAlign val="subscript"/>
        <sz val="11"/>
        <rFont val="Calibri"/>
        <family val="2"/>
      </rPr>
      <t>CIT,VFA</t>
    </r>
    <r>
      <rPr>
        <sz val="11"/>
        <rFont val="Calibri"/>
        <family val="2"/>
      </rPr>
      <t>*(1-Y</t>
    </r>
    <r>
      <rPr>
        <vertAlign val="subscript"/>
        <sz val="11"/>
        <rFont val="Calibri"/>
        <family val="2"/>
      </rPr>
      <t>OHO,SB,ana</t>
    </r>
    <r>
      <rPr>
        <sz val="11"/>
        <rFont val="Calibri"/>
        <family val="2"/>
      </rPr>
      <t>-Y</t>
    </r>
    <r>
      <rPr>
        <vertAlign val="subscript"/>
        <sz val="11"/>
        <rFont val="Calibri"/>
        <family val="2"/>
      </rPr>
      <t>OHO,H2,ana,high</t>
    </r>
    <r>
      <rPr>
        <sz val="11"/>
        <rFont val="Calibri"/>
        <family val="2"/>
      </rPr>
      <t>)-i</t>
    </r>
    <r>
      <rPr>
        <vertAlign val="subscript"/>
        <sz val="11"/>
        <rFont val="Calibri"/>
        <family val="2"/>
      </rPr>
      <t>CIT,BIO</t>
    </r>
    <r>
      <rPr>
        <sz val="11"/>
        <rFont val="Calibri"/>
        <family val="2"/>
      </rPr>
      <t>*Y</t>
    </r>
    <r>
      <rPr>
        <vertAlign val="subscript"/>
        <sz val="11"/>
        <rFont val="Calibri"/>
        <family val="2"/>
      </rPr>
      <t>OHO,SB,ana</t>
    </r>
    <r>
      <rPr>
        <sz val="11"/>
        <rFont val="Calibri"/>
        <family val="2"/>
      </rPr>
      <t>)/Y</t>
    </r>
    <r>
      <rPr>
        <vertAlign val="subscript"/>
        <sz val="11"/>
        <rFont val="Calibri"/>
        <family val="2"/>
      </rPr>
      <t>OHO,SB,ana</t>
    </r>
  </si>
  <si>
    <r>
      <t>(i</t>
    </r>
    <r>
      <rPr>
        <vertAlign val="subscript"/>
        <sz val="11"/>
        <rFont val="Calibri"/>
        <family val="2"/>
      </rPr>
      <t>CIT,SB</t>
    </r>
    <r>
      <rPr>
        <sz val="11"/>
        <rFont val="Calibri"/>
        <family val="2"/>
      </rPr>
      <t>-i</t>
    </r>
    <r>
      <rPr>
        <vertAlign val="subscript"/>
        <sz val="11"/>
        <rFont val="Calibri"/>
        <family val="2"/>
      </rPr>
      <t>CIT,VFA</t>
    </r>
    <r>
      <rPr>
        <sz val="11"/>
        <rFont val="Calibri"/>
        <family val="2"/>
      </rPr>
      <t>*(1-Y</t>
    </r>
    <r>
      <rPr>
        <vertAlign val="subscript"/>
        <sz val="11"/>
        <rFont val="Calibri"/>
        <family val="2"/>
      </rPr>
      <t>OHO,SB,ana</t>
    </r>
    <r>
      <rPr>
        <sz val="11"/>
        <rFont val="Calibri"/>
        <family val="2"/>
      </rPr>
      <t>-Y</t>
    </r>
    <r>
      <rPr>
        <vertAlign val="subscript"/>
        <sz val="11"/>
        <rFont val="Calibri"/>
        <family val="2"/>
      </rPr>
      <t>OHO,H2,ana,low</t>
    </r>
    <r>
      <rPr>
        <sz val="11"/>
        <rFont val="Calibri"/>
        <family val="2"/>
      </rPr>
      <t>)-i</t>
    </r>
    <r>
      <rPr>
        <vertAlign val="subscript"/>
        <sz val="11"/>
        <rFont val="Calibri"/>
        <family val="2"/>
      </rPr>
      <t>CIT,BIO</t>
    </r>
    <r>
      <rPr>
        <sz val="11"/>
        <rFont val="Calibri"/>
        <family val="2"/>
      </rPr>
      <t>*Y</t>
    </r>
    <r>
      <rPr>
        <vertAlign val="subscript"/>
        <sz val="11"/>
        <rFont val="Calibri"/>
        <family val="2"/>
      </rPr>
      <t>OHO,SB,ana</t>
    </r>
    <r>
      <rPr>
        <sz val="11"/>
        <rFont val="Calibri"/>
        <family val="2"/>
      </rPr>
      <t>)/Y</t>
    </r>
    <r>
      <rPr>
        <vertAlign val="subscript"/>
        <sz val="11"/>
        <rFont val="Calibri"/>
        <family val="2"/>
      </rPr>
      <t>OHO,SB,ana</t>
    </r>
  </si>
  <si>
    <r>
      <t>K</t>
    </r>
    <r>
      <rPr>
        <vertAlign val="subscript"/>
        <sz val="11"/>
        <rFont val="Calibri"/>
        <family val="2"/>
        <scheme val="minor"/>
      </rPr>
      <t>VFA,FERM</t>
    </r>
  </si>
  <si>
    <t>Saturation term for VFAs in fermentation</t>
  </si>
  <si>
    <r>
      <t>Logsat</t>
    </r>
    <r>
      <rPr>
        <vertAlign val="subscript"/>
        <sz val="11"/>
        <rFont val="Calibri"/>
        <family val="2"/>
        <scheme val="minor"/>
      </rPr>
      <t>SVFA,KVFA,FERM</t>
    </r>
  </si>
  <si>
    <r>
      <t>Loginh</t>
    </r>
    <r>
      <rPr>
        <vertAlign val="subscript"/>
        <sz val="11"/>
        <rFont val="Calibri"/>
        <family val="2"/>
        <scheme val="minor"/>
      </rPr>
      <t>SVFA,KVFA,FERM</t>
    </r>
  </si>
  <si>
    <t>Aerobic nitrifying organism kinetics (NITO)</t>
  </si>
  <si>
    <t>Acidoclastic methanogen kinetics (AMETO)</t>
  </si>
  <si>
    <t>Hydrogenotrophic methanogen kinetics (HMETO)</t>
  </si>
  <si>
    <t>Key(1200)</t>
  </si>
  <si>
    <r>
      <t>i</t>
    </r>
    <r>
      <rPr>
        <vertAlign val="subscript"/>
        <sz val="11"/>
        <rFont val="Calibri"/>
        <family val="2"/>
      </rPr>
      <t>CIT,VFA</t>
    </r>
    <r>
      <rPr>
        <sz val="11"/>
        <rFont val="Calibri"/>
        <family val="2"/>
      </rPr>
      <t>*1/Y</t>
    </r>
    <r>
      <rPr>
        <vertAlign val="subscript"/>
        <sz val="11"/>
        <rFont val="Calibri"/>
        <family val="2"/>
      </rPr>
      <t>AMETO</t>
    </r>
    <r>
      <rPr>
        <sz val="11"/>
        <rFont val="Calibri"/>
        <family val="2"/>
      </rPr>
      <t>-i</t>
    </r>
    <r>
      <rPr>
        <vertAlign val="subscript"/>
        <sz val="11"/>
        <rFont val="Calibri"/>
        <family val="2"/>
      </rPr>
      <t>CIT,BIO</t>
    </r>
    <r>
      <rPr>
        <sz val="11"/>
        <rFont val="Calibri"/>
        <family val="2"/>
      </rPr>
      <t>-i</t>
    </r>
    <r>
      <rPr>
        <vertAlign val="subscript"/>
        <sz val="11"/>
        <rFont val="Calibri"/>
        <family val="2"/>
      </rPr>
      <t>CIT,CH4</t>
    </r>
    <r>
      <rPr>
        <sz val="11"/>
        <rFont val="Calibri"/>
        <family val="2"/>
      </rPr>
      <t>*(1-Y</t>
    </r>
    <r>
      <rPr>
        <vertAlign val="subscript"/>
        <sz val="11"/>
        <rFont val="Calibri"/>
        <family val="2"/>
      </rPr>
      <t>AMETO</t>
    </r>
    <r>
      <rPr>
        <sz val="11"/>
        <rFont val="Calibri"/>
        <family val="2"/>
      </rPr>
      <t>)/Y</t>
    </r>
    <r>
      <rPr>
        <vertAlign val="subscript"/>
        <sz val="11"/>
        <rFont val="Calibri"/>
        <family val="2"/>
      </rPr>
      <t>AMETO</t>
    </r>
  </si>
  <si>
    <r>
      <t>g O2.m</t>
    </r>
    <r>
      <rPr>
        <vertAlign val="superscript"/>
        <sz val="11"/>
        <rFont val="Calibri"/>
        <family val="2"/>
        <scheme val="minor"/>
      </rPr>
      <t>-3</t>
    </r>
  </si>
  <si>
    <t>Ordinary heterotrophic organism kinetics (OHO)</t>
  </si>
  <si>
    <r>
      <t>mol [NH</t>
    </r>
    <r>
      <rPr>
        <vertAlign val="subscript"/>
        <sz val="11"/>
        <color indexed="8"/>
        <rFont val="Calibri"/>
        <family val="2"/>
        <scheme val="minor"/>
      </rPr>
      <t>3</t>
    </r>
    <r>
      <rPr>
        <sz val="11"/>
        <color indexed="8"/>
        <rFont val="Calibri"/>
        <family val="2"/>
        <scheme val="minor"/>
      </rPr>
      <t>].L</t>
    </r>
    <r>
      <rPr>
        <vertAlign val="superscript"/>
        <sz val="11"/>
        <color indexed="8"/>
        <rFont val="Calibri"/>
        <family val="2"/>
        <scheme val="minor"/>
      </rPr>
      <t>-1</t>
    </r>
  </si>
  <si>
    <r>
      <t>g COD.g COD</t>
    </r>
    <r>
      <rPr>
        <vertAlign val="superscript"/>
        <sz val="11"/>
        <color indexed="8"/>
        <rFont val="Calibri"/>
        <family val="2"/>
        <scheme val="minor"/>
      </rPr>
      <t>-1</t>
    </r>
  </si>
  <si>
    <r>
      <t>g TSS.g COD</t>
    </r>
    <r>
      <rPr>
        <vertAlign val="superscript"/>
        <sz val="11"/>
        <rFont val="Calibri"/>
        <family val="2"/>
        <scheme val="minor"/>
      </rPr>
      <t>-1</t>
    </r>
  </si>
  <si>
    <r>
      <t>ORP</t>
    </r>
    <r>
      <rPr>
        <vertAlign val="subscript"/>
        <sz val="11"/>
        <rFont val="Calibri"/>
        <family val="2"/>
        <scheme val="minor"/>
      </rPr>
      <t>max,SO2</t>
    </r>
  </si>
  <si>
    <t>ORP max for dissolved oxygen</t>
  </si>
  <si>
    <r>
      <t>ORP</t>
    </r>
    <r>
      <rPr>
        <vertAlign val="subscript"/>
        <sz val="11"/>
        <rFont val="Calibri"/>
        <family val="2"/>
        <scheme val="minor"/>
      </rPr>
      <t>max,SNOx</t>
    </r>
  </si>
  <si>
    <t>ORP max for dissolved nitrate</t>
  </si>
  <si>
    <t>Oxidation-reduction potential due to dissolved oxygen</t>
  </si>
  <si>
    <t>r59</t>
  </si>
  <si>
    <t>-BigNumber</t>
  </si>
  <si>
    <t>PP cleavage for maintenance</t>
  </si>
  <si>
    <r>
      <t>η</t>
    </r>
    <r>
      <rPr>
        <vertAlign val="subscript"/>
        <sz val="11"/>
        <rFont val="Calibri"/>
        <family val="2"/>
        <scheme val="minor"/>
      </rPr>
      <t>bPP,aer</t>
    </r>
  </si>
  <si>
    <r>
      <t>η</t>
    </r>
    <r>
      <rPr>
        <vertAlign val="subscript"/>
        <sz val="11"/>
        <rFont val="Calibri"/>
        <family val="2"/>
        <scheme val="minor"/>
      </rPr>
      <t>bPP,anox</t>
    </r>
  </si>
  <si>
    <t>r60</t>
  </si>
  <si>
    <t>r61</t>
  </si>
  <si>
    <r>
      <t>µ</t>
    </r>
    <r>
      <rPr>
        <vertAlign val="subscript"/>
        <sz val="11"/>
        <rFont val="Calibri"/>
        <family val="2"/>
        <scheme val="minor"/>
      </rPr>
      <t>FERM,PAO</t>
    </r>
  </si>
  <si>
    <t>Arrhenius coefficient for fermentation (PAO)</t>
  </si>
  <si>
    <r>
      <t>θ</t>
    </r>
    <r>
      <rPr>
        <vertAlign val="subscript"/>
        <sz val="11"/>
        <color indexed="8"/>
        <rFont val="Calibri"/>
        <family val="2"/>
        <scheme val="minor"/>
      </rPr>
      <t>FERM,PAO</t>
    </r>
  </si>
  <si>
    <r>
      <t>µ</t>
    </r>
    <r>
      <rPr>
        <vertAlign val="subscript"/>
        <sz val="11"/>
        <color indexed="8"/>
        <rFont val="Calibri"/>
        <family val="2"/>
        <scheme val="minor"/>
      </rPr>
      <t>FERM,PAO,T</t>
    </r>
  </si>
  <si>
    <r>
      <t>µ</t>
    </r>
    <r>
      <rPr>
        <vertAlign val="subscript"/>
        <sz val="11"/>
        <color indexed="8"/>
        <rFont val="Calibri"/>
        <family val="2"/>
        <scheme val="minor"/>
      </rPr>
      <t>FERM,PAO</t>
    </r>
    <r>
      <rPr>
        <sz val="11"/>
        <color indexed="8"/>
        <rFont val="Calibri"/>
        <family val="2"/>
        <scheme val="minor"/>
      </rPr>
      <t>*Arrh(θ</t>
    </r>
    <r>
      <rPr>
        <vertAlign val="subscript"/>
        <sz val="11"/>
        <color indexed="8"/>
        <rFont val="Calibri"/>
        <family val="2"/>
        <scheme val="minor"/>
      </rPr>
      <t>FERM,PAO</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</si>
  <si>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Logsat</t>
    </r>
    <r>
      <rPr>
        <vertAlign val="subscript"/>
        <sz val="11"/>
        <rFont val="Calibri"/>
        <family val="2"/>
        <scheme val="minor"/>
      </rPr>
      <t>ORP,PAO,Half</t>
    </r>
  </si>
  <si>
    <r>
      <t>Logsat</t>
    </r>
    <r>
      <rPr>
        <vertAlign val="subscript"/>
        <sz val="11"/>
        <rFont val="Calibri"/>
        <family val="2"/>
        <scheme val="minor"/>
      </rPr>
      <t>ORP,PAO,Slope</t>
    </r>
  </si>
  <si>
    <r>
      <t>Logsat</t>
    </r>
    <r>
      <rPr>
        <vertAlign val="subscript"/>
        <sz val="11"/>
        <rFont val="Calibri"/>
        <family val="2"/>
        <scheme val="minor"/>
      </rPr>
      <t>ORP,GAO,Slope</t>
    </r>
  </si>
  <si>
    <r>
      <t>Loginh</t>
    </r>
    <r>
      <rPr>
        <vertAlign val="subscript"/>
        <sz val="11"/>
        <rFont val="Calibri"/>
        <family val="2"/>
      </rPr>
      <t>ORP,PAO</t>
    </r>
  </si>
  <si>
    <t>Key(995)</t>
  </si>
  <si>
    <t>Calculated only for influent</t>
  </si>
  <si>
    <r>
      <t>S</t>
    </r>
    <r>
      <rPr>
        <vertAlign val="subscript"/>
        <sz val="11"/>
        <rFont val="Calibri"/>
        <family val="2"/>
        <scheme val="minor"/>
      </rPr>
      <t>AN</t>
    </r>
  </si>
  <si>
    <r>
      <t>T</t>
    </r>
    <r>
      <rPr>
        <vertAlign val="subscript"/>
        <sz val="11"/>
        <rFont val="Calibri"/>
        <family val="2"/>
        <scheme val="minor"/>
      </rPr>
      <t>COD,Th</t>
    </r>
  </si>
  <si>
    <t>Theoretical total chemical oxygen demand</t>
  </si>
  <si>
    <r>
      <t>S</t>
    </r>
    <r>
      <rPr>
        <i/>
        <vertAlign val="subscript"/>
        <sz val="11"/>
        <rFont val="Calibri"/>
        <family val="2"/>
        <scheme val="minor"/>
      </rPr>
      <t>CAT,ini</t>
    </r>
  </si>
  <si>
    <t>Strong cations</t>
  </si>
  <si>
    <r>
      <t>S</t>
    </r>
    <r>
      <rPr>
        <i/>
        <vertAlign val="subscript"/>
        <sz val="11"/>
        <rFont val="Calibri"/>
        <family val="2"/>
        <scheme val="minor"/>
      </rPr>
      <t>AN,ini</t>
    </r>
  </si>
  <si>
    <t>Strong anions</t>
  </si>
  <si>
    <t>Inorganics in influent and biomass</t>
  </si>
  <si>
    <r>
      <t>S</t>
    </r>
    <r>
      <rPr>
        <vertAlign val="subscript"/>
        <sz val="11"/>
        <rFont val="Calibri"/>
        <family val="2"/>
      </rPr>
      <t>CO2</t>
    </r>
    <r>
      <rPr>
        <sz val="11"/>
        <rFont val="Calibri"/>
        <family val="2"/>
      </rPr>
      <t>/(AM</t>
    </r>
    <r>
      <rPr>
        <vertAlign val="subscript"/>
        <sz val="11"/>
        <rFont val="Calibri"/>
        <family val="2"/>
      </rPr>
      <t>C</t>
    </r>
    <r>
      <rPr>
        <sz val="11"/>
        <rFont val="Calibri"/>
        <family val="2"/>
      </rPr>
      <t>*1000)*[H</t>
    </r>
    <r>
      <rPr>
        <vertAlign val="superscript"/>
        <sz val="11"/>
        <rFont val="Calibri"/>
        <family val="2"/>
      </rPr>
      <t>+</t>
    </r>
    <r>
      <rPr>
        <sz val="11"/>
        <rFont val="Calibri"/>
        <family val="2"/>
      </rPr>
      <t>]^2/([H</t>
    </r>
    <r>
      <rPr>
        <vertAlign val="superscript"/>
        <sz val="11"/>
        <rFont val="Calibri"/>
        <family val="2"/>
      </rPr>
      <t>+</t>
    </r>
    <r>
      <rPr>
        <sz val="11"/>
        <rFont val="Calibri"/>
        <family val="2"/>
      </rPr>
      <t>]^2+[H</t>
    </r>
    <r>
      <rPr>
        <vertAlign val="superscript"/>
        <sz val="11"/>
        <rFont val="Calibri"/>
        <family val="2"/>
      </rPr>
      <t>+</t>
    </r>
    <r>
      <rPr>
        <sz val="11"/>
        <rFont val="Calibri"/>
        <family val="2"/>
      </rPr>
      <t>]*K</t>
    </r>
    <r>
      <rPr>
        <vertAlign val="subscript"/>
        <sz val="11"/>
        <rFont val="Calibri"/>
        <family val="2"/>
      </rPr>
      <t>C1</t>
    </r>
    <r>
      <rPr>
        <sz val="11"/>
        <rFont val="Calibri"/>
        <family val="2"/>
      </rPr>
      <t>+K</t>
    </r>
    <r>
      <rPr>
        <vertAlign val="subscript"/>
        <sz val="11"/>
        <rFont val="Calibri"/>
        <family val="2"/>
      </rPr>
      <t>C1</t>
    </r>
    <r>
      <rPr>
        <sz val="11"/>
        <rFont val="Calibri"/>
        <family val="2"/>
      </rPr>
      <t>*K</t>
    </r>
    <r>
      <rPr>
        <vertAlign val="subscript"/>
        <sz val="11"/>
        <rFont val="Calibri"/>
        <family val="2"/>
      </rPr>
      <t>C2</t>
    </r>
    <r>
      <rPr>
        <sz val="11"/>
        <rFont val="Calibri"/>
        <family val="2"/>
      </rPr>
      <t>)</t>
    </r>
  </si>
  <si>
    <r>
      <t>[H</t>
    </r>
    <r>
      <rPr>
        <vertAlign val="superscript"/>
        <sz val="11"/>
        <rFont val="Calibri"/>
        <family val="2"/>
      </rPr>
      <t>+</t>
    </r>
    <r>
      <rPr>
        <sz val="11"/>
        <rFont val="Calibri"/>
        <family val="2"/>
      </rPr>
      <t>]*K</t>
    </r>
    <r>
      <rPr>
        <vertAlign val="subscript"/>
        <sz val="11"/>
        <rFont val="Calibri"/>
        <family val="2"/>
      </rPr>
      <t>C1</t>
    </r>
    <r>
      <rPr>
        <sz val="11"/>
        <rFont val="Calibri"/>
        <family val="2"/>
      </rPr>
      <t>*S</t>
    </r>
    <r>
      <rPr>
        <vertAlign val="subscript"/>
        <sz val="11"/>
        <rFont val="Calibri"/>
        <family val="2"/>
      </rPr>
      <t>CO2</t>
    </r>
    <r>
      <rPr>
        <sz val="11"/>
        <rFont val="Calibri"/>
        <family val="2"/>
      </rPr>
      <t>/(AM</t>
    </r>
    <r>
      <rPr>
        <vertAlign val="subscript"/>
        <sz val="11"/>
        <rFont val="Calibri"/>
        <family val="2"/>
      </rPr>
      <t>C</t>
    </r>
    <r>
      <rPr>
        <sz val="11"/>
        <rFont val="Calibri"/>
        <family val="2"/>
      </rPr>
      <t>*1000)/([H</t>
    </r>
    <r>
      <rPr>
        <vertAlign val="superscript"/>
        <sz val="11"/>
        <rFont val="Calibri"/>
        <family val="2"/>
      </rPr>
      <t>+</t>
    </r>
    <r>
      <rPr>
        <sz val="11"/>
        <rFont val="Calibri"/>
        <family val="2"/>
      </rPr>
      <t>]^2+[H</t>
    </r>
    <r>
      <rPr>
        <vertAlign val="superscript"/>
        <sz val="11"/>
        <rFont val="Calibri"/>
        <family val="2"/>
      </rPr>
      <t>+</t>
    </r>
    <r>
      <rPr>
        <sz val="11"/>
        <rFont val="Calibri"/>
        <family val="2"/>
      </rPr>
      <t>]*K</t>
    </r>
    <r>
      <rPr>
        <vertAlign val="subscript"/>
        <sz val="11"/>
        <rFont val="Calibri"/>
        <family val="2"/>
      </rPr>
      <t>C1</t>
    </r>
    <r>
      <rPr>
        <sz val="11"/>
        <rFont val="Calibri"/>
        <family val="2"/>
      </rPr>
      <t>+K</t>
    </r>
    <r>
      <rPr>
        <vertAlign val="subscript"/>
        <sz val="11"/>
        <rFont val="Calibri"/>
        <family val="2"/>
      </rPr>
      <t>C1</t>
    </r>
    <r>
      <rPr>
        <sz val="11"/>
        <rFont val="Calibri"/>
        <family val="2"/>
      </rPr>
      <t>*K</t>
    </r>
    <r>
      <rPr>
        <vertAlign val="subscript"/>
        <sz val="11"/>
        <rFont val="Calibri"/>
        <family val="2"/>
      </rPr>
      <t>C2</t>
    </r>
    <r>
      <rPr>
        <sz val="11"/>
        <rFont val="Calibri"/>
        <family val="2"/>
      </rPr>
      <t>)</t>
    </r>
  </si>
  <si>
    <r>
      <t>K</t>
    </r>
    <r>
      <rPr>
        <vertAlign val="subscript"/>
        <sz val="11"/>
        <rFont val="Calibri"/>
        <family val="2"/>
      </rPr>
      <t>C2</t>
    </r>
    <r>
      <rPr>
        <sz val="11"/>
        <rFont val="Calibri"/>
        <family val="2"/>
      </rPr>
      <t>*K</t>
    </r>
    <r>
      <rPr>
        <vertAlign val="subscript"/>
        <sz val="11"/>
        <rFont val="Calibri"/>
        <family val="2"/>
      </rPr>
      <t>C1</t>
    </r>
    <r>
      <rPr>
        <sz val="11"/>
        <rFont val="Calibri"/>
        <family val="2"/>
      </rPr>
      <t>*S</t>
    </r>
    <r>
      <rPr>
        <vertAlign val="subscript"/>
        <sz val="11"/>
        <rFont val="Calibri"/>
        <family val="2"/>
      </rPr>
      <t>CO2</t>
    </r>
    <r>
      <rPr>
        <sz val="11"/>
        <rFont val="Calibri"/>
        <family val="2"/>
      </rPr>
      <t>/(AM</t>
    </r>
    <r>
      <rPr>
        <vertAlign val="subscript"/>
        <sz val="11"/>
        <rFont val="Calibri"/>
        <family val="2"/>
      </rPr>
      <t>C</t>
    </r>
    <r>
      <rPr>
        <sz val="11"/>
        <rFont val="Calibri"/>
        <family val="2"/>
      </rPr>
      <t>*1000)/([H</t>
    </r>
    <r>
      <rPr>
        <vertAlign val="superscript"/>
        <sz val="11"/>
        <rFont val="Calibri"/>
        <family val="2"/>
      </rPr>
      <t>+</t>
    </r>
    <r>
      <rPr>
        <sz val="11"/>
        <rFont val="Calibri"/>
        <family val="2"/>
      </rPr>
      <t>]^2+[H</t>
    </r>
    <r>
      <rPr>
        <vertAlign val="superscript"/>
        <sz val="11"/>
        <rFont val="Calibri"/>
        <family val="2"/>
      </rPr>
      <t>+</t>
    </r>
    <r>
      <rPr>
        <sz val="11"/>
        <rFont val="Calibri"/>
        <family val="2"/>
      </rPr>
      <t>]*K</t>
    </r>
    <r>
      <rPr>
        <vertAlign val="subscript"/>
        <sz val="11"/>
        <rFont val="Calibri"/>
        <family val="2"/>
      </rPr>
      <t>C1</t>
    </r>
    <r>
      <rPr>
        <sz val="11"/>
        <rFont val="Calibri"/>
        <family val="2"/>
      </rPr>
      <t>+K</t>
    </r>
    <r>
      <rPr>
        <vertAlign val="subscript"/>
        <sz val="11"/>
        <rFont val="Calibri"/>
        <family val="2"/>
      </rPr>
      <t>C1</t>
    </r>
    <r>
      <rPr>
        <sz val="11"/>
        <rFont val="Calibri"/>
        <family val="2"/>
      </rPr>
      <t>*K</t>
    </r>
    <r>
      <rPr>
        <vertAlign val="subscript"/>
        <sz val="11"/>
        <rFont val="Calibri"/>
        <family val="2"/>
      </rPr>
      <t>C2</t>
    </r>
    <r>
      <rPr>
        <sz val="11"/>
        <rFont val="Calibri"/>
        <family val="2"/>
      </rPr>
      <t>)</t>
    </r>
  </si>
  <si>
    <r>
      <t>-AM</t>
    </r>
    <r>
      <rPr>
        <vertAlign val="subscript"/>
        <sz val="11"/>
        <rFont val="Calibri"/>
        <family val="2"/>
      </rPr>
      <t>C</t>
    </r>
    <r>
      <rPr>
        <sz val="11"/>
        <rFont val="Calibri"/>
        <family val="2"/>
      </rPr>
      <t>/MM</t>
    </r>
    <r>
      <rPr>
        <vertAlign val="subscript"/>
        <sz val="11"/>
        <rFont val="Calibri"/>
        <family val="2"/>
      </rPr>
      <t>CaCO3</t>
    </r>
  </si>
  <si>
    <r>
      <t>AM</t>
    </r>
    <r>
      <rPr>
        <vertAlign val="subscript"/>
        <sz val="11"/>
        <rFont val="Calibri"/>
        <family val="2"/>
        <scheme val="minor"/>
      </rPr>
      <t>C</t>
    </r>
    <r>
      <rPr>
        <sz val="11"/>
        <rFont val="Calibri"/>
        <family val="2"/>
        <scheme val="minor"/>
      </rPr>
      <t>/MM</t>
    </r>
    <r>
      <rPr>
        <vertAlign val="subscript"/>
        <sz val="11"/>
        <rFont val="Calibri"/>
        <family val="2"/>
        <scheme val="minor"/>
      </rPr>
      <t>CaCO3</t>
    </r>
  </si>
  <si>
    <t>Fermentation growth rate of OHOs</t>
  </si>
  <si>
    <t>Decay rate of OHOs</t>
  </si>
  <si>
    <t>Reduction factor for anoxic growth of OHOs</t>
  </si>
  <si>
    <t>Half-saturation of readily biodegradable substrate for OHOs (AS)</t>
  </si>
  <si>
    <r>
      <t>Half-saturation of O</t>
    </r>
    <r>
      <rPr>
        <vertAlign val="subscript"/>
        <sz val="11"/>
        <color rgb="FF000000"/>
        <rFont val="Calibri"/>
        <family val="2"/>
        <scheme val="minor"/>
      </rPr>
      <t>2</t>
    </r>
    <r>
      <rPr>
        <sz val="11"/>
        <color rgb="FF000000"/>
        <rFont val="Calibri"/>
        <family val="2"/>
        <charset val="238"/>
        <scheme val="minor"/>
      </rPr>
      <t xml:space="preserve"> for OHOs (AS)</t>
    </r>
  </si>
  <si>
    <t>Half-saturation of VFA for OHOs (AS)</t>
  </si>
  <si>
    <t>Half-saturation of methanol for OHOs (AS)</t>
  </si>
  <si>
    <r>
      <t>Half-saturation of NO</t>
    </r>
    <r>
      <rPr>
        <vertAlign val="subscript"/>
        <sz val="11"/>
        <color rgb="FF000000"/>
        <rFont val="Calibri"/>
        <family val="2"/>
        <scheme val="minor"/>
      </rPr>
      <t>x</t>
    </r>
    <r>
      <rPr>
        <sz val="11"/>
        <color rgb="FF000000"/>
        <rFont val="Calibri"/>
        <family val="2"/>
        <charset val="238"/>
        <scheme val="minor"/>
      </rPr>
      <t xml:space="preserve"> for OHOs (AS)</t>
    </r>
  </si>
  <si>
    <r>
      <t>K</t>
    </r>
    <r>
      <rPr>
        <vertAlign val="subscript"/>
        <sz val="11"/>
        <rFont val="Calibri"/>
        <family val="2"/>
        <scheme val="minor"/>
      </rPr>
      <t>NOx,OHO,AS</t>
    </r>
  </si>
  <si>
    <t>Maximum specific growth rate of MEOLOs</t>
  </si>
  <si>
    <t>Decay rate of MEOLOs</t>
  </si>
  <si>
    <t xml:space="preserve">Rate of methanol degradation by MEOLOs under anaerobic conditions </t>
  </si>
  <si>
    <t>Half-saturation of methanol for MEOLOs (AS)</t>
  </si>
  <si>
    <r>
      <t>Half-saturation of NO</t>
    </r>
    <r>
      <rPr>
        <vertAlign val="subscript"/>
        <sz val="11"/>
        <color rgb="FF000000"/>
        <rFont val="Calibri"/>
        <family val="2"/>
        <scheme val="minor"/>
      </rPr>
      <t>x</t>
    </r>
    <r>
      <rPr>
        <sz val="11"/>
        <color rgb="FF000000"/>
        <rFont val="Calibri"/>
        <family val="2"/>
        <charset val="238"/>
        <scheme val="minor"/>
      </rPr>
      <t xml:space="preserve"> for MEOLOs (AS)</t>
    </r>
  </si>
  <si>
    <r>
      <t>K</t>
    </r>
    <r>
      <rPr>
        <vertAlign val="subscript"/>
        <sz val="11"/>
        <rFont val="Calibri"/>
        <family val="2"/>
        <scheme val="minor"/>
      </rPr>
      <t>NOx,MEOLO,AS</t>
    </r>
  </si>
  <si>
    <t>Maximum specific growth rate of PAOs under P limited</t>
  </si>
  <si>
    <t>Rate of VFA storage into PHA for PAOs</t>
  </si>
  <si>
    <r>
      <t>Half-saturation of PO</t>
    </r>
    <r>
      <rPr>
        <vertAlign val="subscript"/>
        <sz val="11"/>
        <color rgb="FF000000"/>
        <rFont val="Calibri"/>
        <family val="2"/>
        <scheme val="minor"/>
      </rPr>
      <t>4</t>
    </r>
    <r>
      <rPr>
        <sz val="11"/>
        <color rgb="FF000000"/>
        <rFont val="Calibri"/>
        <family val="2"/>
        <charset val="238"/>
        <scheme val="minor"/>
      </rPr>
      <t xml:space="preserve"> for PAOs (AS)</t>
    </r>
  </si>
  <si>
    <t>Half-saturation of PHA for PAOs</t>
  </si>
  <si>
    <t>Half-saturation of Mg (counter-ion in PP storage) for PAOs (AS)</t>
  </si>
  <si>
    <t>Half-saturation of K (counter-ion in PP storage) for PAOs (AS)</t>
  </si>
  <si>
    <t>Half-saturation of Ca (counter-ion in PP storage) for PAOs (AS)</t>
  </si>
  <si>
    <t>Half-saturation of PP (nutrient) for PAOs under PO4 limitation (AS)</t>
  </si>
  <si>
    <r>
      <t>Half-inhibition of PO</t>
    </r>
    <r>
      <rPr>
        <vertAlign val="subscript"/>
        <sz val="11"/>
        <color rgb="FF000000"/>
        <rFont val="Calibri"/>
        <family val="2"/>
        <scheme val="minor"/>
      </rPr>
      <t>4</t>
    </r>
    <r>
      <rPr>
        <sz val="11"/>
        <color rgb="FF000000"/>
        <rFont val="Calibri"/>
        <family val="2"/>
        <charset val="238"/>
        <scheme val="minor"/>
      </rPr>
      <t xml:space="preserve"> for PAOs under PO4 limitation (AS)</t>
    </r>
  </si>
  <si>
    <r>
      <t>Ki</t>
    </r>
    <r>
      <rPr>
        <vertAlign val="subscript"/>
        <sz val="11"/>
        <rFont val="Calibri"/>
        <family val="2"/>
        <scheme val="minor"/>
      </rPr>
      <t>PO4,lim,AS</t>
    </r>
  </si>
  <si>
    <t>Fermentation growth rate of PAOs</t>
  </si>
  <si>
    <t>Rate of PAOs maintenance under anaerobic conditions (PP cleavage)</t>
  </si>
  <si>
    <t>Reduction factor for aerobic maintenance of PAOs on PP</t>
  </si>
  <si>
    <t>Reduction factor for anoxic maintenance of PAOs on PP</t>
  </si>
  <si>
    <t>Half-inhibition of maximum PP content of PAOs</t>
  </si>
  <si>
    <t>Half-inhibition of maximum PHA content of PAOs</t>
  </si>
  <si>
    <t>Logistic half-saturation of ORP switching in fermentation of PAO</t>
  </si>
  <si>
    <t>Logistic slope of ORP switching in fermentation of PAO</t>
  </si>
  <si>
    <t>Logistic slope of ORP switching of GAOs</t>
  </si>
  <si>
    <r>
      <t>K</t>
    </r>
    <r>
      <rPr>
        <vertAlign val="subscript"/>
        <sz val="11"/>
        <rFont val="Calibri"/>
        <family val="2"/>
        <scheme val="minor"/>
      </rPr>
      <t>NOx,NITO,AS</t>
    </r>
  </si>
  <si>
    <t>Decay rate of NITOs</t>
  </si>
  <si>
    <r>
      <t>Half-saturation of NH</t>
    </r>
    <r>
      <rPr>
        <vertAlign val="subscript"/>
        <sz val="11"/>
        <color rgb="FF000000"/>
        <rFont val="Calibri"/>
        <family val="2"/>
        <scheme val="minor"/>
      </rPr>
      <t>x</t>
    </r>
    <r>
      <rPr>
        <sz val="11"/>
        <color rgb="FF000000"/>
        <rFont val="Calibri"/>
        <family val="2"/>
        <charset val="238"/>
        <scheme val="minor"/>
      </rPr>
      <t xml:space="preserve"> for NITOs (AS)</t>
    </r>
  </si>
  <si>
    <t>Half-saturation of bicarbonate for NITOs (AS)</t>
  </si>
  <si>
    <t>Half-saturation of bicarbonate for NITOs (Sidestream)</t>
  </si>
  <si>
    <r>
      <t>Half-saturation of O</t>
    </r>
    <r>
      <rPr>
        <vertAlign val="subscript"/>
        <sz val="11"/>
        <color rgb="FF000000"/>
        <rFont val="Calibri"/>
        <family val="2"/>
        <scheme val="minor"/>
      </rPr>
      <t>2</t>
    </r>
    <r>
      <rPr>
        <sz val="11"/>
        <color rgb="FF000000"/>
        <rFont val="Calibri"/>
        <family val="2"/>
        <charset val="238"/>
        <scheme val="minor"/>
      </rPr>
      <t xml:space="preserve"> for NITOs (AS)</t>
    </r>
  </si>
  <si>
    <r>
      <t>Half-saturation of O</t>
    </r>
    <r>
      <rPr>
        <vertAlign val="subscript"/>
        <sz val="11"/>
        <color rgb="FF000000"/>
        <rFont val="Calibri"/>
        <family val="2"/>
        <scheme val="minor"/>
      </rPr>
      <t>2</t>
    </r>
    <r>
      <rPr>
        <sz val="11"/>
        <color rgb="FF000000"/>
        <rFont val="Calibri"/>
        <family val="2"/>
        <charset val="238"/>
        <scheme val="minor"/>
      </rPr>
      <t xml:space="preserve"> for NITOs (Sidestream)</t>
    </r>
  </si>
  <si>
    <r>
      <t>Half-saturation of NO</t>
    </r>
    <r>
      <rPr>
        <vertAlign val="subscript"/>
        <sz val="11"/>
        <color rgb="FF000000"/>
        <rFont val="Calibri"/>
        <family val="2"/>
        <scheme val="minor"/>
      </rPr>
      <t>x</t>
    </r>
    <r>
      <rPr>
        <sz val="11"/>
        <color rgb="FF000000"/>
        <rFont val="Calibri"/>
        <family val="2"/>
        <charset val="238"/>
        <scheme val="minor"/>
      </rPr>
      <t xml:space="preserve"> for NITOs (AS)</t>
    </r>
  </si>
  <si>
    <r>
      <t>Half-inhibition of NH</t>
    </r>
    <r>
      <rPr>
        <vertAlign val="subscript"/>
        <sz val="11"/>
        <color rgb="FF000000"/>
        <rFont val="Calibri"/>
        <family val="2"/>
        <scheme val="minor"/>
      </rPr>
      <t>3</t>
    </r>
    <r>
      <rPr>
        <sz val="11"/>
        <color rgb="FF000000"/>
        <rFont val="Calibri"/>
        <family val="2"/>
        <charset val="238"/>
        <scheme val="minor"/>
      </rPr>
      <t xml:space="preserve"> for NITOs (AS)</t>
    </r>
  </si>
  <si>
    <r>
      <t>Ki</t>
    </r>
    <r>
      <rPr>
        <vertAlign val="subscript"/>
        <sz val="11"/>
        <rFont val="Calibri"/>
        <family val="2"/>
        <scheme val="minor"/>
      </rPr>
      <t>VFA,AMETO,AS</t>
    </r>
  </si>
  <si>
    <r>
      <t>K</t>
    </r>
    <r>
      <rPr>
        <vertAlign val="subscript"/>
        <sz val="11"/>
        <rFont val="Calibri"/>
        <family val="2"/>
        <scheme val="minor"/>
      </rPr>
      <t>NOx,AMETO,AS</t>
    </r>
  </si>
  <si>
    <t>Decay rate of AMETOs</t>
  </si>
  <si>
    <t>Half-saturation of VFA for AMETOs (AS)</t>
  </si>
  <si>
    <t>Haldane inhibition of VFA for AMETOs (AS)</t>
  </si>
  <si>
    <r>
      <t>Half-saturation of NO</t>
    </r>
    <r>
      <rPr>
        <vertAlign val="subscript"/>
        <sz val="11"/>
        <color rgb="FF000000"/>
        <rFont val="Calibri"/>
        <family val="2"/>
        <scheme val="minor"/>
      </rPr>
      <t>x</t>
    </r>
    <r>
      <rPr>
        <sz val="11"/>
        <color rgb="FF000000"/>
        <rFont val="Calibri"/>
        <family val="2"/>
        <charset val="238"/>
        <scheme val="minor"/>
      </rPr>
      <t xml:space="preserve"> for AMETOs (AS)</t>
    </r>
  </si>
  <si>
    <t>pH inhibition low value for AMETOs</t>
  </si>
  <si>
    <t>pH inhibition high value for AMETOs</t>
  </si>
  <si>
    <r>
      <t>K</t>
    </r>
    <r>
      <rPr>
        <vertAlign val="subscript"/>
        <sz val="11"/>
        <color indexed="8"/>
        <rFont val="Calibri"/>
        <family val="2"/>
        <scheme val="minor"/>
      </rPr>
      <t>NOx,HMETO,AS</t>
    </r>
  </si>
  <si>
    <t>Decay rate of HMETOs</t>
  </si>
  <si>
    <r>
      <t>Half-saturation of H</t>
    </r>
    <r>
      <rPr>
        <vertAlign val="subscript"/>
        <sz val="11"/>
        <color rgb="FF000000"/>
        <rFont val="Calibri"/>
        <family val="2"/>
        <scheme val="minor"/>
      </rPr>
      <t>2</t>
    </r>
    <r>
      <rPr>
        <sz val="11"/>
        <color rgb="FF000000"/>
        <rFont val="Calibri"/>
        <family val="2"/>
        <charset val="238"/>
        <scheme val="minor"/>
      </rPr>
      <t xml:space="preserve"> for HMETOs (AS)</t>
    </r>
  </si>
  <si>
    <r>
      <t>Half-saturation of NO</t>
    </r>
    <r>
      <rPr>
        <vertAlign val="subscript"/>
        <sz val="11"/>
        <color rgb="FF000000"/>
        <rFont val="Calibri"/>
        <family val="2"/>
        <scheme val="minor"/>
      </rPr>
      <t>x</t>
    </r>
    <r>
      <rPr>
        <sz val="11"/>
        <color rgb="FF000000"/>
        <rFont val="Calibri"/>
        <family val="2"/>
        <charset val="238"/>
        <scheme val="minor"/>
      </rPr>
      <t xml:space="preserve"> for HMETOs (AS)</t>
    </r>
  </si>
  <si>
    <t>pH inhibition low value for HMETOs</t>
  </si>
  <si>
    <t>pH inhibition high value for HMETOs</t>
  </si>
  <si>
    <r>
      <t>Rate of CaCO</t>
    </r>
    <r>
      <rPr>
        <vertAlign val="subscript"/>
        <sz val="11"/>
        <color rgb="FF000000"/>
        <rFont val="Calibri"/>
        <family val="2"/>
        <scheme val="minor"/>
      </rPr>
      <t>3</t>
    </r>
    <r>
      <rPr>
        <sz val="11"/>
        <color rgb="FF000000"/>
        <rFont val="Calibri"/>
        <family val="2"/>
        <charset val="238"/>
        <scheme val="minor"/>
      </rPr>
      <t xml:space="preserve"> precipitation</t>
    </r>
  </si>
  <si>
    <r>
      <t>Rate of CaCO</t>
    </r>
    <r>
      <rPr>
        <vertAlign val="subscript"/>
        <sz val="11"/>
        <color rgb="FF000000"/>
        <rFont val="Calibri"/>
        <family val="2"/>
        <scheme val="minor"/>
      </rPr>
      <t>3</t>
    </r>
    <r>
      <rPr>
        <sz val="11"/>
        <color rgb="FF000000"/>
        <rFont val="Calibri"/>
        <family val="2"/>
        <charset val="238"/>
        <scheme val="minor"/>
      </rPr>
      <t xml:space="preserve"> dissolution</t>
    </r>
  </si>
  <si>
    <t>Rate of struvite precipitation</t>
  </si>
  <si>
    <t>Rate of struvite dissolution</t>
  </si>
  <si>
    <t>Rate of ACP precipitation</t>
  </si>
  <si>
    <t>Rate of ACP dissolution</t>
  </si>
  <si>
    <t>Rate of vivianite precipitation</t>
  </si>
  <si>
    <t>Rate of vivianite dissolution</t>
  </si>
  <si>
    <r>
      <t>Rate of X</t>
    </r>
    <r>
      <rPr>
        <vertAlign val="subscript"/>
        <sz val="11"/>
        <color rgb="FF000000"/>
        <rFont val="Calibri"/>
        <family val="2"/>
        <scheme val="minor"/>
      </rPr>
      <t>HFO,H</t>
    </r>
    <r>
      <rPr>
        <sz val="11"/>
        <color rgb="FF000000"/>
        <rFont val="Calibri"/>
        <family val="2"/>
        <charset val="238"/>
        <scheme val="minor"/>
      </rPr>
      <t xml:space="preserve"> aging</t>
    </r>
  </si>
  <si>
    <t>Rate of P binding and coprecipitation on XHFO,H</t>
  </si>
  <si>
    <t>Rate of P binding on XHFO,L</t>
  </si>
  <si>
    <t>Rate of HFO reduction with organics</t>
  </si>
  <si>
    <r>
      <t>Rate of Fe</t>
    </r>
    <r>
      <rPr>
        <vertAlign val="subscript"/>
        <sz val="11"/>
        <color rgb="FF000000"/>
        <rFont val="Calibri"/>
        <family val="2"/>
        <scheme val="minor"/>
      </rPr>
      <t>2</t>
    </r>
    <r>
      <rPr>
        <sz val="11"/>
        <color rgb="FF000000"/>
        <rFont val="Calibri"/>
        <family val="2"/>
        <charset val="238"/>
        <scheme val="minor"/>
      </rPr>
      <t xml:space="preserve"> oxidation</t>
    </r>
  </si>
  <si>
    <r>
      <t>Half-inhibition of PO</t>
    </r>
    <r>
      <rPr>
        <vertAlign val="subscript"/>
        <sz val="11"/>
        <color rgb="FF000000"/>
        <rFont val="Calibri"/>
        <family val="2"/>
        <scheme val="minor"/>
      </rPr>
      <t>4</t>
    </r>
    <r>
      <rPr>
        <sz val="11"/>
        <color rgb="FF000000"/>
        <rFont val="Calibri"/>
        <family val="2"/>
        <charset val="238"/>
        <scheme val="minor"/>
      </rPr>
      <t xml:space="preserve"> in HFO redissolution</t>
    </r>
  </si>
  <si>
    <r>
      <t>Half-saturation of PO</t>
    </r>
    <r>
      <rPr>
        <vertAlign val="subscript"/>
        <sz val="11"/>
        <color rgb="FF000000"/>
        <rFont val="Calibri"/>
        <family val="2"/>
        <scheme val="minor"/>
      </rPr>
      <t>4</t>
    </r>
    <r>
      <rPr>
        <sz val="11"/>
        <color rgb="FF000000"/>
        <rFont val="Calibri"/>
        <family val="2"/>
        <charset val="238"/>
        <scheme val="minor"/>
      </rPr>
      <t xml:space="preserve"> in binding on HFO</t>
    </r>
  </si>
  <si>
    <r>
      <t>Half-saturation of NH</t>
    </r>
    <r>
      <rPr>
        <vertAlign val="subscript"/>
        <sz val="11"/>
        <color rgb="FF000000"/>
        <rFont val="Calibri"/>
        <family val="2"/>
        <scheme val="minor"/>
      </rPr>
      <t>x</t>
    </r>
    <r>
      <rPr>
        <sz val="11"/>
        <color rgb="FF000000"/>
        <rFont val="Calibri"/>
        <family val="2"/>
        <charset val="238"/>
        <scheme val="minor"/>
      </rPr>
      <t xml:space="preserve"> as nutrient for biomasses (AS)</t>
    </r>
  </si>
  <si>
    <r>
      <t>Half-saturation of PO</t>
    </r>
    <r>
      <rPr>
        <vertAlign val="subscript"/>
        <sz val="11"/>
        <color rgb="FF000000"/>
        <rFont val="Calibri"/>
        <family val="2"/>
        <scheme val="minor"/>
      </rPr>
      <t>4</t>
    </r>
    <r>
      <rPr>
        <sz val="11"/>
        <color rgb="FF000000"/>
        <rFont val="Calibri"/>
        <family val="2"/>
        <charset val="238"/>
        <scheme val="minor"/>
      </rPr>
      <t xml:space="preserve"> as nutrient for biomasses (AS)</t>
    </r>
  </si>
  <si>
    <r>
      <t>Half-saturation of CO</t>
    </r>
    <r>
      <rPr>
        <vertAlign val="subscript"/>
        <sz val="11"/>
        <color rgb="FF000000"/>
        <rFont val="Calibri"/>
        <family val="2"/>
        <scheme val="minor"/>
      </rPr>
      <t>2</t>
    </r>
    <r>
      <rPr>
        <sz val="11"/>
        <color rgb="FF000000"/>
        <rFont val="Calibri"/>
        <family val="2"/>
        <charset val="238"/>
        <scheme val="minor"/>
      </rPr>
      <t xml:space="preserve"> for biomasses (except NITOs)</t>
    </r>
  </si>
  <si>
    <t>Half-saturation of strong cations (as Na+)</t>
  </si>
  <si>
    <t>Half-saturation of strong anions (as Cl-)</t>
  </si>
  <si>
    <t>Reduction factor for anoxic decay</t>
  </si>
  <si>
    <t>Reduction factor for anaerobic decay</t>
  </si>
  <si>
    <t>Reduction factor for anoxic hydrolysis</t>
  </si>
  <si>
    <t>Reduction factor for anaerobic hydrolysis</t>
  </si>
  <si>
    <t>Toxicity factor of anaerobes under anoxic conditions</t>
  </si>
  <si>
    <t>Toxicity factor of anaerobes under aerobic conditions</t>
  </si>
  <si>
    <t>Toxicity factor of aerobes under anaerobic conditions (maximum)</t>
  </si>
  <si>
    <t>pH inhibition low value</t>
  </si>
  <si>
    <t>pH inhibition high value</t>
  </si>
  <si>
    <r>
      <t>Ki</t>
    </r>
    <r>
      <rPr>
        <vertAlign val="subscript"/>
        <sz val="11"/>
        <color indexed="8"/>
        <rFont val="Calibri"/>
        <family val="2"/>
        <scheme val="minor"/>
      </rPr>
      <t>NHx,ASSIM,AS</t>
    </r>
  </si>
  <si>
    <t>Rate of flocculation</t>
  </si>
  <si>
    <t>Half-saturation of particulates in hydrolysis (AS)</t>
  </si>
  <si>
    <t>Rate of ammonification</t>
  </si>
  <si>
    <t>Rate of soluble biodegradable organic P conversion</t>
  </si>
  <si>
    <t>Rate of endogenous decay products conversion</t>
  </si>
  <si>
    <t>Rate of assimilative nutrient production</t>
  </si>
  <si>
    <t>Diffusion factor for half-saturation coefficients</t>
  </si>
  <si>
    <t>Yield of OHOs on VFA under aerobic conditions</t>
  </si>
  <si>
    <t>Yield of OHOs on VFA under anoxic conditions</t>
  </si>
  <si>
    <t>Yield of OHOs on readily biodegradable substrate under aerobic conditions</t>
  </si>
  <si>
    <t>Yield of OHOs on readily biodegradable substrate under anoxic conditions</t>
  </si>
  <si>
    <t>Yield of OHOs on readily biodegradable substrate under anaerobic conditions</t>
  </si>
  <si>
    <t>Yield of H2 production in fermentation with high VFA concentration (OHO)</t>
  </si>
  <si>
    <t>Yield of H2 production in fermentation with low VFA concentration (OHO)</t>
  </si>
  <si>
    <t>Yield of OHOs on methanol under aerobic conditions</t>
  </si>
  <si>
    <t>Yield of MEOLOs on methanol</t>
  </si>
  <si>
    <t>Ratio of P released per VFA stored</t>
  </si>
  <si>
    <r>
      <t>Yield of NITOs on NH</t>
    </r>
    <r>
      <rPr>
        <vertAlign val="subscript"/>
        <sz val="11"/>
        <color rgb="FF000000"/>
        <rFont val="Calibri"/>
        <family val="2"/>
        <scheme val="minor"/>
      </rPr>
      <t>x</t>
    </r>
  </si>
  <si>
    <t>Yield of AMETOs on VFA</t>
  </si>
  <si>
    <r>
      <t>Yield of HMETOs on H</t>
    </r>
    <r>
      <rPr>
        <vertAlign val="subscript"/>
        <sz val="11"/>
        <color rgb="FF000000"/>
        <rFont val="Calibri"/>
        <family val="2"/>
        <scheme val="minor"/>
      </rPr>
      <t>2</t>
    </r>
  </si>
  <si>
    <r>
      <t>i</t>
    </r>
    <r>
      <rPr>
        <vertAlign val="subscript"/>
        <sz val="11"/>
        <rFont val="Calibri"/>
        <family val="2"/>
        <scheme val="minor"/>
      </rPr>
      <t>CV,XU</t>
    </r>
  </si>
  <si>
    <r>
      <t>i</t>
    </r>
    <r>
      <rPr>
        <vertAlign val="subscript"/>
        <sz val="11"/>
        <rFont val="Calibri"/>
        <family val="2"/>
        <scheme val="minor"/>
      </rPr>
      <t>CV,XB</t>
    </r>
  </si>
  <si>
    <t>Fraction of endogenous products produced in biomass decay</t>
  </si>
  <si>
    <t>N content of colloidal biodegradable substrate</t>
  </si>
  <si>
    <t>N content of colloidal unbiodegradable organics</t>
  </si>
  <si>
    <t>N content of soluble unbiodegradable organics</t>
  </si>
  <si>
    <t>N content of struvite</t>
  </si>
  <si>
    <t>P content of colloidal biodegradable substrate</t>
  </si>
  <si>
    <t>P content of colloidal unbiodegradable organics</t>
  </si>
  <si>
    <t>P content of soluble unbiodegradable organics</t>
  </si>
  <si>
    <t>P content of struvite</t>
  </si>
  <si>
    <t>P content of ACP</t>
  </si>
  <si>
    <t>P content of vivianite</t>
  </si>
  <si>
    <t>COD of biomass in volatile solids</t>
  </si>
  <si>
    <t>COD of biodegradable substrate in volatile solids</t>
  </si>
  <si>
    <t>COD of particulate unbiodegradable organics in volatile solids</t>
  </si>
  <si>
    <t>COD of VFA in volatile solids</t>
  </si>
  <si>
    <t>COD of readily biodegradable substrate in volatile solids</t>
  </si>
  <si>
    <t>COD of soluble unbiodegradable organics in volatile solids</t>
  </si>
  <si>
    <t>COD of colloidal biodegradable substrate in volatile solids</t>
  </si>
  <si>
    <t>COD of colloidal unbiodegradable organics in volatile solids</t>
  </si>
  <si>
    <t>COD of endogenous products in volatile solids</t>
  </si>
  <si>
    <t>Inorganic carbon content of biomass</t>
  </si>
  <si>
    <r>
      <t>Inorganic carbon content of S</t>
    </r>
    <r>
      <rPr>
        <vertAlign val="subscript"/>
        <sz val="11"/>
        <color rgb="FF000000"/>
        <rFont val="Calibri"/>
        <family val="2"/>
        <scheme val="minor"/>
      </rPr>
      <t>B</t>
    </r>
    <r>
      <rPr>
        <sz val="11"/>
        <color rgb="FF000000"/>
        <rFont val="Calibri"/>
        <family val="2"/>
        <charset val="238"/>
        <scheme val="minor"/>
      </rPr>
      <t xml:space="preserve"> and S</t>
    </r>
    <r>
      <rPr>
        <vertAlign val="subscript"/>
        <sz val="11"/>
        <color rgb="FF000000"/>
        <rFont val="Calibri"/>
        <family val="2"/>
        <scheme val="minor"/>
      </rPr>
      <t>U</t>
    </r>
  </si>
  <si>
    <t>Inorganic carbon content of methanol</t>
  </si>
  <si>
    <t>Inorganic carbon content of CH4</t>
  </si>
  <si>
    <t>Inorganic carbon content of VFA</t>
  </si>
  <si>
    <t>Inorganic carbon content of PHA</t>
  </si>
  <si>
    <t>COD of PHA in volatile solids</t>
  </si>
  <si>
    <t>Inorganic content of biomass</t>
  </si>
  <si>
    <t>Calcium content of PP</t>
  </si>
  <si>
    <t>Magnesium content of PP</t>
  </si>
  <si>
    <t>Potassium content of PP</t>
  </si>
  <si>
    <t>Fraction of Na in NaCl</t>
  </si>
  <si>
    <r>
      <t>Correction factor for mass transfer of N</t>
    </r>
    <r>
      <rPr>
        <vertAlign val="subscript"/>
        <sz val="11"/>
        <color rgb="FF000000"/>
        <rFont val="Calibri"/>
        <family val="2"/>
        <scheme val="minor"/>
      </rPr>
      <t>2</t>
    </r>
  </si>
  <si>
    <r>
      <t>Correction factor for mass transfer of CO</t>
    </r>
    <r>
      <rPr>
        <vertAlign val="subscript"/>
        <sz val="11"/>
        <color rgb="FF000000"/>
        <rFont val="Calibri"/>
        <family val="2"/>
        <scheme val="minor"/>
      </rPr>
      <t>2</t>
    </r>
  </si>
  <si>
    <r>
      <t>Correction factor for mass transfer of CH</t>
    </r>
    <r>
      <rPr>
        <vertAlign val="subscript"/>
        <sz val="11"/>
        <color rgb="FF000000"/>
        <rFont val="Calibri"/>
        <family val="2"/>
        <scheme val="minor"/>
      </rPr>
      <t>4</t>
    </r>
  </si>
  <si>
    <r>
      <t>Correction factor for mass transfer of H</t>
    </r>
    <r>
      <rPr>
        <vertAlign val="subscript"/>
        <sz val="11"/>
        <color rgb="FF000000"/>
        <rFont val="Calibri"/>
        <family val="2"/>
        <scheme val="minor"/>
      </rPr>
      <t>2</t>
    </r>
  </si>
  <si>
    <r>
      <t>Correction factor for mass transfer of NH</t>
    </r>
    <r>
      <rPr>
        <vertAlign val="subscript"/>
        <sz val="11"/>
        <color rgb="FF000000"/>
        <rFont val="Calibri"/>
        <family val="2"/>
        <scheme val="minor"/>
      </rPr>
      <t>3</t>
    </r>
  </si>
  <si>
    <r>
      <t>ratio</t>
    </r>
    <r>
      <rPr>
        <vertAlign val="subscript"/>
        <sz val="11"/>
        <rFont val="Calibri"/>
        <family val="2"/>
        <scheme val="minor"/>
      </rPr>
      <t>VSS,TSS</t>
    </r>
  </si>
  <si>
    <r>
      <t>T</t>
    </r>
    <r>
      <rPr>
        <vertAlign val="subscript"/>
        <sz val="11"/>
        <rFont val="Calibri"/>
        <family val="2"/>
        <scheme val="minor"/>
      </rPr>
      <t>COD</t>
    </r>
    <r>
      <rPr>
        <sz val="11"/>
        <rFont val="Calibri"/>
        <family val="2"/>
        <scheme val="minor"/>
      </rPr>
      <t xml:space="preserve"> + S</t>
    </r>
    <r>
      <rPr>
        <vertAlign val="subscript"/>
        <sz val="11"/>
        <rFont val="Calibri"/>
        <family val="2"/>
        <scheme val="minor"/>
      </rPr>
      <t xml:space="preserve">H2 </t>
    </r>
    <r>
      <rPr>
        <sz val="11"/>
        <rFont val="Calibri"/>
        <family val="2"/>
        <scheme val="minor"/>
      </rPr>
      <t>+ S</t>
    </r>
    <r>
      <rPr>
        <vertAlign val="subscript"/>
        <sz val="11"/>
        <rFont val="Calibri"/>
        <family val="2"/>
        <scheme val="minor"/>
      </rPr>
      <t xml:space="preserve">CH4 </t>
    </r>
    <r>
      <rPr>
        <sz val="11"/>
        <rFont val="Calibri"/>
        <family val="2"/>
        <scheme val="minor"/>
      </rPr>
      <t xml:space="preserve"> + EEQ</t>
    </r>
    <r>
      <rPr>
        <vertAlign val="subscript"/>
        <sz val="11"/>
        <rFont val="Calibri"/>
        <family val="2"/>
        <scheme val="minor"/>
      </rPr>
      <t>Fe2</t>
    </r>
    <r>
      <rPr>
        <sz val="11"/>
        <rFont val="Calibri"/>
        <family val="2"/>
        <scheme val="minor"/>
      </rPr>
      <t>*S</t>
    </r>
    <r>
      <rPr>
        <vertAlign val="subscript"/>
        <sz val="11"/>
        <rFont val="Calibri"/>
        <family val="2"/>
        <scheme val="minor"/>
      </rPr>
      <t>Fe2</t>
    </r>
    <r>
      <rPr>
        <sz val="11"/>
        <rFont val="Calibri"/>
        <family val="2"/>
        <scheme val="minor"/>
      </rPr>
      <t xml:space="preserve"> + (3*AM</t>
    </r>
    <r>
      <rPr>
        <vertAlign val="subscript"/>
        <sz val="11"/>
        <rFont val="Calibri"/>
        <family val="2"/>
        <scheme val="minor"/>
      </rPr>
      <t>Fe</t>
    </r>
    <r>
      <rPr>
        <sz val="11"/>
        <rFont val="Calibri"/>
        <family val="2"/>
        <scheme val="minor"/>
      </rPr>
      <t>/MM</t>
    </r>
    <r>
      <rPr>
        <vertAlign val="subscript"/>
        <sz val="11"/>
        <rFont val="Calibri"/>
        <family val="2"/>
        <scheme val="minor"/>
      </rPr>
      <t>Vivi</t>
    </r>
    <r>
      <rPr>
        <sz val="11"/>
        <rFont val="Calibri"/>
        <family val="2"/>
        <scheme val="minor"/>
      </rPr>
      <t>*EEQ</t>
    </r>
    <r>
      <rPr>
        <vertAlign val="subscript"/>
        <sz val="11"/>
        <rFont val="Calibri"/>
        <family val="2"/>
        <scheme val="minor"/>
      </rPr>
      <t>Fe2</t>
    </r>
    <r>
      <rPr>
        <sz val="11"/>
        <rFont val="Calibri"/>
        <family val="2"/>
        <scheme val="minor"/>
      </rPr>
      <t>)*X</t>
    </r>
    <r>
      <rPr>
        <vertAlign val="subscript"/>
        <sz val="11"/>
        <rFont val="Calibri"/>
        <family val="2"/>
        <scheme val="minor"/>
      </rPr>
      <t>Vivi</t>
    </r>
    <r>
      <rPr>
        <sz val="11"/>
        <rFont val="Calibri"/>
        <family val="2"/>
        <scheme val="minor"/>
      </rPr>
      <t xml:space="preserve"> - EEQ</t>
    </r>
    <r>
      <rPr>
        <vertAlign val="subscript"/>
        <sz val="11"/>
        <rFont val="Calibri"/>
        <family val="2"/>
        <scheme val="minor"/>
      </rPr>
      <t>NO3</t>
    </r>
    <r>
      <rPr>
        <sz val="11"/>
        <rFont val="Calibri"/>
        <family val="2"/>
        <scheme val="minor"/>
      </rPr>
      <t>*S</t>
    </r>
    <r>
      <rPr>
        <vertAlign val="subscript"/>
        <sz val="11"/>
        <rFont val="Calibri"/>
        <family val="2"/>
        <scheme val="minor"/>
      </rPr>
      <t>NOx</t>
    </r>
    <r>
      <rPr>
        <sz val="11"/>
        <rFont val="Calibri"/>
        <family val="2"/>
        <scheme val="minor"/>
      </rPr>
      <t xml:space="preserve"> - EEQ</t>
    </r>
    <r>
      <rPr>
        <vertAlign val="subscript"/>
        <sz val="11"/>
        <rFont val="Calibri"/>
        <family val="2"/>
        <scheme val="minor"/>
      </rPr>
      <t>N2</t>
    </r>
    <r>
      <rPr>
        <sz val="11"/>
        <rFont val="Calibri"/>
        <family val="2"/>
        <scheme val="minor"/>
      </rPr>
      <t>*S</t>
    </r>
    <r>
      <rPr>
        <vertAlign val="subscript"/>
        <sz val="11"/>
        <rFont val="Calibri"/>
        <family val="2"/>
        <scheme val="minor"/>
      </rPr>
      <t xml:space="preserve">N2 </t>
    </r>
    <r>
      <rPr>
        <sz val="11"/>
        <rFont val="Calibri"/>
        <family val="2"/>
        <scheme val="minor"/>
      </rPr>
      <t>- S</t>
    </r>
    <r>
      <rPr>
        <vertAlign val="subscript"/>
        <sz val="11"/>
        <rFont val="Calibri"/>
        <family val="2"/>
        <scheme val="minor"/>
      </rPr>
      <t>O2</t>
    </r>
  </si>
  <si>
    <t>COD of particulates</t>
  </si>
  <si>
    <t>Volatile suspended solids of biomasses</t>
  </si>
  <si>
    <t>Volatile ultimately degradable solids</t>
  </si>
  <si>
    <t>Total inorganic suspended solids (ISS)</t>
  </si>
  <si>
    <t>Total suspended solids (TSS)</t>
  </si>
  <si>
    <t>Filtered ultimate biochemical oxygen demand</t>
  </si>
  <si>
    <t>Filtered biochemical oxygen demand (5 days)</t>
  </si>
  <si>
    <t>Filtered chemical oxygen demand</t>
  </si>
  <si>
    <t>Total phosphorus in HFOs</t>
  </si>
  <si>
    <t>Rate expression of struvite precipitation (driving force)</t>
  </si>
  <si>
    <t>Rate expression of ACP precipitation (driving force)</t>
  </si>
  <si>
    <r>
      <t>Rate expression of CaCO</t>
    </r>
    <r>
      <rPr>
        <vertAlign val="subscript"/>
        <sz val="11"/>
        <color rgb="FF000000"/>
        <rFont val="Calibri"/>
        <family val="2"/>
        <scheme val="minor"/>
      </rPr>
      <t>3</t>
    </r>
    <r>
      <rPr>
        <sz val="11"/>
        <color rgb="FF000000"/>
        <rFont val="Calibri"/>
        <family val="2"/>
        <charset val="238"/>
        <scheme val="minor"/>
      </rPr>
      <t xml:space="preserve"> precipitation (driving force)</t>
    </r>
  </si>
  <si>
    <t>Rate expression of vivianite precipitation (driving force)</t>
  </si>
  <si>
    <t>Oxygen uptake rate (OUR)</t>
  </si>
  <si>
    <t>Carbonaceous oxygen uptake rate (COUR)</t>
  </si>
  <si>
    <t>Nitrification oxygen uptake rate (NOUR)</t>
  </si>
  <si>
    <t>Toxicity factor of aerobes under anaerobic conditions (in digester)</t>
  </si>
  <si>
    <t>Toxicity factor of aerobes under anaerobic conditions (not in digester)</t>
  </si>
  <si>
    <r>
      <t>Half-saturation of NH</t>
    </r>
    <r>
      <rPr>
        <vertAlign val="subscript"/>
        <sz val="11"/>
        <color rgb="FF000000"/>
        <rFont val="Calibri"/>
        <family val="2"/>
        <scheme val="minor"/>
      </rPr>
      <t>x</t>
    </r>
    <r>
      <rPr>
        <sz val="11"/>
        <color rgb="FF000000"/>
        <rFont val="Calibri"/>
        <family val="2"/>
        <charset val="238"/>
        <scheme val="minor"/>
      </rPr>
      <t xml:space="preserve"> for NITOs</t>
    </r>
  </si>
  <si>
    <t>Half-saturation of bicarbonate for NITOs</t>
  </si>
  <si>
    <r>
      <t>Half-saturation of O</t>
    </r>
    <r>
      <rPr>
        <vertAlign val="subscript"/>
        <sz val="11"/>
        <color rgb="FF000000"/>
        <rFont val="Calibri"/>
        <family val="2"/>
        <scheme val="minor"/>
      </rPr>
      <t>2</t>
    </r>
    <r>
      <rPr>
        <sz val="11"/>
        <color rgb="FF000000"/>
        <rFont val="Calibri"/>
        <family val="2"/>
        <charset val="238"/>
        <scheme val="minor"/>
      </rPr>
      <t xml:space="preserve"> for NITOs</t>
    </r>
  </si>
  <si>
    <r>
      <t>Half-saturation of NO</t>
    </r>
    <r>
      <rPr>
        <vertAlign val="subscript"/>
        <sz val="11"/>
        <color rgb="FF000000"/>
        <rFont val="Calibri"/>
        <family val="2"/>
        <scheme val="minor"/>
      </rPr>
      <t>x</t>
    </r>
    <r>
      <rPr>
        <sz val="11"/>
        <color rgb="FF000000"/>
        <rFont val="Calibri"/>
        <family val="2"/>
        <charset val="238"/>
        <scheme val="minor"/>
      </rPr>
      <t xml:space="preserve"> for NITOs</t>
    </r>
  </si>
  <si>
    <r>
      <t>Half-inhibition of NH</t>
    </r>
    <r>
      <rPr>
        <vertAlign val="subscript"/>
        <sz val="11"/>
        <color rgb="FF000000"/>
        <rFont val="Calibri"/>
        <family val="2"/>
        <scheme val="minor"/>
      </rPr>
      <t>3</t>
    </r>
    <r>
      <rPr>
        <sz val="11"/>
        <color rgb="FF000000"/>
        <rFont val="Calibri"/>
        <family val="2"/>
        <charset val="238"/>
        <scheme val="minor"/>
      </rPr>
      <t xml:space="preserve"> for NITOs</t>
    </r>
  </si>
  <si>
    <r>
      <t>K</t>
    </r>
    <r>
      <rPr>
        <vertAlign val="subscript"/>
        <sz val="11"/>
        <rFont val="Calibri"/>
        <family val="2"/>
        <scheme val="minor"/>
      </rPr>
      <t>NOx,NITO</t>
    </r>
  </si>
  <si>
    <t>Half-saturation of readily biodegradable substrate for OHOs</t>
  </si>
  <si>
    <t>Half-saturation of VFA for OHOs</t>
  </si>
  <si>
    <r>
      <t>Half-saturation of O</t>
    </r>
    <r>
      <rPr>
        <vertAlign val="subscript"/>
        <sz val="11"/>
        <color rgb="FF000000"/>
        <rFont val="Calibri"/>
        <family val="2"/>
        <scheme val="minor"/>
      </rPr>
      <t>2</t>
    </r>
    <r>
      <rPr>
        <sz val="11"/>
        <color rgb="FF000000"/>
        <rFont val="Calibri"/>
        <family val="2"/>
        <charset val="238"/>
        <scheme val="minor"/>
      </rPr>
      <t xml:space="preserve"> for OHOs</t>
    </r>
  </si>
  <si>
    <t>Half-saturation of methanol for OHOs</t>
  </si>
  <si>
    <r>
      <t>Half-saturation of NO</t>
    </r>
    <r>
      <rPr>
        <vertAlign val="subscript"/>
        <sz val="11"/>
        <color rgb="FF000000"/>
        <rFont val="Calibri"/>
        <family val="2"/>
        <scheme val="minor"/>
      </rPr>
      <t>x</t>
    </r>
    <r>
      <rPr>
        <sz val="11"/>
        <color rgb="FF000000"/>
        <rFont val="Calibri"/>
        <family val="2"/>
        <charset val="238"/>
        <scheme val="minor"/>
      </rPr>
      <t xml:space="preserve"> for OHOs</t>
    </r>
  </si>
  <si>
    <t>Half-saturation of readily biodegradable substrate in fermentation by OHOs</t>
  </si>
  <si>
    <r>
      <t>K</t>
    </r>
    <r>
      <rPr>
        <vertAlign val="subscript"/>
        <sz val="11"/>
        <rFont val="Calibri"/>
        <family val="2"/>
        <scheme val="minor"/>
      </rPr>
      <t>NOx,OHO</t>
    </r>
  </si>
  <si>
    <t>Half-saturation of methanol for MEOLOs</t>
  </si>
  <si>
    <r>
      <t>Half-saturation of NO</t>
    </r>
    <r>
      <rPr>
        <vertAlign val="subscript"/>
        <sz val="11"/>
        <color rgb="FF000000"/>
        <rFont val="Calibri"/>
        <family val="2"/>
        <scheme val="minor"/>
      </rPr>
      <t>x</t>
    </r>
    <r>
      <rPr>
        <sz val="11"/>
        <color rgb="FF000000"/>
        <rFont val="Calibri"/>
        <family val="2"/>
        <charset val="238"/>
        <scheme val="minor"/>
      </rPr>
      <t xml:space="preserve"> for MEOLOs</t>
    </r>
  </si>
  <si>
    <r>
      <t>K</t>
    </r>
    <r>
      <rPr>
        <vertAlign val="subscript"/>
        <sz val="11"/>
        <rFont val="Calibri"/>
        <family val="2"/>
        <scheme val="minor"/>
      </rPr>
      <t>NOx,MEOLO</t>
    </r>
  </si>
  <si>
    <r>
      <t>Half-saturation of PO</t>
    </r>
    <r>
      <rPr>
        <vertAlign val="subscript"/>
        <sz val="11"/>
        <color rgb="FF000000"/>
        <rFont val="Calibri"/>
        <family val="2"/>
        <scheme val="minor"/>
      </rPr>
      <t>4</t>
    </r>
    <r>
      <rPr>
        <sz val="11"/>
        <color rgb="FF000000"/>
        <rFont val="Calibri"/>
        <family val="2"/>
        <charset val="238"/>
        <scheme val="minor"/>
      </rPr>
      <t xml:space="preserve"> for PAOs</t>
    </r>
  </si>
  <si>
    <t>Half-saturation of Mg (counter-ion in PP storage) for PAOs</t>
  </si>
  <si>
    <t>Half-saturation of K (counter-ion in PP storage) for PAOs</t>
  </si>
  <si>
    <t>Half-saturation of Ca (counter-ion in PP storage) for PAOs</t>
  </si>
  <si>
    <r>
      <t>Ki</t>
    </r>
    <r>
      <rPr>
        <vertAlign val="subscript"/>
        <sz val="11"/>
        <rFont val="Calibri"/>
        <family val="2"/>
        <scheme val="minor"/>
      </rPr>
      <t>PO4,lim</t>
    </r>
  </si>
  <si>
    <r>
      <t>Half-inhibition of PO</t>
    </r>
    <r>
      <rPr>
        <vertAlign val="subscript"/>
        <sz val="11"/>
        <color rgb="FF000000"/>
        <rFont val="Calibri"/>
        <family val="2"/>
        <scheme val="minor"/>
      </rPr>
      <t>4</t>
    </r>
    <r>
      <rPr>
        <sz val="11"/>
        <color rgb="FF000000"/>
        <rFont val="Calibri"/>
        <family val="2"/>
        <charset val="238"/>
        <scheme val="minor"/>
      </rPr>
      <t xml:space="preserve"> for PP use as nutrient for PAOs</t>
    </r>
  </si>
  <si>
    <t>Half-saturations for acidoclastic methanogens (AMETO)</t>
  </si>
  <si>
    <t>Half-saturations for hydrogenotrophic methanogens (HMETO)</t>
  </si>
  <si>
    <t>Half-saturation of VFA for AMETOs</t>
  </si>
  <si>
    <t>Haldane inhibition of VFA for AMETOs</t>
  </si>
  <si>
    <r>
      <t>Half-saturation of NO</t>
    </r>
    <r>
      <rPr>
        <vertAlign val="subscript"/>
        <sz val="11"/>
        <color rgb="FF000000"/>
        <rFont val="Calibri"/>
        <family val="2"/>
        <scheme val="minor"/>
      </rPr>
      <t>x</t>
    </r>
    <r>
      <rPr>
        <sz val="11"/>
        <color rgb="FF000000"/>
        <rFont val="Calibri"/>
        <family val="2"/>
        <charset val="238"/>
        <scheme val="minor"/>
      </rPr>
      <t xml:space="preserve"> for AMETOs</t>
    </r>
  </si>
  <si>
    <r>
      <t>Ki</t>
    </r>
    <r>
      <rPr>
        <vertAlign val="subscript"/>
        <sz val="11"/>
        <rFont val="Calibri"/>
        <family val="2"/>
        <scheme val="minor"/>
      </rPr>
      <t>VFA,AMETO</t>
    </r>
  </si>
  <si>
    <r>
      <t>K</t>
    </r>
    <r>
      <rPr>
        <vertAlign val="subscript"/>
        <sz val="11"/>
        <rFont val="Calibri"/>
        <family val="2"/>
        <scheme val="minor"/>
      </rPr>
      <t>NOx,AMETO</t>
    </r>
  </si>
  <si>
    <r>
      <t>Half-saturation of H</t>
    </r>
    <r>
      <rPr>
        <vertAlign val="subscript"/>
        <sz val="11"/>
        <color rgb="FF000000"/>
        <rFont val="Calibri"/>
        <family val="2"/>
        <scheme val="minor"/>
      </rPr>
      <t>2</t>
    </r>
    <r>
      <rPr>
        <sz val="11"/>
        <color rgb="FF000000"/>
        <rFont val="Calibri"/>
        <family val="2"/>
        <charset val="238"/>
        <scheme val="minor"/>
      </rPr>
      <t xml:space="preserve"> for HMETOs</t>
    </r>
  </si>
  <si>
    <r>
      <t>Half-saturation of NO</t>
    </r>
    <r>
      <rPr>
        <vertAlign val="subscript"/>
        <sz val="11"/>
        <color rgb="FF000000"/>
        <rFont val="Calibri"/>
        <family val="2"/>
        <scheme val="minor"/>
      </rPr>
      <t>x</t>
    </r>
    <r>
      <rPr>
        <sz val="11"/>
        <color rgb="FF000000"/>
        <rFont val="Calibri"/>
        <family val="2"/>
        <charset val="238"/>
        <scheme val="minor"/>
      </rPr>
      <t xml:space="preserve"> for HMETOs</t>
    </r>
  </si>
  <si>
    <r>
      <t>K</t>
    </r>
    <r>
      <rPr>
        <vertAlign val="subscript"/>
        <sz val="11"/>
        <rFont val="Calibri"/>
        <family val="2"/>
        <scheme val="minor"/>
      </rPr>
      <t>NOx,HMETO</t>
    </r>
  </si>
  <si>
    <r>
      <t>K</t>
    </r>
    <r>
      <rPr>
        <vertAlign val="subscript"/>
        <sz val="11"/>
        <rFont val="Calibri"/>
        <family val="2"/>
        <scheme val="minor"/>
      </rPr>
      <t>NOx,HMETO,AS</t>
    </r>
  </si>
  <si>
    <t>Half-saturations for conversions</t>
  </si>
  <si>
    <r>
      <t>Ki</t>
    </r>
    <r>
      <rPr>
        <vertAlign val="subscript"/>
        <sz val="11"/>
        <rFont val="Calibri"/>
        <family val="2"/>
        <scheme val="minor"/>
      </rPr>
      <t>NHx,ASSIM</t>
    </r>
  </si>
  <si>
    <r>
      <t>Ki</t>
    </r>
    <r>
      <rPr>
        <vertAlign val="subscript"/>
        <sz val="11"/>
        <rFont val="Calibri"/>
        <family val="2"/>
        <scheme val="minor"/>
      </rPr>
      <t>NHx,ASSIM,AS</t>
    </r>
  </si>
  <si>
    <t>Half-saturation of NHx as nutrient for biomasses</t>
  </si>
  <si>
    <r>
      <t>Half-saturation of PO</t>
    </r>
    <r>
      <rPr>
        <vertAlign val="subscript"/>
        <sz val="11"/>
        <color rgb="FF000000"/>
        <rFont val="Calibri"/>
        <family val="2"/>
        <scheme val="minor"/>
      </rPr>
      <t>4</t>
    </r>
    <r>
      <rPr>
        <sz val="11"/>
        <color rgb="FF000000"/>
        <rFont val="Calibri"/>
        <family val="2"/>
        <charset val="238"/>
        <scheme val="minor"/>
      </rPr>
      <t xml:space="preserve"> as nutrient for biomasses</t>
    </r>
  </si>
  <si>
    <t>Half-saturation of particulates in hydrolysis</t>
  </si>
  <si>
    <t>pH inhibition (Bell shaped)</t>
  </si>
  <si>
    <t>pH inhibition (Bell shaped) (AMETO)</t>
  </si>
  <si>
    <t>pH inhibition (Bell shaped) (HMETO)</t>
  </si>
  <si>
    <t>ORP switch of fermentation by PAOs</t>
  </si>
  <si>
    <r>
      <t>Minh</t>
    </r>
    <r>
      <rPr>
        <vertAlign val="subscript"/>
        <sz val="11"/>
        <rFont val="Calibri"/>
        <family val="2"/>
        <scheme val="minor"/>
      </rPr>
      <t>SNOx,KNOx,OHO</t>
    </r>
  </si>
  <si>
    <r>
      <t>Minh(S</t>
    </r>
    <r>
      <rPr>
        <vertAlign val="subscript"/>
        <sz val="11"/>
        <rFont val="Calibri"/>
        <family val="2"/>
        <scheme val="minor"/>
      </rPr>
      <t>NOx</t>
    </r>
    <r>
      <rPr>
        <sz val="11"/>
        <rFont val="Calibri"/>
        <family val="2"/>
        <scheme val="minor"/>
      </rPr>
      <t>;K</t>
    </r>
    <r>
      <rPr>
        <vertAlign val="subscript"/>
        <sz val="11"/>
        <rFont val="Calibri"/>
        <family val="2"/>
        <scheme val="minor"/>
      </rPr>
      <t>NOx,OHO</t>
    </r>
    <r>
      <rPr>
        <sz val="11"/>
        <rFont val="Calibri"/>
        <family val="2"/>
        <scheme val="minor"/>
      </rPr>
      <t>)</t>
    </r>
  </si>
  <si>
    <r>
      <t>Saturation term for strong anion (as Cl</t>
    </r>
    <r>
      <rPr>
        <vertAlign val="superscript"/>
        <sz val="11"/>
        <color rgb="FF000000"/>
        <rFont val="Calibri"/>
        <family val="2"/>
        <scheme val="minor"/>
      </rPr>
      <t>-</t>
    </r>
    <r>
      <rPr>
        <sz val="11"/>
        <color rgb="FF000000"/>
        <rFont val="Calibri"/>
        <family val="2"/>
        <charset val="238"/>
        <scheme val="minor"/>
      </rPr>
      <t>)</t>
    </r>
  </si>
  <si>
    <r>
      <t>Saturation term for strong cation (as Na</t>
    </r>
    <r>
      <rPr>
        <vertAlign val="superscript"/>
        <sz val="11"/>
        <color rgb="FF000000"/>
        <rFont val="Calibri"/>
        <family val="2"/>
        <scheme val="minor"/>
      </rPr>
      <t>+</t>
    </r>
    <r>
      <rPr>
        <sz val="11"/>
        <color rgb="FF000000"/>
        <rFont val="Calibri"/>
        <family val="2"/>
        <charset val="238"/>
        <scheme val="minor"/>
      </rPr>
      <t>)</t>
    </r>
  </si>
  <si>
    <t>Saturation term for inorganic carbon (BIO except NITO)</t>
  </si>
  <si>
    <r>
      <t>Saturation term for NH</t>
    </r>
    <r>
      <rPr>
        <vertAlign val="subscript"/>
        <sz val="11"/>
        <color rgb="FF000000"/>
        <rFont val="Calibri"/>
        <family val="2"/>
        <scheme val="minor"/>
      </rPr>
      <t>x</t>
    </r>
    <r>
      <rPr>
        <sz val="11"/>
        <color rgb="FF000000"/>
        <rFont val="Calibri"/>
        <family val="2"/>
        <charset val="238"/>
        <scheme val="minor"/>
      </rPr>
      <t xml:space="preserve"> (biomass)</t>
    </r>
  </si>
  <si>
    <r>
      <t>Saturation term for PO</t>
    </r>
    <r>
      <rPr>
        <vertAlign val="subscript"/>
        <sz val="11"/>
        <color rgb="FF000000"/>
        <rFont val="Calibri"/>
        <family val="2"/>
        <scheme val="minor"/>
      </rPr>
      <t>4</t>
    </r>
    <r>
      <rPr>
        <sz val="11"/>
        <color rgb="FF000000"/>
        <rFont val="Calibri"/>
        <family val="2"/>
        <charset val="238"/>
        <scheme val="minor"/>
      </rPr>
      <t xml:space="preserve"> (biomass)</t>
    </r>
  </si>
  <si>
    <r>
      <t>Inhibition term for NO</t>
    </r>
    <r>
      <rPr>
        <vertAlign val="subscript"/>
        <sz val="11"/>
        <color rgb="FF000000"/>
        <rFont val="Calibri"/>
        <family val="2"/>
        <scheme val="minor"/>
      </rPr>
      <t>x</t>
    </r>
    <r>
      <rPr>
        <sz val="11"/>
        <color rgb="FF000000"/>
        <rFont val="Calibri"/>
        <family val="2"/>
        <charset val="238"/>
        <scheme val="minor"/>
      </rPr>
      <t xml:space="preserve"> (OHO)</t>
    </r>
  </si>
  <si>
    <r>
      <t>Inhibition term for O</t>
    </r>
    <r>
      <rPr>
        <vertAlign val="subscript"/>
        <sz val="11"/>
        <color rgb="FF000000"/>
        <rFont val="Calibri"/>
        <family val="2"/>
        <scheme val="minor"/>
      </rPr>
      <t>2</t>
    </r>
    <r>
      <rPr>
        <sz val="11"/>
        <color rgb="FF000000"/>
        <rFont val="Calibri"/>
        <family val="2"/>
        <charset val="238"/>
        <scheme val="minor"/>
      </rPr>
      <t xml:space="preserve"> (OHO)</t>
    </r>
  </si>
  <si>
    <t>Inhibition term for VFA</t>
  </si>
  <si>
    <t>Saturation term for readily biodegradable substrate (OHO)</t>
  </si>
  <si>
    <t>Saturation term for readily biodegradable substrate (OHO, anaerobic)</t>
  </si>
  <si>
    <t>Saturation term for methanol (OHO)</t>
  </si>
  <si>
    <r>
      <t>Saturation term for NO</t>
    </r>
    <r>
      <rPr>
        <vertAlign val="subscript"/>
        <sz val="11"/>
        <color rgb="FF000000"/>
        <rFont val="Calibri"/>
        <family val="2"/>
        <scheme val="minor"/>
      </rPr>
      <t>x</t>
    </r>
    <r>
      <rPr>
        <sz val="11"/>
        <color rgb="FF000000"/>
        <rFont val="Calibri"/>
        <family val="2"/>
        <charset val="238"/>
        <scheme val="minor"/>
      </rPr>
      <t xml:space="preserve"> (OHO)</t>
    </r>
  </si>
  <si>
    <r>
      <t>Saturation term for O</t>
    </r>
    <r>
      <rPr>
        <vertAlign val="subscript"/>
        <sz val="11"/>
        <color rgb="FF000000"/>
        <rFont val="Calibri"/>
        <family val="2"/>
        <scheme val="minor"/>
      </rPr>
      <t>2</t>
    </r>
    <r>
      <rPr>
        <sz val="11"/>
        <color rgb="FF000000"/>
        <rFont val="Calibri"/>
        <family val="2"/>
        <charset val="238"/>
        <scheme val="minor"/>
      </rPr>
      <t xml:space="preserve"> (OHO)</t>
    </r>
  </si>
  <si>
    <t>Saturation term for VFA</t>
  </si>
  <si>
    <r>
      <t>Inhibition term for NO</t>
    </r>
    <r>
      <rPr>
        <vertAlign val="subscript"/>
        <sz val="11"/>
        <color rgb="FF000000"/>
        <rFont val="Calibri"/>
        <family val="2"/>
        <scheme val="minor"/>
      </rPr>
      <t>x</t>
    </r>
    <r>
      <rPr>
        <sz val="11"/>
        <color rgb="FF000000"/>
        <rFont val="Calibri"/>
        <family val="2"/>
        <charset val="238"/>
        <scheme val="minor"/>
      </rPr>
      <t xml:space="preserve"> (MEOLO)</t>
    </r>
  </si>
  <si>
    <r>
      <t>Inhibition term for O</t>
    </r>
    <r>
      <rPr>
        <vertAlign val="subscript"/>
        <sz val="11"/>
        <color rgb="FF000000"/>
        <rFont val="Calibri"/>
        <family val="2"/>
        <scheme val="minor"/>
      </rPr>
      <t>2</t>
    </r>
    <r>
      <rPr>
        <sz val="11"/>
        <color rgb="FF000000"/>
        <rFont val="Calibri"/>
        <family val="2"/>
        <charset val="238"/>
        <scheme val="minor"/>
      </rPr>
      <t xml:space="preserve"> (MEOLO)</t>
    </r>
  </si>
  <si>
    <t>Saturation term for methanol (MEOLO)</t>
  </si>
  <si>
    <r>
      <t>Saturation term for NO</t>
    </r>
    <r>
      <rPr>
        <vertAlign val="subscript"/>
        <sz val="11"/>
        <color rgb="FF000000"/>
        <rFont val="Calibri"/>
        <family val="2"/>
        <scheme val="minor"/>
      </rPr>
      <t>x</t>
    </r>
    <r>
      <rPr>
        <sz val="11"/>
        <color rgb="FF000000"/>
        <rFont val="Calibri"/>
        <family val="2"/>
        <charset val="238"/>
        <scheme val="minor"/>
      </rPr>
      <t xml:space="preserve"> (MEOLO)</t>
    </r>
  </si>
  <si>
    <r>
      <t>Saturation term for O</t>
    </r>
    <r>
      <rPr>
        <vertAlign val="subscript"/>
        <sz val="11"/>
        <color rgb="FF000000"/>
        <rFont val="Calibri"/>
        <family val="2"/>
        <scheme val="minor"/>
      </rPr>
      <t>2</t>
    </r>
    <r>
      <rPr>
        <sz val="11"/>
        <color rgb="FF000000"/>
        <rFont val="Calibri"/>
        <family val="2"/>
        <charset val="238"/>
        <scheme val="minor"/>
      </rPr>
      <t xml:space="preserve"> (MEOLO)</t>
    </r>
  </si>
  <si>
    <r>
      <t>Msat</t>
    </r>
    <r>
      <rPr>
        <vertAlign val="subscript"/>
        <sz val="11"/>
        <rFont val="Calibri"/>
        <family val="2"/>
        <scheme val="minor"/>
      </rPr>
      <t>SNOx,KNOx,MEOLO</t>
    </r>
  </si>
  <si>
    <r>
      <t>Msat(S</t>
    </r>
    <r>
      <rPr>
        <vertAlign val="subscript"/>
        <sz val="11"/>
        <rFont val="Calibri"/>
        <family val="2"/>
        <scheme val="minor"/>
      </rPr>
      <t>NOx</t>
    </r>
    <r>
      <rPr>
        <sz val="11"/>
        <rFont val="Calibri"/>
        <family val="2"/>
        <scheme val="minor"/>
      </rPr>
      <t>;K</t>
    </r>
    <r>
      <rPr>
        <vertAlign val="subscript"/>
        <sz val="11"/>
        <rFont val="Calibri"/>
        <family val="2"/>
        <scheme val="minor"/>
      </rPr>
      <t>NOx,MEOLO</t>
    </r>
    <r>
      <rPr>
        <sz val="11"/>
        <rFont val="Calibri"/>
        <family val="2"/>
        <scheme val="minor"/>
      </rPr>
      <t>)</t>
    </r>
  </si>
  <si>
    <r>
      <t>Minh</t>
    </r>
    <r>
      <rPr>
        <vertAlign val="subscript"/>
        <sz val="11"/>
        <rFont val="Calibri"/>
        <family val="2"/>
        <scheme val="minor"/>
      </rPr>
      <t>SNOx,KNOx,NITO</t>
    </r>
  </si>
  <si>
    <r>
      <t>Inhibition term for NO</t>
    </r>
    <r>
      <rPr>
        <vertAlign val="subscript"/>
        <sz val="11"/>
        <color rgb="FF000000"/>
        <rFont val="Calibri"/>
        <family val="2"/>
        <scheme val="minor"/>
      </rPr>
      <t>x</t>
    </r>
    <r>
      <rPr>
        <sz val="11"/>
        <color rgb="FF000000"/>
        <rFont val="Calibri"/>
        <family val="2"/>
        <charset val="238"/>
        <scheme val="minor"/>
      </rPr>
      <t xml:space="preserve"> (NITO)</t>
    </r>
  </si>
  <si>
    <r>
      <t>Minh(S</t>
    </r>
    <r>
      <rPr>
        <vertAlign val="subscript"/>
        <sz val="11"/>
        <rFont val="Calibri"/>
        <family val="2"/>
        <scheme val="minor"/>
      </rPr>
      <t>NOx</t>
    </r>
    <r>
      <rPr>
        <sz val="11"/>
        <rFont val="Calibri"/>
        <family val="2"/>
        <scheme val="minor"/>
      </rPr>
      <t>;K</t>
    </r>
    <r>
      <rPr>
        <vertAlign val="subscript"/>
        <sz val="11"/>
        <rFont val="Calibri"/>
        <family val="2"/>
        <scheme val="minor"/>
      </rPr>
      <t>NOx,NITO</t>
    </r>
    <r>
      <rPr>
        <sz val="11"/>
        <rFont val="Calibri"/>
        <family val="2"/>
        <scheme val="minor"/>
      </rPr>
      <t>)</t>
    </r>
  </si>
  <si>
    <r>
      <t>Inhibition term for O</t>
    </r>
    <r>
      <rPr>
        <vertAlign val="subscript"/>
        <sz val="11"/>
        <color rgb="FF000000"/>
        <rFont val="Calibri"/>
        <family val="2"/>
        <scheme val="minor"/>
      </rPr>
      <t>2</t>
    </r>
    <r>
      <rPr>
        <sz val="11"/>
        <color rgb="FF000000"/>
        <rFont val="Calibri"/>
        <family val="2"/>
        <charset val="238"/>
        <scheme val="minor"/>
      </rPr>
      <t xml:space="preserve"> (NITO)</t>
    </r>
  </si>
  <si>
    <r>
      <t>Saturation term for NH</t>
    </r>
    <r>
      <rPr>
        <vertAlign val="subscript"/>
        <sz val="11"/>
        <color rgb="FF000000"/>
        <rFont val="Calibri"/>
        <family val="2"/>
        <scheme val="minor"/>
      </rPr>
      <t>x</t>
    </r>
    <r>
      <rPr>
        <sz val="11"/>
        <color rgb="FF000000"/>
        <rFont val="Calibri"/>
        <family val="2"/>
        <charset val="238"/>
        <scheme val="minor"/>
      </rPr>
      <t xml:space="preserve"> (NITO)</t>
    </r>
  </si>
  <si>
    <r>
      <t>Msat</t>
    </r>
    <r>
      <rPr>
        <vertAlign val="subscript"/>
        <sz val="11"/>
        <rFont val="Calibri"/>
        <family val="2"/>
        <scheme val="minor"/>
      </rPr>
      <t>SNOx,KNOx,NITO</t>
    </r>
  </si>
  <si>
    <r>
      <t>Saturation term for NO</t>
    </r>
    <r>
      <rPr>
        <vertAlign val="subscript"/>
        <sz val="11"/>
        <color rgb="FF000000"/>
        <rFont val="Calibri"/>
        <family val="2"/>
        <scheme val="minor"/>
      </rPr>
      <t>x</t>
    </r>
    <r>
      <rPr>
        <sz val="11"/>
        <color rgb="FF000000"/>
        <rFont val="Calibri"/>
        <family val="2"/>
        <charset val="238"/>
        <scheme val="minor"/>
      </rPr>
      <t xml:space="preserve"> (NITO)</t>
    </r>
  </si>
  <si>
    <r>
      <t>Msat(S</t>
    </r>
    <r>
      <rPr>
        <vertAlign val="subscript"/>
        <sz val="11"/>
        <rFont val="Calibri"/>
        <family val="2"/>
        <scheme val="minor"/>
      </rPr>
      <t>NOx</t>
    </r>
    <r>
      <rPr>
        <sz val="11"/>
        <rFont val="Calibri"/>
        <family val="2"/>
        <scheme val="minor"/>
      </rPr>
      <t>;K</t>
    </r>
    <r>
      <rPr>
        <vertAlign val="subscript"/>
        <sz val="11"/>
        <rFont val="Calibri"/>
        <family val="2"/>
        <scheme val="minor"/>
      </rPr>
      <t>NOx,NITO</t>
    </r>
    <r>
      <rPr>
        <sz val="11"/>
        <rFont val="Calibri"/>
        <family val="2"/>
        <scheme val="minor"/>
      </rPr>
      <t>)</t>
    </r>
  </si>
  <si>
    <r>
      <t>Saturation term for O</t>
    </r>
    <r>
      <rPr>
        <vertAlign val="subscript"/>
        <sz val="11"/>
        <color rgb="FF000000"/>
        <rFont val="Calibri"/>
        <family val="2"/>
        <scheme val="minor"/>
      </rPr>
      <t>2</t>
    </r>
    <r>
      <rPr>
        <sz val="11"/>
        <color rgb="FF000000"/>
        <rFont val="Calibri"/>
        <family val="2"/>
        <charset val="238"/>
        <scheme val="minor"/>
      </rPr>
      <t xml:space="preserve"> (NITO)</t>
    </r>
  </si>
  <si>
    <t>Inhibition term for PO4 (PAO)</t>
  </si>
  <si>
    <t>Saturation term for Ca as counter ion for PP (PAO)</t>
  </si>
  <si>
    <t>Saturation term for K as counter ion for PP (PAO)</t>
  </si>
  <si>
    <t>Saturation term for Mg as counter ion for PP (PAO)</t>
  </si>
  <si>
    <r>
      <t>Saturation term for PO</t>
    </r>
    <r>
      <rPr>
        <vertAlign val="subscript"/>
        <sz val="11"/>
        <color rgb="FF000000"/>
        <rFont val="Calibri"/>
        <family val="2"/>
        <scheme val="minor"/>
      </rPr>
      <t>4</t>
    </r>
    <r>
      <rPr>
        <sz val="11"/>
        <color rgb="FF000000"/>
        <rFont val="Calibri"/>
        <family val="2"/>
        <charset val="238"/>
        <scheme val="minor"/>
      </rPr>
      <t xml:space="preserve"> (PAO)</t>
    </r>
  </si>
  <si>
    <t>Saturation term for PP as nutrient (PAO)</t>
  </si>
  <si>
    <r>
      <t>Inhibition term for NO</t>
    </r>
    <r>
      <rPr>
        <vertAlign val="subscript"/>
        <sz val="11"/>
        <color rgb="FF000000"/>
        <rFont val="Calibri"/>
        <family val="2"/>
        <scheme val="minor"/>
      </rPr>
      <t>x</t>
    </r>
    <r>
      <rPr>
        <sz val="11"/>
        <color rgb="FF000000"/>
        <rFont val="Calibri"/>
        <family val="2"/>
        <charset val="238"/>
        <scheme val="minor"/>
      </rPr>
      <t xml:space="preserve"> (AMETO)</t>
    </r>
  </si>
  <si>
    <r>
      <t>Inhibition term for O</t>
    </r>
    <r>
      <rPr>
        <vertAlign val="subscript"/>
        <sz val="11"/>
        <color rgb="FF000000"/>
        <rFont val="Calibri"/>
        <family val="2"/>
        <scheme val="minor"/>
      </rPr>
      <t>2</t>
    </r>
    <r>
      <rPr>
        <sz val="11"/>
        <color rgb="FF000000"/>
        <rFont val="Calibri"/>
        <family val="2"/>
        <charset val="238"/>
        <scheme val="minor"/>
      </rPr>
      <t xml:space="preserve"> (AMETO)</t>
    </r>
  </si>
  <si>
    <r>
      <t>Saturation term for NO</t>
    </r>
    <r>
      <rPr>
        <vertAlign val="subscript"/>
        <sz val="11"/>
        <color rgb="FF000000"/>
        <rFont val="Calibri"/>
        <family val="2"/>
        <scheme val="minor"/>
      </rPr>
      <t>x</t>
    </r>
    <r>
      <rPr>
        <sz val="11"/>
        <color rgb="FF000000"/>
        <rFont val="Calibri"/>
        <family val="2"/>
        <charset val="238"/>
        <scheme val="minor"/>
      </rPr>
      <t xml:space="preserve"> (AMETO)</t>
    </r>
  </si>
  <si>
    <r>
      <t>Saturation term for O</t>
    </r>
    <r>
      <rPr>
        <vertAlign val="subscript"/>
        <sz val="11"/>
        <color rgb="FF000000"/>
        <rFont val="Calibri"/>
        <family val="2"/>
        <scheme val="minor"/>
      </rPr>
      <t>2</t>
    </r>
    <r>
      <rPr>
        <sz val="11"/>
        <color rgb="FF000000"/>
        <rFont val="Calibri"/>
        <family val="2"/>
        <charset val="238"/>
        <scheme val="minor"/>
      </rPr>
      <t xml:space="preserve"> (AMETO)</t>
    </r>
  </si>
  <si>
    <t>Haldane term for VFA (AMETO)</t>
  </si>
  <si>
    <r>
      <t>Inhibition term for NO</t>
    </r>
    <r>
      <rPr>
        <vertAlign val="subscript"/>
        <sz val="11"/>
        <color rgb="FF000000"/>
        <rFont val="Calibri"/>
        <family val="2"/>
        <scheme val="minor"/>
      </rPr>
      <t>x</t>
    </r>
    <r>
      <rPr>
        <sz val="11"/>
        <color rgb="FF000000"/>
        <rFont val="Calibri"/>
        <family val="2"/>
        <charset val="238"/>
        <scheme val="minor"/>
      </rPr>
      <t xml:space="preserve"> (HMETO)</t>
    </r>
  </si>
  <si>
    <r>
      <t>Inhibition term for O</t>
    </r>
    <r>
      <rPr>
        <vertAlign val="subscript"/>
        <sz val="11"/>
        <color rgb="FF000000"/>
        <rFont val="Calibri"/>
        <family val="2"/>
        <scheme val="minor"/>
      </rPr>
      <t>2</t>
    </r>
    <r>
      <rPr>
        <sz val="11"/>
        <color rgb="FF000000"/>
        <rFont val="Calibri"/>
        <family val="2"/>
        <charset val="238"/>
        <scheme val="minor"/>
      </rPr>
      <t xml:space="preserve"> (HMETO)</t>
    </r>
  </si>
  <si>
    <r>
      <t>Saturation term for H</t>
    </r>
    <r>
      <rPr>
        <vertAlign val="subscript"/>
        <sz val="11"/>
        <color rgb="FF000000"/>
        <rFont val="Calibri"/>
        <family val="2"/>
        <scheme val="minor"/>
      </rPr>
      <t>2</t>
    </r>
    <r>
      <rPr>
        <sz val="11"/>
        <color rgb="FF000000"/>
        <rFont val="Calibri"/>
        <family val="2"/>
        <charset val="238"/>
        <scheme val="minor"/>
      </rPr>
      <t xml:space="preserve"> (HMETO)</t>
    </r>
  </si>
  <si>
    <r>
      <t>Saturation term for NO</t>
    </r>
    <r>
      <rPr>
        <vertAlign val="subscript"/>
        <sz val="11"/>
        <color rgb="FF000000"/>
        <rFont val="Calibri"/>
        <family val="2"/>
        <scheme val="minor"/>
      </rPr>
      <t>x</t>
    </r>
    <r>
      <rPr>
        <sz val="11"/>
        <color rgb="FF000000"/>
        <rFont val="Calibri"/>
        <family val="2"/>
        <charset val="238"/>
        <scheme val="minor"/>
      </rPr>
      <t xml:space="preserve"> (HMETO)</t>
    </r>
  </si>
  <si>
    <r>
      <t>Saturation term for O</t>
    </r>
    <r>
      <rPr>
        <vertAlign val="subscript"/>
        <sz val="11"/>
        <color rgb="FF000000"/>
        <rFont val="Calibri"/>
        <family val="2"/>
        <scheme val="minor"/>
      </rPr>
      <t>2</t>
    </r>
    <r>
      <rPr>
        <sz val="11"/>
        <color rgb="FF000000"/>
        <rFont val="Calibri"/>
        <family val="2"/>
        <charset val="238"/>
        <scheme val="minor"/>
      </rPr>
      <t xml:space="preserve"> (HMETO)</t>
    </r>
  </si>
  <si>
    <t>Saturation term for slowly biodegradable substrate (hydrolysis)</t>
  </si>
  <si>
    <t>Saturation term for anaerobic endogenous decay products (hydrolysis)</t>
  </si>
  <si>
    <r>
      <t>Saturation term for NO</t>
    </r>
    <r>
      <rPr>
        <vertAlign val="subscript"/>
        <sz val="11"/>
        <color rgb="FF000000"/>
        <rFont val="Calibri"/>
        <family val="2"/>
        <scheme val="minor"/>
      </rPr>
      <t>x</t>
    </r>
    <r>
      <rPr>
        <sz val="11"/>
        <color rgb="FF000000"/>
        <rFont val="Calibri"/>
        <family val="2"/>
        <charset val="238"/>
        <scheme val="minor"/>
      </rPr>
      <t xml:space="preserve"> (assimilative reduction)</t>
    </r>
  </si>
  <si>
    <r>
      <t>Inhibition term for PO</t>
    </r>
    <r>
      <rPr>
        <vertAlign val="subscript"/>
        <sz val="11"/>
        <color rgb="FF000000"/>
        <rFont val="Calibri"/>
        <family val="2"/>
        <scheme val="minor"/>
      </rPr>
      <t>4</t>
    </r>
    <r>
      <rPr>
        <sz val="11"/>
        <color rgb="FF000000"/>
        <rFont val="Calibri"/>
        <family val="2"/>
        <charset val="238"/>
        <scheme val="minor"/>
      </rPr>
      <t xml:space="preserve"> in redissolution of HFO</t>
    </r>
  </si>
  <si>
    <r>
      <t>Saturation term for PO</t>
    </r>
    <r>
      <rPr>
        <vertAlign val="subscript"/>
        <sz val="11"/>
        <color rgb="FF000000"/>
        <rFont val="Calibri"/>
        <family val="2"/>
        <scheme val="minor"/>
      </rPr>
      <t>4</t>
    </r>
    <r>
      <rPr>
        <sz val="11"/>
        <color rgb="FF000000"/>
        <rFont val="Calibri"/>
        <family val="2"/>
        <charset val="238"/>
        <scheme val="minor"/>
      </rPr>
      <t xml:space="preserve"> binding on HFO</t>
    </r>
  </si>
  <si>
    <r>
      <t>Minh</t>
    </r>
    <r>
      <rPr>
        <vertAlign val="subscript"/>
        <sz val="11"/>
        <rFont val="Calibri"/>
        <family val="2"/>
        <scheme val="minor"/>
      </rPr>
      <t>SNOx,KNOx,AMETO</t>
    </r>
  </si>
  <si>
    <r>
      <t>Minh(S</t>
    </r>
    <r>
      <rPr>
        <vertAlign val="subscript"/>
        <sz val="11"/>
        <rFont val="Calibri"/>
        <family val="2"/>
        <scheme val="minor"/>
      </rPr>
      <t>NOx</t>
    </r>
    <r>
      <rPr>
        <sz val="11"/>
        <rFont val="Calibri"/>
        <family val="2"/>
        <scheme val="minor"/>
      </rPr>
      <t>;K</t>
    </r>
    <r>
      <rPr>
        <vertAlign val="subscript"/>
        <sz val="11"/>
        <rFont val="Calibri"/>
        <family val="2"/>
        <scheme val="minor"/>
      </rPr>
      <t>NOx,AMETO</t>
    </r>
    <r>
      <rPr>
        <sz val="11"/>
        <rFont val="Calibri"/>
        <family val="2"/>
        <scheme val="minor"/>
      </rPr>
      <t>)</t>
    </r>
  </si>
  <si>
    <r>
      <t>Msat</t>
    </r>
    <r>
      <rPr>
        <vertAlign val="subscript"/>
        <sz val="11"/>
        <rFont val="Calibri"/>
        <family val="2"/>
        <scheme val="minor"/>
      </rPr>
      <t>SNOx,KNOx,AMETO</t>
    </r>
  </si>
  <si>
    <r>
      <t>Msat(S</t>
    </r>
    <r>
      <rPr>
        <vertAlign val="subscript"/>
        <sz val="11"/>
        <rFont val="Calibri"/>
        <family val="2"/>
        <scheme val="minor"/>
      </rPr>
      <t>NOx</t>
    </r>
    <r>
      <rPr>
        <sz val="11"/>
        <rFont val="Calibri"/>
        <family val="2"/>
        <scheme val="minor"/>
      </rPr>
      <t>;K</t>
    </r>
    <r>
      <rPr>
        <vertAlign val="subscript"/>
        <sz val="11"/>
        <rFont val="Calibri"/>
        <family val="2"/>
        <scheme val="minor"/>
      </rPr>
      <t>NOx,AMETO</t>
    </r>
    <r>
      <rPr>
        <sz val="11"/>
        <rFont val="Calibri"/>
        <family val="2"/>
        <scheme val="minor"/>
      </rPr>
      <t>)</t>
    </r>
  </si>
  <si>
    <r>
      <t>Hsat(S</t>
    </r>
    <r>
      <rPr>
        <vertAlign val="subscript"/>
        <sz val="11"/>
        <rFont val="Calibri"/>
        <family val="2"/>
        <scheme val="minor"/>
      </rPr>
      <t>VFA</t>
    </r>
    <r>
      <rPr>
        <sz val="11"/>
        <rFont val="Calibri"/>
        <family val="2"/>
        <scheme val="minor"/>
      </rPr>
      <t>;K</t>
    </r>
    <r>
      <rPr>
        <vertAlign val="subscript"/>
        <sz val="11"/>
        <rFont val="Calibri"/>
        <family val="2"/>
        <scheme val="minor"/>
      </rPr>
      <t>VFA,AMETO</t>
    </r>
    <r>
      <rPr>
        <sz val="11"/>
        <rFont val="Calibri"/>
        <family val="2"/>
        <scheme val="minor"/>
      </rPr>
      <t>;Ki</t>
    </r>
    <r>
      <rPr>
        <vertAlign val="subscript"/>
        <sz val="11"/>
        <rFont val="Calibri"/>
        <family val="2"/>
        <scheme val="minor"/>
      </rPr>
      <t>VFA,AMETO</t>
    </r>
    <r>
      <rPr>
        <sz val="11"/>
        <rFont val="Calibri"/>
        <family val="2"/>
        <scheme val="minor"/>
      </rPr>
      <t>)</t>
    </r>
  </si>
  <si>
    <r>
      <t>Minh</t>
    </r>
    <r>
      <rPr>
        <vertAlign val="subscript"/>
        <sz val="11"/>
        <rFont val="Calibri"/>
        <family val="2"/>
        <scheme val="minor"/>
      </rPr>
      <t>SNOx,KNOx,HMETO</t>
    </r>
  </si>
  <si>
    <r>
      <t>Minh(S</t>
    </r>
    <r>
      <rPr>
        <vertAlign val="subscript"/>
        <sz val="11"/>
        <rFont val="Calibri"/>
        <family val="2"/>
        <scheme val="minor"/>
      </rPr>
      <t>NOx</t>
    </r>
    <r>
      <rPr>
        <sz val="11"/>
        <rFont val="Calibri"/>
        <family val="2"/>
        <scheme val="minor"/>
      </rPr>
      <t>;K</t>
    </r>
    <r>
      <rPr>
        <vertAlign val="subscript"/>
        <sz val="11"/>
        <rFont val="Calibri"/>
        <family val="2"/>
        <scheme val="minor"/>
      </rPr>
      <t>NOx,HMETO</t>
    </r>
    <r>
      <rPr>
        <sz val="11"/>
        <rFont val="Calibri"/>
        <family val="2"/>
        <scheme val="minor"/>
      </rPr>
      <t>)</t>
    </r>
  </si>
  <si>
    <r>
      <t>Msat</t>
    </r>
    <r>
      <rPr>
        <vertAlign val="subscript"/>
        <sz val="11"/>
        <rFont val="Calibri"/>
        <family val="2"/>
        <scheme val="minor"/>
      </rPr>
      <t>SNOx,KNOx,HMETO</t>
    </r>
  </si>
  <si>
    <r>
      <t>Msat(S</t>
    </r>
    <r>
      <rPr>
        <vertAlign val="subscript"/>
        <sz val="11"/>
        <rFont val="Calibri"/>
        <family val="2"/>
        <scheme val="minor"/>
      </rPr>
      <t>NOx</t>
    </r>
    <r>
      <rPr>
        <sz val="11"/>
        <rFont val="Calibri"/>
        <family val="2"/>
        <scheme val="minor"/>
      </rPr>
      <t>;K</t>
    </r>
    <r>
      <rPr>
        <vertAlign val="subscript"/>
        <sz val="11"/>
        <rFont val="Calibri"/>
        <family val="2"/>
        <scheme val="minor"/>
      </rPr>
      <t>NOx,HMETO</t>
    </r>
    <r>
      <rPr>
        <sz val="11"/>
        <rFont val="Calibri"/>
        <family val="2"/>
        <scheme val="minor"/>
      </rPr>
      <t>)</t>
    </r>
  </si>
  <si>
    <r>
      <t>Minh</t>
    </r>
    <r>
      <rPr>
        <vertAlign val="subscript"/>
        <sz val="11"/>
        <rFont val="Calibri"/>
        <family val="2"/>
        <scheme val="minor"/>
      </rPr>
      <t>SNHx,KiNHx,ASSIM</t>
    </r>
  </si>
  <si>
    <r>
      <t>Minh(S</t>
    </r>
    <r>
      <rPr>
        <vertAlign val="subscript"/>
        <sz val="11"/>
        <rFont val="Calibri"/>
        <family val="2"/>
        <scheme val="minor"/>
      </rPr>
      <t>NHx</t>
    </r>
    <r>
      <rPr>
        <sz val="11"/>
        <rFont val="Calibri"/>
        <family val="2"/>
        <scheme val="minor"/>
      </rPr>
      <t>;Ki</t>
    </r>
    <r>
      <rPr>
        <vertAlign val="subscript"/>
        <sz val="11"/>
        <rFont val="Calibri"/>
        <family val="2"/>
        <scheme val="minor"/>
      </rPr>
      <t>NHx,ASSIM</t>
    </r>
    <r>
      <rPr>
        <sz val="11"/>
        <rFont val="Calibri"/>
        <family val="2"/>
        <scheme val="minor"/>
      </rPr>
      <t>)</t>
    </r>
  </si>
  <si>
    <t>Maximum specific growth rate of OHOs (temperature corrected)</t>
  </si>
  <si>
    <t>Fermentation growth rate of OHOs (temperature corrected)</t>
  </si>
  <si>
    <t>Decay rate of OHOs (temperature corrected)</t>
  </si>
  <si>
    <t>Maximum specific growth rate of MEOLOs (temperature corrected)</t>
  </si>
  <si>
    <t>Decay rate of MEOLOs (temperature corrected)</t>
  </si>
  <si>
    <t>Maximum specific growth rate of PAOs under P limited (temperature corrected)</t>
  </si>
  <si>
    <t>Fermentation growth rate of PAOs (temperature corrected)</t>
  </si>
  <si>
    <t>Rate of VFA storage into PHA for PAOs (temperature corrected)</t>
  </si>
  <si>
    <t>Rate of maintenance under anaerobic conditions (PP cleavage) of PAOs (temperature corrected)</t>
  </si>
  <si>
    <t>Maximum specific growth rate of NITOs (temperature corrected)</t>
  </si>
  <si>
    <t>Decay rate of NITOs (temperature corrected)</t>
  </si>
  <si>
    <t>Maximum specific growth rate of AMETOs (temperature corrected)</t>
  </si>
  <si>
    <t>Decay rate of AMETOs (temperature corrected)</t>
  </si>
  <si>
    <t>Maximum specific growth rate of HMETOs (temperature corrected)</t>
  </si>
  <si>
    <t>Decay rate of HMETOs (temperature corrected)</t>
  </si>
  <si>
    <t>Rate of flocculation (temperature corrected)</t>
  </si>
  <si>
    <t>Rate of ammonification (temperature corrected)</t>
  </si>
  <si>
    <t>Rate of soluble biodegradable organic P conversion (temperature corrected)</t>
  </si>
  <si>
    <t>Rate of endogenous decay products conversion (temperature corrected)</t>
  </si>
  <si>
    <t>Rate of assimilative nutrient reduction (temperature corrected)</t>
  </si>
  <si>
    <r>
      <t>Rate of Fe</t>
    </r>
    <r>
      <rPr>
        <vertAlign val="subscript"/>
        <sz val="11"/>
        <color rgb="FF000000"/>
        <rFont val="Calibri"/>
        <family val="2"/>
        <scheme val="minor"/>
      </rPr>
      <t>2</t>
    </r>
    <r>
      <rPr>
        <sz val="11"/>
        <color rgb="FF000000"/>
        <rFont val="Calibri"/>
        <family val="2"/>
        <charset val="238"/>
        <scheme val="minor"/>
      </rPr>
      <t xml:space="preserve"> oxidation (temperature corrected)</t>
    </r>
  </si>
  <si>
    <t>Rate of HFO reduction with organics (temperature corrected)</t>
  </si>
  <si>
    <t>Dissociation constant of water (temperature corrected)</t>
  </si>
  <si>
    <t>Dissociation constant of carbonate first step (temperature corrected)</t>
  </si>
  <si>
    <t>Dissociation constant of carbonate second step (temperature corrected)</t>
  </si>
  <si>
    <t>Dissociation constant of phosphate first step (temperature corrected)</t>
  </si>
  <si>
    <t>Dissociation constant of phosphate second step (temperature corrected)</t>
  </si>
  <si>
    <t>Dissociation constant of phosphate third step (temperature corrected)</t>
  </si>
  <si>
    <t>Dissociation constant of acetate (temperature corrected)</t>
  </si>
  <si>
    <t>Dissociation constant of ammonia (temperature corrected)</t>
  </si>
  <si>
    <r>
      <t>K</t>
    </r>
    <r>
      <rPr>
        <vertAlign val="subscript"/>
        <sz val="11"/>
        <rFont val="Calibri"/>
        <family val="2"/>
        <scheme val="minor"/>
      </rPr>
      <t>Ac,T</t>
    </r>
  </si>
  <si>
    <r>
      <t>K</t>
    </r>
    <r>
      <rPr>
        <vertAlign val="subscript"/>
        <sz val="11"/>
        <rFont val="Calibri"/>
        <family val="2"/>
        <scheme val="minor"/>
      </rPr>
      <t>NH3,T</t>
    </r>
  </si>
  <si>
    <t>Dissociation constant of water (activity corrected)</t>
  </si>
  <si>
    <t>Dissociation constant of carbonate first step (activity corrected)</t>
  </si>
  <si>
    <t>Dissociation constant of carbonate second step (activity corrected)</t>
  </si>
  <si>
    <t>Dissociation constant of phosphate first step (activity corrected)</t>
  </si>
  <si>
    <t>Dissociation constant of phosphate second step (activity corrected)</t>
  </si>
  <si>
    <t>Dissociation constant of phosphate third step (activity corrected)</t>
  </si>
  <si>
    <t>Dissociation constant of acetate (activity corrected)</t>
  </si>
  <si>
    <t>Dissociation constant of ammonia (activity corrected)</t>
  </si>
  <si>
    <r>
      <t>K</t>
    </r>
    <r>
      <rPr>
        <vertAlign val="subscript"/>
        <sz val="11"/>
        <rFont val="Calibri"/>
        <family val="2"/>
        <scheme val="minor"/>
      </rPr>
      <t>Ac</t>
    </r>
  </si>
  <si>
    <r>
      <t>K</t>
    </r>
    <r>
      <rPr>
        <vertAlign val="subscript"/>
        <sz val="11"/>
        <rFont val="Calibri"/>
        <family val="2"/>
        <scheme val="minor"/>
      </rPr>
      <t>Ac,T</t>
    </r>
    <r>
      <rPr>
        <sz val="11"/>
        <rFont val="Calibri"/>
        <family val="2"/>
        <scheme val="minor"/>
      </rPr>
      <t>/f</t>
    </r>
    <r>
      <rPr>
        <vertAlign val="subscript"/>
        <sz val="11"/>
        <rFont val="Calibri"/>
        <family val="2"/>
        <scheme val="minor"/>
      </rPr>
      <t>mono</t>
    </r>
    <r>
      <rPr>
        <sz val="11"/>
        <rFont val="Calibri"/>
        <family val="2"/>
        <scheme val="minor"/>
      </rPr>
      <t>^2</t>
    </r>
  </si>
  <si>
    <r>
      <t>K</t>
    </r>
    <r>
      <rPr>
        <vertAlign val="subscript"/>
        <sz val="11"/>
        <rFont val="Calibri"/>
        <family val="2"/>
        <scheme val="minor"/>
      </rPr>
      <t>NH3</t>
    </r>
  </si>
  <si>
    <r>
      <t>Solubility constant of CaCO</t>
    </r>
    <r>
      <rPr>
        <vertAlign val="subscript"/>
        <sz val="11"/>
        <color rgb="FF000000"/>
        <rFont val="Calibri"/>
        <family val="2"/>
        <scheme val="minor"/>
      </rPr>
      <t>3</t>
    </r>
    <r>
      <rPr>
        <sz val="11"/>
        <color rgb="FF000000"/>
        <rFont val="Calibri"/>
        <family val="2"/>
        <charset val="238"/>
        <scheme val="minor"/>
      </rPr>
      <t xml:space="preserve"> (activity corrected)</t>
    </r>
  </si>
  <si>
    <t>Solubility constant of struvite (activity corrected)</t>
  </si>
  <si>
    <t>Solubility constant of vivianite (activity corrected)</t>
  </si>
  <si>
    <t>Solubility constant of ACP (activity corrected)</t>
  </si>
  <si>
    <r>
      <t>(S</t>
    </r>
    <r>
      <rPr>
        <vertAlign val="subscript"/>
        <sz val="11"/>
        <rFont val="Calibri"/>
        <family val="2"/>
      </rPr>
      <t>NHx</t>
    </r>
    <r>
      <rPr>
        <sz val="11"/>
        <rFont val="Calibri"/>
        <family val="2"/>
      </rPr>
      <t>/(AM</t>
    </r>
    <r>
      <rPr>
        <vertAlign val="subscript"/>
        <sz val="11"/>
        <rFont val="Calibri"/>
        <family val="2"/>
      </rPr>
      <t>N</t>
    </r>
    <r>
      <rPr>
        <sz val="11"/>
        <rFont val="Calibri"/>
        <family val="2"/>
      </rPr>
      <t>*1000))*K</t>
    </r>
    <r>
      <rPr>
        <vertAlign val="subscript"/>
        <sz val="11"/>
        <rFont val="Calibri"/>
        <family val="2"/>
      </rPr>
      <t>NH3</t>
    </r>
    <r>
      <rPr>
        <sz val="11"/>
        <rFont val="Calibri"/>
        <family val="2"/>
      </rPr>
      <t>/([H</t>
    </r>
    <r>
      <rPr>
        <vertAlign val="superscript"/>
        <sz val="11"/>
        <rFont val="Calibri"/>
        <family val="2"/>
      </rPr>
      <t>+</t>
    </r>
    <r>
      <rPr>
        <sz val="11"/>
        <rFont val="Calibri"/>
        <family val="2"/>
      </rPr>
      <t>]+K</t>
    </r>
    <r>
      <rPr>
        <vertAlign val="subscript"/>
        <sz val="11"/>
        <rFont val="Calibri"/>
        <family val="2"/>
      </rPr>
      <t>NH3</t>
    </r>
    <r>
      <rPr>
        <sz val="11"/>
        <rFont val="Calibri"/>
        <family val="2"/>
      </rPr>
      <t>)</t>
    </r>
  </si>
  <si>
    <r>
      <t>(S</t>
    </r>
    <r>
      <rPr>
        <vertAlign val="subscript"/>
        <sz val="11"/>
        <rFont val="Calibri"/>
        <family val="2"/>
      </rPr>
      <t>NHx</t>
    </r>
    <r>
      <rPr>
        <sz val="11"/>
        <rFont val="Calibri"/>
        <family val="2"/>
      </rPr>
      <t>/(AM</t>
    </r>
    <r>
      <rPr>
        <vertAlign val="subscript"/>
        <sz val="11"/>
        <rFont val="Calibri"/>
        <family val="2"/>
      </rPr>
      <t>N</t>
    </r>
    <r>
      <rPr>
        <sz val="11"/>
        <rFont val="Calibri"/>
        <family val="2"/>
      </rPr>
      <t>*1000))*[H</t>
    </r>
    <r>
      <rPr>
        <vertAlign val="superscript"/>
        <sz val="11"/>
        <rFont val="Calibri"/>
        <family val="2"/>
      </rPr>
      <t>+</t>
    </r>
    <r>
      <rPr>
        <sz val="11"/>
        <rFont val="Calibri"/>
        <family val="2"/>
      </rPr>
      <t>]/([H</t>
    </r>
    <r>
      <rPr>
        <vertAlign val="superscript"/>
        <sz val="11"/>
        <rFont val="Calibri"/>
        <family val="2"/>
      </rPr>
      <t>+</t>
    </r>
    <r>
      <rPr>
        <sz val="11"/>
        <rFont val="Calibri"/>
        <family val="2"/>
      </rPr>
      <t>]+K</t>
    </r>
    <r>
      <rPr>
        <vertAlign val="subscript"/>
        <sz val="11"/>
        <rFont val="Calibri"/>
        <family val="2"/>
      </rPr>
      <t>NH3</t>
    </r>
    <r>
      <rPr>
        <sz val="11"/>
        <rFont val="Calibri"/>
        <family val="2"/>
      </rPr>
      <t>)</t>
    </r>
  </si>
  <si>
    <r>
      <t>[H</t>
    </r>
    <r>
      <rPr>
        <vertAlign val="superscript"/>
        <sz val="11"/>
        <rFont val="Calibri"/>
        <family val="2"/>
      </rPr>
      <t>+</t>
    </r>
    <r>
      <rPr>
        <sz val="11"/>
        <rFont val="Calibri"/>
        <family val="2"/>
      </rPr>
      <t>]*S</t>
    </r>
    <r>
      <rPr>
        <vertAlign val="subscript"/>
        <sz val="11"/>
        <rFont val="Calibri"/>
        <family val="2"/>
      </rPr>
      <t>VFA</t>
    </r>
    <r>
      <rPr>
        <sz val="11"/>
        <rFont val="Calibri"/>
        <family val="2"/>
      </rPr>
      <t>/(4*AM</t>
    </r>
    <r>
      <rPr>
        <vertAlign val="subscript"/>
        <sz val="11"/>
        <rFont val="Calibri"/>
        <family val="2"/>
      </rPr>
      <t>O</t>
    </r>
    <r>
      <rPr>
        <sz val="11"/>
        <rFont val="Calibri"/>
        <family val="2"/>
      </rPr>
      <t>*1000)/([H</t>
    </r>
    <r>
      <rPr>
        <vertAlign val="superscript"/>
        <sz val="11"/>
        <rFont val="Calibri"/>
        <family val="2"/>
      </rPr>
      <t>+</t>
    </r>
    <r>
      <rPr>
        <sz val="11"/>
        <rFont val="Calibri"/>
        <family val="2"/>
      </rPr>
      <t>]+K</t>
    </r>
    <r>
      <rPr>
        <vertAlign val="subscript"/>
        <sz val="11"/>
        <rFont val="Calibri"/>
        <family val="2"/>
      </rPr>
      <t>Ac</t>
    </r>
    <r>
      <rPr>
        <sz val="11"/>
        <rFont val="Calibri"/>
        <family val="2"/>
      </rPr>
      <t>)</t>
    </r>
  </si>
  <si>
    <r>
      <t>S</t>
    </r>
    <r>
      <rPr>
        <vertAlign val="subscript"/>
        <sz val="11"/>
        <rFont val="Calibri"/>
        <family val="2"/>
      </rPr>
      <t>VFA</t>
    </r>
    <r>
      <rPr>
        <sz val="11"/>
        <rFont val="Calibri"/>
        <family val="2"/>
      </rPr>
      <t>/(4*AM</t>
    </r>
    <r>
      <rPr>
        <vertAlign val="subscript"/>
        <sz val="11"/>
        <rFont val="Calibri"/>
        <family val="2"/>
      </rPr>
      <t>O</t>
    </r>
    <r>
      <rPr>
        <sz val="11"/>
        <rFont val="Calibri"/>
        <family val="2"/>
      </rPr>
      <t>*1000)*K</t>
    </r>
    <r>
      <rPr>
        <vertAlign val="subscript"/>
        <sz val="11"/>
        <rFont val="Calibri"/>
        <family val="2"/>
      </rPr>
      <t>Ac</t>
    </r>
    <r>
      <rPr>
        <sz val="11"/>
        <rFont val="Calibri"/>
        <family val="2"/>
      </rPr>
      <t>/([H</t>
    </r>
    <r>
      <rPr>
        <vertAlign val="superscript"/>
        <sz val="11"/>
        <rFont val="Calibri"/>
        <family val="2"/>
      </rPr>
      <t>+</t>
    </r>
    <r>
      <rPr>
        <sz val="11"/>
        <rFont val="Calibri"/>
        <family val="2"/>
      </rPr>
      <t>]+K</t>
    </r>
    <r>
      <rPr>
        <vertAlign val="subscript"/>
        <sz val="11"/>
        <rFont val="Calibri"/>
        <family val="2"/>
      </rPr>
      <t>Ac</t>
    </r>
    <r>
      <rPr>
        <sz val="11"/>
        <rFont val="Calibri"/>
        <family val="2"/>
      </rPr>
      <t>)</t>
    </r>
  </si>
  <si>
    <r>
      <t>i</t>
    </r>
    <r>
      <rPr>
        <vertAlign val="subscript"/>
        <sz val="11"/>
        <rFont val="Calibri"/>
        <family val="2"/>
      </rPr>
      <t>INORG</t>
    </r>
    <r>
      <rPr>
        <sz val="11"/>
        <color indexed="8"/>
        <rFont val="Calibri"/>
        <family val="2"/>
      </rPr>
      <t/>
    </r>
  </si>
  <si>
    <r>
      <t>-i</t>
    </r>
    <r>
      <rPr>
        <vertAlign val="subscript"/>
        <sz val="11"/>
        <rFont val="Calibri"/>
        <family val="2"/>
      </rPr>
      <t>INORG</t>
    </r>
    <r>
      <rPr>
        <sz val="11"/>
        <color indexed="8"/>
        <rFont val="Calibri"/>
        <family val="2"/>
      </rPr>
      <t/>
    </r>
  </si>
  <si>
    <r>
      <t>q</t>
    </r>
    <r>
      <rPr>
        <vertAlign val="subscript"/>
        <sz val="11"/>
        <rFont val="Calibri"/>
        <family val="2"/>
      </rPr>
      <t>MEOL</t>
    </r>
    <r>
      <rPr>
        <sz val="11"/>
        <rFont val="Calibri"/>
        <family val="2"/>
      </rPr>
      <t>*S</t>
    </r>
    <r>
      <rPr>
        <vertAlign val="subscript"/>
        <sz val="11"/>
        <rFont val="Calibri"/>
        <family val="2"/>
      </rPr>
      <t>MEOL</t>
    </r>
    <r>
      <rPr>
        <sz val="11"/>
        <rFont val="Calibri"/>
        <family val="2"/>
      </rPr>
      <t>*Msat</t>
    </r>
    <r>
      <rPr>
        <vertAlign val="subscript"/>
        <sz val="11"/>
        <rFont val="Calibri"/>
        <family val="2"/>
      </rPr>
      <t>SCO2,KCO2,BIO</t>
    </r>
    <r>
      <rPr>
        <sz val="11"/>
        <rFont val="Calibri"/>
        <family val="2"/>
      </rPr>
      <t>*Minh</t>
    </r>
    <r>
      <rPr>
        <vertAlign val="subscript"/>
        <sz val="11"/>
        <rFont val="Calibri"/>
        <family val="2"/>
      </rPr>
      <t>SO2,KO2,OHO</t>
    </r>
    <r>
      <rPr>
        <sz val="11"/>
        <rFont val="Calibri"/>
        <family val="2"/>
      </rPr>
      <t>*Minh</t>
    </r>
    <r>
      <rPr>
        <vertAlign val="subscript"/>
        <sz val="11"/>
        <rFont val="Calibri"/>
        <family val="2"/>
      </rPr>
      <t>SNOx,KNOx,OHO</t>
    </r>
  </si>
  <si>
    <r>
      <t>i</t>
    </r>
    <r>
      <rPr>
        <vertAlign val="subscript"/>
        <sz val="11"/>
        <rFont val="Calibri"/>
        <family val="2"/>
        <scheme val="minor"/>
      </rPr>
      <t>INORG</t>
    </r>
  </si>
  <si>
    <r>
      <t>Ki</t>
    </r>
    <r>
      <rPr>
        <vertAlign val="subscript"/>
        <sz val="11"/>
        <rFont val="Calibri"/>
        <family val="2"/>
        <scheme val="minor"/>
      </rPr>
      <t>PP,PAO,max</t>
    </r>
  </si>
  <si>
    <r>
      <t>Ki</t>
    </r>
    <r>
      <rPr>
        <vertAlign val="subscript"/>
        <sz val="11"/>
        <rFont val="Calibri"/>
        <family val="2"/>
        <scheme val="minor"/>
      </rPr>
      <t>PHA,PAO,max</t>
    </r>
  </si>
  <si>
    <r>
      <t>Msat(S</t>
    </r>
    <r>
      <rPr>
        <vertAlign val="subscript"/>
        <sz val="11"/>
        <rFont val="Calibri"/>
        <family val="2"/>
        <scheme val="minor"/>
      </rPr>
      <t>NOx</t>
    </r>
    <r>
      <rPr>
        <sz val="11"/>
        <rFont val="Calibri"/>
        <family val="2"/>
        <scheme val="minor"/>
      </rPr>
      <t>;K</t>
    </r>
    <r>
      <rPr>
        <vertAlign val="subscript"/>
        <sz val="11"/>
        <rFont val="Calibri"/>
        <family val="2"/>
        <scheme val="minor"/>
      </rPr>
      <t>NOx,OHO</t>
    </r>
    <r>
      <rPr>
        <sz val="11"/>
        <rFont val="Calibri"/>
        <family val="2"/>
        <scheme val="minor"/>
      </rPr>
      <t>)</t>
    </r>
  </si>
  <si>
    <r>
      <t>Minh(S</t>
    </r>
    <r>
      <rPr>
        <vertAlign val="subscript"/>
        <sz val="11"/>
        <rFont val="Calibri"/>
        <family val="2"/>
        <scheme val="minor"/>
      </rPr>
      <t>NOx</t>
    </r>
    <r>
      <rPr>
        <sz val="11"/>
        <rFont val="Calibri"/>
        <family val="2"/>
        <scheme val="minor"/>
      </rPr>
      <t>;K</t>
    </r>
    <r>
      <rPr>
        <vertAlign val="subscript"/>
        <sz val="11"/>
        <rFont val="Calibri"/>
        <family val="2"/>
        <scheme val="minor"/>
      </rPr>
      <t>NOx,MEOLO</t>
    </r>
    <r>
      <rPr>
        <sz val="11"/>
        <rFont val="Calibri"/>
        <family val="2"/>
        <scheme val="minor"/>
      </rPr>
      <t>)</t>
    </r>
  </si>
  <si>
    <r>
      <t>Minh</t>
    </r>
    <r>
      <rPr>
        <vertAlign val="subscript"/>
        <sz val="11"/>
        <rFont val="Calibri"/>
        <family val="2"/>
        <scheme val="minor"/>
      </rPr>
      <t>SNOx,KNOx,MEOLO</t>
    </r>
  </si>
  <si>
    <r>
      <t>Minh</t>
    </r>
    <r>
      <rPr>
        <vertAlign val="subscript"/>
        <sz val="11"/>
        <rFont val="Calibri"/>
        <family val="2"/>
        <scheme val="minor"/>
      </rPr>
      <t>SPO4,KiPO4,lim</t>
    </r>
  </si>
  <si>
    <r>
      <t>Minh(S</t>
    </r>
    <r>
      <rPr>
        <vertAlign val="subscript"/>
        <sz val="11"/>
        <rFont val="Calibri"/>
        <family val="2"/>
        <scheme val="minor"/>
      </rPr>
      <t>PO4</t>
    </r>
    <r>
      <rPr>
        <sz val="11"/>
        <rFont val="Calibri"/>
        <family val="2"/>
        <scheme val="minor"/>
      </rPr>
      <t>;Ki</t>
    </r>
    <r>
      <rPr>
        <vertAlign val="subscript"/>
        <sz val="11"/>
        <rFont val="Calibri"/>
        <family val="2"/>
        <scheme val="minor"/>
      </rPr>
      <t>PO4,lim</t>
    </r>
    <r>
      <rPr>
        <sz val="11"/>
        <rFont val="Calibri"/>
        <family val="2"/>
        <scheme val="minor"/>
      </rPr>
      <t>)</t>
    </r>
  </si>
  <si>
    <r>
      <t>q</t>
    </r>
    <r>
      <rPr>
        <vertAlign val="subscript"/>
        <sz val="11"/>
        <color indexed="8"/>
        <rFont val="Calibri"/>
        <family val="2"/>
        <scheme val="minor"/>
      </rPr>
      <t>Fe2,OX,T</t>
    </r>
  </si>
  <si>
    <r>
      <t>q</t>
    </r>
    <r>
      <rPr>
        <vertAlign val="subscript"/>
        <sz val="11"/>
        <color indexed="8"/>
        <rFont val="Calibri"/>
        <family val="2"/>
        <scheme val="minor"/>
      </rPr>
      <t>Fe2,OX</t>
    </r>
    <r>
      <rPr>
        <sz val="11"/>
        <color indexed="8"/>
        <rFont val="Calibri"/>
        <family val="2"/>
        <scheme val="minor"/>
      </rPr>
      <t>*Arrh(θ</t>
    </r>
    <r>
      <rPr>
        <vertAlign val="subscript"/>
        <sz val="11"/>
        <color indexed="8"/>
        <rFont val="Calibri"/>
        <family val="2"/>
        <scheme val="minor"/>
      </rPr>
      <t>q,Fe2,OX</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</si>
  <si>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q</t>
    </r>
    <r>
      <rPr>
        <vertAlign val="subscript"/>
        <sz val="11"/>
        <color indexed="8"/>
        <rFont val="Calibri"/>
        <family val="2"/>
        <scheme val="minor"/>
      </rPr>
      <t>Fe2,OX</t>
    </r>
  </si>
  <si>
    <r>
      <t>θ</t>
    </r>
    <r>
      <rPr>
        <vertAlign val="subscript"/>
        <sz val="11"/>
        <color indexed="8"/>
        <rFont val="Calibri"/>
        <family val="2"/>
        <scheme val="minor"/>
      </rPr>
      <t>q,Fe2,OX</t>
    </r>
  </si>
  <si>
    <r>
      <t>S</t>
    </r>
    <r>
      <rPr>
        <vertAlign val="subscript"/>
        <sz val="11"/>
        <rFont val="Calibri"/>
        <family val="2"/>
        <scheme val="minor"/>
      </rPr>
      <t>VFA</t>
    </r>
    <r>
      <rPr>
        <sz val="11"/>
        <rFont val="Calibri"/>
        <family val="2"/>
        <scheme val="minor"/>
      </rPr>
      <t>/(4*AM</t>
    </r>
    <r>
      <rPr>
        <vertAlign val="subscript"/>
        <sz val="11"/>
        <rFont val="Calibri"/>
        <family val="2"/>
        <scheme val="minor"/>
      </rPr>
      <t>O</t>
    </r>
    <r>
      <rPr>
        <sz val="11"/>
        <rFont val="Calibri"/>
        <family val="2"/>
        <scheme val="minor"/>
      </rPr>
      <t>*1000)*K</t>
    </r>
    <r>
      <rPr>
        <vertAlign val="subscript"/>
        <sz val="11"/>
        <rFont val="Calibri"/>
        <family val="2"/>
        <scheme val="minor"/>
      </rPr>
      <t>Ac</t>
    </r>
    <r>
      <rPr>
        <sz val="11"/>
        <rFont val="Calibri"/>
        <family val="2"/>
        <scheme val="minor"/>
      </rPr>
      <t>/([H</t>
    </r>
    <r>
      <rPr>
        <vertAlign val="superscript"/>
        <sz val="11"/>
        <rFont val="Calibri"/>
        <family val="2"/>
        <scheme val="minor"/>
      </rPr>
      <t>+</t>
    </r>
    <r>
      <rPr>
        <sz val="11"/>
        <rFont val="Calibri"/>
        <family val="2"/>
        <scheme val="minor"/>
      </rPr>
      <t>]</t>
    </r>
    <r>
      <rPr>
        <vertAlign val="subscript"/>
        <sz val="11"/>
        <rFont val="Calibri"/>
        <family val="2"/>
        <scheme val="minor"/>
      </rPr>
      <t>eq</t>
    </r>
    <r>
      <rPr>
        <sz val="11"/>
        <rFont val="Calibri"/>
        <family val="2"/>
        <scheme val="minor"/>
      </rPr>
      <t xml:space="preserve"> + K</t>
    </r>
    <r>
      <rPr>
        <vertAlign val="subscript"/>
        <sz val="11"/>
        <rFont val="Calibri"/>
        <family val="2"/>
        <scheme val="minor"/>
      </rPr>
      <t>Ac</t>
    </r>
    <r>
      <rPr>
        <sz val="11"/>
        <rFont val="Calibri"/>
        <family val="2"/>
        <scheme val="minor"/>
      </rPr>
      <t>)</t>
    </r>
  </si>
  <si>
    <r>
      <t>Msat</t>
    </r>
    <r>
      <rPr>
        <vertAlign val="subscript"/>
        <sz val="11"/>
        <rFont val="Calibri"/>
        <family val="2"/>
        <scheme val="minor"/>
      </rPr>
      <t>SNOx,KNOx,OHO</t>
    </r>
  </si>
  <si>
    <r>
      <t>K</t>
    </r>
    <r>
      <rPr>
        <vertAlign val="subscript"/>
        <sz val="11"/>
        <color indexed="8"/>
        <rFont val="Calibri"/>
        <family val="2"/>
        <scheme val="minor"/>
      </rPr>
      <t>STR,DISS</t>
    </r>
  </si>
  <si>
    <t>Half-saturation of struvite redissolution</t>
  </si>
  <si>
    <r>
      <t>K</t>
    </r>
    <r>
      <rPr>
        <vertAlign val="subscript"/>
        <sz val="11"/>
        <color indexed="8"/>
        <rFont val="Calibri"/>
        <family val="2"/>
        <scheme val="minor"/>
      </rPr>
      <t>ACP,DISS</t>
    </r>
  </si>
  <si>
    <t>Half-saturation of ACP redissolution</t>
  </si>
  <si>
    <r>
      <t>K</t>
    </r>
    <r>
      <rPr>
        <vertAlign val="subscript"/>
        <sz val="11"/>
        <color indexed="8"/>
        <rFont val="Calibri"/>
        <family val="2"/>
        <scheme val="minor"/>
      </rPr>
      <t>CaCO3,DISS</t>
    </r>
  </si>
  <si>
    <r>
      <t>Half-saturation of CaCO</t>
    </r>
    <r>
      <rPr>
        <vertAlign val="subscript"/>
        <sz val="11"/>
        <color rgb="FF000000"/>
        <rFont val="Calibri"/>
        <family val="2"/>
        <scheme val="minor"/>
      </rPr>
      <t>3</t>
    </r>
    <r>
      <rPr>
        <sz val="11"/>
        <color rgb="FF000000"/>
        <rFont val="Calibri"/>
        <family val="2"/>
        <charset val="238"/>
        <scheme val="minor"/>
      </rPr>
      <t xml:space="preserve"> redissolution</t>
    </r>
  </si>
  <si>
    <r>
      <t>K</t>
    </r>
    <r>
      <rPr>
        <vertAlign val="subscript"/>
        <sz val="11"/>
        <color indexed="8"/>
        <rFont val="Calibri"/>
        <family val="2"/>
        <scheme val="minor"/>
      </rPr>
      <t>Vivi,DISS</t>
    </r>
  </si>
  <si>
    <t>Half-saturation of vivianite redissolution</t>
  </si>
  <si>
    <r>
      <t>Msat</t>
    </r>
    <r>
      <rPr>
        <vertAlign val="subscript"/>
        <sz val="11"/>
        <rFont val="Calibri"/>
        <family val="2"/>
        <scheme val="minor"/>
      </rPr>
      <t>XACP,KACP,DISS</t>
    </r>
  </si>
  <si>
    <t>Saturation term for ACP dissolution</t>
  </si>
  <si>
    <r>
      <t>Msat(X</t>
    </r>
    <r>
      <rPr>
        <vertAlign val="subscript"/>
        <sz val="11"/>
        <rFont val="Calibri"/>
        <family val="2"/>
        <scheme val="minor"/>
      </rPr>
      <t>ACP</t>
    </r>
    <r>
      <rPr>
        <sz val="11"/>
        <rFont val="Calibri"/>
        <family val="2"/>
        <scheme val="minor"/>
      </rPr>
      <t>;K</t>
    </r>
    <r>
      <rPr>
        <vertAlign val="subscript"/>
        <sz val="11"/>
        <rFont val="Calibri"/>
        <family val="2"/>
        <scheme val="minor"/>
      </rPr>
      <t>ACP,DISS</t>
    </r>
    <r>
      <rPr>
        <sz val="11"/>
        <rFont val="Calibri"/>
        <family val="2"/>
        <scheme val="minor"/>
      </rPr>
      <t>)</t>
    </r>
  </si>
  <si>
    <r>
      <t>Msat</t>
    </r>
    <r>
      <rPr>
        <vertAlign val="subscript"/>
        <sz val="11"/>
        <rFont val="Calibri"/>
        <family val="2"/>
        <scheme val="minor"/>
      </rPr>
      <t>XCaCO3,KCaCO3,DISS</t>
    </r>
  </si>
  <si>
    <t>Saturation term for calcium carbonate dissolution</t>
  </si>
  <si>
    <r>
      <t>Msat(X</t>
    </r>
    <r>
      <rPr>
        <vertAlign val="subscript"/>
        <sz val="11"/>
        <rFont val="Calibri"/>
        <family val="2"/>
        <scheme val="minor"/>
      </rPr>
      <t>CaCO3</t>
    </r>
    <r>
      <rPr>
        <sz val="11"/>
        <rFont val="Calibri"/>
        <family val="2"/>
        <scheme val="minor"/>
      </rPr>
      <t>;K</t>
    </r>
    <r>
      <rPr>
        <vertAlign val="subscript"/>
        <sz val="11"/>
        <rFont val="Calibri"/>
        <family val="2"/>
        <scheme val="minor"/>
      </rPr>
      <t>CaCO3,DISS</t>
    </r>
    <r>
      <rPr>
        <sz val="11"/>
        <rFont val="Calibri"/>
        <family val="2"/>
        <scheme val="minor"/>
      </rPr>
      <t>)</t>
    </r>
  </si>
  <si>
    <r>
      <t>Msat</t>
    </r>
    <r>
      <rPr>
        <vertAlign val="subscript"/>
        <sz val="11"/>
        <rFont val="Calibri"/>
        <family val="2"/>
        <scheme val="minor"/>
      </rPr>
      <t>XSTR,KSTR,DISS</t>
    </r>
  </si>
  <si>
    <t>Saturation term for struvite dissolution</t>
  </si>
  <si>
    <r>
      <t>Msat(X</t>
    </r>
    <r>
      <rPr>
        <vertAlign val="subscript"/>
        <sz val="11"/>
        <rFont val="Calibri"/>
        <family val="2"/>
        <scheme val="minor"/>
      </rPr>
      <t>STR</t>
    </r>
    <r>
      <rPr>
        <sz val="11"/>
        <rFont val="Calibri"/>
        <family val="2"/>
        <scheme val="minor"/>
      </rPr>
      <t>;K</t>
    </r>
    <r>
      <rPr>
        <vertAlign val="subscript"/>
        <sz val="11"/>
        <rFont val="Calibri"/>
        <family val="2"/>
        <scheme val="minor"/>
      </rPr>
      <t>STR,DISS</t>
    </r>
    <r>
      <rPr>
        <sz val="11"/>
        <rFont val="Calibri"/>
        <family val="2"/>
        <scheme val="minor"/>
      </rPr>
      <t>)</t>
    </r>
  </si>
  <si>
    <r>
      <t>Msat</t>
    </r>
    <r>
      <rPr>
        <vertAlign val="subscript"/>
        <sz val="11"/>
        <rFont val="Calibri"/>
        <family val="2"/>
        <scheme val="minor"/>
      </rPr>
      <t>XVivi,KVivi,DISS</t>
    </r>
  </si>
  <si>
    <t>Saturation term for vivianite dissolution</t>
  </si>
  <si>
    <r>
      <t>Msat(X</t>
    </r>
    <r>
      <rPr>
        <vertAlign val="subscript"/>
        <sz val="11"/>
        <rFont val="Calibri"/>
        <family val="2"/>
        <scheme val="minor"/>
      </rPr>
      <t>Vivi</t>
    </r>
    <r>
      <rPr>
        <sz val="11"/>
        <rFont val="Calibri"/>
        <family val="2"/>
        <scheme val="minor"/>
      </rPr>
      <t>;K</t>
    </r>
    <r>
      <rPr>
        <vertAlign val="subscript"/>
        <sz val="11"/>
        <rFont val="Calibri"/>
        <family val="2"/>
        <scheme val="minor"/>
      </rPr>
      <t>Vivi,DISS</t>
    </r>
    <r>
      <rPr>
        <sz val="11"/>
        <rFont val="Calibri"/>
        <family val="2"/>
        <scheme val="minor"/>
      </rPr>
      <t>)</t>
    </r>
  </si>
  <si>
    <r>
      <t>If(PrecipDrivingForce</t>
    </r>
    <r>
      <rPr>
        <vertAlign val="subscript"/>
        <sz val="11"/>
        <color theme="1"/>
        <rFont val="Calibri"/>
        <family val="2"/>
        <scheme val="minor"/>
      </rPr>
      <t>STR</t>
    </r>
    <r>
      <rPr>
        <sz val="11"/>
        <color theme="1"/>
        <rFont val="Calibri"/>
        <family val="2"/>
        <scheme val="minor"/>
      </rPr>
      <t>&gt;0;q</t>
    </r>
    <r>
      <rPr>
        <vertAlign val="subscript"/>
        <sz val="11"/>
        <color theme="1"/>
        <rFont val="Calibri"/>
        <family val="2"/>
        <scheme val="minor"/>
      </rPr>
      <t>STR,PREC</t>
    </r>
    <r>
      <rPr>
        <sz val="11"/>
        <color theme="1"/>
        <rFont val="Calibri"/>
        <family val="2"/>
        <scheme val="minor"/>
      </rPr>
      <t>;q</t>
    </r>
    <r>
      <rPr>
        <vertAlign val="subscript"/>
        <sz val="11"/>
        <color theme="1"/>
        <rFont val="Calibri"/>
        <family val="2"/>
        <scheme val="minor"/>
      </rPr>
      <t>STR,DISS</t>
    </r>
    <r>
      <rPr>
        <sz val="11"/>
        <color theme="1"/>
        <rFont val="Calibri"/>
        <family val="2"/>
        <scheme val="minor"/>
      </rPr>
      <t>*Msat</t>
    </r>
    <r>
      <rPr>
        <vertAlign val="subscript"/>
        <sz val="11"/>
        <color theme="1"/>
        <rFont val="Calibri"/>
        <family val="2"/>
        <scheme val="minor"/>
      </rPr>
      <t>XSTR,KSTR,DISS</t>
    </r>
    <r>
      <rPr>
        <sz val="11"/>
        <color theme="1"/>
        <rFont val="Calibri"/>
        <family val="2"/>
        <scheme val="minor"/>
      </rPr>
      <t>)</t>
    </r>
  </si>
  <si>
    <r>
      <t>If(PrecipDrivingForce</t>
    </r>
    <r>
      <rPr>
        <vertAlign val="subscript"/>
        <sz val="11"/>
        <color theme="1"/>
        <rFont val="Calibri"/>
        <family val="2"/>
        <scheme val="minor"/>
      </rPr>
      <t>ACP</t>
    </r>
    <r>
      <rPr>
        <sz val="11"/>
        <color theme="1"/>
        <rFont val="Calibri"/>
        <family val="2"/>
        <scheme val="minor"/>
      </rPr>
      <t>&gt;0;q</t>
    </r>
    <r>
      <rPr>
        <vertAlign val="subscript"/>
        <sz val="11"/>
        <color theme="1"/>
        <rFont val="Calibri"/>
        <family val="2"/>
        <scheme val="minor"/>
      </rPr>
      <t>ACP,PREC</t>
    </r>
    <r>
      <rPr>
        <sz val="11"/>
        <color theme="1"/>
        <rFont val="Calibri"/>
        <family val="2"/>
        <scheme val="minor"/>
      </rPr>
      <t>;-q</t>
    </r>
    <r>
      <rPr>
        <vertAlign val="subscript"/>
        <sz val="11"/>
        <color theme="1"/>
        <rFont val="Calibri"/>
        <family val="2"/>
        <scheme val="minor"/>
      </rPr>
      <t>ACP,DISS</t>
    </r>
    <r>
      <rPr>
        <sz val="11"/>
        <color theme="1"/>
        <rFont val="Calibri"/>
        <family val="2"/>
        <scheme val="minor"/>
      </rPr>
      <t>*Msat</t>
    </r>
    <r>
      <rPr>
        <vertAlign val="subscript"/>
        <sz val="11"/>
        <color theme="1"/>
        <rFont val="Calibri"/>
        <family val="2"/>
        <scheme val="minor"/>
      </rPr>
      <t>XACP,KACP,DISS</t>
    </r>
    <r>
      <rPr>
        <sz val="11"/>
        <color theme="1"/>
        <rFont val="Calibri"/>
        <family val="2"/>
        <scheme val="minor"/>
      </rPr>
      <t>)</t>
    </r>
  </si>
  <si>
    <r>
      <t>If(PrecipDrivingForce</t>
    </r>
    <r>
      <rPr>
        <vertAlign val="subscript"/>
        <sz val="11"/>
        <color theme="1"/>
        <rFont val="Calibri"/>
        <family val="2"/>
        <scheme val="minor"/>
      </rPr>
      <t>CaCO3</t>
    </r>
    <r>
      <rPr>
        <sz val="11"/>
        <color theme="1"/>
        <rFont val="Calibri"/>
        <family val="2"/>
        <scheme val="minor"/>
      </rPr>
      <t>&gt;0;q</t>
    </r>
    <r>
      <rPr>
        <vertAlign val="subscript"/>
        <sz val="11"/>
        <color theme="1"/>
        <rFont val="Calibri"/>
        <family val="2"/>
        <scheme val="minor"/>
      </rPr>
      <t>CaCO3,PREC</t>
    </r>
    <r>
      <rPr>
        <sz val="11"/>
        <color theme="1"/>
        <rFont val="Calibri"/>
        <family val="2"/>
        <scheme val="minor"/>
      </rPr>
      <t>;-q</t>
    </r>
    <r>
      <rPr>
        <vertAlign val="subscript"/>
        <sz val="11"/>
        <color theme="1"/>
        <rFont val="Calibri"/>
        <family val="2"/>
        <scheme val="minor"/>
      </rPr>
      <t>CaCO3,DISS</t>
    </r>
    <r>
      <rPr>
        <sz val="11"/>
        <color theme="1"/>
        <rFont val="Calibri"/>
        <family val="2"/>
        <scheme val="minor"/>
      </rPr>
      <t>*Msat</t>
    </r>
    <r>
      <rPr>
        <vertAlign val="subscript"/>
        <sz val="11"/>
        <color theme="1"/>
        <rFont val="Calibri"/>
        <family val="2"/>
        <scheme val="minor"/>
      </rPr>
      <t>XCaCO3,KCaCO3,DISS</t>
    </r>
    <r>
      <rPr>
        <sz val="11"/>
        <color theme="1"/>
        <rFont val="Calibri"/>
        <family val="2"/>
        <scheme val="minor"/>
      </rPr>
      <t>)</t>
    </r>
  </si>
  <si>
    <r>
      <t>If(PrecipDrivingForce</t>
    </r>
    <r>
      <rPr>
        <vertAlign val="subscript"/>
        <sz val="11"/>
        <color theme="1"/>
        <rFont val="Calibri"/>
        <family val="2"/>
        <scheme val="minor"/>
      </rPr>
      <t>Vivi</t>
    </r>
    <r>
      <rPr>
        <sz val="11"/>
        <color theme="1"/>
        <rFont val="Calibri"/>
        <family val="2"/>
        <scheme val="minor"/>
      </rPr>
      <t>&gt;0;q</t>
    </r>
    <r>
      <rPr>
        <vertAlign val="subscript"/>
        <sz val="11"/>
        <color theme="1"/>
        <rFont val="Calibri"/>
        <family val="2"/>
        <scheme val="minor"/>
      </rPr>
      <t>Vivi,PREC</t>
    </r>
    <r>
      <rPr>
        <sz val="11"/>
        <color theme="1"/>
        <rFont val="Calibri"/>
        <family val="2"/>
        <scheme val="minor"/>
      </rPr>
      <t>;-q</t>
    </r>
    <r>
      <rPr>
        <vertAlign val="subscript"/>
        <sz val="11"/>
        <color theme="1"/>
        <rFont val="Calibri"/>
        <family val="2"/>
        <scheme val="minor"/>
      </rPr>
      <t>Vivi,DISS</t>
    </r>
    <r>
      <rPr>
        <sz val="11"/>
        <color theme="1"/>
        <rFont val="Calibri"/>
        <family val="2"/>
        <scheme val="minor"/>
      </rPr>
      <t>*Msat</t>
    </r>
    <r>
      <rPr>
        <vertAlign val="subscript"/>
        <sz val="11"/>
        <color theme="1"/>
        <rFont val="Calibri"/>
        <family val="2"/>
        <scheme val="minor"/>
      </rPr>
      <t>XVivi,KVivi,DISS</t>
    </r>
    <r>
      <rPr>
        <sz val="11"/>
        <color theme="1"/>
        <rFont val="Calibri"/>
        <family val="2"/>
        <scheme val="minor"/>
      </rPr>
      <t>)</t>
    </r>
  </si>
  <si>
    <r>
      <t>diss</t>
    </r>
    <r>
      <rPr>
        <vertAlign val="subscript"/>
        <sz val="11"/>
        <rFont val="Calibri"/>
        <family val="2"/>
      </rPr>
      <t>NH3</t>
    </r>
  </si>
  <si>
    <r>
      <t>Rate of X</t>
    </r>
    <r>
      <rPr>
        <vertAlign val="subscript"/>
        <sz val="11"/>
        <color rgb="FF000000"/>
        <rFont val="Calibri"/>
        <family val="2"/>
        <scheme val="minor"/>
      </rPr>
      <t>HFO,L</t>
    </r>
    <r>
      <rPr>
        <sz val="11"/>
        <color rgb="FF000000"/>
        <rFont val="Calibri"/>
        <family val="2"/>
        <charset val="238"/>
        <scheme val="minor"/>
      </rPr>
      <t xml:space="preserve"> aging</t>
    </r>
  </si>
  <si>
    <r>
      <t>i</t>
    </r>
    <r>
      <rPr>
        <vertAlign val="subscript"/>
        <sz val="11"/>
        <rFont val="Calibri"/>
        <family val="2"/>
        <scheme val="minor"/>
      </rPr>
      <t>CV,XE</t>
    </r>
  </si>
  <si>
    <t>Half-saturation of VFA in fermentation of OHOs (AS)</t>
  </si>
  <si>
    <t>Half-saturation of VFA in fermentation of OHOs</t>
  </si>
  <si>
    <r>
      <t>PAO growth on PHA, NO</t>
    </r>
    <r>
      <rPr>
        <vertAlign val="subscript"/>
        <sz val="11"/>
        <color rgb="FF000000"/>
        <rFont val="Calibri"/>
        <family val="2"/>
        <scheme val="minor"/>
      </rPr>
      <t>x</t>
    </r>
    <r>
      <rPr>
        <sz val="11"/>
        <color rgb="FF000000"/>
        <rFont val="Calibri"/>
        <family val="2"/>
        <charset val="238"/>
        <scheme val="minor"/>
      </rPr>
      <t>; PO</t>
    </r>
    <r>
      <rPr>
        <vertAlign val="subscript"/>
        <sz val="11"/>
        <color rgb="FF000000"/>
        <rFont val="Calibri"/>
        <family val="2"/>
        <scheme val="minor"/>
      </rPr>
      <t>4</t>
    </r>
    <r>
      <rPr>
        <sz val="11"/>
        <color rgb="FF000000"/>
        <rFont val="Calibri"/>
        <family val="2"/>
        <charset val="238"/>
        <scheme val="minor"/>
      </rPr>
      <t xml:space="preserve"> limited</t>
    </r>
  </si>
  <si>
    <r>
      <t>Half-inhibition of NH</t>
    </r>
    <r>
      <rPr>
        <vertAlign val="subscript"/>
        <sz val="11"/>
        <color rgb="FF000000"/>
        <rFont val="Calibri"/>
        <family val="2"/>
        <scheme val="minor"/>
      </rPr>
      <t>x</t>
    </r>
    <r>
      <rPr>
        <sz val="11"/>
        <color rgb="FF000000"/>
        <rFont val="Calibri"/>
        <family val="2"/>
        <charset val="238"/>
        <scheme val="minor"/>
      </rPr>
      <t xml:space="preserve"> in NO</t>
    </r>
    <r>
      <rPr>
        <vertAlign val="subscript"/>
        <sz val="11"/>
        <color rgb="FF000000"/>
        <rFont val="Calibri"/>
        <family val="2"/>
        <scheme val="minor"/>
      </rPr>
      <t>x</t>
    </r>
    <r>
      <rPr>
        <sz val="11"/>
        <color rgb="FF000000"/>
        <rFont val="Calibri"/>
        <family val="2"/>
        <charset val="238"/>
        <scheme val="minor"/>
      </rPr>
      <t xml:space="preserve"> assimilative reduction</t>
    </r>
  </si>
  <si>
    <r>
      <t>Half-saturation of NO</t>
    </r>
    <r>
      <rPr>
        <vertAlign val="subscript"/>
        <sz val="11"/>
        <color rgb="FF000000"/>
        <rFont val="Calibri"/>
        <family val="2"/>
        <scheme val="minor"/>
      </rPr>
      <t>x</t>
    </r>
    <r>
      <rPr>
        <sz val="11"/>
        <color rgb="FF000000"/>
        <rFont val="Calibri"/>
        <family val="2"/>
        <charset val="238"/>
        <scheme val="minor"/>
      </rPr>
      <t xml:space="preserve"> in NO</t>
    </r>
    <r>
      <rPr>
        <vertAlign val="subscript"/>
        <sz val="11"/>
        <color rgb="FF000000"/>
        <rFont val="Calibri"/>
        <family val="2"/>
        <scheme val="minor"/>
      </rPr>
      <t>x</t>
    </r>
    <r>
      <rPr>
        <sz val="11"/>
        <color rgb="FF000000"/>
        <rFont val="Calibri"/>
        <family val="2"/>
        <charset val="238"/>
        <scheme val="minor"/>
      </rPr>
      <t xml:space="preserve"> assimilative reduction (AS)</t>
    </r>
  </si>
  <si>
    <r>
      <t>Half-saturation of NO</t>
    </r>
    <r>
      <rPr>
        <vertAlign val="subscript"/>
        <sz val="11"/>
        <color rgb="FF000000"/>
        <rFont val="Calibri"/>
        <family val="2"/>
        <scheme val="minor"/>
      </rPr>
      <t>x</t>
    </r>
    <r>
      <rPr>
        <sz val="11"/>
        <color rgb="FF000000"/>
        <rFont val="Calibri"/>
        <family val="2"/>
        <charset val="238"/>
        <scheme val="minor"/>
      </rPr>
      <t xml:space="preserve"> in NO</t>
    </r>
    <r>
      <rPr>
        <vertAlign val="subscript"/>
        <sz val="11"/>
        <color rgb="FF000000"/>
        <rFont val="Calibri"/>
        <family val="2"/>
        <scheme val="minor"/>
      </rPr>
      <t>x</t>
    </r>
    <r>
      <rPr>
        <sz val="11"/>
        <color rgb="FF000000"/>
        <rFont val="Calibri"/>
        <family val="2"/>
        <charset val="238"/>
        <scheme val="minor"/>
      </rPr>
      <t xml:space="preserve"> assimilative reduction</t>
    </r>
  </si>
  <si>
    <r>
      <t>OHO growth on VFAs, NO</t>
    </r>
    <r>
      <rPr>
        <vertAlign val="subscript"/>
        <sz val="11"/>
        <color rgb="FF000000"/>
        <rFont val="Calibri"/>
        <family val="2"/>
        <scheme val="minor"/>
      </rPr>
      <t>x</t>
    </r>
  </si>
  <si>
    <r>
      <t>OHO growth on S</t>
    </r>
    <r>
      <rPr>
        <vertAlign val="subscript"/>
        <sz val="11"/>
        <color rgb="FF000000"/>
        <rFont val="Calibri"/>
        <family val="2"/>
        <scheme val="minor"/>
      </rPr>
      <t>B</t>
    </r>
    <r>
      <rPr>
        <sz val="11"/>
        <color rgb="FF000000"/>
        <rFont val="Calibri"/>
        <family val="2"/>
        <charset val="238"/>
        <scheme val="minor"/>
      </rPr>
      <t>, NO</t>
    </r>
    <r>
      <rPr>
        <vertAlign val="subscript"/>
        <sz val="11"/>
        <color rgb="FF000000"/>
        <rFont val="Calibri"/>
        <family val="2"/>
        <scheme val="minor"/>
      </rPr>
      <t>x</t>
    </r>
  </si>
  <si>
    <r>
      <t>S</t>
    </r>
    <r>
      <rPr>
        <vertAlign val="subscript"/>
        <sz val="11"/>
        <rFont val="Calibri"/>
        <family val="2"/>
      </rPr>
      <t>B</t>
    </r>
    <r>
      <rPr>
        <sz val="11"/>
        <rFont val="Calibri"/>
        <family val="2"/>
      </rPr>
      <t xml:space="preserve"> fermentation with low VFA (OHO growth, anaerobic)</t>
    </r>
  </si>
  <si>
    <r>
      <t>MEOLO growth, NO</t>
    </r>
    <r>
      <rPr>
        <vertAlign val="subscript"/>
        <sz val="11"/>
        <color rgb="FF000000"/>
        <rFont val="Calibri"/>
        <family val="2"/>
        <scheme val="minor"/>
      </rPr>
      <t>x</t>
    </r>
  </si>
  <si>
    <t>Aging of active HFO,H</t>
  </si>
  <si>
    <t>Aging of active HFO,L</t>
  </si>
  <si>
    <t>Fast binding of P on active HFO,H</t>
  </si>
  <si>
    <t>Slow binding of P on active HFO,L</t>
  </si>
  <si>
    <t>Volatile fatty acids (VFA)</t>
  </si>
  <si>
    <t>Methanol (MEOL)</t>
  </si>
  <si>
    <t>Ordinary heterotrophic organisms (OHO)</t>
  </si>
  <si>
    <t>Anoxic methanol utilizers (MEOLO)</t>
  </si>
  <si>
    <t>Aerobic nitrifying organisms (NITO)</t>
  </si>
  <si>
    <t>Acidoclastic methanogens (AMETO)</t>
  </si>
  <si>
    <t>Hydrogenotrophic methanogens (HMETO)</t>
  </si>
  <si>
    <r>
      <t>Total ammonia (NH</t>
    </r>
    <r>
      <rPr>
        <vertAlign val="subscript"/>
        <sz val="11"/>
        <color theme="1"/>
        <rFont val="Calibri"/>
        <family val="2"/>
        <scheme val="minor"/>
      </rPr>
      <t>x</t>
    </r>
    <r>
      <rPr>
        <sz val="11"/>
        <color indexed="8"/>
        <rFont val="Calibri"/>
        <family val="2"/>
      </rPr>
      <t>)</t>
    </r>
  </si>
  <si>
    <r>
      <t>Nitrate and nitrite (NO</t>
    </r>
    <r>
      <rPr>
        <vertAlign val="subscript"/>
        <sz val="11"/>
        <color rgb="FF000000"/>
        <rFont val="Calibri"/>
        <family val="2"/>
        <scheme val="minor"/>
      </rPr>
      <t>x</t>
    </r>
    <r>
      <rPr>
        <sz val="11"/>
        <color rgb="FF000000"/>
        <rFont val="Calibri"/>
        <family val="2"/>
        <charset val="238"/>
        <scheme val="minor"/>
      </rPr>
      <t>)</t>
    </r>
  </si>
  <si>
    <r>
      <t>Dissolved nitrogen (N</t>
    </r>
    <r>
      <rPr>
        <vertAlign val="subscript"/>
        <sz val="11"/>
        <color rgb="FF000000"/>
        <rFont val="Calibri"/>
        <family val="2"/>
        <scheme val="minor"/>
      </rPr>
      <t>2</t>
    </r>
    <r>
      <rPr>
        <sz val="11"/>
        <color rgb="FF000000"/>
        <rFont val="Calibri"/>
        <family val="2"/>
        <charset val="238"/>
        <scheme val="minor"/>
      </rPr>
      <t>)</t>
    </r>
  </si>
  <si>
    <r>
      <t>Particulate biodegradable organic N (from X</t>
    </r>
    <r>
      <rPr>
        <vertAlign val="subscript"/>
        <sz val="11"/>
        <color rgb="FF000000"/>
        <rFont val="Calibri"/>
        <family val="2"/>
        <scheme val="minor"/>
      </rPr>
      <t>B</t>
    </r>
    <r>
      <rPr>
        <sz val="11"/>
        <color rgb="FF000000"/>
        <rFont val="Calibri"/>
        <family val="2"/>
        <charset val="238"/>
        <scheme val="minor"/>
      </rPr>
      <t>)</t>
    </r>
  </si>
  <si>
    <r>
      <t>Orthophosphate (PO</t>
    </r>
    <r>
      <rPr>
        <vertAlign val="subscript"/>
        <sz val="11"/>
        <color rgb="FF000000"/>
        <rFont val="Calibri"/>
        <family val="2"/>
        <scheme val="minor"/>
      </rPr>
      <t>4</t>
    </r>
    <r>
      <rPr>
        <sz val="11"/>
        <color rgb="FF000000"/>
        <rFont val="Calibri"/>
        <family val="2"/>
        <charset val="238"/>
        <scheme val="minor"/>
      </rPr>
      <t>)</t>
    </r>
  </si>
  <si>
    <t>Stored polyphosphate (PP)</t>
  </si>
  <si>
    <t>Soluble biodegradable organic P (from SB)</t>
  </si>
  <si>
    <r>
      <t>Particulate biodegradable organic P (from X</t>
    </r>
    <r>
      <rPr>
        <vertAlign val="subscript"/>
        <sz val="11"/>
        <color rgb="FF000000"/>
        <rFont val="Calibri"/>
        <family val="2"/>
        <scheme val="minor"/>
      </rPr>
      <t>B</t>
    </r>
    <r>
      <rPr>
        <sz val="11"/>
        <color rgb="FF000000"/>
        <rFont val="Calibri"/>
        <family val="2"/>
        <charset val="238"/>
        <scheme val="minor"/>
      </rPr>
      <t>)</t>
    </r>
  </si>
  <si>
    <t>Particulate unbiodegradable organic P</t>
  </si>
  <si>
    <r>
      <t>Dissolved oxygen (O</t>
    </r>
    <r>
      <rPr>
        <vertAlign val="subscript"/>
        <sz val="11"/>
        <color rgb="FF000000"/>
        <rFont val="Calibri"/>
        <family val="2"/>
        <scheme val="minor"/>
      </rPr>
      <t>2</t>
    </r>
    <r>
      <rPr>
        <sz val="11"/>
        <color rgb="FF000000"/>
        <rFont val="Calibri"/>
        <family val="2"/>
        <charset val="238"/>
        <scheme val="minor"/>
      </rPr>
      <t>)</t>
    </r>
  </si>
  <si>
    <r>
      <t>Dissolved methane (CH</t>
    </r>
    <r>
      <rPr>
        <vertAlign val="subscript"/>
        <sz val="11"/>
        <color rgb="FF000000"/>
        <rFont val="Calibri"/>
        <family val="2"/>
        <scheme val="minor"/>
      </rPr>
      <t>4</t>
    </r>
    <r>
      <rPr>
        <sz val="11"/>
        <color rgb="FF000000"/>
        <rFont val="Calibri"/>
        <family val="2"/>
        <charset val="238"/>
        <scheme val="minor"/>
      </rPr>
      <t>)</t>
    </r>
  </si>
  <si>
    <r>
      <t>Dissolved hydrogen (H</t>
    </r>
    <r>
      <rPr>
        <vertAlign val="subscript"/>
        <sz val="11"/>
        <color rgb="FF000000"/>
        <rFont val="Calibri"/>
        <family val="2"/>
        <scheme val="minor"/>
      </rPr>
      <t>2</t>
    </r>
    <r>
      <rPr>
        <sz val="11"/>
        <color rgb="FF000000"/>
        <rFont val="Calibri"/>
        <family val="2"/>
        <charset val="238"/>
        <scheme val="minor"/>
      </rPr>
      <t>)</t>
    </r>
  </si>
  <si>
    <r>
      <t>Total inorganic carbon (CO</t>
    </r>
    <r>
      <rPr>
        <vertAlign val="subscript"/>
        <sz val="11"/>
        <color rgb="FF000000"/>
        <rFont val="Calibri"/>
        <family val="2"/>
        <scheme val="minor"/>
      </rPr>
      <t>2</t>
    </r>
    <r>
      <rPr>
        <sz val="11"/>
        <color rgb="FF000000"/>
        <rFont val="Calibri"/>
        <family val="2"/>
        <charset val="238"/>
        <scheme val="minor"/>
      </rPr>
      <t>)</t>
    </r>
  </si>
  <si>
    <r>
      <t>Other strong cations (as Na</t>
    </r>
    <r>
      <rPr>
        <vertAlign val="superscript"/>
        <sz val="11"/>
        <color rgb="FF000000"/>
        <rFont val="Calibri"/>
        <family val="2"/>
        <scheme val="minor"/>
      </rPr>
      <t>+</t>
    </r>
    <r>
      <rPr>
        <sz val="11"/>
        <color rgb="FF000000"/>
        <rFont val="Calibri"/>
        <family val="2"/>
        <charset val="238"/>
        <scheme val="minor"/>
      </rPr>
      <t>)</t>
    </r>
  </si>
  <si>
    <r>
      <t>Other strong anions (as Cl</t>
    </r>
    <r>
      <rPr>
        <vertAlign val="superscript"/>
        <sz val="11"/>
        <color rgb="FF000000"/>
        <rFont val="Calibri"/>
        <family val="2"/>
        <scheme val="minor"/>
      </rPr>
      <t>-</t>
    </r>
    <r>
      <rPr>
        <sz val="11"/>
        <color rgb="FF000000"/>
        <rFont val="Calibri"/>
        <family val="2"/>
        <charset val="238"/>
        <scheme val="minor"/>
      </rPr>
      <t>)</t>
    </r>
  </si>
  <si>
    <t>Active hydrous ferric oxide, high surface (HFO,H)</t>
  </si>
  <si>
    <t>Active hydrous ferric oxide, low surface (HFO,L)</t>
  </si>
  <si>
    <t>Aged unused hydrous ferric oxide (HFO,old)</t>
  </si>
  <si>
    <t>P-bound hydrous ferric oxide, high surface (HFO,H,P)</t>
  </si>
  <si>
    <t>P-bound hydrous ferric oxide, low surface (HFO,L,P)</t>
  </si>
  <si>
    <r>
      <t>Ferrous ion (Fe</t>
    </r>
    <r>
      <rPr>
        <vertAlign val="subscript"/>
        <sz val="11"/>
        <color rgb="FF000000"/>
        <rFont val="Calibri"/>
        <family val="2"/>
        <scheme val="minor"/>
      </rPr>
      <t>2</t>
    </r>
    <r>
      <rPr>
        <sz val="11"/>
        <color rgb="FF000000"/>
        <rFont val="Calibri"/>
        <family val="2"/>
        <charset val="238"/>
        <scheme val="minor"/>
      </rPr>
      <t>)</t>
    </r>
  </si>
  <si>
    <r>
      <t>Calcium carbonate (CaCO</t>
    </r>
    <r>
      <rPr>
        <vertAlign val="subscript"/>
        <sz val="11"/>
        <color theme="1"/>
        <rFont val="Calibri"/>
        <family val="2"/>
        <scheme val="minor"/>
      </rPr>
      <t>3</t>
    </r>
    <r>
      <rPr>
        <sz val="11"/>
        <color indexed="8"/>
        <rFont val="Calibri"/>
        <family val="2"/>
      </rPr>
      <t>)</t>
    </r>
  </si>
  <si>
    <t>Amorphous calcium phosphate (ACP)</t>
  </si>
  <si>
    <t>Struvite (STR)</t>
  </si>
  <si>
    <t>Vivianite (Vivi)</t>
  </si>
  <si>
    <r>
      <t>Inhibition term for NH</t>
    </r>
    <r>
      <rPr>
        <vertAlign val="subscript"/>
        <sz val="11"/>
        <color rgb="FF000000"/>
        <rFont val="Calibri"/>
        <family val="2"/>
        <scheme val="minor"/>
      </rPr>
      <t>x</t>
    </r>
    <r>
      <rPr>
        <sz val="11"/>
        <color rgb="FF000000"/>
        <rFont val="Calibri"/>
        <family val="2"/>
        <charset val="238"/>
        <scheme val="minor"/>
      </rPr>
      <t xml:space="preserve"> (assimilative reduction)</t>
    </r>
  </si>
  <si>
    <r>
      <t>Logistic saturation term for CO</t>
    </r>
    <r>
      <rPr>
        <vertAlign val="subscript"/>
        <sz val="11"/>
        <color rgb="FF000000"/>
        <rFont val="Calibri"/>
        <family val="2"/>
        <scheme val="minor"/>
      </rPr>
      <t>2</t>
    </r>
    <r>
      <rPr>
        <sz val="11"/>
        <color rgb="FF000000"/>
        <rFont val="Calibri"/>
        <family val="2"/>
        <charset val="238"/>
        <scheme val="minor"/>
      </rPr>
      <t>/HCO</t>
    </r>
    <r>
      <rPr>
        <vertAlign val="subscript"/>
        <sz val="11"/>
        <color rgb="FF000000"/>
        <rFont val="Calibri"/>
        <family val="2"/>
        <scheme val="minor"/>
      </rPr>
      <t>3</t>
    </r>
    <r>
      <rPr>
        <vertAlign val="superscript"/>
        <sz val="11"/>
        <color rgb="FF000000"/>
        <rFont val="Calibri"/>
        <family val="2"/>
        <scheme val="minor"/>
      </rPr>
      <t>-</t>
    </r>
    <r>
      <rPr>
        <sz val="11"/>
        <color rgb="FF000000"/>
        <rFont val="Calibri"/>
        <family val="2"/>
        <charset val="238"/>
        <scheme val="minor"/>
      </rPr>
      <t xml:space="preserve"> (NITO)</t>
    </r>
  </si>
  <si>
    <r>
      <t>Inhibition term for NH</t>
    </r>
    <r>
      <rPr>
        <vertAlign val="subscript"/>
        <sz val="11"/>
        <color rgb="FF000000"/>
        <rFont val="Calibri"/>
        <family val="2"/>
        <scheme val="minor"/>
      </rPr>
      <t>3</t>
    </r>
    <r>
      <rPr>
        <sz val="11"/>
        <color rgb="FF000000"/>
        <rFont val="Calibri"/>
        <family val="2"/>
        <charset val="238"/>
        <scheme val="minor"/>
      </rPr>
      <t xml:space="preserve"> (NITO)</t>
    </r>
  </si>
  <si>
    <t>Dielectric constant</t>
  </si>
  <si>
    <t>Solution density</t>
  </si>
  <si>
    <t>Half-saturations for aerobic nitrifying organisms (NITO)</t>
  </si>
  <si>
    <t>Half-saturations for ordinary heterotrophic organisms (OHO)</t>
  </si>
  <si>
    <t>Half-saturations for anoxic methanol utilizers (MEOLO)</t>
  </si>
  <si>
    <r>
      <t>g Na.m</t>
    </r>
    <r>
      <rPr>
        <vertAlign val="superscript"/>
        <sz val="11"/>
        <rFont val="Calibri"/>
        <family val="2"/>
        <scheme val="minor"/>
      </rPr>
      <t>-3</t>
    </r>
  </si>
  <si>
    <r>
      <t>g Cl.m</t>
    </r>
    <r>
      <rPr>
        <vertAlign val="superscript"/>
        <sz val="11"/>
        <rFont val="Calibri"/>
        <family val="2"/>
        <scheme val="minor"/>
      </rPr>
      <t>-3</t>
    </r>
  </si>
  <si>
    <r>
      <t>g X</t>
    </r>
    <r>
      <rPr>
        <vertAlign val="subscript"/>
        <sz val="11"/>
        <rFont val="Calibri"/>
        <family val="2"/>
        <scheme val="minor"/>
      </rPr>
      <t>E</t>
    </r>
    <r>
      <rPr>
        <sz val="11"/>
        <rFont val="Calibri"/>
        <family val="2"/>
        <scheme val="minor"/>
      </rPr>
      <t>.g X</t>
    </r>
    <r>
      <rPr>
        <vertAlign val="subscript"/>
        <sz val="11"/>
        <rFont val="Calibri"/>
        <family val="2"/>
        <scheme val="minor"/>
      </rPr>
      <t>BIO</t>
    </r>
    <r>
      <rPr>
        <vertAlign val="superscript"/>
        <sz val="11"/>
        <rFont val="Calibri"/>
        <family val="2"/>
        <scheme val="minor"/>
      </rPr>
      <t>-1</t>
    </r>
  </si>
  <si>
    <r>
      <t>g O2.g COD</t>
    </r>
    <r>
      <rPr>
        <vertAlign val="superscript"/>
        <sz val="11"/>
        <color theme="1"/>
        <rFont val="Calibri"/>
        <family val="2"/>
        <scheme val="minor"/>
      </rPr>
      <t>-1</t>
    </r>
  </si>
  <si>
    <r>
      <t>f</t>
    </r>
    <r>
      <rPr>
        <vertAlign val="subscript"/>
        <sz val="11"/>
        <rFont val="Calibri"/>
        <family val="2"/>
        <scheme val="minor"/>
      </rPr>
      <t>S,BOD5,BODult</t>
    </r>
  </si>
  <si>
    <t>Fraction of BOD5 to ultimate BOD in soluble biodegradable substrates</t>
  </si>
  <si>
    <r>
      <t>f</t>
    </r>
    <r>
      <rPr>
        <vertAlign val="subscript"/>
        <sz val="11"/>
        <rFont val="Calibri"/>
        <family val="2"/>
        <scheme val="minor"/>
      </rPr>
      <t>C,BOD5,BODult</t>
    </r>
  </si>
  <si>
    <t>Fraction of BOD5 to ultimate BOD in colloidal biodegradable substrates</t>
  </si>
  <si>
    <r>
      <t>f</t>
    </r>
    <r>
      <rPr>
        <vertAlign val="subscript"/>
        <sz val="11"/>
        <rFont val="Calibri"/>
        <family val="2"/>
        <scheme val="minor"/>
      </rPr>
      <t>X,BOD5,BODult</t>
    </r>
  </si>
  <si>
    <t>Fraction of BOD5 to ultimate BOD in particulate biodegradable substrates</t>
  </si>
  <si>
    <r>
      <t>S</t>
    </r>
    <r>
      <rPr>
        <vertAlign val="subscript"/>
        <sz val="11"/>
        <rFont val="Calibri"/>
        <family val="2"/>
      </rPr>
      <t>B</t>
    </r>
    <r>
      <rPr>
        <sz val="11"/>
        <rFont val="Calibri"/>
        <family val="2"/>
      </rPr>
      <t xml:space="preserve"> fermentation with high VFA (PAO growth, anaerobic)</t>
    </r>
  </si>
  <si>
    <r>
      <t>S</t>
    </r>
    <r>
      <rPr>
        <vertAlign val="subscript"/>
        <sz val="11"/>
        <rFont val="Calibri"/>
        <family val="2"/>
      </rPr>
      <t>B</t>
    </r>
    <r>
      <rPr>
        <sz val="11"/>
        <rFont val="Calibri"/>
        <family val="2"/>
      </rPr>
      <t xml:space="preserve"> fermentation with low VFA (PAO growth, anaerobic)</t>
    </r>
  </si>
  <si>
    <r>
      <t>S</t>
    </r>
    <r>
      <rPr>
        <vertAlign val="subscript"/>
        <sz val="11"/>
        <rFont val="Calibri"/>
        <family val="2"/>
      </rPr>
      <t>rbCOD</t>
    </r>
  </si>
  <si>
    <t>COD of readily biodegradable substrates</t>
  </si>
  <si>
    <r>
      <t>XC</t>
    </r>
    <r>
      <rPr>
        <vertAlign val="subscript"/>
        <sz val="11"/>
        <rFont val="Calibri"/>
        <family val="2"/>
      </rPr>
      <t>sbCOD</t>
    </r>
  </si>
  <si>
    <t>COD of slowly biodegradable substrates</t>
  </si>
  <si>
    <t>Phosphorus uptake rate, biologically (PURBIO)</t>
  </si>
  <si>
    <t>Phosphorus uptake rate, chemically (PURCHEM)</t>
  </si>
  <si>
    <r>
      <t>S</t>
    </r>
    <r>
      <rPr>
        <vertAlign val="subscript"/>
        <sz val="11"/>
        <rFont val="Calibri"/>
        <family val="2"/>
      </rPr>
      <t>B</t>
    </r>
    <r>
      <rPr>
        <sz val="11"/>
        <rFont val="Calibri"/>
        <family val="2"/>
      </rPr>
      <t xml:space="preserve"> + S</t>
    </r>
    <r>
      <rPr>
        <vertAlign val="subscript"/>
        <sz val="11"/>
        <rFont val="Calibri"/>
        <family val="2"/>
      </rPr>
      <t>VFA</t>
    </r>
    <r>
      <rPr>
        <sz val="11"/>
        <rFont val="Calibri"/>
        <family val="2"/>
      </rPr>
      <t xml:space="preserve"> + S</t>
    </r>
    <r>
      <rPr>
        <vertAlign val="subscript"/>
        <sz val="11"/>
        <rFont val="Calibri"/>
        <family val="2"/>
      </rPr>
      <t>MEOL</t>
    </r>
  </si>
  <si>
    <r>
      <t>S</t>
    </r>
    <r>
      <rPr>
        <vertAlign val="subscript"/>
        <sz val="11"/>
        <rFont val="Calibri"/>
        <family val="2"/>
        <scheme val="minor"/>
      </rPr>
      <t>IC</t>
    </r>
  </si>
  <si>
    <t>Strong ion correction</t>
  </si>
  <si>
    <r>
      <t>S</t>
    </r>
    <r>
      <rPr>
        <vertAlign val="subscript"/>
        <sz val="11"/>
        <rFont val="Calibri"/>
        <family val="2"/>
        <scheme val="minor"/>
      </rPr>
      <t>CAT,ini,corr</t>
    </r>
  </si>
  <si>
    <r>
      <t>Other strong cations (as Na</t>
    </r>
    <r>
      <rPr>
        <vertAlign val="superscript"/>
        <sz val="11"/>
        <color rgb="FF000000"/>
        <rFont val="Calibri"/>
        <family val="2"/>
        <scheme val="minor"/>
      </rPr>
      <t>+</t>
    </r>
    <r>
      <rPr>
        <sz val="11"/>
        <color rgb="FF000000"/>
        <rFont val="Calibri"/>
        <family val="2"/>
        <charset val="238"/>
        <scheme val="minor"/>
      </rPr>
      <t>) correction</t>
    </r>
  </si>
  <si>
    <r>
      <t>S</t>
    </r>
    <r>
      <rPr>
        <vertAlign val="subscript"/>
        <sz val="11"/>
        <color indexed="8"/>
        <rFont val="Calibri"/>
        <family val="2"/>
      </rPr>
      <t>CAT,ini</t>
    </r>
    <r>
      <rPr>
        <sz val="11"/>
        <color indexed="8"/>
        <rFont val="Calibri"/>
        <family val="2"/>
      </rPr>
      <t xml:space="preserve"> + S</t>
    </r>
    <r>
      <rPr>
        <vertAlign val="subscript"/>
        <sz val="11"/>
        <color indexed="8"/>
        <rFont val="Calibri"/>
        <family val="2"/>
      </rPr>
      <t>IC</t>
    </r>
    <r>
      <rPr>
        <sz val="11"/>
        <color indexed="8"/>
        <rFont val="Calibri"/>
        <family val="2"/>
      </rPr>
      <t>*(AM</t>
    </r>
    <r>
      <rPr>
        <vertAlign val="subscript"/>
        <sz val="11"/>
        <color indexed="8"/>
        <rFont val="Calibri"/>
        <family val="2"/>
      </rPr>
      <t>Na</t>
    </r>
    <r>
      <rPr>
        <sz val="11"/>
        <color indexed="8"/>
        <rFont val="Calibri"/>
        <family val="2"/>
      </rPr>
      <t>*1000)</t>
    </r>
  </si>
  <si>
    <r>
      <t>S</t>
    </r>
    <r>
      <rPr>
        <vertAlign val="subscript"/>
        <sz val="11"/>
        <rFont val="Calibri"/>
        <family val="2"/>
        <scheme val="minor"/>
      </rPr>
      <t>AN,ini,corr</t>
    </r>
  </si>
  <si>
    <r>
      <t>Other strong anions (as Cl</t>
    </r>
    <r>
      <rPr>
        <vertAlign val="superscript"/>
        <sz val="11"/>
        <color rgb="FF000000"/>
        <rFont val="Calibri"/>
        <family val="2"/>
        <scheme val="minor"/>
      </rPr>
      <t>-</t>
    </r>
    <r>
      <rPr>
        <sz val="11"/>
        <color rgb="FF000000"/>
        <rFont val="Calibri"/>
        <family val="2"/>
        <charset val="238"/>
        <scheme val="minor"/>
      </rPr>
      <t>) correction</t>
    </r>
  </si>
  <si>
    <r>
      <t>S</t>
    </r>
    <r>
      <rPr>
        <vertAlign val="subscript"/>
        <sz val="11"/>
        <color indexed="8"/>
        <rFont val="Calibri"/>
        <family val="2"/>
      </rPr>
      <t>AN,ini</t>
    </r>
    <r>
      <rPr>
        <sz val="11"/>
        <color indexed="8"/>
        <rFont val="Calibri"/>
        <family val="2"/>
      </rPr>
      <t xml:space="preserve"> - S</t>
    </r>
    <r>
      <rPr>
        <vertAlign val="subscript"/>
        <sz val="11"/>
        <color indexed="8"/>
        <rFont val="Calibri"/>
        <family val="2"/>
      </rPr>
      <t>IC</t>
    </r>
    <r>
      <rPr>
        <sz val="11"/>
        <color indexed="8"/>
        <rFont val="Calibri"/>
        <family val="2"/>
      </rPr>
      <t>*(AM</t>
    </r>
    <r>
      <rPr>
        <vertAlign val="subscript"/>
        <sz val="11"/>
        <color indexed="8"/>
        <rFont val="Calibri"/>
        <family val="2"/>
      </rPr>
      <t>Cl</t>
    </r>
    <r>
      <rPr>
        <sz val="11"/>
        <color indexed="8"/>
        <rFont val="Calibri"/>
        <family val="2"/>
      </rPr>
      <t>*1000)</t>
    </r>
  </si>
  <si>
    <r>
      <t>If(S</t>
    </r>
    <r>
      <rPr>
        <vertAlign val="subscript"/>
        <sz val="11"/>
        <color indexed="8"/>
        <rFont val="Calibri"/>
        <family val="2"/>
      </rPr>
      <t>CAT,ini,corr</t>
    </r>
    <r>
      <rPr>
        <sz val="11"/>
        <color indexed="8"/>
        <rFont val="Calibri"/>
        <family val="2"/>
      </rPr>
      <t>&gt; 0; S</t>
    </r>
    <r>
      <rPr>
        <vertAlign val="subscript"/>
        <sz val="11"/>
        <color indexed="8"/>
        <rFont val="Calibri"/>
        <family val="2"/>
      </rPr>
      <t>CAT,ini,corr</t>
    </r>
    <r>
      <rPr>
        <sz val="11"/>
        <color theme="1"/>
        <rFont val="Calibri"/>
        <family val="2"/>
        <scheme val="minor"/>
      </rPr>
      <t>; S</t>
    </r>
    <r>
      <rPr>
        <vertAlign val="subscript"/>
        <sz val="11"/>
        <color theme="1"/>
        <rFont val="Calibri"/>
        <family val="2"/>
        <scheme val="minor"/>
      </rPr>
      <t>CAT,ini</t>
    </r>
    <r>
      <rPr>
        <sz val="11"/>
        <color indexed="8"/>
        <rFont val="Calibri"/>
        <family val="2"/>
      </rPr>
      <t>)</t>
    </r>
  </si>
  <si>
    <r>
      <t>If(S</t>
    </r>
    <r>
      <rPr>
        <vertAlign val="subscript"/>
        <sz val="11"/>
        <color theme="1"/>
        <rFont val="Calibri"/>
        <family val="2"/>
        <scheme val="minor"/>
      </rPr>
      <t>CAT,ini,corr</t>
    </r>
    <r>
      <rPr>
        <sz val="11"/>
        <color indexed="8"/>
        <rFont val="Calibri"/>
        <family val="2"/>
      </rPr>
      <t>&gt; 0; S</t>
    </r>
    <r>
      <rPr>
        <vertAlign val="subscript"/>
        <sz val="11"/>
        <color theme="1"/>
        <rFont val="Calibri"/>
        <family val="2"/>
        <scheme val="minor"/>
      </rPr>
      <t>AN,ini</t>
    </r>
    <r>
      <rPr>
        <sz val="11"/>
        <color indexed="8"/>
        <rFont val="Calibri"/>
        <family val="2"/>
      </rPr>
      <t>; S</t>
    </r>
    <r>
      <rPr>
        <vertAlign val="subscript"/>
        <sz val="11"/>
        <color theme="1"/>
        <rFont val="Calibri"/>
        <family val="2"/>
        <scheme val="minor"/>
      </rPr>
      <t>AN,ini,corr</t>
    </r>
    <r>
      <rPr>
        <sz val="11"/>
        <color indexed="8"/>
        <rFont val="Calibri"/>
        <family val="2"/>
      </rPr>
      <t>)</t>
    </r>
  </si>
  <si>
    <t>Fe</t>
  </si>
  <si>
    <t>Al</t>
  </si>
  <si>
    <r>
      <t>X</t>
    </r>
    <r>
      <rPr>
        <vertAlign val="subscript"/>
        <sz val="11"/>
        <rFont val="Calibri"/>
        <family val="2"/>
        <scheme val="minor"/>
      </rPr>
      <t>Me,TSS</t>
    </r>
  </si>
  <si>
    <t>Metal precipitates in TSS unit</t>
  </si>
  <si>
    <t>OHO anaerobic decay</t>
  </si>
  <si>
    <t>MEOLO anaerobic decay</t>
  </si>
  <si>
    <t>NITO anaerobic decay</t>
  </si>
  <si>
    <t>AMETO anaerobic decay</t>
  </si>
  <si>
    <t>HMETO anaerobic decay</t>
  </si>
  <si>
    <r>
      <t>b</t>
    </r>
    <r>
      <rPr>
        <vertAlign val="subscript"/>
        <sz val="11"/>
        <rFont val="Calibri"/>
        <family val="2"/>
      </rPr>
      <t>OHO,T</t>
    </r>
    <r>
      <rPr>
        <sz val="11"/>
        <rFont val="Calibri"/>
        <family val="2"/>
      </rPr>
      <t>*X</t>
    </r>
    <r>
      <rPr>
        <vertAlign val="subscript"/>
        <sz val="11"/>
        <rFont val="Calibri"/>
        <family val="2"/>
      </rPr>
      <t>OHO</t>
    </r>
    <r>
      <rPr>
        <sz val="11"/>
        <rFont val="Calibri"/>
        <family val="2"/>
      </rPr>
      <t>*(Msat</t>
    </r>
    <r>
      <rPr>
        <vertAlign val="subscript"/>
        <sz val="11"/>
        <rFont val="Calibri"/>
        <family val="2"/>
      </rPr>
      <t>SO2,KO2,OHO</t>
    </r>
    <r>
      <rPr>
        <sz val="11"/>
        <rFont val="Calibri"/>
        <family val="2"/>
      </rPr>
      <t>+η</t>
    </r>
    <r>
      <rPr>
        <vertAlign val="subscript"/>
        <sz val="11"/>
        <rFont val="Calibri"/>
        <family val="2"/>
      </rPr>
      <t>b,anox</t>
    </r>
    <r>
      <rPr>
        <sz val="11"/>
        <rFont val="Calibri"/>
        <family val="2"/>
      </rPr>
      <t>*Msat</t>
    </r>
    <r>
      <rPr>
        <vertAlign val="subscript"/>
        <sz val="11"/>
        <rFont val="Calibri"/>
        <family val="2"/>
      </rPr>
      <t>SNOx,KNOx,OHO</t>
    </r>
    <r>
      <rPr>
        <sz val="11"/>
        <rFont val="Calibri"/>
        <family val="2"/>
      </rPr>
      <t>*Minh</t>
    </r>
    <r>
      <rPr>
        <vertAlign val="subscript"/>
        <sz val="11"/>
        <rFont val="Calibri"/>
        <family val="2"/>
      </rPr>
      <t>SO2,KO2,OHO</t>
    </r>
    <r>
      <rPr>
        <sz val="11"/>
        <rFont val="Calibri"/>
        <family val="2"/>
      </rPr>
      <t>)</t>
    </r>
  </si>
  <si>
    <r>
      <t>b</t>
    </r>
    <r>
      <rPr>
        <vertAlign val="subscript"/>
        <sz val="11"/>
        <rFont val="Calibri"/>
        <family val="2"/>
      </rPr>
      <t>NITO,T</t>
    </r>
    <r>
      <rPr>
        <sz val="11"/>
        <rFont val="Calibri"/>
        <family val="2"/>
      </rPr>
      <t>*X</t>
    </r>
    <r>
      <rPr>
        <vertAlign val="subscript"/>
        <sz val="11"/>
        <rFont val="Calibri"/>
        <family val="2"/>
      </rPr>
      <t>NITO</t>
    </r>
    <r>
      <rPr>
        <sz val="11"/>
        <rFont val="Calibri"/>
        <family val="2"/>
      </rPr>
      <t>*(Msat</t>
    </r>
    <r>
      <rPr>
        <vertAlign val="subscript"/>
        <sz val="11"/>
        <rFont val="Calibri"/>
        <family val="2"/>
      </rPr>
      <t>SO2,KO2,NITO</t>
    </r>
    <r>
      <rPr>
        <sz val="11"/>
        <rFont val="Calibri"/>
        <family val="2"/>
      </rPr>
      <t>+η</t>
    </r>
    <r>
      <rPr>
        <vertAlign val="subscript"/>
        <sz val="11"/>
        <rFont val="Calibri"/>
        <family val="2"/>
      </rPr>
      <t>b,anox</t>
    </r>
    <r>
      <rPr>
        <sz val="11"/>
        <rFont val="Calibri"/>
        <family val="2"/>
      </rPr>
      <t>*Msat</t>
    </r>
    <r>
      <rPr>
        <vertAlign val="subscript"/>
        <sz val="11"/>
        <rFont val="Calibri"/>
        <family val="2"/>
      </rPr>
      <t>SNOx</t>
    </r>
    <r>
      <rPr>
        <b/>
        <vertAlign val="subscript"/>
        <sz val="11"/>
        <rFont val="Calibri"/>
        <family val="2"/>
      </rPr>
      <t>,</t>
    </r>
    <r>
      <rPr>
        <vertAlign val="subscript"/>
        <sz val="11"/>
        <rFont val="Calibri"/>
        <family val="2"/>
      </rPr>
      <t>KNOx,NITO</t>
    </r>
    <r>
      <rPr>
        <sz val="11"/>
        <rFont val="Calibri"/>
        <family val="2"/>
      </rPr>
      <t>*Minh</t>
    </r>
    <r>
      <rPr>
        <vertAlign val="subscript"/>
        <sz val="11"/>
        <rFont val="Calibri"/>
        <family val="2"/>
      </rPr>
      <t>SO2,KO2,NITO</t>
    </r>
    <r>
      <rPr>
        <sz val="11"/>
        <rFont val="Calibri"/>
        <family val="2"/>
      </rPr>
      <t>)</t>
    </r>
  </si>
  <si>
    <r>
      <t>b</t>
    </r>
    <r>
      <rPr>
        <vertAlign val="subscript"/>
        <sz val="11"/>
        <rFont val="Calibri"/>
        <family val="2"/>
      </rPr>
      <t>NITO,T</t>
    </r>
    <r>
      <rPr>
        <sz val="11"/>
        <rFont val="Calibri"/>
        <family val="2"/>
      </rPr>
      <t>*X</t>
    </r>
    <r>
      <rPr>
        <vertAlign val="subscript"/>
        <sz val="11"/>
        <rFont val="Calibri"/>
        <family val="2"/>
      </rPr>
      <t>NITO</t>
    </r>
    <r>
      <rPr>
        <sz val="11"/>
        <rFont val="Calibri"/>
        <family val="2"/>
      </rPr>
      <t>*(</t>
    </r>
    <r>
      <rPr>
        <sz val="11"/>
        <rFont val="Calibri"/>
        <family val="2"/>
      </rPr>
      <t>η</t>
    </r>
    <r>
      <rPr>
        <vertAlign val="subscript"/>
        <sz val="11"/>
        <rFont val="Calibri"/>
        <family val="2"/>
      </rPr>
      <t>b,ana</t>
    </r>
    <r>
      <rPr>
        <sz val="11"/>
        <rFont val="Calibri"/>
        <family val="2"/>
      </rPr>
      <t>*Minh</t>
    </r>
    <r>
      <rPr>
        <vertAlign val="subscript"/>
        <sz val="11"/>
        <rFont val="Calibri"/>
        <family val="2"/>
      </rPr>
      <t>SNOx,KNOx,NITO</t>
    </r>
    <r>
      <rPr>
        <sz val="11"/>
        <rFont val="Calibri"/>
        <family val="2"/>
      </rPr>
      <t>*Minh</t>
    </r>
    <r>
      <rPr>
        <vertAlign val="subscript"/>
        <sz val="11"/>
        <rFont val="Calibri"/>
        <family val="2"/>
      </rPr>
      <t>SO2,KO2,NITO</t>
    </r>
    <r>
      <rPr>
        <sz val="11"/>
        <rFont val="Calibri"/>
        <family val="2"/>
      </rPr>
      <t>+m</t>
    </r>
    <r>
      <rPr>
        <vertAlign val="subscript"/>
        <sz val="11"/>
        <rFont val="Calibri"/>
        <family val="2"/>
      </rPr>
      <t>tox,ana</t>
    </r>
    <r>
      <rPr>
        <sz val="11"/>
        <rFont val="Calibri"/>
        <family val="2"/>
      </rPr>
      <t>)</t>
    </r>
  </si>
  <si>
    <t>r62</t>
  </si>
  <si>
    <t>r63</t>
  </si>
  <si>
    <t>r64</t>
  </si>
  <si>
    <t>r65</t>
  </si>
  <si>
    <t>r66</t>
  </si>
  <si>
    <t>r67</t>
  </si>
  <si>
    <t>r68</t>
  </si>
  <si>
    <t>r69</t>
  </si>
  <si>
    <t>r70</t>
  </si>
  <si>
    <r>
      <t>g H2O.g FeOH</t>
    </r>
    <r>
      <rPr>
        <vertAlign val="superscript"/>
        <sz val="11"/>
        <rFont val="Calibri"/>
        <family val="2"/>
        <scheme val="minor"/>
      </rPr>
      <t>-1</t>
    </r>
  </si>
  <si>
    <r>
      <t>f</t>
    </r>
    <r>
      <rPr>
        <vertAlign val="subscript"/>
        <sz val="11"/>
        <rFont val="Calibri"/>
        <family val="2"/>
        <scheme val="minor"/>
      </rPr>
      <t>H2O,HFO,TSS</t>
    </r>
  </si>
  <si>
    <r>
      <t>f</t>
    </r>
    <r>
      <rPr>
        <vertAlign val="subscript"/>
        <sz val="11"/>
        <rFont val="Calibri"/>
        <family val="2"/>
        <scheme val="minor"/>
      </rPr>
      <t>H2O,HFO,VSS</t>
    </r>
  </si>
  <si>
    <r>
      <t>Fraction of H</t>
    </r>
    <r>
      <rPr>
        <vertAlign val="subscript"/>
        <sz val="11"/>
        <color rgb="FF000000"/>
        <rFont val="Calibri"/>
        <family val="2"/>
        <scheme val="minor"/>
      </rPr>
      <t>2</t>
    </r>
    <r>
      <rPr>
        <sz val="11"/>
        <color rgb="FF000000"/>
        <rFont val="Calibri"/>
        <family val="2"/>
        <charset val="238"/>
        <scheme val="minor"/>
      </rPr>
      <t>O loss in TSS test for HFO</t>
    </r>
  </si>
  <si>
    <t xml:space="preserve">Fraction of H2O loss in VSS test for HFO </t>
  </si>
  <si>
    <t>g P / g Me</t>
  </si>
  <si>
    <t>g MeOH / g Me</t>
  </si>
  <si>
    <t>g MeP / g Me</t>
  </si>
  <si>
    <r>
      <t>V</t>
    </r>
    <r>
      <rPr>
        <vertAlign val="subscript"/>
        <sz val="11"/>
        <rFont val="Calibri"/>
        <family val="2"/>
        <scheme val="minor"/>
      </rPr>
      <t>mol,N</t>
    </r>
  </si>
  <si>
    <t>Molar volume at normal conditions</t>
  </si>
  <si>
    <r>
      <t>Nm</t>
    </r>
    <r>
      <rPr>
        <vertAlign val="superscript"/>
        <sz val="11"/>
        <rFont val="Calibri"/>
        <family val="2"/>
        <scheme val="minor"/>
      </rPr>
      <t>3</t>
    </r>
    <r>
      <rPr>
        <sz val="11"/>
        <rFont val="Calibri"/>
        <family val="2"/>
        <scheme val="minor"/>
      </rPr>
      <t>.mol</t>
    </r>
  </si>
  <si>
    <r>
      <t>J.m</t>
    </r>
    <r>
      <rPr>
        <vertAlign val="superscript"/>
        <sz val="11"/>
        <rFont val="Calibri"/>
        <family val="2"/>
        <scheme val="minor"/>
      </rPr>
      <t>-3</t>
    </r>
  </si>
  <si>
    <r>
      <t>Molecular mass of Fe(OH)</t>
    </r>
    <r>
      <rPr>
        <vertAlign val="subscript"/>
        <sz val="11"/>
        <rFont val="Calibri"/>
        <family val="2"/>
        <scheme val="minor"/>
      </rPr>
      <t>3</t>
    </r>
  </si>
  <si>
    <r>
      <t>Molecular mass of Al(OH)</t>
    </r>
    <r>
      <rPr>
        <vertAlign val="subscript"/>
        <sz val="11"/>
        <rFont val="Calibri"/>
        <family val="2"/>
        <scheme val="minor"/>
      </rPr>
      <t>3</t>
    </r>
  </si>
  <si>
    <r>
      <t>MM</t>
    </r>
    <r>
      <rPr>
        <vertAlign val="subscript"/>
        <sz val="11"/>
        <rFont val="Calibri"/>
        <family val="2"/>
        <scheme val="minor"/>
      </rPr>
      <t>FeCl3</t>
    </r>
  </si>
  <si>
    <t>Molecular mass of FeCl3</t>
  </si>
  <si>
    <r>
      <t>MM</t>
    </r>
    <r>
      <rPr>
        <vertAlign val="subscript"/>
        <sz val="11"/>
        <rFont val="Calibri"/>
        <family val="2"/>
        <scheme val="minor"/>
      </rPr>
      <t>FeCl2</t>
    </r>
  </si>
  <si>
    <t>Molecular mass of FeCl2</t>
  </si>
  <si>
    <r>
      <t>MM</t>
    </r>
    <r>
      <rPr>
        <vertAlign val="subscript"/>
        <sz val="11"/>
        <rFont val="Calibri"/>
        <family val="2"/>
        <scheme val="minor"/>
      </rPr>
      <t>FeSO4</t>
    </r>
  </si>
  <si>
    <t>Molecular mass of FeSO4</t>
  </si>
  <si>
    <r>
      <t>MM</t>
    </r>
    <r>
      <rPr>
        <vertAlign val="subscript"/>
        <sz val="11"/>
        <rFont val="Calibri"/>
        <family val="2"/>
        <scheme val="minor"/>
      </rPr>
      <t>MgOH2</t>
    </r>
  </si>
  <si>
    <t>Molecular mass of Mg(OH)2</t>
  </si>
  <si>
    <r>
      <t>MM</t>
    </r>
    <r>
      <rPr>
        <vertAlign val="subscript"/>
        <sz val="11"/>
        <rFont val="Calibri"/>
        <family val="2"/>
        <scheme val="minor"/>
      </rPr>
      <t>Na2CO3</t>
    </r>
  </si>
  <si>
    <t>Molecular mass of Na2CO3</t>
  </si>
  <si>
    <r>
      <t>MM</t>
    </r>
    <r>
      <rPr>
        <vertAlign val="subscript"/>
        <sz val="11"/>
        <rFont val="Calibri"/>
        <family val="2"/>
        <scheme val="minor"/>
      </rPr>
      <t>NaHCO3</t>
    </r>
  </si>
  <si>
    <t>Molecular mass of NaHCO3</t>
  </si>
  <si>
    <t>Dissociation constant of water</t>
  </si>
  <si>
    <t>10^-13.997 NIST  (Minteq V4) 25°C</t>
  </si>
  <si>
    <t>Dissociation constant of ammonia</t>
  </si>
  <si>
    <t>10^-9.244 NIST  (Minteq V4) 25°C</t>
  </si>
  <si>
    <t>Dissociation constant of nitrous acid</t>
  </si>
  <si>
    <t>10^-3.35 (https://pubchem.ncbi.nlm.nih.gov/compound/24529#section=Experimental-Properties)</t>
  </si>
  <si>
    <t>Dissociation constant of carbonate first step</t>
  </si>
  <si>
    <t>10^-6.352 NIST  (Minteq V4) 25°C</t>
  </si>
  <si>
    <t>Dissociation constant of carbonate second step</t>
  </si>
  <si>
    <t>10^-10.329 NIST  (Minteq V4) 25°C</t>
  </si>
  <si>
    <t>Dissociation constant of phosphate first step</t>
  </si>
  <si>
    <t>10^-2.148 NIST  (Minteq V4) 25°C</t>
  </si>
  <si>
    <t>Dissociation constant of phosphate second step</t>
  </si>
  <si>
    <t>10^-7.198 NIST  (Minteq V4) 25°C</t>
  </si>
  <si>
    <t>Dissociation constant of phosphate third step</t>
  </si>
  <si>
    <t>10^-12.375 NIST  (Minteq V4) 25°C</t>
  </si>
  <si>
    <t>Dissociation constant of acetate</t>
  </si>
  <si>
    <t>10^-4.757 NIST  (Minteq V4) 25°C</t>
  </si>
  <si>
    <t>Dissociation constant of hydrogen sulfide</t>
  </si>
  <si>
    <t>NIST  (Minteq V4) 25°C</t>
  </si>
  <si>
    <t>Dissociation constant of bisulfide ion</t>
  </si>
  <si>
    <t>Dissociation constant of sulfuric acid</t>
  </si>
  <si>
    <t>Dissociation constant of bisulfate</t>
  </si>
  <si>
    <t>NIST (Minteq V4) 25°C</t>
  </si>
  <si>
    <t>Solubility constant of ACP</t>
  </si>
  <si>
    <t>Solubility constant of vivianite</t>
  </si>
  <si>
    <t>Solubility constant of FeS</t>
  </si>
  <si>
    <t>Solubility constant of HDP</t>
  </si>
  <si>
    <t>Solubility constant of MKP</t>
  </si>
  <si>
    <r>
      <t>λ</t>
    </r>
    <r>
      <rPr>
        <vertAlign val="subscript"/>
        <sz val="11"/>
        <rFont val="Calibri"/>
        <family val="2"/>
      </rPr>
      <t>H</t>
    </r>
  </si>
  <si>
    <t>Thermal conductivity coefficient</t>
  </si>
  <si>
    <t>BigReal</t>
  </si>
  <si>
    <r>
      <t>W.m</t>
    </r>
    <r>
      <rPr>
        <vertAlign val="superscript"/>
        <sz val="11"/>
        <rFont val="Calibri"/>
        <family val="2"/>
        <scheme val="minor"/>
      </rPr>
      <t>-1</t>
    </r>
    <r>
      <rPr>
        <sz val="11"/>
        <rFont val="Calibri"/>
        <family val="2"/>
        <scheme val="minor"/>
      </rPr>
      <t>.K</t>
    </r>
    <r>
      <rPr>
        <vertAlign val="superscript"/>
        <sz val="11"/>
        <rFont val="Calibri"/>
        <family val="2"/>
        <scheme val="minor"/>
      </rPr>
      <t>-1</t>
    </r>
  </si>
  <si>
    <t>https://en.wikipedia.org/wiki/List_of_thermal_conductivities</t>
  </si>
  <si>
    <r>
      <t>c</t>
    </r>
    <r>
      <rPr>
        <vertAlign val="subscript"/>
        <sz val="11"/>
        <rFont val="Calibri"/>
        <family val="2"/>
        <scheme val="minor"/>
      </rPr>
      <t>ms,d</t>
    </r>
  </si>
  <si>
    <t>Conversion coefficient between milliseconds and days</t>
  </si>
  <si>
    <r>
      <t>ms.d</t>
    </r>
    <r>
      <rPr>
        <vertAlign val="superscript"/>
        <sz val="11"/>
        <rFont val="Calibri"/>
        <family val="2"/>
        <scheme val="minor"/>
      </rPr>
      <t>-1</t>
    </r>
  </si>
  <si>
    <r>
      <t>c</t>
    </r>
    <r>
      <rPr>
        <vertAlign val="subscript"/>
        <sz val="11"/>
        <rFont val="Calibri"/>
        <family val="2"/>
        <scheme val="minor"/>
      </rPr>
      <t>ms,s</t>
    </r>
  </si>
  <si>
    <t>Conversion coefficient between milliseconds and seconds</t>
  </si>
  <si>
    <r>
      <t>ms.s</t>
    </r>
    <r>
      <rPr>
        <vertAlign val="superscript"/>
        <sz val="11"/>
        <rFont val="Calibri"/>
        <family val="2"/>
        <scheme val="minor"/>
      </rPr>
      <t>-1</t>
    </r>
  </si>
  <si>
    <r>
      <t>J.mol</t>
    </r>
    <r>
      <rPr>
        <vertAlign val="superscript"/>
        <sz val="11"/>
        <rFont val="Calibri"/>
        <family val="2"/>
        <scheme val="minor"/>
      </rPr>
      <t>-1</t>
    </r>
  </si>
  <si>
    <r>
      <t>(H</t>
    </r>
    <r>
      <rPr>
        <vertAlign val="subscript"/>
        <sz val="11"/>
        <rFont val="Calibri"/>
        <family val="2"/>
        <scheme val="minor"/>
      </rPr>
      <t>NH4p</t>
    </r>
    <r>
      <rPr>
        <sz val="11"/>
        <rFont val="Calibri"/>
        <family val="2"/>
        <scheme val="minor"/>
      </rPr>
      <t xml:space="preserve"> + H</t>
    </r>
    <r>
      <rPr>
        <vertAlign val="subscript"/>
        <sz val="11"/>
        <rFont val="Calibri"/>
        <family val="2"/>
        <scheme val="minor"/>
      </rPr>
      <t>OHm</t>
    </r>
    <r>
      <rPr>
        <sz val="11"/>
        <rFont val="Calibri"/>
        <family val="2"/>
        <scheme val="minor"/>
      </rPr>
      <t>) - (H</t>
    </r>
    <r>
      <rPr>
        <vertAlign val="subscript"/>
        <sz val="11"/>
        <rFont val="Calibri"/>
        <family val="2"/>
        <scheme val="minor"/>
      </rPr>
      <t>NH3</t>
    </r>
    <r>
      <rPr>
        <sz val="11"/>
        <rFont val="Calibri"/>
        <family val="2"/>
        <scheme val="minor"/>
      </rPr>
      <t xml:space="preserve"> + H</t>
    </r>
    <r>
      <rPr>
        <vertAlign val="subscript"/>
        <sz val="11"/>
        <rFont val="Calibri"/>
        <family val="2"/>
        <scheme val="minor"/>
      </rPr>
      <t>H2O</t>
    </r>
    <r>
      <rPr>
        <sz val="11"/>
        <rFont val="Calibri"/>
        <family val="2"/>
        <scheme val="minor"/>
      </rPr>
      <t>)</t>
    </r>
  </si>
  <si>
    <r>
      <t>dH</t>
    </r>
    <r>
      <rPr>
        <vertAlign val="subscript"/>
        <sz val="11"/>
        <rFont val="Calibri"/>
        <family val="2"/>
      </rPr>
      <t>diss,NO2</t>
    </r>
  </si>
  <si>
    <t>Standard enthalpy change of nitrite dissociation</t>
  </si>
  <si>
    <r>
      <t>(H</t>
    </r>
    <r>
      <rPr>
        <vertAlign val="subscript"/>
        <sz val="11"/>
        <rFont val="Calibri"/>
        <family val="2"/>
      </rPr>
      <t>H3Op</t>
    </r>
    <r>
      <rPr>
        <sz val="11"/>
        <rFont val="Calibri"/>
        <family val="2"/>
      </rPr>
      <t xml:space="preserve"> + H</t>
    </r>
    <r>
      <rPr>
        <vertAlign val="subscript"/>
        <sz val="11"/>
        <rFont val="Calibri"/>
        <family val="2"/>
      </rPr>
      <t>NO2m</t>
    </r>
    <r>
      <rPr>
        <sz val="11"/>
        <rFont val="Calibri"/>
        <family val="2"/>
      </rPr>
      <t>) - (H</t>
    </r>
    <r>
      <rPr>
        <vertAlign val="subscript"/>
        <sz val="11"/>
        <rFont val="Calibri"/>
        <family val="2"/>
      </rPr>
      <t>HNO2</t>
    </r>
    <r>
      <rPr>
        <sz val="11"/>
        <rFont val="Calibri"/>
        <family val="2"/>
      </rPr>
      <t xml:space="preserve"> + H</t>
    </r>
    <r>
      <rPr>
        <vertAlign val="subscript"/>
        <sz val="11"/>
        <rFont val="Calibri"/>
        <family val="2"/>
      </rPr>
      <t>H2O</t>
    </r>
    <r>
      <rPr>
        <sz val="11"/>
        <rFont val="Calibri"/>
        <family val="2"/>
      </rPr>
      <t>)</t>
    </r>
  </si>
  <si>
    <t>Diffusion coefficient of volatile fatty acids</t>
  </si>
  <si>
    <t>to be set accurately</t>
  </si>
  <si>
    <t>Diffusion coefficient of soluble degradable organics</t>
  </si>
  <si>
    <t>Diffusion coefficient of soluble degradable organics (monomers)</t>
  </si>
  <si>
    <t>Diffusion coefficient of soluble degradable organics (polymers)</t>
  </si>
  <si>
    <t>Diffusion coefficient of fermentable organic matter</t>
  </si>
  <si>
    <t>Diffusion coefficient of methanol</t>
  </si>
  <si>
    <t>Diffusion coefficient of soluble undegradable organics</t>
  </si>
  <si>
    <t>Diffusion coefficient of total ammonia</t>
  </si>
  <si>
    <t>Diffusivities from Perry, Handbook of Chemical Engineers, Table 2-372, for 25°C, as acetate</t>
  </si>
  <si>
    <t>Diffusion coefficient of ammonia</t>
  </si>
  <si>
    <t>Diffusitives from Perry, Handbook of Chemical Engineers, Table 2-372, for 25°C, as acetate</t>
  </si>
  <si>
    <t>Diffusion coefficient of nitrate and nitrite</t>
  </si>
  <si>
    <t>Diffusion coefficient of orthophosphate</t>
  </si>
  <si>
    <t>Diffusion coefficient of dissolved nitrogen gas</t>
  </si>
  <si>
    <t>Diffusitives from Perry, Handbook of Chemical Engineers, Table 2-372, for 25°C</t>
  </si>
  <si>
    <t>Diffusion coefficient of soluble inert organic nitrogen</t>
  </si>
  <si>
    <t>Assumed the same as SS</t>
  </si>
  <si>
    <t>Diffusion coefficient of soluble biodegradable organic nitrogen</t>
  </si>
  <si>
    <t>Diffusion coefficient of nitrite</t>
  </si>
  <si>
    <t>Diffusion coefficient of nitrate</t>
  </si>
  <si>
    <t>Diffusion coefficient of soluble biodegradable organic N</t>
  </si>
  <si>
    <t>Diffusion coefficient of soluble biodegradable organic P</t>
  </si>
  <si>
    <t>Diffusion coefficient of dissolved oxygen</t>
  </si>
  <si>
    <t>Diffusivities from Perry, Handbook of Chemical Engineers, Table 2-372, for 25°C</t>
  </si>
  <si>
    <t>Diffusion coefficient of dissolved methane</t>
  </si>
  <si>
    <t>Diffusion coefficient of dissolved hydrogen</t>
  </si>
  <si>
    <t>Diffusion coefficient of dissolved carbon dioxide</t>
  </si>
  <si>
    <t>Diffusion coefficient of dissolved potassium</t>
  </si>
  <si>
    <t>Diffusion coefficient of dissolved calcium</t>
  </si>
  <si>
    <t>Diffusion coefficient of dissolved magnesium</t>
  </si>
  <si>
    <t>Diffusion coefficient of dissolved strong cations</t>
  </si>
  <si>
    <t>Diffusion coefficient of dissolved strong anions</t>
  </si>
  <si>
    <t>Diffusion coefficient of hydrogen sulfide</t>
  </si>
  <si>
    <t>Diffusion coefficient of sulphate</t>
  </si>
  <si>
    <t>Diffusion coefficient of dissolved ferrous ion</t>
  </si>
  <si>
    <t>Diffusion coefficient of alkalinity</t>
  </si>
  <si>
    <t>Diffusion coefficient of Methyl Mercaptan production index</t>
  </si>
  <si>
    <t>Diffusion coefficient of colloidal biodegradable substrate</t>
  </si>
  <si>
    <t>Diffusion coefficient of colloidal unbiodegradable organics</t>
  </si>
  <si>
    <r>
      <t>Molecular mass of AlPO</t>
    </r>
    <r>
      <rPr>
        <vertAlign val="subscript"/>
        <sz val="11"/>
        <rFont val="Calibri"/>
        <family val="2"/>
        <scheme val="minor"/>
      </rPr>
      <t>4</t>
    </r>
  </si>
  <si>
    <r>
      <rPr>
        <sz val="11"/>
        <color indexed="8"/>
        <rFont val="Calibri"/>
        <family val="2"/>
        <scheme val="minor"/>
      </rPr>
      <t>Logsat</t>
    </r>
    <r>
      <rPr>
        <vertAlign val="subscript"/>
        <sz val="11"/>
        <rFont val="Calibri"/>
        <family val="2"/>
        <scheme val="minor"/>
      </rPr>
      <t>ORP,HFO,Slope</t>
    </r>
  </si>
  <si>
    <r>
      <t>Logsat</t>
    </r>
    <r>
      <rPr>
        <vertAlign val="subscript"/>
        <sz val="11"/>
        <rFont val="Calibri"/>
        <family val="2"/>
        <scheme val="minor"/>
      </rPr>
      <t>ORP,HFO,Half</t>
    </r>
  </si>
  <si>
    <t>Logistic half-saturation of ORP switching in HFO reduction</t>
  </si>
  <si>
    <t>Logistic slope of ORP switching in HFO reduction</t>
  </si>
  <si>
    <r>
      <t>Loginh</t>
    </r>
    <r>
      <rPr>
        <vertAlign val="subscript"/>
        <sz val="11"/>
        <rFont val="Calibri"/>
        <family val="2"/>
      </rPr>
      <t>ORP,HFO</t>
    </r>
  </si>
  <si>
    <t>ORP switch of HFO reduction</t>
  </si>
  <si>
    <t>MinStateVar</t>
  </si>
  <si>
    <t>MaxStateVar</t>
  </si>
  <si>
    <t>Separators</t>
  </si>
  <si>
    <t>Sumo 1</t>
  </si>
  <si>
    <r>
      <t>b</t>
    </r>
    <r>
      <rPr>
        <vertAlign val="subscript"/>
        <sz val="11"/>
        <rFont val="Calibri"/>
        <family val="2"/>
      </rPr>
      <t>OHO,T</t>
    </r>
    <r>
      <rPr>
        <sz val="11"/>
        <rFont val="Calibri"/>
        <family val="2"/>
      </rPr>
      <t>*X</t>
    </r>
    <r>
      <rPr>
        <vertAlign val="subscript"/>
        <sz val="11"/>
        <rFont val="Calibri"/>
        <family val="2"/>
      </rPr>
      <t>OHO</t>
    </r>
    <r>
      <rPr>
        <sz val="11"/>
        <rFont val="Calibri"/>
        <family val="2"/>
      </rPr>
      <t>*η</t>
    </r>
    <r>
      <rPr>
        <vertAlign val="subscript"/>
        <sz val="11"/>
        <rFont val="Calibri"/>
        <family val="2"/>
      </rPr>
      <t>b,ana</t>
    </r>
    <r>
      <rPr>
        <sz val="11"/>
        <rFont val="Calibri"/>
        <family val="2"/>
      </rPr>
      <t>*Minh</t>
    </r>
    <r>
      <rPr>
        <vertAlign val="subscript"/>
        <sz val="11"/>
        <rFont val="Calibri"/>
        <family val="2"/>
      </rPr>
      <t>SNOx,KNOx,OHO</t>
    </r>
    <r>
      <rPr>
        <sz val="11"/>
        <rFont val="Calibri"/>
        <family val="2"/>
      </rPr>
      <t>*Minh</t>
    </r>
    <r>
      <rPr>
        <vertAlign val="subscript"/>
        <sz val="11"/>
        <rFont val="Calibri"/>
        <family val="2"/>
      </rPr>
      <t>SO2,KO2,OHO</t>
    </r>
  </si>
  <si>
    <r>
      <t>g VSS.g TSS</t>
    </r>
    <r>
      <rPr>
        <vertAlign val="superscript"/>
        <sz val="11"/>
        <rFont val="Calibri"/>
        <family val="2"/>
        <charset val="238"/>
        <scheme val="minor"/>
      </rPr>
      <t>-1</t>
    </r>
  </si>
  <si>
    <r>
      <t>d</t>
    </r>
    <r>
      <rPr>
        <vertAlign val="superscript"/>
        <sz val="11"/>
        <color theme="1"/>
        <rFont val="Calibri"/>
        <family val="2"/>
        <charset val="238"/>
        <scheme val="minor"/>
      </rPr>
      <t>-1</t>
    </r>
  </si>
  <si>
    <r>
      <t>m.d</t>
    </r>
    <r>
      <rPr>
        <vertAlign val="superscript"/>
        <sz val="11"/>
        <rFont val="Calibri"/>
        <family val="2"/>
        <scheme val="minor"/>
      </rPr>
      <t>-1</t>
    </r>
  </si>
  <si>
    <r>
      <t>d</t>
    </r>
    <r>
      <rPr>
        <vertAlign val="superscript"/>
        <sz val="11"/>
        <rFont val="Calibri"/>
        <family val="2"/>
        <charset val="238"/>
      </rPr>
      <t>-1</t>
    </r>
  </si>
  <si>
    <t>H2S mass transfer coefficient for gas bubbles from PU code</t>
  </si>
  <si>
    <t>O2 mass transfer coefficient for gas bubbles from PU code</t>
  </si>
  <si>
    <t>CO2 mass transfer coefficient for gas bubbles from PU code</t>
  </si>
  <si>
    <t>CH4 mass transfer coefficient for gas bubbles from PU code</t>
  </si>
  <si>
    <t>H2 mass transfer coefficient for gas bubbles from PU code</t>
  </si>
  <si>
    <t>NH3 mass transfer coefficient for gas bubbles from PU code</t>
  </si>
  <si>
    <t>N2 mass transfer coefficient for gas bubbles from PU code</t>
  </si>
  <si>
    <t>H2S saturation concentration at gas bubble interface</t>
  </si>
  <si>
    <t>H2S saturation concentration at atmospheric interface</t>
  </si>
  <si>
    <t>O2 saturation concentration at gas bubble interface</t>
  </si>
  <si>
    <t>O2 saturation concentration at atmospheric interface</t>
  </si>
  <si>
    <t>CO2 saturation concentration at gas bubble interface</t>
  </si>
  <si>
    <t>CO2 saturation concentration at atmospheric interface</t>
  </si>
  <si>
    <t>CH4 saturation concentration at gas bubble interface</t>
  </si>
  <si>
    <t>CH4 saturation concentration at atmospheric interface</t>
  </si>
  <si>
    <t>H2 saturation concentration at gas bubble interface</t>
  </si>
  <si>
    <t>H2 saturation concentration at atmospheric interface</t>
  </si>
  <si>
    <t>NH3 saturation concentration at gas bubble interface</t>
  </si>
  <si>
    <t>NH3 saturation concentration at atmospheric interface</t>
  </si>
  <si>
    <t>N2 saturation concentration at gas bubble interface</t>
  </si>
  <si>
    <t>N2 saturation concentration at atmospheric interface</t>
  </si>
  <si>
    <t>H2S mass transfer coefficient at liquid surface from PU code</t>
  </si>
  <si>
    <t>O2 mass transfer coefficient at liquid surface from PU code</t>
  </si>
  <si>
    <t>CO2 mass transfer coefficient at liquid surface from PU code</t>
  </si>
  <si>
    <t>CH4 mass transfer coefficient at liquid surface from PU code</t>
  </si>
  <si>
    <t>H2 mass transfer coefficient at liquid surface from PU code</t>
  </si>
  <si>
    <t>NH3 mass transfer coefficient at liquid surface from PU code</t>
  </si>
  <si>
    <t>N2 mass transfer coefficient at liquid surface from PU code</t>
  </si>
  <si>
    <t>Used to compensate for the high solubility of NH3 gas</t>
  </si>
  <si>
    <r>
      <t>f</t>
    </r>
    <r>
      <rPr>
        <vertAlign val="subscript"/>
        <sz val="11"/>
        <rFont val="Calibri"/>
        <family val="2"/>
        <scheme val="minor"/>
      </rPr>
      <t>kL,GN2</t>
    </r>
  </si>
  <si>
    <r>
      <t>f</t>
    </r>
    <r>
      <rPr>
        <vertAlign val="subscript"/>
        <sz val="11"/>
        <rFont val="Calibri"/>
        <family val="2"/>
        <scheme val="minor"/>
      </rPr>
      <t>kL,GCO2</t>
    </r>
  </si>
  <si>
    <r>
      <t>f</t>
    </r>
    <r>
      <rPr>
        <vertAlign val="subscript"/>
        <sz val="11"/>
        <rFont val="Calibri"/>
        <family val="2"/>
        <scheme val="minor"/>
      </rPr>
      <t>kL,GCH4</t>
    </r>
  </si>
  <si>
    <r>
      <t>f</t>
    </r>
    <r>
      <rPr>
        <vertAlign val="subscript"/>
        <sz val="11"/>
        <rFont val="Calibri"/>
        <family val="2"/>
        <scheme val="minor"/>
      </rPr>
      <t>kL,GH2</t>
    </r>
  </si>
  <si>
    <r>
      <t>f</t>
    </r>
    <r>
      <rPr>
        <vertAlign val="subscript"/>
        <sz val="11"/>
        <rFont val="Calibri"/>
        <family val="2"/>
        <scheme val="minor"/>
      </rPr>
      <t>kL,GNH3</t>
    </r>
  </si>
  <si>
    <t>r71</t>
  </si>
  <si>
    <t>r72</t>
  </si>
  <si>
    <t>r73</t>
  </si>
  <si>
    <t>r74</t>
  </si>
  <si>
    <t>r75</t>
  </si>
  <si>
    <t>r76</t>
  </si>
  <si>
    <t>Carbon dioxide gas transfer - bubbles</t>
  </si>
  <si>
    <t>Methane gas transfer - bubbles</t>
  </si>
  <si>
    <t>Hydrogen gas transfer - bubbles</t>
  </si>
  <si>
    <t>Oxygen gas transfer - bubbles</t>
  </si>
  <si>
    <t>Ammonia absorption - bubbles</t>
  </si>
  <si>
    <t>Nitrogen gas transfer - bubbles</t>
  </si>
  <si>
    <t>Carbon dioxide gas transfer - surface</t>
  </si>
  <si>
    <t>Methane gas transfer - surface</t>
  </si>
  <si>
    <t>Hydrogen gas transfer - surface</t>
  </si>
  <si>
    <t>Oxygen gas transfer - surface</t>
  </si>
  <si>
    <t>Ammonia absorption - surface</t>
  </si>
  <si>
    <t>Nitrogen gas transfer - surface</t>
  </si>
  <si>
    <r>
      <t>Gas transfer rate for CO</t>
    </r>
    <r>
      <rPr>
        <vertAlign val="subscript"/>
        <sz val="11"/>
        <color rgb="FF000000"/>
        <rFont val="Calibri"/>
        <family val="2"/>
        <scheme val="minor"/>
      </rPr>
      <t>2</t>
    </r>
    <r>
      <rPr>
        <sz val="11"/>
        <color rgb="FF000000"/>
        <rFont val="Calibri"/>
        <family val="2"/>
        <charset val="238"/>
        <scheme val="minor"/>
      </rPr>
      <t xml:space="preserve"> - bubbles</t>
    </r>
  </si>
  <si>
    <r>
      <t>Gas transfer rate for CO</t>
    </r>
    <r>
      <rPr>
        <vertAlign val="subscript"/>
        <sz val="11"/>
        <color rgb="FF000000"/>
        <rFont val="Calibri"/>
        <family val="2"/>
        <scheme val="minor"/>
      </rPr>
      <t>2</t>
    </r>
    <r>
      <rPr>
        <sz val="11"/>
        <color rgb="FF000000"/>
        <rFont val="Calibri"/>
        <family val="2"/>
        <charset val="238"/>
        <scheme val="minor"/>
      </rPr>
      <t xml:space="preserve"> - surface</t>
    </r>
  </si>
  <si>
    <r>
      <t>Gas transfer rate for NH</t>
    </r>
    <r>
      <rPr>
        <vertAlign val="subscript"/>
        <sz val="11"/>
        <color rgb="FF000000"/>
        <rFont val="Calibri"/>
        <family val="2"/>
        <scheme val="minor"/>
      </rPr>
      <t>3</t>
    </r>
    <r>
      <rPr>
        <sz val="11"/>
        <color rgb="FF000000"/>
        <rFont val="Calibri"/>
        <family val="2"/>
        <charset val="238"/>
        <scheme val="minor"/>
      </rPr>
      <t xml:space="preserve"> - bubbles</t>
    </r>
  </si>
  <si>
    <r>
      <t>Gas transfer rate for NH</t>
    </r>
    <r>
      <rPr>
        <vertAlign val="subscript"/>
        <sz val="11"/>
        <color rgb="FF000000"/>
        <rFont val="Calibri"/>
        <family val="2"/>
        <scheme val="minor"/>
      </rPr>
      <t>3</t>
    </r>
    <r>
      <rPr>
        <sz val="11"/>
        <color rgb="FF000000"/>
        <rFont val="Calibri"/>
        <family val="2"/>
        <charset val="238"/>
        <scheme val="minor"/>
      </rPr>
      <t xml:space="preserve"> - surface</t>
    </r>
  </si>
  <si>
    <r>
      <t>Carbon dioxide gas (CO</t>
    </r>
    <r>
      <rPr>
        <vertAlign val="subscript"/>
        <sz val="11"/>
        <rFont val="Calibri"/>
        <family val="2"/>
      </rPr>
      <t>2</t>
    </r>
    <r>
      <rPr>
        <sz val="11"/>
        <rFont val="Calibri"/>
        <family val="2"/>
      </rPr>
      <t>)</t>
    </r>
  </si>
  <si>
    <r>
      <t>Methane gas (CH</t>
    </r>
    <r>
      <rPr>
        <vertAlign val="subscript"/>
        <sz val="11"/>
        <color rgb="FF000000"/>
        <rFont val="Calibri"/>
        <family val="2"/>
        <scheme val="minor"/>
      </rPr>
      <t>4</t>
    </r>
    <r>
      <rPr>
        <sz val="11"/>
        <color rgb="FF000000"/>
        <rFont val="Calibri"/>
        <family val="2"/>
        <charset val="238"/>
        <scheme val="minor"/>
      </rPr>
      <t>)</t>
    </r>
  </si>
  <si>
    <r>
      <t>Hydrogen gas (H</t>
    </r>
    <r>
      <rPr>
        <vertAlign val="subscript"/>
        <sz val="11"/>
        <color rgb="FF000000"/>
        <rFont val="Calibri"/>
        <family val="2"/>
        <scheme val="minor"/>
      </rPr>
      <t>2</t>
    </r>
    <r>
      <rPr>
        <sz val="11"/>
        <color rgb="FF000000"/>
        <rFont val="Calibri"/>
        <family val="2"/>
        <charset val="238"/>
        <scheme val="minor"/>
      </rPr>
      <t>)</t>
    </r>
  </si>
  <si>
    <r>
      <t>Oxygen gas (O</t>
    </r>
    <r>
      <rPr>
        <vertAlign val="subscript"/>
        <sz val="11"/>
        <color rgb="FF000000"/>
        <rFont val="Calibri"/>
        <family val="2"/>
        <scheme val="minor"/>
      </rPr>
      <t>2</t>
    </r>
    <r>
      <rPr>
        <sz val="11"/>
        <color rgb="FF000000"/>
        <rFont val="Calibri"/>
        <family val="2"/>
        <charset val="238"/>
        <scheme val="minor"/>
      </rPr>
      <t>)</t>
    </r>
  </si>
  <si>
    <r>
      <t>Ammonia gas (NH</t>
    </r>
    <r>
      <rPr>
        <vertAlign val="subscript"/>
        <sz val="11"/>
        <rFont val="Calibri"/>
        <family val="2"/>
      </rPr>
      <t>3</t>
    </r>
    <r>
      <rPr>
        <sz val="11"/>
        <rFont val="Calibri"/>
        <family val="2"/>
      </rPr>
      <t>)</t>
    </r>
  </si>
  <si>
    <r>
      <t>Nitrogen gas (N</t>
    </r>
    <r>
      <rPr>
        <vertAlign val="subscript"/>
        <sz val="11"/>
        <color rgb="FF000000"/>
        <rFont val="Calibri"/>
        <family val="2"/>
        <scheme val="minor"/>
      </rPr>
      <t>2</t>
    </r>
    <r>
      <rPr>
        <sz val="11"/>
        <color rgb="FF000000"/>
        <rFont val="Calibri"/>
        <family val="2"/>
        <charset val="238"/>
        <scheme val="minor"/>
      </rPr>
      <t>)</t>
    </r>
  </si>
  <si>
    <r>
      <t>g O</t>
    </r>
    <r>
      <rPr>
        <vertAlign val="subscript"/>
        <sz val="11"/>
        <color theme="1"/>
        <rFont val="Calibri"/>
        <family val="2"/>
        <scheme val="minor"/>
      </rPr>
      <t>2</t>
    </r>
    <r>
      <rPr>
        <sz val="11"/>
        <color theme="1"/>
        <rFont val="Calibri"/>
        <family val="2"/>
        <scheme val="minor"/>
      </rPr>
      <t>.m</t>
    </r>
    <r>
      <rPr>
        <vertAlign val="superscript"/>
        <sz val="11"/>
        <color theme="1"/>
        <rFont val="Calibri"/>
        <family val="2"/>
        <scheme val="minor"/>
      </rPr>
      <t>-3</t>
    </r>
  </si>
  <si>
    <r>
      <t>g TIC</t>
    </r>
    <r>
      <rPr>
        <sz val="11"/>
        <color theme="1"/>
        <rFont val="Calibri"/>
        <family val="2"/>
        <charset val="238"/>
        <scheme val="minor"/>
      </rPr>
      <t>.</t>
    </r>
    <r>
      <rPr>
        <sz val="11"/>
        <color theme="1"/>
        <rFont val="Calibri"/>
        <family val="2"/>
        <scheme val="minor"/>
      </rPr>
      <t>m</t>
    </r>
    <r>
      <rPr>
        <vertAlign val="superscript"/>
        <sz val="11"/>
        <color theme="1"/>
        <rFont val="Calibri"/>
        <family val="2"/>
        <scheme val="minor"/>
      </rPr>
      <t>-3</t>
    </r>
  </si>
  <si>
    <r>
      <t>g COD.m</t>
    </r>
    <r>
      <rPr>
        <vertAlign val="superscript"/>
        <sz val="11"/>
        <color theme="1"/>
        <rFont val="Calibri"/>
        <family val="2"/>
        <scheme val="minor"/>
      </rPr>
      <t>-3</t>
    </r>
  </si>
  <si>
    <r>
      <t>g N.m</t>
    </r>
    <r>
      <rPr>
        <vertAlign val="superscript"/>
        <sz val="11"/>
        <color theme="1"/>
        <rFont val="Calibri"/>
        <family val="2"/>
        <scheme val="minor"/>
      </rPr>
      <t>-3</t>
    </r>
  </si>
  <si>
    <r>
      <t>g N</t>
    </r>
    <r>
      <rPr>
        <sz val="11"/>
        <color theme="1"/>
        <rFont val="Calibri"/>
        <family val="2"/>
        <scheme val="minor"/>
      </rPr>
      <t>.m</t>
    </r>
    <r>
      <rPr>
        <vertAlign val="superscript"/>
        <sz val="11"/>
        <color theme="1"/>
        <rFont val="Calibri"/>
        <family val="2"/>
        <scheme val="minor"/>
      </rPr>
      <t>-3</t>
    </r>
  </si>
  <si>
    <t>1</t>
  </si>
  <si>
    <r>
      <t>-EEQ</t>
    </r>
    <r>
      <rPr>
        <vertAlign val="subscript"/>
        <sz val="11"/>
        <rFont val="Calibri"/>
        <family val="2"/>
      </rPr>
      <t>N2</t>
    </r>
  </si>
  <si>
    <t>The sign conventions used in gas transfer equations are based on the simple consideration</t>
  </si>
  <si>
    <t>Consequently, the stoichiometric coefficient of G.SVs is negative, and it is positive for</t>
  </si>
  <si>
    <t>the matching L.SVs.</t>
  </si>
  <si>
    <r>
      <t>therefore r</t>
    </r>
    <r>
      <rPr>
        <vertAlign val="subscript"/>
        <sz val="11"/>
        <color indexed="8"/>
        <rFont val="Calibri"/>
        <family val="2"/>
      </rPr>
      <t>transfer,G.SV</t>
    </r>
    <r>
      <rPr>
        <sz val="11"/>
        <color indexed="8"/>
        <rFont val="Calibri"/>
        <family val="2"/>
      </rPr>
      <t xml:space="preserve"> &lt; 0, and all expressions have their proper signs without adjusting anything.</t>
    </r>
  </si>
  <si>
    <t>Gas transfer sign conventions</t>
  </si>
  <si>
    <r>
      <t>above: when G.SV</t>
    </r>
    <r>
      <rPr>
        <vertAlign val="subscript"/>
        <sz val="11"/>
        <color indexed="8"/>
        <rFont val="Calibri"/>
        <family val="2"/>
      </rPr>
      <t>sat,eq</t>
    </r>
    <r>
      <rPr>
        <sz val="11"/>
        <color indexed="8"/>
        <rFont val="Calibri"/>
        <family val="2"/>
      </rPr>
      <t xml:space="preserve"> &gt; L.SV then there is mass transfer from gas to the liquid phase.</t>
    </r>
  </si>
  <si>
    <r>
      <t>If the transfer happens to take place to the opposite direction, then G.SV</t>
    </r>
    <r>
      <rPr>
        <vertAlign val="subscript"/>
        <sz val="11"/>
        <color indexed="8"/>
        <rFont val="Calibri"/>
        <family val="2"/>
      </rPr>
      <t>sat,eq</t>
    </r>
    <r>
      <rPr>
        <sz val="11"/>
        <color indexed="8"/>
        <rFont val="Calibri"/>
        <family val="2"/>
      </rPr>
      <t xml:space="preserve"> &lt; L.SV,</t>
    </r>
  </si>
  <si>
    <t>%v/v</t>
  </si>
  <si>
    <r>
      <t>k</t>
    </r>
    <r>
      <rPr>
        <vertAlign val="subscript"/>
        <sz val="11"/>
        <rFont val="Calibri"/>
        <family val="2"/>
        <scheme val="minor"/>
      </rPr>
      <t>transfer,GNH3,bub</t>
    </r>
  </si>
  <si>
    <r>
      <t>k</t>
    </r>
    <r>
      <rPr>
        <vertAlign val="subscript"/>
        <sz val="11"/>
        <rFont val="Calibri"/>
        <family val="2"/>
        <scheme val="minor"/>
      </rPr>
      <t>transfer,GCO2,bub</t>
    </r>
  </si>
  <si>
    <r>
      <t>k</t>
    </r>
    <r>
      <rPr>
        <vertAlign val="subscript"/>
        <sz val="11"/>
        <rFont val="Calibri"/>
        <family val="2"/>
        <scheme val="minor"/>
      </rPr>
      <t>transfer,GCO2,sur</t>
    </r>
  </si>
  <si>
    <r>
      <t>k</t>
    </r>
    <r>
      <rPr>
        <vertAlign val="subscript"/>
        <sz val="11"/>
        <rFont val="Calibri"/>
        <family val="2"/>
        <scheme val="minor"/>
      </rPr>
      <t>transfer,GNH3,sur</t>
    </r>
  </si>
  <si>
    <t>Balancing</t>
  </si>
  <si>
    <r>
      <t>G</t>
    </r>
    <r>
      <rPr>
        <b/>
        <vertAlign val="subscript"/>
        <sz val="11"/>
        <rFont val="Calibri"/>
        <family val="2"/>
      </rPr>
      <t>CO2,atm</t>
    </r>
  </si>
  <si>
    <r>
      <t>G</t>
    </r>
    <r>
      <rPr>
        <b/>
        <vertAlign val="subscript"/>
        <sz val="11"/>
        <rFont val="Calibri"/>
        <family val="2"/>
      </rPr>
      <t>CH4,atm</t>
    </r>
  </si>
  <si>
    <r>
      <t>G</t>
    </r>
    <r>
      <rPr>
        <b/>
        <vertAlign val="subscript"/>
        <sz val="11"/>
        <rFont val="Calibri"/>
        <family val="2"/>
      </rPr>
      <t>H2,atm</t>
    </r>
  </si>
  <si>
    <r>
      <t>G</t>
    </r>
    <r>
      <rPr>
        <b/>
        <vertAlign val="subscript"/>
        <sz val="11"/>
        <rFont val="Calibri"/>
        <family val="2"/>
      </rPr>
      <t>O2,atm</t>
    </r>
  </si>
  <si>
    <r>
      <t>G</t>
    </r>
    <r>
      <rPr>
        <b/>
        <vertAlign val="subscript"/>
        <sz val="11"/>
        <rFont val="Calibri"/>
        <family val="2"/>
      </rPr>
      <t>NH3,atm</t>
    </r>
  </si>
  <si>
    <r>
      <t>G</t>
    </r>
    <r>
      <rPr>
        <b/>
        <vertAlign val="subscript"/>
        <sz val="11"/>
        <rFont val="Calibri"/>
        <family val="2"/>
      </rPr>
      <t>N2,atm</t>
    </r>
  </si>
  <si>
    <r>
      <t>k</t>
    </r>
    <r>
      <rPr>
        <vertAlign val="subscript"/>
        <sz val="11"/>
        <rFont val="Calibri"/>
        <family val="2"/>
      </rPr>
      <t>L</t>
    </r>
    <r>
      <rPr>
        <sz val="11"/>
        <rFont val="Calibri"/>
        <family val="2"/>
      </rPr>
      <t>a</t>
    </r>
    <r>
      <rPr>
        <vertAlign val="subscript"/>
        <sz val="11"/>
        <rFont val="Calibri"/>
        <family val="2"/>
      </rPr>
      <t>GO2,bub</t>
    </r>
    <r>
      <rPr>
        <sz val="11"/>
        <rFont val="Calibri"/>
        <family val="2"/>
      </rPr>
      <t>*(S</t>
    </r>
    <r>
      <rPr>
        <vertAlign val="subscript"/>
        <sz val="11"/>
        <rFont val="Calibri"/>
        <family val="2"/>
        <charset val="238"/>
      </rPr>
      <t>G</t>
    </r>
    <r>
      <rPr>
        <vertAlign val="subscript"/>
        <sz val="11"/>
        <rFont val="Calibri"/>
        <family val="2"/>
      </rPr>
      <t xml:space="preserve">O2,bub,sat </t>
    </r>
    <r>
      <rPr>
        <sz val="11"/>
        <rFont val="Calibri"/>
        <family val="2"/>
      </rPr>
      <t>- S</t>
    </r>
    <r>
      <rPr>
        <vertAlign val="subscript"/>
        <sz val="11"/>
        <rFont val="Calibri"/>
        <family val="2"/>
      </rPr>
      <t>O2</t>
    </r>
    <r>
      <rPr>
        <sz val="11"/>
        <rFont val="Calibri"/>
        <family val="2"/>
      </rPr>
      <t>)</t>
    </r>
  </si>
  <si>
    <r>
      <t>k</t>
    </r>
    <r>
      <rPr>
        <vertAlign val="subscript"/>
        <sz val="11"/>
        <rFont val="Calibri"/>
        <family val="2"/>
        <scheme val="minor"/>
      </rPr>
      <t>L</t>
    </r>
    <r>
      <rPr>
        <sz val="11"/>
        <rFont val="Calibri"/>
        <family val="2"/>
        <scheme val="minor"/>
      </rPr>
      <t>a</t>
    </r>
    <r>
      <rPr>
        <vertAlign val="subscript"/>
        <sz val="11"/>
        <rFont val="Calibri"/>
        <family val="2"/>
        <charset val="238"/>
        <scheme val="minor"/>
      </rPr>
      <t>G</t>
    </r>
    <r>
      <rPr>
        <vertAlign val="subscript"/>
        <sz val="11"/>
        <rFont val="Calibri"/>
        <family val="2"/>
        <scheme val="minor"/>
      </rPr>
      <t>N2,bub</t>
    </r>
    <r>
      <rPr>
        <sz val="11"/>
        <rFont val="Calibri"/>
        <family val="2"/>
        <scheme val="minor"/>
      </rPr>
      <t>*(S</t>
    </r>
    <r>
      <rPr>
        <vertAlign val="subscript"/>
        <sz val="11"/>
        <rFont val="Calibri"/>
        <family val="2"/>
        <charset val="238"/>
        <scheme val="minor"/>
      </rPr>
      <t>G</t>
    </r>
    <r>
      <rPr>
        <vertAlign val="subscript"/>
        <sz val="11"/>
        <rFont val="Calibri"/>
        <family val="2"/>
        <scheme val="minor"/>
      </rPr>
      <t xml:space="preserve">N2,bub,sat </t>
    </r>
    <r>
      <rPr>
        <sz val="11"/>
        <rFont val="Calibri"/>
        <family val="2"/>
        <scheme val="minor"/>
      </rPr>
      <t>- S</t>
    </r>
    <r>
      <rPr>
        <vertAlign val="subscript"/>
        <sz val="11"/>
        <rFont val="Calibri"/>
        <family val="2"/>
        <scheme val="minor"/>
      </rPr>
      <t>N2</t>
    </r>
    <r>
      <rPr>
        <sz val="11"/>
        <rFont val="Calibri"/>
        <family val="2"/>
        <scheme val="minor"/>
      </rPr>
      <t>)</t>
    </r>
  </si>
  <si>
    <r>
      <t>k</t>
    </r>
    <r>
      <rPr>
        <vertAlign val="subscript"/>
        <sz val="11"/>
        <rFont val="Calibri"/>
        <family val="2"/>
      </rPr>
      <t>L</t>
    </r>
    <r>
      <rPr>
        <sz val="11"/>
        <rFont val="Calibri"/>
        <family val="2"/>
      </rPr>
      <t>a</t>
    </r>
    <r>
      <rPr>
        <vertAlign val="subscript"/>
        <sz val="11"/>
        <rFont val="Calibri"/>
        <family val="2"/>
      </rPr>
      <t>GCH4,sur</t>
    </r>
    <r>
      <rPr>
        <sz val="11"/>
        <rFont val="Calibri"/>
        <family val="2"/>
      </rPr>
      <t>*(S</t>
    </r>
    <r>
      <rPr>
        <vertAlign val="subscript"/>
        <sz val="11"/>
        <rFont val="Calibri"/>
        <family val="2"/>
      </rPr>
      <t>GCH4,sur,sat</t>
    </r>
    <r>
      <rPr>
        <sz val="11"/>
        <rFont val="Calibri"/>
        <family val="2"/>
      </rPr>
      <t xml:space="preserve"> - S</t>
    </r>
    <r>
      <rPr>
        <vertAlign val="subscript"/>
        <sz val="11"/>
        <rFont val="Calibri"/>
        <family val="2"/>
      </rPr>
      <t>CH4</t>
    </r>
    <r>
      <rPr>
        <sz val="11"/>
        <rFont val="Calibri"/>
        <family val="2"/>
      </rPr>
      <t>)</t>
    </r>
  </si>
  <si>
    <r>
      <t>k</t>
    </r>
    <r>
      <rPr>
        <vertAlign val="subscript"/>
        <sz val="11"/>
        <rFont val="Calibri"/>
        <family val="2"/>
      </rPr>
      <t>L</t>
    </r>
    <r>
      <rPr>
        <sz val="11"/>
        <rFont val="Calibri"/>
        <family val="2"/>
      </rPr>
      <t>a</t>
    </r>
    <r>
      <rPr>
        <vertAlign val="subscript"/>
        <sz val="11"/>
        <rFont val="Calibri"/>
        <family val="2"/>
      </rPr>
      <t>GO2,sur</t>
    </r>
    <r>
      <rPr>
        <sz val="11"/>
        <rFont val="Calibri"/>
        <family val="2"/>
      </rPr>
      <t>*(S</t>
    </r>
    <r>
      <rPr>
        <vertAlign val="subscript"/>
        <sz val="11"/>
        <rFont val="Calibri"/>
        <family val="2"/>
      </rPr>
      <t>GO2,sur,sat</t>
    </r>
    <r>
      <rPr>
        <sz val="11"/>
        <rFont val="Calibri"/>
        <family val="2"/>
      </rPr>
      <t xml:space="preserve"> - S</t>
    </r>
    <r>
      <rPr>
        <vertAlign val="subscript"/>
        <sz val="11"/>
        <rFont val="Calibri"/>
        <family val="2"/>
      </rPr>
      <t>O2</t>
    </r>
    <r>
      <rPr>
        <sz val="11"/>
        <rFont val="Calibri"/>
        <family val="2"/>
      </rPr>
      <t>)</t>
    </r>
  </si>
  <si>
    <r>
      <t>k</t>
    </r>
    <r>
      <rPr>
        <vertAlign val="subscript"/>
        <sz val="11"/>
        <rFont val="Calibri"/>
        <family val="2"/>
      </rPr>
      <t>L</t>
    </r>
    <r>
      <rPr>
        <sz val="11"/>
        <rFont val="Calibri"/>
        <family val="2"/>
      </rPr>
      <t>a</t>
    </r>
    <r>
      <rPr>
        <vertAlign val="subscript"/>
        <sz val="11"/>
        <rFont val="Calibri"/>
        <family val="2"/>
      </rPr>
      <t>GN2,sur</t>
    </r>
    <r>
      <rPr>
        <sz val="11"/>
        <rFont val="Calibri"/>
        <family val="2"/>
      </rPr>
      <t>*(S</t>
    </r>
    <r>
      <rPr>
        <vertAlign val="subscript"/>
        <sz val="11"/>
        <rFont val="Calibri"/>
        <family val="2"/>
      </rPr>
      <t>GN2,sur,sat</t>
    </r>
    <r>
      <rPr>
        <sz val="11"/>
        <rFont val="Calibri"/>
        <family val="2"/>
      </rPr>
      <t xml:space="preserve"> - S</t>
    </r>
    <r>
      <rPr>
        <vertAlign val="subscript"/>
        <sz val="11"/>
        <rFont val="Calibri"/>
        <family val="2"/>
      </rPr>
      <t>N2</t>
    </r>
    <r>
      <rPr>
        <sz val="11"/>
        <rFont val="Calibri"/>
        <family val="2"/>
      </rPr>
      <t>)</t>
    </r>
  </si>
  <si>
    <r>
      <t>k</t>
    </r>
    <r>
      <rPr>
        <vertAlign val="subscript"/>
        <sz val="11"/>
        <rFont val="Calibri"/>
        <family val="2"/>
        <scheme val="minor"/>
      </rPr>
      <t>L</t>
    </r>
    <r>
      <rPr>
        <sz val="11"/>
        <rFont val="Calibri"/>
        <family val="2"/>
        <scheme val="minor"/>
      </rPr>
      <t>a</t>
    </r>
    <r>
      <rPr>
        <vertAlign val="subscript"/>
        <sz val="11"/>
        <rFont val="Calibri"/>
        <family val="2"/>
        <charset val="238"/>
        <scheme val="minor"/>
      </rPr>
      <t>G</t>
    </r>
    <r>
      <rPr>
        <vertAlign val="subscript"/>
        <sz val="11"/>
        <rFont val="Calibri"/>
        <family val="2"/>
        <scheme val="minor"/>
      </rPr>
      <t>CH4,bub</t>
    </r>
    <r>
      <rPr>
        <sz val="11"/>
        <rFont val="Calibri"/>
        <family val="2"/>
        <scheme val="minor"/>
      </rPr>
      <t>*(S</t>
    </r>
    <r>
      <rPr>
        <vertAlign val="subscript"/>
        <sz val="11"/>
        <rFont val="Calibri"/>
        <family val="2"/>
        <charset val="238"/>
        <scheme val="minor"/>
      </rPr>
      <t>G</t>
    </r>
    <r>
      <rPr>
        <vertAlign val="subscript"/>
        <sz val="11"/>
        <rFont val="Calibri"/>
        <family val="2"/>
        <scheme val="minor"/>
      </rPr>
      <t xml:space="preserve">CH4,bub,sat </t>
    </r>
    <r>
      <rPr>
        <sz val="11"/>
        <rFont val="Calibri"/>
        <family val="2"/>
        <scheme val="minor"/>
      </rPr>
      <t>- S</t>
    </r>
    <r>
      <rPr>
        <vertAlign val="subscript"/>
        <sz val="11"/>
        <rFont val="Calibri"/>
        <family val="2"/>
        <scheme val="minor"/>
      </rPr>
      <t>CH4</t>
    </r>
    <r>
      <rPr>
        <sz val="11"/>
        <rFont val="Calibri"/>
        <family val="2"/>
        <scheme val="minor"/>
      </rPr>
      <t>)</t>
    </r>
  </si>
  <si>
    <r>
      <t>k</t>
    </r>
    <r>
      <rPr>
        <vertAlign val="subscript"/>
        <sz val="11"/>
        <rFont val="Calibri"/>
        <family val="2"/>
        <scheme val="minor"/>
      </rPr>
      <t>L</t>
    </r>
    <r>
      <rPr>
        <sz val="11"/>
        <rFont val="Calibri"/>
        <family val="2"/>
        <scheme val="minor"/>
      </rPr>
      <t>a</t>
    </r>
    <r>
      <rPr>
        <vertAlign val="subscript"/>
        <sz val="11"/>
        <rFont val="Calibri"/>
        <family val="2"/>
        <charset val="238"/>
        <scheme val="minor"/>
      </rPr>
      <t>GH2</t>
    </r>
    <r>
      <rPr>
        <vertAlign val="subscript"/>
        <sz val="11"/>
        <rFont val="Calibri"/>
        <family val="2"/>
        <scheme val="minor"/>
      </rPr>
      <t>,bub</t>
    </r>
    <r>
      <rPr>
        <sz val="11"/>
        <rFont val="Calibri"/>
        <family val="2"/>
        <scheme val="minor"/>
      </rPr>
      <t>*(S</t>
    </r>
    <r>
      <rPr>
        <vertAlign val="subscript"/>
        <sz val="11"/>
        <rFont val="Calibri"/>
        <family val="2"/>
        <charset val="238"/>
        <scheme val="minor"/>
      </rPr>
      <t>GH2</t>
    </r>
    <r>
      <rPr>
        <vertAlign val="subscript"/>
        <sz val="11"/>
        <rFont val="Calibri"/>
        <family val="2"/>
        <scheme val="minor"/>
      </rPr>
      <t xml:space="preserve">,bub,sat </t>
    </r>
    <r>
      <rPr>
        <sz val="11"/>
        <rFont val="Calibri"/>
        <family val="2"/>
        <scheme val="minor"/>
      </rPr>
      <t>- S</t>
    </r>
    <r>
      <rPr>
        <vertAlign val="subscript"/>
        <sz val="11"/>
        <rFont val="Calibri"/>
        <family val="2"/>
        <scheme val="minor"/>
      </rPr>
      <t>H2</t>
    </r>
    <r>
      <rPr>
        <sz val="11"/>
        <rFont val="Calibri"/>
        <family val="2"/>
        <scheme val="minor"/>
      </rPr>
      <t>)</t>
    </r>
  </si>
  <si>
    <r>
      <t>k</t>
    </r>
    <r>
      <rPr>
        <vertAlign val="subscript"/>
        <sz val="11"/>
        <rFont val="Calibri"/>
        <family val="2"/>
      </rPr>
      <t>L</t>
    </r>
    <r>
      <rPr>
        <sz val="11"/>
        <rFont val="Calibri"/>
        <family val="2"/>
      </rPr>
      <t>a</t>
    </r>
    <r>
      <rPr>
        <vertAlign val="subscript"/>
        <sz val="11"/>
        <rFont val="Calibri"/>
        <family val="2"/>
      </rPr>
      <t>GCO2,bub</t>
    </r>
    <r>
      <rPr>
        <sz val="11"/>
        <rFont val="Calibri"/>
        <family val="2"/>
      </rPr>
      <t>*(S</t>
    </r>
    <r>
      <rPr>
        <vertAlign val="subscript"/>
        <sz val="11"/>
        <rFont val="Calibri"/>
        <family val="2"/>
      </rPr>
      <t>GCO2,bub,sat</t>
    </r>
    <r>
      <rPr>
        <sz val="11"/>
        <rFont val="Calibri"/>
        <family val="2"/>
      </rPr>
      <t xml:space="preserve"> - [H</t>
    </r>
    <r>
      <rPr>
        <vertAlign val="subscript"/>
        <sz val="11"/>
        <rFont val="Calibri"/>
        <family val="2"/>
      </rPr>
      <t>2</t>
    </r>
    <r>
      <rPr>
        <sz val="11"/>
        <rFont val="Calibri"/>
        <family val="2"/>
      </rPr>
      <t>CO</t>
    </r>
    <r>
      <rPr>
        <vertAlign val="subscript"/>
        <sz val="11"/>
        <rFont val="Calibri"/>
        <family val="2"/>
      </rPr>
      <t>3</t>
    </r>
    <r>
      <rPr>
        <sz val="11"/>
        <rFont val="Calibri"/>
        <family val="2"/>
      </rPr>
      <t>]*MM</t>
    </r>
    <r>
      <rPr>
        <vertAlign val="subscript"/>
        <sz val="11"/>
        <rFont val="Calibri"/>
        <family val="2"/>
      </rPr>
      <t>EQ,GCO2</t>
    </r>
    <r>
      <rPr>
        <sz val="11"/>
        <rFont val="Calibri"/>
        <family val="2"/>
      </rPr>
      <t>*c</t>
    </r>
    <r>
      <rPr>
        <vertAlign val="subscript"/>
        <sz val="11"/>
        <rFont val="Calibri"/>
        <family val="2"/>
      </rPr>
      <t>L,m3</t>
    </r>
    <r>
      <rPr>
        <sz val="11"/>
        <rFont val="Calibri"/>
        <family val="2"/>
      </rPr>
      <t>)</t>
    </r>
  </si>
  <si>
    <r>
      <t>k</t>
    </r>
    <r>
      <rPr>
        <vertAlign val="subscript"/>
        <sz val="11"/>
        <rFont val="Calibri"/>
        <family val="2"/>
      </rPr>
      <t>L</t>
    </r>
    <r>
      <rPr>
        <sz val="11"/>
        <rFont val="Calibri"/>
        <family val="2"/>
      </rPr>
      <t>a</t>
    </r>
    <r>
      <rPr>
        <vertAlign val="subscript"/>
        <sz val="11"/>
        <rFont val="Calibri"/>
        <family val="2"/>
      </rPr>
      <t>GCO2,sur</t>
    </r>
    <r>
      <rPr>
        <sz val="11"/>
        <rFont val="Calibri"/>
        <family val="2"/>
      </rPr>
      <t>*(S</t>
    </r>
    <r>
      <rPr>
        <vertAlign val="subscript"/>
        <sz val="11"/>
        <rFont val="Calibri"/>
        <family val="2"/>
      </rPr>
      <t>GCO2,sur,sat</t>
    </r>
    <r>
      <rPr>
        <sz val="11"/>
        <rFont val="Calibri"/>
        <family val="2"/>
      </rPr>
      <t xml:space="preserve"> - [H</t>
    </r>
    <r>
      <rPr>
        <vertAlign val="subscript"/>
        <sz val="11"/>
        <rFont val="Calibri"/>
        <family val="2"/>
      </rPr>
      <t>2</t>
    </r>
    <r>
      <rPr>
        <sz val="11"/>
        <rFont val="Calibri"/>
        <family val="2"/>
      </rPr>
      <t>CO</t>
    </r>
    <r>
      <rPr>
        <vertAlign val="subscript"/>
        <sz val="11"/>
        <rFont val="Calibri"/>
        <family val="2"/>
      </rPr>
      <t>3</t>
    </r>
    <r>
      <rPr>
        <sz val="11"/>
        <rFont val="Calibri"/>
        <family val="2"/>
      </rPr>
      <t>]*MM</t>
    </r>
    <r>
      <rPr>
        <vertAlign val="subscript"/>
        <sz val="11"/>
        <rFont val="Calibri"/>
        <family val="2"/>
      </rPr>
      <t>EQ,GCO2</t>
    </r>
    <r>
      <rPr>
        <sz val="11"/>
        <rFont val="Calibri"/>
        <family val="2"/>
      </rPr>
      <t>*c</t>
    </r>
    <r>
      <rPr>
        <vertAlign val="subscript"/>
        <sz val="11"/>
        <rFont val="Calibri"/>
        <family val="2"/>
      </rPr>
      <t>L,m3</t>
    </r>
    <r>
      <rPr>
        <sz val="11"/>
        <rFont val="Calibri"/>
        <family val="2"/>
      </rPr>
      <t>)</t>
    </r>
  </si>
  <si>
    <r>
      <t>k</t>
    </r>
    <r>
      <rPr>
        <vertAlign val="subscript"/>
        <sz val="11"/>
        <rFont val="Calibri"/>
        <family val="2"/>
      </rPr>
      <t>L</t>
    </r>
    <r>
      <rPr>
        <sz val="11"/>
        <rFont val="Calibri"/>
        <family val="2"/>
      </rPr>
      <t>a</t>
    </r>
    <r>
      <rPr>
        <vertAlign val="subscript"/>
        <sz val="11"/>
        <rFont val="Calibri"/>
        <family val="2"/>
      </rPr>
      <t>GNH3,bub</t>
    </r>
    <r>
      <rPr>
        <sz val="11"/>
        <rFont val="Calibri"/>
        <family val="2"/>
      </rPr>
      <t>*(S</t>
    </r>
    <r>
      <rPr>
        <vertAlign val="subscript"/>
        <sz val="11"/>
        <rFont val="Calibri"/>
        <family val="2"/>
      </rPr>
      <t>GNH3,bub,sat</t>
    </r>
    <r>
      <rPr>
        <sz val="11"/>
        <rFont val="Calibri"/>
        <family val="2"/>
      </rPr>
      <t xml:space="preserve"> - [NH</t>
    </r>
    <r>
      <rPr>
        <vertAlign val="subscript"/>
        <sz val="11"/>
        <rFont val="Calibri"/>
        <family val="2"/>
      </rPr>
      <t>3</t>
    </r>
    <r>
      <rPr>
        <sz val="11"/>
        <rFont val="Calibri"/>
        <family val="2"/>
      </rPr>
      <t>]*MM</t>
    </r>
    <r>
      <rPr>
        <vertAlign val="subscript"/>
        <sz val="11"/>
        <rFont val="Calibri"/>
        <family val="2"/>
      </rPr>
      <t>EQ,GNH3</t>
    </r>
    <r>
      <rPr>
        <sz val="11"/>
        <rFont val="Calibri"/>
        <family val="2"/>
      </rPr>
      <t>*c</t>
    </r>
    <r>
      <rPr>
        <vertAlign val="subscript"/>
        <sz val="11"/>
        <rFont val="Calibri"/>
        <family val="2"/>
      </rPr>
      <t>L,m3</t>
    </r>
    <r>
      <rPr>
        <sz val="11"/>
        <rFont val="Calibri"/>
        <family val="2"/>
      </rPr>
      <t>)</t>
    </r>
  </si>
  <si>
    <r>
      <t>k</t>
    </r>
    <r>
      <rPr>
        <vertAlign val="subscript"/>
        <sz val="11"/>
        <rFont val="Calibri"/>
        <family val="2"/>
      </rPr>
      <t>L</t>
    </r>
    <r>
      <rPr>
        <sz val="11"/>
        <rFont val="Calibri"/>
        <family val="2"/>
      </rPr>
      <t>a</t>
    </r>
    <r>
      <rPr>
        <vertAlign val="subscript"/>
        <sz val="11"/>
        <rFont val="Calibri"/>
        <family val="2"/>
      </rPr>
      <t>GNH3,sur</t>
    </r>
    <r>
      <rPr>
        <sz val="11"/>
        <rFont val="Calibri"/>
        <family val="2"/>
      </rPr>
      <t>*(S</t>
    </r>
    <r>
      <rPr>
        <vertAlign val="subscript"/>
        <sz val="11"/>
        <rFont val="Calibri"/>
        <family val="2"/>
      </rPr>
      <t>GNH3,sur,sat</t>
    </r>
    <r>
      <rPr>
        <sz val="11"/>
        <rFont val="Calibri"/>
        <family val="2"/>
      </rPr>
      <t xml:space="preserve"> - [NH</t>
    </r>
    <r>
      <rPr>
        <vertAlign val="subscript"/>
        <sz val="11"/>
        <rFont val="Calibri"/>
        <family val="2"/>
      </rPr>
      <t>3</t>
    </r>
    <r>
      <rPr>
        <sz val="11"/>
        <rFont val="Calibri"/>
        <family val="2"/>
      </rPr>
      <t>]*MM</t>
    </r>
    <r>
      <rPr>
        <vertAlign val="subscript"/>
        <sz val="11"/>
        <rFont val="Calibri"/>
        <family val="2"/>
      </rPr>
      <t>EQ,GNH3</t>
    </r>
    <r>
      <rPr>
        <sz val="11"/>
        <rFont val="Calibri"/>
        <family val="2"/>
      </rPr>
      <t>*c</t>
    </r>
    <r>
      <rPr>
        <vertAlign val="subscript"/>
        <sz val="11"/>
        <rFont val="Calibri"/>
        <family val="2"/>
      </rPr>
      <t>L,m3</t>
    </r>
    <r>
      <rPr>
        <sz val="11"/>
        <rFont val="Calibri"/>
        <family val="2"/>
      </rPr>
      <t>)</t>
    </r>
  </si>
  <si>
    <r>
      <t>k</t>
    </r>
    <r>
      <rPr>
        <vertAlign val="subscript"/>
        <sz val="11"/>
        <rFont val="Calibri"/>
        <family val="2"/>
      </rPr>
      <t>L</t>
    </r>
    <r>
      <rPr>
        <sz val="11"/>
        <rFont val="Calibri"/>
        <family val="2"/>
      </rPr>
      <t>a</t>
    </r>
    <r>
      <rPr>
        <vertAlign val="subscript"/>
        <sz val="11"/>
        <rFont val="Calibri"/>
        <family val="2"/>
      </rPr>
      <t>GH2,sur</t>
    </r>
    <r>
      <rPr>
        <sz val="11"/>
        <rFont val="Calibri"/>
        <family val="2"/>
      </rPr>
      <t>*(S</t>
    </r>
    <r>
      <rPr>
        <vertAlign val="subscript"/>
        <sz val="11"/>
        <rFont val="Calibri"/>
        <family val="2"/>
      </rPr>
      <t>GH2,sur,sat</t>
    </r>
    <r>
      <rPr>
        <sz val="11"/>
        <rFont val="Calibri"/>
        <family val="2"/>
      </rPr>
      <t xml:space="preserve"> - S</t>
    </r>
    <r>
      <rPr>
        <vertAlign val="subscript"/>
        <sz val="11"/>
        <rFont val="Calibri"/>
        <family val="2"/>
      </rPr>
      <t>H2</t>
    </r>
    <r>
      <rPr>
        <sz val="11"/>
        <rFont val="Calibri"/>
        <family val="2"/>
      </rPr>
      <t>)</t>
    </r>
  </si>
  <si>
    <r>
      <t>k</t>
    </r>
    <r>
      <rPr>
        <vertAlign val="subscript"/>
        <sz val="11"/>
        <rFont val="Calibri"/>
        <family val="2"/>
      </rPr>
      <t>L</t>
    </r>
    <r>
      <rPr>
        <sz val="11"/>
        <rFont val="Calibri"/>
        <family val="2"/>
      </rPr>
      <t>a</t>
    </r>
    <r>
      <rPr>
        <vertAlign val="subscript"/>
        <sz val="11"/>
        <rFont val="Calibri"/>
        <family val="2"/>
        <charset val="238"/>
      </rPr>
      <t>GH2S</t>
    </r>
    <r>
      <rPr>
        <vertAlign val="subscript"/>
        <sz val="11"/>
        <rFont val="Calibri"/>
        <family val="2"/>
      </rPr>
      <t>,bub</t>
    </r>
  </si>
  <si>
    <r>
      <t>k</t>
    </r>
    <r>
      <rPr>
        <vertAlign val="subscript"/>
        <sz val="11"/>
        <rFont val="Calibri"/>
        <family val="2"/>
      </rPr>
      <t>L</t>
    </r>
    <r>
      <rPr>
        <sz val="11"/>
        <rFont val="Calibri"/>
        <family val="2"/>
      </rPr>
      <t>a</t>
    </r>
    <r>
      <rPr>
        <vertAlign val="subscript"/>
        <sz val="11"/>
        <rFont val="Calibri"/>
        <family val="2"/>
        <charset val="238"/>
      </rPr>
      <t>GH2S</t>
    </r>
    <r>
      <rPr>
        <vertAlign val="subscript"/>
        <sz val="11"/>
        <rFont val="Calibri"/>
        <family val="2"/>
      </rPr>
      <t>,sur</t>
    </r>
  </si>
  <si>
    <r>
      <t>k</t>
    </r>
    <r>
      <rPr>
        <vertAlign val="subscript"/>
        <sz val="11"/>
        <rFont val="Calibri"/>
        <family val="2"/>
      </rPr>
      <t>L</t>
    </r>
    <r>
      <rPr>
        <sz val="11"/>
        <rFont val="Calibri"/>
        <family val="2"/>
      </rPr>
      <t>a</t>
    </r>
    <r>
      <rPr>
        <vertAlign val="subscript"/>
        <sz val="11"/>
        <rFont val="Calibri"/>
        <family val="2"/>
        <charset val="238"/>
      </rPr>
      <t>G</t>
    </r>
    <r>
      <rPr>
        <vertAlign val="subscript"/>
        <sz val="11"/>
        <rFont val="Calibri"/>
        <family val="2"/>
      </rPr>
      <t>O2,bub</t>
    </r>
  </si>
  <si>
    <r>
      <t>k</t>
    </r>
    <r>
      <rPr>
        <vertAlign val="subscript"/>
        <sz val="11"/>
        <rFont val="Calibri"/>
        <family val="2"/>
      </rPr>
      <t>L</t>
    </r>
    <r>
      <rPr>
        <sz val="11"/>
        <rFont val="Calibri"/>
        <family val="2"/>
      </rPr>
      <t>a</t>
    </r>
    <r>
      <rPr>
        <vertAlign val="subscript"/>
        <sz val="11"/>
        <rFont val="Calibri"/>
        <family val="2"/>
        <charset val="238"/>
      </rPr>
      <t>G</t>
    </r>
    <r>
      <rPr>
        <vertAlign val="subscript"/>
        <sz val="11"/>
        <rFont val="Calibri"/>
        <family val="2"/>
      </rPr>
      <t>O2,sur</t>
    </r>
  </si>
  <si>
    <r>
      <t>k</t>
    </r>
    <r>
      <rPr>
        <vertAlign val="subscript"/>
        <sz val="11"/>
        <rFont val="Calibri"/>
        <family val="2"/>
      </rPr>
      <t>L</t>
    </r>
    <r>
      <rPr>
        <sz val="11"/>
        <rFont val="Calibri"/>
        <family val="2"/>
      </rPr>
      <t>a</t>
    </r>
    <r>
      <rPr>
        <vertAlign val="subscript"/>
        <sz val="11"/>
        <rFont val="Calibri"/>
        <family val="2"/>
        <charset val="238"/>
      </rPr>
      <t>GC</t>
    </r>
    <r>
      <rPr>
        <vertAlign val="subscript"/>
        <sz val="11"/>
        <rFont val="Calibri"/>
        <family val="2"/>
      </rPr>
      <t>O2,bub</t>
    </r>
  </si>
  <si>
    <r>
      <t>k</t>
    </r>
    <r>
      <rPr>
        <vertAlign val="subscript"/>
        <sz val="11"/>
        <rFont val="Calibri"/>
        <family val="2"/>
      </rPr>
      <t>L</t>
    </r>
    <r>
      <rPr>
        <sz val="11"/>
        <rFont val="Calibri"/>
        <family val="2"/>
      </rPr>
      <t>a</t>
    </r>
    <r>
      <rPr>
        <vertAlign val="subscript"/>
        <sz val="11"/>
        <rFont val="Calibri"/>
        <family val="2"/>
        <charset val="238"/>
      </rPr>
      <t>GC</t>
    </r>
    <r>
      <rPr>
        <vertAlign val="subscript"/>
        <sz val="11"/>
        <rFont val="Calibri"/>
        <family val="2"/>
      </rPr>
      <t>O2,sur</t>
    </r>
  </si>
  <si>
    <r>
      <t>k</t>
    </r>
    <r>
      <rPr>
        <vertAlign val="subscript"/>
        <sz val="11"/>
        <rFont val="Calibri"/>
        <family val="2"/>
      </rPr>
      <t>L</t>
    </r>
    <r>
      <rPr>
        <sz val="11"/>
        <rFont val="Calibri"/>
        <family val="2"/>
      </rPr>
      <t>a</t>
    </r>
    <r>
      <rPr>
        <vertAlign val="subscript"/>
        <sz val="11"/>
        <rFont val="Calibri"/>
        <family val="2"/>
        <charset val="238"/>
      </rPr>
      <t>GCH4</t>
    </r>
    <r>
      <rPr>
        <vertAlign val="subscript"/>
        <sz val="11"/>
        <rFont val="Calibri"/>
        <family val="2"/>
      </rPr>
      <t>,bub</t>
    </r>
  </si>
  <si>
    <r>
      <t>k</t>
    </r>
    <r>
      <rPr>
        <vertAlign val="subscript"/>
        <sz val="11"/>
        <rFont val="Calibri"/>
        <family val="2"/>
      </rPr>
      <t>L</t>
    </r>
    <r>
      <rPr>
        <sz val="11"/>
        <rFont val="Calibri"/>
        <family val="2"/>
      </rPr>
      <t>a</t>
    </r>
    <r>
      <rPr>
        <vertAlign val="subscript"/>
        <sz val="11"/>
        <rFont val="Calibri"/>
        <family val="2"/>
        <charset val="238"/>
      </rPr>
      <t>GCH4</t>
    </r>
    <r>
      <rPr>
        <vertAlign val="subscript"/>
        <sz val="11"/>
        <rFont val="Calibri"/>
        <family val="2"/>
      </rPr>
      <t>,sur</t>
    </r>
  </si>
  <si>
    <r>
      <t>k</t>
    </r>
    <r>
      <rPr>
        <vertAlign val="subscript"/>
        <sz val="11"/>
        <rFont val="Calibri"/>
        <family val="2"/>
      </rPr>
      <t>L</t>
    </r>
    <r>
      <rPr>
        <sz val="11"/>
        <rFont val="Calibri"/>
        <family val="2"/>
      </rPr>
      <t>a</t>
    </r>
    <r>
      <rPr>
        <vertAlign val="subscript"/>
        <sz val="11"/>
        <rFont val="Calibri"/>
        <family val="2"/>
        <charset val="238"/>
      </rPr>
      <t>GH2</t>
    </r>
    <r>
      <rPr>
        <vertAlign val="subscript"/>
        <sz val="11"/>
        <rFont val="Calibri"/>
        <family val="2"/>
      </rPr>
      <t>,bub</t>
    </r>
  </si>
  <si>
    <r>
      <t>k</t>
    </r>
    <r>
      <rPr>
        <vertAlign val="subscript"/>
        <sz val="11"/>
        <rFont val="Calibri"/>
        <family val="2"/>
      </rPr>
      <t>L</t>
    </r>
    <r>
      <rPr>
        <sz val="11"/>
        <rFont val="Calibri"/>
        <family val="2"/>
      </rPr>
      <t>a</t>
    </r>
    <r>
      <rPr>
        <vertAlign val="subscript"/>
        <sz val="11"/>
        <rFont val="Calibri"/>
        <family val="2"/>
        <charset val="238"/>
      </rPr>
      <t>GH2</t>
    </r>
    <r>
      <rPr>
        <vertAlign val="subscript"/>
        <sz val="11"/>
        <rFont val="Calibri"/>
        <family val="2"/>
      </rPr>
      <t>,sur</t>
    </r>
  </si>
  <si>
    <r>
      <t>k</t>
    </r>
    <r>
      <rPr>
        <vertAlign val="subscript"/>
        <sz val="11"/>
        <rFont val="Calibri"/>
        <family val="2"/>
      </rPr>
      <t>L</t>
    </r>
    <r>
      <rPr>
        <sz val="11"/>
        <rFont val="Calibri"/>
        <family val="2"/>
      </rPr>
      <t>a</t>
    </r>
    <r>
      <rPr>
        <vertAlign val="subscript"/>
        <sz val="11"/>
        <rFont val="Calibri"/>
        <family val="2"/>
        <charset val="238"/>
      </rPr>
      <t>GNH3</t>
    </r>
    <r>
      <rPr>
        <vertAlign val="subscript"/>
        <sz val="11"/>
        <rFont val="Calibri"/>
        <family val="2"/>
      </rPr>
      <t>,bub</t>
    </r>
  </si>
  <si>
    <r>
      <t>k</t>
    </r>
    <r>
      <rPr>
        <vertAlign val="subscript"/>
        <sz val="11"/>
        <rFont val="Calibri"/>
        <family val="2"/>
      </rPr>
      <t>L</t>
    </r>
    <r>
      <rPr>
        <sz val="11"/>
        <rFont val="Calibri"/>
        <family val="2"/>
      </rPr>
      <t>a</t>
    </r>
    <r>
      <rPr>
        <vertAlign val="subscript"/>
        <sz val="11"/>
        <rFont val="Calibri"/>
        <family val="2"/>
        <charset val="238"/>
      </rPr>
      <t>GNH3</t>
    </r>
    <r>
      <rPr>
        <vertAlign val="subscript"/>
        <sz val="11"/>
        <rFont val="Calibri"/>
        <family val="2"/>
      </rPr>
      <t>,sur</t>
    </r>
  </si>
  <si>
    <r>
      <t>k</t>
    </r>
    <r>
      <rPr>
        <vertAlign val="subscript"/>
        <sz val="11"/>
        <rFont val="Calibri"/>
        <family val="2"/>
      </rPr>
      <t>L</t>
    </r>
    <r>
      <rPr>
        <sz val="11"/>
        <rFont val="Calibri"/>
        <family val="2"/>
      </rPr>
      <t>a</t>
    </r>
    <r>
      <rPr>
        <vertAlign val="subscript"/>
        <sz val="11"/>
        <rFont val="Calibri"/>
        <family val="2"/>
        <charset val="238"/>
      </rPr>
      <t>GN2</t>
    </r>
    <r>
      <rPr>
        <vertAlign val="subscript"/>
        <sz val="11"/>
        <rFont val="Calibri"/>
        <family val="2"/>
      </rPr>
      <t>,bub</t>
    </r>
  </si>
  <si>
    <r>
      <t>k</t>
    </r>
    <r>
      <rPr>
        <vertAlign val="subscript"/>
        <sz val="11"/>
        <rFont val="Calibri"/>
        <family val="2"/>
      </rPr>
      <t>L</t>
    </r>
    <r>
      <rPr>
        <sz val="11"/>
        <rFont val="Calibri"/>
        <family val="2"/>
      </rPr>
      <t>a</t>
    </r>
    <r>
      <rPr>
        <vertAlign val="subscript"/>
        <sz val="11"/>
        <rFont val="Calibri"/>
        <family val="2"/>
        <charset val="238"/>
      </rPr>
      <t>GN2</t>
    </r>
    <r>
      <rPr>
        <vertAlign val="subscript"/>
        <sz val="11"/>
        <rFont val="Calibri"/>
        <family val="2"/>
      </rPr>
      <t>,sur</t>
    </r>
  </si>
  <si>
    <r>
      <t>S</t>
    </r>
    <r>
      <rPr>
        <vertAlign val="subscript"/>
        <sz val="11"/>
        <rFont val="Calibri"/>
        <family val="2"/>
        <charset val="238"/>
      </rPr>
      <t>G</t>
    </r>
    <r>
      <rPr>
        <vertAlign val="subscript"/>
        <sz val="11"/>
        <rFont val="Calibri"/>
        <family val="2"/>
      </rPr>
      <t>H2S,bub,sat</t>
    </r>
  </si>
  <si>
    <r>
      <t>S</t>
    </r>
    <r>
      <rPr>
        <vertAlign val="subscript"/>
        <sz val="11"/>
        <rFont val="Calibri"/>
        <family val="2"/>
        <charset val="238"/>
      </rPr>
      <t>G</t>
    </r>
    <r>
      <rPr>
        <vertAlign val="subscript"/>
        <sz val="11"/>
        <rFont val="Calibri"/>
        <family val="2"/>
      </rPr>
      <t>H2S,sur,sat</t>
    </r>
  </si>
  <si>
    <r>
      <t>S</t>
    </r>
    <r>
      <rPr>
        <vertAlign val="subscript"/>
        <sz val="11"/>
        <rFont val="Calibri"/>
        <family val="2"/>
        <charset val="238"/>
      </rPr>
      <t>G</t>
    </r>
    <r>
      <rPr>
        <vertAlign val="subscript"/>
        <sz val="11"/>
        <rFont val="Calibri"/>
        <family val="2"/>
      </rPr>
      <t>O2,bub,sat</t>
    </r>
  </si>
  <si>
    <r>
      <t>S</t>
    </r>
    <r>
      <rPr>
        <vertAlign val="subscript"/>
        <sz val="11"/>
        <rFont val="Calibri"/>
        <family val="2"/>
        <charset val="238"/>
      </rPr>
      <t>G</t>
    </r>
    <r>
      <rPr>
        <vertAlign val="subscript"/>
        <sz val="11"/>
        <rFont val="Calibri"/>
        <family val="2"/>
      </rPr>
      <t>O2,sur,sat</t>
    </r>
  </si>
  <si>
    <r>
      <t>S</t>
    </r>
    <r>
      <rPr>
        <vertAlign val="subscript"/>
        <sz val="11"/>
        <rFont val="Calibri"/>
        <family val="2"/>
        <charset val="238"/>
      </rPr>
      <t>G</t>
    </r>
    <r>
      <rPr>
        <vertAlign val="subscript"/>
        <sz val="11"/>
        <rFont val="Calibri"/>
        <family val="2"/>
      </rPr>
      <t>CO2,bub,sat</t>
    </r>
  </si>
  <si>
    <r>
      <t>S</t>
    </r>
    <r>
      <rPr>
        <vertAlign val="subscript"/>
        <sz val="11"/>
        <rFont val="Calibri"/>
        <family val="2"/>
        <charset val="238"/>
      </rPr>
      <t>G</t>
    </r>
    <r>
      <rPr>
        <vertAlign val="subscript"/>
        <sz val="11"/>
        <rFont val="Calibri"/>
        <family val="2"/>
      </rPr>
      <t>CO2,sur,sat</t>
    </r>
  </si>
  <si>
    <r>
      <t>S</t>
    </r>
    <r>
      <rPr>
        <vertAlign val="subscript"/>
        <sz val="11"/>
        <rFont val="Calibri"/>
        <family val="2"/>
        <charset val="238"/>
      </rPr>
      <t>G</t>
    </r>
    <r>
      <rPr>
        <vertAlign val="subscript"/>
        <sz val="11"/>
        <rFont val="Calibri"/>
        <family val="2"/>
      </rPr>
      <t>CH4,bub,sat</t>
    </r>
  </si>
  <si>
    <r>
      <t>S</t>
    </r>
    <r>
      <rPr>
        <vertAlign val="subscript"/>
        <sz val="11"/>
        <rFont val="Calibri"/>
        <family val="2"/>
        <charset val="238"/>
      </rPr>
      <t>G</t>
    </r>
    <r>
      <rPr>
        <vertAlign val="subscript"/>
        <sz val="11"/>
        <rFont val="Calibri"/>
        <family val="2"/>
      </rPr>
      <t>CH4,sur,sat</t>
    </r>
  </si>
  <si>
    <r>
      <t>S</t>
    </r>
    <r>
      <rPr>
        <vertAlign val="subscript"/>
        <sz val="11"/>
        <rFont val="Calibri"/>
        <family val="2"/>
        <charset val="238"/>
      </rPr>
      <t>G</t>
    </r>
    <r>
      <rPr>
        <vertAlign val="subscript"/>
        <sz val="11"/>
        <rFont val="Calibri"/>
        <family val="2"/>
      </rPr>
      <t>H2,bub,sat</t>
    </r>
  </si>
  <si>
    <r>
      <t>S</t>
    </r>
    <r>
      <rPr>
        <vertAlign val="subscript"/>
        <sz val="11"/>
        <rFont val="Calibri"/>
        <family val="2"/>
        <charset val="238"/>
      </rPr>
      <t>G</t>
    </r>
    <r>
      <rPr>
        <vertAlign val="subscript"/>
        <sz val="11"/>
        <rFont val="Calibri"/>
        <family val="2"/>
      </rPr>
      <t>H2,sur,sat</t>
    </r>
  </si>
  <si>
    <r>
      <t>S</t>
    </r>
    <r>
      <rPr>
        <vertAlign val="subscript"/>
        <sz val="11"/>
        <rFont val="Calibri"/>
        <family val="2"/>
        <charset val="238"/>
      </rPr>
      <t>G</t>
    </r>
    <r>
      <rPr>
        <vertAlign val="subscript"/>
        <sz val="11"/>
        <rFont val="Calibri"/>
        <family val="2"/>
      </rPr>
      <t>NH3,bub,sat</t>
    </r>
  </si>
  <si>
    <r>
      <t>S</t>
    </r>
    <r>
      <rPr>
        <vertAlign val="subscript"/>
        <sz val="11"/>
        <rFont val="Calibri"/>
        <family val="2"/>
        <charset val="238"/>
      </rPr>
      <t>G</t>
    </r>
    <r>
      <rPr>
        <vertAlign val="subscript"/>
        <sz val="11"/>
        <rFont val="Calibri"/>
        <family val="2"/>
      </rPr>
      <t>NH3,sur,sat</t>
    </r>
  </si>
  <si>
    <r>
      <t>S</t>
    </r>
    <r>
      <rPr>
        <vertAlign val="subscript"/>
        <sz val="11"/>
        <rFont val="Calibri"/>
        <family val="2"/>
        <charset val="238"/>
      </rPr>
      <t>G</t>
    </r>
    <r>
      <rPr>
        <vertAlign val="subscript"/>
        <sz val="11"/>
        <rFont val="Calibri"/>
        <family val="2"/>
      </rPr>
      <t>N2,bub,sat</t>
    </r>
  </si>
  <si>
    <r>
      <t>S</t>
    </r>
    <r>
      <rPr>
        <vertAlign val="subscript"/>
        <sz val="11"/>
        <rFont val="Calibri"/>
        <family val="2"/>
        <charset val="238"/>
      </rPr>
      <t>G</t>
    </r>
    <r>
      <rPr>
        <vertAlign val="subscript"/>
        <sz val="11"/>
        <rFont val="Calibri"/>
        <family val="2"/>
      </rPr>
      <t>N2,sur,sat</t>
    </r>
  </si>
  <si>
    <r>
      <t>f(G</t>
    </r>
    <r>
      <rPr>
        <vertAlign val="subscript"/>
        <sz val="11"/>
        <rFont val="Calibri"/>
        <family val="2"/>
      </rPr>
      <t>NH3,atm</t>
    </r>
    <r>
      <rPr>
        <sz val="11"/>
        <rFont val="Calibri"/>
        <family val="2"/>
      </rPr>
      <t>)</t>
    </r>
  </si>
  <si>
    <r>
      <t>f(G</t>
    </r>
    <r>
      <rPr>
        <vertAlign val="subscript"/>
        <sz val="11"/>
        <rFont val="Calibri"/>
        <family val="2"/>
      </rPr>
      <t>N2,atm</t>
    </r>
    <r>
      <rPr>
        <sz val="11"/>
        <rFont val="Calibri"/>
        <family val="2"/>
      </rPr>
      <t>)</t>
    </r>
  </si>
  <si>
    <r>
      <t>f(G</t>
    </r>
    <r>
      <rPr>
        <vertAlign val="subscript"/>
        <sz val="11"/>
        <rFont val="Calibri"/>
        <family val="2"/>
      </rPr>
      <t>H2,atm</t>
    </r>
    <r>
      <rPr>
        <sz val="11"/>
        <rFont val="Calibri"/>
        <family val="2"/>
      </rPr>
      <t>)</t>
    </r>
  </si>
  <si>
    <r>
      <t>f(G</t>
    </r>
    <r>
      <rPr>
        <vertAlign val="subscript"/>
        <sz val="11"/>
        <rFont val="Calibri"/>
        <family val="2"/>
      </rPr>
      <t>CH4,atm</t>
    </r>
    <r>
      <rPr>
        <sz val="11"/>
        <rFont val="Calibri"/>
        <family val="2"/>
      </rPr>
      <t>)</t>
    </r>
  </si>
  <si>
    <r>
      <t>f(G</t>
    </r>
    <r>
      <rPr>
        <vertAlign val="subscript"/>
        <sz val="11"/>
        <rFont val="Calibri"/>
        <family val="2"/>
      </rPr>
      <t>CO2,atm</t>
    </r>
    <r>
      <rPr>
        <sz val="11"/>
        <rFont val="Calibri"/>
        <family val="2"/>
      </rPr>
      <t>)</t>
    </r>
  </si>
  <si>
    <r>
      <t>f(G</t>
    </r>
    <r>
      <rPr>
        <vertAlign val="subscript"/>
        <sz val="11"/>
        <rFont val="Calibri"/>
        <family val="2"/>
      </rPr>
      <t>O2,atm</t>
    </r>
    <r>
      <rPr>
        <sz val="11"/>
        <rFont val="Calibri"/>
        <family val="2"/>
      </rPr>
      <t>)</t>
    </r>
  </si>
  <si>
    <r>
      <t>f(G</t>
    </r>
    <r>
      <rPr>
        <vertAlign val="subscript"/>
        <sz val="11"/>
        <rFont val="Calibri"/>
        <family val="2"/>
      </rPr>
      <t>H2S,atm</t>
    </r>
    <r>
      <rPr>
        <sz val="11"/>
        <rFont val="Calibri"/>
        <family val="2"/>
      </rPr>
      <t>)</t>
    </r>
  </si>
  <si>
    <t>Other parameters - gas transfer via bubbles</t>
  </si>
  <si>
    <t>Other parameters - gas transfer via reactor surface</t>
  </si>
  <si>
    <r>
      <t>-Δ</t>
    </r>
    <r>
      <rPr>
        <vertAlign val="subscript"/>
        <sz val="11"/>
        <rFont val="Calibri"/>
        <family val="2"/>
      </rPr>
      <t>atm</t>
    </r>
  </si>
  <si>
    <r>
      <t>1/</t>
    </r>
    <r>
      <rPr>
        <sz val="11"/>
        <rFont val="Calibri"/>
        <family val="2"/>
      </rPr>
      <t>Δ</t>
    </r>
    <r>
      <rPr>
        <vertAlign val="subscript"/>
        <sz val="12.65"/>
        <rFont val="Calibri"/>
        <family val="2"/>
      </rPr>
      <t>atm</t>
    </r>
  </si>
  <si>
    <r>
      <t>-1/</t>
    </r>
    <r>
      <rPr>
        <sz val="11"/>
        <rFont val="Calibri"/>
        <family val="2"/>
      </rPr>
      <t>Δ</t>
    </r>
    <r>
      <rPr>
        <vertAlign val="subscript"/>
        <sz val="12.65"/>
        <rFont val="Calibri"/>
        <family val="2"/>
      </rPr>
      <t>atm</t>
    </r>
  </si>
  <si>
    <r>
      <t>i</t>
    </r>
    <r>
      <rPr>
        <vertAlign val="subscript"/>
        <sz val="11"/>
        <rFont val="Calibri"/>
        <family val="2"/>
        <scheme val="minor"/>
      </rPr>
      <t>CIT,CH4</t>
    </r>
    <r>
      <rPr>
        <sz val="11"/>
        <rFont val="Calibri"/>
        <family val="2"/>
        <scheme val="minor"/>
      </rPr>
      <t>/</t>
    </r>
    <r>
      <rPr>
        <sz val="11"/>
        <rFont val="Calibri"/>
        <family val="2"/>
      </rPr>
      <t>Δ</t>
    </r>
    <r>
      <rPr>
        <vertAlign val="subscript"/>
        <sz val="11"/>
        <rFont val="Calibri"/>
        <family val="2"/>
      </rPr>
      <t>atm</t>
    </r>
  </si>
  <si>
    <r>
      <t>-EEQ</t>
    </r>
    <r>
      <rPr>
        <vertAlign val="subscript"/>
        <sz val="11"/>
        <rFont val="Calibri"/>
        <family val="2"/>
        <scheme val="minor"/>
      </rPr>
      <t>N2</t>
    </r>
    <r>
      <rPr>
        <sz val="11"/>
        <rFont val="Calibri"/>
        <family val="2"/>
        <scheme val="minor"/>
      </rPr>
      <t>/Δ</t>
    </r>
    <r>
      <rPr>
        <vertAlign val="subscript"/>
        <sz val="11"/>
        <rFont val="Calibri"/>
        <family val="2"/>
        <scheme val="minor"/>
      </rPr>
      <t>atm</t>
    </r>
  </si>
  <si>
    <r>
      <t>K</t>
    </r>
    <r>
      <rPr>
        <vertAlign val="subscript"/>
        <sz val="11"/>
        <rFont val="Calibri"/>
        <family val="2"/>
        <scheme val="minor"/>
      </rPr>
      <t>W,param</t>
    </r>
    <r>
      <rPr>
        <sz val="11"/>
        <rFont val="Calibri"/>
        <family val="2"/>
        <scheme val="minor"/>
      </rPr>
      <t>*Exp(dH</t>
    </r>
    <r>
      <rPr>
        <vertAlign val="subscript"/>
        <sz val="11"/>
        <rFont val="Calibri"/>
        <family val="2"/>
        <scheme val="minor"/>
      </rPr>
      <t>diss,H2O</t>
    </r>
    <r>
      <rPr>
        <sz val="11"/>
        <rFont val="Calibri"/>
        <family val="2"/>
        <scheme val="minor"/>
      </rPr>
      <t>/R*(1/T</t>
    </r>
    <r>
      <rPr>
        <vertAlign val="subscript"/>
        <sz val="11"/>
        <rFont val="Calibri"/>
        <family val="2"/>
        <scheme val="minor"/>
      </rPr>
      <t>st,K</t>
    </r>
    <r>
      <rPr>
        <sz val="11"/>
        <rFont val="Calibri"/>
        <family val="2"/>
        <scheme val="minor"/>
      </rPr>
      <t>-1/T</t>
    </r>
    <r>
      <rPr>
        <vertAlign val="subscript"/>
        <sz val="11"/>
        <rFont val="Calibri"/>
        <family val="2"/>
        <scheme val="minor"/>
      </rPr>
      <t>K</t>
    </r>
    <r>
      <rPr>
        <sz val="11"/>
        <rFont val="Calibri"/>
        <family val="2"/>
        <scheme val="minor"/>
      </rPr>
      <t>))</t>
    </r>
  </si>
  <si>
    <r>
      <t>K</t>
    </r>
    <r>
      <rPr>
        <vertAlign val="subscript"/>
        <sz val="11"/>
        <rFont val="Calibri"/>
        <family val="2"/>
        <scheme val="minor"/>
      </rPr>
      <t>P3,param</t>
    </r>
    <r>
      <rPr>
        <sz val="11"/>
        <rFont val="Calibri"/>
        <family val="2"/>
        <scheme val="minor"/>
      </rPr>
      <t>*Exp(dH</t>
    </r>
    <r>
      <rPr>
        <vertAlign val="subscript"/>
        <sz val="11"/>
        <rFont val="Calibri"/>
        <family val="2"/>
        <scheme val="minor"/>
      </rPr>
      <t>diss,PO4,3</t>
    </r>
    <r>
      <rPr>
        <sz val="11"/>
        <rFont val="Calibri"/>
        <family val="2"/>
        <scheme val="minor"/>
      </rPr>
      <t>/R*(1/T</t>
    </r>
    <r>
      <rPr>
        <vertAlign val="subscript"/>
        <sz val="11"/>
        <rFont val="Calibri"/>
        <family val="2"/>
        <scheme val="minor"/>
      </rPr>
      <t>st,K</t>
    </r>
    <r>
      <rPr>
        <sz val="11"/>
        <rFont val="Calibri"/>
        <family val="2"/>
        <scheme val="minor"/>
      </rPr>
      <t>-1/T</t>
    </r>
    <r>
      <rPr>
        <vertAlign val="subscript"/>
        <sz val="11"/>
        <rFont val="Calibri"/>
        <family val="2"/>
        <scheme val="minor"/>
      </rPr>
      <t>K</t>
    </r>
    <r>
      <rPr>
        <sz val="11"/>
        <rFont val="Calibri"/>
        <family val="2"/>
        <scheme val="minor"/>
      </rPr>
      <t>))</t>
    </r>
  </si>
  <si>
    <r>
      <t>Δ</t>
    </r>
    <r>
      <rPr>
        <vertAlign val="subscript"/>
        <sz val="11"/>
        <rFont val="Calibri"/>
        <family val="2"/>
      </rPr>
      <t>atm</t>
    </r>
  </si>
  <si>
    <r>
      <t>T+T</t>
    </r>
    <r>
      <rPr>
        <vertAlign val="subscript"/>
        <sz val="11"/>
        <rFont val="Calibri"/>
        <family val="2"/>
        <scheme val="minor"/>
      </rPr>
      <t>STP,K</t>
    </r>
  </si>
  <si>
    <r>
      <t>D</t>
    </r>
    <r>
      <rPr>
        <vertAlign val="subscript"/>
        <sz val="11"/>
        <rFont val="Calibri"/>
        <family val="2"/>
        <scheme val="minor"/>
      </rPr>
      <t>GO2,25</t>
    </r>
  </si>
  <si>
    <r>
      <t>D</t>
    </r>
    <r>
      <rPr>
        <vertAlign val="subscript"/>
        <sz val="11"/>
        <rFont val="Calibri"/>
        <family val="2"/>
        <scheme val="minor"/>
      </rPr>
      <t>GN2,25</t>
    </r>
  </si>
  <si>
    <r>
      <t>D</t>
    </r>
    <r>
      <rPr>
        <vertAlign val="subscript"/>
        <sz val="11"/>
        <rFont val="Calibri"/>
        <family val="2"/>
        <scheme val="minor"/>
      </rPr>
      <t>GNH3,25</t>
    </r>
  </si>
  <si>
    <r>
      <t>D</t>
    </r>
    <r>
      <rPr>
        <vertAlign val="subscript"/>
        <sz val="11"/>
        <rFont val="Calibri"/>
        <family val="2"/>
        <scheme val="minor"/>
      </rPr>
      <t>GCO2,25</t>
    </r>
  </si>
  <si>
    <r>
      <t>D</t>
    </r>
    <r>
      <rPr>
        <vertAlign val="subscript"/>
        <sz val="11"/>
        <rFont val="Calibri"/>
        <family val="2"/>
      </rPr>
      <t>GH2,25</t>
    </r>
  </si>
  <si>
    <r>
      <t>D</t>
    </r>
    <r>
      <rPr>
        <vertAlign val="subscript"/>
        <sz val="11"/>
        <rFont val="Calibri"/>
        <family val="2"/>
      </rPr>
      <t>GCH4,25</t>
    </r>
  </si>
  <si>
    <r>
      <t>D</t>
    </r>
    <r>
      <rPr>
        <vertAlign val="subscript"/>
        <sz val="11"/>
        <rFont val="Calibri"/>
        <family val="2"/>
      </rPr>
      <t>GNO,25</t>
    </r>
  </si>
  <si>
    <r>
      <t>D</t>
    </r>
    <r>
      <rPr>
        <vertAlign val="subscript"/>
        <sz val="11"/>
        <rFont val="Calibri"/>
        <family val="2"/>
      </rPr>
      <t>GN2O,25</t>
    </r>
  </si>
  <si>
    <r>
      <t>D</t>
    </r>
    <r>
      <rPr>
        <vertAlign val="subscript"/>
        <sz val="11"/>
        <rFont val="Calibri"/>
        <family val="2"/>
        <scheme val="minor"/>
      </rPr>
      <t>GH2S,25</t>
    </r>
  </si>
  <si>
    <r>
      <t>σ</t>
    </r>
    <r>
      <rPr>
        <vertAlign val="subscript"/>
        <sz val="11"/>
        <rFont val="Calibri"/>
        <family val="2"/>
        <charset val="238"/>
      </rPr>
      <t>H2O</t>
    </r>
  </si>
  <si>
    <t>Water/air surface tension</t>
  </si>
  <si>
    <r>
      <t>N.m</t>
    </r>
    <r>
      <rPr>
        <vertAlign val="superscript"/>
        <sz val="11"/>
        <rFont val="Calibri"/>
        <family val="2"/>
        <charset val="238"/>
        <scheme val="minor"/>
      </rPr>
      <t>-1</t>
    </r>
  </si>
  <si>
    <t>Density of water</t>
  </si>
  <si>
    <t>Dynamic viscosity of water</t>
  </si>
  <si>
    <r>
      <rPr>
        <sz val="11"/>
        <rFont val="Calibri"/>
        <family val="2"/>
      </rPr>
      <t>ρ</t>
    </r>
    <r>
      <rPr>
        <vertAlign val="subscript"/>
        <sz val="11"/>
        <rFont val="Calibri"/>
        <family val="2"/>
        <scheme val="minor"/>
      </rPr>
      <t>air</t>
    </r>
  </si>
  <si>
    <t>Density of air</t>
  </si>
  <si>
    <r>
      <t>p</t>
    </r>
    <r>
      <rPr>
        <vertAlign val="subscript"/>
        <sz val="11"/>
        <rFont val="Calibri"/>
        <family val="2"/>
      </rPr>
      <t>STP</t>
    </r>
  </si>
  <si>
    <t>Standard barometric pressure</t>
  </si>
  <si>
    <t>Normal barometric pressure</t>
  </si>
  <si>
    <t>Arbitrary atmosphere ratio</t>
  </si>
  <si>
    <r>
      <t>%v/v / g/m</t>
    </r>
    <r>
      <rPr>
        <vertAlign val="superscript"/>
        <sz val="11"/>
        <rFont val="Calibri"/>
        <family val="2"/>
      </rPr>
      <t>3</t>
    </r>
  </si>
  <si>
    <t>Only used for mass balance check since mass changes in the atmosphere are not calculated</t>
  </si>
  <si>
    <r>
      <t>T</t>
    </r>
    <r>
      <rPr>
        <vertAlign val="subscript"/>
        <sz val="11"/>
        <rFont val="Calibri"/>
        <family val="2"/>
        <scheme val="minor"/>
      </rPr>
      <t>st,K</t>
    </r>
  </si>
  <si>
    <t>Standard ambient air temperature - 25°C in Kelvin</t>
  </si>
  <si>
    <t>25°C at 101325 Pa: SATP (Standard Ambient Temperature and Pressure) - EPA</t>
  </si>
  <si>
    <r>
      <t>T</t>
    </r>
    <r>
      <rPr>
        <vertAlign val="subscript"/>
        <sz val="11"/>
        <rFont val="Calibri"/>
        <family val="2"/>
        <scheme val="minor"/>
      </rPr>
      <t>NTP,K</t>
    </r>
  </si>
  <si>
    <t>Normal condition (NTP) temperature - 20°C in Kelvin</t>
  </si>
  <si>
    <t>20°C at 101325 Pa: NTP (Normal Temperature and Pressure) - EPA, NIST</t>
  </si>
  <si>
    <r>
      <t>T</t>
    </r>
    <r>
      <rPr>
        <vertAlign val="subscript"/>
        <sz val="11"/>
        <rFont val="Calibri"/>
        <family val="2"/>
        <scheme val="minor"/>
      </rPr>
      <t>STP,K</t>
    </r>
  </si>
  <si>
    <t>Standard condition (STP) temperature - 0°C in Kelvin</t>
  </si>
  <si>
    <t>0°C at 101325 Pa: IUPAC STP called Normal condition - NIST, ISO10780</t>
  </si>
  <si>
    <r>
      <t>H</t>
    </r>
    <r>
      <rPr>
        <vertAlign val="subscript"/>
        <sz val="11"/>
        <rFont val="Calibri"/>
        <family val="2"/>
        <scheme val="minor"/>
      </rPr>
      <t>STP</t>
    </r>
  </si>
  <si>
    <r>
      <t>MM</t>
    </r>
    <r>
      <rPr>
        <vertAlign val="subscript"/>
        <sz val="11"/>
        <rFont val="Calibri"/>
        <family val="2"/>
        <scheme val="minor"/>
      </rPr>
      <t>FeOH3</t>
    </r>
  </si>
  <si>
    <r>
      <t>MM</t>
    </r>
    <r>
      <rPr>
        <vertAlign val="subscript"/>
        <sz val="11"/>
        <rFont val="Calibri"/>
        <family val="2"/>
        <scheme val="minor"/>
      </rPr>
      <t>AlOH3</t>
    </r>
  </si>
  <si>
    <r>
      <t>MM</t>
    </r>
    <r>
      <rPr>
        <vertAlign val="subscript"/>
        <sz val="11"/>
        <rFont val="Calibri"/>
        <family val="2"/>
        <scheme val="minor"/>
      </rPr>
      <t>AlPO4</t>
    </r>
  </si>
  <si>
    <r>
      <t>K</t>
    </r>
    <r>
      <rPr>
        <vertAlign val="subscript"/>
        <sz val="11"/>
        <rFont val="Calibri"/>
        <family val="2"/>
        <charset val="238"/>
        <scheme val="minor"/>
      </rPr>
      <t>NH3,param</t>
    </r>
  </si>
  <si>
    <r>
      <t>K</t>
    </r>
    <r>
      <rPr>
        <vertAlign val="subscript"/>
        <sz val="11"/>
        <rFont val="Calibri"/>
        <family val="2"/>
        <charset val="238"/>
        <scheme val="minor"/>
      </rPr>
      <t>NO2,param</t>
    </r>
  </si>
  <si>
    <r>
      <t>K</t>
    </r>
    <r>
      <rPr>
        <vertAlign val="subscript"/>
        <sz val="11"/>
        <rFont val="Calibri"/>
        <family val="2"/>
        <charset val="238"/>
        <scheme val="minor"/>
      </rPr>
      <t>Ac,param</t>
    </r>
  </si>
  <si>
    <r>
      <t>K</t>
    </r>
    <r>
      <rPr>
        <vertAlign val="subscript"/>
        <sz val="11"/>
        <rFont val="Calibri"/>
        <family val="2"/>
        <charset val="238"/>
        <scheme val="minor"/>
      </rPr>
      <t>H2S,param</t>
    </r>
  </si>
  <si>
    <r>
      <t>D</t>
    </r>
    <r>
      <rPr>
        <vertAlign val="subscript"/>
        <sz val="11"/>
        <rFont val="Calibri"/>
        <family val="2"/>
        <charset val="238"/>
        <scheme val="minor"/>
      </rPr>
      <t>SVFA</t>
    </r>
  </si>
  <si>
    <r>
      <t>cm</t>
    </r>
    <r>
      <rPr>
        <vertAlign val="superscript"/>
        <sz val="11"/>
        <rFont val="Calibri"/>
        <family val="2"/>
        <charset val="238"/>
        <scheme val="minor"/>
      </rPr>
      <t>2</t>
    </r>
    <r>
      <rPr>
        <sz val="11"/>
        <rFont val="Calibri"/>
        <family val="2"/>
        <scheme val="minor"/>
      </rPr>
      <t>.s</t>
    </r>
    <r>
      <rPr>
        <vertAlign val="superscript"/>
        <sz val="11"/>
        <rFont val="Calibri"/>
        <family val="2"/>
        <charset val="238"/>
        <scheme val="minor"/>
      </rPr>
      <t>-1</t>
    </r>
  </si>
  <si>
    <r>
      <t>D</t>
    </r>
    <r>
      <rPr>
        <vertAlign val="subscript"/>
        <sz val="11"/>
        <rFont val="Calibri"/>
        <family val="2"/>
        <charset val="238"/>
        <scheme val="minor"/>
      </rPr>
      <t>SA</t>
    </r>
  </si>
  <si>
    <r>
      <t>D</t>
    </r>
    <r>
      <rPr>
        <vertAlign val="subscript"/>
        <sz val="11"/>
        <rFont val="Calibri"/>
        <family val="2"/>
        <charset val="238"/>
        <scheme val="minor"/>
      </rPr>
      <t>SBSA</t>
    </r>
  </si>
  <si>
    <r>
      <t>D</t>
    </r>
    <r>
      <rPr>
        <vertAlign val="subscript"/>
        <sz val="11"/>
        <rFont val="Calibri"/>
        <family val="2"/>
        <charset val="238"/>
        <scheme val="minor"/>
      </rPr>
      <t>SB</t>
    </r>
  </si>
  <si>
    <r>
      <t>D</t>
    </r>
    <r>
      <rPr>
        <vertAlign val="subscript"/>
        <sz val="11"/>
        <rFont val="Calibri"/>
        <family val="2"/>
        <charset val="238"/>
        <scheme val="minor"/>
      </rPr>
      <t>SB,mono</t>
    </r>
  </si>
  <si>
    <r>
      <t>D</t>
    </r>
    <r>
      <rPr>
        <vertAlign val="subscript"/>
        <sz val="11"/>
        <rFont val="Calibri"/>
        <family val="2"/>
        <charset val="238"/>
        <scheme val="minor"/>
      </rPr>
      <t>SB,poly</t>
    </r>
  </si>
  <si>
    <r>
      <t>D</t>
    </r>
    <r>
      <rPr>
        <vertAlign val="subscript"/>
        <sz val="11"/>
        <rFont val="Calibri"/>
        <family val="2"/>
        <charset val="238"/>
        <scheme val="minor"/>
      </rPr>
      <t>SS</t>
    </r>
  </si>
  <si>
    <r>
      <t>D</t>
    </r>
    <r>
      <rPr>
        <vertAlign val="subscript"/>
        <sz val="11"/>
        <rFont val="Calibri"/>
        <family val="2"/>
        <charset val="238"/>
        <scheme val="minor"/>
      </rPr>
      <t>SF</t>
    </r>
  </si>
  <si>
    <r>
      <t>D</t>
    </r>
    <r>
      <rPr>
        <vertAlign val="subscript"/>
        <sz val="11"/>
        <rFont val="Calibri"/>
        <family val="2"/>
        <charset val="238"/>
        <scheme val="minor"/>
      </rPr>
      <t>SBSC</t>
    </r>
  </si>
  <si>
    <r>
      <t>D</t>
    </r>
    <r>
      <rPr>
        <vertAlign val="subscript"/>
        <sz val="11"/>
        <rFont val="Calibri"/>
        <family val="2"/>
        <charset val="238"/>
        <scheme val="minor"/>
      </rPr>
      <t>SMEOL</t>
    </r>
  </si>
  <si>
    <r>
      <t>D</t>
    </r>
    <r>
      <rPr>
        <vertAlign val="subscript"/>
        <sz val="11"/>
        <rFont val="Calibri"/>
        <family val="2"/>
        <charset val="238"/>
        <scheme val="minor"/>
      </rPr>
      <t>SU</t>
    </r>
  </si>
  <si>
    <r>
      <t>D</t>
    </r>
    <r>
      <rPr>
        <vertAlign val="subscript"/>
        <sz val="11"/>
        <rFont val="Calibri"/>
        <family val="2"/>
        <charset val="238"/>
        <scheme val="minor"/>
      </rPr>
      <t>SI</t>
    </r>
  </si>
  <si>
    <r>
      <t>D</t>
    </r>
    <r>
      <rPr>
        <vertAlign val="subscript"/>
        <sz val="11"/>
        <rFont val="Calibri"/>
        <family val="2"/>
        <charset val="238"/>
        <scheme val="minor"/>
      </rPr>
      <t>SNHx</t>
    </r>
  </si>
  <si>
    <r>
      <t>D</t>
    </r>
    <r>
      <rPr>
        <vertAlign val="subscript"/>
        <sz val="11"/>
        <rFont val="Calibri"/>
        <family val="2"/>
        <charset val="238"/>
        <scheme val="minor"/>
      </rPr>
      <t>SNH4</t>
    </r>
  </si>
  <si>
    <r>
      <t>D</t>
    </r>
    <r>
      <rPr>
        <vertAlign val="subscript"/>
        <sz val="11"/>
        <rFont val="Calibri"/>
        <family val="2"/>
        <charset val="238"/>
        <scheme val="minor"/>
      </rPr>
      <t>SNH</t>
    </r>
  </si>
  <si>
    <r>
      <t>D</t>
    </r>
    <r>
      <rPr>
        <vertAlign val="subscript"/>
        <sz val="11"/>
        <rFont val="Calibri"/>
        <family val="2"/>
        <charset val="238"/>
        <scheme val="minor"/>
      </rPr>
      <t>NH3</t>
    </r>
  </si>
  <si>
    <r>
      <t>D</t>
    </r>
    <r>
      <rPr>
        <vertAlign val="subscript"/>
        <sz val="11"/>
        <rFont val="Calibri"/>
        <family val="2"/>
        <charset val="238"/>
        <scheme val="minor"/>
      </rPr>
      <t>NO3</t>
    </r>
  </si>
  <si>
    <r>
      <t>D</t>
    </r>
    <r>
      <rPr>
        <vertAlign val="subscript"/>
        <sz val="11"/>
        <rFont val="Calibri"/>
        <family val="2"/>
        <charset val="238"/>
        <scheme val="minor"/>
      </rPr>
      <t>PO4</t>
    </r>
  </si>
  <si>
    <r>
      <t>D</t>
    </r>
    <r>
      <rPr>
        <vertAlign val="subscript"/>
        <sz val="11"/>
        <rFont val="Calibri"/>
        <family val="2"/>
        <charset val="238"/>
        <scheme val="minor"/>
      </rPr>
      <t>SN2</t>
    </r>
  </si>
  <si>
    <r>
      <t>D</t>
    </r>
    <r>
      <rPr>
        <vertAlign val="subscript"/>
        <sz val="11"/>
        <rFont val="Calibri"/>
        <family val="2"/>
        <charset val="238"/>
        <scheme val="minor"/>
      </rPr>
      <t>NUS</t>
    </r>
  </si>
  <si>
    <r>
      <t>D</t>
    </r>
    <r>
      <rPr>
        <vertAlign val="subscript"/>
        <sz val="11"/>
        <rFont val="Calibri"/>
        <family val="2"/>
        <charset val="238"/>
        <scheme val="minor"/>
      </rPr>
      <t>NBS</t>
    </r>
  </si>
  <si>
    <r>
      <t>D</t>
    </r>
    <r>
      <rPr>
        <vertAlign val="subscript"/>
        <sz val="11"/>
        <rFont val="Calibri"/>
        <family val="2"/>
        <charset val="238"/>
        <scheme val="minor"/>
      </rPr>
      <t>SUS</t>
    </r>
  </si>
  <si>
    <r>
      <t>D</t>
    </r>
    <r>
      <rPr>
        <vertAlign val="subscript"/>
        <sz val="11"/>
        <rFont val="Calibri"/>
        <family val="2"/>
        <charset val="238"/>
        <scheme val="minor"/>
      </rPr>
      <t>SNOx</t>
    </r>
  </si>
  <si>
    <r>
      <t>D</t>
    </r>
    <r>
      <rPr>
        <vertAlign val="subscript"/>
        <sz val="11"/>
        <rFont val="Calibri"/>
        <family val="2"/>
        <charset val="238"/>
        <scheme val="minor"/>
      </rPr>
      <t>SNO2</t>
    </r>
  </si>
  <si>
    <r>
      <t>D</t>
    </r>
    <r>
      <rPr>
        <vertAlign val="subscript"/>
        <sz val="11"/>
        <rFont val="Calibri"/>
        <family val="2"/>
        <charset val="238"/>
        <scheme val="minor"/>
      </rPr>
      <t>SNO3</t>
    </r>
  </si>
  <si>
    <r>
      <t>D</t>
    </r>
    <r>
      <rPr>
        <vertAlign val="subscript"/>
        <sz val="11"/>
        <rFont val="Calibri"/>
        <family val="2"/>
        <charset val="238"/>
        <scheme val="minor"/>
      </rPr>
      <t>SN,B</t>
    </r>
  </si>
  <si>
    <r>
      <t>D</t>
    </r>
    <r>
      <rPr>
        <vertAlign val="subscript"/>
        <sz val="11"/>
        <rFont val="Calibri"/>
        <family val="2"/>
        <charset val="238"/>
        <scheme val="minor"/>
      </rPr>
      <t>SND</t>
    </r>
  </si>
  <si>
    <r>
      <t>D</t>
    </r>
    <r>
      <rPr>
        <vertAlign val="subscript"/>
        <sz val="11"/>
        <rFont val="Calibri"/>
        <family val="2"/>
        <charset val="238"/>
        <scheme val="minor"/>
      </rPr>
      <t>SPO4</t>
    </r>
  </si>
  <si>
    <r>
      <t>D</t>
    </r>
    <r>
      <rPr>
        <vertAlign val="subscript"/>
        <sz val="11"/>
        <rFont val="Calibri"/>
        <family val="2"/>
        <charset val="238"/>
        <scheme val="minor"/>
      </rPr>
      <t>SPO</t>
    </r>
  </si>
  <si>
    <r>
      <t>D</t>
    </r>
    <r>
      <rPr>
        <vertAlign val="subscript"/>
        <sz val="11"/>
        <rFont val="Calibri"/>
        <family val="2"/>
        <charset val="238"/>
        <scheme val="minor"/>
      </rPr>
      <t>SP,B</t>
    </r>
  </si>
  <si>
    <r>
      <t>D</t>
    </r>
    <r>
      <rPr>
        <vertAlign val="subscript"/>
        <sz val="11"/>
        <rFont val="Calibri"/>
        <family val="2"/>
        <charset val="238"/>
        <scheme val="minor"/>
      </rPr>
      <t>SO2</t>
    </r>
  </si>
  <si>
    <r>
      <t>D</t>
    </r>
    <r>
      <rPr>
        <vertAlign val="subscript"/>
        <sz val="11"/>
        <rFont val="Calibri"/>
        <family val="2"/>
        <charset val="238"/>
        <scheme val="minor"/>
      </rPr>
      <t>SCH4</t>
    </r>
  </si>
  <si>
    <r>
      <t>D</t>
    </r>
    <r>
      <rPr>
        <vertAlign val="subscript"/>
        <sz val="11"/>
        <rFont val="Calibri"/>
        <family val="2"/>
        <charset val="238"/>
        <scheme val="minor"/>
      </rPr>
      <t>SH2</t>
    </r>
  </si>
  <si>
    <r>
      <t>D</t>
    </r>
    <r>
      <rPr>
        <vertAlign val="subscript"/>
        <sz val="11"/>
        <rFont val="Calibri"/>
        <family val="2"/>
        <charset val="238"/>
        <scheme val="minor"/>
      </rPr>
      <t>SCO2</t>
    </r>
  </si>
  <si>
    <r>
      <t>D</t>
    </r>
    <r>
      <rPr>
        <vertAlign val="subscript"/>
        <sz val="11"/>
        <rFont val="Calibri"/>
        <family val="2"/>
        <charset val="238"/>
        <scheme val="minor"/>
      </rPr>
      <t>SK</t>
    </r>
  </si>
  <si>
    <r>
      <t>D</t>
    </r>
    <r>
      <rPr>
        <vertAlign val="subscript"/>
        <sz val="11"/>
        <rFont val="Calibri"/>
        <family val="2"/>
        <charset val="238"/>
        <scheme val="minor"/>
      </rPr>
      <t>SCa</t>
    </r>
  </si>
  <si>
    <r>
      <t>D</t>
    </r>
    <r>
      <rPr>
        <vertAlign val="subscript"/>
        <sz val="11"/>
        <rFont val="Calibri"/>
        <family val="2"/>
        <charset val="238"/>
        <scheme val="minor"/>
      </rPr>
      <t>SMg</t>
    </r>
  </si>
  <si>
    <r>
      <t>D</t>
    </r>
    <r>
      <rPr>
        <vertAlign val="subscript"/>
        <sz val="11"/>
        <rFont val="Calibri"/>
        <family val="2"/>
        <charset val="238"/>
        <scheme val="minor"/>
      </rPr>
      <t>SCAT</t>
    </r>
  </si>
  <si>
    <r>
      <t>D</t>
    </r>
    <r>
      <rPr>
        <vertAlign val="subscript"/>
        <sz val="11"/>
        <rFont val="Calibri"/>
        <family val="2"/>
        <charset val="238"/>
        <scheme val="minor"/>
      </rPr>
      <t>SAN</t>
    </r>
  </si>
  <si>
    <r>
      <t>D</t>
    </r>
    <r>
      <rPr>
        <vertAlign val="subscript"/>
        <sz val="11"/>
        <rFont val="Calibri"/>
        <family val="2"/>
        <charset val="238"/>
        <scheme val="minor"/>
      </rPr>
      <t>SH2S</t>
    </r>
  </si>
  <si>
    <r>
      <t>D</t>
    </r>
    <r>
      <rPr>
        <vertAlign val="subscript"/>
        <sz val="11"/>
        <rFont val="Calibri"/>
        <family val="2"/>
        <charset val="238"/>
        <scheme val="minor"/>
      </rPr>
      <t>SSO4</t>
    </r>
  </si>
  <si>
    <r>
      <t>D</t>
    </r>
    <r>
      <rPr>
        <vertAlign val="subscript"/>
        <sz val="11"/>
        <rFont val="Calibri"/>
        <family val="2"/>
        <charset val="238"/>
        <scheme val="minor"/>
      </rPr>
      <t>SFe2</t>
    </r>
  </si>
  <si>
    <r>
      <t>D</t>
    </r>
    <r>
      <rPr>
        <vertAlign val="subscript"/>
        <sz val="11"/>
        <rFont val="Calibri"/>
        <family val="2"/>
        <charset val="238"/>
        <scheme val="minor"/>
      </rPr>
      <t>SALK</t>
    </r>
  </si>
  <si>
    <r>
      <t>D</t>
    </r>
    <r>
      <rPr>
        <vertAlign val="subscript"/>
        <sz val="11"/>
        <rFont val="Calibri"/>
        <family val="2"/>
        <charset val="238"/>
        <scheme val="minor"/>
      </rPr>
      <t>SMM,index</t>
    </r>
  </si>
  <si>
    <r>
      <t>D</t>
    </r>
    <r>
      <rPr>
        <vertAlign val="subscript"/>
        <sz val="11"/>
        <rFont val="Calibri"/>
        <family val="2"/>
        <charset val="238"/>
        <scheme val="minor"/>
      </rPr>
      <t>CB</t>
    </r>
  </si>
  <si>
    <r>
      <t>D</t>
    </r>
    <r>
      <rPr>
        <vertAlign val="subscript"/>
        <sz val="11"/>
        <rFont val="Calibri"/>
        <family val="2"/>
        <charset val="238"/>
        <scheme val="minor"/>
      </rPr>
      <t>CU</t>
    </r>
  </si>
  <si>
    <r>
      <t>f</t>
    </r>
    <r>
      <rPr>
        <vertAlign val="subscript"/>
        <sz val="11"/>
        <rFont val="Calibri"/>
        <family val="2"/>
        <scheme val="minor"/>
      </rPr>
      <t>mono,ISlim</t>
    </r>
  </si>
  <si>
    <r>
      <t>f</t>
    </r>
    <r>
      <rPr>
        <vertAlign val="subscript"/>
        <sz val="11"/>
        <rFont val="Calibri"/>
        <family val="2"/>
        <scheme val="minor"/>
      </rPr>
      <t>di,ISlim</t>
    </r>
  </si>
  <si>
    <r>
      <t>f</t>
    </r>
    <r>
      <rPr>
        <vertAlign val="subscript"/>
        <sz val="11"/>
        <rFont val="Calibri"/>
        <family val="2"/>
        <scheme val="minor"/>
      </rPr>
      <t>tri,ISlim</t>
    </r>
  </si>
  <si>
    <r>
      <t>Slope</t>
    </r>
    <r>
      <rPr>
        <vertAlign val="subscript"/>
        <sz val="11"/>
        <rFont val="Calibri"/>
        <family val="2"/>
        <scheme val="minor"/>
      </rPr>
      <t>IS,corr</t>
    </r>
  </si>
  <si>
    <r>
      <t>y</t>
    </r>
    <r>
      <rPr>
        <vertAlign val="subscript"/>
        <sz val="11"/>
        <rFont val="Calibri"/>
        <family val="2"/>
        <scheme val="minor"/>
      </rPr>
      <t>fmono</t>
    </r>
  </si>
  <si>
    <r>
      <t>f</t>
    </r>
    <r>
      <rPr>
        <vertAlign val="subscript"/>
        <sz val="11"/>
        <rFont val="Calibri"/>
        <family val="2"/>
        <scheme val="minor"/>
      </rPr>
      <t>mono,ISlim</t>
    </r>
    <r>
      <rPr>
        <sz val="11"/>
        <rFont val="Calibri"/>
        <family val="2"/>
        <scheme val="minor"/>
      </rPr>
      <t xml:space="preserve"> - IS</t>
    </r>
    <r>
      <rPr>
        <vertAlign val="subscript"/>
        <sz val="11"/>
        <rFont val="Calibri"/>
        <family val="2"/>
        <scheme val="minor"/>
      </rPr>
      <t>lim</t>
    </r>
    <r>
      <rPr>
        <sz val="11"/>
        <rFont val="Calibri"/>
        <family val="2"/>
        <scheme val="minor"/>
      </rPr>
      <t>*Slope</t>
    </r>
    <r>
      <rPr>
        <vertAlign val="subscript"/>
        <sz val="11"/>
        <rFont val="Calibri"/>
        <family val="2"/>
        <scheme val="minor"/>
      </rPr>
      <t>IS,corr</t>
    </r>
  </si>
  <si>
    <r>
      <t>f</t>
    </r>
    <r>
      <rPr>
        <vertAlign val="subscript"/>
        <sz val="11"/>
        <rFont val="Calibri"/>
        <family val="2"/>
        <scheme val="minor"/>
      </rPr>
      <t>di,ISlim</t>
    </r>
    <r>
      <rPr>
        <sz val="11"/>
        <rFont val="Calibri"/>
        <family val="2"/>
        <scheme val="minor"/>
      </rPr>
      <t xml:space="preserve"> - IS</t>
    </r>
    <r>
      <rPr>
        <vertAlign val="subscript"/>
        <sz val="11"/>
        <rFont val="Calibri"/>
        <family val="2"/>
        <scheme val="minor"/>
      </rPr>
      <t>lim</t>
    </r>
    <r>
      <rPr>
        <sz val="11"/>
        <rFont val="Calibri"/>
        <family val="2"/>
        <scheme val="minor"/>
      </rPr>
      <t>*Slope</t>
    </r>
    <r>
      <rPr>
        <vertAlign val="subscript"/>
        <sz val="11"/>
        <rFont val="Calibri"/>
        <family val="2"/>
        <scheme val="minor"/>
      </rPr>
      <t>IS,corr</t>
    </r>
  </si>
  <si>
    <r>
      <t>f</t>
    </r>
    <r>
      <rPr>
        <vertAlign val="subscript"/>
        <sz val="11"/>
        <rFont val="Calibri"/>
        <family val="2"/>
        <scheme val="minor"/>
      </rPr>
      <t>tri,ISlim</t>
    </r>
    <r>
      <rPr>
        <sz val="11"/>
        <rFont val="Calibri"/>
        <family val="2"/>
        <scheme val="minor"/>
      </rPr>
      <t xml:space="preserve"> - IS</t>
    </r>
    <r>
      <rPr>
        <vertAlign val="subscript"/>
        <sz val="11"/>
        <rFont val="Calibri"/>
        <family val="2"/>
        <scheme val="minor"/>
      </rPr>
      <t>lim</t>
    </r>
    <r>
      <rPr>
        <sz val="11"/>
        <rFont val="Calibri"/>
        <family val="2"/>
        <scheme val="minor"/>
      </rPr>
      <t>*Slope</t>
    </r>
    <r>
      <rPr>
        <vertAlign val="subscript"/>
        <sz val="11"/>
        <rFont val="Calibri"/>
        <family val="2"/>
        <scheme val="minor"/>
      </rPr>
      <t>IS,corr</t>
    </r>
  </si>
  <si>
    <r>
      <t>y</t>
    </r>
    <r>
      <rPr>
        <vertAlign val="subscript"/>
        <sz val="11"/>
        <rFont val="Calibri"/>
        <family val="2"/>
        <scheme val="minor"/>
      </rPr>
      <t>fdi</t>
    </r>
  </si>
  <si>
    <r>
      <t>y</t>
    </r>
    <r>
      <rPr>
        <vertAlign val="subscript"/>
        <sz val="11"/>
        <rFont val="Calibri"/>
        <family val="2"/>
        <scheme val="minor"/>
      </rPr>
      <t>ftri</t>
    </r>
  </si>
  <si>
    <r>
      <t>If(IS &lt; IS</t>
    </r>
    <r>
      <rPr>
        <vertAlign val="subscript"/>
        <sz val="11"/>
        <rFont val="Calibri"/>
        <family val="2"/>
        <scheme val="minor"/>
      </rPr>
      <t>lim</t>
    </r>
    <r>
      <rPr>
        <sz val="11"/>
        <rFont val="Calibri"/>
        <family val="2"/>
        <scheme val="minor"/>
      </rPr>
      <t>; 10^(-A</t>
    </r>
    <r>
      <rPr>
        <vertAlign val="subscript"/>
        <sz val="11"/>
        <rFont val="Calibri"/>
        <family val="2"/>
        <scheme val="minor"/>
      </rPr>
      <t>Davies</t>
    </r>
    <r>
      <rPr>
        <sz val="11"/>
        <rFont val="Calibri"/>
        <family val="2"/>
        <scheme val="minor"/>
      </rPr>
      <t>*1^(2)*(IS^(0.5)/(1+1.5*IS^(0.5))-0.3*IS)); Slope</t>
    </r>
    <r>
      <rPr>
        <vertAlign val="subscript"/>
        <sz val="11"/>
        <rFont val="Calibri"/>
        <family val="2"/>
        <scheme val="minor"/>
      </rPr>
      <t>IS,corr</t>
    </r>
    <r>
      <rPr>
        <sz val="11"/>
        <rFont val="Calibri"/>
        <family val="2"/>
        <scheme val="minor"/>
      </rPr>
      <t xml:space="preserve"> * IS + y</t>
    </r>
    <r>
      <rPr>
        <vertAlign val="subscript"/>
        <sz val="11"/>
        <rFont val="Calibri"/>
        <family val="2"/>
        <scheme val="minor"/>
      </rPr>
      <t>fmono</t>
    </r>
    <r>
      <rPr>
        <sz val="11"/>
        <rFont val="Calibri"/>
        <family val="2"/>
        <scheme val="minor"/>
      </rPr>
      <t>)</t>
    </r>
  </si>
  <si>
    <r>
      <t>If(IS &lt; IS</t>
    </r>
    <r>
      <rPr>
        <vertAlign val="subscript"/>
        <sz val="11"/>
        <rFont val="Calibri"/>
        <family val="2"/>
        <scheme val="minor"/>
      </rPr>
      <t>lim</t>
    </r>
    <r>
      <rPr>
        <sz val="11"/>
        <rFont val="Calibri"/>
        <family val="2"/>
        <scheme val="minor"/>
      </rPr>
      <t>; 10^(-A</t>
    </r>
    <r>
      <rPr>
        <vertAlign val="subscript"/>
        <sz val="11"/>
        <rFont val="Calibri"/>
        <family val="2"/>
        <scheme val="minor"/>
      </rPr>
      <t>Davies</t>
    </r>
    <r>
      <rPr>
        <sz val="11"/>
        <rFont val="Calibri"/>
        <family val="2"/>
        <scheme val="minor"/>
      </rPr>
      <t>*3^(2)*(IS^(0.5)/(1+1.5*IS^(0.5))-0.3*IS)); Slope</t>
    </r>
    <r>
      <rPr>
        <vertAlign val="subscript"/>
        <sz val="11"/>
        <rFont val="Calibri"/>
        <family val="2"/>
        <scheme val="minor"/>
      </rPr>
      <t>IS,corr</t>
    </r>
    <r>
      <rPr>
        <sz val="11"/>
        <rFont val="Calibri"/>
        <family val="2"/>
        <scheme val="minor"/>
      </rPr>
      <t xml:space="preserve"> * IS + y</t>
    </r>
    <r>
      <rPr>
        <vertAlign val="subscript"/>
        <sz val="11"/>
        <rFont val="Calibri"/>
        <family val="2"/>
        <scheme val="minor"/>
      </rPr>
      <t>ftri</t>
    </r>
    <r>
      <rPr>
        <sz val="11"/>
        <rFont val="Calibri"/>
        <family val="2"/>
        <scheme val="minor"/>
      </rPr>
      <t>)</t>
    </r>
  </si>
  <si>
    <r>
      <t>If(IS &lt; IS</t>
    </r>
    <r>
      <rPr>
        <vertAlign val="subscript"/>
        <sz val="11"/>
        <rFont val="Calibri"/>
        <family val="2"/>
        <scheme val="minor"/>
      </rPr>
      <t>lim</t>
    </r>
    <r>
      <rPr>
        <sz val="11"/>
        <rFont val="Calibri"/>
        <family val="2"/>
        <scheme val="minor"/>
      </rPr>
      <t>; 10^(-A</t>
    </r>
    <r>
      <rPr>
        <vertAlign val="subscript"/>
        <sz val="11"/>
        <rFont val="Calibri"/>
        <family val="2"/>
        <scheme val="minor"/>
      </rPr>
      <t>Davies</t>
    </r>
    <r>
      <rPr>
        <sz val="11"/>
        <rFont val="Calibri"/>
        <family val="2"/>
        <scheme val="minor"/>
      </rPr>
      <t>*2^(2)*(IS^(0.5)/(1+1.5*IS^(0.5))-0.3*IS)); Slope</t>
    </r>
    <r>
      <rPr>
        <vertAlign val="subscript"/>
        <sz val="11"/>
        <rFont val="Calibri"/>
        <family val="2"/>
        <scheme val="minor"/>
      </rPr>
      <t>IS,corr</t>
    </r>
    <r>
      <rPr>
        <sz val="11"/>
        <rFont val="Calibri"/>
        <family val="2"/>
        <scheme val="minor"/>
      </rPr>
      <t xml:space="preserve"> * IS + y</t>
    </r>
    <r>
      <rPr>
        <vertAlign val="subscript"/>
        <sz val="11"/>
        <rFont val="Calibri"/>
        <family val="2"/>
        <scheme val="minor"/>
      </rPr>
      <t>fdi</t>
    </r>
    <r>
      <rPr>
        <sz val="11"/>
        <rFont val="Calibri"/>
        <family val="2"/>
        <scheme val="minor"/>
      </rPr>
      <t>)</t>
    </r>
  </si>
  <si>
    <r>
      <t>Intercept of f</t>
    </r>
    <r>
      <rPr>
        <vertAlign val="subscript"/>
        <sz val="11"/>
        <color rgb="FF000000"/>
        <rFont val="Calibri"/>
        <family val="2"/>
        <scheme val="minor"/>
      </rPr>
      <t>di</t>
    </r>
    <r>
      <rPr>
        <sz val="11"/>
        <color rgb="FF000000"/>
        <rFont val="Calibri"/>
        <family val="2"/>
        <charset val="238"/>
        <scheme val="minor"/>
      </rPr>
      <t xml:space="preserve"> correction</t>
    </r>
  </si>
  <si>
    <r>
      <t>Intercept of f</t>
    </r>
    <r>
      <rPr>
        <vertAlign val="subscript"/>
        <sz val="11"/>
        <color rgb="FF000000"/>
        <rFont val="Calibri"/>
        <family val="2"/>
        <scheme val="minor"/>
      </rPr>
      <t>tri</t>
    </r>
    <r>
      <rPr>
        <sz val="11"/>
        <color rgb="FF000000"/>
        <rFont val="Calibri"/>
        <family val="2"/>
        <charset val="238"/>
        <scheme val="minor"/>
      </rPr>
      <t xml:space="preserve"> correction</t>
    </r>
  </si>
  <si>
    <r>
      <t>Intercept of f</t>
    </r>
    <r>
      <rPr>
        <vertAlign val="subscript"/>
        <sz val="11"/>
        <color rgb="FF000000"/>
        <rFont val="Calibri"/>
        <family val="2"/>
        <scheme val="minor"/>
      </rPr>
      <t>mono</t>
    </r>
    <r>
      <rPr>
        <sz val="11"/>
        <color rgb="FF000000"/>
        <rFont val="Calibri"/>
        <family val="2"/>
        <charset val="238"/>
        <scheme val="minor"/>
      </rPr>
      <t xml:space="preserve"> correction</t>
    </r>
  </si>
  <si>
    <r>
      <t>Monovalent activity coefficient at IS</t>
    </r>
    <r>
      <rPr>
        <vertAlign val="subscript"/>
        <sz val="11"/>
        <rFont val="Calibri"/>
        <family val="2"/>
        <scheme val="minor"/>
      </rPr>
      <t>lim</t>
    </r>
  </si>
  <si>
    <r>
      <t>Trivalent activity coefficient at IS</t>
    </r>
    <r>
      <rPr>
        <vertAlign val="subscript"/>
        <sz val="11"/>
        <rFont val="Calibri"/>
        <family val="2"/>
        <scheme val="minor"/>
      </rPr>
      <t>lim</t>
    </r>
  </si>
  <si>
    <r>
      <t>Divalent activity coefficient at IS</t>
    </r>
    <r>
      <rPr>
        <vertAlign val="subscript"/>
        <sz val="11"/>
        <rFont val="Calibri"/>
        <family val="2"/>
        <scheme val="minor"/>
      </rPr>
      <t>lim</t>
    </r>
  </si>
  <si>
    <t>Slope of correction</t>
  </si>
  <si>
    <r>
      <t>MJ.m</t>
    </r>
    <r>
      <rPr>
        <vertAlign val="superscript"/>
        <sz val="11"/>
        <rFont val="Calibri"/>
        <family val="2"/>
        <scheme val="minor"/>
      </rPr>
      <t>-3</t>
    </r>
    <r>
      <rPr>
        <sz val="11"/>
        <rFont val="Calibri"/>
        <family val="2"/>
        <scheme val="minor"/>
      </rPr>
      <t>.K</t>
    </r>
    <r>
      <rPr>
        <vertAlign val="superscript"/>
        <sz val="11"/>
        <rFont val="Calibri"/>
        <family val="2"/>
        <scheme val="minor"/>
      </rPr>
      <t>-1</t>
    </r>
  </si>
  <si>
    <r>
      <t>MJ.m</t>
    </r>
    <r>
      <rPr>
        <vertAlign val="superscript"/>
        <sz val="11"/>
        <rFont val="Calibri"/>
        <family val="2"/>
      </rPr>
      <t>-3</t>
    </r>
  </si>
  <si>
    <t>One-step whole-plant model</t>
  </si>
  <si>
    <t>r77</t>
  </si>
  <si>
    <t>r78</t>
  </si>
  <si>
    <t>Flocculation of colloidal biodegradable substrate with polymers</t>
  </si>
  <si>
    <t>Flocculation of colloidal unbiodegradable organics with polymers</t>
  </si>
  <si>
    <r>
      <t>rate</t>
    </r>
    <r>
      <rPr>
        <vertAlign val="subscript"/>
        <sz val="11"/>
        <rFont val="Calibri"/>
        <family val="2"/>
      </rPr>
      <t>FLOC,CB,polymer</t>
    </r>
  </si>
  <si>
    <t>Rate of flocculation of colloidal biodegradable substrate with polymers</t>
  </si>
  <si>
    <t>only if polymers are added, calculated in three compartments clarifier and primary</t>
  </si>
  <si>
    <r>
      <t>rate</t>
    </r>
    <r>
      <rPr>
        <vertAlign val="subscript"/>
        <sz val="11"/>
        <rFont val="Calibri"/>
        <family val="2"/>
      </rPr>
      <t>FLOC,CU,polymer</t>
    </r>
  </si>
  <si>
    <t>Rate of flocculation of colloidal unbiodegradable substrate with polymers</t>
  </si>
  <si>
    <r>
      <t>f(C</t>
    </r>
    <r>
      <rPr>
        <vertAlign val="subscript"/>
        <sz val="11"/>
        <rFont val="Calibri"/>
        <family val="2"/>
      </rPr>
      <t>B</t>
    </r>
    <r>
      <rPr>
        <sz val="11"/>
        <rFont val="Calibri"/>
        <family val="2"/>
      </rPr>
      <t>)</t>
    </r>
  </si>
  <si>
    <r>
      <t>f(C</t>
    </r>
    <r>
      <rPr>
        <vertAlign val="subscript"/>
        <sz val="11"/>
        <rFont val="Calibri"/>
        <family val="2"/>
      </rPr>
      <t>U</t>
    </r>
    <r>
      <rPr>
        <sz val="11"/>
        <rFont val="Calibri"/>
        <family val="2"/>
      </rPr>
      <t>)</t>
    </r>
  </si>
  <si>
    <t>Polymer</t>
  </si>
  <si>
    <t>r79</t>
  </si>
  <si>
    <r>
      <t>Dissolution of P from X</t>
    </r>
    <r>
      <rPr>
        <vertAlign val="subscript"/>
        <sz val="11"/>
        <color rgb="FF000000"/>
        <rFont val="Calibri"/>
        <family val="2"/>
        <scheme val="minor"/>
      </rPr>
      <t>HFO,H,P,old</t>
    </r>
    <r>
      <rPr>
        <sz val="11"/>
        <color rgb="FF000000"/>
        <rFont val="Calibri"/>
        <family val="2"/>
        <charset val="238"/>
        <scheme val="minor"/>
      </rPr>
      <t xml:space="preserve"> and X</t>
    </r>
    <r>
      <rPr>
        <vertAlign val="subscript"/>
        <sz val="11"/>
        <color rgb="FF000000"/>
        <rFont val="Calibri"/>
        <family val="2"/>
        <scheme val="minor"/>
      </rPr>
      <t>HFO,L,P,old</t>
    </r>
  </si>
  <si>
    <r>
      <t>-X</t>
    </r>
    <r>
      <rPr>
        <vertAlign val="subscript"/>
        <sz val="11"/>
        <rFont val="Calibri"/>
        <family val="2"/>
      </rPr>
      <t>HFO,H,P,old</t>
    </r>
    <r>
      <rPr>
        <sz val="11"/>
        <rFont val="Calibri"/>
        <family val="2"/>
      </rPr>
      <t>/(X</t>
    </r>
    <r>
      <rPr>
        <vertAlign val="subscript"/>
        <sz val="11"/>
        <rFont val="Calibri"/>
        <family val="2"/>
      </rPr>
      <t>HFO,H,P,old</t>
    </r>
    <r>
      <rPr>
        <sz val="11"/>
        <rFont val="Calibri"/>
        <family val="2"/>
      </rPr>
      <t>+X</t>
    </r>
    <r>
      <rPr>
        <vertAlign val="subscript"/>
        <sz val="11"/>
        <rFont val="Calibri"/>
        <family val="2"/>
      </rPr>
      <t>HFO,L,P,old</t>
    </r>
    <r>
      <rPr>
        <sz val="11"/>
        <rFont val="Calibri"/>
        <family val="2"/>
      </rPr>
      <t>)</t>
    </r>
  </si>
  <si>
    <r>
      <t>-X</t>
    </r>
    <r>
      <rPr>
        <vertAlign val="subscript"/>
        <sz val="11"/>
        <rFont val="Calibri"/>
        <family val="2"/>
      </rPr>
      <t>HFO,L,P,old</t>
    </r>
    <r>
      <rPr>
        <sz val="11"/>
        <rFont val="Calibri"/>
        <family val="2"/>
      </rPr>
      <t>/(X</t>
    </r>
    <r>
      <rPr>
        <vertAlign val="subscript"/>
        <sz val="11"/>
        <rFont val="Calibri"/>
        <family val="2"/>
      </rPr>
      <t>HFO,H,P,old</t>
    </r>
    <r>
      <rPr>
        <sz val="11"/>
        <rFont val="Calibri"/>
        <family val="2"/>
      </rPr>
      <t>+X</t>
    </r>
    <r>
      <rPr>
        <vertAlign val="subscript"/>
        <sz val="11"/>
        <rFont val="Calibri"/>
        <family val="2"/>
      </rPr>
      <t>HFO,L,P,old</t>
    </r>
    <r>
      <rPr>
        <sz val="11"/>
        <rFont val="Calibri"/>
        <family val="2"/>
      </rPr>
      <t>)</t>
    </r>
  </si>
  <si>
    <r>
      <t>Rate of X</t>
    </r>
    <r>
      <rPr>
        <vertAlign val="subscript"/>
        <sz val="11"/>
        <color rgb="FF000000"/>
        <rFont val="Calibri"/>
        <family val="2"/>
        <scheme val="minor"/>
      </rPr>
      <t>HFO,H,P,old</t>
    </r>
    <r>
      <rPr>
        <sz val="11"/>
        <color rgb="FF000000"/>
        <rFont val="Calibri"/>
        <family val="2"/>
        <charset val="238"/>
        <scheme val="minor"/>
      </rPr>
      <t xml:space="preserve"> and X</t>
    </r>
    <r>
      <rPr>
        <vertAlign val="subscript"/>
        <sz val="11"/>
        <color rgb="FF000000"/>
        <rFont val="Calibri"/>
        <family val="2"/>
        <scheme val="minor"/>
      </rPr>
      <t>HFO,L,P,old</t>
    </r>
    <r>
      <rPr>
        <sz val="11"/>
        <color rgb="FF000000"/>
        <rFont val="Calibri"/>
        <family val="2"/>
        <charset val="238"/>
        <scheme val="minor"/>
      </rPr>
      <t xml:space="preserve"> redissolution</t>
    </r>
  </si>
  <si>
    <r>
      <t>Desorption of P from X</t>
    </r>
    <r>
      <rPr>
        <vertAlign val="subscript"/>
        <sz val="11"/>
        <color rgb="FF000000"/>
        <rFont val="Calibri"/>
        <family val="2"/>
        <scheme val="minor"/>
      </rPr>
      <t>HFO,H,P</t>
    </r>
  </si>
  <si>
    <r>
      <t>Desorption of P from X</t>
    </r>
    <r>
      <rPr>
        <vertAlign val="subscript"/>
        <sz val="11"/>
        <color rgb="FF000000"/>
        <rFont val="Calibri"/>
        <family val="2"/>
        <scheme val="minor"/>
      </rPr>
      <t>HFO,L,P</t>
    </r>
  </si>
  <si>
    <r>
      <t>Half-inhibition of PO</t>
    </r>
    <r>
      <rPr>
        <vertAlign val="subscript"/>
        <sz val="11"/>
        <color rgb="FF000000"/>
        <rFont val="Calibri"/>
        <family val="2"/>
        <scheme val="minor"/>
      </rPr>
      <t>4</t>
    </r>
    <r>
      <rPr>
        <sz val="11"/>
        <color rgb="FF000000"/>
        <rFont val="Calibri"/>
        <family val="2"/>
        <charset val="238"/>
        <scheme val="minor"/>
      </rPr>
      <t xml:space="preserve"> in HFO desorption</t>
    </r>
  </si>
  <si>
    <r>
      <t>Inhibition term for PO</t>
    </r>
    <r>
      <rPr>
        <vertAlign val="subscript"/>
        <sz val="11"/>
        <color rgb="FF000000"/>
        <rFont val="Calibri"/>
        <family val="2"/>
        <scheme val="minor"/>
      </rPr>
      <t>4</t>
    </r>
    <r>
      <rPr>
        <sz val="11"/>
        <color rgb="FF000000"/>
        <rFont val="Calibri"/>
        <family val="2"/>
        <charset val="238"/>
        <scheme val="minor"/>
      </rPr>
      <t xml:space="preserve"> in desorption of HFO</t>
    </r>
  </si>
  <si>
    <r>
      <t>q</t>
    </r>
    <r>
      <rPr>
        <vertAlign val="subscript"/>
        <sz val="11"/>
        <rFont val="Calibri"/>
        <family val="2"/>
        <scheme val="minor"/>
      </rPr>
      <t>HFOH,DESORP</t>
    </r>
  </si>
  <si>
    <r>
      <t>q</t>
    </r>
    <r>
      <rPr>
        <vertAlign val="subscript"/>
        <sz val="11"/>
        <rFont val="Calibri"/>
        <family val="2"/>
        <scheme val="minor"/>
      </rPr>
      <t>HFOL,DESORP</t>
    </r>
  </si>
  <si>
    <r>
      <t>Rate of X</t>
    </r>
    <r>
      <rPr>
        <vertAlign val="subscript"/>
        <sz val="11"/>
        <color rgb="FF000000"/>
        <rFont val="Calibri"/>
        <family val="2"/>
        <scheme val="minor"/>
      </rPr>
      <t>HFO,H,P</t>
    </r>
    <r>
      <rPr>
        <sz val="11"/>
        <color rgb="FF000000"/>
        <rFont val="Calibri"/>
        <family val="2"/>
        <charset val="238"/>
        <scheme val="minor"/>
      </rPr>
      <t xml:space="preserve"> desorption</t>
    </r>
  </si>
  <si>
    <r>
      <t>Rate of X</t>
    </r>
    <r>
      <rPr>
        <vertAlign val="subscript"/>
        <sz val="11"/>
        <color rgb="FF000000"/>
        <rFont val="Calibri"/>
        <family val="2"/>
        <scheme val="minor"/>
      </rPr>
      <t>HFO,L,P</t>
    </r>
    <r>
      <rPr>
        <sz val="11"/>
        <color rgb="FF000000"/>
        <rFont val="Calibri"/>
        <family val="2"/>
        <charset val="238"/>
        <scheme val="minor"/>
      </rPr>
      <t xml:space="preserve"> desorption</t>
    </r>
  </si>
  <si>
    <r>
      <t>q</t>
    </r>
    <r>
      <rPr>
        <vertAlign val="subscript"/>
        <sz val="11"/>
        <rFont val="Calibri"/>
        <family val="2"/>
        <scheme val="minor"/>
      </rPr>
      <t>HFO,DISS</t>
    </r>
  </si>
  <si>
    <r>
      <t>q</t>
    </r>
    <r>
      <rPr>
        <vertAlign val="subscript"/>
        <sz val="11"/>
        <rFont val="Calibri"/>
        <family val="2"/>
      </rPr>
      <t>HFOH,AGING</t>
    </r>
    <r>
      <rPr>
        <sz val="11"/>
        <rFont val="Calibri"/>
        <family val="2"/>
      </rPr>
      <t xml:space="preserve"> *(X</t>
    </r>
    <r>
      <rPr>
        <vertAlign val="subscript"/>
        <sz val="11"/>
        <rFont val="Calibri"/>
        <family val="2"/>
      </rPr>
      <t>HFO,H</t>
    </r>
    <r>
      <rPr>
        <sz val="11"/>
        <rFont val="Calibri"/>
        <family val="2"/>
      </rPr>
      <t>+X</t>
    </r>
    <r>
      <rPr>
        <vertAlign val="subscript"/>
        <sz val="11"/>
        <rFont val="Calibri"/>
        <family val="2"/>
      </rPr>
      <t>HFO,H,P</t>
    </r>
    <r>
      <rPr>
        <sz val="11"/>
        <rFont val="Calibri"/>
        <family val="2"/>
      </rPr>
      <t>)</t>
    </r>
  </si>
  <si>
    <r>
      <t>q</t>
    </r>
    <r>
      <rPr>
        <vertAlign val="subscript"/>
        <sz val="11"/>
        <rFont val="Calibri"/>
        <family val="2"/>
      </rPr>
      <t>HFOL,AGING</t>
    </r>
    <r>
      <rPr>
        <sz val="11"/>
        <rFont val="Calibri"/>
        <family val="2"/>
      </rPr>
      <t xml:space="preserve"> *(X</t>
    </r>
    <r>
      <rPr>
        <vertAlign val="subscript"/>
        <sz val="11"/>
        <rFont val="Calibri"/>
        <family val="2"/>
      </rPr>
      <t>HFO,L</t>
    </r>
    <r>
      <rPr>
        <sz val="11"/>
        <rFont val="Calibri"/>
        <family val="2"/>
      </rPr>
      <t>+X</t>
    </r>
    <r>
      <rPr>
        <vertAlign val="subscript"/>
        <sz val="11"/>
        <rFont val="Calibri"/>
        <family val="2"/>
      </rPr>
      <t>HFO,L,P</t>
    </r>
    <r>
      <rPr>
        <sz val="11"/>
        <rFont val="Calibri"/>
        <family val="2"/>
      </rPr>
      <t>)</t>
    </r>
  </si>
  <si>
    <r>
      <t>q</t>
    </r>
    <r>
      <rPr>
        <vertAlign val="subscript"/>
        <sz val="11"/>
        <rFont val="Calibri"/>
        <family val="2"/>
      </rPr>
      <t>Fe2,OX,T</t>
    </r>
    <r>
      <rPr>
        <sz val="11"/>
        <rFont val="Calibri"/>
        <family val="2"/>
      </rPr>
      <t>*S</t>
    </r>
    <r>
      <rPr>
        <vertAlign val="subscript"/>
        <sz val="11"/>
        <rFont val="Calibri"/>
        <family val="2"/>
      </rPr>
      <t>Fe2</t>
    </r>
    <r>
      <rPr>
        <sz val="11"/>
        <rFont val="Calibri"/>
        <family val="2"/>
      </rPr>
      <t>*Msat</t>
    </r>
    <r>
      <rPr>
        <vertAlign val="subscript"/>
        <sz val="11"/>
        <rFont val="Calibri"/>
        <family val="2"/>
      </rPr>
      <t>SO2,KO2,OHO</t>
    </r>
  </si>
  <si>
    <t>Carbonic acid and free ammonia calculation when pH is off</t>
  </si>
  <si>
    <t>These components are calculated for a pH of 7 when pH is disabled,</t>
  </si>
  <si>
    <r>
      <t>CO</t>
    </r>
    <r>
      <rPr>
        <vertAlign val="subscript"/>
        <sz val="11"/>
        <color indexed="8"/>
        <rFont val="Calibri"/>
        <family val="2"/>
        <scheme val="minor"/>
      </rPr>
      <t>2</t>
    </r>
    <r>
      <rPr>
        <sz val="11"/>
        <color indexed="8"/>
        <rFont val="Calibri"/>
        <family val="2"/>
        <scheme val="minor"/>
      </rPr>
      <t xml:space="preserve"> and NH</t>
    </r>
    <r>
      <rPr>
        <vertAlign val="subscript"/>
        <sz val="11"/>
        <color indexed="8"/>
        <rFont val="Calibri"/>
        <family val="2"/>
        <scheme val="minor"/>
      </rPr>
      <t>3</t>
    </r>
    <r>
      <rPr>
        <sz val="11"/>
        <color indexed="8"/>
        <rFont val="Calibri"/>
        <family val="2"/>
        <scheme val="minor"/>
      </rPr>
      <t xml:space="preserve"> gas transfer depends on pH one equilibrium species: H2CO3 and NH3 for CO2 and NH3, respectively. </t>
    </r>
  </si>
  <si>
    <r>
      <t>pH</t>
    </r>
    <r>
      <rPr>
        <vertAlign val="subscript"/>
        <sz val="11"/>
        <rFont val="Calibri"/>
        <family val="2"/>
        <scheme val="minor"/>
      </rPr>
      <t>field</t>
    </r>
  </si>
  <si>
    <t>pH in process unit</t>
  </si>
  <si>
    <r>
      <t>IS</t>
    </r>
    <r>
      <rPr>
        <vertAlign val="subscript"/>
        <sz val="11"/>
        <rFont val="Calibri"/>
        <family val="2"/>
        <scheme val="minor"/>
      </rPr>
      <t>field</t>
    </r>
  </si>
  <si>
    <t>IS in process unit (pH off)</t>
  </si>
  <si>
    <t>Non-pH; Digester</t>
  </si>
  <si>
    <r>
      <t>f</t>
    </r>
    <r>
      <rPr>
        <vertAlign val="subscript"/>
        <sz val="11"/>
        <rFont val="Calibri"/>
        <family val="2"/>
        <scheme val="minor"/>
      </rPr>
      <t>mono,field</t>
    </r>
  </si>
  <si>
    <r>
      <t>10^(-A</t>
    </r>
    <r>
      <rPr>
        <vertAlign val="subscript"/>
        <sz val="11"/>
        <rFont val="Calibri"/>
        <family val="2"/>
        <scheme val="minor"/>
      </rPr>
      <t>Davies</t>
    </r>
    <r>
      <rPr>
        <sz val="11"/>
        <rFont val="Calibri"/>
        <family val="2"/>
        <scheme val="minor"/>
      </rPr>
      <t>*1^(2)*(IS</t>
    </r>
    <r>
      <rPr>
        <vertAlign val="subscript"/>
        <sz val="11"/>
        <rFont val="Calibri"/>
        <family val="2"/>
        <scheme val="minor"/>
      </rPr>
      <t>field</t>
    </r>
    <r>
      <rPr>
        <sz val="11"/>
        <rFont val="Calibri"/>
        <family val="2"/>
        <scheme val="minor"/>
      </rPr>
      <t>^(0.5)/(1+1.5*IS</t>
    </r>
    <r>
      <rPr>
        <vertAlign val="subscript"/>
        <sz val="11"/>
        <rFont val="Calibri"/>
        <family val="2"/>
        <scheme val="minor"/>
      </rPr>
      <t>field</t>
    </r>
    <r>
      <rPr>
        <sz val="11"/>
        <rFont val="Calibri"/>
        <family val="2"/>
        <scheme val="minor"/>
      </rPr>
      <t>^(0.5))-0.3*IS</t>
    </r>
    <r>
      <rPr>
        <vertAlign val="subscript"/>
        <sz val="11"/>
        <rFont val="Calibri"/>
        <family val="2"/>
        <scheme val="minor"/>
      </rPr>
      <t>field</t>
    </r>
    <r>
      <rPr>
        <sz val="11"/>
        <rFont val="Calibri"/>
        <family val="2"/>
        <scheme val="minor"/>
      </rPr>
      <t>))</t>
    </r>
  </si>
  <si>
    <r>
      <t>f</t>
    </r>
    <r>
      <rPr>
        <vertAlign val="subscript"/>
        <sz val="11"/>
        <rFont val="Calibri"/>
        <family val="2"/>
        <scheme val="minor"/>
      </rPr>
      <t>di,field</t>
    </r>
  </si>
  <si>
    <r>
      <t>10^(-A</t>
    </r>
    <r>
      <rPr>
        <vertAlign val="subscript"/>
        <sz val="11"/>
        <rFont val="Calibri"/>
        <family val="2"/>
        <scheme val="minor"/>
      </rPr>
      <t>Davies</t>
    </r>
    <r>
      <rPr>
        <sz val="11"/>
        <rFont val="Calibri"/>
        <family val="2"/>
        <scheme val="minor"/>
      </rPr>
      <t>*2^(2)*(IS</t>
    </r>
    <r>
      <rPr>
        <vertAlign val="subscript"/>
        <sz val="11"/>
        <rFont val="Calibri"/>
        <family val="2"/>
        <scheme val="minor"/>
      </rPr>
      <t>field</t>
    </r>
    <r>
      <rPr>
        <sz val="11"/>
        <rFont val="Calibri"/>
        <family val="2"/>
        <scheme val="minor"/>
      </rPr>
      <t>^(0.5)/(1+1.5*IS</t>
    </r>
    <r>
      <rPr>
        <vertAlign val="subscript"/>
        <sz val="11"/>
        <rFont val="Calibri"/>
        <family val="2"/>
        <scheme val="minor"/>
      </rPr>
      <t>field</t>
    </r>
    <r>
      <rPr>
        <sz val="11"/>
        <rFont val="Calibri"/>
        <family val="2"/>
        <scheme val="minor"/>
      </rPr>
      <t>^(0.5))-0.3*IS</t>
    </r>
    <r>
      <rPr>
        <vertAlign val="subscript"/>
        <sz val="11"/>
        <rFont val="Calibri"/>
        <family val="2"/>
        <scheme val="minor"/>
      </rPr>
      <t>field</t>
    </r>
    <r>
      <rPr>
        <sz val="11"/>
        <rFont val="Calibri"/>
        <family val="2"/>
        <scheme val="minor"/>
      </rPr>
      <t>))</t>
    </r>
  </si>
  <si>
    <r>
      <t>K</t>
    </r>
    <r>
      <rPr>
        <vertAlign val="subscript"/>
        <sz val="11"/>
        <rFont val="Calibri"/>
        <family val="2"/>
        <scheme val="minor"/>
      </rPr>
      <t>C1,T</t>
    </r>
    <r>
      <rPr>
        <sz val="11"/>
        <rFont val="Calibri"/>
        <family val="2"/>
        <scheme val="minor"/>
      </rPr>
      <t>/f</t>
    </r>
    <r>
      <rPr>
        <vertAlign val="subscript"/>
        <sz val="11"/>
        <rFont val="Calibri"/>
        <family val="2"/>
        <scheme val="minor"/>
      </rPr>
      <t>mono,field</t>
    </r>
    <r>
      <rPr>
        <sz val="11"/>
        <rFont val="Calibri"/>
        <family val="2"/>
        <scheme val="minor"/>
      </rPr>
      <t>^2</t>
    </r>
  </si>
  <si>
    <r>
      <t>K</t>
    </r>
    <r>
      <rPr>
        <vertAlign val="subscript"/>
        <sz val="11"/>
        <rFont val="Calibri"/>
        <family val="2"/>
        <scheme val="minor"/>
      </rPr>
      <t>C2,T</t>
    </r>
    <r>
      <rPr>
        <sz val="11"/>
        <rFont val="Calibri"/>
        <family val="2"/>
        <scheme val="minor"/>
      </rPr>
      <t>/f</t>
    </r>
    <r>
      <rPr>
        <vertAlign val="subscript"/>
        <sz val="11"/>
        <rFont val="Calibri"/>
        <family val="2"/>
        <scheme val="minor"/>
      </rPr>
      <t>di,field</t>
    </r>
  </si>
  <si>
    <t>Error calculation</t>
  </si>
  <si>
    <t>pH calculation - pH specified, for other process units (pHSet, NonInput)</t>
  </si>
  <si>
    <t>pH calculation - pH specified, for influents (pHSet, Input)</t>
  </si>
  <si>
    <t>Non-Input; pHSet; pH</t>
  </si>
  <si>
    <t>Input; pHSet; pH</t>
  </si>
  <si>
    <r>
      <t>X</t>
    </r>
    <r>
      <rPr>
        <vertAlign val="subscript"/>
        <sz val="11"/>
        <rFont val="Calibri"/>
        <family val="2"/>
        <scheme val="minor"/>
      </rPr>
      <t>PAO</t>
    </r>
  </si>
  <si>
    <r>
      <t>G</t>
    </r>
    <r>
      <rPr>
        <vertAlign val="subscript"/>
        <sz val="11"/>
        <rFont val="Calibri"/>
        <family val="2"/>
      </rPr>
      <t>CO2</t>
    </r>
  </si>
  <si>
    <r>
      <t>G</t>
    </r>
    <r>
      <rPr>
        <vertAlign val="subscript"/>
        <sz val="11"/>
        <rFont val="Calibri"/>
        <family val="2"/>
      </rPr>
      <t>CH4</t>
    </r>
  </si>
  <si>
    <r>
      <t>G</t>
    </r>
    <r>
      <rPr>
        <vertAlign val="subscript"/>
        <sz val="11"/>
        <rFont val="Calibri"/>
        <family val="2"/>
      </rPr>
      <t>H2</t>
    </r>
  </si>
  <si>
    <r>
      <t>G</t>
    </r>
    <r>
      <rPr>
        <vertAlign val="subscript"/>
        <sz val="11"/>
        <rFont val="Calibri"/>
        <family val="2"/>
      </rPr>
      <t>O2</t>
    </r>
  </si>
  <si>
    <r>
      <t>G</t>
    </r>
    <r>
      <rPr>
        <vertAlign val="subscript"/>
        <sz val="11"/>
        <rFont val="Calibri"/>
        <family val="2"/>
      </rPr>
      <t>NH3</t>
    </r>
  </si>
  <si>
    <r>
      <t>G</t>
    </r>
    <r>
      <rPr>
        <vertAlign val="subscript"/>
        <sz val="11"/>
        <rFont val="Calibri"/>
        <family val="2"/>
      </rPr>
      <t>N2</t>
    </r>
  </si>
  <si>
    <t>Key(1190)</t>
  </si>
  <si>
    <t>BOD stoichiometry</t>
  </si>
  <si>
    <t>Cations and anions calculation revised, for other process units (NonInput)</t>
  </si>
  <si>
    <r>
      <t>S</t>
    </r>
    <r>
      <rPr>
        <vertAlign val="subscript"/>
        <sz val="11"/>
        <rFont val="Calibri"/>
        <family val="2"/>
        <scheme val="minor"/>
      </rPr>
      <t>CAT,add</t>
    </r>
  </si>
  <si>
    <r>
      <t>If(SIC&gt; 0; S</t>
    </r>
    <r>
      <rPr>
        <vertAlign val="subscript"/>
        <sz val="11"/>
        <color indexed="8"/>
        <rFont val="Calibri"/>
        <family val="2"/>
      </rPr>
      <t>IC</t>
    </r>
    <r>
      <rPr>
        <sz val="11"/>
        <color indexed="8"/>
        <rFont val="Calibri"/>
        <family val="2"/>
      </rPr>
      <t>*(AM</t>
    </r>
    <r>
      <rPr>
        <vertAlign val="subscript"/>
        <sz val="11"/>
        <color indexed="8"/>
        <rFont val="Calibri"/>
        <family val="2"/>
      </rPr>
      <t>Na</t>
    </r>
    <r>
      <rPr>
        <sz val="11"/>
        <color indexed="8"/>
        <rFont val="Calibri"/>
        <family val="2"/>
      </rPr>
      <t>*1000);0)</t>
    </r>
  </si>
  <si>
    <t>pHSet; pH; Non-Input</t>
  </si>
  <si>
    <r>
      <t>S</t>
    </r>
    <r>
      <rPr>
        <vertAlign val="subscript"/>
        <sz val="11"/>
        <rFont val="Calibri"/>
        <family val="2"/>
        <scheme val="minor"/>
      </rPr>
      <t>AN,add</t>
    </r>
  </si>
  <si>
    <r>
      <t>If(SIC&lt; 0; - S</t>
    </r>
    <r>
      <rPr>
        <vertAlign val="subscript"/>
        <sz val="11"/>
        <color indexed="8"/>
        <rFont val="Calibri"/>
        <family val="2"/>
      </rPr>
      <t>IC</t>
    </r>
    <r>
      <rPr>
        <sz val="11"/>
        <color indexed="8"/>
        <rFont val="Calibri"/>
        <family val="2"/>
      </rPr>
      <t>*(AM</t>
    </r>
    <r>
      <rPr>
        <vertAlign val="subscript"/>
        <sz val="11"/>
        <color indexed="8"/>
        <rFont val="Calibri"/>
        <family val="2"/>
      </rPr>
      <t>Cl</t>
    </r>
    <r>
      <rPr>
        <sz val="11"/>
        <color indexed="8"/>
        <rFont val="Calibri"/>
        <family val="2"/>
      </rPr>
      <t>*1000);0)</t>
    </r>
  </si>
  <si>
    <r>
      <t>S</t>
    </r>
    <r>
      <rPr>
        <vertAlign val="subscript"/>
        <sz val="11"/>
        <color theme="1"/>
        <rFont val="Calibri"/>
        <family val="2"/>
        <scheme val="minor"/>
      </rPr>
      <t>CAT,ini</t>
    </r>
    <r>
      <rPr>
        <sz val="11"/>
        <color theme="1"/>
        <rFont val="Calibri"/>
        <family val="2"/>
        <scheme val="minor"/>
      </rPr>
      <t>+S</t>
    </r>
    <r>
      <rPr>
        <vertAlign val="subscript"/>
        <sz val="11"/>
        <color theme="1"/>
        <rFont val="Calibri"/>
        <family val="2"/>
        <scheme val="minor"/>
      </rPr>
      <t>CAT,add</t>
    </r>
  </si>
  <si>
    <r>
      <t>S</t>
    </r>
    <r>
      <rPr>
        <vertAlign val="subscript"/>
        <sz val="11"/>
        <color theme="1"/>
        <rFont val="Calibri"/>
        <family val="2"/>
        <scheme val="minor"/>
      </rPr>
      <t>AN,ini</t>
    </r>
    <r>
      <rPr>
        <sz val="11"/>
        <color theme="1"/>
        <rFont val="Calibri"/>
        <family val="2"/>
        <scheme val="minor"/>
      </rPr>
      <t>+S</t>
    </r>
    <r>
      <rPr>
        <vertAlign val="subscript"/>
        <sz val="11"/>
        <color theme="1"/>
        <rFont val="Calibri"/>
        <family val="2"/>
        <scheme val="minor"/>
      </rPr>
      <t>AN,add</t>
    </r>
  </si>
  <si>
    <t>Cations and anions calculation revised for influents (Input)</t>
  </si>
  <si>
    <t>pHSet; pH; Input</t>
  </si>
  <si>
    <t>Half-saturation of PP for PAOs</t>
  </si>
  <si>
    <t>Diffusion coefficients for gas phase state variables</t>
  </si>
  <si>
    <t>heat capacity ratio</t>
  </si>
  <si>
    <t>Molar mass of ammonium ion</t>
  </si>
  <si>
    <t>Molar mass of nitrite ion</t>
  </si>
  <si>
    <t>Molar mass of nitrate ion</t>
  </si>
  <si>
    <t>Solubility  constant of CaCO3</t>
  </si>
  <si>
    <t>Solubility  constant of struvite</t>
  </si>
  <si>
    <r>
      <t>c</t>
    </r>
    <r>
      <rPr>
        <vertAlign val="subscript"/>
        <sz val="11"/>
        <rFont val="Calibri"/>
        <family val="2"/>
        <scheme val="minor"/>
      </rPr>
      <t>min,h</t>
    </r>
  </si>
  <si>
    <t>Conversion coefficient between minutes and hours</t>
  </si>
  <si>
    <r>
      <t>min.h</t>
    </r>
    <r>
      <rPr>
        <vertAlign val="superscript"/>
        <sz val="11"/>
        <rFont val="Calibri"/>
        <family val="2"/>
        <scheme val="minor"/>
      </rPr>
      <t>-1</t>
    </r>
  </si>
  <si>
    <r>
      <t>c</t>
    </r>
    <r>
      <rPr>
        <vertAlign val="subscript"/>
        <sz val="11"/>
        <rFont val="Calibri"/>
        <family val="2"/>
        <scheme val="minor"/>
      </rPr>
      <t>h,d</t>
    </r>
  </si>
  <si>
    <t>Conversion coefficient between hours and days</t>
  </si>
  <si>
    <r>
      <t>h.d</t>
    </r>
    <r>
      <rPr>
        <vertAlign val="superscript"/>
        <sz val="11"/>
        <rFont val="Calibri"/>
        <family val="2"/>
        <scheme val="minor"/>
      </rPr>
      <t>-1</t>
    </r>
  </si>
  <si>
    <r>
      <t>c</t>
    </r>
    <r>
      <rPr>
        <vertAlign val="subscript"/>
        <sz val="11"/>
        <rFont val="Calibri"/>
        <family val="2"/>
        <scheme val="minor"/>
      </rPr>
      <t>ms,min</t>
    </r>
  </si>
  <si>
    <t>Conversion coefficient between milliseconds and minutes</t>
  </si>
  <si>
    <r>
      <t>ms.min</t>
    </r>
    <r>
      <rPr>
        <vertAlign val="superscript"/>
        <sz val="11"/>
        <rFont val="Calibri"/>
        <family val="2"/>
        <scheme val="minor"/>
      </rPr>
      <t>-1</t>
    </r>
  </si>
  <si>
    <r>
      <t>c</t>
    </r>
    <r>
      <rPr>
        <vertAlign val="subscript"/>
        <sz val="11"/>
        <rFont val="Calibri"/>
        <family val="2"/>
        <scheme val="minor"/>
      </rPr>
      <t>kJ,MJ</t>
    </r>
  </si>
  <si>
    <t>Conversion coefficient between kilojoules and megajoules</t>
  </si>
  <si>
    <r>
      <t>kJ.MJ</t>
    </r>
    <r>
      <rPr>
        <vertAlign val="superscript"/>
        <sz val="11"/>
        <rFont val="Calibri"/>
        <family val="2"/>
        <scheme val="minor"/>
      </rPr>
      <t>-1</t>
    </r>
  </si>
  <si>
    <r>
      <t>c</t>
    </r>
    <r>
      <rPr>
        <vertAlign val="subscript"/>
        <sz val="11"/>
        <rFont val="Calibri"/>
        <family val="2"/>
        <scheme val="minor"/>
      </rPr>
      <t>cm,m</t>
    </r>
  </si>
  <si>
    <t>Conversion coefficient between centimeters and meters</t>
  </si>
  <si>
    <t>Standard enthalpy of Magnesium ion</t>
  </si>
  <si>
    <t>Diffusion coefficients for liquid phase state variables</t>
  </si>
  <si>
    <r>
      <t>K</t>
    </r>
    <r>
      <rPr>
        <vertAlign val="subscript"/>
        <sz val="11"/>
        <rFont val="Calibri"/>
        <family val="2"/>
        <scheme val="minor"/>
      </rPr>
      <t>NHx,NITO,AS</t>
    </r>
    <r>
      <rPr>
        <sz val="11"/>
        <rFont val="Calibri"/>
        <family val="2"/>
        <scheme val="minor"/>
      </rPr>
      <t>*f</t>
    </r>
    <r>
      <rPr>
        <vertAlign val="subscript"/>
        <sz val="11"/>
        <rFont val="Calibri"/>
        <family val="2"/>
        <scheme val="minor"/>
      </rPr>
      <t>KS</t>
    </r>
  </si>
  <si>
    <r>
      <t>K</t>
    </r>
    <r>
      <rPr>
        <vertAlign val="subscript"/>
        <sz val="11"/>
        <rFont val="Calibri"/>
        <family val="2"/>
        <scheme val="minor"/>
      </rPr>
      <t>O2,NITO,AS</t>
    </r>
    <r>
      <rPr>
        <sz val="11"/>
        <rFont val="Calibri"/>
        <family val="2"/>
        <scheme val="minor"/>
      </rPr>
      <t>*f</t>
    </r>
    <r>
      <rPr>
        <vertAlign val="subscript"/>
        <sz val="11"/>
        <rFont val="Calibri"/>
        <family val="2"/>
        <scheme val="minor"/>
      </rPr>
      <t>KS</t>
    </r>
  </si>
  <si>
    <r>
      <t>K</t>
    </r>
    <r>
      <rPr>
        <vertAlign val="subscript"/>
        <sz val="11"/>
        <rFont val="Calibri"/>
        <family val="2"/>
        <scheme val="minor"/>
      </rPr>
      <t>NOx,NITO,AS</t>
    </r>
    <r>
      <rPr>
        <sz val="11"/>
        <rFont val="Calibri"/>
        <family val="2"/>
        <scheme val="minor"/>
      </rPr>
      <t>*f</t>
    </r>
    <r>
      <rPr>
        <vertAlign val="subscript"/>
        <sz val="11"/>
        <rFont val="Calibri"/>
        <family val="2"/>
        <scheme val="minor"/>
      </rPr>
      <t>KS</t>
    </r>
  </si>
  <si>
    <r>
      <t>K</t>
    </r>
    <r>
      <rPr>
        <vertAlign val="subscript"/>
        <sz val="11"/>
        <rFont val="Calibri"/>
        <family val="2"/>
        <scheme val="minor"/>
      </rPr>
      <t>SB,AS</t>
    </r>
    <r>
      <rPr>
        <sz val="11"/>
        <rFont val="Calibri"/>
        <family val="2"/>
        <scheme val="minor"/>
      </rPr>
      <t>*f</t>
    </r>
    <r>
      <rPr>
        <vertAlign val="subscript"/>
        <sz val="11"/>
        <rFont val="Calibri"/>
        <family val="2"/>
        <scheme val="minor"/>
      </rPr>
      <t>KS</t>
    </r>
  </si>
  <si>
    <r>
      <t>K</t>
    </r>
    <r>
      <rPr>
        <vertAlign val="subscript"/>
        <sz val="11"/>
        <rFont val="Calibri"/>
        <family val="2"/>
        <scheme val="minor"/>
      </rPr>
      <t>VFA,AS</t>
    </r>
    <r>
      <rPr>
        <sz val="11"/>
        <rFont val="Calibri"/>
        <family val="2"/>
        <scheme val="minor"/>
      </rPr>
      <t>*f</t>
    </r>
    <r>
      <rPr>
        <vertAlign val="subscript"/>
        <sz val="11"/>
        <rFont val="Calibri"/>
        <family val="2"/>
        <scheme val="minor"/>
      </rPr>
      <t>KS</t>
    </r>
  </si>
  <si>
    <r>
      <t>K</t>
    </r>
    <r>
      <rPr>
        <vertAlign val="subscript"/>
        <sz val="11"/>
        <rFont val="Calibri"/>
        <family val="2"/>
        <scheme val="minor"/>
      </rPr>
      <t>O2,OHO,AS</t>
    </r>
    <r>
      <rPr>
        <sz val="11"/>
        <rFont val="Calibri"/>
        <family val="2"/>
        <scheme val="minor"/>
      </rPr>
      <t>*f</t>
    </r>
    <r>
      <rPr>
        <vertAlign val="subscript"/>
        <sz val="11"/>
        <rFont val="Calibri"/>
        <family val="2"/>
        <scheme val="minor"/>
      </rPr>
      <t>KS</t>
    </r>
  </si>
  <si>
    <r>
      <t>K</t>
    </r>
    <r>
      <rPr>
        <vertAlign val="subscript"/>
        <sz val="11"/>
        <rFont val="Calibri"/>
        <family val="2"/>
        <scheme val="minor"/>
      </rPr>
      <t>MEOL,OHO,AS</t>
    </r>
    <r>
      <rPr>
        <sz val="11"/>
        <rFont val="Calibri"/>
        <family val="2"/>
        <scheme val="minor"/>
      </rPr>
      <t>*f</t>
    </r>
    <r>
      <rPr>
        <vertAlign val="subscript"/>
        <sz val="11"/>
        <rFont val="Calibri"/>
        <family val="2"/>
        <scheme val="minor"/>
      </rPr>
      <t>KS</t>
    </r>
  </si>
  <si>
    <r>
      <t>K</t>
    </r>
    <r>
      <rPr>
        <vertAlign val="subscript"/>
        <sz val="11"/>
        <rFont val="Calibri"/>
        <family val="2"/>
        <scheme val="minor"/>
      </rPr>
      <t>NOx,OHO,AS</t>
    </r>
    <r>
      <rPr>
        <sz val="11"/>
        <rFont val="Calibri"/>
        <family val="2"/>
        <scheme val="minor"/>
      </rPr>
      <t>*f</t>
    </r>
    <r>
      <rPr>
        <vertAlign val="subscript"/>
        <sz val="11"/>
        <rFont val="Calibri"/>
        <family val="2"/>
        <scheme val="minor"/>
      </rPr>
      <t>KS</t>
    </r>
  </si>
  <si>
    <r>
      <t>K</t>
    </r>
    <r>
      <rPr>
        <vertAlign val="subscript"/>
        <sz val="11"/>
        <rFont val="Calibri"/>
        <family val="2"/>
        <scheme val="minor"/>
      </rPr>
      <t>VFA,FERM,AS</t>
    </r>
    <r>
      <rPr>
        <sz val="11"/>
        <rFont val="Calibri"/>
        <family val="2"/>
        <scheme val="minor"/>
      </rPr>
      <t>*f</t>
    </r>
    <r>
      <rPr>
        <vertAlign val="subscript"/>
        <sz val="11"/>
        <rFont val="Calibri"/>
        <family val="2"/>
        <scheme val="minor"/>
      </rPr>
      <t>KS</t>
    </r>
  </si>
  <si>
    <r>
      <t>K</t>
    </r>
    <r>
      <rPr>
        <vertAlign val="subscript"/>
        <sz val="11"/>
        <rFont val="Calibri"/>
        <family val="2"/>
        <scheme val="minor"/>
      </rPr>
      <t>SB,ana,AS</t>
    </r>
    <r>
      <rPr>
        <sz val="11"/>
        <rFont val="Calibri"/>
        <family val="2"/>
        <scheme val="minor"/>
      </rPr>
      <t>*f</t>
    </r>
    <r>
      <rPr>
        <vertAlign val="subscript"/>
        <sz val="11"/>
        <rFont val="Calibri"/>
        <family val="2"/>
        <scheme val="minor"/>
      </rPr>
      <t>KS</t>
    </r>
  </si>
  <si>
    <r>
      <t>K</t>
    </r>
    <r>
      <rPr>
        <vertAlign val="subscript"/>
        <sz val="11"/>
        <rFont val="Calibri"/>
        <family val="2"/>
        <scheme val="minor"/>
      </rPr>
      <t>MEOL,AS</t>
    </r>
    <r>
      <rPr>
        <sz val="11"/>
        <rFont val="Calibri"/>
        <family val="2"/>
        <scheme val="minor"/>
      </rPr>
      <t>*f</t>
    </r>
    <r>
      <rPr>
        <vertAlign val="subscript"/>
        <sz val="11"/>
        <rFont val="Calibri"/>
        <family val="2"/>
        <scheme val="minor"/>
      </rPr>
      <t>KS</t>
    </r>
  </si>
  <si>
    <r>
      <t>K</t>
    </r>
    <r>
      <rPr>
        <vertAlign val="subscript"/>
        <sz val="11"/>
        <rFont val="Calibri"/>
        <family val="2"/>
        <scheme val="minor"/>
      </rPr>
      <t>NOx,MEOLO,AS</t>
    </r>
    <r>
      <rPr>
        <sz val="11"/>
        <rFont val="Calibri"/>
        <family val="2"/>
        <scheme val="minor"/>
      </rPr>
      <t>*f</t>
    </r>
    <r>
      <rPr>
        <vertAlign val="subscript"/>
        <sz val="11"/>
        <rFont val="Calibri"/>
        <family val="2"/>
        <scheme val="minor"/>
      </rPr>
      <t>KS</t>
    </r>
  </si>
  <si>
    <r>
      <t>K</t>
    </r>
    <r>
      <rPr>
        <vertAlign val="subscript"/>
        <sz val="11"/>
        <rFont val="Calibri"/>
        <family val="2"/>
        <scheme val="minor"/>
      </rPr>
      <t>PO4,PAO,AS</t>
    </r>
    <r>
      <rPr>
        <sz val="11"/>
        <rFont val="Calibri"/>
        <family val="2"/>
        <scheme val="minor"/>
      </rPr>
      <t>*f</t>
    </r>
    <r>
      <rPr>
        <vertAlign val="subscript"/>
        <sz val="11"/>
        <rFont val="Calibri"/>
        <family val="2"/>
        <scheme val="minor"/>
      </rPr>
      <t>KS</t>
    </r>
  </si>
  <si>
    <r>
      <t>K</t>
    </r>
    <r>
      <rPr>
        <vertAlign val="subscript"/>
        <sz val="11"/>
        <rFont val="Calibri"/>
        <family val="2"/>
        <scheme val="minor"/>
      </rPr>
      <t>Mg,PAO,AS</t>
    </r>
    <r>
      <rPr>
        <sz val="11"/>
        <rFont val="Calibri"/>
        <family val="2"/>
        <scheme val="minor"/>
      </rPr>
      <t>*f</t>
    </r>
    <r>
      <rPr>
        <vertAlign val="subscript"/>
        <sz val="11"/>
        <rFont val="Calibri"/>
        <family val="2"/>
        <scheme val="minor"/>
      </rPr>
      <t>KS</t>
    </r>
  </si>
  <si>
    <r>
      <t>K</t>
    </r>
    <r>
      <rPr>
        <vertAlign val="subscript"/>
        <sz val="11"/>
        <rFont val="Calibri"/>
        <family val="2"/>
        <scheme val="minor"/>
      </rPr>
      <t>K,PAO,AS</t>
    </r>
    <r>
      <rPr>
        <sz val="11"/>
        <rFont val="Calibri"/>
        <family val="2"/>
        <scheme val="minor"/>
      </rPr>
      <t>*f</t>
    </r>
    <r>
      <rPr>
        <vertAlign val="subscript"/>
        <sz val="11"/>
        <rFont val="Calibri"/>
        <family val="2"/>
        <scheme val="minor"/>
      </rPr>
      <t>KS</t>
    </r>
  </si>
  <si>
    <r>
      <t>K</t>
    </r>
    <r>
      <rPr>
        <vertAlign val="subscript"/>
        <sz val="11"/>
        <rFont val="Calibri"/>
        <family val="2"/>
        <scheme val="minor"/>
      </rPr>
      <t>Ca,PAO,AS</t>
    </r>
    <r>
      <rPr>
        <sz val="11"/>
        <rFont val="Calibri"/>
        <family val="2"/>
        <scheme val="minor"/>
      </rPr>
      <t>*f</t>
    </r>
    <r>
      <rPr>
        <vertAlign val="subscript"/>
        <sz val="11"/>
        <rFont val="Calibri"/>
        <family val="2"/>
        <scheme val="minor"/>
      </rPr>
      <t>KS</t>
    </r>
  </si>
  <si>
    <r>
      <t>Ki</t>
    </r>
    <r>
      <rPr>
        <vertAlign val="subscript"/>
        <sz val="11"/>
        <rFont val="Calibri"/>
        <family val="2"/>
        <scheme val="minor"/>
      </rPr>
      <t>PO4,lim,AS</t>
    </r>
    <r>
      <rPr>
        <sz val="11"/>
        <rFont val="Calibri"/>
        <family val="2"/>
        <scheme val="minor"/>
      </rPr>
      <t>*f</t>
    </r>
    <r>
      <rPr>
        <vertAlign val="subscript"/>
        <sz val="11"/>
        <rFont val="Calibri"/>
        <family val="2"/>
        <scheme val="minor"/>
      </rPr>
      <t>KS</t>
    </r>
  </si>
  <si>
    <r>
      <t>K</t>
    </r>
    <r>
      <rPr>
        <vertAlign val="subscript"/>
        <sz val="11"/>
        <rFont val="Calibri"/>
        <family val="2"/>
        <scheme val="minor"/>
      </rPr>
      <t>VFA,AMETO,AS</t>
    </r>
    <r>
      <rPr>
        <sz val="11"/>
        <rFont val="Calibri"/>
        <family val="2"/>
        <scheme val="minor"/>
      </rPr>
      <t>*f</t>
    </r>
    <r>
      <rPr>
        <vertAlign val="subscript"/>
        <sz val="11"/>
        <rFont val="Calibri"/>
        <family val="2"/>
        <scheme val="minor"/>
      </rPr>
      <t>KS</t>
    </r>
  </si>
  <si>
    <r>
      <t>Ki</t>
    </r>
    <r>
      <rPr>
        <vertAlign val="subscript"/>
        <sz val="11"/>
        <rFont val="Calibri"/>
        <family val="2"/>
        <scheme val="minor"/>
      </rPr>
      <t>VFA,AMETO,AS</t>
    </r>
    <r>
      <rPr>
        <sz val="11"/>
        <rFont val="Calibri"/>
        <family val="2"/>
        <scheme val="minor"/>
      </rPr>
      <t>*f</t>
    </r>
    <r>
      <rPr>
        <vertAlign val="subscript"/>
        <sz val="11"/>
        <rFont val="Calibri"/>
        <family val="2"/>
        <scheme val="minor"/>
      </rPr>
      <t>KS</t>
    </r>
  </si>
  <si>
    <r>
      <t>K</t>
    </r>
    <r>
      <rPr>
        <vertAlign val="subscript"/>
        <sz val="11"/>
        <rFont val="Calibri"/>
        <family val="2"/>
        <scheme val="minor"/>
      </rPr>
      <t>NOx,AMETO,AS</t>
    </r>
    <r>
      <rPr>
        <sz val="11"/>
        <rFont val="Calibri"/>
        <family val="2"/>
        <scheme val="minor"/>
      </rPr>
      <t>*f</t>
    </r>
    <r>
      <rPr>
        <vertAlign val="subscript"/>
        <sz val="11"/>
        <rFont val="Calibri"/>
        <family val="2"/>
        <scheme val="minor"/>
      </rPr>
      <t>KS</t>
    </r>
  </si>
  <si>
    <r>
      <t>K</t>
    </r>
    <r>
      <rPr>
        <vertAlign val="subscript"/>
        <sz val="11"/>
        <rFont val="Calibri"/>
        <family val="2"/>
        <scheme val="minor"/>
      </rPr>
      <t>H2,HMETO,AS</t>
    </r>
    <r>
      <rPr>
        <sz val="11"/>
        <rFont val="Calibri"/>
        <family val="2"/>
        <scheme val="minor"/>
      </rPr>
      <t>*f</t>
    </r>
    <r>
      <rPr>
        <vertAlign val="subscript"/>
        <sz val="11"/>
        <rFont val="Calibri"/>
        <family val="2"/>
        <scheme val="minor"/>
      </rPr>
      <t>KS</t>
    </r>
  </si>
  <si>
    <r>
      <t>K</t>
    </r>
    <r>
      <rPr>
        <vertAlign val="subscript"/>
        <sz val="11"/>
        <rFont val="Calibri"/>
        <family val="2"/>
        <scheme val="minor"/>
      </rPr>
      <t>NOx,HMETO,AS</t>
    </r>
    <r>
      <rPr>
        <sz val="11"/>
        <rFont val="Calibri"/>
        <family val="2"/>
        <scheme val="minor"/>
      </rPr>
      <t>*f</t>
    </r>
    <r>
      <rPr>
        <vertAlign val="subscript"/>
        <sz val="11"/>
        <rFont val="Calibri"/>
        <family val="2"/>
        <scheme val="minor"/>
      </rPr>
      <t>KS</t>
    </r>
  </si>
  <si>
    <r>
      <t>K</t>
    </r>
    <r>
      <rPr>
        <vertAlign val="subscript"/>
        <sz val="11"/>
        <rFont val="Calibri"/>
        <family val="2"/>
        <scheme val="minor"/>
      </rPr>
      <t>NHx,BIO,AS</t>
    </r>
    <r>
      <rPr>
        <sz val="11"/>
        <rFont val="Calibri"/>
        <family val="2"/>
        <scheme val="minor"/>
      </rPr>
      <t>*f</t>
    </r>
    <r>
      <rPr>
        <vertAlign val="subscript"/>
        <sz val="11"/>
        <rFont val="Calibri"/>
        <family val="2"/>
        <scheme val="minor"/>
      </rPr>
      <t>KS</t>
    </r>
  </si>
  <si>
    <r>
      <t>K</t>
    </r>
    <r>
      <rPr>
        <vertAlign val="subscript"/>
        <sz val="11"/>
        <rFont val="Calibri"/>
        <family val="2"/>
        <scheme val="minor"/>
      </rPr>
      <t>PO4,BIO,AS</t>
    </r>
    <r>
      <rPr>
        <sz val="11"/>
        <rFont val="Calibri"/>
        <family val="2"/>
        <scheme val="minor"/>
      </rPr>
      <t>*f</t>
    </r>
    <r>
      <rPr>
        <vertAlign val="subscript"/>
        <sz val="11"/>
        <rFont val="Calibri"/>
        <family val="2"/>
        <scheme val="minor"/>
      </rPr>
      <t>KS</t>
    </r>
  </si>
  <si>
    <r>
      <t>K</t>
    </r>
    <r>
      <rPr>
        <vertAlign val="subscript"/>
        <sz val="11"/>
        <rFont val="Calibri"/>
        <family val="2"/>
        <scheme val="minor"/>
      </rPr>
      <t>CO2,BIO,AS</t>
    </r>
    <r>
      <rPr>
        <sz val="11"/>
        <rFont val="Calibri"/>
        <family val="2"/>
        <scheme val="minor"/>
      </rPr>
      <t>*f</t>
    </r>
    <r>
      <rPr>
        <vertAlign val="subscript"/>
        <sz val="11"/>
        <rFont val="Calibri"/>
        <family val="2"/>
        <scheme val="minor"/>
      </rPr>
      <t>KS</t>
    </r>
  </si>
  <si>
    <r>
      <t>K</t>
    </r>
    <r>
      <rPr>
        <vertAlign val="subscript"/>
        <sz val="11"/>
        <rFont val="Calibri"/>
        <family val="2"/>
        <scheme val="minor"/>
      </rPr>
      <t>CAT,AS</t>
    </r>
    <r>
      <rPr>
        <sz val="11"/>
        <rFont val="Calibri"/>
        <family val="2"/>
        <scheme val="minor"/>
      </rPr>
      <t>*f</t>
    </r>
    <r>
      <rPr>
        <vertAlign val="subscript"/>
        <sz val="11"/>
        <rFont val="Calibri"/>
        <family val="2"/>
        <scheme val="minor"/>
      </rPr>
      <t>KS</t>
    </r>
  </si>
  <si>
    <r>
      <t>K</t>
    </r>
    <r>
      <rPr>
        <vertAlign val="subscript"/>
        <sz val="11"/>
        <rFont val="Calibri"/>
        <family val="2"/>
        <scheme val="minor"/>
      </rPr>
      <t>AN,AS</t>
    </r>
    <r>
      <rPr>
        <sz val="11"/>
        <rFont val="Calibri"/>
        <family val="2"/>
        <scheme val="minor"/>
      </rPr>
      <t>*f</t>
    </r>
    <r>
      <rPr>
        <vertAlign val="subscript"/>
        <sz val="11"/>
        <rFont val="Calibri"/>
        <family val="2"/>
        <scheme val="minor"/>
      </rPr>
      <t>KS</t>
    </r>
  </si>
  <si>
    <r>
      <t>K</t>
    </r>
    <r>
      <rPr>
        <vertAlign val="subscript"/>
        <sz val="11"/>
        <rFont val="Calibri"/>
        <family val="2"/>
        <scheme val="minor"/>
      </rPr>
      <t>HYD,AS</t>
    </r>
    <r>
      <rPr>
        <sz val="11"/>
        <rFont val="Calibri"/>
        <family val="2"/>
        <scheme val="minor"/>
      </rPr>
      <t>*f</t>
    </r>
    <r>
      <rPr>
        <vertAlign val="subscript"/>
        <sz val="11"/>
        <rFont val="Calibri"/>
        <family val="2"/>
        <scheme val="minor"/>
      </rPr>
      <t>KS</t>
    </r>
  </si>
  <si>
    <r>
      <t>Ki</t>
    </r>
    <r>
      <rPr>
        <vertAlign val="subscript"/>
        <sz val="11"/>
        <rFont val="Calibri"/>
        <family val="2"/>
        <scheme val="minor"/>
      </rPr>
      <t>NHx,ASSIM,AS</t>
    </r>
    <r>
      <rPr>
        <sz val="11"/>
        <rFont val="Calibri"/>
        <family val="2"/>
        <scheme val="minor"/>
      </rPr>
      <t>*f</t>
    </r>
    <r>
      <rPr>
        <vertAlign val="subscript"/>
        <sz val="11"/>
        <rFont val="Calibri"/>
        <family val="2"/>
        <scheme val="minor"/>
      </rPr>
      <t>KS</t>
    </r>
  </si>
  <si>
    <r>
      <t>K</t>
    </r>
    <r>
      <rPr>
        <vertAlign val="subscript"/>
        <sz val="11"/>
        <rFont val="Calibri"/>
        <family val="2"/>
        <scheme val="minor"/>
      </rPr>
      <t>NOx,ASSIM,AS</t>
    </r>
    <r>
      <rPr>
        <sz val="11"/>
        <rFont val="Calibri"/>
        <family val="2"/>
        <scheme val="minor"/>
      </rPr>
      <t>*f</t>
    </r>
    <r>
      <rPr>
        <vertAlign val="subscript"/>
        <sz val="11"/>
        <rFont val="Calibri"/>
        <family val="2"/>
        <scheme val="minor"/>
      </rPr>
      <t>KS</t>
    </r>
  </si>
  <si>
    <t>fKS=1 in bulk and fKS,biofilm in biofilm</t>
  </si>
  <si>
    <r>
      <rPr>
        <sz val="11"/>
        <rFont val="Calibri"/>
        <family val="2"/>
        <scheme val="minor"/>
      </rPr>
      <t>f</t>
    </r>
    <r>
      <rPr>
        <vertAlign val="subscript"/>
        <sz val="11"/>
        <rFont val="Calibri"/>
        <family val="2"/>
        <scheme val="minor"/>
      </rPr>
      <t>KS</t>
    </r>
  </si>
  <si>
    <r>
      <t>S</t>
    </r>
    <r>
      <rPr>
        <vertAlign val="subscript"/>
        <sz val="11"/>
        <rFont val="Calibri"/>
        <family val="2"/>
        <scheme val="minor"/>
      </rPr>
      <t>KN</t>
    </r>
  </si>
  <si>
    <t>Soluble Kjeldahl nitrogen (SKN)</t>
  </si>
  <si>
    <r>
      <t>S</t>
    </r>
    <r>
      <rPr>
        <vertAlign val="subscript"/>
        <sz val="11"/>
        <rFont val="Calibri"/>
        <family val="2"/>
        <scheme val="minor"/>
      </rPr>
      <t>P</t>
    </r>
  </si>
  <si>
    <t>Soluble phosphorus</t>
  </si>
  <si>
    <r>
      <t>Ki</t>
    </r>
    <r>
      <rPr>
        <vertAlign val="subscript"/>
        <sz val="11"/>
        <rFont val="Calibri"/>
        <family val="2"/>
        <scheme val="minor"/>
      </rPr>
      <t>O2,MEOLO,AS</t>
    </r>
  </si>
  <si>
    <r>
      <t>Half-inhibition of O</t>
    </r>
    <r>
      <rPr>
        <vertAlign val="subscript"/>
        <sz val="11"/>
        <color rgb="FF000000"/>
        <rFont val="Calibri"/>
        <family val="2"/>
        <scheme val="minor"/>
      </rPr>
      <t>2</t>
    </r>
    <r>
      <rPr>
        <sz val="11"/>
        <color rgb="FF000000"/>
        <rFont val="Calibri"/>
        <family val="2"/>
        <charset val="238"/>
        <scheme val="minor"/>
      </rPr>
      <t xml:space="preserve"> for MEOLOs (AS)</t>
    </r>
  </si>
  <si>
    <r>
      <t>Ki</t>
    </r>
    <r>
      <rPr>
        <vertAlign val="subscript"/>
        <sz val="11"/>
        <rFont val="Calibri"/>
        <family val="2"/>
        <scheme val="minor"/>
      </rPr>
      <t>O2,AMETO,AS</t>
    </r>
  </si>
  <si>
    <r>
      <t>Half-inhibition of O</t>
    </r>
    <r>
      <rPr>
        <vertAlign val="subscript"/>
        <sz val="11"/>
        <color rgb="FF000000"/>
        <rFont val="Calibri"/>
        <family val="2"/>
        <scheme val="minor"/>
      </rPr>
      <t>2</t>
    </r>
    <r>
      <rPr>
        <sz val="11"/>
        <color rgb="FF000000"/>
        <rFont val="Calibri"/>
        <family val="2"/>
        <charset val="238"/>
        <scheme val="minor"/>
      </rPr>
      <t xml:space="preserve"> for AMETOs (AS)</t>
    </r>
  </si>
  <si>
    <r>
      <t>Ki</t>
    </r>
    <r>
      <rPr>
        <vertAlign val="subscript"/>
        <sz val="11"/>
        <color indexed="8"/>
        <rFont val="Calibri"/>
        <family val="2"/>
        <scheme val="minor"/>
      </rPr>
      <t>O2,HMETO,AS</t>
    </r>
  </si>
  <si>
    <r>
      <t>Half-inhibition of O</t>
    </r>
    <r>
      <rPr>
        <vertAlign val="subscript"/>
        <sz val="11"/>
        <color rgb="FF000000"/>
        <rFont val="Calibri"/>
        <family val="2"/>
        <scheme val="minor"/>
      </rPr>
      <t>2</t>
    </r>
    <r>
      <rPr>
        <sz val="11"/>
        <color rgb="FF000000"/>
        <rFont val="Calibri"/>
        <family val="2"/>
        <charset val="238"/>
        <scheme val="minor"/>
      </rPr>
      <t xml:space="preserve"> for HMETOs (AS)</t>
    </r>
  </si>
  <si>
    <r>
      <t>mV</t>
    </r>
    <r>
      <rPr>
        <vertAlign val="superscript"/>
        <sz val="11"/>
        <rFont val="Calibri"/>
        <family val="2"/>
        <scheme val="minor"/>
      </rPr>
      <t>-1</t>
    </r>
  </si>
  <si>
    <r>
      <t>Ki</t>
    </r>
    <r>
      <rPr>
        <vertAlign val="subscript"/>
        <sz val="11"/>
        <rFont val="Calibri"/>
        <family val="2"/>
        <scheme val="minor"/>
      </rPr>
      <t>O2,MEOLO</t>
    </r>
  </si>
  <si>
    <r>
      <t>Half-inhibition of O</t>
    </r>
    <r>
      <rPr>
        <vertAlign val="subscript"/>
        <sz val="11"/>
        <color rgb="FF000000"/>
        <rFont val="Calibri"/>
        <family val="2"/>
        <scheme val="minor"/>
      </rPr>
      <t>2</t>
    </r>
    <r>
      <rPr>
        <sz val="11"/>
        <color rgb="FF000000"/>
        <rFont val="Calibri"/>
        <family val="2"/>
        <charset val="238"/>
        <scheme val="minor"/>
      </rPr>
      <t xml:space="preserve"> for MEOLOs</t>
    </r>
  </si>
  <si>
    <r>
      <t>Ki</t>
    </r>
    <r>
      <rPr>
        <vertAlign val="subscript"/>
        <sz val="11"/>
        <rFont val="Calibri"/>
        <family val="2"/>
        <scheme val="minor"/>
      </rPr>
      <t>O2,MEOLO,AS</t>
    </r>
    <r>
      <rPr>
        <sz val="11"/>
        <rFont val="Calibri"/>
        <family val="2"/>
        <scheme val="minor"/>
      </rPr>
      <t>*f</t>
    </r>
    <r>
      <rPr>
        <vertAlign val="subscript"/>
        <sz val="11"/>
        <rFont val="Calibri"/>
        <family val="2"/>
        <scheme val="minor"/>
      </rPr>
      <t>KS</t>
    </r>
  </si>
  <si>
    <r>
      <t>Ki</t>
    </r>
    <r>
      <rPr>
        <vertAlign val="subscript"/>
        <sz val="11"/>
        <rFont val="Calibri"/>
        <family val="2"/>
        <scheme val="minor"/>
      </rPr>
      <t>O2,AMETO</t>
    </r>
  </si>
  <si>
    <r>
      <t>Half-inhibition of O</t>
    </r>
    <r>
      <rPr>
        <vertAlign val="subscript"/>
        <sz val="11"/>
        <color rgb="FF000000"/>
        <rFont val="Calibri"/>
        <family val="2"/>
        <scheme val="minor"/>
      </rPr>
      <t>2</t>
    </r>
    <r>
      <rPr>
        <sz val="11"/>
        <color rgb="FF000000"/>
        <rFont val="Calibri"/>
        <family val="2"/>
        <charset val="238"/>
        <scheme val="minor"/>
      </rPr>
      <t xml:space="preserve"> for AMETOs</t>
    </r>
  </si>
  <si>
    <r>
      <t>Ki</t>
    </r>
    <r>
      <rPr>
        <vertAlign val="subscript"/>
        <sz val="11"/>
        <rFont val="Calibri"/>
        <family val="2"/>
        <scheme val="minor"/>
      </rPr>
      <t>O2,AMETO,AS</t>
    </r>
    <r>
      <rPr>
        <sz val="11"/>
        <rFont val="Calibri"/>
        <family val="2"/>
        <scheme val="minor"/>
      </rPr>
      <t>*f</t>
    </r>
    <r>
      <rPr>
        <vertAlign val="subscript"/>
        <sz val="11"/>
        <rFont val="Calibri"/>
        <family val="2"/>
        <scheme val="minor"/>
      </rPr>
      <t>KS</t>
    </r>
  </si>
  <si>
    <r>
      <t>Ki</t>
    </r>
    <r>
      <rPr>
        <vertAlign val="subscript"/>
        <sz val="11"/>
        <rFont val="Calibri"/>
        <family val="2"/>
        <scheme val="minor"/>
      </rPr>
      <t>O2,HMETO</t>
    </r>
  </si>
  <si>
    <r>
      <t>Half-inhibition of O</t>
    </r>
    <r>
      <rPr>
        <vertAlign val="subscript"/>
        <sz val="11"/>
        <color rgb="FF000000"/>
        <rFont val="Calibri"/>
        <family val="2"/>
        <scheme val="minor"/>
      </rPr>
      <t>2</t>
    </r>
    <r>
      <rPr>
        <sz val="11"/>
        <color rgb="FF000000"/>
        <rFont val="Calibri"/>
        <family val="2"/>
        <charset val="238"/>
        <scheme val="minor"/>
      </rPr>
      <t xml:space="preserve"> for HMETOs</t>
    </r>
  </si>
  <si>
    <r>
      <t>Ki</t>
    </r>
    <r>
      <rPr>
        <vertAlign val="subscript"/>
        <sz val="11"/>
        <rFont val="Calibri"/>
        <family val="2"/>
        <scheme val="minor"/>
      </rPr>
      <t>O2,HMETO,AS</t>
    </r>
  </si>
  <si>
    <r>
      <t>Ki</t>
    </r>
    <r>
      <rPr>
        <vertAlign val="subscript"/>
        <sz val="11"/>
        <rFont val="Calibri"/>
        <family val="2"/>
        <scheme val="minor"/>
      </rPr>
      <t>O2,HMETO,AS</t>
    </r>
    <r>
      <rPr>
        <sz val="11"/>
        <rFont val="Calibri"/>
        <family val="2"/>
        <scheme val="minor"/>
      </rPr>
      <t>*f</t>
    </r>
    <r>
      <rPr>
        <vertAlign val="subscript"/>
        <sz val="11"/>
        <rFont val="Calibri"/>
        <family val="2"/>
        <scheme val="minor"/>
      </rPr>
      <t>KS</t>
    </r>
  </si>
  <si>
    <r>
      <t>Minh</t>
    </r>
    <r>
      <rPr>
        <vertAlign val="subscript"/>
        <sz val="11"/>
        <rFont val="Calibri"/>
        <family val="2"/>
        <scheme val="minor"/>
      </rPr>
      <t>SO2,KiO2,MEOLO</t>
    </r>
  </si>
  <si>
    <r>
      <t>Minh(S</t>
    </r>
    <r>
      <rPr>
        <vertAlign val="subscript"/>
        <sz val="11"/>
        <rFont val="Calibri"/>
        <family val="2"/>
        <scheme val="minor"/>
      </rPr>
      <t>O2</t>
    </r>
    <r>
      <rPr>
        <sz val="11"/>
        <rFont val="Calibri"/>
        <family val="2"/>
        <scheme val="minor"/>
      </rPr>
      <t>;Ki</t>
    </r>
    <r>
      <rPr>
        <vertAlign val="subscript"/>
        <sz val="11"/>
        <rFont val="Calibri"/>
        <family val="2"/>
        <scheme val="minor"/>
      </rPr>
      <t>O2,MEOLO</t>
    </r>
    <r>
      <rPr>
        <sz val="11"/>
        <rFont val="Calibri"/>
        <family val="2"/>
        <scheme val="minor"/>
      </rPr>
      <t>)</t>
    </r>
  </si>
  <si>
    <r>
      <t>Minh</t>
    </r>
    <r>
      <rPr>
        <vertAlign val="subscript"/>
        <sz val="11"/>
        <rFont val="Calibri"/>
        <family val="2"/>
        <scheme val="minor"/>
      </rPr>
      <t>SO2,KiO2,AMETO</t>
    </r>
  </si>
  <si>
    <r>
      <t>Msat</t>
    </r>
    <r>
      <rPr>
        <vertAlign val="subscript"/>
        <sz val="11"/>
        <rFont val="Calibri"/>
        <family val="2"/>
        <scheme val="minor"/>
      </rPr>
      <t>SO2,KiO2,AMETO</t>
    </r>
  </si>
  <si>
    <r>
      <t>Msat(S</t>
    </r>
    <r>
      <rPr>
        <vertAlign val="subscript"/>
        <sz val="11"/>
        <rFont val="Calibri"/>
        <family val="2"/>
        <scheme val="minor"/>
      </rPr>
      <t>O2</t>
    </r>
    <r>
      <rPr>
        <sz val="11"/>
        <rFont val="Calibri"/>
        <family val="2"/>
        <scheme val="minor"/>
      </rPr>
      <t>;Ki</t>
    </r>
    <r>
      <rPr>
        <vertAlign val="subscript"/>
        <sz val="11"/>
        <rFont val="Calibri"/>
        <family val="2"/>
        <scheme val="minor"/>
      </rPr>
      <t>O2,AMETO</t>
    </r>
    <r>
      <rPr>
        <sz val="11"/>
        <rFont val="Calibri"/>
        <family val="2"/>
        <scheme val="minor"/>
      </rPr>
      <t>)</t>
    </r>
  </si>
  <si>
    <r>
      <t>Minh(S</t>
    </r>
    <r>
      <rPr>
        <vertAlign val="subscript"/>
        <sz val="11"/>
        <rFont val="Calibri"/>
        <family val="2"/>
        <scheme val="minor"/>
      </rPr>
      <t>O2</t>
    </r>
    <r>
      <rPr>
        <sz val="11"/>
        <rFont val="Calibri"/>
        <family val="2"/>
        <scheme val="minor"/>
      </rPr>
      <t>;Ki</t>
    </r>
    <r>
      <rPr>
        <vertAlign val="subscript"/>
        <sz val="11"/>
        <rFont val="Calibri"/>
        <family val="2"/>
        <scheme val="minor"/>
      </rPr>
      <t>O2,AMETO</t>
    </r>
    <r>
      <rPr>
        <sz val="11"/>
        <rFont val="Calibri"/>
        <family val="2"/>
        <scheme val="minor"/>
      </rPr>
      <t>)</t>
    </r>
  </si>
  <si>
    <r>
      <t>Minh</t>
    </r>
    <r>
      <rPr>
        <vertAlign val="subscript"/>
        <sz val="11"/>
        <rFont val="Calibri"/>
        <family val="2"/>
        <scheme val="minor"/>
      </rPr>
      <t>SO2,KiO2,HMETO</t>
    </r>
  </si>
  <si>
    <r>
      <t>Minh(S</t>
    </r>
    <r>
      <rPr>
        <vertAlign val="subscript"/>
        <sz val="11"/>
        <rFont val="Calibri"/>
        <family val="2"/>
        <scheme val="minor"/>
      </rPr>
      <t>O2</t>
    </r>
    <r>
      <rPr>
        <sz val="11"/>
        <rFont val="Calibri"/>
        <family val="2"/>
        <scheme val="minor"/>
      </rPr>
      <t>;Ki</t>
    </r>
    <r>
      <rPr>
        <vertAlign val="subscript"/>
        <sz val="11"/>
        <rFont val="Calibri"/>
        <family val="2"/>
        <scheme val="minor"/>
      </rPr>
      <t>O2,HMETO</t>
    </r>
    <r>
      <rPr>
        <sz val="11"/>
        <rFont val="Calibri"/>
        <family val="2"/>
        <scheme val="minor"/>
      </rPr>
      <t>)</t>
    </r>
  </si>
  <si>
    <r>
      <t>Msat(S</t>
    </r>
    <r>
      <rPr>
        <vertAlign val="subscript"/>
        <sz val="11"/>
        <rFont val="Calibri"/>
        <family val="2"/>
        <scheme val="minor"/>
      </rPr>
      <t>O2</t>
    </r>
    <r>
      <rPr>
        <sz val="11"/>
        <rFont val="Calibri"/>
        <family val="2"/>
        <scheme val="minor"/>
      </rPr>
      <t>;Ki</t>
    </r>
    <r>
      <rPr>
        <vertAlign val="subscript"/>
        <sz val="11"/>
        <rFont val="Calibri"/>
        <family val="2"/>
        <scheme val="minor"/>
      </rPr>
      <t>O2,HMETO</t>
    </r>
    <r>
      <rPr>
        <sz val="11"/>
        <rFont val="Calibri"/>
        <family val="2"/>
        <scheme val="minor"/>
      </rPr>
      <t>)</t>
    </r>
  </si>
  <si>
    <r>
      <t>Msat</t>
    </r>
    <r>
      <rPr>
        <vertAlign val="subscript"/>
        <sz val="11"/>
        <rFont val="Calibri"/>
        <family val="2"/>
        <scheme val="minor"/>
      </rPr>
      <t>SO2,KiO2,HMETO</t>
    </r>
  </si>
  <si>
    <r>
      <t>b</t>
    </r>
    <r>
      <rPr>
        <vertAlign val="subscript"/>
        <sz val="11"/>
        <rFont val="Calibri"/>
        <family val="2"/>
      </rPr>
      <t>MEOLO,T</t>
    </r>
    <r>
      <rPr>
        <sz val="11"/>
        <rFont val="Calibri"/>
        <family val="2"/>
      </rPr>
      <t>*X</t>
    </r>
    <r>
      <rPr>
        <vertAlign val="subscript"/>
        <sz val="11"/>
        <rFont val="Calibri"/>
        <family val="2"/>
      </rPr>
      <t>MEOLO</t>
    </r>
    <r>
      <rPr>
        <sz val="11"/>
        <rFont val="Calibri"/>
        <family val="2"/>
      </rPr>
      <t>*(Msat</t>
    </r>
    <r>
      <rPr>
        <vertAlign val="subscript"/>
        <sz val="11"/>
        <rFont val="Calibri"/>
        <family val="2"/>
      </rPr>
      <t>SO2,KiO2,MEOLO</t>
    </r>
    <r>
      <rPr>
        <sz val="11"/>
        <rFont val="Calibri"/>
        <family val="2"/>
      </rPr>
      <t>+η</t>
    </r>
    <r>
      <rPr>
        <vertAlign val="subscript"/>
        <sz val="11"/>
        <rFont val="Calibri"/>
        <family val="2"/>
      </rPr>
      <t>b,anox</t>
    </r>
    <r>
      <rPr>
        <sz val="11"/>
        <rFont val="Calibri"/>
        <family val="2"/>
      </rPr>
      <t>*Msat</t>
    </r>
    <r>
      <rPr>
        <vertAlign val="subscript"/>
        <sz val="11"/>
        <rFont val="Calibri"/>
        <family val="2"/>
      </rPr>
      <t>SNOx,KNOx,MEOLO</t>
    </r>
    <r>
      <rPr>
        <sz val="11"/>
        <rFont val="Calibri"/>
        <family val="2"/>
      </rPr>
      <t>*Minh</t>
    </r>
    <r>
      <rPr>
        <vertAlign val="subscript"/>
        <sz val="11"/>
        <rFont val="Calibri"/>
        <family val="2"/>
      </rPr>
      <t>SO2,KiO2,MEOLO</t>
    </r>
    <r>
      <rPr>
        <sz val="11"/>
        <rFont val="Calibri"/>
        <family val="2"/>
      </rPr>
      <t>)</t>
    </r>
  </si>
  <si>
    <r>
      <t>b</t>
    </r>
    <r>
      <rPr>
        <vertAlign val="subscript"/>
        <sz val="11"/>
        <rFont val="Calibri"/>
        <family val="2"/>
      </rPr>
      <t>MEOLO,T</t>
    </r>
    <r>
      <rPr>
        <sz val="11"/>
        <rFont val="Calibri"/>
        <family val="2"/>
      </rPr>
      <t>*X</t>
    </r>
    <r>
      <rPr>
        <vertAlign val="subscript"/>
        <sz val="11"/>
        <rFont val="Calibri"/>
        <family val="2"/>
      </rPr>
      <t>MEOLO</t>
    </r>
    <r>
      <rPr>
        <sz val="11"/>
        <rFont val="Calibri"/>
        <family val="2"/>
      </rPr>
      <t>*(η</t>
    </r>
    <r>
      <rPr>
        <vertAlign val="subscript"/>
        <sz val="11"/>
        <rFont val="Calibri"/>
        <family val="2"/>
      </rPr>
      <t>b,ana</t>
    </r>
    <r>
      <rPr>
        <sz val="11"/>
        <rFont val="Calibri"/>
        <family val="2"/>
      </rPr>
      <t>*Minh</t>
    </r>
    <r>
      <rPr>
        <vertAlign val="subscript"/>
        <sz val="11"/>
        <rFont val="Calibri"/>
        <family val="2"/>
      </rPr>
      <t>SNOx,KNOx,MEOLO</t>
    </r>
    <r>
      <rPr>
        <sz val="11"/>
        <rFont val="Calibri"/>
        <family val="2"/>
      </rPr>
      <t>*Minh</t>
    </r>
    <r>
      <rPr>
        <vertAlign val="subscript"/>
        <sz val="11"/>
        <rFont val="Calibri"/>
        <family val="2"/>
      </rPr>
      <t>SO2,KiO2,MEOLO</t>
    </r>
    <r>
      <rPr>
        <sz val="11"/>
        <rFont val="Calibri"/>
        <family val="2"/>
      </rPr>
      <t>+m</t>
    </r>
    <r>
      <rPr>
        <vertAlign val="subscript"/>
        <sz val="11"/>
        <rFont val="Calibri"/>
        <family val="2"/>
      </rPr>
      <t>tox,ana</t>
    </r>
    <r>
      <rPr>
        <sz val="11"/>
        <rFont val="Calibri"/>
        <family val="2"/>
      </rPr>
      <t>)</t>
    </r>
  </si>
  <si>
    <r>
      <t>b</t>
    </r>
    <r>
      <rPr>
        <vertAlign val="subscript"/>
        <sz val="11"/>
        <rFont val="Calibri"/>
        <family val="2"/>
      </rPr>
      <t>AMETO,T</t>
    </r>
    <r>
      <rPr>
        <sz val="11"/>
        <rFont val="Calibri"/>
        <family val="2"/>
      </rPr>
      <t>*X</t>
    </r>
    <r>
      <rPr>
        <vertAlign val="subscript"/>
        <sz val="11"/>
        <rFont val="Calibri"/>
        <family val="2"/>
      </rPr>
      <t>AMETO</t>
    </r>
    <r>
      <rPr>
        <sz val="11"/>
        <rFont val="Calibri"/>
        <family val="2"/>
      </rPr>
      <t>*(m</t>
    </r>
    <r>
      <rPr>
        <i/>
        <vertAlign val="subscript"/>
        <sz val="11"/>
        <rFont val="Calibri"/>
        <family val="2"/>
      </rPr>
      <t>tox,aer</t>
    </r>
    <r>
      <rPr>
        <sz val="11"/>
        <rFont val="Calibri"/>
        <family val="2"/>
      </rPr>
      <t>*Msat</t>
    </r>
    <r>
      <rPr>
        <vertAlign val="subscript"/>
        <sz val="11"/>
        <rFont val="Calibri"/>
        <family val="2"/>
      </rPr>
      <t>SO2,KiO2,AMETO</t>
    </r>
    <r>
      <rPr>
        <sz val="11"/>
        <rFont val="Calibri"/>
        <family val="2"/>
      </rPr>
      <t>+m</t>
    </r>
    <r>
      <rPr>
        <vertAlign val="subscript"/>
        <sz val="11"/>
        <rFont val="Calibri"/>
        <family val="2"/>
      </rPr>
      <t>tox,anox</t>
    </r>
    <r>
      <rPr>
        <sz val="11"/>
        <rFont val="Calibri"/>
        <family val="2"/>
      </rPr>
      <t>*Msat</t>
    </r>
    <r>
      <rPr>
        <vertAlign val="subscript"/>
        <sz val="11"/>
        <rFont val="Calibri"/>
        <family val="2"/>
      </rPr>
      <t>SNOx,KNOx,AMETO</t>
    </r>
    <r>
      <rPr>
        <sz val="11"/>
        <rFont val="Calibri"/>
        <family val="2"/>
      </rPr>
      <t>*Minh</t>
    </r>
    <r>
      <rPr>
        <vertAlign val="subscript"/>
        <sz val="11"/>
        <rFont val="Calibri"/>
        <family val="2"/>
      </rPr>
      <t>SO2,KiO2,AMETO</t>
    </r>
    <r>
      <rPr>
        <sz val="11"/>
        <rFont val="Calibri"/>
        <family val="2"/>
      </rPr>
      <t>)</t>
    </r>
  </si>
  <si>
    <r>
      <t>b</t>
    </r>
    <r>
      <rPr>
        <vertAlign val="subscript"/>
        <sz val="11"/>
        <rFont val="Calibri"/>
        <family val="2"/>
      </rPr>
      <t>AMETO,T</t>
    </r>
    <r>
      <rPr>
        <sz val="11"/>
        <rFont val="Calibri"/>
        <family val="2"/>
      </rPr>
      <t>*X</t>
    </r>
    <r>
      <rPr>
        <vertAlign val="subscript"/>
        <sz val="11"/>
        <rFont val="Calibri"/>
        <family val="2"/>
      </rPr>
      <t>AMETO</t>
    </r>
    <r>
      <rPr>
        <sz val="11"/>
        <rFont val="Calibri"/>
        <family val="2"/>
      </rPr>
      <t>*Minh</t>
    </r>
    <r>
      <rPr>
        <vertAlign val="subscript"/>
        <sz val="11"/>
        <rFont val="Calibri"/>
        <family val="2"/>
      </rPr>
      <t>SNOx,KNOx,AMETO</t>
    </r>
    <r>
      <rPr>
        <sz val="11"/>
        <rFont val="Calibri"/>
        <family val="2"/>
      </rPr>
      <t>*Minh</t>
    </r>
    <r>
      <rPr>
        <vertAlign val="subscript"/>
        <sz val="11"/>
        <rFont val="Calibri"/>
        <family val="2"/>
      </rPr>
      <t>SO2,KiO2,AMETO</t>
    </r>
  </si>
  <si>
    <r>
      <t>b</t>
    </r>
    <r>
      <rPr>
        <vertAlign val="subscript"/>
        <sz val="11"/>
        <rFont val="Calibri"/>
        <family val="2"/>
      </rPr>
      <t>HMETO,T</t>
    </r>
    <r>
      <rPr>
        <sz val="11"/>
        <rFont val="Calibri"/>
        <family val="2"/>
      </rPr>
      <t>*X</t>
    </r>
    <r>
      <rPr>
        <vertAlign val="subscript"/>
        <sz val="11"/>
        <rFont val="Calibri"/>
        <family val="2"/>
      </rPr>
      <t>HMETO</t>
    </r>
    <r>
      <rPr>
        <sz val="11"/>
        <rFont val="Calibri"/>
        <family val="2"/>
      </rPr>
      <t>*(m</t>
    </r>
    <r>
      <rPr>
        <vertAlign val="subscript"/>
        <sz val="11"/>
        <rFont val="Calibri"/>
        <family val="2"/>
      </rPr>
      <t>tox,aer</t>
    </r>
    <r>
      <rPr>
        <sz val="11"/>
        <rFont val="Calibri"/>
        <family val="2"/>
      </rPr>
      <t>*Msat</t>
    </r>
    <r>
      <rPr>
        <vertAlign val="subscript"/>
        <sz val="11"/>
        <rFont val="Calibri"/>
        <family val="2"/>
      </rPr>
      <t>SO2,KiO2,HMETO</t>
    </r>
    <r>
      <rPr>
        <sz val="11"/>
        <rFont val="Calibri"/>
        <family val="2"/>
      </rPr>
      <t>+m</t>
    </r>
    <r>
      <rPr>
        <vertAlign val="subscript"/>
        <sz val="11"/>
        <rFont val="Calibri"/>
        <family val="2"/>
      </rPr>
      <t>tox,anox</t>
    </r>
    <r>
      <rPr>
        <sz val="11"/>
        <rFont val="Calibri"/>
        <family val="2"/>
      </rPr>
      <t>*Msat</t>
    </r>
    <r>
      <rPr>
        <vertAlign val="subscript"/>
        <sz val="11"/>
        <rFont val="Calibri"/>
        <family val="2"/>
      </rPr>
      <t>SNOx,KNOx,HMETO</t>
    </r>
    <r>
      <rPr>
        <sz val="11"/>
        <rFont val="Calibri"/>
        <family val="2"/>
      </rPr>
      <t>*Minh</t>
    </r>
    <r>
      <rPr>
        <vertAlign val="subscript"/>
        <sz val="11"/>
        <rFont val="Calibri"/>
        <family val="2"/>
      </rPr>
      <t>SO2,KiO2,HMETO</t>
    </r>
    <r>
      <rPr>
        <sz val="11"/>
        <rFont val="Calibri"/>
        <family val="2"/>
      </rPr>
      <t>)</t>
    </r>
  </si>
  <si>
    <r>
      <t>b</t>
    </r>
    <r>
      <rPr>
        <vertAlign val="subscript"/>
        <sz val="11"/>
        <rFont val="Calibri"/>
        <family val="2"/>
      </rPr>
      <t>HMETO,T</t>
    </r>
    <r>
      <rPr>
        <sz val="11"/>
        <rFont val="Calibri"/>
        <family val="2"/>
      </rPr>
      <t>*X</t>
    </r>
    <r>
      <rPr>
        <vertAlign val="subscript"/>
        <sz val="11"/>
        <rFont val="Calibri"/>
        <family val="2"/>
      </rPr>
      <t>HMETO</t>
    </r>
    <r>
      <rPr>
        <sz val="11"/>
        <rFont val="Calibri"/>
        <family val="2"/>
      </rPr>
      <t>*(Minh</t>
    </r>
    <r>
      <rPr>
        <vertAlign val="subscript"/>
        <sz val="11"/>
        <rFont val="Calibri"/>
        <family val="2"/>
      </rPr>
      <t>SNOx,KNOx,HMETO</t>
    </r>
    <r>
      <rPr>
        <sz val="11"/>
        <rFont val="Calibri"/>
        <family val="2"/>
      </rPr>
      <t>*Minh</t>
    </r>
    <r>
      <rPr>
        <vertAlign val="subscript"/>
        <sz val="11"/>
        <rFont val="Calibri"/>
        <family val="2"/>
      </rPr>
      <t>SO2,KiO2,HMETO</t>
    </r>
    <r>
      <rPr>
        <sz val="11"/>
        <rFont val="Calibri"/>
        <family val="2"/>
      </rPr>
      <t>)</t>
    </r>
  </si>
  <si>
    <t>unused</t>
  </si>
  <si>
    <r>
      <t>Msat</t>
    </r>
    <r>
      <rPr>
        <vertAlign val="subscript"/>
        <sz val="11"/>
        <rFont val="Calibri"/>
        <family val="2"/>
        <scheme val="minor"/>
      </rPr>
      <t>SO2,KiO2,MEOLO</t>
    </r>
  </si>
  <si>
    <r>
      <t>Msat(S</t>
    </r>
    <r>
      <rPr>
        <vertAlign val="subscript"/>
        <sz val="11"/>
        <rFont val="Calibri"/>
        <family val="2"/>
        <scheme val="minor"/>
      </rPr>
      <t>O2</t>
    </r>
    <r>
      <rPr>
        <sz val="11"/>
        <rFont val="Calibri"/>
        <family val="2"/>
        <scheme val="minor"/>
      </rPr>
      <t>;Ki</t>
    </r>
    <r>
      <rPr>
        <vertAlign val="subscript"/>
        <sz val="11"/>
        <rFont val="Calibri"/>
        <family val="2"/>
        <scheme val="minor"/>
      </rPr>
      <t>O2,MEOLO</t>
    </r>
    <r>
      <rPr>
        <sz val="11"/>
        <rFont val="Calibri"/>
        <family val="2"/>
        <scheme val="minor"/>
      </rPr>
      <t>)</t>
    </r>
  </si>
  <si>
    <r>
      <t>k</t>
    </r>
    <r>
      <rPr>
        <vertAlign val="subscript"/>
        <sz val="11"/>
        <rFont val="Calibri"/>
        <family val="2"/>
      </rPr>
      <t>L,GO2,bub</t>
    </r>
  </si>
  <si>
    <r>
      <t>Liquid-side mass transfer coefficient of O</t>
    </r>
    <r>
      <rPr>
        <vertAlign val="subscript"/>
        <sz val="11"/>
        <color rgb="FF000000"/>
        <rFont val="Calibri"/>
        <family val="2"/>
        <scheme val="minor"/>
      </rPr>
      <t>2</t>
    </r>
    <r>
      <rPr>
        <sz val="11"/>
        <rFont val="Calibri"/>
        <family val="2"/>
        <scheme val="minor"/>
      </rPr>
      <t xml:space="preserve"> for gas bubbles</t>
    </r>
  </si>
  <si>
    <r>
      <t>k</t>
    </r>
    <r>
      <rPr>
        <vertAlign val="subscript"/>
        <sz val="11"/>
        <rFont val="Calibri"/>
        <family val="2"/>
      </rPr>
      <t>L,GO2,sur</t>
    </r>
  </si>
  <si>
    <r>
      <t>Liquid-side mass transfer coefficient of O</t>
    </r>
    <r>
      <rPr>
        <vertAlign val="subscript"/>
        <sz val="11"/>
        <color rgb="FF000000"/>
        <rFont val="Calibri"/>
        <family val="2"/>
        <scheme val="minor"/>
      </rPr>
      <t>2</t>
    </r>
    <r>
      <rPr>
        <sz val="11"/>
        <rFont val="Calibri"/>
        <family val="2"/>
        <scheme val="minor"/>
      </rPr>
      <t xml:space="preserve"> at liquid surface</t>
    </r>
  </si>
  <si>
    <r>
      <t>Liquid-side mass transfer coefficient of N</t>
    </r>
    <r>
      <rPr>
        <vertAlign val="subscript"/>
        <sz val="11"/>
        <color rgb="FF000000"/>
        <rFont val="Calibri"/>
        <family val="2"/>
        <scheme val="minor"/>
      </rPr>
      <t>2</t>
    </r>
    <r>
      <rPr>
        <sz val="11"/>
        <rFont val="Calibri"/>
        <family val="2"/>
        <scheme val="minor"/>
      </rPr>
      <t xml:space="preserve"> for gas bubbles</t>
    </r>
  </si>
  <si>
    <r>
      <t>Liquid-side mass transfer coefficient of CO</t>
    </r>
    <r>
      <rPr>
        <vertAlign val="subscript"/>
        <sz val="11"/>
        <color rgb="FF000000"/>
        <rFont val="Calibri"/>
        <family val="2"/>
        <scheme val="minor"/>
      </rPr>
      <t>2</t>
    </r>
    <r>
      <rPr>
        <sz val="11"/>
        <rFont val="Calibri"/>
        <family val="2"/>
        <scheme val="minor"/>
      </rPr>
      <t xml:space="preserve"> for gas bubbles</t>
    </r>
  </si>
  <si>
    <r>
      <t>Liquid-side mass transfer coefficient of CH</t>
    </r>
    <r>
      <rPr>
        <vertAlign val="subscript"/>
        <sz val="11"/>
        <color rgb="FF000000"/>
        <rFont val="Calibri"/>
        <family val="2"/>
        <scheme val="minor"/>
      </rPr>
      <t>4</t>
    </r>
    <r>
      <rPr>
        <sz val="11"/>
        <rFont val="Calibri"/>
        <family val="2"/>
        <scheme val="minor"/>
      </rPr>
      <t xml:space="preserve"> for gas bubbles</t>
    </r>
  </si>
  <si>
    <r>
      <t>Liquid-side mass transfer coefficient of H</t>
    </r>
    <r>
      <rPr>
        <vertAlign val="subscript"/>
        <sz val="11"/>
        <color rgb="FF000000"/>
        <rFont val="Calibri"/>
        <family val="2"/>
        <scheme val="minor"/>
      </rPr>
      <t>2</t>
    </r>
    <r>
      <rPr>
        <sz val="11"/>
        <rFont val="Calibri"/>
        <family val="2"/>
        <scheme val="minor"/>
      </rPr>
      <t xml:space="preserve"> for gas bubbles</t>
    </r>
  </si>
  <si>
    <r>
      <t>Liquid-side mass transfer coefficient of NH</t>
    </r>
    <r>
      <rPr>
        <vertAlign val="subscript"/>
        <sz val="11"/>
        <color rgb="FF000000"/>
        <rFont val="Calibri"/>
        <family val="2"/>
        <scheme val="minor"/>
      </rPr>
      <t>3</t>
    </r>
    <r>
      <rPr>
        <sz val="11"/>
        <rFont val="Calibri"/>
        <family val="2"/>
        <scheme val="minor"/>
      </rPr>
      <t xml:space="preserve"> for gas bubbles</t>
    </r>
  </si>
  <si>
    <r>
      <t>f</t>
    </r>
    <r>
      <rPr>
        <vertAlign val="subscript"/>
        <sz val="11"/>
        <rFont val="Calibri"/>
        <family val="2"/>
        <scheme val="minor"/>
      </rPr>
      <t>kL,GN2</t>
    </r>
    <r>
      <rPr>
        <sz val="11"/>
        <rFont val="Calibri"/>
        <family val="2"/>
        <scheme val="minor"/>
      </rPr>
      <t>*(D</t>
    </r>
    <r>
      <rPr>
        <vertAlign val="subscript"/>
        <sz val="11"/>
        <rFont val="Calibri"/>
        <family val="2"/>
        <charset val="238"/>
        <scheme val="minor"/>
      </rPr>
      <t>G</t>
    </r>
    <r>
      <rPr>
        <vertAlign val="subscript"/>
        <sz val="11"/>
        <rFont val="Calibri"/>
        <family val="2"/>
        <scheme val="minor"/>
      </rPr>
      <t>N2,25</t>
    </r>
    <r>
      <rPr>
        <sz val="11"/>
        <rFont val="Calibri"/>
        <family val="2"/>
        <scheme val="minor"/>
      </rPr>
      <t>/D</t>
    </r>
    <r>
      <rPr>
        <vertAlign val="subscript"/>
        <sz val="11"/>
        <rFont val="Calibri"/>
        <family val="2"/>
        <charset val="238"/>
        <scheme val="minor"/>
      </rPr>
      <t>G</t>
    </r>
    <r>
      <rPr>
        <vertAlign val="subscript"/>
        <sz val="11"/>
        <rFont val="Calibri"/>
        <family val="2"/>
        <scheme val="minor"/>
      </rPr>
      <t>O2,25</t>
    </r>
    <r>
      <rPr>
        <sz val="11"/>
        <rFont val="Calibri"/>
        <family val="2"/>
        <scheme val="minor"/>
      </rPr>
      <t>)^0.5*k</t>
    </r>
    <r>
      <rPr>
        <vertAlign val="subscript"/>
        <sz val="11"/>
        <rFont val="Calibri"/>
        <family val="2"/>
        <scheme val="minor"/>
      </rPr>
      <t>L,GO2,bub</t>
    </r>
  </si>
  <si>
    <r>
      <t>f</t>
    </r>
    <r>
      <rPr>
        <vertAlign val="subscript"/>
        <sz val="11"/>
        <rFont val="Calibri"/>
        <family val="2"/>
        <scheme val="minor"/>
      </rPr>
      <t>kL,GCO2</t>
    </r>
    <r>
      <rPr>
        <sz val="11"/>
        <rFont val="Calibri"/>
        <family val="2"/>
        <scheme val="minor"/>
      </rPr>
      <t>*(D</t>
    </r>
    <r>
      <rPr>
        <vertAlign val="subscript"/>
        <sz val="11"/>
        <rFont val="Calibri"/>
        <family val="2"/>
        <charset val="238"/>
        <scheme val="minor"/>
      </rPr>
      <t>G</t>
    </r>
    <r>
      <rPr>
        <vertAlign val="subscript"/>
        <sz val="11"/>
        <rFont val="Calibri"/>
        <family val="2"/>
        <scheme val="minor"/>
      </rPr>
      <t>CO2,25</t>
    </r>
    <r>
      <rPr>
        <sz val="11"/>
        <rFont val="Calibri"/>
        <family val="2"/>
        <scheme val="minor"/>
      </rPr>
      <t>/D</t>
    </r>
    <r>
      <rPr>
        <vertAlign val="subscript"/>
        <sz val="11"/>
        <rFont val="Calibri"/>
        <family val="2"/>
        <charset val="238"/>
        <scheme val="minor"/>
      </rPr>
      <t>G</t>
    </r>
    <r>
      <rPr>
        <vertAlign val="subscript"/>
        <sz val="11"/>
        <rFont val="Calibri"/>
        <family val="2"/>
        <scheme val="minor"/>
      </rPr>
      <t>O2,25</t>
    </r>
    <r>
      <rPr>
        <sz val="11"/>
        <rFont val="Calibri"/>
        <family val="2"/>
        <scheme val="minor"/>
      </rPr>
      <t>)^0.5*k</t>
    </r>
    <r>
      <rPr>
        <vertAlign val="subscript"/>
        <sz val="11"/>
        <rFont val="Calibri"/>
        <family val="2"/>
        <scheme val="minor"/>
      </rPr>
      <t>L,GO2,bub</t>
    </r>
  </si>
  <si>
    <r>
      <t>f</t>
    </r>
    <r>
      <rPr>
        <vertAlign val="subscript"/>
        <sz val="11"/>
        <rFont val="Calibri"/>
        <family val="2"/>
        <scheme val="minor"/>
      </rPr>
      <t>kL,GCH4</t>
    </r>
    <r>
      <rPr>
        <sz val="11"/>
        <rFont val="Calibri"/>
        <family val="2"/>
        <scheme val="minor"/>
      </rPr>
      <t>*(D</t>
    </r>
    <r>
      <rPr>
        <vertAlign val="subscript"/>
        <sz val="11"/>
        <rFont val="Calibri"/>
        <family val="2"/>
        <charset val="238"/>
        <scheme val="minor"/>
      </rPr>
      <t>G</t>
    </r>
    <r>
      <rPr>
        <vertAlign val="subscript"/>
        <sz val="11"/>
        <rFont val="Calibri"/>
        <family val="2"/>
        <scheme val="minor"/>
      </rPr>
      <t>CH4,25</t>
    </r>
    <r>
      <rPr>
        <sz val="11"/>
        <rFont val="Calibri"/>
        <family val="2"/>
        <scheme val="minor"/>
      </rPr>
      <t>/D</t>
    </r>
    <r>
      <rPr>
        <vertAlign val="subscript"/>
        <sz val="11"/>
        <rFont val="Calibri"/>
        <family val="2"/>
        <charset val="238"/>
        <scheme val="minor"/>
      </rPr>
      <t>G</t>
    </r>
    <r>
      <rPr>
        <vertAlign val="subscript"/>
        <sz val="11"/>
        <rFont val="Calibri"/>
        <family val="2"/>
        <scheme val="minor"/>
      </rPr>
      <t>O2,25</t>
    </r>
    <r>
      <rPr>
        <sz val="11"/>
        <rFont val="Calibri"/>
        <family val="2"/>
        <scheme val="minor"/>
      </rPr>
      <t>)^0.5*k</t>
    </r>
    <r>
      <rPr>
        <vertAlign val="subscript"/>
        <sz val="11"/>
        <rFont val="Calibri"/>
        <family val="2"/>
        <scheme val="minor"/>
      </rPr>
      <t>L,GO2,bub</t>
    </r>
  </si>
  <si>
    <r>
      <t>f</t>
    </r>
    <r>
      <rPr>
        <vertAlign val="subscript"/>
        <sz val="11"/>
        <rFont val="Calibri"/>
        <family val="2"/>
        <scheme val="minor"/>
      </rPr>
      <t>kL,GH2</t>
    </r>
    <r>
      <rPr>
        <sz val="11"/>
        <rFont val="Calibri"/>
        <family val="2"/>
        <scheme val="minor"/>
      </rPr>
      <t>*(D</t>
    </r>
    <r>
      <rPr>
        <vertAlign val="subscript"/>
        <sz val="11"/>
        <rFont val="Calibri"/>
        <family val="2"/>
        <charset val="238"/>
        <scheme val="minor"/>
      </rPr>
      <t>G</t>
    </r>
    <r>
      <rPr>
        <vertAlign val="subscript"/>
        <sz val="11"/>
        <rFont val="Calibri"/>
        <family val="2"/>
        <scheme val="minor"/>
      </rPr>
      <t>H2,25</t>
    </r>
    <r>
      <rPr>
        <sz val="11"/>
        <rFont val="Calibri"/>
        <family val="2"/>
        <scheme val="minor"/>
      </rPr>
      <t>/D</t>
    </r>
    <r>
      <rPr>
        <vertAlign val="subscript"/>
        <sz val="11"/>
        <rFont val="Calibri"/>
        <family val="2"/>
        <charset val="238"/>
        <scheme val="minor"/>
      </rPr>
      <t>G</t>
    </r>
    <r>
      <rPr>
        <vertAlign val="subscript"/>
        <sz val="11"/>
        <rFont val="Calibri"/>
        <family val="2"/>
        <scheme val="minor"/>
      </rPr>
      <t>O2,25</t>
    </r>
    <r>
      <rPr>
        <sz val="11"/>
        <rFont val="Calibri"/>
        <family val="2"/>
        <scheme val="minor"/>
      </rPr>
      <t>)^0.5*k</t>
    </r>
    <r>
      <rPr>
        <vertAlign val="subscript"/>
        <sz val="11"/>
        <rFont val="Calibri"/>
        <family val="2"/>
        <scheme val="minor"/>
      </rPr>
      <t>L,GO2,bub</t>
    </r>
  </si>
  <si>
    <r>
      <t>f</t>
    </r>
    <r>
      <rPr>
        <vertAlign val="subscript"/>
        <sz val="11"/>
        <rFont val="Calibri"/>
        <family val="2"/>
        <scheme val="minor"/>
      </rPr>
      <t>kL,GNH3</t>
    </r>
    <r>
      <rPr>
        <sz val="11"/>
        <rFont val="Calibri"/>
        <family val="2"/>
        <scheme val="minor"/>
      </rPr>
      <t>*(D</t>
    </r>
    <r>
      <rPr>
        <vertAlign val="subscript"/>
        <sz val="11"/>
        <rFont val="Calibri"/>
        <family val="2"/>
        <charset val="238"/>
        <scheme val="minor"/>
      </rPr>
      <t>G</t>
    </r>
    <r>
      <rPr>
        <vertAlign val="subscript"/>
        <sz val="11"/>
        <rFont val="Calibri"/>
        <family val="2"/>
        <scheme val="minor"/>
      </rPr>
      <t>NH3,25</t>
    </r>
    <r>
      <rPr>
        <sz val="11"/>
        <rFont val="Calibri"/>
        <family val="2"/>
        <scheme val="minor"/>
      </rPr>
      <t>/D</t>
    </r>
    <r>
      <rPr>
        <vertAlign val="subscript"/>
        <sz val="11"/>
        <rFont val="Calibri"/>
        <family val="2"/>
        <charset val="238"/>
        <scheme val="minor"/>
      </rPr>
      <t>G</t>
    </r>
    <r>
      <rPr>
        <vertAlign val="subscript"/>
        <sz val="11"/>
        <rFont val="Calibri"/>
        <family val="2"/>
        <scheme val="minor"/>
      </rPr>
      <t>O2,25</t>
    </r>
    <r>
      <rPr>
        <sz val="11"/>
        <rFont val="Calibri"/>
        <family val="2"/>
        <scheme val="minor"/>
      </rPr>
      <t>)^0.5*k</t>
    </r>
    <r>
      <rPr>
        <vertAlign val="subscript"/>
        <sz val="11"/>
        <rFont val="Calibri"/>
        <family val="2"/>
        <scheme val="minor"/>
      </rPr>
      <t>L,GO2,bub</t>
    </r>
  </si>
  <si>
    <r>
      <t>k</t>
    </r>
    <r>
      <rPr>
        <vertAlign val="subscript"/>
        <sz val="11"/>
        <rFont val="Calibri"/>
        <family val="2"/>
        <scheme val="minor"/>
      </rPr>
      <t>L,GN2,bub</t>
    </r>
  </si>
  <si>
    <r>
      <t>k</t>
    </r>
    <r>
      <rPr>
        <vertAlign val="subscript"/>
        <sz val="11"/>
        <rFont val="Calibri"/>
        <family val="2"/>
        <scheme val="minor"/>
      </rPr>
      <t>L,GCO2,bub</t>
    </r>
  </si>
  <si>
    <r>
      <t>k</t>
    </r>
    <r>
      <rPr>
        <vertAlign val="subscript"/>
        <sz val="11"/>
        <rFont val="Calibri"/>
        <family val="2"/>
        <scheme val="minor"/>
      </rPr>
      <t>L,GCH4,bub</t>
    </r>
  </si>
  <si>
    <r>
      <t>k</t>
    </r>
    <r>
      <rPr>
        <vertAlign val="subscript"/>
        <sz val="11"/>
        <rFont val="Calibri"/>
        <family val="2"/>
        <scheme val="minor"/>
      </rPr>
      <t>L,GH2,bub</t>
    </r>
  </si>
  <si>
    <r>
      <t>k</t>
    </r>
    <r>
      <rPr>
        <vertAlign val="subscript"/>
        <sz val="11"/>
        <rFont val="Calibri"/>
        <family val="2"/>
        <scheme val="minor"/>
      </rPr>
      <t>L,GNH3,bub</t>
    </r>
  </si>
  <si>
    <r>
      <t>k</t>
    </r>
    <r>
      <rPr>
        <vertAlign val="subscript"/>
        <sz val="11"/>
        <rFont val="Calibri"/>
        <family val="2"/>
        <scheme val="minor"/>
      </rPr>
      <t>L,GCO2,sur</t>
    </r>
  </si>
  <si>
    <r>
      <t>k</t>
    </r>
    <r>
      <rPr>
        <vertAlign val="subscript"/>
        <sz val="11"/>
        <rFont val="Calibri"/>
        <family val="2"/>
        <scheme val="minor"/>
      </rPr>
      <t>L,GN2,sur</t>
    </r>
  </si>
  <si>
    <r>
      <t>k</t>
    </r>
    <r>
      <rPr>
        <vertAlign val="subscript"/>
        <sz val="11"/>
        <rFont val="Calibri"/>
        <family val="2"/>
        <scheme val="minor"/>
      </rPr>
      <t>L,GCH4,sur</t>
    </r>
  </si>
  <si>
    <r>
      <t>k</t>
    </r>
    <r>
      <rPr>
        <vertAlign val="subscript"/>
        <sz val="11"/>
        <rFont val="Calibri"/>
        <family val="2"/>
        <scheme val="minor"/>
      </rPr>
      <t>L,GH2,sur</t>
    </r>
  </si>
  <si>
    <r>
      <t>k</t>
    </r>
    <r>
      <rPr>
        <vertAlign val="subscript"/>
        <sz val="11"/>
        <rFont val="Calibri"/>
        <family val="2"/>
        <scheme val="minor"/>
      </rPr>
      <t>L,GNH3,sur</t>
    </r>
  </si>
  <si>
    <r>
      <t>f</t>
    </r>
    <r>
      <rPr>
        <vertAlign val="subscript"/>
        <sz val="11"/>
        <rFont val="Calibri"/>
        <family val="2"/>
        <scheme val="minor"/>
      </rPr>
      <t>kL,GN2</t>
    </r>
    <r>
      <rPr>
        <sz val="11"/>
        <rFont val="Calibri"/>
        <family val="2"/>
        <scheme val="minor"/>
      </rPr>
      <t>*(D</t>
    </r>
    <r>
      <rPr>
        <vertAlign val="subscript"/>
        <sz val="11"/>
        <rFont val="Calibri"/>
        <family val="2"/>
        <charset val="238"/>
        <scheme val="minor"/>
      </rPr>
      <t>G</t>
    </r>
    <r>
      <rPr>
        <vertAlign val="subscript"/>
        <sz val="11"/>
        <rFont val="Calibri"/>
        <family val="2"/>
        <scheme val="minor"/>
      </rPr>
      <t>N2,25</t>
    </r>
    <r>
      <rPr>
        <sz val="11"/>
        <rFont val="Calibri"/>
        <family val="2"/>
        <scheme val="minor"/>
      </rPr>
      <t>/D</t>
    </r>
    <r>
      <rPr>
        <vertAlign val="subscript"/>
        <sz val="11"/>
        <rFont val="Calibri"/>
        <family val="2"/>
        <charset val="238"/>
        <scheme val="minor"/>
      </rPr>
      <t>G</t>
    </r>
    <r>
      <rPr>
        <vertAlign val="subscript"/>
        <sz val="11"/>
        <rFont val="Calibri"/>
        <family val="2"/>
        <scheme val="minor"/>
      </rPr>
      <t>O2,25</t>
    </r>
    <r>
      <rPr>
        <sz val="11"/>
        <rFont val="Calibri"/>
        <family val="2"/>
        <scheme val="minor"/>
      </rPr>
      <t>)^0.5*k</t>
    </r>
    <r>
      <rPr>
        <vertAlign val="subscript"/>
        <sz val="11"/>
        <rFont val="Calibri"/>
        <family val="2"/>
        <scheme val="minor"/>
      </rPr>
      <t>L,GO2,sur</t>
    </r>
  </si>
  <si>
    <r>
      <t>f</t>
    </r>
    <r>
      <rPr>
        <vertAlign val="subscript"/>
        <sz val="11"/>
        <rFont val="Calibri"/>
        <family val="2"/>
        <scheme val="minor"/>
      </rPr>
      <t>kL,GCO2</t>
    </r>
    <r>
      <rPr>
        <sz val="11"/>
        <rFont val="Calibri"/>
        <family val="2"/>
        <scheme val="minor"/>
      </rPr>
      <t>*(D</t>
    </r>
    <r>
      <rPr>
        <vertAlign val="subscript"/>
        <sz val="11"/>
        <rFont val="Calibri"/>
        <family val="2"/>
        <charset val="238"/>
        <scheme val="minor"/>
      </rPr>
      <t>G</t>
    </r>
    <r>
      <rPr>
        <vertAlign val="subscript"/>
        <sz val="11"/>
        <rFont val="Calibri"/>
        <family val="2"/>
        <scheme val="minor"/>
      </rPr>
      <t>CO2,25</t>
    </r>
    <r>
      <rPr>
        <sz val="11"/>
        <rFont val="Calibri"/>
        <family val="2"/>
        <scheme val="minor"/>
      </rPr>
      <t>/D</t>
    </r>
    <r>
      <rPr>
        <vertAlign val="subscript"/>
        <sz val="11"/>
        <rFont val="Calibri"/>
        <family val="2"/>
        <charset val="238"/>
        <scheme val="minor"/>
      </rPr>
      <t>G</t>
    </r>
    <r>
      <rPr>
        <vertAlign val="subscript"/>
        <sz val="11"/>
        <rFont val="Calibri"/>
        <family val="2"/>
        <scheme val="minor"/>
      </rPr>
      <t>O2,25</t>
    </r>
    <r>
      <rPr>
        <sz val="11"/>
        <rFont val="Calibri"/>
        <family val="2"/>
        <scheme val="minor"/>
      </rPr>
      <t>)^0.5*k</t>
    </r>
    <r>
      <rPr>
        <vertAlign val="subscript"/>
        <sz val="11"/>
        <rFont val="Calibri"/>
        <family val="2"/>
        <scheme val="minor"/>
      </rPr>
      <t>L,GO2,sur</t>
    </r>
  </si>
  <si>
    <r>
      <t>f</t>
    </r>
    <r>
      <rPr>
        <vertAlign val="subscript"/>
        <sz val="11"/>
        <rFont val="Calibri"/>
        <family val="2"/>
        <scheme val="minor"/>
      </rPr>
      <t>kL,GCH4</t>
    </r>
    <r>
      <rPr>
        <sz val="11"/>
        <rFont val="Calibri"/>
        <family val="2"/>
        <scheme val="minor"/>
      </rPr>
      <t>*(D</t>
    </r>
    <r>
      <rPr>
        <vertAlign val="subscript"/>
        <sz val="11"/>
        <rFont val="Calibri"/>
        <family val="2"/>
        <charset val="238"/>
        <scheme val="minor"/>
      </rPr>
      <t>G</t>
    </r>
    <r>
      <rPr>
        <vertAlign val="subscript"/>
        <sz val="11"/>
        <rFont val="Calibri"/>
        <family val="2"/>
        <scheme val="minor"/>
      </rPr>
      <t>CH4,25</t>
    </r>
    <r>
      <rPr>
        <sz val="11"/>
        <rFont val="Calibri"/>
        <family val="2"/>
        <scheme val="minor"/>
      </rPr>
      <t>/D</t>
    </r>
    <r>
      <rPr>
        <vertAlign val="subscript"/>
        <sz val="11"/>
        <rFont val="Calibri"/>
        <family val="2"/>
        <charset val="238"/>
        <scheme val="minor"/>
      </rPr>
      <t>G</t>
    </r>
    <r>
      <rPr>
        <vertAlign val="subscript"/>
        <sz val="11"/>
        <rFont val="Calibri"/>
        <family val="2"/>
        <scheme val="minor"/>
      </rPr>
      <t>O2,25</t>
    </r>
    <r>
      <rPr>
        <sz val="11"/>
        <rFont val="Calibri"/>
        <family val="2"/>
        <scheme val="minor"/>
      </rPr>
      <t>)^0.5*k</t>
    </r>
    <r>
      <rPr>
        <vertAlign val="subscript"/>
        <sz val="11"/>
        <rFont val="Calibri"/>
        <family val="2"/>
        <scheme val="minor"/>
      </rPr>
      <t>L,GO2,sur</t>
    </r>
  </si>
  <si>
    <r>
      <t>f</t>
    </r>
    <r>
      <rPr>
        <vertAlign val="subscript"/>
        <sz val="11"/>
        <rFont val="Calibri"/>
        <family val="2"/>
        <scheme val="minor"/>
      </rPr>
      <t>kL,GH2</t>
    </r>
    <r>
      <rPr>
        <sz val="11"/>
        <rFont val="Calibri"/>
        <family val="2"/>
        <scheme val="minor"/>
      </rPr>
      <t>*(D</t>
    </r>
    <r>
      <rPr>
        <vertAlign val="subscript"/>
        <sz val="11"/>
        <rFont val="Calibri"/>
        <family val="2"/>
        <charset val="238"/>
        <scheme val="minor"/>
      </rPr>
      <t>G</t>
    </r>
    <r>
      <rPr>
        <vertAlign val="subscript"/>
        <sz val="11"/>
        <rFont val="Calibri"/>
        <family val="2"/>
        <scheme val="minor"/>
      </rPr>
      <t>H2,25</t>
    </r>
    <r>
      <rPr>
        <sz val="11"/>
        <rFont val="Calibri"/>
        <family val="2"/>
        <scheme val="minor"/>
      </rPr>
      <t>/D</t>
    </r>
    <r>
      <rPr>
        <vertAlign val="subscript"/>
        <sz val="11"/>
        <rFont val="Calibri"/>
        <family val="2"/>
        <charset val="238"/>
        <scheme val="minor"/>
      </rPr>
      <t>G</t>
    </r>
    <r>
      <rPr>
        <vertAlign val="subscript"/>
        <sz val="11"/>
        <rFont val="Calibri"/>
        <family val="2"/>
        <scheme val="minor"/>
      </rPr>
      <t>O2,25</t>
    </r>
    <r>
      <rPr>
        <sz val="11"/>
        <rFont val="Calibri"/>
        <family val="2"/>
        <scheme val="minor"/>
      </rPr>
      <t>)^0.5*k</t>
    </r>
    <r>
      <rPr>
        <vertAlign val="subscript"/>
        <sz val="11"/>
        <rFont val="Calibri"/>
        <family val="2"/>
        <scheme val="minor"/>
      </rPr>
      <t>L,GO2,sur</t>
    </r>
  </si>
  <si>
    <r>
      <t>f</t>
    </r>
    <r>
      <rPr>
        <vertAlign val="subscript"/>
        <sz val="11"/>
        <rFont val="Calibri"/>
        <family val="2"/>
        <scheme val="minor"/>
      </rPr>
      <t>kL,GNH3</t>
    </r>
    <r>
      <rPr>
        <sz val="11"/>
        <rFont val="Calibri"/>
        <family val="2"/>
        <scheme val="minor"/>
      </rPr>
      <t>*(D</t>
    </r>
    <r>
      <rPr>
        <vertAlign val="subscript"/>
        <sz val="11"/>
        <rFont val="Calibri"/>
        <family val="2"/>
        <charset val="238"/>
        <scheme val="minor"/>
      </rPr>
      <t>G</t>
    </r>
    <r>
      <rPr>
        <vertAlign val="subscript"/>
        <sz val="11"/>
        <rFont val="Calibri"/>
        <family val="2"/>
        <scheme val="minor"/>
      </rPr>
      <t>NH3,25</t>
    </r>
    <r>
      <rPr>
        <sz val="11"/>
        <rFont val="Calibri"/>
        <family val="2"/>
        <scheme val="minor"/>
      </rPr>
      <t>/D</t>
    </r>
    <r>
      <rPr>
        <vertAlign val="subscript"/>
        <sz val="11"/>
        <rFont val="Calibri"/>
        <family val="2"/>
        <charset val="238"/>
        <scheme val="minor"/>
      </rPr>
      <t>G</t>
    </r>
    <r>
      <rPr>
        <vertAlign val="subscript"/>
        <sz val="11"/>
        <rFont val="Calibri"/>
        <family val="2"/>
        <scheme val="minor"/>
      </rPr>
      <t>O2,25</t>
    </r>
    <r>
      <rPr>
        <sz val="11"/>
        <rFont val="Calibri"/>
        <family val="2"/>
        <scheme val="minor"/>
      </rPr>
      <t>)^0.5*k</t>
    </r>
    <r>
      <rPr>
        <vertAlign val="subscript"/>
        <sz val="11"/>
        <rFont val="Calibri"/>
        <family val="2"/>
        <scheme val="minor"/>
      </rPr>
      <t>L,GO2,sur</t>
    </r>
  </si>
  <si>
    <r>
      <t>Liquid-side mass transfer coefficient of N</t>
    </r>
    <r>
      <rPr>
        <vertAlign val="subscript"/>
        <sz val="11"/>
        <color rgb="FF000000"/>
        <rFont val="Calibri"/>
        <family val="2"/>
        <scheme val="minor"/>
      </rPr>
      <t>2</t>
    </r>
    <r>
      <rPr>
        <sz val="11"/>
        <rFont val="Calibri"/>
        <family val="2"/>
        <scheme val="minor"/>
      </rPr>
      <t xml:space="preserve"> at liquid surface</t>
    </r>
  </si>
  <si>
    <r>
      <t>Liquid-side mass transfer coefficient of CO</t>
    </r>
    <r>
      <rPr>
        <vertAlign val="subscript"/>
        <sz val="11"/>
        <color rgb="FF000000"/>
        <rFont val="Calibri"/>
        <family val="2"/>
        <scheme val="minor"/>
      </rPr>
      <t>2</t>
    </r>
    <r>
      <rPr>
        <sz val="11"/>
        <rFont val="Calibri"/>
        <family val="2"/>
        <scheme val="minor"/>
      </rPr>
      <t xml:space="preserve"> at liquid surface</t>
    </r>
  </si>
  <si>
    <r>
      <t>Liquid-side mass transfer coefficient of CH</t>
    </r>
    <r>
      <rPr>
        <vertAlign val="subscript"/>
        <sz val="11"/>
        <color rgb="FF000000"/>
        <rFont val="Calibri"/>
        <family val="2"/>
        <scheme val="minor"/>
      </rPr>
      <t>4</t>
    </r>
    <r>
      <rPr>
        <sz val="11"/>
        <rFont val="Calibri"/>
        <family val="2"/>
        <scheme val="minor"/>
      </rPr>
      <t xml:space="preserve"> at liquid surface</t>
    </r>
  </si>
  <si>
    <r>
      <t>Liquid-side mass transfer coefficient of H</t>
    </r>
    <r>
      <rPr>
        <vertAlign val="subscript"/>
        <sz val="11"/>
        <color rgb="FF000000"/>
        <rFont val="Calibri"/>
        <family val="2"/>
        <scheme val="minor"/>
      </rPr>
      <t>2</t>
    </r>
    <r>
      <rPr>
        <sz val="11"/>
        <rFont val="Calibri"/>
        <family val="2"/>
        <scheme val="minor"/>
      </rPr>
      <t xml:space="preserve"> at liquid surface</t>
    </r>
  </si>
  <si>
    <r>
      <t>Liquid-side mass transfer coefficient of NH</t>
    </r>
    <r>
      <rPr>
        <vertAlign val="subscript"/>
        <sz val="11"/>
        <color rgb="FF000000"/>
        <rFont val="Calibri"/>
        <family val="2"/>
        <scheme val="minor"/>
      </rPr>
      <t>3</t>
    </r>
    <r>
      <rPr>
        <sz val="11"/>
        <rFont val="Calibri"/>
        <family val="2"/>
        <scheme val="minor"/>
      </rPr>
      <t xml:space="preserve"> at liquid surface</t>
    </r>
  </si>
  <si>
    <t>Press "Global Check" button</t>
  </si>
  <si>
    <t>In the Kinetic Matrix tab, insert or delete columns in the existing model matrix so that matrix columns match with States list in States Tab</t>
  </si>
  <si>
    <t>The algebraic expressions are determined based on the system of the chemical reactions and a mass balance. A symbolic solver (e.g. http://live.sympy.org/) can be used.</t>
  </si>
  <si>
    <t>On the Calculated variables tab</t>
  </si>
  <si>
    <t>In the systemcode.xlsx file</t>
  </si>
  <si>
    <t>Insert new rows for dissociation constants and enthalpies in the constant tab</t>
  </si>
  <si>
    <t>Fill in names, other information (expression required)</t>
  </si>
  <si>
    <t>Press "calculate" and name "Value" cells from symbols (use CTRL-M [Mark Name] shortcut)</t>
  </si>
  <si>
    <t>Insert new rows for "Dissociation constants - temperature correction" and "Dissociation constants - activity correction" tables</t>
  </si>
  <si>
    <t>Check "Alkalinity" expression and modify it if required depending on the new species added</t>
  </si>
  <si>
    <t>Custom functions can be created on functions tab (systemcode.xlsx file).</t>
  </si>
  <si>
    <t>IS cut-off threshold for Davies activity coefficient correction</t>
  </si>
  <si>
    <r>
      <t>g Ca.g TSS</t>
    </r>
    <r>
      <rPr>
        <vertAlign val="superscript"/>
        <sz val="11"/>
        <rFont val="Calibri"/>
        <family val="2"/>
        <scheme val="minor"/>
      </rPr>
      <t>-1</t>
    </r>
  </si>
  <si>
    <r>
      <t>g Mg.g TSS</t>
    </r>
    <r>
      <rPr>
        <vertAlign val="superscript"/>
        <sz val="11"/>
        <rFont val="Calibri"/>
        <family val="2"/>
        <scheme val="minor"/>
      </rPr>
      <t>-1</t>
    </r>
  </si>
  <si>
    <r>
      <t>i</t>
    </r>
    <r>
      <rPr>
        <vertAlign val="subscript"/>
        <sz val="11"/>
        <rFont val="Calibri"/>
        <family val="2"/>
        <scheme val="minor"/>
      </rPr>
      <t>Ca,INORG</t>
    </r>
  </si>
  <si>
    <r>
      <t>i</t>
    </r>
    <r>
      <rPr>
        <vertAlign val="subscript"/>
        <sz val="11"/>
        <rFont val="Calibri"/>
        <family val="2"/>
        <scheme val="minor"/>
      </rPr>
      <t>Mg,INORG</t>
    </r>
  </si>
  <si>
    <r>
      <t>Ca content of X</t>
    </r>
    <r>
      <rPr>
        <vertAlign val="subscript"/>
        <sz val="11"/>
        <rFont val="Calibri"/>
        <family val="2"/>
        <scheme val="minor"/>
      </rPr>
      <t>INORG</t>
    </r>
  </si>
  <si>
    <r>
      <t>Mg content of X</t>
    </r>
    <r>
      <rPr>
        <vertAlign val="subscript"/>
        <sz val="11"/>
        <rFont val="Calibri"/>
        <family val="2"/>
        <scheme val="minor"/>
      </rPr>
      <t>INORG</t>
    </r>
  </si>
  <si>
    <r>
      <t>-i</t>
    </r>
    <r>
      <rPr>
        <vertAlign val="subscript"/>
        <sz val="11"/>
        <rFont val="Calibri"/>
        <family val="2"/>
      </rPr>
      <t>INORG</t>
    </r>
    <r>
      <rPr>
        <sz val="11"/>
        <rFont val="Calibri"/>
        <family val="2"/>
      </rPr>
      <t>*i</t>
    </r>
    <r>
      <rPr>
        <vertAlign val="subscript"/>
        <sz val="11"/>
        <rFont val="Calibri"/>
        <family val="2"/>
      </rPr>
      <t>Ca,INORG</t>
    </r>
  </si>
  <si>
    <r>
      <t>-i</t>
    </r>
    <r>
      <rPr>
        <vertAlign val="subscript"/>
        <sz val="11"/>
        <rFont val="Calibri"/>
        <family val="2"/>
      </rPr>
      <t>INORG</t>
    </r>
    <r>
      <rPr>
        <sz val="11"/>
        <rFont val="Calibri"/>
        <family val="2"/>
      </rPr>
      <t>*i</t>
    </r>
    <r>
      <rPr>
        <vertAlign val="subscript"/>
        <sz val="11"/>
        <rFont val="Calibri"/>
        <family val="2"/>
      </rPr>
      <t>Mg,INORG</t>
    </r>
  </si>
  <si>
    <r>
      <t>i</t>
    </r>
    <r>
      <rPr>
        <vertAlign val="subscript"/>
        <sz val="11"/>
        <rFont val="Calibri"/>
        <family val="2"/>
      </rPr>
      <t>INORG</t>
    </r>
    <r>
      <rPr>
        <sz val="11"/>
        <rFont val="Calibri"/>
        <family val="2"/>
      </rPr>
      <t>*i</t>
    </r>
    <r>
      <rPr>
        <vertAlign val="subscript"/>
        <sz val="11"/>
        <rFont val="Calibri"/>
        <family val="2"/>
      </rPr>
      <t>Ca,INORG</t>
    </r>
  </si>
  <si>
    <r>
      <t>i</t>
    </r>
    <r>
      <rPr>
        <vertAlign val="subscript"/>
        <sz val="11"/>
        <rFont val="Calibri"/>
        <family val="2"/>
      </rPr>
      <t>INORG</t>
    </r>
    <r>
      <rPr>
        <sz val="11"/>
        <rFont val="Calibri"/>
        <family val="2"/>
      </rPr>
      <t>*i</t>
    </r>
    <r>
      <rPr>
        <vertAlign val="subscript"/>
        <sz val="11"/>
        <rFont val="Calibri"/>
        <family val="2"/>
      </rPr>
      <t>Mg,INORG</t>
    </r>
  </si>
  <si>
    <r>
      <t>-i</t>
    </r>
    <r>
      <rPr>
        <vertAlign val="subscript"/>
        <sz val="11"/>
        <rFont val="Calibri"/>
        <family val="2"/>
      </rPr>
      <t>INORG</t>
    </r>
    <r>
      <rPr>
        <sz val="11"/>
        <rFont val="Calibri"/>
        <family val="2"/>
      </rPr>
      <t>*(1-i</t>
    </r>
    <r>
      <rPr>
        <vertAlign val="subscript"/>
        <sz val="11"/>
        <rFont val="Calibri"/>
        <family val="2"/>
      </rPr>
      <t>Ca,INORG</t>
    </r>
    <r>
      <rPr>
        <sz val="11"/>
        <rFont val="Calibri"/>
        <family val="2"/>
      </rPr>
      <t>*(AM</t>
    </r>
    <r>
      <rPr>
        <vertAlign val="subscript"/>
        <sz val="11"/>
        <rFont val="Calibri"/>
        <family val="2"/>
      </rPr>
      <t>Ca</t>
    </r>
    <r>
      <rPr>
        <sz val="11"/>
        <rFont val="Calibri"/>
        <family val="2"/>
      </rPr>
      <t>+2*AM</t>
    </r>
    <r>
      <rPr>
        <vertAlign val="subscript"/>
        <sz val="11"/>
        <rFont val="Calibri"/>
        <family val="2"/>
      </rPr>
      <t>Cl</t>
    </r>
    <r>
      <rPr>
        <sz val="11"/>
        <rFont val="Calibri"/>
        <family val="2"/>
      </rPr>
      <t>)/AM</t>
    </r>
    <r>
      <rPr>
        <vertAlign val="subscript"/>
        <sz val="11"/>
        <rFont val="Calibri"/>
        <family val="2"/>
      </rPr>
      <t>Ca</t>
    </r>
    <r>
      <rPr>
        <sz val="11"/>
        <rFont val="Calibri"/>
        <family val="2"/>
      </rPr>
      <t>-i</t>
    </r>
    <r>
      <rPr>
        <vertAlign val="subscript"/>
        <sz val="11"/>
        <rFont val="Calibri"/>
        <family val="2"/>
      </rPr>
      <t>Mg,INORG</t>
    </r>
    <r>
      <rPr>
        <sz val="11"/>
        <rFont val="Calibri"/>
        <family val="2"/>
      </rPr>
      <t>*(AM</t>
    </r>
    <r>
      <rPr>
        <vertAlign val="subscript"/>
        <sz val="11"/>
        <rFont val="Calibri"/>
        <family val="2"/>
      </rPr>
      <t>Mg</t>
    </r>
    <r>
      <rPr>
        <sz val="11"/>
        <rFont val="Calibri"/>
        <family val="2"/>
      </rPr>
      <t>+2*AM</t>
    </r>
    <r>
      <rPr>
        <vertAlign val="subscript"/>
        <sz val="11"/>
        <rFont val="Calibri"/>
        <family val="2"/>
      </rPr>
      <t>Cl</t>
    </r>
    <r>
      <rPr>
        <sz val="11"/>
        <rFont val="Calibri"/>
        <family val="2"/>
      </rPr>
      <t>)/AM</t>
    </r>
    <r>
      <rPr>
        <vertAlign val="subscript"/>
        <sz val="11"/>
        <rFont val="Calibri"/>
        <family val="2"/>
      </rPr>
      <t>Mg)</t>
    </r>
    <r>
      <rPr>
        <sz val="11"/>
        <rFont val="Calibri"/>
        <family val="2"/>
      </rPr>
      <t>*f</t>
    </r>
    <r>
      <rPr>
        <vertAlign val="subscript"/>
        <sz val="11"/>
        <rFont val="Calibri"/>
        <family val="2"/>
      </rPr>
      <t>Na</t>
    </r>
  </si>
  <si>
    <r>
      <t>i</t>
    </r>
    <r>
      <rPr>
        <vertAlign val="subscript"/>
        <sz val="11"/>
        <rFont val="Calibri"/>
        <family val="2"/>
      </rPr>
      <t>INORG</t>
    </r>
    <r>
      <rPr>
        <sz val="11"/>
        <rFont val="Calibri"/>
        <family val="2"/>
      </rPr>
      <t>*(1-i</t>
    </r>
    <r>
      <rPr>
        <vertAlign val="subscript"/>
        <sz val="11"/>
        <rFont val="Calibri"/>
        <family val="2"/>
      </rPr>
      <t>Ca,INORG</t>
    </r>
    <r>
      <rPr>
        <sz val="11"/>
        <rFont val="Calibri"/>
        <family val="2"/>
      </rPr>
      <t>*(AM</t>
    </r>
    <r>
      <rPr>
        <vertAlign val="subscript"/>
        <sz val="11"/>
        <rFont val="Calibri"/>
        <family val="2"/>
      </rPr>
      <t>Ca</t>
    </r>
    <r>
      <rPr>
        <sz val="11"/>
        <rFont val="Calibri"/>
        <family val="2"/>
      </rPr>
      <t>+2*AM</t>
    </r>
    <r>
      <rPr>
        <vertAlign val="subscript"/>
        <sz val="11"/>
        <rFont val="Calibri"/>
        <family val="2"/>
      </rPr>
      <t>Cl</t>
    </r>
    <r>
      <rPr>
        <sz val="11"/>
        <rFont val="Calibri"/>
        <family val="2"/>
      </rPr>
      <t>)/AM</t>
    </r>
    <r>
      <rPr>
        <vertAlign val="subscript"/>
        <sz val="11"/>
        <rFont val="Calibri"/>
        <family val="2"/>
      </rPr>
      <t>Ca</t>
    </r>
    <r>
      <rPr>
        <sz val="11"/>
        <rFont val="Calibri"/>
        <family val="2"/>
      </rPr>
      <t>-i</t>
    </r>
    <r>
      <rPr>
        <vertAlign val="subscript"/>
        <sz val="11"/>
        <rFont val="Calibri"/>
        <family val="2"/>
      </rPr>
      <t>Mg,INORG</t>
    </r>
    <r>
      <rPr>
        <sz val="11"/>
        <rFont val="Calibri"/>
        <family val="2"/>
      </rPr>
      <t>*(AM</t>
    </r>
    <r>
      <rPr>
        <vertAlign val="subscript"/>
        <sz val="11"/>
        <rFont val="Calibri"/>
        <family val="2"/>
      </rPr>
      <t>Mg</t>
    </r>
    <r>
      <rPr>
        <sz val="11"/>
        <rFont val="Calibri"/>
        <family val="2"/>
      </rPr>
      <t>+2*AM</t>
    </r>
    <r>
      <rPr>
        <vertAlign val="subscript"/>
        <sz val="11"/>
        <rFont val="Calibri"/>
        <family val="2"/>
      </rPr>
      <t>Cl</t>
    </r>
    <r>
      <rPr>
        <sz val="11"/>
        <rFont val="Calibri"/>
        <family val="2"/>
      </rPr>
      <t>)/AM</t>
    </r>
    <r>
      <rPr>
        <vertAlign val="subscript"/>
        <sz val="11"/>
        <rFont val="Calibri"/>
        <family val="2"/>
      </rPr>
      <t>Mg)</t>
    </r>
    <r>
      <rPr>
        <sz val="11"/>
        <rFont val="Calibri"/>
        <family val="2"/>
      </rPr>
      <t>*f</t>
    </r>
    <r>
      <rPr>
        <vertAlign val="subscript"/>
        <sz val="11"/>
        <rFont val="Calibri"/>
        <family val="2"/>
      </rPr>
      <t>Na</t>
    </r>
  </si>
  <si>
    <r>
      <t>-i</t>
    </r>
    <r>
      <rPr>
        <vertAlign val="subscript"/>
        <sz val="11"/>
        <rFont val="Calibri"/>
        <family val="2"/>
      </rPr>
      <t>INORG</t>
    </r>
    <r>
      <rPr>
        <sz val="11"/>
        <rFont val="Calibri"/>
        <family val="2"/>
      </rPr>
      <t>*i</t>
    </r>
    <r>
      <rPr>
        <vertAlign val="subscript"/>
        <sz val="11"/>
        <rFont val="Calibri"/>
        <family val="2"/>
      </rPr>
      <t>Ca,INORG</t>
    </r>
    <r>
      <rPr>
        <sz val="11"/>
        <rFont val="Calibri"/>
        <family val="2"/>
      </rPr>
      <t>+i</t>
    </r>
    <r>
      <rPr>
        <vertAlign val="subscript"/>
        <sz val="11"/>
        <rFont val="Calibri"/>
        <family val="2"/>
      </rPr>
      <t>Ca,PP</t>
    </r>
    <r>
      <rPr>
        <sz val="11"/>
        <rFont val="Calibri"/>
        <family val="2"/>
      </rPr>
      <t>*AM</t>
    </r>
    <r>
      <rPr>
        <vertAlign val="subscript"/>
        <sz val="11"/>
        <rFont val="Calibri"/>
        <family val="2"/>
      </rPr>
      <t>Ca</t>
    </r>
    <r>
      <rPr>
        <sz val="11"/>
        <rFont val="Calibri"/>
        <family val="2"/>
      </rPr>
      <t>/AM</t>
    </r>
    <r>
      <rPr>
        <vertAlign val="subscript"/>
        <sz val="11"/>
        <rFont val="Calibri"/>
        <family val="2"/>
      </rPr>
      <t>P</t>
    </r>
    <r>
      <rPr>
        <sz val="11"/>
        <rFont val="Calibri"/>
        <family val="2"/>
      </rPr>
      <t>*i</t>
    </r>
    <r>
      <rPr>
        <vertAlign val="subscript"/>
        <sz val="11"/>
        <rFont val="Calibri"/>
        <family val="2"/>
      </rPr>
      <t>P,BIO</t>
    </r>
  </si>
  <si>
    <r>
      <t>-i</t>
    </r>
    <r>
      <rPr>
        <vertAlign val="subscript"/>
        <sz val="11"/>
        <rFont val="Calibri"/>
        <family val="2"/>
      </rPr>
      <t>INORG</t>
    </r>
    <r>
      <rPr>
        <sz val="11"/>
        <rFont val="Calibri"/>
        <family val="2"/>
      </rPr>
      <t>*i</t>
    </r>
    <r>
      <rPr>
        <vertAlign val="subscript"/>
        <sz val="11"/>
        <rFont val="Calibri"/>
        <family val="2"/>
      </rPr>
      <t>Mg,INORG</t>
    </r>
    <r>
      <rPr>
        <sz val="11"/>
        <rFont val="Calibri"/>
        <family val="2"/>
      </rPr>
      <t>+i</t>
    </r>
    <r>
      <rPr>
        <vertAlign val="subscript"/>
        <sz val="11"/>
        <rFont val="Calibri"/>
        <family val="2"/>
      </rPr>
      <t>Mg,PP</t>
    </r>
    <r>
      <rPr>
        <sz val="11"/>
        <rFont val="Calibri"/>
        <family val="2"/>
      </rPr>
      <t>*AM</t>
    </r>
    <r>
      <rPr>
        <vertAlign val="subscript"/>
        <sz val="11"/>
        <rFont val="Calibri"/>
        <family val="2"/>
      </rPr>
      <t>Mg</t>
    </r>
    <r>
      <rPr>
        <sz val="11"/>
        <rFont val="Calibri"/>
        <family val="2"/>
      </rPr>
      <t>/AM</t>
    </r>
    <r>
      <rPr>
        <vertAlign val="subscript"/>
        <sz val="11"/>
        <rFont val="Calibri"/>
        <family val="2"/>
      </rPr>
      <t>P</t>
    </r>
    <r>
      <rPr>
        <sz val="11"/>
        <rFont val="Calibri"/>
        <family val="2"/>
      </rPr>
      <t>*i</t>
    </r>
    <r>
      <rPr>
        <vertAlign val="subscript"/>
        <sz val="11"/>
        <rFont val="Calibri"/>
        <family val="2"/>
      </rPr>
      <t>P,BIO</t>
    </r>
  </si>
  <si>
    <r>
      <t>(1-i</t>
    </r>
    <r>
      <rPr>
        <vertAlign val="subscript"/>
        <sz val="11"/>
        <rFont val="Calibri"/>
        <family val="2"/>
      </rPr>
      <t>Ca,INORG</t>
    </r>
    <r>
      <rPr>
        <sz val="11"/>
        <rFont val="Calibri"/>
        <family val="2"/>
      </rPr>
      <t>*(AM</t>
    </r>
    <r>
      <rPr>
        <vertAlign val="subscript"/>
        <sz val="11"/>
        <rFont val="Calibri"/>
        <family val="2"/>
      </rPr>
      <t>Ca</t>
    </r>
    <r>
      <rPr>
        <sz val="11"/>
        <rFont val="Calibri"/>
        <family val="2"/>
      </rPr>
      <t>+2*AM</t>
    </r>
    <r>
      <rPr>
        <vertAlign val="subscript"/>
        <sz val="11"/>
        <rFont val="Calibri"/>
        <family val="2"/>
      </rPr>
      <t>Cl</t>
    </r>
    <r>
      <rPr>
        <sz val="11"/>
        <rFont val="Calibri"/>
        <family val="2"/>
      </rPr>
      <t>)/AM</t>
    </r>
    <r>
      <rPr>
        <vertAlign val="subscript"/>
        <sz val="11"/>
        <rFont val="Calibri"/>
        <family val="2"/>
      </rPr>
      <t>Ca</t>
    </r>
    <r>
      <rPr>
        <sz val="11"/>
        <rFont val="Calibri"/>
        <family val="2"/>
      </rPr>
      <t>-i</t>
    </r>
    <r>
      <rPr>
        <vertAlign val="subscript"/>
        <sz val="11"/>
        <rFont val="Calibri"/>
        <family val="2"/>
      </rPr>
      <t>Mg,INORG</t>
    </r>
    <r>
      <rPr>
        <sz val="11"/>
        <rFont val="Calibri"/>
        <family val="2"/>
      </rPr>
      <t>*(AM</t>
    </r>
    <r>
      <rPr>
        <vertAlign val="subscript"/>
        <sz val="11"/>
        <rFont val="Calibri"/>
        <family val="2"/>
      </rPr>
      <t>Mg</t>
    </r>
    <r>
      <rPr>
        <sz val="11"/>
        <rFont val="Calibri"/>
        <family val="2"/>
      </rPr>
      <t>+2*AM</t>
    </r>
    <r>
      <rPr>
        <vertAlign val="subscript"/>
        <sz val="11"/>
        <rFont val="Calibri"/>
        <family val="2"/>
      </rPr>
      <t>Cl</t>
    </r>
    <r>
      <rPr>
        <sz val="11"/>
        <rFont val="Calibri"/>
        <family val="2"/>
      </rPr>
      <t>)/AM</t>
    </r>
    <r>
      <rPr>
        <vertAlign val="subscript"/>
        <sz val="11"/>
        <rFont val="Calibri"/>
        <family val="2"/>
      </rPr>
      <t>Mg)</t>
    </r>
    <r>
      <rPr>
        <sz val="11"/>
        <rFont val="Calibri"/>
        <family val="2"/>
      </rPr>
      <t>*f</t>
    </r>
    <r>
      <rPr>
        <vertAlign val="subscript"/>
        <sz val="11"/>
        <rFont val="Calibri"/>
        <family val="2"/>
      </rPr>
      <t>Na</t>
    </r>
  </si>
  <si>
    <r>
      <t>(i</t>
    </r>
    <r>
      <rPr>
        <vertAlign val="subscript"/>
        <sz val="11"/>
        <rFont val="Calibri"/>
        <family val="2"/>
      </rPr>
      <t>Ca,INORG</t>
    </r>
    <r>
      <rPr>
        <sz val="11"/>
        <rFont val="Calibri"/>
        <family val="2"/>
      </rPr>
      <t>*(2*AM</t>
    </r>
    <r>
      <rPr>
        <vertAlign val="subscript"/>
        <sz val="11"/>
        <rFont val="Calibri"/>
        <family val="2"/>
      </rPr>
      <t>Cl</t>
    </r>
    <r>
      <rPr>
        <sz val="11"/>
        <rFont val="Calibri"/>
        <family val="2"/>
      </rPr>
      <t>)/AM</t>
    </r>
    <r>
      <rPr>
        <vertAlign val="subscript"/>
        <sz val="11"/>
        <rFont val="Calibri"/>
        <family val="2"/>
      </rPr>
      <t>Ca</t>
    </r>
    <r>
      <rPr>
        <sz val="11"/>
        <rFont val="Calibri"/>
        <family val="2"/>
      </rPr>
      <t>+i</t>
    </r>
    <r>
      <rPr>
        <vertAlign val="subscript"/>
        <sz val="11"/>
        <rFont val="Calibri"/>
        <family val="2"/>
      </rPr>
      <t>Mg,INORG</t>
    </r>
    <r>
      <rPr>
        <sz val="11"/>
        <rFont val="Calibri"/>
        <family val="2"/>
      </rPr>
      <t>*(2*AM</t>
    </r>
    <r>
      <rPr>
        <vertAlign val="subscript"/>
        <sz val="11"/>
        <rFont val="Calibri"/>
        <family val="2"/>
      </rPr>
      <t>Cl</t>
    </r>
    <r>
      <rPr>
        <sz val="11"/>
        <rFont val="Calibri"/>
        <family val="2"/>
      </rPr>
      <t>)/AM</t>
    </r>
    <r>
      <rPr>
        <vertAlign val="subscript"/>
        <sz val="11"/>
        <rFont val="Calibri"/>
        <family val="2"/>
      </rPr>
      <t>Mg</t>
    </r>
    <r>
      <rPr>
        <sz val="11"/>
        <rFont val="Calibri"/>
        <family val="2"/>
      </rPr>
      <t>)+(1-i</t>
    </r>
    <r>
      <rPr>
        <vertAlign val="subscript"/>
        <sz val="11"/>
        <rFont val="Calibri"/>
        <family val="2"/>
      </rPr>
      <t>Ca,INORG</t>
    </r>
    <r>
      <rPr>
        <sz val="11"/>
        <rFont val="Calibri"/>
        <family val="2"/>
      </rPr>
      <t>*(AM</t>
    </r>
    <r>
      <rPr>
        <vertAlign val="subscript"/>
        <sz val="11"/>
        <rFont val="Calibri"/>
        <family val="2"/>
      </rPr>
      <t>Ca</t>
    </r>
    <r>
      <rPr>
        <sz val="11"/>
        <rFont val="Calibri"/>
        <family val="2"/>
      </rPr>
      <t>+2*AM</t>
    </r>
    <r>
      <rPr>
        <vertAlign val="subscript"/>
        <sz val="11"/>
        <rFont val="Calibri"/>
        <family val="2"/>
      </rPr>
      <t>Cl</t>
    </r>
    <r>
      <rPr>
        <sz val="11"/>
        <rFont val="Calibri"/>
        <family val="2"/>
      </rPr>
      <t>)/AM</t>
    </r>
    <r>
      <rPr>
        <vertAlign val="subscript"/>
        <sz val="11"/>
        <rFont val="Calibri"/>
        <family val="2"/>
      </rPr>
      <t>Ca</t>
    </r>
    <r>
      <rPr>
        <sz val="11"/>
        <rFont val="Calibri"/>
        <family val="2"/>
      </rPr>
      <t>-i</t>
    </r>
    <r>
      <rPr>
        <vertAlign val="subscript"/>
        <sz val="11"/>
        <rFont val="Calibri"/>
        <family val="2"/>
      </rPr>
      <t>Mg,INORG</t>
    </r>
    <r>
      <rPr>
        <sz val="11"/>
        <rFont val="Calibri"/>
        <family val="2"/>
      </rPr>
      <t>*(AM</t>
    </r>
    <r>
      <rPr>
        <vertAlign val="subscript"/>
        <sz val="11"/>
        <rFont val="Calibri"/>
        <family val="2"/>
      </rPr>
      <t>Mg</t>
    </r>
    <r>
      <rPr>
        <sz val="11"/>
        <rFont val="Calibri"/>
        <family val="2"/>
      </rPr>
      <t>+2*AM</t>
    </r>
    <r>
      <rPr>
        <vertAlign val="subscript"/>
        <sz val="11"/>
        <rFont val="Calibri"/>
        <family val="2"/>
      </rPr>
      <t>Cl</t>
    </r>
    <r>
      <rPr>
        <sz val="11"/>
        <rFont val="Calibri"/>
        <family val="2"/>
      </rPr>
      <t>)/AM</t>
    </r>
    <r>
      <rPr>
        <vertAlign val="subscript"/>
        <sz val="11"/>
        <rFont val="Calibri"/>
        <family val="2"/>
      </rPr>
      <t>Mg)</t>
    </r>
    <r>
      <rPr>
        <sz val="11"/>
        <rFont val="Calibri"/>
        <family val="2"/>
      </rPr>
      <t>*(1-f</t>
    </r>
    <r>
      <rPr>
        <vertAlign val="subscript"/>
        <sz val="11"/>
        <rFont val="Calibri"/>
        <family val="2"/>
      </rPr>
      <t>Na</t>
    </r>
    <r>
      <rPr>
        <sz val="11"/>
        <rFont val="Calibri"/>
        <family val="2"/>
      </rPr>
      <t>)</t>
    </r>
  </si>
  <si>
    <r>
      <t>-i</t>
    </r>
    <r>
      <rPr>
        <vertAlign val="subscript"/>
        <sz val="11"/>
        <rFont val="Calibri"/>
        <family val="2"/>
      </rPr>
      <t>INORG</t>
    </r>
    <r>
      <rPr>
        <sz val="11"/>
        <rFont val="Calibri"/>
        <family val="2"/>
      </rPr>
      <t>*(i</t>
    </r>
    <r>
      <rPr>
        <vertAlign val="subscript"/>
        <sz val="11"/>
        <rFont val="Calibri"/>
        <family val="2"/>
      </rPr>
      <t>Ca,INORG</t>
    </r>
    <r>
      <rPr>
        <sz val="11"/>
        <rFont val="Calibri"/>
        <family val="2"/>
      </rPr>
      <t>*(2*AM</t>
    </r>
    <r>
      <rPr>
        <vertAlign val="subscript"/>
        <sz val="11"/>
        <rFont val="Calibri"/>
        <family val="2"/>
      </rPr>
      <t>Cl</t>
    </r>
    <r>
      <rPr>
        <sz val="11"/>
        <rFont val="Calibri"/>
        <family val="2"/>
      </rPr>
      <t>)/AM</t>
    </r>
    <r>
      <rPr>
        <vertAlign val="subscript"/>
        <sz val="11"/>
        <rFont val="Calibri"/>
        <family val="2"/>
      </rPr>
      <t>Ca</t>
    </r>
    <r>
      <rPr>
        <sz val="11"/>
        <rFont val="Calibri"/>
        <family val="2"/>
      </rPr>
      <t>+i</t>
    </r>
    <r>
      <rPr>
        <vertAlign val="subscript"/>
        <sz val="11"/>
        <rFont val="Calibri"/>
        <family val="2"/>
      </rPr>
      <t>Mg,INORG</t>
    </r>
    <r>
      <rPr>
        <sz val="11"/>
        <rFont val="Calibri"/>
        <family val="2"/>
      </rPr>
      <t>*(2*AM</t>
    </r>
    <r>
      <rPr>
        <vertAlign val="subscript"/>
        <sz val="11"/>
        <rFont val="Calibri"/>
        <family val="2"/>
      </rPr>
      <t>Cl</t>
    </r>
    <r>
      <rPr>
        <sz val="11"/>
        <rFont val="Calibri"/>
        <family val="2"/>
      </rPr>
      <t>)/AM</t>
    </r>
    <r>
      <rPr>
        <vertAlign val="subscript"/>
        <sz val="11"/>
        <rFont val="Calibri"/>
        <family val="2"/>
      </rPr>
      <t>Mg</t>
    </r>
    <r>
      <rPr>
        <sz val="11"/>
        <rFont val="Calibri"/>
        <family val="2"/>
      </rPr>
      <t>)-i</t>
    </r>
    <r>
      <rPr>
        <vertAlign val="subscript"/>
        <sz val="11"/>
        <rFont val="Calibri"/>
        <family val="2"/>
      </rPr>
      <t>INORG</t>
    </r>
    <r>
      <rPr>
        <sz val="11"/>
        <rFont val="Calibri"/>
        <family val="2"/>
      </rPr>
      <t>*(1-i</t>
    </r>
    <r>
      <rPr>
        <vertAlign val="subscript"/>
        <sz val="11"/>
        <rFont val="Calibri"/>
        <family val="2"/>
      </rPr>
      <t>Ca,INORG</t>
    </r>
    <r>
      <rPr>
        <sz val="11"/>
        <rFont val="Calibri"/>
        <family val="2"/>
      </rPr>
      <t>*(AM</t>
    </r>
    <r>
      <rPr>
        <vertAlign val="subscript"/>
        <sz val="11"/>
        <rFont val="Calibri"/>
        <family val="2"/>
      </rPr>
      <t>Ca</t>
    </r>
    <r>
      <rPr>
        <sz val="11"/>
        <rFont val="Calibri"/>
        <family val="2"/>
      </rPr>
      <t>+2*AM</t>
    </r>
    <r>
      <rPr>
        <vertAlign val="subscript"/>
        <sz val="11"/>
        <rFont val="Calibri"/>
        <family val="2"/>
      </rPr>
      <t>Cl</t>
    </r>
    <r>
      <rPr>
        <sz val="11"/>
        <rFont val="Calibri"/>
        <family val="2"/>
      </rPr>
      <t>)/AM</t>
    </r>
    <r>
      <rPr>
        <vertAlign val="subscript"/>
        <sz val="11"/>
        <rFont val="Calibri"/>
        <family val="2"/>
      </rPr>
      <t>Ca</t>
    </r>
    <r>
      <rPr>
        <sz val="11"/>
        <rFont val="Calibri"/>
        <family val="2"/>
      </rPr>
      <t>-i</t>
    </r>
    <r>
      <rPr>
        <vertAlign val="subscript"/>
        <sz val="11"/>
        <rFont val="Calibri"/>
        <family val="2"/>
      </rPr>
      <t>Mg,INORG</t>
    </r>
    <r>
      <rPr>
        <sz val="11"/>
        <rFont val="Calibri"/>
        <family val="2"/>
      </rPr>
      <t>*(AM</t>
    </r>
    <r>
      <rPr>
        <vertAlign val="subscript"/>
        <sz val="11"/>
        <rFont val="Calibri"/>
        <family val="2"/>
      </rPr>
      <t>Mg</t>
    </r>
    <r>
      <rPr>
        <sz val="11"/>
        <rFont val="Calibri"/>
        <family val="2"/>
      </rPr>
      <t>+2*AM</t>
    </r>
    <r>
      <rPr>
        <vertAlign val="subscript"/>
        <sz val="11"/>
        <rFont val="Calibri"/>
        <family val="2"/>
      </rPr>
      <t>Cl</t>
    </r>
    <r>
      <rPr>
        <sz val="11"/>
        <rFont val="Calibri"/>
        <family val="2"/>
      </rPr>
      <t>)/AM</t>
    </r>
    <r>
      <rPr>
        <vertAlign val="subscript"/>
        <sz val="11"/>
        <rFont val="Calibri"/>
        <family val="2"/>
      </rPr>
      <t>Mg)</t>
    </r>
    <r>
      <rPr>
        <sz val="11"/>
        <rFont val="Calibri"/>
        <family val="2"/>
      </rPr>
      <t>*(1-f</t>
    </r>
    <r>
      <rPr>
        <vertAlign val="subscript"/>
        <sz val="11"/>
        <rFont val="Calibri"/>
        <family val="2"/>
      </rPr>
      <t>Na</t>
    </r>
    <r>
      <rPr>
        <sz val="11"/>
        <rFont val="Calibri"/>
        <family val="2"/>
      </rPr>
      <t>)</t>
    </r>
  </si>
  <si>
    <r>
      <t>i</t>
    </r>
    <r>
      <rPr>
        <vertAlign val="subscript"/>
        <sz val="11"/>
        <rFont val="Calibri"/>
        <family val="2"/>
      </rPr>
      <t>INORG</t>
    </r>
    <r>
      <rPr>
        <sz val="11"/>
        <rFont val="Calibri"/>
        <family val="2"/>
      </rPr>
      <t>*(i</t>
    </r>
    <r>
      <rPr>
        <vertAlign val="subscript"/>
        <sz val="11"/>
        <rFont val="Calibri"/>
        <family val="2"/>
      </rPr>
      <t>Ca,INORG</t>
    </r>
    <r>
      <rPr>
        <sz val="11"/>
        <rFont val="Calibri"/>
        <family val="2"/>
      </rPr>
      <t>*(2*AM</t>
    </r>
    <r>
      <rPr>
        <vertAlign val="subscript"/>
        <sz val="11"/>
        <rFont val="Calibri"/>
        <family val="2"/>
      </rPr>
      <t>Cl</t>
    </r>
    <r>
      <rPr>
        <sz val="11"/>
        <rFont val="Calibri"/>
        <family val="2"/>
      </rPr>
      <t>)/AM</t>
    </r>
    <r>
      <rPr>
        <vertAlign val="subscript"/>
        <sz val="11"/>
        <rFont val="Calibri"/>
        <family val="2"/>
      </rPr>
      <t>Ca</t>
    </r>
    <r>
      <rPr>
        <sz val="11"/>
        <rFont val="Calibri"/>
        <family val="2"/>
      </rPr>
      <t>+i</t>
    </r>
    <r>
      <rPr>
        <vertAlign val="subscript"/>
        <sz val="11"/>
        <rFont val="Calibri"/>
        <family val="2"/>
      </rPr>
      <t>Mg,INORG</t>
    </r>
    <r>
      <rPr>
        <sz val="11"/>
        <rFont val="Calibri"/>
        <family val="2"/>
      </rPr>
      <t>*(2*AM</t>
    </r>
    <r>
      <rPr>
        <vertAlign val="subscript"/>
        <sz val="11"/>
        <rFont val="Calibri"/>
        <family val="2"/>
      </rPr>
      <t>Cl</t>
    </r>
    <r>
      <rPr>
        <sz val="11"/>
        <rFont val="Calibri"/>
        <family val="2"/>
      </rPr>
      <t>)/AM</t>
    </r>
    <r>
      <rPr>
        <vertAlign val="subscript"/>
        <sz val="11"/>
        <rFont val="Calibri"/>
        <family val="2"/>
      </rPr>
      <t>Mg</t>
    </r>
    <r>
      <rPr>
        <sz val="11"/>
        <rFont val="Calibri"/>
        <family val="2"/>
      </rPr>
      <t>)+i</t>
    </r>
    <r>
      <rPr>
        <vertAlign val="subscript"/>
        <sz val="11"/>
        <rFont val="Calibri"/>
        <family val="2"/>
      </rPr>
      <t>INORG</t>
    </r>
    <r>
      <rPr>
        <sz val="11"/>
        <rFont val="Calibri"/>
        <family val="2"/>
      </rPr>
      <t>*(1-i</t>
    </r>
    <r>
      <rPr>
        <vertAlign val="subscript"/>
        <sz val="11"/>
        <rFont val="Calibri"/>
        <family val="2"/>
      </rPr>
      <t>Ca,INORG</t>
    </r>
    <r>
      <rPr>
        <sz val="11"/>
        <rFont val="Calibri"/>
        <family val="2"/>
      </rPr>
      <t>*(AM</t>
    </r>
    <r>
      <rPr>
        <vertAlign val="subscript"/>
        <sz val="11"/>
        <rFont val="Calibri"/>
        <family val="2"/>
      </rPr>
      <t>Ca</t>
    </r>
    <r>
      <rPr>
        <sz val="11"/>
        <rFont val="Calibri"/>
        <family val="2"/>
      </rPr>
      <t>+2*AM</t>
    </r>
    <r>
      <rPr>
        <vertAlign val="subscript"/>
        <sz val="11"/>
        <rFont val="Calibri"/>
        <family val="2"/>
      </rPr>
      <t>Cl</t>
    </r>
    <r>
      <rPr>
        <sz val="11"/>
        <rFont val="Calibri"/>
        <family val="2"/>
      </rPr>
      <t>)/AM</t>
    </r>
    <r>
      <rPr>
        <vertAlign val="subscript"/>
        <sz val="11"/>
        <rFont val="Calibri"/>
        <family val="2"/>
      </rPr>
      <t>Ca</t>
    </r>
    <r>
      <rPr>
        <sz val="11"/>
        <rFont val="Calibri"/>
        <family val="2"/>
      </rPr>
      <t>-i</t>
    </r>
    <r>
      <rPr>
        <vertAlign val="subscript"/>
        <sz val="11"/>
        <rFont val="Calibri"/>
        <family val="2"/>
      </rPr>
      <t>Mg,INORG</t>
    </r>
    <r>
      <rPr>
        <sz val="11"/>
        <rFont val="Calibri"/>
        <family val="2"/>
      </rPr>
      <t>*(AM</t>
    </r>
    <r>
      <rPr>
        <vertAlign val="subscript"/>
        <sz val="11"/>
        <rFont val="Calibri"/>
        <family val="2"/>
      </rPr>
      <t>Mg</t>
    </r>
    <r>
      <rPr>
        <sz val="11"/>
        <rFont val="Calibri"/>
        <family val="2"/>
      </rPr>
      <t>+2*AM</t>
    </r>
    <r>
      <rPr>
        <vertAlign val="subscript"/>
        <sz val="11"/>
        <rFont val="Calibri"/>
        <family val="2"/>
      </rPr>
      <t>Cl</t>
    </r>
    <r>
      <rPr>
        <sz val="11"/>
        <rFont val="Calibri"/>
        <family val="2"/>
      </rPr>
      <t>)/AM</t>
    </r>
    <r>
      <rPr>
        <vertAlign val="subscript"/>
        <sz val="11"/>
        <rFont val="Calibri"/>
        <family val="2"/>
      </rPr>
      <t>Mg)</t>
    </r>
    <r>
      <rPr>
        <sz val="11"/>
        <rFont val="Calibri"/>
        <family val="2"/>
      </rPr>
      <t>*(1-f</t>
    </r>
    <r>
      <rPr>
        <vertAlign val="subscript"/>
        <sz val="11"/>
        <rFont val="Calibri"/>
        <family val="2"/>
      </rPr>
      <t>Na</t>
    </r>
    <r>
      <rPr>
        <sz val="11"/>
        <rFont val="Calibri"/>
        <family val="2"/>
      </rPr>
      <t>)</t>
    </r>
  </si>
  <si>
    <t>Half-saturation of Mg for biomasses (AS)</t>
  </si>
  <si>
    <t>Half-saturation of Ca for biomasses (AS)</t>
  </si>
  <si>
    <r>
      <t>K</t>
    </r>
    <r>
      <rPr>
        <vertAlign val="subscript"/>
        <sz val="11"/>
        <rFont val="Calibri"/>
        <family val="2"/>
        <scheme val="minor"/>
      </rPr>
      <t>Mg,BIO,AS</t>
    </r>
  </si>
  <si>
    <r>
      <t>K</t>
    </r>
    <r>
      <rPr>
        <vertAlign val="subscript"/>
        <sz val="11"/>
        <rFont val="Calibri"/>
        <family val="2"/>
        <scheme val="minor"/>
      </rPr>
      <t>Ca,BIO,AS</t>
    </r>
  </si>
  <si>
    <r>
      <t>K</t>
    </r>
    <r>
      <rPr>
        <vertAlign val="subscript"/>
        <sz val="11"/>
        <rFont val="Calibri"/>
        <family val="2"/>
        <scheme val="minor"/>
      </rPr>
      <t>Mg,BIO</t>
    </r>
  </si>
  <si>
    <r>
      <t>K</t>
    </r>
    <r>
      <rPr>
        <vertAlign val="subscript"/>
        <sz val="11"/>
        <rFont val="Calibri"/>
        <family val="2"/>
        <scheme val="minor"/>
      </rPr>
      <t>Ca,BIO</t>
    </r>
  </si>
  <si>
    <t>Half-saturation of Mg for biomasses</t>
  </si>
  <si>
    <t>Half-saturation of Ca for biomasses</t>
  </si>
  <si>
    <r>
      <t>K</t>
    </r>
    <r>
      <rPr>
        <vertAlign val="subscript"/>
        <sz val="11"/>
        <rFont val="Calibri"/>
        <family val="2"/>
        <scheme val="minor"/>
      </rPr>
      <t>Mg,BIO,AS</t>
    </r>
    <r>
      <rPr>
        <sz val="11"/>
        <rFont val="Calibri"/>
        <family val="2"/>
        <scheme val="minor"/>
      </rPr>
      <t>*f</t>
    </r>
    <r>
      <rPr>
        <vertAlign val="subscript"/>
        <sz val="11"/>
        <rFont val="Calibri"/>
        <family val="2"/>
        <scheme val="minor"/>
      </rPr>
      <t>KS</t>
    </r>
  </si>
  <si>
    <r>
      <t>K</t>
    </r>
    <r>
      <rPr>
        <vertAlign val="subscript"/>
        <sz val="11"/>
        <rFont val="Calibri"/>
        <family val="2"/>
        <scheme val="minor"/>
      </rPr>
      <t>Ca,BIO,AS</t>
    </r>
    <r>
      <rPr>
        <sz val="11"/>
        <rFont val="Calibri"/>
        <family val="2"/>
        <scheme val="minor"/>
      </rPr>
      <t>*f</t>
    </r>
    <r>
      <rPr>
        <vertAlign val="subscript"/>
        <sz val="11"/>
        <rFont val="Calibri"/>
        <family val="2"/>
        <scheme val="minor"/>
      </rPr>
      <t>KS</t>
    </r>
  </si>
  <si>
    <t>Saturation term for Mg for BIO</t>
  </si>
  <si>
    <t>Saturation term for Ca for BIO</t>
  </si>
  <si>
    <r>
      <t>Msat(S</t>
    </r>
    <r>
      <rPr>
        <vertAlign val="subscript"/>
        <sz val="11"/>
        <rFont val="Calibri"/>
        <family val="2"/>
        <scheme val="minor"/>
      </rPr>
      <t>Ca</t>
    </r>
    <r>
      <rPr>
        <sz val="11"/>
        <rFont val="Calibri"/>
        <family val="2"/>
        <scheme val="minor"/>
      </rPr>
      <t>;K</t>
    </r>
    <r>
      <rPr>
        <vertAlign val="subscript"/>
        <sz val="11"/>
        <rFont val="Calibri"/>
        <family val="2"/>
        <scheme val="minor"/>
      </rPr>
      <t>Ca,BIO</t>
    </r>
    <r>
      <rPr>
        <sz val="11"/>
        <rFont val="Calibri"/>
        <family val="2"/>
        <scheme val="minor"/>
      </rPr>
      <t>)</t>
    </r>
  </si>
  <si>
    <r>
      <t>Msat(S</t>
    </r>
    <r>
      <rPr>
        <vertAlign val="subscript"/>
        <sz val="11"/>
        <rFont val="Calibri"/>
        <family val="2"/>
        <scheme val="minor"/>
      </rPr>
      <t>Mg</t>
    </r>
    <r>
      <rPr>
        <sz val="11"/>
        <rFont val="Calibri"/>
        <family val="2"/>
        <scheme val="minor"/>
      </rPr>
      <t>;K</t>
    </r>
    <r>
      <rPr>
        <vertAlign val="subscript"/>
        <sz val="11"/>
        <rFont val="Calibri"/>
        <family val="2"/>
        <scheme val="minor"/>
      </rPr>
      <t>Mg,BIO</t>
    </r>
    <r>
      <rPr>
        <sz val="11"/>
        <rFont val="Calibri"/>
        <family val="2"/>
        <scheme val="minor"/>
      </rPr>
      <t>)</t>
    </r>
  </si>
  <si>
    <r>
      <t>µ</t>
    </r>
    <r>
      <rPr>
        <vertAlign val="subscript"/>
        <sz val="11"/>
        <rFont val="Calibri"/>
        <family val="2"/>
      </rPr>
      <t>OHO,T</t>
    </r>
    <r>
      <rPr>
        <sz val="11"/>
        <rFont val="Calibri"/>
        <family val="2"/>
      </rPr>
      <t>*X</t>
    </r>
    <r>
      <rPr>
        <vertAlign val="subscript"/>
        <sz val="11"/>
        <rFont val="Calibri"/>
        <family val="2"/>
      </rPr>
      <t>OHO</t>
    </r>
    <r>
      <rPr>
        <sz val="11"/>
        <rFont val="Calibri"/>
        <family val="2"/>
      </rPr>
      <t>*Msat</t>
    </r>
    <r>
      <rPr>
        <vertAlign val="subscript"/>
        <sz val="11"/>
        <rFont val="Calibri"/>
        <family val="2"/>
      </rPr>
      <t>SVFA,KVFA</t>
    </r>
    <r>
      <rPr>
        <sz val="11"/>
        <rFont val="Calibri"/>
        <family val="2"/>
      </rPr>
      <t>*Msat</t>
    </r>
    <r>
      <rPr>
        <vertAlign val="subscript"/>
        <sz val="11"/>
        <rFont val="Calibri"/>
        <family val="2"/>
      </rPr>
      <t>SO2,KO2,OHO</t>
    </r>
    <r>
      <rPr>
        <sz val="11"/>
        <rFont val="Calibri"/>
        <family val="2"/>
      </rPr>
      <t>*Msat</t>
    </r>
    <r>
      <rPr>
        <vertAlign val="subscript"/>
        <sz val="11"/>
        <rFont val="Calibri"/>
        <family val="2"/>
      </rPr>
      <t>SNHx,KNHx,BIO</t>
    </r>
    <r>
      <rPr>
        <sz val="11"/>
        <rFont val="Calibri"/>
        <family val="2"/>
      </rPr>
      <t>*Msat</t>
    </r>
    <r>
      <rPr>
        <vertAlign val="subscript"/>
        <sz val="11"/>
        <rFont val="Calibri"/>
        <family val="2"/>
      </rPr>
      <t>SPO4,KPO4,BIO</t>
    </r>
    <r>
      <rPr>
        <sz val="11"/>
        <rFont val="Calibri"/>
        <family val="2"/>
      </rPr>
      <t>*Msat</t>
    </r>
    <r>
      <rPr>
        <vertAlign val="subscript"/>
        <sz val="11"/>
        <rFont val="Calibri"/>
        <family val="2"/>
      </rPr>
      <t>SCAT,KCAT</t>
    </r>
    <r>
      <rPr>
        <sz val="11"/>
        <rFont val="Calibri"/>
        <family val="2"/>
      </rPr>
      <t>*Msat</t>
    </r>
    <r>
      <rPr>
        <vertAlign val="subscript"/>
        <sz val="11"/>
        <rFont val="Calibri"/>
        <family val="2"/>
      </rPr>
      <t>SAN,KAN</t>
    </r>
    <r>
      <rPr>
        <sz val="11"/>
        <rFont val="Calibri"/>
        <family val="2"/>
      </rPr>
      <t>*Msat</t>
    </r>
    <r>
      <rPr>
        <vertAlign val="subscript"/>
        <sz val="11"/>
        <rFont val="Calibri"/>
        <family val="2"/>
      </rPr>
      <t>SCa,KCa</t>
    </r>
    <r>
      <rPr>
        <sz val="11"/>
        <rFont val="Calibri"/>
        <family val="2"/>
      </rPr>
      <t>*Msat</t>
    </r>
    <r>
      <rPr>
        <vertAlign val="subscript"/>
        <sz val="11"/>
        <rFont val="Calibri"/>
        <family val="2"/>
      </rPr>
      <t>SMg,KMg</t>
    </r>
    <r>
      <rPr>
        <sz val="11"/>
        <rFont val="Calibri"/>
        <family val="2"/>
      </rPr>
      <t>*Bellinh</t>
    </r>
    <r>
      <rPr>
        <vertAlign val="subscript"/>
        <sz val="11"/>
        <rFont val="Calibri"/>
        <family val="2"/>
      </rPr>
      <t>pH</t>
    </r>
  </si>
  <si>
    <r>
      <t>µ</t>
    </r>
    <r>
      <rPr>
        <vertAlign val="subscript"/>
        <sz val="11"/>
        <rFont val="Calibri"/>
        <family val="2"/>
      </rPr>
      <t>OHO,T</t>
    </r>
    <r>
      <rPr>
        <sz val="11"/>
        <rFont val="Calibri"/>
        <family val="2"/>
      </rPr>
      <t>*X</t>
    </r>
    <r>
      <rPr>
        <vertAlign val="subscript"/>
        <sz val="11"/>
        <rFont val="Calibri"/>
        <family val="2"/>
      </rPr>
      <t>OHO</t>
    </r>
    <r>
      <rPr>
        <sz val="11"/>
        <rFont val="Calibri"/>
        <family val="2"/>
      </rPr>
      <t>*η</t>
    </r>
    <r>
      <rPr>
        <vertAlign val="subscript"/>
        <sz val="11"/>
        <rFont val="Calibri"/>
        <family val="2"/>
      </rPr>
      <t>OHO,anox</t>
    </r>
    <r>
      <rPr>
        <sz val="11"/>
        <rFont val="Calibri"/>
        <family val="2"/>
      </rPr>
      <t>*Msat</t>
    </r>
    <r>
      <rPr>
        <vertAlign val="subscript"/>
        <sz val="11"/>
        <rFont val="Calibri"/>
        <family val="2"/>
      </rPr>
      <t>SVFA,KVFA</t>
    </r>
    <r>
      <rPr>
        <sz val="11"/>
        <rFont val="Calibri"/>
        <family val="2"/>
      </rPr>
      <t>*Msat</t>
    </r>
    <r>
      <rPr>
        <vertAlign val="subscript"/>
        <sz val="11"/>
        <rFont val="Calibri"/>
        <family val="2"/>
      </rPr>
      <t>SNOx,KNOx,OHO</t>
    </r>
    <r>
      <rPr>
        <sz val="11"/>
        <rFont val="Calibri"/>
        <family val="2"/>
      </rPr>
      <t>*Minh</t>
    </r>
    <r>
      <rPr>
        <vertAlign val="subscript"/>
        <sz val="11"/>
        <rFont val="Calibri"/>
        <family val="2"/>
      </rPr>
      <t>SO2,KO2,OHO</t>
    </r>
    <r>
      <rPr>
        <sz val="11"/>
        <rFont val="Calibri"/>
        <family val="2"/>
      </rPr>
      <t>*Msat</t>
    </r>
    <r>
      <rPr>
        <vertAlign val="subscript"/>
        <sz val="11"/>
        <rFont val="Calibri"/>
        <family val="2"/>
      </rPr>
      <t>SNHx,KNHx,BIO</t>
    </r>
    <r>
      <rPr>
        <sz val="11"/>
        <rFont val="Calibri"/>
        <family val="2"/>
      </rPr>
      <t>*Msat</t>
    </r>
    <r>
      <rPr>
        <vertAlign val="subscript"/>
        <sz val="11"/>
        <rFont val="Calibri"/>
        <family val="2"/>
      </rPr>
      <t>SPO4,KPO4,BIO</t>
    </r>
    <r>
      <rPr>
        <sz val="11"/>
        <rFont val="Calibri"/>
        <family val="2"/>
      </rPr>
      <t>*Msat</t>
    </r>
    <r>
      <rPr>
        <vertAlign val="subscript"/>
        <sz val="11"/>
        <rFont val="Calibri"/>
        <family val="2"/>
      </rPr>
      <t>SCAT,KCAT</t>
    </r>
    <r>
      <rPr>
        <sz val="11"/>
        <rFont val="Calibri"/>
        <family val="2"/>
      </rPr>
      <t>*Msat</t>
    </r>
    <r>
      <rPr>
        <vertAlign val="subscript"/>
        <sz val="11"/>
        <rFont val="Calibri"/>
        <family val="2"/>
      </rPr>
      <t>SAN,KAN</t>
    </r>
    <r>
      <rPr>
        <sz val="11"/>
        <rFont val="Calibri"/>
        <family val="2"/>
      </rPr>
      <t>*Msat</t>
    </r>
    <r>
      <rPr>
        <vertAlign val="subscript"/>
        <sz val="11"/>
        <rFont val="Calibri"/>
        <family val="2"/>
      </rPr>
      <t>SCa,KCa</t>
    </r>
    <r>
      <rPr>
        <sz val="11"/>
        <rFont val="Calibri"/>
        <family val="2"/>
      </rPr>
      <t>*Msat</t>
    </r>
    <r>
      <rPr>
        <vertAlign val="subscript"/>
        <sz val="11"/>
        <rFont val="Calibri"/>
        <family val="2"/>
      </rPr>
      <t>SMg,KMg</t>
    </r>
    <r>
      <rPr>
        <sz val="11"/>
        <rFont val="Calibri"/>
        <family val="2"/>
      </rPr>
      <t>*Bellinh</t>
    </r>
    <r>
      <rPr>
        <vertAlign val="subscript"/>
        <sz val="11"/>
        <rFont val="Calibri"/>
        <family val="2"/>
      </rPr>
      <t>pH</t>
    </r>
  </si>
  <si>
    <r>
      <t>µ</t>
    </r>
    <r>
      <rPr>
        <vertAlign val="subscript"/>
        <sz val="11"/>
        <rFont val="Calibri"/>
        <family val="2"/>
      </rPr>
      <t>OHO,T</t>
    </r>
    <r>
      <rPr>
        <sz val="11"/>
        <rFont val="Calibri"/>
        <family val="2"/>
      </rPr>
      <t>*X</t>
    </r>
    <r>
      <rPr>
        <vertAlign val="subscript"/>
        <sz val="11"/>
        <rFont val="Calibri"/>
        <family val="2"/>
      </rPr>
      <t>OHO</t>
    </r>
    <r>
      <rPr>
        <sz val="11"/>
        <rFont val="Calibri"/>
        <family val="2"/>
      </rPr>
      <t>*Msat</t>
    </r>
    <r>
      <rPr>
        <vertAlign val="subscript"/>
        <sz val="11"/>
        <rFont val="Calibri"/>
        <family val="2"/>
      </rPr>
      <t>SB,KSB</t>
    </r>
    <r>
      <rPr>
        <sz val="11"/>
        <rFont val="Calibri"/>
        <family val="2"/>
      </rPr>
      <t>*Minh</t>
    </r>
    <r>
      <rPr>
        <vertAlign val="subscript"/>
        <sz val="11"/>
        <rFont val="Calibri"/>
        <family val="2"/>
      </rPr>
      <t>SVFA,KVFA</t>
    </r>
    <r>
      <rPr>
        <sz val="11"/>
        <rFont val="Calibri"/>
        <family val="2"/>
      </rPr>
      <t>*Msat</t>
    </r>
    <r>
      <rPr>
        <vertAlign val="subscript"/>
        <sz val="11"/>
        <rFont val="Calibri"/>
        <family val="2"/>
      </rPr>
      <t>SO2,KO2,OHO</t>
    </r>
    <r>
      <rPr>
        <sz val="11"/>
        <rFont val="Calibri"/>
        <family val="2"/>
      </rPr>
      <t>*Msat</t>
    </r>
    <r>
      <rPr>
        <vertAlign val="subscript"/>
        <sz val="11"/>
        <rFont val="Calibri"/>
        <family val="2"/>
      </rPr>
      <t>SNHx,KNHx,BIO</t>
    </r>
    <r>
      <rPr>
        <sz val="11"/>
        <rFont val="Calibri"/>
        <family val="2"/>
      </rPr>
      <t>*Msat</t>
    </r>
    <r>
      <rPr>
        <vertAlign val="subscript"/>
        <sz val="11"/>
        <rFont val="Calibri"/>
        <family val="2"/>
      </rPr>
      <t>SPO4,KPO4,BIO</t>
    </r>
    <r>
      <rPr>
        <sz val="11"/>
        <rFont val="Calibri"/>
        <family val="2"/>
      </rPr>
      <t>*Msat</t>
    </r>
    <r>
      <rPr>
        <vertAlign val="subscript"/>
        <sz val="11"/>
        <rFont val="Calibri"/>
        <family val="2"/>
      </rPr>
      <t>SCAT,KCAT</t>
    </r>
    <r>
      <rPr>
        <sz val="11"/>
        <rFont val="Calibri"/>
        <family val="2"/>
      </rPr>
      <t>*Msat</t>
    </r>
    <r>
      <rPr>
        <vertAlign val="subscript"/>
        <sz val="11"/>
        <rFont val="Calibri"/>
        <family val="2"/>
      </rPr>
      <t>SAN,KAN</t>
    </r>
    <r>
      <rPr>
        <sz val="11"/>
        <rFont val="Calibri"/>
        <family val="2"/>
      </rPr>
      <t>*Msat</t>
    </r>
    <r>
      <rPr>
        <vertAlign val="subscript"/>
        <sz val="11"/>
        <rFont val="Calibri"/>
        <family val="2"/>
      </rPr>
      <t>SCa,KCa</t>
    </r>
    <r>
      <rPr>
        <sz val="11"/>
        <rFont val="Calibri"/>
        <family val="2"/>
      </rPr>
      <t>*Msat</t>
    </r>
    <r>
      <rPr>
        <vertAlign val="subscript"/>
        <sz val="11"/>
        <rFont val="Calibri"/>
        <family val="2"/>
      </rPr>
      <t>SMg,KMg</t>
    </r>
    <r>
      <rPr>
        <sz val="11"/>
        <rFont val="Calibri"/>
        <family val="2"/>
      </rPr>
      <t>*Bellinh</t>
    </r>
    <r>
      <rPr>
        <vertAlign val="subscript"/>
        <sz val="11"/>
        <rFont val="Calibri"/>
        <family val="2"/>
      </rPr>
      <t>pH</t>
    </r>
  </si>
  <si>
    <r>
      <t>µ</t>
    </r>
    <r>
      <rPr>
        <vertAlign val="subscript"/>
        <sz val="11"/>
        <rFont val="Calibri"/>
        <family val="2"/>
      </rPr>
      <t>OHO,T</t>
    </r>
    <r>
      <rPr>
        <sz val="11"/>
        <rFont val="Calibri"/>
        <family val="2"/>
      </rPr>
      <t>*X</t>
    </r>
    <r>
      <rPr>
        <vertAlign val="subscript"/>
        <sz val="11"/>
        <rFont val="Calibri"/>
        <family val="2"/>
      </rPr>
      <t>OHO</t>
    </r>
    <r>
      <rPr>
        <sz val="11"/>
        <rFont val="Calibri"/>
        <family val="2"/>
      </rPr>
      <t>*η</t>
    </r>
    <r>
      <rPr>
        <vertAlign val="subscript"/>
        <sz val="11"/>
        <rFont val="Calibri"/>
        <family val="2"/>
      </rPr>
      <t>OHO,anox</t>
    </r>
    <r>
      <rPr>
        <sz val="11"/>
        <rFont val="Calibri"/>
        <family val="2"/>
      </rPr>
      <t>*Msat</t>
    </r>
    <r>
      <rPr>
        <vertAlign val="subscript"/>
        <sz val="11"/>
        <rFont val="Calibri"/>
        <family val="2"/>
      </rPr>
      <t>SB,KSB</t>
    </r>
    <r>
      <rPr>
        <sz val="11"/>
        <rFont val="Calibri"/>
        <family val="2"/>
      </rPr>
      <t>*Minh</t>
    </r>
    <r>
      <rPr>
        <vertAlign val="subscript"/>
        <sz val="11"/>
        <rFont val="Calibri"/>
        <family val="2"/>
      </rPr>
      <t>SVFA,KVFA</t>
    </r>
    <r>
      <rPr>
        <sz val="11"/>
        <rFont val="Calibri"/>
        <family val="2"/>
      </rPr>
      <t>*Msat</t>
    </r>
    <r>
      <rPr>
        <vertAlign val="subscript"/>
        <sz val="11"/>
        <rFont val="Calibri"/>
        <family val="2"/>
      </rPr>
      <t>SNOx,KNOx,OHO</t>
    </r>
    <r>
      <rPr>
        <sz val="11"/>
        <rFont val="Calibri"/>
        <family val="2"/>
      </rPr>
      <t>*Minh</t>
    </r>
    <r>
      <rPr>
        <vertAlign val="subscript"/>
        <sz val="11"/>
        <rFont val="Calibri"/>
        <family val="2"/>
      </rPr>
      <t>SO2,KO2,OHO</t>
    </r>
    <r>
      <rPr>
        <sz val="11"/>
        <rFont val="Calibri"/>
        <family val="2"/>
      </rPr>
      <t>*Msat</t>
    </r>
    <r>
      <rPr>
        <vertAlign val="subscript"/>
        <sz val="11"/>
        <rFont val="Calibri"/>
        <family val="2"/>
      </rPr>
      <t>SNHx,KNHx,BIO</t>
    </r>
    <r>
      <rPr>
        <sz val="11"/>
        <rFont val="Calibri"/>
        <family val="2"/>
      </rPr>
      <t>*Msat</t>
    </r>
    <r>
      <rPr>
        <vertAlign val="subscript"/>
        <sz val="11"/>
        <rFont val="Calibri"/>
        <family val="2"/>
      </rPr>
      <t>SPO4,KPO4,BIO</t>
    </r>
    <r>
      <rPr>
        <sz val="11"/>
        <rFont val="Calibri"/>
        <family val="2"/>
      </rPr>
      <t>*Msat</t>
    </r>
    <r>
      <rPr>
        <vertAlign val="subscript"/>
        <sz val="11"/>
        <rFont val="Calibri"/>
        <family val="2"/>
      </rPr>
      <t>SCAT,KCAT</t>
    </r>
    <r>
      <rPr>
        <sz val="11"/>
        <rFont val="Calibri"/>
        <family val="2"/>
      </rPr>
      <t>*Msat</t>
    </r>
    <r>
      <rPr>
        <vertAlign val="subscript"/>
        <sz val="11"/>
        <rFont val="Calibri"/>
        <family val="2"/>
      </rPr>
      <t>SAN,KAN</t>
    </r>
    <r>
      <rPr>
        <sz val="11"/>
        <rFont val="Calibri"/>
        <family val="2"/>
      </rPr>
      <t>*Msat</t>
    </r>
    <r>
      <rPr>
        <vertAlign val="subscript"/>
        <sz val="11"/>
        <rFont val="Calibri"/>
        <family val="2"/>
      </rPr>
      <t>SCa,KCa</t>
    </r>
    <r>
      <rPr>
        <sz val="11"/>
        <rFont val="Calibri"/>
        <family val="2"/>
      </rPr>
      <t>*Msat</t>
    </r>
    <r>
      <rPr>
        <vertAlign val="subscript"/>
        <sz val="11"/>
        <rFont val="Calibri"/>
        <family val="2"/>
      </rPr>
      <t>SMg,KMg</t>
    </r>
    <r>
      <rPr>
        <sz val="11"/>
        <rFont val="Calibri"/>
        <family val="2"/>
      </rPr>
      <t>*Bellinh</t>
    </r>
    <r>
      <rPr>
        <vertAlign val="subscript"/>
        <sz val="11"/>
        <rFont val="Calibri"/>
        <family val="2"/>
      </rPr>
      <t>pH</t>
    </r>
  </si>
  <si>
    <r>
      <t>µ</t>
    </r>
    <r>
      <rPr>
        <vertAlign val="subscript"/>
        <sz val="11"/>
        <rFont val="Calibri"/>
        <family val="2"/>
      </rPr>
      <t>FERM,OHO,T</t>
    </r>
    <r>
      <rPr>
        <sz val="11"/>
        <rFont val="Calibri"/>
        <family val="2"/>
      </rPr>
      <t>*X</t>
    </r>
    <r>
      <rPr>
        <vertAlign val="subscript"/>
        <sz val="11"/>
        <rFont val="Calibri"/>
        <family val="2"/>
      </rPr>
      <t>OHO</t>
    </r>
    <r>
      <rPr>
        <sz val="11"/>
        <rFont val="Calibri"/>
        <family val="2"/>
      </rPr>
      <t>*Logsat</t>
    </r>
    <r>
      <rPr>
        <vertAlign val="subscript"/>
        <sz val="11"/>
        <rFont val="Calibri"/>
        <family val="2"/>
      </rPr>
      <t>SVFA,KVFA,FERM</t>
    </r>
    <r>
      <rPr>
        <sz val="11"/>
        <rFont val="Calibri"/>
        <family val="2"/>
      </rPr>
      <t>*Msat</t>
    </r>
    <r>
      <rPr>
        <vertAlign val="subscript"/>
        <sz val="11"/>
        <rFont val="Calibri"/>
        <family val="2"/>
      </rPr>
      <t>SB,KSB,ana</t>
    </r>
    <r>
      <rPr>
        <sz val="11"/>
        <rFont val="Calibri"/>
        <family val="2"/>
      </rPr>
      <t>*Minh</t>
    </r>
    <r>
      <rPr>
        <vertAlign val="subscript"/>
        <sz val="11"/>
        <rFont val="Calibri"/>
        <family val="2"/>
      </rPr>
      <t>SO2,KO2,OHO</t>
    </r>
    <r>
      <rPr>
        <sz val="11"/>
        <rFont val="Calibri"/>
        <family val="2"/>
      </rPr>
      <t>*Minh</t>
    </r>
    <r>
      <rPr>
        <vertAlign val="subscript"/>
        <sz val="11"/>
        <rFont val="Calibri"/>
        <family val="2"/>
      </rPr>
      <t>SNOx,KNOx,OHO</t>
    </r>
    <r>
      <rPr>
        <sz val="11"/>
        <rFont val="Calibri"/>
        <family val="2"/>
      </rPr>
      <t>*Msat</t>
    </r>
    <r>
      <rPr>
        <vertAlign val="subscript"/>
        <sz val="11"/>
        <rFont val="Calibri"/>
        <family val="2"/>
      </rPr>
      <t>SNHx,KNHx,BIO</t>
    </r>
    <r>
      <rPr>
        <sz val="11"/>
        <rFont val="Calibri"/>
        <family val="2"/>
      </rPr>
      <t>*Msat</t>
    </r>
    <r>
      <rPr>
        <vertAlign val="subscript"/>
        <sz val="11"/>
        <rFont val="Calibri"/>
        <family val="2"/>
      </rPr>
      <t>SPO4,KPO4,BIO</t>
    </r>
    <r>
      <rPr>
        <sz val="11"/>
        <rFont val="Calibri"/>
        <family val="2"/>
      </rPr>
      <t>*Msat</t>
    </r>
    <r>
      <rPr>
        <vertAlign val="subscript"/>
        <sz val="11"/>
        <rFont val="Calibri"/>
        <family val="2"/>
      </rPr>
      <t>SCAT,KCAT</t>
    </r>
    <r>
      <rPr>
        <sz val="11"/>
        <rFont val="Calibri"/>
        <family val="2"/>
      </rPr>
      <t>*Msat</t>
    </r>
    <r>
      <rPr>
        <vertAlign val="subscript"/>
        <sz val="11"/>
        <rFont val="Calibri"/>
        <family val="2"/>
      </rPr>
      <t>SAN,KAN</t>
    </r>
    <r>
      <rPr>
        <sz val="11"/>
        <rFont val="Calibri"/>
        <family val="2"/>
      </rPr>
      <t>*Msat</t>
    </r>
    <r>
      <rPr>
        <vertAlign val="subscript"/>
        <sz val="11"/>
        <rFont val="Calibri"/>
        <family val="2"/>
      </rPr>
      <t>SCa,KCa</t>
    </r>
    <r>
      <rPr>
        <sz val="11"/>
        <rFont val="Calibri"/>
        <family val="2"/>
      </rPr>
      <t>*Msat</t>
    </r>
    <r>
      <rPr>
        <vertAlign val="subscript"/>
        <sz val="11"/>
        <rFont val="Calibri"/>
        <family val="2"/>
      </rPr>
      <t>SMg,KMg</t>
    </r>
    <r>
      <rPr>
        <sz val="11"/>
        <rFont val="Calibri"/>
        <family val="2"/>
      </rPr>
      <t>*Bellinh</t>
    </r>
    <r>
      <rPr>
        <vertAlign val="subscript"/>
        <sz val="11"/>
        <rFont val="Calibri"/>
        <family val="2"/>
      </rPr>
      <t>pH</t>
    </r>
  </si>
  <si>
    <r>
      <t>µ</t>
    </r>
    <r>
      <rPr>
        <vertAlign val="subscript"/>
        <sz val="11"/>
        <rFont val="Calibri"/>
        <family val="2"/>
      </rPr>
      <t>FERM,OHO,T</t>
    </r>
    <r>
      <rPr>
        <sz val="11"/>
        <rFont val="Calibri"/>
        <family val="2"/>
      </rPr>
      <t>*X</t>
    </r>
    <r>
      <rPr>
        <vertAlign val="subscript"/>
        <sz val="11"/>
        <rFont val="Calibri"/>
        <family val="2"/>
      </rPr>
      <t>OHO</t>
    </r>
    <r>
      <rPr>
        <sz val="11"/>
        <rFont val="Calibri"/>
        <family val="2"/>
      </rPr>
      <t>*Loginh</t>
    </r>
    <r>
      <rPr>
        <vertAlign val="subscript"/>
        <sz val="11"/>
        <rFont val="Calibri"/>
        <family val="2"/>
      </rPr>
      <t>SVFA,KVFA,FERM</t>
    </r>
    <r>
      <rPr>
        <sz val="11"/>
        <rFont val="Calibri"/>
        <family val="2"/>
      </rPr>
      <t>*Msat</t>
    </r>
    <r>
      <rPr>
        <vertAlign val="subscript"/>
        <sz val="11"/>
        <rFont val="Calibri"/>
        <family val="2"/>
      </rPr>
      <t>SB,KSB,ana</t>
    </r>
    <r>
      <rPr>
        <sz val="11"/>
        <rFont val="Calibri"/>
        <family val="2"/>
      </rPr>
      <t>*Minh</t>
    </r>
    <r>
      <rPr>
        <vertAlign val="subscript"/>
        <sz val="11"/>
        <rFont val="Calibri"/>
        <family val="2"/>
      </rPr>
      <t>SO2,KO2,OHO</t>
    </r>
    <r>
      <rPr>
        <sz val="11"/>
        <rFont val="Calibri"/>
        <family val="2"/>
      </rPr>
      <t>*Minh</t>
    </r>
    <r>
      <rPr>
        <vertAlign val="subscript"/>
        <sz val="11"/>
        <rFont val="Calibri"/>
        <family val="2"/>
      </rPr>
      <t>SNOx,KNOx,OHO</t>
    </r>
    <r>
      <rPr>
        <sz val="11"/>
        <rFont val="Calibri"/>
        <family val="2"/>
      </rPr>
      <t>*Msat</t>
    </r>
    <r>
      <rPr>
        <vertAlign val="subscript"/>
        <sz val="11"/>
        <rFont val="Calibri"/>
        <family val="2"/>
      </rPr>
      <t>SNHx,KNHx,BIO</t>
    </r>
    <r>
      <rPr>
        <sz val="11"/>
        <rFont val="Calibri"/>
        <family val="2"/>
      </rPr>
      <t>*Msat</t>
    </r>
    <r>
      <rPr>
        <vertAlign val="subscript"/>
        <sz val="11"/>
        <rFont val="Calibri"/>
        <family val="2"/>
      </rPr>
      <t>SPO4,KPO4,BIO</t>
    </r>
    <r>
      <rPr>
        <sz val="11"/>
        <rFont val="Calibri"/>
        <family val="2"/>
      </rPr>
      <t>*Msat</t>
    </r>
    <r>
      <rPr>
        <vertAlign val="subscript"/>
        <sz val="11"/>
        <rFont val="Calibri"/>
        <family val="2"/>
      </rPr>
      <t>SCAT,KCAT</t>
    </r>
    <r>
      <rPr>
        <sz val="11"/>
        <rFont val="Calibri"/>
        <family val="2"/>
      </rPr>
      <t>*Msat</t>
    </r>
    <r>
      <rPr>
        <vertAlign val="subscript"/>
        <sz val="11"/>
        <rFont val="Calibri"/>
        <family val="2"/>
      </rPr>
      <t>SAN,KAN</t>
    </r>
    <r>
      <rPr>
        <sz val="11"/>
        <rFont val="Calibri"/>
        <family val="2"/>
      </rPr>
      <t>*Msat</t>
    </r>
    <r>
      <rPr>
        <vertAlign val="subscript"/>
        <sz val="11"/>
        <rFont val="Calibri"/>
        <family val="2"/>
      </rPr>
      <t>SCa,KCa</t>
    </r>
    <r>
      <rPr>
        <sz val="11"/>
        <rFont val="Calibri"/>
        <family val="2"/>
      </rPr>
      <t>*Msat</t>
    </r>
    <r>
      <rPr>
        <vertAlign val="subscript"/>
        <sz val="11"/>
        <rFont val="Calibri"/>
        <family val="2"/>
      </rPr>
      <t>SMg,KMg</t>
    </r>
    <r>
      <rPr>
        <sz val="11"/>
        <rFont val="Calibri"/>
        <family val="2"/>
      </rPr>
      <t>*Msat</t>
    </r>
    <r>
      <rPr>
        <vertAlign val="subscript"/>
        <sz val="11"/>
        <rFont val="Calibri"/>
        <family val="2"/>
      </rPr>
      <t>SCO2,KCO2,BIO</t>
    </r>
    <r>
      <rPr>
        <sz val="11"/>
        <rFont val="Calibri"/>
        <family val="2"/>
      </rPr>
      <t>*Bellinh</t>
    </r>
    <r>
      <rPr>
        <vertAlign val="subscript"/>
        <sz val="11"/>
        <rFont val="Calibri"/>
        <family val="2"/>
      </rPr>
      <t>pH</t>
    </r>
  </si>
  <si>
    <r>
      <t>µ</t>
    </r>
    <r>
      <rPr>
        <vertAlign val="subscript"/>
        <sz val="11"/>
        <rFont val="Calibri"/>
        <family val="2"/>
      </rPr>
      <t>OHO,T</t>
    </r>
    <r>
      <rPr>
        <sz val="11"/>
        <rFont val="Calibri"/>
        <family val="2"/>
      </rPr>
      <t>*X</t>
    </r>
    <r>
      <rPr>
        <vertAlign val="subscript"/>
        <sz val="11"/>
        <rFont val="Calibri"/>
        <family val="2"/>
      </rPr>
      <t>OHO</t>
    </r>
    <r>
      <rPr>
        <sz val="11"/>
        <rFont val="Calibri"/>
        <family val="2"/>
      </rPr>
      <t>*Msat</t>
    </r>
    <r>
      <rPr>
        <vertAlign val="subscript"/>
        <sz val="11"/>
        <rFont val="Calibri"/>
        <family val="2"/>
      </rPr>
      <t>SMEOL,KMEOL,OHO</t>
    </r>
    <r>
      <rPr>
        <sz val="11"/>
        <rFont val="Calibri"/>
        <family val="2"/>
      </rPr>
      <t>*Msat</t>
    </r>
    <r>
      <rPr>
        <vertAlign val="subscript"/>
        <sz val="11"/>
        <rFont val="Calibri"/>
        <family val="2"/>
      </rPr>
      <t>SO2,KO2,OHO</t>
    </r>
    <r>
      <rPr>
        <sz val="11"/>
        <rFont val="Calibri"/>
        <family val="2"/>
      </rPr>
      <t>*Msat</t>
    </r>
    <r>
      <rPr>
        <vertAlign val="subscript"/>
        <sz val="11"/>
        <rFont val="Calibri"/>
        <family val="2"/>
      </rPr>
      <t>SNHx,KNHx,BIO</t>
    </r>
    <r>
      <rPr>
        <sz val="11"/>
        <rFont val="Calibri"/>
        <family val="2"/>
      </rPr>
      <t>*Msat</t>
    </r>
    <r>
      <rPr>
        <vertAlign val="subscript"/>
        <sz val="11"/>
        <rFont val="Calibri"/>
        <family val="2"/>
      </rPr>
      <t>SPO4,KPO4,BIO</t>
    </r>
    <r>
      <rPr>
        <sz val="11"/>
        <rFont val="Calibri"/>
        <family val="2"/>
      </rPr>
      <t>*Msat</t>
    </r>
    <r>
      <rPr>
        <vertAlign val="subscript"/>
        <sz val="11"/>
        <rFont val="Calibri"/>
        <family val="2"/>
      </rPr>
      <t>SCAT,KCAT</t>
    </r>
    <r>
      <rPr>
        <sz val="11"/>
        <rFont val="Calibri"/>
        <family val="2"/>
      </rPr>
      <t>*Msat</t>
    </r>
    <r>
      <rPr>
        <vertAlign val="subscript"/>
        <sz val="11"/>
        <rFont val="Calibri"/>
        <family val="2"/>
      </rPr>
      <t>SAN,KAN</t>
    </r>
    <r>
      <rPr>
        <sz val="11"/>
        <rFont val="Calibri"/>
        <family val="2"/>
      </rPr>
      <t>*Msat</t>
    </r>
    <r>
      <rPr>
        <vertAlign val="subscript"/>
        <sz val="11"/>
        <rFont val="Calibri"/>
        <family val="2"/>
      </rPr>
      <t>SCa,KCa</t>
    </r>
    <r>
      <rPr>
        <sz val="11"/>
        <rFont val="Calibri"/>
        <family val="2"/>
      </rPr>
      <t>*Msat</t>
    </r>
    <r>
      <rPr>
        <vertAlign val="subscript"/>
        <sz val="11"/>
        <rFont val="Calibri"/>
        <family val="2"/>
      </rPr>
      <t>SMg,KMg</t>
    </r>
    <r>
      <rPr>
        <sz val="11"/>
        <rFont val="Calibri"/>
        <family val="2"/>
      </rPr>
      <t>*Bellinh</t>
    </r>
    <r>
      <rPr>
        <vertAlign val="subscript"/>
        <sz val="11"/>
        <rFont val="Calibri"/>
        <family val="2"/>
      </rPr>
      <t>pH</t>
    </r>
  </si>
  <si>
    <r>
      <t>µ</t>
    </r>
    <r>
      <rPr>
        <vertAlign val="subscript"/>
        <sz val="11"/>
        <rFont val="Calibri"/>
        <family val="2"/>
      </rPr>
      <t>MEOLO,T</t>
    </r>
    <r>
      <rPr>
        <sz val="11"/>
        <rFont val="Calibri"/>
        <family val="2"/>
      </rPr>
      <t>*X</t>
    </r>
    <r>
      <rPr>
        <vertAlign val="subscript"/>
        <sz val="11"/>
        <rFont val="Calibri"/>
        <family val="2"/>
      </rPr>
      <t>MEOLO</t>
    </r>
    <r>
      <rPr>
        <sz val="11"/>
        <rFont val="Calibri"/>
        <family val="2"/>
      </rPr>
      <t>*Msat</t>
    </r>
    <r>
      <rPr>
        <vertAlign val="subscript"/>
        <sz val="11"/>
        <rFont val="Calibri"/>
        <family val="2"/>
      </rPr>
      <t>SMEOL,KMEOL</t>
    </r>
    <r>
      <rPr>
        <sz val="11"/>
        <rFont val="Calibri"/>
        <family val="2"/>
      </rPr>
      <t>*Msat</t>
    </r>
    <r>
      <rPr>
        <vertAlign val="subscript"/>
        <sz val="11"/>
        <rFont val="Calibri"/>
        <family val="2"/>
      </rPr>
      <t>SNOx,KNOx,MEOLO</t>
    </r>
    <r>
      <rPr>
        <sz val="11"/>
        <rFont val="Calibri"/>
        <family val="2"/>
      </rPr>
      <t>*Minh</t>
    </r>
    <r>
      <rPr>
        <vertAlign val="subscript"/>
        <sz val="11"/>
        <rFont val="Calibri"/>
        <family val="2"/>
      </rPr>
      <t>SO2,KiO2,MEOLO</t>
    </r>
    <r>
      <rPr>
        <sz val="11"/>
        <rFont val="Calibri"/>
        <family val="2"/>
      </rPr>
      <t>*Msat</t>
    </r>
    <r>
      <rPr>
        <vertAlign val="subscript"/>
        <sz val="11"/>
        <rFont val="Calibri"/>
        <family val="2"/>
      </rPr>
      <t>SNHx,KNHx,BIO</t>
    </r>
    <r>
      <rPr>
        <sz val="11"/>
        <rFont val="Calibri"/>
        <family val="2"/>
      </rPr>
      <t>*Msat</t>
    </r>
    <r>
      <rPr>
        <vertAlign val="subscript"/>
        <sz val="11"/>
        <rFont val="Calibri"/>
        <family val="2"/>
      </rPr>
      <t>SPO4,KPO4,BIO</t>
    </r>
    <r>
      <rPr>
        <sz val="11"/>
        <rFont val="Calibri"/>
        <family val="2"/>
      </rPr>
      <t>*Msat</t>
    </r>
    <r>
      <rPr>
        <vertAlign val="subscript"/>
        <sz val="11"/>
        <rFont val="Calibri"/>
        <family val="2"/>
      </rPr>
      <t>SCAT,KCAT</t>
    </r>
    <r>
      <rPr>
        <sz val="11"/>
        <rFont val="Calibri"/>
        <family val="2"/>
      </rPr>
      <t>*Msat</t>
    </r>
    <r>
      <rPr>
        <vertAlign val="subscript"/>
        <sz val="11"/>
        <rFont val="Calibri"/>
        <family val="2"/>
      </rPr>
      <t>SAN,KAN</t>
    </r>
    <r>
      <rPr>
        <sz val="11"/>
        <rFont val="Calibri"/>
        <family val="2"/>
      </rPr>
      <t>*Msat</t>
    </r>
    <r>
      <rPr>
        <vertAlign val="subscript"/>
        <sz val="11"/>
        <rFont val="Calibri"/>
        <family val="2"/>
      </rPr>
      <t>SCa,KCa</t>
    </r>
    <r>
      <rPr>
        <sz val="11"/>
        <rFont val="Calibri"/>
        <family val="2"/>
      </rPr>
      <t>*Msat</t>
    </r>
    <r>
      <rPr>
        <vertAlign val="subscript"/>
        <sz val="11"/>
        <rFont val="Calibri"/>
        <family val="2"/>
      </rPr>
      <t>SMg,KMg</t>
    </r>
    <r>
      <rPr>
        <sz val="11"/>
        <rFont val="Calibri"/>
        <family val="2"/>
      </rPr>
      <t>*Bellinh</t>
    </r>
    <r>
      <rPr>
        <vertAlign val="subscript"/>
        <sz val="11"/>
        <rFont val="Calibri"/>
        <family val="2"/>
      </rPr>
      <t>pH</t>
    </r>
  </si>
  <si>
    <r>
      <t>µ</t>
    </r>
    <r>
      <rPr>
        <vertAlign val="subscript"/>
        <sz val="11"/>
        <rFont val="Calibri"/>
        <family val="2"/>
      </rPr>
      <t>HMETO,T</t>
    </r>
    <r>
      <rPr>
        <sz val="11"/>
        <rFont val="Calibri"/>
        <family val="2"/>
      </rPr>
      <t>*X</t>
    </r>
    <r>
      <rPr>
        <vertAlign val="subscript"/>
        <sz val="11"/>
        <rFont val="Calibri"/>
        <family val="2"/>
      </rPr>
      <t>HMETO</t>
    </r>
    <r>
      <rPr>
        <sz val="11"/>
        <rFont val="Calibri"/>
        <family val="2"/>
      </rPr>
      <t>*Msat</t>
    </r>
    <r>
      <rPr>
        <vertAlign val="subscript"/>
        <sz val="11"/>
        <rFont val="Calibri"/>
        <family val="2"/>
      </rPr>
      <t>SCO2,KCO2,BIO</t>
    </r>
    <r>
      <rPr>
        <sz val="11"/>
        <rFont val="Calibri"/>
        <family val="2"/>
      </rPr>
      <t>*Msat</t>
    </r>
    <r>
      <rPr>
        <vertAlign val="subscript"/>
        <sz val="11"/>
        <rFont val="Calibri"/>
        <family val="2"/>
      </rPr>
      <t>SH2,KH2,HMETO</t>
    </r>
    <r>
      <rPr>
        <sz val="11"/>
        <rFont val="Calibri"/>
        <family val="2"/>
      </rPr>
      <t>*Minh</t>
    </r>
    <r>
      <rPr>
        <vertAlign val="subscript"/>
        <sz val="11"/>
        <rFont val="Calibri"/>
        <family val="2"/>
      </rPr>
      <t>SO2,KiO2,HMETO</t>
    </r>
    <r>
      <rPr>
        <sz val="11"/>
        <rFont val="Calibri"/>
        <family val="2"/>
      </rPr>
      <t>*Minh</t>
    </r>
    <r>
      <rPr>
        <vertAlign val="subscript"/>
        <sz val="11"/>
        <rFont val="Calibri"/>
        <family val="2"/>
      </rPr>
      <t>SNOx,KNOx,HMETO</t>
    </r>
    <r>
      <rPr>
        <sz val="11"/>
        <rFont val="Calibri"/>
        <family val="2"/>
      </rPr>
      <t>*Msat</t>
    </r>
    <r>
      <rPr>
        <vertAlign val="subscript"/>
        <sz val="11"/>
        <rFont val="Calibri"/>
        <family val="2"/>
      </rPr>
      <t>SNHx,KNHx,BIO</t>
    </r>
    <r>
      <rPr>
        <sz val="11"/>
        <rFont val="Calibri"/>
        <family val="2"/>
      </rPr>
      <t>*Msat</t>
    </r>
    <r>
      <rPr>
        <vertAlign val="subscript"/>
        <sz val="11"/>
        <rFont val="Calibri"/>
        <family val="2"/>
      </rPr>
      <t>SPO4,KPO4,BIO</t>
    </r>
    <r>
      <rPr>
        <sz val="11"/>
        <rFont val="Calibri"/>
        <family val="2"/>
      </rPr>
      <t>*Msat</t>
    </r>
    <r>
      <rPr>
        <vertAlign val="subscript"/>
        <sz val="11"/>
        <rFont val="Calibri"/>
        <family val="2"/>
      </rPr>
      <t>SCAT,KCAT</t>
    </r>
    <r>
      <rPr>
        <sz val="11"/>
        <rFont val="Calibri"/>
        <family val="2"/>
      </rPr>
      <t>*Msat</t>
    </r>
    <r>
      <rPr>
        <vertAlign val="subscript"/>
        <sz val="11"/>
        <rFont val="Calibri"/>
        <family val="2"/>
      </rPr>
      <t>SAN,KAN</t>
    </r>
    <r>
      <rPr>
        <sz val="11"/>
        <rFont val="Calibri"/>
        <family val="2"/>
      </rPr>
      <t>*Msat</t>
    </r>
    <r>
      <rPr>
        <vertAlign val="subscript"/>
        <sz val="11"/>
        <rFont val="Calibri"/>
        <family val="2"/>
      </rPr>
      <t>SCa,KCa</t>
    </r>
    <r>
      <rPr>
        <sz val="11"/>
        <rFont val="Calibri"/>
        <family val="2"/>
      </rPr>
      <t>*Msat</t>
    </r>
    <r>
      <rPr>
        <vertAlign val="subscript"/>
        <sz val="11"/>
        <rFont val="Calibri"/>
        <family val="2"/>
      </rPr>
      <t>SMg,KMg</t>
    </r>
    <r>
      <rPr>
        <sz val="11"/>
        <rFont val="Calibri"/>
        <family val="2"/>
      </rPr>
      <t>*Bellinh</t>
    </r>
    <r>
      <rPr>
        <vertAlign val="subscript"/>
        <sz val="11"/>
        <rFont val="Calibri"/>
        <family val="2"/>
      </rPr>
      <t>pH,HMETO</t>
    </r>
  </si>
  <si>
    <r>
      <t>Msat</t>
    </r>
    <r>
      <rPr>
        <vertAlign val="subscript"/>
        <sz val="11"/>
        <rFont val="Calibri"/>
        <family val="2"/>
        <scheme val="minor"/>
      </rPr>
      <t>SMg,KMg</t>
    </r>
  </si>
  <si>
    <r>
      <t>Msat</t>
    </r>
    <r>
      <rPr>
        <vertAlign val="subscript"/>
        <sz val="11"/>
        <rFont val="Calibri"/>
        <family val="2"/>
        <scheme val="minor"/>
      </rPr>
      <t>SCa,KCa</t>
    </r>
  </si>
  <si>
    <r>
      <t>f</t>
    </r>
    <r>
      <rPr>
        <vertAlign val="subscript"/>
        <sz val="11"/>
        <rFont val="Calibri"/>
        <family val="2"/>
        <scheme val="minor"/>
      </rPr>
      <t>VFA,DM</t>
    </r>
  </si>
  <si>
    <r>
      <t>fraction of S</t>
    </r>
    <r>
      <rPr>
        <vertAlign val="subscript"/>
        <sz val="11"/>
        <rFont val="Calibri"/>
        <family val="2"/>
        <scheme val="minor"/>
      </rPr>
      <t>VFA</t>
    </r>
    <r>
      <rPr>
        <sz val="11"/>
        <rFont val="Calibri"/>
        <family val="2"/>
        <scheme val="minor"/>
      </rPr>
      <t xml:space="preserve"> not volatilized in Dry Matter analysis</t>
    </r>
  </si>
  <si>
    <r>
      <t>X</t>
    </r>
    <r>
      <rPr>
        <vertAlign val="subscript"/>
        <sz val="11"/>
        <rFont val="Calibri"/>
        <family val="2"/>
        <scheme val="minor"/>
      </rPr>
      <t>TSS</t>
    </r>
    <r>
      <rPr>
        <sz val="11"/>
        <rFont val="Calibri"/>
        <family val="2"/>
        <scheme val="minor"/>
      </rPr>
      <t>+S</t>
    </r>
    <r>
      <rPr>
        <vertAlign val="subscript"/>
        <sz val="11"/>
        <rFont val="Calibri"/>
        <family val="2"/>
        <scheme val="minor"/>
      </rPr>
      <t>U</t>
    </r>
    <r>
      <rPr>
        <sz val="11"/>
        <rFont val="Calibri"/>
        <family val="2"/>
        <scheme val="minor"/>
      </rPr>
      <t>/i</t>
    </r>
    <r>
      <rPr>
        <vertAlign val="subscript"/>
        <sz val="11"/>
        <rFont val="Calibri"/>
        <family val="2"/>
        <scheme val="minor"/>
      </rPr>
      <t>CV,SU</t>
    </r>
    <r>
      <rPr>
        <sz val="11"/>
        <rFont val="Calibri"/>
        <family val="2"/>
        <scheme val="minor"/>
      </rPr>
      <t>+S</t>
    </r>
    <r>
      <rPr>
        <vertAlign val="subscript"/>
        <sz val="11"/>
        <rFont val="Calibri"/>
        <family val="2"/>
        <scheme val="minor"/>
      </rPr>
      <t>B</t>
    </r>
    <r>
      <rPr>
        <sz val="11"/>
        <rFont val="Calibri"/>
        <family val="2"/>
        <scheme val="minor"/>
      </rPr>
      <t>/i</t>
    </r>
    <r>
      <rPr>
        <vertAlign val="subscript"/>
        <sz val="11"/>
        <rFont val="Calibri"/>
        <family val="2"/>
        <scheme val="minor"/>
      </rPr>
      <t>CV,SB</t>
    </r>
    <r>
      <rPr>
        <sz val="11"/>
        <rFont val="Calibri"/>
        <family val="2"/>
        <scheme val="minor"/>
      </rPr>
      <t>+f</t>
    </r>
    <r>
      <rPr>
        <vertAlign val="subscript"/>
        <sz val="11"/>
        <rFont val="Calibri"/>
        <family val="2"/>
        <scheme val="minor"/>
      </rPr>
      <t>VFA,DM</t>
    </r>
    <r>
      <rPr>
        <sz val="11"/>
        <rFont val="Calibri"/>
        <family val="2"/>
        <scheme val="minor"/>
      </rPr>
      <t>*S</t>
    </r>
    <r>
      <rPr>
        <vertAlign val="subscript"/>
        <sz val="11"/>
        <rFont val="Calibri"/>
        <family val="2"/>
        <scheme val="minor"/>
      </rPr>
      <t>VFA</t>
    </r>
    <r>
      <rPr>
        <sz val="11"/>
        <rFont val="Calibri"/>
        <family val="2"/>
        <scheme val="minor"/>
      </rPr>
      <t>/i</t>
    </r>
    <r>
      <rPr>
        <vertAlign val="subscript"/>
        <sz val="11"/>
        <rFont val="Calibri"/>
        <family val="2"/>
        <scheme val="minor"/>
      </rPr>
      <t>CV,VFA</t>
    </r>
    <r>
      <rPr>
        <sz val="11"/>
        <rFont val="Calibri"/>
        <family val="2"/>
        <scheme val="minor"/>
      </rPr>
      <t>+C</t>
    </r>
    <r>
      <rPr>
        <vertAlign val="subscript"/>
        <sz val="11"/>
        <rFont val="Calibri"/>
        <family val="2"/>
        <scheme val="minor"/>
      </rPr>
      <t>B</t>
    </r>
    <r>
      <rPr>
        <sz val="11"/>
        <rFont val="Calibri"/>
        <family val="2"/>
        <scheme val="minor"/>
      </rPr>
      <t>/i</t>
    </r>
    <r>
      <rPr>
        <vertAlign val="subscript"/>
        <sz val="11"/>
        <rFont val="Calibri"/>
        <family val="2"/>
        <scheme val="minor"/>
      </rPr>
      <t>CV,CB</t>
    </r>
    <r>
      <rPr>
        <sz val="11"/>
        <rFont val="Calibri"/>
        <family val="2"/>
        <scheme val="minor"/>
      </rPr>
      <t>+C</t>
    </r>
    <r>
      <rPr>
        <vertAlign val="subscript"/>
        <sz val="11"/>
        <rFont val="Calibri"/>
        <family val="2"/>
        <scheme val="minor"/>
      </rPr>
      <t>U</t>
    </r>
    <r>
      <rPr>
        <sz val="11"/>
        <rFont val="Calibri"/>
        <family val="2"/>
        <scheme val="minor"/>
      </rPr>
      <t>/i</t>
    </r>
    <r>
      <rPr>
        <vertAlign val="subscript"/>
        <sz val="11"/>
        <rFont val="Calibri"/>
        <family val="2"/>
        <scheme val="minor"/>
      </rPr>
      <t>CV,CU</t>
    </r>
    <r>
      <rPr>
        <sz val="11"/>
        <rFont val="Calibri"/>
        <family val="2"/>
        <scheme val="minor"/>
      </rPr>
      <t>+S</t>
    </r>
    <r>
      <rPr>
        <vertAlign val="subscript"/>
        <sz val="11"/>
        <rFont val="Calibri"/>
        <family val="2"/>
        <scheme val="minor"/>
      </rPr>
      <t>NOx</t>
    </r>
    <r>
      <rPr>
        <sz val="11"/>
        <rFont val="Calibri"/>
        <family val="2"/>
        <scheme val="minor"/>
      </rPr>
      <t>*MM</t>
    </r>
    <r>
      <rPr>
        <vertAlign val="subscript"/>
        <sz val="11"/>
        <rFont val="Calibri"/>
        <family val="2"/>
        <scheme val="minor"/>
      </rPr>
      <t>NO3</t>
    </r>
    <r>
      <rPr>
        <sz val="11"/>
        <rFont val="Calibri"/>
        <family val="2"/>
        <scheme val="minor"/>
      </rPr>
      <t>/AM</t>
    </r>
    <r>
      <rPr>
        <vertAlign val="subscript"/>
        <sz val="11"/>
        <rFont val="Calibri"/>
        <family val="2"/>
        <scheme val="minor"/>
      </rPr>
      <t>N</t>
    </r>
    <r>
      <rPr>
        <sz val="11"/>
        <rFont val="Calibri"/>
        <family val="2"/>
        <scheme val="minor"/>
      </rPr>
      <t>+S</t>
    </r>
    <r>
      <rPr>
        <vertAlign val="subscript"/>
        <sz val="11"/>
        <rFont val="Calibri"/>
        <family val="2"/>
        <scheme val="minor"/>
      </rPr>
      <t>PO4</t>
    </r>
    <r>
      <rPr>
        <sz val="11"/>
        <rFont val="Calibri"/>
        <family val="2"/>
        <scheme val="minor"/>
      </rPr>
      <t>*MM</t>
    </r>
    <r>
      <rPr>
        <vertAlign val="subscript"/>
        <sz val="11"/>
        <rFont val="Calibri"/>
        <family val="2"/>
        <scheme val="minor"/>
      </rPr>
      <t>PO4</t>
    </r>
    <r>
      <rPr>
        <sz val="11"/>
        <rFont val="Calibri"/>
        <family val="2"/>
        <scheme val="minor"/>
      </rPr>
      <t>/AM</t>
    </r>
    <r>
      <rPr>
        <vertAlign val="subscript"/>
        <sz val="11"/>
        <rFont val="Calibri"/>
        <family val="2"/>
        <scheme val="minor"/>
      </rPr>
      <t>P</t>
    </r>
    <r>
      <rPr>
        <sz val="11"/>
        <rFont val="Calibri"/>
        <family val="2"/>
        <scheme val="minor"/>
      </rPr>
      <t>+S</t>
    </r>
    <r>
      <rPr>
        <vertAlign val="subscript"/>
        <sz val="11"/>
        <rFont val="Calibri"/>
        <family val="2"/>
        <scheme val="minor"/>
      </rPr>
      <t>CAT</t>
    </r>
    <r>
      <rPr>
        <sz val="11"/>
        <rFont val="Calibri"/>
        <family val="2"/>
        <scheme val="minor"/>
      </rPr>
      <t>+S</t>
    </r>
    <r>
      <rPr>
        <vertAlign val="subscript"/>
        <sz val="11"/>
        <rFont val="Calibri"/>
        <family val="2"/>
        <scheme val="minor"/>
      </rPr>
      <t>AN</t>
    </r>
    <r>
      <rPr>
        <sz val="11"/>
        <rFont val="Calibri"/>
        <family val="2"/>
        <scheme val="minor"/>
      </rPr>
      <t>+S</t>
    </r>
    <r>
      <rPr>
        <vertAlign val="subscript"/>
        <sz val="11"/>
        <rFont val="Calibri"/>
        <family val="2"/>
        <scheme val="minor"/>
      </rPr>
      <t>Ca</t>
    </r>
    <r>
      <rPr>
        <sz val="11"/>
        <rFont val="Calibri"/>
        <family val="2"/>
        <scheme val="minor"/>
      </rPr>
      <t>+S</t>
    </r>
    <r>
      <rPr>
        <vertAlign val="subscript"/>
        <sz val="11"/>
        <rFont val="Calibri"/>
        <family val="2"/>
        <scheme val="minor"/>
      </rPr>
      <t>Mg</t>
    </r>
    <r>
      <rPr>
        <sz val="11"/>
        <rFont val="Calibri"/>
        <family val="2"/>
        <scheme val="minor"/>
      </rPr>
      <t>+S</t>
    </r>
    <r>
      <rPr>
        <vertAlign val="subscript"/>
        <sz val="11"/>
        <rFont val="Calibri"/>
        <family val="2"/>
        <scheme val="minor"/>
      </rPr>
      <t>K</t>
    </r>
    <r>
      <rPr>
        <sz val="11"/>
        <rFont val="Calibri"/>
        <family val="2"/>
        <scheme val="minor"/>
      </rPr>
      <t>+S</t>
    </r>
    <r>
      <rPr>
        <vertAlign val="subscript"/>
        <sz val="11"/>
        <rFont val="Calibri"/>
        <family val="2"/>
        <scheme val="minor"/>
      </rPr>
      <t>Fe2</t>
    </r>
  </si>
  <si>
    <t>SNHx, SMEOL considered to be volatilized</t>
  </si>
  <si>
    <r>
      <t>error</t>
    </r>
    <r>
      <rPr>
        <vertAlign val="subscript"/>
        <sz val="11"/>
        <rFont val="Calibri"/>
        <family val="2"/>
        <charset val="238"/>
        <scheme val="minor"/>
      </rPr>
      <t>NHx,NOx</t>
    </r>
  </si>
  <si>
    <r>
      <t>N</t>
    </r>
    <r>
      <rPr>
        <sz val="11"/>
        <rFont val="Calibri"/>
        <family val="2"/>
        <charset val="238"/>
        <scheme val="minor"/>
      </rPr>
      <t>H</t>
    </r>
    <r>
      <rPr>
        <vertAlign val="subscript"/>
        <sz val="11"/>
        <rFont val="Calibri"/>
        <family val="2"/>
        <charset val="238"/>
        <scheme val="minor"/>
      </rPr>
      <t>x</t>
    </r>
    <r>
      <rPr>
        <sz val="11"/>
        <rFont val="Calibri"/>
        <family val="2"/>
        <charset val="238"/>
        <scheme val="minor"/>
      </rPr>
      <t>-NO</t>
    </r>
    <r>
      <rPr>
        <vertAlign val="subscript"/>
        <sz val="11"/>
        <rFont val="Calibri"/>
        <family val="2"/>
        <charset val="238"/>
        <scheme val="minor"/>
      </rPr>
      <t>x</t>
    </r>
    <r>
      <rPr>
        <sz val="11"/>
        <rFont val="Calibri"/>
        <family val="2"/>
        <scheme val="minor"/>
      </rPr>
      <t xml:space="preserve"> error</t>
    </r>
  </si>
  <si>
    <r>
      <t>S</t>
    </r>
    <r>
      <rPr>
        <vertAlign val="subscript"/>
        <sz val="11"/>
        <rFont val="Calibri"/>
        <family val="2"/>
        <charset val="238"/>
        <scheme val="minor"/>
      </rPr>
      <t>NHx</t>
    </r>
    <r>
      <rPr>
        <sz val="11"/>
        <rFont val="Calibri"/>
        <family val="2"/>
        <scheme val="minor"/>
      </rPr>
      <t xml:space="preserve"> - S</t>
    </r>
    <r>
      <rPr>
        <vertAlign val="subscript"/>
        <sz val="11"/>
        <rFont val="Calibri"/>
        <family val="2"/>
        <charset val="238"/>
        <scheme val="minor"/>
      </rPr>
      <t>NOx</t>
    </r>
  </si>
  <si>
    <r>
      <t>g TS.m</t>
    </r>
    <r>
      <rPr>
        <vertAlign val="superscript"/>
        <sz val="11"/>
        <rFont val="Calibri"/>
        <family val="2"/>
        <scheme val="minor"/>
      </rPr>
      <t>-3</t>
    </r>
  </si>
  <si>
    <t>sum of the charges of Ca, Mg and K content of PP…</t>
  </si>
  <si>
    <t>...should be equal to 1…</t>
  </si>
  <si>
    <t>...e.g.: 2*0.1 + 2*0.35 + 1*0.1=1</t>
  </si>
  <si>
    <r>
      <t>S</t>
    </r>
    <r>
      <rPr>
        <vertAlign val="subscript"/>
        <sz val="11"/>
        <rFont val="Calibri"/>
        <family val="2"/>
        <scheme val="minor"/>
      </rPr>
      <t>ALK,calc</t>
    </r>
  </si>
  <si>
    <t>Reference gas composition percentages</t>
  </si>
  <si>
    <t>Input gas</t>
  </si>
  <si>
    <t>Offgas with aeration</t>
  </si>
  <si>
    <t>Offgas without aeration</t>
  </si>
  <si>
    <t>Biogas</t>
  </si>
  <si>
    <r>
      <t>Carbon dioxide gas (CO</t>
    </r>
    <r>
      <rPr>
        <vertAlign val="subscript"/>
        <sz val="11"/>
        <rFont val="Calibri"/>
        <family val="2"/>
      </rPr>
      <t>2</t>
    </r>
    <r>
      <rPr>
        <sz val="11"/>
        <rFont val="Calibri"/>
        <family val="2"/>
      </rPr>
      <t>)</t>
    </r>
    <r>
      <rPr>
        <sz val="11"/>
        <rFont val="Calibri"/>
        <family val="2"/>
        <scheme val="minor"/>
      </rPr>
      <t xml:space="preserve"> reference percentage</t>
    </r>
  </si>
  <si>
    <r>
      <t>Methane gas (CH</t>
    </r>
    <r>
      <rPr>
        <vertAlign val="subscript"/>
        <sz val="11"/>
        <rFont val="Calibri"/>
        <family val="2"/>
      </rPr>
      <t>4</t>
    </r>
    <r>
      <rPr>
        <sz val="11"/>
        <rFont val="Calibri"/>
        <family val="2"/>
      </rPr>
      <t>)</t>
    </r>
    <r>
      <rPr>
        <sz val="11"/>
        <rFont val="Calibri"/>
        <family val="2"/>
        <scheme val="minor"/>
      </rPr>
      <t xml:space="preserve"> reference percentage</t>
    </r>
  </si>
  <si>
    <r>
      <t>Hydrogen gas (H</t>
    </r>
    <r>
      <rPr>
        <vertAlign val="subscript"/>
        <sz val="11"/>
        <rFont val="Calibri"/>
        <family val="2"/>
      </rPr>
      <t>2</t>
    </r>
    <r>
      <rPr>
        <sz val="11"/>
        <rFont val="Calibri"/>
        <family val="2"/>
      </rPr>
      <t>)</t>
    </r>
    <r>
      <rPr>
        <sz val="11"/>
        <rFont val="Calibri"/>
        <family val="2"/>
        <scheme val="minor"/>
      </rPr>
      <t xml:space="preserve"> reference percentage</t>
    </r>
  </si>
  <si>
    <r>
      <t>Oxygen gas (O</t>
    </r>
    <r>
      <rPr>
        <vertAlign val="subscript"/>
        <sz val="11"/>
        <rFont val="Calibri"/>
        <family val="2"/>
      </rPr>
      <t>2</t>
    </r>
    <r>
      <rPr>
        <sz val="11"/>
        <rFont val="Calibri"/>
        <family val="2"/>
      </rPr>
      <t>)</t>
    </r>
    <r>
      <rPr>
        <sz val="11"/>
        <rFont val="Calibri"/>
        <family val="2"/>
        <scheme val="minor"/>
      </rPr>
      <t xml:space="preserve"> reference percentage</t>
    </r>
  </si>
  <si>
    <r>
      <t>Ammonia gas (NH</t>
    </r>
    <r>
      <rPr>
        <vertAlign val="subscript"/>
        <sz val="11"/>
        <rFont val="Calibri"/>
        <family val="2"/>
      </rPr>
      <t>3</t>
    </r>
    <r>
      <rPr>
        <sz val="11"/>
        <rFont val="Calibri"/>
        <family val="2"/>
      </rPr>
      <t>)</t>
    </r>
    <r>
      <rPr>
        <sz val="11"/>
        <rFont val="Calibri"/>
        <family val="2"/>
        <scheme val="minor"/>
      </rPr>
      <t xml:space="preserve"> reference percentage</t>
    </r>
  </si>
  <si>
    <r>
      <t>Nitrogen gas (N</t>
    </r>
    <r>
      <rPr>
        <vertAlign val="subscript"/>
        <sz val="11"/>
        <rFont val="Calibri"/>
        <family val="2"/>
      </rPr>
      <t>2</t>
    </r>
    <r>
      <rPr>
        <sz val="11"/>
        <rFont val="Calibri"/>
        <family val="2"/>
      </rPr>
      <t>)</t>
    </r>
    <r>
      <rPr>
        <sz val="11"/>
        <rFont val="Calibri"/>
        <family val="2"/>
        <scheme val="minor"/>
      </rPr>
      <t xml:space="preserve"> reference percentage</t>
    </r>
  </si>
  <si>
    <r>
      <t>K</t>
    </r>
    <r>
      <rPr>
        <vertAlign val="subscript"/>
        <sz val="11"/>
        <rFont val="Calibri"/>
        <family val="2"/>
        <scheme val="minor"/>
      </rPr>
      <t>sp,ACP,param</t>
    </r>
    <r>
      <rPr>
        <sz val="11"/>
        <rFont val="Calibri"/>
        <family val="2"/>
        <scheme val="minor"/>
      </rPr>
      <t>/(f</t>
    </r>
    <r>
      <rPr>
        <vertAlign val="subscript"/>
        <sz val="11"/>
        <rFont val="Calibri"/>
        <family val="2"/>
        <scheme val="minor"/>
      </rPr>
      <t>di</t>
    </r>
    <r>
      <rPr>
        <vertAlign val="superscript"/>
        <sz val="11"/>
        <rFont val="Calibri"/>
        <family val="2"/>
        <scheme val="minor"/>
      </rPr>
      <t>^(3/5)</t>
    </r>
    <r>
      <rPr>
        <sz val="11"/>
        <rFont val="Calibri"/>
        <family val="2"/>
        <scheme val="minor"/>
      </rPr>
      <t>*f</t>
    </r>
    <r>
      <rPr>
        <vertAlign val="subscript"/>
        <sz val="11"/>
        <rFont val="Calibri"/>
        <family val="2"/>
        <scheme val="minor"/>
      </rPr>
      <t>tri</t>
    </r>
    <r>
      <rPr>
        <vertAlign val="superscript"/>
        <sz val="11"/>
        <rFont val="Calibri"/>
        <family val="2"/>
        <scheme val="minor"/>
      </rPr>
      <t>^(2/5)</t>
    </r>
    <r>
      <rPr>
        <sz val="11"/>
        <rFont val="Calibri"/>
        <family val="2"/>
        <scheme val="minor"/>
      </rPr>
      <t>)</t>
    </r>
  </si>
  <si>
    <r>
      <t>K</t>
    </r>
    <r>
      <rPr>
        <vertAlign val="subscript"/>
        <sz val="11"/>
        <rFont val="Calibri"/>
        <family val="2"/>
        <scheme val="minor"/>
      </rPr>
      <t>sp,Vivi,param</t>
    </r>
    <r>
      <rPr>
        <sz val="11"/>
        <rFont val="Calibri"/>
        <family val="2"/>
        <scheme val="minor"/>
      </rPr>
      <t>/(f</t>
    </r>
    <r>
      <rPr>
        <vertAlign val="subscript"/>
        <sz val="11"/>
        <rFont val="Calibri"/>
        <family val="2"/>
        <scheme val="minor"/>
      </rPr>
      <t>di</t>
    </r>
    <r>
      <rPr>
        <vertAlign val="superscript"/>
        <sz val="11"/>
        <rFont val="Calibri"/>
        <family val="2"/>
        <scheme val="minor"/>
      </rPr>
      <t>^(3/5)</t>
    </r>
    <r>
      <rPr>
        <sz val="11"/>
        <rFont val="Calibri"/>
        <family val="2"/>
        <scheme val="minor"/>
      </rPr>
      <t>*f</t>
    </r>
    <r>
      <rPr>
        <vertAlign val="subscript"/>
        <sz val="11"/>
        <rFont val="Calibri"/>
        <family val="2"/>
        <scheme val="minor"/>
      </rPr>
      <t>tri</t>
    </r>
    <r>
      <rPr>
        <vertAlign val="superscript"/>
        <sz val="11"/>
        <rFont val="Calibri"/>
        <family val="2"/>
        <scheme val="minor"/>
      </rPr>
      <t>^(2/5)</t>
    </r>
    <r>
      <rPr>
        <sz val="11"/>
        <rFont val="Calibri"/>
        <family val="2"/>
        <scheme val="minor"/>
      </rPr>
      <t>)</t>
    </r>
  </si>
  <si>
    <r>
      <t>K</t>
    </r>
    <r>
      <rPr>
        <vertAlign val="subscript"/>
        <sz val="11"/>
        <rFont val="Calibri"/>
        <family val="2"/>
        <scheme val="minor"/>
      </rPr>
      <t>sp,CaCO3,param</t>
    </r>
    <r>
      <rPr>
        <sz val="11"/>
        <rFont val="Calibri"/>
        <family val="2"/>
        <scheme val="minor"/>
      </rPr>
      <t>/f</t>
    </r>
    <r>
      <rPr>
        <vertAlign val="subscript"/>
        <sz val="11"/>
        <rFont val="Calibri"/>
        <family val="2"/>
        <scheme val="minor"/>
      </rPr>
      <t>di</t>
    </r>
  </si>
  <si>
    <t>HAO kinetics</t>
  </si>
  <si>
    <r>
      <t>q</t>
    </r>
    <r>
      <rPr>
        <vertAlign val="subscript"/>
        <sz val="11"/>
        <rFont val="Calibri"/>
        <family val="2"/>
        <scheme val="minor"/>
      </rPr>
      <t>HAOH,AGING</t>
    </r>
  </si>
  <si>
    <r>
      <t>Rate of X</t>
    </r>
    <r>
      <rPr>
        <vertAlign val="subscript"/>
        <sz val="11"/>
        <color rgb="FF000000"/>
        <rFont val="Calibri"/>
        <family val="2"/>
        <scheme val="minor"/>
      </rPr>
      <t>HAO,H</t>
    </r>
    <r>
      <rPr>
        <sz val="11"/>
        <color rgb="FF000000"/>
        <rFont val="Calibri"/>
        <family val="2"/>
        <charset val="238"/>
        <scheme val="minor"/>
      </rPr>
      <t xml:space="preserve"> aging</t>
    </r>
  </si>
  <si>
    <r>
      <t>q</t>
    </r>
    <r>
      <rPr>
        <vertAlign val="subscript"/>
        <sz val="11"/>
        <rFont val="Calibri"/>
        <family val="2"/>
        <scheme val="minor"/>
      </rPr>
      <t>HAOL,AGING</t>
    </r>
  </si>
  <si>
    <r>
      <t>Rate of X</t>
    </r>
    <r>
      <rPr>
        <vertAlign val="subscript"/>
        <sz val="11"/>
        <color rgb="FF000000"/>
        <rFont val="Calibri"/>
        <family val="2"/>
        <scheme val="minor"/>
      </rPr>
      <t>HAO,L</t>
    </r>
    <r>
      <rPr>
        <sz val="11"/>
        <color rgb="FF000000"/>
        <rFont val="Calibri"/>
        <family val="2"/>
        <charset val="238"/>
        <scheme val="minor"/>
      </rPr>
      <t xml:space="preserve"> aging</t>
    </r>
  </si>
  <si>
    <r>
      <t>Rate of P binding and coprecipitation on X</t>
    </r>
    <r>
      <rPr>
        <vertAlign val="subscript"/>
        <sz val="11"/>
        <rFont val="Calibri"/>
        <family val="2"/>
        <scheme val="minor"/>
      </rPr>
      <t>HAO,H</t>
    </r>
  </si>
  <si>
    <r>
      <t>Rate of P binding on X</t>
    </r>
    <r>
      <rPr>
        <vertAlign val="subscript"/>
        <sz val="11"/>
        <rFont val="Calibri"/>
        <family val="2"/>
        <scheme val="minor"/>
      </rPr>
      <t>HAO,L</t>
    </r>
  </si>
  <si>
    <r>
      <t>q</t>
    </r>
    <r>
      <rPr>
        <vertAlign val="subscript"/>
        <sz val="11"/>
        <rFont val="Calibri"/>
        <family val="2"/>
        <scheme val="minor"/>
      </rPr>
      <t>HAOH,DESORP</t>
    </r>
  </si>
  <si>
    <r>
      <t>Rate of X</t>
    </r>
    <r>
      <rPr>
        <vertAlign val="subscript"/>
        <sz val="11"/>
        <color rgb="FF000000"/>
        <rFont val="Calibri"/>
        <family val="2"/>
        <scheme val="minor"/>
      </rPr>
      <t>HAO,H,P</t>
    </r>
    <r>
      <rPr>
        <sz val="11"/>
        <color rgb="FF000000"/>
        <rFont val="Calibri"/>
        <family val="2"/>
        <charset val="238"/>
        <scheme val="minor"/>
      </rPr>
      <t xml:space="preserve"> desorption</t>
    </r>
  </si>
  <si>
    <r>
      <t>q</t>
    </r>
    <r>
      <rPr>
        <vertAlign val="subscript"/>
        <sz val="11"/>
        <rFont val="Calibri"/>
        <family val="2"/>
        <scheme val="minor"/>
      </rPr>
      <t>HAOL,DESORP</t>
    </r>
  </si>
  <si>
    <r>
      <t>Rate of X</t>
    </r>
    <r>
      <rPr>
        <vertAlign val="subscript"/>
        <sz val="11"/>
        <color rgb="FF000000"/>
        <rFont val="Calibri"/>
        <family val="2"/>
        <scheme val="minor"/>
      </rPr>
      <t>HAO,L,P</t>
    </r>
    <r>
      <rPr>
        <sz val="11"/>
        <color rgb="FF000000"/>
        <rFont val="Calibri"/>
        <family val="2"/>
        <charset val="238"/>
        <scheme val="minor"/>
      </rPr>
      <t xml:space="preserve"> desorption</t>
    </r>
  </si>
  <si>
    <r>
      <t>q</t>
    </r>
    <r>
      <rPr>
        <vertAlign val="subscript"/>
        <sz val="11"/>
        <rFont val="Calibri"/>
        <family val="2"/>
        <scheme val="minor"/>
      </rPr>
      <t>HAO,DISS</t>
    </r>
  </si>
  <si>
    <r>
      <t>Rate of X</t>
    </r>
    <r>
      <rPr>
        <vertAlign val="subscript"/>
        <sz val="11"/>
        <color rgb="FF000000"/>
        <rFont val="Calibri"/>
        <family val="2"/>
        <scheme val="minor"/>
      </rPr>
      <t>HAO,H,P,old</t>
    </r>
    <r>
      <rPr>
        <sz val="11"/>
        <color rgb="FF000000"/>
        <rFont val="Calibri"/>
        <family val="2"/>
        <charset val="238"/>
        <scheme val="minor"/>
      </rPr>
      <t xml:space="preserve"> and X</t>
    </r>
    <r>
      <rPr>
        <vertAlign val="subscript"/>
        <sz val="11"/>
        <color rgb="FF000000"/>
        <rFont val="Calibri"/>
        <family val="2"/>
        <scheme val="minor"/>
      </rPr>
      <t>HAO,L,P,old</t>
    </r>
    <r>
      <rPr>
        <sz val="11"/>
        <color rgb="FF000000"/>
        <rFont val="Calibri"/>
        <family val="2"/>
        <charset val="238"/>
        <scheme val="minor"/>
      </rPr>
      <t xml:space="preserve"> redissolution</t>
    </r>
  </si>
  <si>
    <r>
      <t>K</t>
    </r>
    <r>
      <rPr>
        <vertAlign val="subscript"/>
        <sz val="11"/>
        <rFont val="Calibri"/>
        <family val="2"/>
        <scheme val="minor"/>
      </rPr>
      <t>P,HAO,BIND</t>
    </r>
  </si>
  <si>
    <r>
      <t>Half-saturation of PO</t>
    </r>
    <r>
      <rPr>
        <vertAlign val="subscript"/>
        <sz val="11"/>
        <color rgb="FF000000"/>
        <rFont val="Calibri"/>
        <family val="2"/>
        <scheme val="minor"/>
      </rPr>
      <t>4</t>
    </r>
    <r>
      <rPr>
        <sz val="11"/>
        <color rgb="FF000000"/>
        <rFont val="Calibri"/>
        <family val="2"/>
        <charset val="238"/>
        <scheme val="minor"/>
      </rPr>
      <t xml:space="preserve"> for binding on HAO</t>
    </r>
  </si>
  <si>
    <r>
      <t>Ki</t>
    </r>
    <r>
      <rPr>
        <vertAlign val="subscript"/>
        <sz val="11"/>
        <rFont val="Calibri"/>
        <family val="2"/>
        <scheme val="minor"/>
      </rPr>
      <t>P,HAO,DISS</t>
    </r>
  </si>
  <si>
    <r>
      <t>Half-inhibition of PO</t>
    </r>
    <r>
      <rPr>
        <vertAlign val="subscript"/>
        <sz val="11"/>
        <color rgb="FF000000"/>
        <rFont val="Calibri"/>
        <family val="2"/>
        <scheme val="minor"/>
      </rPr>
      <t>4</t>
    </r>
    <r>
      <rPr>
        <sz val="11"/>
        <color rgb="FF000000"/>
        <rFont val="Calibri"/>
        <family val="2"/>
        <charset val="238"/>
        <scheme val="minor"/>
      </rPr>
      <t xml:space="preserve"> in HAO redissolution</t>
    </r>
  </si>
  <si>
    <r>
      <t>Ki</t>
    </r>
    <r>
      <rPr>
        <vertAlign val="subscript"/>
        <sz val="11"/>
        <rFont val="Calibri"/>
        <family val="2"/>
        <scheme val="minor"/>
      </rPr>
      <t>P,HAO,DESORP</t>
    </r>
  </si>
  <si>
    <r>
      <t>Half-inhibition of PO</t>
    </r>
    <r>
      <rPr>
        <vertAlign val="subscript"/>
        <sz val="11"/>
        <color rgb="FF000000"/>
        <rFont val="Calibri"/>
        <family val="2"/>
        <scheme val="minor"/>
      </rPr>
      <t>4</t>
    </r>
    <r>
      <rPr>
        <sz val="11"/>
        <color rgb="FF000000"/>
        <rFont val="Calibri"/>
        <family val="2"/>
        <charset val="238"/>
        <scheme val="minor"/>
      </rPr>
      <t xml:space="preserve"> in HAO desorption</t>
    </r>
  </si>
  <si>
    <t>HAO stoichiometry</t>
  </si>
  <si>
    <r>
      <t>ASF</t>
    </r>
    <r>
      <rPr>
        <vertAlign val="subscript"/>
        <sz val="11"/>
        <rFont val="Calibri"/>
        <family val="2"/>
        <scheme val="minor"/>
      </rPr>
      <t>HAO,H</t>
    </r>
  </si>
  <si>
    <t>Active site factor for HAO,H</t>
  </si>
  <si>
    <r>
      <t>mol P.mol Al</t>
    </r>
    <r>
      <rPr>
        <vertAlign val="superscript"/>
        <sz val="11"/>
        <rFont val="Calibri"/>
        <family val="2"/>
        <scheme val="minor"/>
      </rPr>
      <t>-1</t>
    </r>
  </si>
  <si>
    <r>
      <t>ASF</t>
    </r>
    <r>
      <rPr>
        <vertAlign val="subscript"/>
        <sz val="11"/>
        <rFont val="Calibri"/>
        <family val="2"/>
        <scheme val="minor"/>
      </rPr>
      <t>HAO,L</t>
    </r>
  </si>
  <si>
    <t>Active site factor for HAO,L</t>
  </si>
  <si>
    <r>
      <t>f</t>
    </r>
    <r>
      <rPr>
        <vertAlign val="subscript"/>
        <sz val="11"/>
        <rFont val="Calibri"/>
        <family val="2"/>
        <scheme val="minor"/>
      </rPr>
      <t>H2O,HAO,TSS</t>
    </r>
  </si>
  <si>
    <r>
      <t>Fraction of H</t>
    </r>
    <r>
      <rPr>
        <vertAlign val="subscript"/>
        <sz val="11"/>
        <color rgb="FF000000"/>
        <rFont val="Calibri"/>
        <family val="2"/>
        <scheme val="minor"/>
      </rPr>
      <t>2</t>
    </r>
    <r>
      <rPr>
        <sz val="11"/>
        <color rgb="FF000000"/>
        <rFont val="Calibri"/>
        <family val="2"/>
        <charset val="238"/>
        <scheme val="minor"/>
      </rPr>
      <t>O loss in TSS test for HAO</t>
    </r>
  </si>
  <si>
    <r>
      <t>g H2O.g AlOH3</t>
    </r>
    <r>
      <rPr>
        <vertAlign val="superscript"/>
        <sz val="11"/>
        <rFont val="Calibri"/>
        <family val="2"/>
        <scheme val="minor"/>
      </rPr>
      <t>-1</t>
    </r>
  </si>
  <si>
    <r>
      <t>f</t>
    </r>
    <r>
      <rPr>
        <vertAlign val="subscript"/>
        <sz val="11"/>
        <rFont val="Calibri"/>
        <family val="2"/>
        <scheme val="minor"/>
      </rPr>
      <t>H2O,HAO,VSS</t>
    </r>
  </si>
  <si>
    <t xml:space="preserve">Fraction of H2O loss in VSS test for HAO </t>
  </si>
  <si>
    <t>2Al(OH)3 -&gt; Al2O3 + 3H2O</t>
  </si>
  <si>
    <t>Active hydrous aluminium oxide, high surface (HAO,H)</t>
  </si>
  <si>
    <r>
      <t>g Al.m</t>
    </r>
    <r>
      <rPr>
        <vertAlign val="superscript"/>
        <sz val="11"/>
        <rFont val="Calibri"/>
        <family val="2"/>
      </rPr>
      <t>-3</t>
    </r>
  </si>
  <si>
    <t>Active hydrous aluminium oxide, low surface (HAO,L)</t>
  </si>
  <si>
    <t>Aged unused hydrous aluminium oxide (HAO,old)</t>
  </si>
  <si>
    <t>P-bound hydrous aluminium oxide, high surface (HAO,H,P)</t>
  </si>
  <si>
    <t>P-bound hydrous aluminium oxide, low surface (HAO,L,P)</t>
  </si>
  <si>
    <t>Aged P-bound hydrous aluminium oxide, high surface (HAO,H,P,old)</t>
  </si>
  <si>
    <t>Aged P-bound hydrous aluminium oxide, low surface (HAO,L,P,old)</t>
  </si>
  <si>
    <r>
      <t>X</t>
    </r>
    <r>
      <rPr>
        <b/>
        <vertAlign val="subscript"/>
        <sz val="11"/>
        <rFont val="Calibri"/>
        <family val="2"/>
        <scheme val="minor"/>
      </rPr>
      <t>HAO,H</t>
    </r>
  </si>
  <si>
    <r>
      <t>X</t>
    </r>
    <r>
      <rPr>
        <b/>
        <vertAlign val="subscript"/>
        <sz val="11"/>
        <rFont val="Calibri"/>
        <family val="2"/>
        <scheme val="minor"/>
      </rPr>
      <t>HAO,L</t>
    </r>
  </si>
  <si>
    <r>
      <t>X</t>
    </r>
    <r>
      <rPr>
        <b/>
        <vertAlign val="subscript"/>
        <sz val="11"/>
        <rFont val="Calibri"/>
        <family val="2"/>
        <scheme val="minor"/>
      </rPr>
      <t>HAO,old</t>
    </r>
  </si>
  <si>
    <r>
      <t>X</t>
    </r>
    <r>
      <rPr>
        <b/>
        <vertAlign val="subscript"/>
        <sz val="11"/>
        <rFont val="Calibri"/>
        <family val="2"/>
        <scheme val="minor"/>
      </rPr>
      <t>HAO,H,P</t>
    </r>
  </si>
  <si>
    <r>
      <t>X</t>
    </r>
    <r>
      <rPr>
        <b/>
        <vertAlign val="subscript"/>
        <sz val="11"/>
        <rFont val="Calibri"/>
        <family val="2"/>
        <scheme val="minor"/>
      </rPr>
      <t>HAO,L,P</t>
    </r>
  </si>
  <si>
    <r>
      <t>X</t>
    </r>
    <r>
      <rPr>
        <b/>
        <vertAlign val="subscript"/>
        <sz val="11"/>
        <rFont val="Calibri"/>
        <family val="2"/>
      </rPr>
      <t>HAO,H,P,old</t>
    </r>
  </si>
  <si>
    <r>
      <t>X</t>
    </r>
    <r>
      <rPr>
        <b/>
        <vertAlign val="subscript"/>
        <sz val="11"/>
        <rFont val="Calibri"/>
        <family val="2"/>
      </rPr>
      <t>HAO,L,P,old</t>
    </r>
  </si>
  <si>
    <r>
      <t>(ASF</t>
    </r>
    <r>
      <rPr>
        <vertAlign val="subscript"/>
        <sz val="11"/>
        <rFont val="Calibri"/>
        <family val="2"/>
      </rPr>
      <t>HAO,H</t>
    </r>
    <r>
      <rPr>
        <sz val="11"/>
        <rFont val="Calibri"/>
        <family val="2"/>
      </rPr>
      <t>*(AM</t>
    </r>
    <r>
      <rPr>
        <vertAlign val="subscript"/>
        <sz val="11"/>
        <rFont val="Calibri"/>
        <family val="2"/>
      </rPr>
      <t>P</t>
    </r>
    <r>
      <rPr>
        <sz val="11"/>
        <rFont val="Calibri"/>
        <family val="2"/>
      </rPr>
      <t>/AM</t>
    </r>
    <r>
      <rPr>
        <vertAlign val="subscript"/>
        <sz val="11"/>
        <rFont val="Calibri"/>
        <family val="2"/>
      </rPr>
      <t>Al</t>
    </r>
    <r>
      <rPr>
        <sz val="11"/>
        <rFont val="Calibri"/>
        <family val="2"/>
      </rPr>
      <t>))</t>
    </r>
  </si>
  <si>
    <r>
      <t>(ASF</t>
    </r>
    <r>
      <rPr>
        <vertAlign val="subscript"/>
        <sz val="11"/>
        <rFont val="Calibri"/>
        <family val="2"/>
      </rPr>
      <t>HAO,L</t>
    </r>
    <r>
      <rPr>
        <sz val="11"/>
        <rFont val="Calibri"/>
        <family val="2"/>
      </rPr>
      <t>*(AM</t>
    </r>
    <r>
      <rPr>
        <vertAlign val="subscript"/>
        <sz val="11"/>
        <rFont val="Calibri"/>
        <family val="2"/>
      </rPr>
      <t>P</t>
    </r>
    <r>
      <rPr>
        <sz val="11"/>
        <rFont val="Calibri"/>
        <family val="2"/>
      </rPr>
      <t>/AM</t>
    </r>
    <r>
      <rPr>
        <vertAlign val="subscript"/>
        <sz val="11"/>
        <rFont val="Calibri"/>
        <family val="2"/>
      </rPr>
      <t>Al</t>
    </r>
    <r>
      <rPr>
        <sz val="11"/>
        <rFont val="Calibri"/>
        <family val="2"/>
      </rPr>
      <t>))</t>
    </r>
  </si>
  <si>
    <r>
      <t>(ASF</t>
    </r>
    <r>
      <rPr>
        <vertAlign val="subscript"/>
        <sz val="11"/>
        <rFont val="Calibri"/>
        <family val="2"/>
      </rPr>
      <t>HAO,H</t>
    </r>
    <r>
      <rPr>
        <sz val="11"/>
        <rFont val="Calibri"/>
        <family val="2"/>
      </rPr>
      <t>*(AM</t>
    </r>
    <r>
      <rPr>
        <vertAlign val="subscript"/>
        <sz val="11"/>
        <rFont val="Calibri"/>
        <family val="2"/>
      </rPr>
      <t>P</t>
    </r>
    <r>
      <rPr>
        <sz val="11"/>
        <rFont val="Calibri"/>
        <family val="2"/>
      </rPr>
      <t>/AM</t>
    </r>
    <r>
      <rPr>
        <vertAlign val="subscript"/>
        <sz val="11"/>
        <rFont val="Calibri"/>
        <family val="2"/>
      </rPr>
      <t>Al</t>
    </r>
    <r>
      <rPr>
        <sz val="11"/>
        <rFont val="Calibri"/>
        <family val="2"/>
      </rPr>
      <t>))*X</t>
    </r>
    <r>
      <rPr>
        <vertAlign val="subscript"/>
        <sz val="11"/>
        <rFont val="Calibri"/>
        <family val="2"/>
      </rPr>
      <t>HAO,H,P,old</t>
    </r>
    <r>
      <rPr>
        <sz val="11"/>
        <rFont val="Calibri"/>
        <family val="2"/>
      </rPr>
      <t>/(X</t>
    </r>
    <r>
      <rPr>
        <vertAlign val="subscript"/>
        <sz val="11"/>
        <rFont val="Calibri"/>
        <family val="2"/>
      </rPr>
      <t>HAO,H,P,old</t>
    </r>
    <r>
      <rPr>
        <sz val="11"/>
        <rFont val="Calibri"/>
        <family val="2"/>
      </rPr>
      <t>+X</t>
    </r>
    <r>
      <rPr>
        <vertAlign val="subscript"/>
        <sz val="11"/>
        <rFont val="Calibri"/>
        <family val="2"/>
      </rPr>
      <t>HAO,L,P,old</t>
    </r>
    <r>
      <rPr>
        <sz val="11"/>
        <rFont val="Calibri"/>
        <family val="2"/>
      </rPr>
      <t>)+(ASF</t>
    </r>
    <r>
      <rPr>
        <vertAlign val="subscript"/>
        <sz val="11"/>
        <rFont val="Calibri"/>
        <family val="2"/>
      </rPr>
      <t>HAO,L</t>
    </r>
    <r>
      <rPr>
        <sz val="11"/>
        <rFont val="Calibri"/>
        <family val="2"/>
      </rPr>
      <t>*(AM</t>
    </r>
    <r>
      <rPr>
        <vertAlign val="subscript"/>
        <sz val="11"/>
        <rFont val="Calibri"/>
        <family val="2"/>
      </rPr>
      <t>P</t>
    </r>
    <r>
      <rPr>
        <sz val="11"/>
        <rFont val="Calibri"/>
        <family val="2"/>
      </rPr>
      <t>/AM</t>
    </r>
    <r>
      <rPr>
        <vertAlign val="subscript"/>
        <sz val="11"/>
        <rFont val="Calibri"/>
        <family val="2"/>
      </rPr>
      <t>Al</t>
    </r>
    <r>
      <rPr>
        <sz val="11"/>
        <rFont val="Calibri"/>
        <family val="2"/>
      </rPr>
      <t>))*X</t>
    </r>
    <r>
      <rPr>
        <vertAlign val="subscript"/>
        <sz val="11"/>
        <rFont val="Calibri"/>
        <family val="2"/>
      </rPr>
      <t>HAO,L,P,old</t>
    </r>
    <r>
      <rPr>
        <sz val="11"/>
        <rFont val="Calibri"/>
        <family val="2"/>
      </rPr>
      <t>/(X</t>
    </r>
    <r>
      <rPr>
        <vertAlign val="subscript"/>
        <sz val="11"/>
        <rFont val="Calibri"/>
        <family val="2"/>
      </rPr>
      <t>HAO,H,P,old</t>
    </r>
    <r>
      <rPr>
        <sz val="11"/>
        <rFont val="Calibri"/>
        <family val="2"/>
      </rPr>
      <t>+X</t>
    </r>
    <r>
      <rPr>
        <vertAlign val="subscript"/>
        <sz val="11"/>
        <rFont val="Calibri"/>
        <family val="2"/>
      </rPr>
      <t>HAO,L,P,old</t>
    </r>
    <r>
      <rPr>
        <sz val="11"/>
        <rFont val="Calibri"/>
        <family val="2"/>
      </rPr>
      <t>)</t>
    </r>
  </si>
  <si>
    <r>
      <t>-X</t>
    </r>
    <r>
      <rPr>
        <vertAlign val="subscript"/>
        <sz val="11"/>
        <rFont val="Calibri"/>
        <family val="2"/>
      </rPr>
      <t>HAO,H</t>
    </r>
    <r>
      <rPr>
        <sz val="11"/>
        <rFont val="Calibri"/>
        <family val="2"/>
      </rPr>
      <t>/(X</t>
    </r>
    <r>
      <rPr>
        <vertAlign val="subscript"/>
        <sz val="11"/>
        <rFont val="Calibri"/>
        <family val="2"/>
      </rPr>
      <t>HAO,H</t>
    </r>
    <r>
      <rPr>
        <sz val="11"/>
        <rFont val="Calibri"/>
        <family val="2"/>
      </rPr>
      <t>+X</t>
    </r>
    <r>
      <rPr>
        <vertAlign val="subscript"/>
        <sz val="11"/>
        <rFont val="Calibri"/>
        <family val="2"/>
      </rPr>
      <t>HAO,H,P</t>
    </r>
    <r>
      <rPr>
        <sz val="11"/>
        <rFont val="Calibri"/>
        <family val="2"/>
      </rPr>
      <t>)</t>
    </r>
  </si>
  <si>
    <r>
      <t>X</t>
    </r>
    <r>
      <rPr>
        <vertAlign val="subscript"/>
        <sz val="11"/>
        <rFont val="Calibri"/>
        <family val="2"/>
      </rPr>
      <t>HAO,H</t>
    </r>
    <r>
      <rPr>
        <sz val="11"/>
        <rFont val="Calibri"/>
        <family val="2"/>
      </rPr>
      <t>/(X</t>
    </r>
    <r>
      <rPr>
        <vertAlign val="subscript"/>
        <sz val="11"/>
        <rFont val="Calibri"/>
        <family val="2"/>
      </rPr>
      <t>HAO,H</t>
    </r>
    <r>
      <rPr>
        <sz val="11"/>
        <rFont val="Calibri"/>
        <family val="2"/>
      </rPr>
      <t>+X</t>
    </r>
    <r>
      <rPr>
        <vertAlign val="subscript"/>
        <sz val="11"/>
        <rFont val="Calibri"/>
        <family val="2"/>
      </rPr>
      <t>HAO,H,P</t>
    </r>
    <r>
      <rPr>
        <sz val="11"/>
        <rFont val="Calibri"/>
        <family val="2"/>
      </rPr>
      <t>)</t>
    </r>
  </si>
  <si>
    <r>
      <t>-X</t>
    </r>
    <r>
      <rPr>
        <vertAlign val="subscript"/>
        <sz val="11"/>
        <rFont val="Calibri"/>
        <family val="2"/>
      </rPr>
      <t>HAO,H,P</t>
    </r>
    <r>
      <rPr>
        <sz val="11"/>
        <rFont val="Calibri"/>
        <family val="2"/>
      </rPr>
      <t>/(X</t>
    </r>
    <r>
      <rPr>
        <vertAlign val="subscript"/>
        <sz val="11"/>
        <rFont val="Calibri"/>
        <family val="2"/>
      </rPr>
      <t>HAO,H</t>
    </r>
    <r>
      <rPr>
        <sz val="11"/>
        <rFont val="Calibri"/>
        <family val="2"/>
      </rPr>
      <t>+X</t>
    </r>
    <r>
      <rPr>
        <vertAlign val="subscript"/>
        <sz val="11"/>
        <rFont val="Calibri"/>
        <family val="2"/>
      </rPr>
      <t>HAO,H,P</t>
    </r>
    <r>
      <rPr>
        <sz val="11"/>
        <rFont val="Calibri"/>
        <family val="2"/>
      </rPr>
      <t>)</t>
    </r>
  </si>
  <si>
    <r>
      <t>X</t>
    </r>
    <r>
      <rPr>
        <vertAlign val="subscript"/>
        <sz val="11"/>
        <rFont val="Calibri"/>
        <family val="2"/>
      </rPr>
      <t>HAO,H,P</t>
    </r>
    <r>
      <rPr>
        <sz val="11"/>
        <rFont val="Calibri"/>
        <family val="2"/>
      </rPr>
      <t>/(X</t>
    </r>
    <r>
      <rPr>
        <vertAlign val="subscript"/>
        <sz val="11"/>
        <rFont val="Calibri"/>
        <family val="2"/>
      </rPr>
      <t>HAO,H</t>
    </r>
    <r>
      <rPr>
        <sz val="11"/>
        <rFont val="Calibri"/>
        <family val="2"/>
      </rPr>
      <t>+X</t>
    </r>
    <r>
      <rPr>
        <vertAlign val="subscript"/>
        <sz val="11"/>
        <rFont val="Calibri"/>
        <family val="2"/>
      </rPr>
      <t>HAO,H,P</t>
    </r>
    <r>
      <rPr>
        <sz val="11"/>
        <rFont val="Calibri"/>
        <family val="2"/>
      </rPr>
      <t>)</t>
    </r>
  </si>
  <si>
    <r>
      <t>-X</t>
    </r>
    <r>
      <rPr>
        <vertAlign val="subscript"/>
        <sz val="11"/>
        <rFont val="Calibri"/>
        <family val="2"/>
      </rPr>
      <t>HAO,L</t>
    </r>
    <r>
      <rPr>
        <sz val="11"/>
        <rFont val="Calibri"/>
        <family val="2"/>
      </rPr>
      <t>/(X</t>
    </r>
    <r>
      <rPr>
        <vertAlign val="subscript"/>
        <sz val="11"/>
        <rFont val="Calibri"/>
        <family val="2"/>
      </rPr>
      <t>HAO,L</t>
    </r>
    <r>
      <rPr>
        <sz val="11"/>
        <rFont val="Calibri"/>
        <family val="2"/>
      </rPr>
      <t>+X</t>
    </r>
    <r>
      <rPr>
        <vertAlign val="subscript"/>
        <sz val="11"/>
        <rFont val="Calibri"/>
        <family val="2"/>
      </rPr>
      <t>HAO,L,P</t>
    </r>
    <r>
      <rPr>
        <sz val="11"/>
        <rFont val="Calibri"/>
        <family val="2"/>
      </rPr>
      <t>)</t>
    </r>
  </si>
  <si>
    <r>
      <t>X</t>
    </r>
    <r>
      <rPr>
        <vertAlign val="subscript"/>
        <sz val="11"/>
        <rFont val="Calibri"/>
        <family val="2"/>
      </rPr>
      <t>HAO,L</t>
    </r>
    <r>
      <rPr>
        <sz val="11"/>
        <rFont val="Calibri"/>
        <family val="2"/>
      </rPr>
      <t>/(X</t>
    </r>
    <r>
      <rPr>
        <vertAlign val="subscript"/>
        <sz val="11"/>
        <rFont val="Calibri"/>
        <family val="2"/>
      </rPr>
      <t>HAO,L</t>
    </r>
    <r>
      <rPr>
        <sz val="11"/>
        <rFont val="Calibri"/>
        <family val="2"/>
      </rPr>
      <t>+X</t>
    </r>
    <r>
      <rPr>
        <vertAlign val="subscript"/>
        <sz val="11"/>
        <rFont val="Calibri"/>
        <family val="2"/>
      </rPr>
      <t>HAO,L,P</t>
    </r>
    <r>
      <rPr>
        <sz val="11"/>
        <rFont val="Calibri"/>
        <family val="2"/>
      </rPr>
      <t>)</t>
    </r>
  </si>
  <si>
    <r>
      <t>-X</t>
    </r>
    <r>
      <rPr>
        <vertAlign val="subscript"/>
        <sz val="11"/>
        <rFont val="Calibri"/>
        <family val="2"/>
      </rPr>
      <t>HAO,L,P</t>
    </r>
    <r>
      <rPr>
        <sz val="11"/>
        <rFont val="Calibri"/>
        <family val="2"/>
      </rPr>
      <t>/(X</t>
    </r>
    <r>
      <rPr>
        <vertAlign val="subscript"/>
        <sz val="11"/>
        <rFont val="Calibri"/>
        <family val="2"/>
      </rPr>
      <t>HAO,L</t>
    </r>
    <r>
      <rPr>
        <sz val="11"/>
        <rFont val="Calibri"/>
        <family val="2"/>
      </rPr>
      <t>+X</t>
    </r>
    <r>
      <rPr>
        <vertAlign val="subscript"/>
        <sz val="11"/>
        <rFont val="Calibri"/>
        <family val="2"/>
      </rPr>
      <t>HAO,L,P</t>
    </r>
    <r>
      <rPr>
        <sz val="11"/>
        <rFont val="Calibri"/>
        <family val="2"/>
      </rPr>
      <t>)</t>
    </r>
  </si>
  <si>
    <r>
      <t>X</t>
    </r>
    <r>
      <rPr>
        <vertAlign val="subscript"/>
        <sz val="11"/>
        <rFont val="Calibri"/>
        <family val="2"/>
      </rPr>
      <t>HAO,L,P</t>
    </r>
    <r>
      <rPr>
        <sz val="11"/>
        <rFont val="Calibri"/>
        <family val="2"/>
      </rPr>
      <t>/(X</t>
    </r>
    <r>
      <rPr>
        <vertAlign val="subscript"/>
        <sz val="11"/>
        <rFont val="Calibri"/>
        <family val="2"/>
      </rPr>
      <t>HAO,L</t>
    </r>
    <r>
      <rPr>
        <sz val="11"/>
        <rFont val="Calibri"/>
        <family val="2"/>
      </rPr>
      <t>+X</t>
    </r>
    <r>
      <rPr>
        <vertAlign val="subscript"/>
        <sz val="11"/>
        <rFont val="Calibri"/>
        <family val="2"/>
      </rPr>
      <t>HAO,L,P</t>
    </r>
    <r>
      <rPr>
        <sz val="11"/>
        <rFont val="Calibri"/>
        <family val="2"/>
      </rPr>
      <t>)</t>
    </r>
  </si>
  <si>
    <r>
      <t>-1/(ASF</t>
    </r>
    <r>
      <rPr>
        <vertAlign val="subscript"/>
        <sz val="11"/>
        <rFont val="Calibri"/>
        <family val="2"/>
      </rPr>
      <t>HAO,H</t>
    </r>
    <r>
      <rPr>
        <sz val="11"/>
        <rFont val="Calibri"/>
        <family val="2"/>
      </rPr>
      <t>*(AM</t>
    </r>
    <r>
      <rPr>
        <vertAlign val="subscript"/>
        <sz val="11"/>
        <rFont val="Calibri"/>
        <family val="2"/>
      </rPr>
      <t>P</t>
    </r>
    <r>
      <rPr>
        <sz val="11"/>
        <rFont val="Calibri"/>
        <family val="2"/>
      </rPr>
      <t>/AM</t>
    </r>
    <r>
      <rPr>
        <vertAlign val="subscript"/>
        <sz val="11"/>
        <rFont val="Calibri"/>
        <family val="2"/>
      </rPr>
      <t>Al</t>
    </r>
    <r>
      <rPr>
        <sz val="11"/>
        <rFont val="Calibri"/>
        <family val="2"/>
      </rPr>
      <t>))</t>
    </r>
  </si>
  <si>
    <r>
      <t>1/(ASF</t>
    </r>
    <r>
      <rPr>
        <vertAlign val="subscript"/>
        <sz val="11"/>
        <rFont val="Calibri"/>
        <family val="2"/>
      </rPr>
      <t>HAO,H</t>
    </r>
    <r>
      <rPr>
        <sz val="11"/>
        <rFont val="Calibri"/>
        <family val="2"/>
      </rPr>
      <t>*(AM</t>
    </r>
    <r>
      <rPr>
        <vertAlign val="subscript"/>
        <sz val="11"/>
        <rFont val="Calibri"/>
        <family val="2"/>
      </rPr>
      <t>P</t>
    </r>
    <r>
      <rPr>
        <sz val="11"/>
        <rFont val="Calibri"/>
        <family val="2"/>
      </rPr>
      <t>/AM</t>
    </r>
    <r>
      <rPr>
        <vertAlign val="subscript"/>
        <sz val="11"/>
        <rFont val="Calibri"/>
        <family val="2"/>
      </rPr>
      <t>Al</t>
    </r>
    <r>
      <rPr>
        <sz val="11"/>
        <rFont val="Calibri"/>
        <family val="2"/>
      </rPr>
      <t>))</t>
    </r>
  </si>
  <si>
    <r>
      <t>-1/(ASF</t>
    </r>
    <r>
      <rPr>
        <vertAlign val="subscript"/>
        <sz val="11"/>
        <rFont val="Calibri"/>
        <family val="2"/>
      </rPr>
      <t>HAO,L</t>
    </r>
    <r>
      <rPr>
        <sz val="11"/>
        <rFont val="Calibri"/>
        <family val="2"/>
      </rPr>
      <t>*(AM</t>
    </r>
    <r>
      <rPr>
        <vertAlign val="subscript"/>
        <sz val="11"/>
        <rFont val="Calibri"/>
        <family val="2"/>
      </rPr>
      <t>P</t>
    </r>
    <r>
      <rPr>
        <sz val="11"/>
        <rFont val="Calibri"/>
        <family val="2"/>
      </rPr>
      <t>/AM</t>
    </r>
    <r>
      <rPr>
        <vertAlign val="subscript"/>
        <sz val="11"/>
        <rFont val="Calibri"/>
        <family val="2"/>
      </rPr>
      <t>Al</t>
    </r>
    <r>
      <rPr>
        <sz val="11"/>
        <rFont val="Calibri"/>
        <family val="2"/>
      </rPr>
      <t>))</t>
    </r>
  </si>
  <si>
    <r>
      <t>1/(ASF</t>
    </r>
    <r>
      <rPr>
        <vertAlign val="subscript"/>
        <sz val="11"/>
        <rFont val="Calibri"/>
        <family val="2"/>
      </rPr>
      <t>HAO,L</t>
    </r>
    <r>
      <rPr>
        <sz val="11"/>
        <rFont val="Calibri"/>
        <family val="2"/>
      </rPr>
      <t>*(AM</t>
    </r>
    <r>
      <rPr>
        <vertAlign val="subscript"/>
        <sz val="11"/>
        <rFont val="Calibri"/>
        <family val="2"/>
      </rPr>
      <t>P</t>
    </r>
    <r>
      <rPr>
        <sz val="11"/>
        <rFont val="Calibri"/>
        <family val="2"/>
      </rPr>
      <t>/AM</t>
    </r>
    <r>
      <rPr>
        <vertAlign val="subscript"/>
        <sz val="11"/>
        <rFont val="Calibri"/>
        <family val="2"/>
      </rPr>
      <t>Al</t>
    </r>
    <r>
      <rPr>
        <sz val="11"/>
        <rFont val="Calibri"/>
        <family val="2"/>
      </rPr>
      <t>))</t>
    </r>
  </si>
  <si>
    <r>
      <t>-X</t>
    </r>
    <r>
      <rPr>
        <vertAlign val="subscript"/>
        <sz val="11"/>
        <rFont val="Calibri"/>
        <family val="2"/>
      </rPr>
      <t>HAO,H,P,old</t>
    </r>
    <r>
      <rPr>
        <sz val="11"/>
        <rFont val="Calibri"/>
        <family val="2"/>
      </rPr>
      <t>/(X</t>
    </r>
    <r>
      <rPr>
        <vertAlign val="subscript"/>
        <sz val="11"/>
        <rFont val="Calibri"/>
        <family val="2"/>
      </rPr>
      <t>HAO,H,P,old</t>
    </r>
    <r>
      <rPr>
        <sz val="11"/>
        <rFont val="Calibri"/>
        <family val="2"/>
      </rPr>
      <t>+X</t>
    </r>
    <r>
      <rPr>
        <vertAlign val="subscript"/>
        <sz val="11"/>
        <rFont val="Calibri"/>
        <family val="2"/>
      </rPr>
      <t>HAO,L,P,old</t>
    </r>
    <r>
      <rPr>
        <sz val="11"/>
        <rFont val="Calibri"/>
        <family val="2"/>
      </rPr>
      <t>)</t>
    </r>
  </si>
  <si>
    <r>
      <t>-X</t>
    </r>
    <r>
      <rPr>
        <vertAlign val="subscript"/>
        <sz val="11"/>
        <rFont val="Calibri"/>
        <family val="2"/>
      </rPr>
      <t>HAO,L,P,old</t>
    </r>
    <r>
      <rPr>
        <sz val="11"/>
        <rFont val="Calibri"/>
        <family val="2"/>
      </rPr>
      <t>/(X</t>
    </r>
    <r>
      <rPr>
        <vertAlign val="subscript"/>
        <sz val="11"/>
        <rFont val="Calibri"/>
        <family val="2"/>
      </rPr>
      <t>HAO,H,P,old</t>
    </r>
    <r>
      <rPr>
        <sz val="11"/>
        <rFont val="Calibri"/>
        <family val="2"/>
      </rPr>
      <t>+X</t>
    </r>
    <r>
      <rPr>
        <vertAlign val="subscript"/>
        <sz val="11"/>
        <rFont val="Calibri"/>
        <family val="2"/>
      </rPr>
      <t>HAO,L,P,old</t>
    </r>
    <r>
      <rPr>
        <sz val="11"/>
        <rFont val="Calibri"/>
        <family val="2"/>
      </rPr>
      <t>)</t>
    </r>
  </si>
  <si>
    <r>
      <t>q</t>
    </r>
    <r>
      <rPr>
        <vertAlign val="subscript"/>
        <sz val="11"/>
        <rFont val="Calibri"/>
        <family val="2"/>
      </rPr>
      <t>HAOH,AGING</t>
    </r>
    <r>
      <rPr>
        <sz val="11"/>
        <rFont val="Calibri"/>
        <family val="2"/>
      </rPr>
      <t xml:space="preserve"> *(X</t>
    </r>
    <r>
      <rPr>
        <vertAlign val="subscript"/>
        <sz val="11"/>
        <rFont val="Calibri"/>
        <family val="2"/>
      </rPr>
      <t>HAO,H</t>
    </r>
    <r>
      <rPr>
        <sz val="11"/>
        <rFont val="Calibri"/>
        <family val="2"/>
      </rPr>
      <t>+X</t>
    </r>
    <r>
      <rPr>
        <vertAlign val="subscript"/>
        <sz val="11"/>
        <rFont val="Calibri"/>
        <family val="2"/>
      </rPr>
      <t>HAO,H,P</t>
    </r>
    <r>
      <rPr>
        <sz val="11"/>
        <rFont val="Calibri"/>
        <family val="2"/>
      </rPr>
      <t>)</t>
    </r>
  </si>
  <si>
    <r>
      <t>q</t>
    </r>
    <r>
      <rPr>
        <vertAlign val="subscript"/>
        <sz val="11"/>
        <rFont val="Calibri"/>
        <family val="2"/>
      </rPr>
      <t>HAOL,AGING</t>
    </r>
    <r>
      <rPr>
        <sz val="11"/>
        <rFont val="Calibri"/>
        <family val="2"/>
      </rPr>
      <t xml:space="preserve"> *(X</t>
    </r>
    <r>
      <rPr>
        <vertAlign val="subscript"/>
        <sz val="11"/>
        <rFont val="Calibri"/>
        <family val="2"/>
      </rPr>
      <t>HAO,L</t>
    </r>
    <r>
      <rPr>
        <sz val="11"/>
        <rFont val="Calibri"/>
        <family val="2"/>
      </rPr>
      <t>+X</t>
    </r>
    <r>
      <rPr>
        <vertAlign val="subscript"/>
        <sz val="11"/>
        <rFont val="Calibri"/>
        <family val="2"/>
      </rPr>
      <t>HAO,L,P</t>
    </r>
    <r>
      <rPr>
        <sz val="11"/>
        <rFont val="Calibri"/>
        <family val="2"/>
      </rPr>
      <t>)</t>
    </r>
  </si>
  <si>
    <r>
      <t>q</t>
    </r>
    <r>
      <rPr>
        <vertAlign val="subscript"/>
        <sz val="11"/>
        <rFont val="Calibri"/>
        <family val="2"/>
      </rPr>
      <t>HAOH,DESORP</t>
    </r>
    <r>
      <rPr>
        <sz val="11"/>
        <rFont val="Calibri"/>
        <family val="2"/>
      </rPr>
      <t>*X</t>
    </r>
    <r>
      <rPr>
        <vertAlign val="subscript"/>
        <sz val="11"/>
        <rFont val="Calibri"/>
        <family val="2"/>
      </rPr>
      <t>HAO,H,P</t>
    </r>
    <r>
      <rPr>
        <sz val="11"/>
        <rFont val="Calibri"/>
        <family val="2"/>
      </rPr>
      <t>*Minh</t>
    </r>
    <r>
      <rPr>
        <vertAlign val="subscript"/>
        <sz val="11"/>
        <rFont val="Calibri"/>
        <family val="2"/>
      </rPr>
      <t>SPO4,KiP,HAO,DESORP</t>
    </r>
  </si>
  <si>
    <r>
      <t>q</t>
    </r>
    <r>
      <rPr>
        <vertAlign val="subscript"/>
        <sz val="11"/>
        <rFont val="Calibri"/>
        <family val="2"/>
      </rPr>
      <t>HAOL,DESORP</t>
    </r>
    <r>
      <rPr>
        <sz val="11"/>
        <rFont val="Calibri"/>
        <family val="2"/>
      </rPr>
      <t>*X</t>
    </r>
    <r>
      <rPr>
        <vertAlign val="subscript"/>
        <sz val="11"/>
        <rFont val="Calibri"/>
        <family val="2"/>
      </rPr>
      <t>HAO,L,P</t>
    </r>
    <r>
      <rPr>
        <sz val="11"/>
        <rFont val="Calibri"/>
        <family val="2"/>
      </rPr>
      <t>*Minh</t>
    </r>
    <r>
      <rPr>
        <vertAlign val="subscript"/>
        <sz val="11"/>
        <rFont val="Calibri"/>
        <family val="2"/>
      </rPr>
      <t>SPO4,KiP,HAO,DESORP</t>
    </r>
  </si>
  <si>
    <r>
      <t>q</t>
    </r>
    <r>
      <rPr>
        <vertAlign val="subscript"/>
        <sz val="11"/>
        <rFont val="Calibri"/>
        <family val="2"/>
      </rPr>
      <t>HAO,DISS</t>
    </r>
    <r>
      <rPr>
        <sz val="11"/>
        <rFont val="Calibri"/>
        <family val="2"/>
      </rPr>
      <t>*(X</t>
    </r>
    <r>
      <rPr>
        <vertAlign val="subscript"/>
        <sz val="11"/>
        <rFont val="Calibri"/>
        <family val="2"/>
      </rPr>
      <t>HAO,H,P,old</t>
    </r>
    <r>
      <rPr>
        <sz val="11"/>
        <rFont val="Calibri"/>
        <family val="2"/>
      </rPr>
      <t>+X</t>
    </r>
    <r>
      <rPr>
        <vertAlign val="subscript"/>
        <sz val="11"/>
        <rFont val="Calibri"/>
        <family val="2"/>
      </rPr>
      <t>HAO,L,P,old</t>
    </r>
    <r>
      <rPr>
        <sz val="11"/>
        <rFont val="Calibri"/>
        <family val="2"/>
      </rPr>
      <t>)*Loginh</t>
    </r>
    <r>
      <rPr>
        <vertAlign val="subscript"/>
        <sz val="11"/>
        <rFont val="Calibri"/>
        <family val="2"/>
      </rPr>
      <t>SPO4,KiP,HAO,DISS</t>
    </r>
  </si>
  <si>
    <t>Aging of active HAO,H</t>
  </si>
  <si>
    <t>Aging of active HAO,L</t>
  </si>
  <si>
    <t>Fast binding of P on active HAO,H</t>
  </si>
  <si>
    <t>Slow binding of P on active HAO,L</t>
  </si>
  <si>
    <r>
      <t>Desorption of P from X</t>
    </r>
    <r>
      <rPr>
        <vertAlign val="subscript"/>
        <sz val="11"/>
        <color rgb="FF000000"/>
        <rFont val="Calibri"/>
        <family val="2"/>
        <scheme val="minor"/>
      </rPr>
      <t>HAO,H,P</t>
    </r>
  </si>
  <si>
    <r>
      <t>Desorption of P from X</t>
    </r>
    <r>
      <rPr>
        <vertAlign val="subscript"/>
        <sz val="11"/>
        <color rgb="FF000000"/>
        <rFont val="Calibri"/>
        <family val="2"/>
        <scheme val="minor"/>
      </rPr>
      <t>HAO,L,P</t>
    </r>
  </si>
  <si>
    <r>
      <t>Dissolution of P from X</t>
    </r>
    <r>
      <rPr>
        <vertAlign val="subscript"/>
        <sz val="11"/>
        <color rgb="FF000000"/>
        <rFont val="Calibri"/>
        <family val="2"/>
        <scheme val="minor"/>
      </rPr>
      <t>HAO,H,P,old</t>
    </r>
    <r>
      <rPr>
        <sz val="11"/>
        <color rgb="FF000000"/>
        <rFont val="Calibri"/>
        <family val="2"/>
        <charset val="238"/>
        <scheme val="minor"/>
      </rPr>
      <t xml:space="preserve"> and X</t>
    </r>
    <r>
      <rPr>
        <vertAlign val="subscript"/>
        <sz val="11"/>
        <color rgb="FF000000"/>
        <rFont val="Calibri"/>
        <family val="2"/>
        <scheme val="minor"/>
      </rPr>
      <t>HAO,L,P,old</t>
    </r>
  </si>
  <si>
    <r>
      <t>X</t>
    </r>
    <r>
      <rPr>
        <vertAlign val="subscript"/>
        <sz val="11"/>
        <rFont val="Calibri"/>
        <family val="2"/>
        <scheme val="minor"/>
      </rPr>
      <t>HAO,TSS</t>
    </r>
  </si>
  <si>
    <r>
      <t>(1-f</t>
    </r>
    <r>
      <rPr>
        <vertAlign val="subscript"/>
        <sz val="11"/>
        <rFont val="Calibri"/>
        <family val="2"/>
        <scheme val="minor"/>
      </rPr>
      <t>H2O,HAO,TSS</t>
    </r>
    <r>
      <rPr>
        <sz val="11"/>
        <rFont val="Calibri"/>
        <family val="2"/>
        <scheme val="minor"/>
      </rPr>
      <t>)*X</t>
    </r>
    <r>
      <rPr>
        <vertAlign val="subscript"/>
        <sz val="11"/>
        <rFont val="Calibri"/>
        <family val="2"/>
        <scheme val="minor"/>
      </rPr>
      <t>HAO</t>
    </r>
    <r>
      <rPr>
        <sz val="11"/>
        <rFont val="Calibri"/>
        <family val="2"/>
        <scheme val="minor"/>
      </rPr>
      <t>*MM</t>
    </r>
    <r>
      <rPr>
        <vertAlign val="subscript"/>
        <sz val="11"/>
        <rFont val="Calibri"/>
        <family val="2"/>
        <scheme val="minor"/>
      </rPr>
      <t>AlOH3</t>
    </r>
    <r>
      <rPr>
        <sz val="11"/>
        <rFont val="Calibri"/>
        <family val="2"/>
        <scheme val="minor"/>
      </rPr>
      <t>/AM</t>
    </r>
    <r>
      <rPr>
        <vertAlign val="subscript"/>
        <sz val="11"/>
        <rFont val="Calibri"/>
        <family val="2"/>
        <scheme val="minor"/>
      </rPr>
      <t>Al</t>
    </r>
    <r>
      <rPr>
        <sz val="11"/>
        <rFont val="Calibri"/>
        <family val="2"/>
        <scheme val="minor"/>
      </rPr>
      <t>+ (X</t>
    </r>
    <r>
      <rPr>
        <vertAlign val="subscript"/>
        <sz val="11"/>
        <rFont val="Calibri"/>
        <family val="2"/>
        <scheme val="minor"/>
      </rPr>
      <t>HAO,L,P</t>
    </r>
    <r>
      <rPr>
        <sz val="11"/>
        <rFont val="Calibri"/>
        <family val="2"/>
        <scheme val="minor"/>
      </rPr>
      <t>+X</t>
    </r>
    <r>
      <rPr>
        <vertAlign val="subscript"/>
        <sz val="11"/>
        <rFont val="Calibri"/>
        <family val="2"/>
        <scheme val="minor"/>
      </rPr>
      <t>HAO,L,P,old</t>
    </r>
    <r>
      <rPr>
        <sz val="11"/>
        <rFont val="Calibri"/>
        <family val="2"/>
        <scheme val="minor"/>
      </rPr>
      <t>)*ASF</t>
    </r>
    <r>
      <rPr>
        <vertAlign val="subscript"/>
        <sz val="11"/>
        <rFont val="Calibri"/>
        <family val="2"/>
        <scheme val="minor"/>
      </rPr>
      <t>HAO,L</t>
    </r>
    <r>
      <rPr>
        <sz val="11"/>
        <rFont val="Calibri"/>
        <family val="2"/>
        <scheme val="minor"/>
      </rPr>
      <t>*(MM</t>
    </r>
    <r>
      <rPr>
        <vertAlign val="subscript"/>
        <sz val="11"/>
        <rFont val="Calibri"/>
        <family val="2"/>
        <scheme val="minor"/>
      </rPr>
      <t>PO4</t>
    </r>
    <r>
      <rPr>
        <sz val="11"/>
        <rFont val="Calibri"/>
        <family val="2"/>
        <scheme val="minor"/>
      </rPr>
      <t>/AM</t>
    </r>
    <r>
      <rPr>
        <vertAlign val="subscript"/>
        <sz val="11"/>
        <rFont val="Calibri"/>
        <family val="2"/>
        <scheme val="minor"/>
      </rPr>
      <t>Al</t>
    </r>
    <r>
      <rPr>
        <sz val="11"/>
        <rFont val="Calibri"/>
        <family val="2"/>
        <scheme val="minor"/>
      </rPr>
      <t>) +(X</t>
    </r>
    <r>
      <rPr>
        <vertAlign val="subscript"/>
        <sz val="11"/>
        <rFont val="Calibri"/>
        <family val="2"/>
        <scheme val="minor"/>
      </rPr>
      <t>HAO,H,P</t>
    </r>
    <r>
      <rPr>
        <sz val="11"/>
        <rFont val="Calibri"/>
        <family val="2"/>
        <scheme val="minor"/>
      </rPr>
      <t>+X</t>
    </r>
    <r>
      <rPr>
        <vertAlign val="subscript"/>
        <sz val="11"/>
        <rFont val="Calibri"/>
        <family val="2"/>
        <scheme val="minor"/>
      </rPr>
      <t>HAO,H,P,old</t>
    </r>
    <r>
      <rPr>
        <sz val="11"/>
        <rFont val="Calibri"/>
        <family val="2"/>
        <scheme val="minor"/>
      </rPr>
      <t>)*ASF</t>
    </r>
    <r>
      <rPr>
        <vertAlign val="subscript"/>
        <sz val="11"/>
        <rFont val="Calibri"/>
        <family val="2"/>
        <scheme val="minor"/>
      </rPr>
      <t>HAO,H</t>
    </r>
    <r>
      <rPr>
        <sz val="11"/>
        <rFont val="Calibri"/>
        <family val="2"/>
        <scheme val="minor"/>
      </rPr>
      <t>*(MM</t>
    </r>
    <r>
      <rPr>
        <vertAlign val="subscript"/>
        <sz val="11"/>
        <rFont val="Calibri"/>
        <family val="2"/>
        <scheme val="minor"/>
      </rPr>
      <t>PO4</t>
    </r>
    <r>
      <rPr>
        <sz val="11"/>
        <rFont val="Calibri"/>
        <family val="2"/>
        <scheme val="minor"/>
      </rPr>
      <t>/AM</t>
    </r>
    <r>
      <rPr>
        <vertAlign val="subscript"/>
        <sz val="11"/>
        <rFont val="Calibri"/>
        <family val="2"/>
        <scheme val="minor"/>
      </rPr>
      <t>Al</t>
    </r>
    <r>
      <rPr>
        <sz val="11"/>
        <rFont val="Calibri"/>
        <family val="2"/>
        <scheme val="minor"/>
      </rPr>
      <t>)</t>
    </r>
  </si>
  <si>
    <t>Total HAOs in TSS unit</t>
  </si>
  <si>
    <r>
      <t>X</t>
    </r>
    <r>
      <rPr>
        <vertAlign val="subscript"/>
        <sz val="11"/>
        <rFont val="Calibri"/>
        <family val="2"/>
        <scheme val="minor"/>
      </rPr>
      <t>HAO</t>
    </r>
  </si>
  <si>
    <t>Total HAOs</t>
  </si>
  <si>
    <r>
      <t>g Al.m</t>
    </r>
    <r>
      <rPr>
        <vertAlign val="superscript"/>
        <sz val="11"/>
        <rFont val="Calibri"/>
        <family val="2"/>
        <scheme val="minor"/>
      </rPr>
      <t>-3</t>
    </r>
  </si>
  <si>
    <r>
      <t>X</t>
    </r>
    <r>
      <rPr>
        <vertAlign val="subscript"/>
        <sz val="11"/>
        <rFont val="Calibri"/>
        <family val="2"/>
        <scheme val="minor"/>
      </rPr>
      <t>HAO,P</t>
    </r>
  </si>
  <si>
    <t>Total phosphorus in HAOs</t>
  </si>
  <si>
    <r>
      <t>T</t>
    </r>
    <r>
      <rPr>
        <vertAlign val="subscript"/>
        <sz val="11"/>
        <rFont val="Calibri"/>
        <family val="2"/>
        <scheme val="minor"/>
      </rPr>
      <t>Al</t>
    </r>
  </si>
  <si>
    <t>Total aluminium</t>
  </si>
  <si>
    <r>
      <t>X</t>
    </r>
    <r>
      <rPr>
        <vertAlign val="subscript"/>
        <sz val="11"/>
        <rFont val="Calibri"/>
        <family val="2"/>
        <scheme val="minor"/>
      </rPr>
      <t xml:space="preserve">HAO </t>
    </r>
  </si>
  <si>
    <r>
      <t>T</t>
    </r>
    <r>
      <rPr>
        <vertAlign val="subscript"/>
        <sz val="11"/>
        <rFont val="Calibri"/>
        <family val="2"/>
        <scheme val="minor"/>
      </rPr>
      <t>Mg</t>
    </r>
  </si>
  <si>
    <r>
      <t>T</t>
    </r>
    <r>
      <rPr>
        <vertAlign val="subscript"/>
        <sz val="11"/>
        <rFont val="Calibri"/>
        <family val="2"/>
        <scheme val="minor"/>
      </rPr>
      <t>Ca</t>
    </r>
  </si>
  <si>
    <t>Total calcium</t>
  </si>
  <si>
    <t>Total magnesium</t>
  </si>
  <si>
    <t>Brushite (BSH)</t>
  </si>
  <si>
    <r>
      <t>X</t>
    </r>
    <r>
      <rPr>
        <b/>
        <vertAlign val="subscript"/>
        <sz val="12"/>
        <rFont val="Calibri"/>
        <family val="2"/>
        <scheme val="minor"/>
      </rPr>
      <t>BSH</t>
    </r>
  </si>
  <si>
    <r>
      <t>q</t>
    </r>
    <r>
      <rPr>
        <vertAlign val="subscript"/>
        <sz val="11"/>
        <rFont val="Calibri"/>
        <family val="2"/>
        <scheme val="minor"/>
      </rPr>
      <t>BSH,PREC</t>
    </r>
  </si>
  <si>
    <t>Rate of brushite precipitation</t>
  </si>
  <si>
    <r>
      <t>q</t>
    </r>
    <r>
      <rPr>
        <vertAlign val="subscript"/>
        <sz val="11"/>
        <rFont val="Calibri"/>
        <family val="2"/>
        <scheme val="minor"/>
      </rPr>
      <t>BSH,DISS</t>
    </r>
  </si>
  <si>
    <t>Rate of brushite dissolution</t>
  </si>
  <si>
    <r>
      <t>K</t>
    </r>
    <r>
      <rPr>
        <vertAlign val="subscript"/>
        <sz val="11"/>
        <color indexed="8"/>
        <rFont val="Calibri"/>
        <family val="2"/>
        <scheme val="minor"/>
      </rPr>
      <t>BSH,DISS</t>
    </r>
  </si>
  <si>
    <t>Half-saturation of brushite redissolution</t>
  </si>
  <si>
    <r>
      <t>K</t>
    </r>
    <r>
      <rPr>
        <vertAlign val="subscript"/>
        <sz val="11"/>
        <rFont val="Calibri"/>
        <family val="2"/>
        <scheme val="minor"/>
      </rPr>
      <t>sp,BSH</t>
    </r>
  </si>
  <si>
    <t>Solubility constant of brushite (activity corrected)</t>
  </si>
  <si>
    <r>
      <t>K</t>
    </r>
    <r>
      <rPr>
        <vertAlign val="subscript"/>
        <sz val="11"/>
        <rFont val="Calibri"/>
        <family val="2"/>
        <scheme val="minor"/>
      </rPr>
      <t>sp,BSH,param</t>
    </r>
    <r>
      <rPr>
        <sz val="11"/>
        <rFont val="Calibri"/>
        <family val="2"/>
        <scheme val="minor"/>
      </rPr>
      <t>/(f</t>
    </r>
    <r>
      <rPr>
        <vertAlign val="subscript"/>
        <sz val="11"/>
        <rFont val="Calibri"/>
        <family val="2"/>
        <scheme val="minor"/>
      </rPr>
      <t>di</t>
    </r>
    <r>
      <rPr>
        <vertAlign val="superscript"/>
        <sz val="11"/>
        <rFont val="Calibri"/>
        <family val="2"/>
        <scheme val="minor"/>
      </rPr>
      <t>^(1/2)</t>
    </r>
    <r>
      <rPr>
        <sz val="11"/>
        <rFont val="Calibri"/>
        <family val="2"/>
        <scheme val="minor"/>
      </rPr>
      <t>*f</t>
    </r>
    <r>
      <rPr>
        <vertAlign val="subscript"/>
        <sz val="11"/>
        <rFont val="Calibri"/>
        <family val="2"/>
        <scheme val="minor"/>
      </rPr>
      <t>di</t>
    </r>
    <r>
      <rPr>
        <vertAlign val="superscript"/>
        <sz val="11"/>
        <rFont val="Calibri"/>
        <family val="2"/>
        <scheme val="minor"/>
      </rPr>
      <t>^(1/2)</t>
    </r>
    <r>
      <rPr>
        <sz val="11"/>
        <rFont val="Calibri"/>
        <family val="2"/>
        <scheme val="minor"/>
      </rPr>
      <t>)</t>
    </r>
  </si>
  <si>
    <r>
      <t>AM</t>
    </r>
    <r>
      <rPr>
        <vertAlign val="subscript"/>
        <sz val="11"/>
        <rFont val="Calibri"/>
        <family val="2"/>
        <scheme val="minor"/>
      </rPr>
      <t>P</t>
    </r>
    <r>
      <rPr>
        <sz val="11"/>
        <rFont val="Calibri"/>
        <family val="2"/>
        <scheme val="minor"/>
      </rPr>
      <t>/MM</t>
    </r>
    <r>
      <rPr>
        <vertAlign val="subscript"/>
        <sz val="11"/>
        <rFont val="Calibri"/>
        <family val="2"/>
        <scheme val="minor"/>
      </rPr>
      <t>BSH</t>
    </r>
  </si>
  <si>
    <r>
      <t>AM</t>
    </r>
    <r>
      <rPr>
        <vertAlign val="subscript"/>
        <sz val="11"/>
        <rFont val="Calibri"/>
        <family val="2"/>
        <scheme val="minor"/>
      </rPr>
      <t>Ca</t>
    </r>
    <r>
      <rPr>
        <sz val="11"/>
        <rFont val="Calibri"/>
        <family val="2"/>
        <scheme val="minor"/>
      </rPr>
      <t>/MM</t>
    </r>
    <r>
      <rPr>
        <vertAlign val="subscript"/>
        <sz val="11"/>
        <rFont val="Calibri"/>
        <family val="2"/>
        <scheme val="minor"/>
      </rPr>
      <t>BSH</t>
    </r>
  </si>
  <si>
    <r>
      <t>-AM</t>
    </r>
    <r>
      <rPr>
        <vertAlign val="subscript"/>
        <sz val="11"/>
        <rFont val="Calibri"/>
        <family val="2"/>
      </rPr>
      <t>Ca</t>
    </r>
    <r>
      <rPr>
        <sz val="11"/>
        <rFont val="Calibri"/>
        <family val="2"/>
      </rPr>
      <t>/MM</t>
    </r>
    <r>
      <rPr>
        <vertAlign val="subscript"/>
        <sz val="11"/>
        <rFont val="Calibri"/>
        <family val="2"/>
      </rPr>
      <t>BSH</t>
    </r>
  </si>
  <si>
    <r>
      <t>-AM</t>
    </r>
    <r>
      <rPr>
        <vertAlign val="subscript"/>
        <sz val="11"/>
        <rFont val="Calibri"/>
        <family val="2"/>
      </rPr>
      <t>P</t>
    </r>
    <r>
      <rPr>
        <sz val="11"/>
        <rFont val="Calibri"/>
        <family val="2"/>
      </rPr>
      <t>/MM</t>
    </r>
    <r>
      <rPr>
        <vertAlign val="subscript"/>
        <sz val="11"/>
        <rFont val="Calibri"/>
        <family val="2"/>
      </rPr>
      <t>BSH</t>
    </r>
  </si>
  <si>
    <r>
      <t>q</t>
    </r>
    <r>
      <rPr>
        <vertAlign val="subscript"/>
        <sz val="11"/>
        <rFont val="Calibri"/>
        <family val="2"/>
      </rPr>
      <t>BSH</t>
    </r>
    <r>
      <rPr>
        <sz val="11"/>
        <rFont val="Calibri"/>
        <family val="2"/>
      </rPr>
      <t>*PrecipDrivingForce</t>
    </r>
    <r>
      <rPr>
        <vertAlign val="subscript"/>
        <sz val="11"/>
        <rFont val="Calibri"/>
        <family val="2"/>
      </rPr>
      <t>BSH</t>
    </r>
    <r>
      <rPr>
        <vertAlign val="superscript"/>
        <sz val="11"/>
        <rFont val="Calibri"/>
        <family val="2"/>
      </rPr>
      <t>^2</t>
    </r>
  </si>
  <si>
    <r>
      <t>PrecipDrivingForce</t>
    </r>
    <r>
      <rPr>
        <vertAlign val="subscript"/>
        <sz val="11"/>
        <color theme="1"/>
        <rFont val="Calibri"/>
        <family val="2"/>
        <scheme val="minor"/>
      </rPr>
      <t>BSH</t>
    </r>
  </si>
  <si>
    <t>Rate expression of brushite precipitation (driving force)</t>
  </si>
  <si>
    <r>
      <t>([Ca</t>
    </r>
    <r>
      <rPr>
        <vertAlign val="superscript"/>
        <sz val="11"/>
        <color theme="1"/>
        <rFont val="Calibri"/>
        <family val="2"/>
        <scheme val="minor"/>
      </rPr>
      <t>2+</t>
    </r>
    <r>
      <rPr>
        <sz val="11"/>
        <color theme="1"/>
        <rFont val="Calibri"/>
        <family val="2"/>
        <scheme val="minor"/>
      </rPr>
      <t>]</t>
    </r>
    <r>
      <rPr>
        <vertAlign val="superscript"/>
        <sz val="11"/>
        <color theme="1"/>
        <rFont val="Calibri"/>
        <family val="2"/>
        <scheme val="minor"/>
      </rPr>
      <t>^(1/2)</t>
    </r>
    <r>
      <rPr>
        <sz val="11"/>
        <color theme="1"/>
        <rFont val="Calibri"/>
        <family val="2"/>
        <scheme val="minor"/>
      </rPr>
      <t>*[HPO</t>
    </r>
    <r>
      <rPr>
        <vertAlign val="subscript"/>
        <sz val="11"/>
        <color theme="1"/>
        <rFont val="Calibri"/>
        <family val="2"/>
        <scheme val="minor"/>
      </rPr>
      <t>4</t>
    </r>
    <r>
      <rPr>
        <vertAlign val="superscript"/>
        <sz val="11"/>
        <color theme="1"/>
        <rFont val="Calibri"/>
        <family val="2"/>
        <scheme val="minor"/>
      </rPr>
      <t>2-</t>
    </r>
    <r>
      <rPr>
        <sz val="11"/>
        <color theme="1"/>
        <rFont val="Calibri"/>
        <family val="2"/>
        <scheme val="minor"/>
      </rPr>
      <t>]</t>
    </r>
    <r>
      <rPr>
        <vertAlign val="superscript"/>
        <sz val="11"/>
        <color theme="1"/>
        <rFont val="Calibri"/>
        <family val="2"/>
        <scheme val="minor"/>
      </rPr>
      <t>^(1/2)</t>
    </r>
    <r>
      <rPr>
        <sz val="11"/>
        <color theme="1"/>
        <rFont val="Calibri"/>
        <family val="2"/>
        <scheme val="minor"/>
      </rPr>
      <t>-K</t>
    </r>
    <r>
      <rPr>
        <vertAlign val="subscript"/>
        <sz val="11"/>
        <color theme="1"/>
        <rFont val="Calibri"/>
        <family val="2"/>
        <scheme val="minor"/>
      </rPr>
      <t>sp,BSH</t>
    </r>
    <r>
      <rPr>
        <vertAlign val="superscript"/>
        <sz val="11"/>
        <color theme="1"/>
        <rFont val="Calibri"/>
        <family val="2"/>
        <scheme val="minor"/>
      </rPr>
      <t>^(1/2)</t>
    </r>
    <r>
      <rPr>
        <sz val="11"/>
        <color theme="1"/>
        <rFont val="Calibri"/>
        <family val="2"/>
        <scheme val="minor"/>
      </rPr>
      <t>)/K</t>
    </r>
    <r>
      <rPr>
        <vertAlign val="subscript"/>
        <sz val="11"/>
        <color theme="1"/>
        <rFont val="Calibri"/>
        <family val="2"/>
        <scheme val="minor"/>
      </rPr>
      <t>sp,BSH</t>
    </r>
    <r>
      <rPr>
        <vertAlign val="superscript"/>
        <sz val="11"/>
        <color theme="1"/>
        <rFont val="Calibri"/>
        <family val="2"/>
        <scheme val="minor"/>
      </rPr>
      <t>^(1/2)</t>
    </r>
  </si>
  <si>
    <r>
      <t>q</t>
    </r>
    <r>
      <rPr>
        <vertAlign val="subscript"/>
        <sz val="11"/>
        <color theme="1"/>
        <rFont val="Calibri"/>
        <family val="2"/>
        <scheme val="minor"/>
      </rPr>
      <t>BSH</t>
    </r>
  </si>
  <si>
    <r>
      <t>If(PrecipDrivingForce</t>
    </r>
    <r>
      <rPr>
        <vertAlign val="subscript"/>
        <sz val="11"/>
        <color theme="1"/>
        <rFont val="Calibri"/>
        <family val="2"/>
        <scheme val="minor"/>
      </rPr>
      <t>BSH</t>
    </r>
    <r>
      <rPr>
        <sz val="11"/>
        <color theme="1"/>
        <rFont val="Calibri"/>
        <family val="2"/>
        <scheme val="minor"/>
      </rPr>
      <t>&gt;0;q</t>
    </r>
    <r>
      <rPr>
        <vertAlign val="subscript"/>
        <sz val="11"/>
        <color theme="1"/>
        <rFont val="Calibri"/>
        <family val="2"/>
        <scheme val="minor"/>
      </rPr>
      <t>BSH,PREC</t>
    </r>
    <r>
      <rPr>
        <sz val="11"/>
        <color theme="1"/>
        <rFont val="Calibri"/>
        <family val="2"/>
        <scheme val="minor"/>
      </rPr>
      <t>;-q</t>
    </r>
    <r>
      <rPr>
        <vertAlign val="subscript"/>
        <sz val="11"/>
        <color theme="1"/>
        <rFont val="Calibri"/>
        <family val="2"/>
        <scheme val="minor"/>
      </rPr>
      <t>BSH,DISS</t>
    </r>
    <r>
      <rPr>
        <sz val="11"/>
        <color theme="1"/>
        <rFont val="Calibri"/>
        <family val="2"/>
        <scheme val="minor"/>
      </rPr>
      <t>*Msat</t>
    </r>
    <r>
      <rPr>
        <vertAlign val="subscript"/>
        <sz val="11"/>
        <color theme="1"/>
        <rFont val="Calibri"/>
        <family val="2"/>
        <scheme val="minor"/>
      </rPr>
      <t>XBSH,KBSH,DISS</t>
    </r>
    <r>
      <rPr>
        <sz val="11"/>
        <color theme="1"/>
        <rFont val="Calibri"/>
        <family val="2"/>
        <scheme val="minor"/>
      </rPr>
      <t>)</t>
    </r>
  </si>
  <si>
    <r>
      <t>i</t>
    </r>
    <r>
      <rPr>
        <vertAlign val="subscript"/>
        <sz val="11"/>
        <rFont val="Calibri"/>
        <family val="2"/>
        <scheme val="minor"/>
      </rPr>
      <t>P,XBSH</t>
    </r>
  </si>
  <si>
    <t>P content of BSH</t>
  </si>
  <si>
    <r>
      <t>Msat</t>
    </r>
    <r>
      <rPr>
        <vertAlign val="subscript"/>
        <sz val="11"/>
        <rFont val="Calibri"/>
        <family val="2"/>
        <scheme val="minor"/>
      </rPr>
      <t>XBSH,KBSH,DISS</t>
    </r>
  </si>
  <si>
    <t>Saturation term for brushite dissolution</t>
  </si>
  <si>
    <r>
      <t>Msat(X</t>
    </r>
    <r>
      <rPr>
        <vertAlign val="subscript"/>
        <sz val="11"/>
        <rFont val="Calibri"/>
        <family val="2"/>
        <scheme val="minor"/>
      </rPr>
      <t>BSH</t>
    </r>
    <r>
      <rPr>
        <sz val="11"/>
        <rFont val="Calibri"/>
        <family val="2"/>
        <scheme val="minor"/>
      </rPr>
      <t>;K</t>
    </r>
    <r>
      <rPr>
        <vertAlign val="subscript"/>
        <sz val="11"/>
        <rFont val="Calibri"/>
        <family val="2"/>
        <scheme val="minor"/>
      </rPr>
      <t>BSH,DISS</t>
    </r>
    <r>
      <rPr>
        <sz val="11"/>
        <rFont val="Calibri"/>
        <family val="2"/>
        <scheme val="minor"/>
      </rPr>
      <t>)</t>
    </r>
  </si>
  <si>
    <r>
      <t>Loginh</t>
    </r>
    <r>
      <rPr>
        <vertAlign val="subscript"/>
        <sz val="11"/>
        <rFont val="Calibri"/>
        <family val="2"/>
        <scheme val="minor"/>
      </rPr>
      <t>SPO4,KiP,HAO,DISS</t>
    </r>
  </si>
  <si>
    <r>
      <t>Inhibition term for PO</t>
    </r>
    <r>
      <rPr>
        <vertAlign val="subscript"/>
        <sz val="11"/>
        <color rgb="FF000000"/>
        <rFont val="Calibri"/>
        <family val="2"/>
        <scheme val="minor"/>
      </rPr>
      <t>4</t>
    </r>
    <r>
      <rPr>
        <sz val="11"/>
        <color rgb="FF000000"/>
        <rFont val="Calibri"/>
        <family val="2"/>
        <charset val="238"/>
        <scheme val="minor"/>
      </rPr>
      <t xml:space="preserve"> in redissolution of HAO</t>
    </r>
  </si>
  <si>
    <r>
      <t>Minh</t>
    </r>
    <r>
      <rPr>
        <vertAlign val="subscript"/>
        <sz val="11"/>
        <rFont val="Calibri"/>
        <family val="2"/>
        <scheme val="minor"/>
      </rPr>
      <t>SPO4,KiP,HAO,DESORP</t>
    </r>
  </si>
  <si>
    <r>
      <t>Inhibition term for PO</t>
    </r>
    <r>
      <rPr>
        <vertAlign val="subscript"/>
        <sz val="11"/>
        <color rgb="FF000000"/>
        <rFont val="Calibri"/>
        <family val="2"/>
        <scheme val="minor"/>
      </rPr>
      <t>4</t>
    </r>
    <r>
      <rPr>
        <sz val="11"/>
        <color rgb="FF000000"/>
        <rFont val="Calibri"/>
        <family val="2"/>
        <charset val="238"/>
        <scheme val="minor"/>
      </rPr>
      <t xml:space="preserve"> in desorption of HAO</t>
    </r>
  </si>
  <si>
    <r>
      <t>Minh(S</t>
    </r>
    <r>
      <rPr>
        <vertAlign val="subscript"/>
        <sz val="11"/>
        <rFont val="Calibri"/>
        <family val="2"/>
        <scheme val="minor"/>
      </rPr>
      <t>PO4</t>
    </r>
    <r>
      <rPr>
        <sz val="11"/>
        <rFont val="Calibri"/>
        <family val="2"/>
        <scheme val="minor"/>
      </rPr>
      <t>;Ki</t>
    </r>
    <r>
      <rPr>
        <vertAlign val="subscript"/>
        <sz val="11"/>
        <rFont val="Calibri"/>
        <family val="2"/>
        <scheme val="minor"/>
      </rPr>
      <t>P,HAO,DESORP</t>
    </r>
    <r>
      <rPr>
        <sz val="11"/>
        <rFont val="Calibri"/>
        <family val="2"/>
        <scheme val="minor"/>
      </rPr>
      <t>)</t>
    </r>
  </si>
  <si>
    <r>
      <t>Msat</t>
    </r>
    <r>
      <rPr>
        <vertAlign val="subscript"/>
        <sz val="11"/>
        <rFont val="Calibri"/>
        <family val="2"/>
        <scheme val="minor"/>
      </rPr>
      <t>SPO4,KP,HAO,BIND</t>
    </r>
  </si>
  <si>
    <r>
      <t>Saturation term for PO</t>
    </r>
    <r>
      <rPr>
        <vertAlign val="subscript"/>
        <sz val="11"/>
        <color rgb="FF000000"/>
        <rFont val="Calibri"/>
        <family val="2"/>
        <scheme val="minor"/>
      </rPr>
      <t>4</t>
    </r>
    <r>
      <rPr>
        <sz val="11"/>
        <color rgb="FF000000"/>
        <rFont val="Calibri"/>
        <family val="2"/>
        <charset val="238"/>
        <scheme val="minor"/>
      </rPr>
      <t xml:space="preserve"> binding on HAO</t>
    </r>
  </si>
  <si>
    <r>
      <t>Msat(S</t>
    </r>
    <r>
      <rPr>
        <vertAlign val="subscript"/>
        <sz val="11"/>
        <rFont val="Calibri"/>
        <family val="2"/>
        <scheme val="minor"/>
      </rPr>
      <t>PO4</t>
    </r>
    <r>
      <rPr>
        <sz val="11"/>
        <rFont val="Calibri"/>
        <family val="2"/>
        <scheme val="minor"/>
      </rPr>
      <t>;K</t>
    </r>
    <r>
      <rPr>
        <vertAlign val="subscript"/>
        <sz val="11"/>
        <rFont val="Calibri"/>
        <family val="2"/>
        <scheme val="minor"/>
      </rPr>
      <t>P,HAO,BIND</t>
    </r>
    <r>
      <rPr>
        <sz val="11"/>
        <rFont val="Calibri"/>
        <family val="2"/>
        <scheme val="minor"/>
      </rPr>
      <t>)</t>
    </r>
  </si>
  <si>
    <r>
      <t>Loginh</t>
    </r>
    <r>
      <rPr>
        <vertAlign val="subscript"/>
        <sz val="11"/>
        <rFont val="Calibri"/>
        <family val="2"/>
        <scheme val="minor"/>
      </rPr>
      <t>SPO4,KiP,HFO,DISS</t>
    </r>
  </si>
  <si>
    <r>
      <t>Minh</t>
    </r>
    <r>
      <rPr>
        <vertAlign val="subscript"/>
        <sz val="11"/>
        <rFont val="Calibri"/>
        <family val="2"/>
        <scheme val="minor"/>
      </rPr>
      <t>SPO4,KiP,HFO,DESORP</t>
    </r>
  </si>
  <si>
    <r>
      <t>Msat</t>
    </r>
    <r>
      <rPr>
        <vertAlign val="subscript"/>
        <sz val="11"/>
        <rFont val="Calibri"/>
        <family val="2"/>
        <scheme val="minor"/>
      </rPr>
      <t>SPO4,KP,HFO,BIND</t>
    </r>
  </si>
  <si>
    <r>
      <t>Minh(S</t>
    </r>
    <r>
      <rPr>
        <vertAlign val="subscript"/>
        <sz val="11"/>
        <rFont val="Calibri"/>
        <family val="2"/>
        <scheme val="minor"/>
      </rPr>
      <t>PO4</t>
    </r>
    <r>
      <rPr>
        <sz val="11"/>
        <rFont val="Calibri"/>
        <family val="2"/>
        <scheme val="minor"/>
      </rPr>
      <t>;Ki</t>
    </r>
    <r>
      <rPr>
        <vertAlign val="subscript"/>
        <sz val="11"/>
        <rFont val="Calibri"/>
        <family val="2"/>
        <scheme val="minor"/>
      </rPr>
      <t>P,HFO,DESORP</t>
    </r>
    <r>
      <rPr>
        <sz val="11"/>
        <rFont val="Calibri"/>
        <family val="2"/>
        <scheme val="minor"/>
      </rPr>
      <t>)</t>
    </r>
  </si>
  <si>
    <r>
      <t>Msat(S</t>
    </r>
    <r>
      <rPr>
        <vertAlign val="subscript"/>
        <sz val="11"/>
        <rFont val="Calibri"/>
        <family val="2"/>
        <scheme val="minor"/>
      </rPr>
      <t>PO4</t>
    </r>
    <r>
      <rPr>
        <sz val="11"/>
        <rFont val="Calibri"/>
        <family val="2"/>
        <scheme val="minor"/>
      </rPr>
      <t>;K</t>
    </r>
    <r>
      <rPr>
        <vertAlign val="subscript"/>
        <sz val="11"/>
        <rFont val="Calibri"/>
        <family val="2"/>
        <scheme val="minor"/>
      </rPr>
      <t>P,HFO,BIND</t>
    </r>
    <r>
      <rPr>
        <sz val="11"/>
        <rFont val="Calibri"/>
        <family val="2"/>
        <scheme val="minor"/>
      </rPr>
      <t>)</t>
    </r>
  </si>
  <si>
    <r>
      <t>q</t>
    </r>
    <r>
      <rPr>
        <vertAlign val="subscript"/>
        <sz val="11"/>
        <rFont val="Calibri"/>
        <family val="2"/>
      </rPr>
      <t>HFOH,DESORP</t>
    </r>
    <r>
      <rPr>
        <sz val="11"/>
        <rFont val="Calibri"/>
        <family val="2"/>
      </rPr>
      <t>*X</t>
    </r>
    <r>
      <rPr>
        <vertAlign val="subscript"/>
        <sz val="11"/>
        <rFont val="Calibri"/>
        <family val="2"/>
      </rPr>
      <t>HFO,H,P</t>
    </r>
    <r>
      <rPr>
        <sz val="11"/>
        <rFont val="Calibri"/>
        <family val="2"/>
      </rPr>
      <t>*Minh</t>
    </r>
    <r>
      <rPr>
        <vertAlign val="subscript"/>
        <sz val="11"/>
        <rFont val="Calibri"/>
        <family val="2"/>
      </rPr>
      <t>SPO4,KiP,HFO,DESORP</t>
    </r>
  </si>
  <si>
    <r>
      <t>q</t>
    </r>
    <r>
      <rPr>
        <vertAlign val="subscript"/>
        <sz val="11"/>
        <rFont val="Calibri"/>
        <family val="2"/>
      </rPr>
      <t>HFO,DISS</t>
    </r>
    <r>
      <rPr>
        <sz val="11"/>
        <rFont val="Calibri"/>
        <family val="2"/>
      </rPr>
      <t>*(X</t>
    </r>
    <r>
      <rPr>
        <vertAlign val="subscript"/>
        <sz val="11"/>
        <rFont val="Calibri"/>
        <family val="2"/>
      </rPr>
      <t>HFO,H,P,old</t>
    </r>
    <r>
      <rPr>
        <sz val="11"/>
        <rFont val="Calibri"/>
        <family val="2"/>
      </rPr>
      <t>+X</t>
    </r>
    <r>
      <rPr>
        <vertAlign val="subscript"/>
        <sz val="11"/>
        <rFont val="Calibri"/>
        <family val="2"/>
      </rPr>
      <t>HFO,L,P,old</t>
    </r>
    <r>
      <rPr>
        <sz val="11"/>
        <rFont val="Calibri"/>
        <family val="2"/>
      </rPr>
      <t>)*Loginh</t>
    </r>
    <r>
      <rPr>
        <vertAlign val="subscript"/>
        <sz val="11"/>
        <rFont val="Calibri"/>
        <family val="2"/>
      </rPr>
      <t>SPO4,KiP,HFO,DISS</t>
    </r>
  </si>
  <si>
    <r>
      <t>Ki</t>
    </r>
    <r>
      <rPr>
        <vertAlign val="subscript"/>
        <sz val="11"/>
        <rFont val="Calibri"/>
        <family val="2"/>
        <scheme val="minor"/>
      </rPr>
      <t>P,HFO,DISS</t>
    </r>
  </si>
  <si>
    <r>
      <t>Ki</t>
    </r>
    <r>
      <rPr>
        <vertAlign val="subscript"/>
        <sz val="11"/>
        <rFont val="Calibri"/>
        <family val="2"/>
        <scheme val="minor"/>
      </rPr>
      <t>P,HFO,DESORP</t>
    </r>
  </si>
  <si>
    <r>
      <t>K</t>
    </r>
    <r>
      <rPr>
        <vertAlign val="subscript"/>
        <sz val="11"/>
        <rFont val="Calibri"/>
        <family val="2"/>
        <scheme val="minor"/>
      </rPr>
      <t>P,HFO,BIND</t>
    </r>
  </si>
  <si>
    <r>
      <t>T</t>
    </r>
    <r>
      <rPr>
        <vertAlign val="subscript"/>
        <sz val="11"/>
        <rFont val="Calibri"/>
        <family val="2"/>
        <charset val="238"/>
        <scheme val="minor"/>
      </rPr>
      <t>OC</t>
    </r>
  </si>
  <si>
    <t>Total organic carbon</t>
  </si>
  <si>
    <r>
      <t>g C.m</t>
    </r>
    <r>
      <rPr>
        <vertAlign val="superscript"/>
        <sz val="11"/>
        <rFont val="Calibri"/>
        <family val="2"/>
        <charset val="238"/>
        <scheme val="minor"/>
      </rPr>
      <t>-3</t>
    </r>
  </si>
  <si>
    <t>TOC calculation coefficients</t>
  </si>
  <si>
    <r>
      <t>f</t>
    </r>
    <r>
      <rPr>
        <vertAlign val="subscript"/>
        <sz val="11"/>
        <rFont val="Calibri"/>
        <family val="2"/>
        <scheme val="minor"/>
      </rPr>
      <t>TOC,1</t>
    </r>
  </si>
  <si>
    <r>
      <t>f</t>
    </r>
    <r>
      <rPr>
        <vertAlign val="subscript"/>
        <sz val="11"/>
        <rFont val="Calibri"/>
        <family val="2"/>
        <scheme val="minor"/>
      </rPr>
      <t>TOC,2</t>
    </r>
  </si>
  <si>
    <r>
      <t>g C.g COD</t>
    </r>
    <r>
      <rPr>
        <vertAlign val="superscript"/>
        <sz val="11"/>
        <rFont val="Calibri"/>
        <family val="2"/>
        <scheme val="minor"/>
      </rPr>
      <t>-1</t>
    </r>
  </si>
  <si>
    <r>
      <t>g C.m</t>
    </r>
    <r>
      <rPr>
        <vertAlign val="superscript"/>
        <sz val="11"/>
        <rFont val="Calibri"/>
        <family val="2"/>
        <scheme val="minor"/>
      </rPr>
      <t>-3</t>
    </r>
  </si>
  <si>
    <t>Half-saturation of readily biodegradable substrate in fermentation by OHOs in mainstream (AS)</t>
  </si>
  <si>
    <r>
      <t>K</t>
    </r>
    <r>
      <rPr>
        <vertAlign val="subscript"/>
        <sz val="11"/>
        <rFont val="Calibri"/>
        <family val="2"/>
        <scheme val="minor"/>
      </rPr>
      <t>SB,ana,DIG</t>
    </r>
  </si>
  <si>
    <t>Non-Digester; Non-Biofilm</t>
  </si>
  <si>
    <t>Non-Digester; Biofilm</t>
  </si>
  <si>
    <r>
      <t>q</t>
    </r>
    <r>
      <rPr>
        <vertAlign val="subscript"/>
        <sz val="11"/>
        <rFont val="Calibri"/>
        <family val="2"/>
        <scheme val="minor"/>
      </rPr>
      <t>PAO,PP</t>
    </r>
  </si>
  <si>
    <t>r80</t>
  </si>
  <si>
    <t>r81</t>
  </si>
  <si>
    <t>r82</t>
  </si>
  <si>
    <r>
      <t>q</t>
    </r>
    <r>
      <rPr>
        <vertAlign val="subscript"/>
        <sz val="11"/>
        <color indexed="8"/>
        <rFont val="Calibri"/>
        <family val="2"/>
        <scheme val="minor"/>
      </rPr>
      <t>PAO,PP,T</t>
    </r>
  </si>
  <si>
    <t>Rate of polyphosphate storage for PAOs (temperature corrected)</t>
  </si>
  <si>
    <r>
      <t>q</t>
    </r>
    <r>
      <rPr>
        <vertAlign val="subscript"/>
        <sz val="11"/>
        <color indexed="8"/>
        <rFont val="Calibri"/>
        <family val="2"/>
        <scheme val="minor"/>
      </rPr>
      <t>PAO,PP</t>
    </r>
    <r>
      <rPr>
        <sz val="11"/>
        <color indexed="8"/>
        <rFont val="Calibri"/>
        <family val="2"/>
        <scheme val="minor"/>
      </rPr>
      <t>*Arrh(θ</t>
    </r>
    <r>
      <rPr>
        <vertAlign val="subscript"/>
        <sz val="11"/>
        <color indexed="8"/>
        <rFont val="Calibri"/>
        <family val="2"/>
        <scheme val="minor"/>
      </rPr>
      <t>q,PAO,PP</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</si>
  <si>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θ</t>
    </r>
    <r>
      <rPr>
        <vertAlign val="subscript"/>
        <sz val="11"/>
        <color indexed="8"/>
        <rFont val="Calibri"/>
        <family val="2"/>
        <scheme val="minor"/>
      </rPr>
      <t>q,PAO,PP</t>
    </r>
  </si>
  <si>
    <t>Arrhenius coefficient for PP storage</t>
  </si>
  <si>
    <r>
      <t>K</t>
    </r>
    <r>
      <rPr>
        <vertAlign val="subscript"/>
        <sz val="11"/>
        <rFont val="Calibri"/>
        <family val="2"/>
        <scheme val="minor"/>
      </rPr>
      <t>sp,BSH,param</t>
    </r>
  </si>
  <si>
    <t>Solubility constant of Brushite</t>
  </si>
  <si>
    <t xml:space="preserve">Musvoto et al. (2000) =10^(-6.6) </t>
  </si>
  <si>
    <r>
      <t>MM</t>
    </r>
    <r>
      <rPr>
        <vertAlign val="subscript"/>
        <sz val="11"/>
        <rFont val="Calibri"/>
        <family val="2"/>
        <scheme val="minor"/>
      </rPr>
      <t>BSH</t>
    </r>
  </si>
  <si>
    <t>Molecular mass of Brushite</t>
  </si>
  <si>
    <r>
      <t>ASF</t>
    </r>
    <r>
      <rPr>
        <vertAlign val="subscript"/>
        <sz val="11"/>
        <rFont val="Calibri"/>
        <family val="2"/>
        <scheme val="minor"/>
      </rPr>
      <t>HFO,H</t>
    </r>
  </si>
  <si>
    <r>
      <t>ASF</t>
    </r>
    <r>
      <rPr>
        <vertAlign val="subscript"/>
        <sz val="11"/>
        <rFont val="Calibri"/>
        <family val="2"/>
        <scheme val="minor"/>
      </rPr>
      <t>HFO,L</t>
    </r>
  </si>
  <si>
    <r>
      <t>(1-f</t>
    </r>
    <r>
      <rPr>
        <vertAlign val="subscript"/>
        <sz val="11"/>
        <rFont val="Calibri"/>
        <family val="2"/>
        <scheme val="minor"/>
      </rPr>
      <t>H2O,HFO,TSS</t>
    </r>
    <r>
      <rPr>
        <sz val="11"/>
        <rFont val="Calibri"/>
        <family val="2"/>
        <scheme val="minor"/>
      </rPr>
      <t>)*X</t>
    </r>
    <r>
      <rPr>
        <vertAlign val="subscript"/>
        <sz val="11"/>
        <rFont val="Calibri"/>
        <family val="2"/>
        <scheme val="minor"/>
      </rPr>
      <t>HFO</t>
    </r>
    <r>
      <rPr>
        <sz val="11"/>
        <rFont val="Calibri"/>
        <family val="2"/>
        <scheme val="minor"/>
      </rPr>
      <t>*MM</t>
    </r>
    <r>
      <rPr>
        <vertAlign val="subscript"/>
        <sz val="11"/>
        <rFont val="Calibri"/>
        <family val="2"/>
        <scheme val="minor"/>
      </rPr>
      <t>FeOH3</t>
    </r>
    <r>
      <rPr>
        <sz val="11"/>
        <rFont val="Calibri"/>
        <family val="2"/>
        <scheme val="minor"/>
      </rPr>
      <t>/AM</t>
    </r>
    <r>
      <rPr>
        <vertAlign val="subscript"/>
        <sz val="11"/>
        <rFont val="Calibri"/>
        <family val="2"/>
        <scheme val="minor"/>
      </rPr>
      <t>Fe</t>
    </r>
    <r>
      <rPr>
        <sz val="11"/>
        <rFont val="Calibri"/>
        <family val="2"/>
        <scheme val="minor"/>
      </rPr>
      <t>+ (X</t>
    </r>
    <r>
      <rPr>
        <vertAlign val="subscript"/>
        <sz val="11"/>
        <rFont val="Calibri"/>
        <family val="2"/>
        <scheme val="minor"/>
      </rPr>
      <t>HFO,L,P</t>
    </r>
    <r>
      <rPr>
        <sz val="11"/>
        <rFont val="Calibri"/>
        <family val="2"/>
        <scheme val="minor"/>
      </rPr>
      <t>+X</t>
    </r>
    <r>
      <rPr>
        <vertAlign val="subscript"/>
        <sz val="11"/>
        <rFont val="Calibri"/>
        <family val="2"/>
        <scheme val="minor"/>
      </rPr>
      <t>HFO,L,P,old</t>
    </r>
    <r>
      <rPr>
        <sz val="11"/>
        <rFont val="Calibri"/>
        <family val="2"/>
        <scheme val="minor"/>
      </rPr>
      <t>)*ASF</t>
    </r>
    <r>
      <rPr>
        <vertAlign val="subscript"/>
        <sz val="11"/>
        <rFont val="Calibri"/>
        <family val="2"/>
        <scheme val="minor"/>
      </rPr>
      <t>HFO,L</t>
    </r>
    <r>
      <rPr>
        <sz val="11"/>
        <rFont val="Calibri"/>
        <family val="2"/>
        <scheme val="minor"/>
      </rPr>
      <t>*(MM</t>
    </r>
    <r>
      <rPr>
        <vertAlign val="subscript"/>
        <sz val="11"/>
        <rFont val="Calibri"/>
        <family val="2"/>
        <scheme val="minor"/>
      </rPr>
      <t>PO4</t>
    </r>
    <r>
      <rPr>
        <sz val="11"/>
        <rFont val="Calibri"/>
        <family val="2"/>
        <scheme val="minor"/>
      </rPr>
      <t>/AM</t>
    </r>
    <r>
      <rPr>
        <vertAlign val="subscript"/>
        <sz val="11"/>
        <rFont val="Calibri"/>
        <family val="2"/>
        <scheme val="minor"/>
      </rPr>
      <t>Fe</t>
    </r>
    <r>
      <rPr>
        <sz val="11"/>
        <rFont val="Calibri"/>
        <family val="2"/>
        <scheme val="minor"/>
      </rPr>
      <t>)+(X</t>
    </r>
    <r>
      <rPr>
        <vertAlign val="subscript"/>
        <sz val="11"/>
        <rFont val="Calibri"/>
        <family val="2"/>
        <scheme val="minor"/>
      </rPr>
      <t>HFO,H,P</t>
    </r>
    <r>
      <rPr>
        <sz val="11"/>
        <rFont val="Calibri"/>
        <family val="2"/>
        <scheme val="minor"/>
      </rPr>
      <t>+X</t>
    </r>
    <r>
      <rPr>
        <vertAlign val="subscript"/>
        <sz val="11"/>
        <rFont val="Calibri"/>
        <family val="2"/>
        <scheme val="minor"/>
      </rPr>
      <t>HFO,H,P,old</t>
    </r>
    <r>
      <rPr>
        <sz val="11"/>
        <rFont val="Calibri"/>
        <family val="2"/>
        <scheme val="minor"/>
      </rPr>
      <t>)*ASF</t>
    </r>
    <r>
      <rPr>
        <vertAlign val="subscript"/>
        <sz val="11"/>
        <rFont val="Calibri"/>
        <family val="2"/>
        <scheme val="minor"/>
      </rPr>
      <t>HFO,H</t>
    </r>
    <r>
      <rPr>
        <sz val="11"/>
        <rFont val="Calibri"/>
        <family val="2"/>
        <scheme val="minor"/>
      </rPr>
      <t>*(MM</t>
    </r>
    <r>
      <rPr>
        <vertAlign val="subscript"/>
        <sz val="11"/>
        <rFont val="Calibri"/>
        <family val="2"/>
        <scheme val="minor"/>
      </rPr>
      <t>PO4</t>
    </r>
    <r>
      <rPr>
        <sz val="11"/>
        <rFont val="Calibri"/>
        <family val="2"/>
        <scheme val="minor"/>
      </rPr>
      <t>/AM</t>
    </r>
    <r>
      <rPr>
        <vertAlign val="subscript"/>
        <sz val="11"/>
        <rFont val="Calibri"/>
        <family val="2"/>
        <scheme val="minor"/>
      </rPr>
      <t>Fe</t>
    </r>
    <r>
      <rPr>
        <sz val="11"/>
        <rFont val="Calibri"/>
        <family val="2"/>
        <scheme val="minor"/>
      </rPr>
      <t>)</t>
    </r>
  </si>
  <si>
    <r>
      <t>(ASF</t>
    </r>
    <r>
      <rPr>
        <vertAlign val="subscript"/>
        <sz val="11"/>
        <rFont val="Calibri"/>
        <family val="2"/>
      </rPr>
      <t>HFO,H</t>
    </r>
    <r>
      <rPr>
        <sz val="11"/>
        <rFont val="Calibri"/>
        <family val="2"/>
      </rPr>
      <t>*(AM</t>
    </r>
    <r>
      <rPr>
        <vertAlign val="subscript"/>
        <sz val="11"/>
        <rFont val="Calibri"/>
        <family val="2"/>
      </rPr>
      <t>P</t>
    </r>
    <r>
      <rPr>
        <sz val="11"/>
        <rFont val="Calibri"/>
        <family val="2"/>
      </rPr>
      <t>/AM</t>
    </r>
    <r>
      <rPr>
        <vertAlign val="subscript"/>
        <sz val="11"/>
        <rFont val="Calibri"/>
        <family val="2"/>
      </rPr>
      <t>Fe</t>
    </r>
    <r>
      <rPr>
        <sz val="11"/>
        <rFont val="Calibri"/>
        <family val="2"/>
      </rPr>
      <t>))</t>
    </r>
  </si>
  <si>
    <r>
      <t>(ASF</t>
    </r>
    <r>
      <rPr>
        <vertAlign val="subscript"/>
        <sz val="11"/>
        <rFont val="Calibri"/>
        <family val="2"/>
      </rPr>
      <t>HFO,L</t>
    </r>
    <r>
      <rPr>
        <sz val="11"/>
        <rFont val="Calibri"/>
        <family val="2"/>
      </rPr>
      <t>*(AM</t>
    </r>
    <r>
      <rPr>
        <vertAlign val="subscript"/>
        <sz val="11"/>
        <rFont val="Calibri"/>
        <family val="2"/>
      </rPr>
      <t>P</t>
    </r>
    <r>
      <rPr>
        <sz val="11"/>
        <rFont val="Calibri"/>
        <family val="2"/>
      </rPr>
      <t>/AM</t>
    </r>
    <r>
      <rPr>
        <vertAlign val="subscript"/>
        <sz val="11"/>
        <rFont val="Calibri"/>
        <family val="2"/>
      </rPr>
      <t>Fe</t>
    </r>
    <r>
      <rPr>
        <sz val="11"/>
        <rFont val="Calibri"/>
        <family val="2"/>
      </rPr>
      <t>))</t>
    </r>
  </si>
  <si>
    <r>
      <t>-1/(ASF</t>
    </r>
    <r>
      <rPr>
        <vertAlign val="subscript"/>
        <sz val="11"/>
        <rFont val="Calibri"/>
        <family val="2"/>
      </rPr>
      <t>HFO,H</t>
    </r>
    <r>
      <rPr>
        <sz val="11"/>
        <rFont val="Calibri"/>
        <family val="2"/>
      </rPr>
      <t>*(AM</t>
    </r>
    <r>
      <rPr>
        <vertAlign val="subscript"/>
        <sz val="11"/>
        <rFont val="Calibri"/>
        <family val="2"/>
      </rPr>
      <t>P</t>
    </r>
    <r>
      <rPr>
        <sz val="11"/>
        <rFont val="Calibri"/>
        <family val="2"/>
      </rPr>
      <t>/AM</t>
    </r>
    <r>
      <rPr>
        <vertAlign val="subscript"/>
        <sz val="11"/>
        <rFont val="Calibri"/>
        <family val="2"/>
      </rPr>
      <t>Fe</t>
    </r>
    <r>
      <rPr>
        <sz val="11"/>
        <rFont val="Calibri"/>
        <family val="2"/>
      </rPr>
      <t>))</t>
    </r>
  </si>
  <si>
    <r>
      <t>-1/(ASF</t>
    </r>
    <r>
      <rPr>
        <vertAlign val="subscript"/>
        <sz val="11"/>
        <rFont val="Calibri"/>
        <family val="2"/>
      </rPr>
      <t>HFO,L</t>
    </r>
    <r>
      <rPr>
        <sz val="11"/>
        <rFont val="Calibri"/>
        <family val="2"/>
      </rPr>
      <t>*(AM</t>
    </r>
    <r>
      <rPr>
        <vertAlign val="subscript"/>
        <sz val="11"/>
        <rFont val="Calibri"/>
        <family val="2"/>
      </rPr>
      <t>P</t>
    </r>
    <r>
      <rPr>
        <sz val="11"/>
        <rFont val="Calibri"/>
        <family val="2"/>
      </rPr>
      <t>/AM</t>
    </r>
    <r>
      <rPr>
        <vertAlign val="subscript"/>
        <sz val="11"/>
        <rFont val="Calibri"/>
        <family val="2"/>
      </rPr>
      <t>Fe</t>
    </r>
    <r>
      <rPr>
        <sz val="11"/>
        <rFont val="Calibri"/>
        <family val="2"/>
      </rPr>
      <t>))</t>
    </r>
  </si>
  <si>
    <r>
      <t>1/(ASF</t>
    </r>
    <r>
      <rPr>
        <vertAlign val="subscript"/>
        <sz val="11"/>
        <rFont val="Calibri"/>
        <family val="2"/>
      </rPr>
      <t>HFO,H</t>
    </r>
    <r>
      <rPr>
        <sz val="11"/>
        <rFont val="Calibri"/>
        <family val="2"/>
      </rPr>
      <t>*(AM</t>
    </r>
    <r>
      <rPr>
        <vertAlign val="subscript"/>
        <sz val="11"/>
        <rFont val="Calibri"/>
        <family val="2"/>
      </rPr>
      <t>P</t>
    </r>
    <r>
      <rPr>
        <sz val="11"/>
        <rFont val="Calibri"/>
        <family val="2"/>
      </rPr>
      <t>/AM</t>
    </r>
    <r>
      <rPr>
        <vertAlign val="subscript"/>
        <sz val="11"/>
        <rFont val="Calibri"/>
        <family val="2"/>
      </rPr>
      <t>Fe</t>
    </r>
    <r>
      <rPr>
        <sz val="11"/>
        <rFont val="Calibri"/>
        <family val="2"/>
      </rPr>
      <t>))</t>
    </r>
  </si>
  <si>
    <r>
      <t>1/(ASF</t>
    </r>
    <r>
      <rPr>
        <vertAlign val="subscript"/>
        <sz val="11"/>
        <rFont val="Calibri"/>
        <family val="2"/>
      </rPr>
      <t>HFO,L</t>
    </r>
    <r>
      <rPr>
        <sz val="11"/>
        <rFont val="Calibri"/>
        <family val="2"/>
      </rPr>
      <t>*(AM</t>
    </r>
    <r>
      <rPr>
        <vertAlign val="subscript"/>
        <sz val="11"/>
        <rFont val="Calibri"/>
        <family val="2"/>
      </rPr>
      <t>P</t>
    </r>
    <r>
      <rPr>
        <sz val="11"/>
        <rFont val="Calibri"/>
        <family val="2"/>
      </rPr>
      <t>/AM</t>
    </r>
    <r>
      <rPr>
        <vertAlign val="subscript"/>
        <sz val="11"/>
        <rFont val="Calibri"/>
        <family val="2"/>
      </rPr>
      <t>Fe</t>
    </r>
    <r>
      <rPr>
        <sz val="11"/>
        <rFont val="Calibri"/>
        <family val="2"/>
      </rPr>
      <t>))</t>
    </r>
  </si>
  <si>
    <r>
      <t>ASF</t>
    </r>
    <r>
      <rPr>
        <vertAlign val="subscript"/>
        <sz val="11"/>
        <rFont val="Calibri"/>
        <family val="2"/>
        <scheme val="minor"/>
      </rPr>
      <t>HFO,H</t>
    </r>
    <r>
      <rPr>
        <sz val="11"/>
        <rFont val="Calibri"/>
        <family val="2"/>
        <scheme val="minor"/>
      </rPr>
      <t>*(AM</t>
    </r>
    <r>
      <rPr>
        <vertAlign val="subscript"/>
        <sz val="11"/>
        <rFont val="Calibri"/>
        <family val="2"/>
        <scheme val="minor"/>
      </rPr>
      <t>P</t>
    </r>
    <r>
      <rPr>
        <sz val="11"/>
        <rFont val="Calibri"/>
        <family val="2"/>
        <scheme val="minor"/>
      </rPr>
      <t>/AM</t>
    </r>
    <r>
      <rPr>
        <vertAlign val="subscript"/>
        <sz val="11"/>
        <rFont val="Calibri"/>
        <family val="2"/>
        <scheme val="minor"/>
      </rPr>
      <t>Fe</t>
    </r>
    <r>
      <rPr>
        <sz val="11"/>
        <rFont val="Calibri"/>
        <family val="2"/>
        <scheme val="minor"/>
      </rPr>
      <t>)</t>
    </r>
  </si>
  <si>
    <r>
      <t>ASF</t>
    </r>
    <r>
      <rPr>
        <vertAlign val="subscript"/>
        <sz val="11"/>
        <rFont val="Calibri"/>
        <family val="2"/>
        <scheme val="minor"/>
      </rPr>
      <t>HFO,L</t>
    </r>
    <r>
      <rPr>
        <sz val="11"/>
        <rFont val="Calibri"/>
        <family val="2"/>
        <scheme val="minor"/>
      </rPr>
      <t>*(AM</t>
    </r>
    <r>
      <rPr>
        <vertAlign val="subscript"/>
        <sz val="11"/>
        <rFont val="Calibri"/>
        <family val="2"/>
        <scheme val="minor"/>
      </rPr>
      <t>P</t>
    </r>
    <r>
      <rPr>
        <sz val="11"/>
        <rFont val="Calibri"/>
        <family val="2"/>
        <scheme val="minor"/>
      </rPr>
      <t>/AM</t>
    </r>
    <r>
      <rPr>
        <vertAlign val="subscript"/>
        <sz val="11"/>
        <rFont val="Calibri"/>
        <family val="2"/>
        <scheme val="minor"/>
      </rPr>
      <t>Fe</t>
    </r>
    <r>
      <rPr>
        <sz val="11"/>
        <rFont val="Calibri"/>
        <family val="2"/>
        <scheme val="minor"/>
      </rPr>
      <t>)</t>
    </r>
  </si>
  <si>
    <r>
      <t>(ASF</t>
    </r>
    <r>
      <rPr>
        <vertAlign val="subscript"/>
        <sz val="11"/>
        <rFont val="Calibri"/>
        <family val="2"/>
      </rPr>
      <t>HFO,H</t>
    </r>
    <r>
      <rPr>
        <sz val="11"/>
        <rFont val="Calibri"/>
        <family val="2"/>
      </rPr>
      <t>*(AM</t>
    </r>
    <r>
      <rPr>
        <vertAlign val="subscript"/>
        <sz val="11"/>
        <rFont val="Calibri"/>
        <family val="2"/>
      </rPr>
      <t>P</t>
    </r>
    <r>
      <rPr>
        <sz val="11"/>
        <rFont val="Calibri"/>
        <family val="2"/>
      </rPr>
      <t>/AM</t>
    </r>
    <r>
      <rPr>
        <vertAlign val="subscript"/>
        <sz val="11"/>
        <rFont val="Calibri"/>
        <family val="2"/>
      </rPr>
      <t>Fe</t>
    </r>
    <r>
      <rPr>
        <sz val="11"/>
        <rFont val="Calibri"/>
        <family val="2"/>
      </rPr>
      <t>))*X</t>
    </r>
    <r>
      <rPr>
        <vertAlign val="subscript"/>
        <sz val="11"/>
        <rFont val="Calibri"/>
        <family val="2"/>
      </rPr>
      <t>HFO,H,P,old</t>
    </r>
    <r>
      <rPr>
        <sz val="11"/>
        <rFont val="Calibri"/>
        <family val="2"/>
      </rPr>
      <t>/(X</t>
    </r>
    <r>
      <rPr>
        <vertAlign val="subscript"/>
        <sz val="11"/>
        <rFont val="Calibri"/>
        <family val="2"/>
      </rPr>
      <t>HFO,H,P,old</t>
    </r>
    <r>
      <rPr>
        <sz val="11"/>
        <rFont val="Calibri"/>
        <family val="2"/>
      </rPr>
      <t>+X</t>
    </r>
    <r>
      <rPr>
        <vertAlign val="subscript"/>
        <sz val="11"/>
        <rFont val="Calibri"/>
        <family val="2"/>
      </rPr>
      <t>HFO,L,P,old</t>
    </r>
    <r>
      <rPr>
        <sz val="11"/>
        <rFont val="Calibri"/>
        <family val="2"/>
      </rPr>
      <t>)+(ASF</t>
    </r>
    <r>
      <rPr>
        <vertAlign val="subscript"/>
        <sz val="11"/>
        <rFont val="Calibri"/>
        <family val="2"/>
      </rPr>
      <t>HFO,L</t>
    </r>
    <r>
      <rPr>
        <sz val="11"/>
        <rFont val="Calibri"/>
        <family val="2"/>
      </rPr>
      <t>*(AM</t>
    </r>
    <r>
      <rPr>
        <vertAlign val="subscript"/>
        <sz val="11"/>
        <rFont val="Calibri"/>
        <family val="2"/>
      </rPr>
      <t>P</t>
    </r>
    <r>
      <rPr>
        <sz val="11"/>
        <rFont val="Calibri"/>
        <family val="2"/>
      </rPr>
      <t>/AM</t>
    </r>
    <r>
      <rPr>
        <vertAlign val="subscript"/>
        <sz val="11"/>
        <rFont val="Calibri"/>
        <family val="2"/>
      </rPr>
      <t>Fe</t>
    </r>
    <r>
      <rPr>
        <sz val="11"/>
        <rFont val="Calibri"/>
        <family val="2"/>
      </rPr>
      <t>))*X</t>
    </r>
    <r>
      <rPr>
        <vertAlign val="subscript"/>
        <sz val="11"/>
        <rFont val="Calibri"/>
        <family val="2"/>
      </rPr>
      <t>HFO,L,P,old</t>
    </r>
    <r>
      <rPr>
        <sz val="11"/>
        <rFont val="Calibri"/>
        <family val="2"/>
      </rPr>
      <t>/(X</t>
    </r>
    <r>
      <rPr>
        <vertAlign val="subscript"/>
        <sz val="11"/>
        <rFont val="Calibri"/>
        <family val="2"/>
      </rPr>
      <t>HFO,H,P,old</t>
    </r>
    <r>
      <rPr>
        <sz val="11"/>
        <rFont val="Calibri"/>
        <family val="2"/>
      </rPr>
      <t>+X</t>
    </r>
    <r>
      <rPr>
        <vertAlign val="subscript"/>
        <sz val="11"/>
        <rFont val="Calibri"/>
        <family val="2"/>
      </rPr>
      <t>HFO,L,P,old</t>
    </r>
    <r>
      <rPr>
        <sz val="11"/>
        <rFont val="Calibri"/>
        <family val="2"/>
      </rPr>
      <t>)</t>
    </r>
  </si>
  <si>
    <r>
      <t>-i</t>
    </r>
    <r>
      <rPr>
        <vertAlign val="subscript"/>
        <sz val="11"/>
        <rFont val="Calibri"/>
        <family val="2"/>
      </rPr>
      <t>K,PP</t>
    </r>
    <r>
      <rPr>
        <sz val="11"/>
        <rFont val="Calibri"/>
        <family val="2"/>
      </rPr>
      <t>*AM</t>
    </r>
    <r>
      <rPr>
        <vertAlign val="subscript"/>
        <sz val="11"/>
        <rFont val="Calibri"/>
        <family val="2"/>
      </rPr>
      <t>K</t>
    </r>
    <r>
      <rPr>
        <sz val="11"/>
        <rFont val="Calibri"/>
        <family val="2"/>
      </rPr>
      <t>/AM</t>
    </r>
    <r>
      <rPr>
        <vertAlign val="subscript"/>
        <sz val="11"/>
        <rFont val="Calibri"/>
        <family val="2"/>
      </rPr>
      <t>P</t>
    </r>
  </si>
  <si>
    <r>
      <t>q</t>
    </r>
    <r>
      <rPr>
        <vertAlign val="subscript"/>
        <sz val="11"/>
        <rFont val="Calibri"/>
        <family val="2"/>
      </rPr>
      <t>P,HFO,BIND</t>
    </r>
    <r>
      <rPr>
        <sz val="11"/>
        <rFont val="Calibri"/>
        <family val="2"/>
      </rPr>
      <t>*X</t>
    </r>
    <r>
      <rPr>
        <vertAlign val="subscript"/>
        <sz val="11"/>
        <rFont val="Calibri"/>
        <family val="2"/>
      </rPr>
      <t>HFO,L</t>
    </r>
    <r>
      <rPr>
        <sz val="11"/>
        <rFont val="Calibri"/>
        <family val="2"/>
      </rPr>
      <t>*Msat</t>
    </r>
    <r>
      <rPr>
        <vertAlign val="subscript"/>
        <sz val="11"/>
        <rFont val="Calibri"/>
        <family val="2"/>
      </rPr>
      <t>SPO4,KP,HFO,BIND</t>
    </r>
  </si>
  <si>
    <r>
      <t>q</t>
    </r>
    <r>
      <rPr>
        <vertAlign val="subscript"/>
        <sz val="11"/>
        <rFont val="Calibri"/>
        <family val="2"/>
      </rPr>
      <t>P,HFO,COPREC</t>
    </r>
    <r>
      <rPr>
        <sz val="11"/>
        <rFont val="Calibri"/>
        <family val="2"/>
      </rPr>
      <t>*X</t>
    </r>
    <r>
      <rPr>
        <vertAlign val="subscript"/>
        <sz val="11"/>
        <rFont val="Calibri"/>
        <family val="2"/>
      </rPr>
      <t>HFO,H</t>
    </r>
    <r>
      <rPr>
        <sz val="11"/>
        <rFont val="Calibri"/>
        <family val="2"/>
      </rPr>
      <t>*Msat</t>
    </r>
    <r>
      <rPr>
        <vertAlign val="subscript"/>
        <sz val="11"/>
        <rFont val="Calibri"/>
        <family val="2"/>
      </rPr>
      <t>SPO4,KP,HFO,BIND</t>
    </r>
  </si>
  <si>
    <r>
      <t>q</t>
    </r>
    <r>
      <rPr>
        <vertAlign val="subscript"/>
        <sz val="11"/>
        <rFont val="Calibri"/>
        <family val="2"/>
        <scheme val="minor"/>
      </rPr>
      <t>P,HAO,COPREC</t>
    </r>
  </si>
  <si>
    <r>
      <t>q</t>
    </r>
    <r>
      <rPr>
        <vertAlign val="subscript"/>
        <sz val="11"/>
        <rFont val="Calibri"/>
        <family val="2"/>
        <scheme val="minor"/>
      </rPr>
      <t>P,HAO,BIND</t>
    </r>
  </si>
  <si>
    <r>
      <t>q</t>
    </r>
    <r>
      <rPr>
        <vertAlign val="subscript"/>
        <sz val="11"/>
        <rFont val="Calibri"/>
        <family val="2"/>
        <scheme val="minor"/>
      </rPr>
      <t>P,HFO,COPREC</t>
    </r>
  </si>
  <si>
    <r>
      <t>q</t>
    </r>
    <r>
      <rPr>
        <vertAlign val="subscript"/>
        <sz val="11"/>
        <rFont val="Calibri"/>
        <family val="2"/>
        <scheme val="minor"/>
      </rPr>
      <t>P,HFO,BIND</t>
    </r>
  </si>
  <si>
    <r>
      <t>q</t>
    </r>
    <r>
      <rPr>
        <vertAlign val="subscript"/>
        <sz val="11"/>
        <rFont val="Calibri"/>
        <family val="2"/>
      </rPr>
      <t>P,HAO,COPREC</t>
    </r>
    <r>
      <rPr>
        <sz val="11"/>
        <rFont val="Calibri"/>
        <family val="2"/>
      </rPr>
      <t>*X</t>
    </r>
    <r>
      <rPr>
        <vertAlign val="subscript"/>
        <sz val="11"/>
        <rFont val="Calibri"/>
        <family val="2"/>
      </rPr>
      <t>HAO,H</t>
    </r>
    <r>
      <rPr>
        <sz val="11"/>
        <rFont val="Calibri"/>
        <family val="2"/>
      </rPr>
      <t>*Msat</t>
    </r>
    <r>
      <rPr>
        <vertAlign val="subscript"/>
        <sz val="11"/>
        <rFont val="Calibri"/>
        <family val="2"/>
      </rPr>
      <t>SPO4,KP,HAO,BIND</t>
    </r>
  </si>
  <si>
    <r>
      <t>q</t>
    </r>
    <r>
      <rPr>
        <vertAlign val="subscript"/>
        <sz val="11"/>
        <rFont val="Calibri"/>
        <family val="2"/>
      </rPr>
      <t>P,HAO,BIND</t>
    </r>
    <r>
      <rPr>
        <sz val="11"/>
        <rFont val="Calibri"/>
        <family val="2"/>
      </rPr>
      <t>*X</t>
    </r>
    <r>
      <rPr>
        <vertAlign val="subscript"/>
        <sz val="11"/>
        <rFont val="Calibri"/>
        <family val="2"/>
      </rPr>
      <t>HAO,L</t>
    </r>
    <r>
      <rPr>
        <sz val="11"/>
        <rFont val="Calibri"/>
        <family val="2"/>
      </rPr>
      <t>*Msat</t>
    </r>
    <r>
      <rPr>
        <vertAlign val="subscript"/>
        <sz val="11"/>
        <rFont val="Calibri"/>
        <family val="2"/>
      </rPr>
      <t>SPO4,KP,HAO,BIND</t>
    </r>
  </si>
  <si>
    <r>
      <t>q</t>
    </r>
    <r>
      <rPr>
        <vertAlign val="subscript"/>
        <sz val="11"/>
        <rFont val="Calibri"/>
        <family val="2"/>
      </rPr>
      <t>HFOL,DESORP</t>
    </r>
    <r>
      <rPr>
        <sz val="11"/>
        <rFont val="Calibri"/>
        <family val="2"/>
      </rPr>
      <t>*X</t>
    </r>
    <r>
      <rPr>
        <vertAlign val="subscript"/>
        <sz val="11"/>
        <rFont val="Calibri"/>
        <family val="2"/>
      </rPr>
      <t>HFO,L,P</t>
    </r>
    <r>
      <rPr>
        <sz val="11"/>
        <rFont val="Calibri"/>
        <family val="2"/>
      </rPr>
      <t>*Minh</t>
    </r>
    <r>
      <rPr>
        <vertAlign val="subscript"/>
        <sz val="11"/>
        <rFont val="Calibri"/>
        <family val="2"/>
      </rPr>
      <t>SPO4,KiP,HFO,DESORP</t>
    </r>
  </si>
  <si>
    <r>
      <t>g.m</t>
    </r>
    <r>
      <rPr>
        <vertAlign val="superscript"/>
        <sz val="11"/>
        <rFont val="Calibri"/>
        <family val="2"/>
      </rPr>
      <t>-3</t>
    </r>
    <r>
      <rPr>
        <sz val="11"/>
        <rFont val="Calibri"/>
        <family val="2"/>
      </rPr>
      <t>.d</t>
    </r>
    <r>
      <rPr>
        <vertAlign val="superscript"/>
        <sz val="11"/>
        <rFont val="Calibri"/>
        <family val="2"/>
      </rPr>
      <t>-1</t>
    </r>
    <r>
      <rPr>
        <sz val="11"/>
        <color theme="1"/>
        <rFont val="Calibri"/>
        <family val="2"/>
        <scheme val="minor"/>
      </rPr>
      <t/>
    </r>
  </si>
  <si>
    <r>
      <t>ASF</t>
    </r>
    <r>
      <rPr>
        <vertAlign val="subscript"/>
        <sz val="11"/>
        <rFont val="Calibri"/>
        <family val="2"/>
        <scheme val="minor"/>
      </rPr>
      <t>HAO,H</t>
    </r>
    <r>
      <rPr>
        <sz val="11"/>
        <rFont val="Calibri"/>
        <family val="2"/>
        <scheme val="minor"/>
      </rPr>
      <t>*(AM</t>
    </r>
    <r>
      <rPr>
        <vertAlign val="subscript"/>
        <sz val="11"/>
        <rFont val="Calibri"/>
        <family val="2"/>
        <scheme val="minor"/>
      </rPr>
      <t>P</t>
    </r>
    <r>
      <rPr>
        <sz val="11"/>
        <rFont val="Calibri"/>
        <family val="2"/>
        <scheme val="minor"/>
      </rPr>
      <t>/AM</t>
    </r>
    <r>
      <rPr>
        <vertAlign val="subscript"/>
        <sz val="11"/>
        <rFont val="Calibri"/>
        <family val="2"/>
        <scheme val="minor"/>
      </rPr>
      <t>Al</t>
    </r>
    <r>
      <rPr>
        <sz val="11"/>
        <rFont val="Calibri"/>
        <family val="2"/>
        <scheme val="minor"/>
      </rPr>
      <t>)</t>
    </r>
  </si>
  <si>
    <r>
      <t>ASF</t>
    </r>
    <r>
      <rPr>
        <vertAlign val="subscript"/>
        <sz val="11"/>
        <rFont val="Calibri"/>
        <family val="2"/>
        <scheme val="minor"/>
      </rPr>
      <t>HAO,L</t>
    </r>
    <r>
      <rPr>
        <sz val="11"/>
        <rFont val="Calibri"/>
        <family val="2"/>
        <scheme val="minor"/>
      </rPr>
      <t>*(AM</t>
    </r>
    <r>
      <rPr>
        <vertAlign val="subscript"/>
        <sz val="11"/>
        <rFont val="Calibri"/>
        <family val="2"/>
        <scheme val="minor"/>
      </rPr>
      <t>P</t>
    </r>
    <r>
      <rPr>
        <sz val="11"/>
        <rFont val="Calibri"/>
        <family val="2"/>
        <scheme val="minor"/>
      </rPr>
      <t>/AM</t>
    </r>
    <r>
      <rPr>
        <vertAlign val="subscript"/>
        <sz val="11"/>
        <rFont val="Calibri"/>
        <family val="2"/>
        <scheme val="minor"/>
      </rPr>
      <t>Al</t>
    </r>
    <r>
      <rPr>
        <sz val="11"/>
        <rFont val="Calibri"/>
        <family val="2"/>
        <scheme val="minor"/>
      </rPr>
      <t>)</t>
    </r>
  </si>
  <si>
    <t>Interstitial water content</t>
  </si>
  <si>
    <r>
      <t>i</t>
    </r>
    <r>
      <rPr>
        <vertAlign val="subscript"/>
        <sz val="11"/>
        <rFont val="Calibri"/>
        <family val="2"/>
        <scheme val="minor"/>
      </rPr>
      <t>iw,BIO</t>
    </r>
  </si>
  <si>
    <r>
      <t>g H2O.g VS</t>
    </r>
    <r>
      <rPr>
        <vertAlign val="superscript"/>
        <sz val="11"/>
        <rFont val="Calibri"/>
        <family val="2"/>
        <scheme val="minor"/>
      </rPr>
      <t>-1</t>
    </r>
  </si>
  <si>
    <t>Vicinal water content</t>
  </si>
  <si>
    <r>
      <t>i</t>
    </r>
    <r>
      <rPr>
        <vertAlign val="subscript"/>
        <sz val="11"/>
        <rFont val="Calibri"/>
        <family val="2"/>
        <scheme val="minor"/>
      </rPr>
      <t>vw,XB</t>
    </r>
  </si>
  <si>
    <t>Vicinal water of biodegradable substrate in volatile solids</t>
  </si>
  <si>
    <t>Assuming 5% of H2O is associated with vicinal water for these organics</t>
  </si>
  <si>
    <r>
      <t>i</t>
    </r>
    <r>
      <rPr>
        <vertAlign val="subscript"/>
        <sz val="11"/>
        <rFont val="Calibri"/>
        <family val="2"/>
        <scheme val="minor"/>
      </rPr>
      <t>vw,XU</t>
    </r>
  </si>
  <si>
    <t>Vicinal water of particulate unbiodegradable organics in volatile solids</t>
  </si>
  <si>
    <r>
      <t>i</t>
    </r>
    <r>
      <rPr>
        <vertAlign val="subscript"/>
        <sz val="11"/>
        <rFont val="Calibri"/>
        <family val="2"/>
        <scheme val="minor"/>
      </rPr>
      <t>vw,BIO</t>
    </r>
  </si>
  <si>
    <t>Vicinal water of biomass in volatile solids</t>
  </si>
  <si>
    <r>
      <t>i</t>
    </r>
    <r>
      <rPr>
        <vertAlign val="subscript"/>
        <sz val="11"/>
        <rFont val="Calibri"/>
        <family val="2"/>
        <scheme val="minor"/>
      </rPr>
      <t>vw,XE</t>
    </r>
  </si>
  <si>
    <t>Vicinal water of endogenous products in volatile solids</t>
  </si>
  <si>
    <r>
      <t>i</t>
    </r>
    <r>
      <rPr>
        <vertAlign val="subscript"/>
        <sz val="11"/>
        <rFont val="Calibri"/>
        <family val="2"/>
        <scheme val="minor"/>
      </rPr>
      <t>vw,CB</t>
    </r>
  </si>
  <si>
    <t>Vicinal water of colloidal biodegradable substrate in volatile solids</t>
  </si>
  <si>
    <r>
      <t>i</t>
    </r>
    <r>
      <rPr>
        <vertAlign val="subscript"/>
        <sz val="11"/>
        <rFont val="Calibri"/>
        <family val="2"/>
        <scheme val="minor"/>
      </rPr>
      <t>vw,CU</t>
    </r>
  </si>
  <si>
    <t>Vicinal water of colloidal unbiodegradable organics in volatile solids</t>
  </si>
  <si>
    <r>
      <t>i</t>
    </r>
    <r>
      <rPr>
        <vertAlign val="subscript"/>
        <sz val="11"/>
        <rFont val="Calibri"/>
        <family val="2"/>
        <scheme val="minor"/>
      </rPr>
      <t>vw,PHA</t>
    </r>
  </si>
  <si>
    <t>Vicinal water of PHA in volatile solids</t>
  </si>
  <si>
    <r>
      <t>i</t>
    </r>
    <r>
      <rPr>
        <vertAlign val="subscript"/>
        <sz val="11"/>
        <rFont val="Calibri"/>
        <family val="2"/>
        <scheme val="minor"/>
      </rPr>
      <t>vw,EPS</t>
    </r>
  </si>
  <si>
    <t>Vicinal water correction of EPS in volatile solids</t>
  </si>
  <si>
    <t>Water of Hydration content</t>
  </si>
  <si>
    <r>
      <t>i</t>
    </r>
    <r>
      <rPr>
        <vertAlign val="subscript"/>
        <sz val="11"/>
        <rFont val="Calibri"/>
        <family val="2"/>
        <scheme val="minor"/>
      </rPr>
      <t>wh,XB</t>
    </r>
  </si>
  <si>
    <t>Water of hydration of biodegradable substrate in volatile solids</t>
  </si>
  <si>
    <t>Assuming 10% of H2O is associated with water of hydration</t>
  </si>
  <si>
    <r>
      <t>i</t>
    </r>
    <r>
      <rPr>
        <vertAlign val="subscript"/>
        <sz val="11"/>
        <rFont val="Calibri"/>
        <family val="2"/>
        <scheme val="minor"/>
      </rPr>
      <t>wh,XU</t>
    </r>
  </si>
  <si>
    <t>Water of hydration of particulate unbiodegradable organics in volatile solids</t>
  </si>
  <si>
    <r>
      <t>i</t>
    </r>
    <r>
      <rPr>
        <vertAlign val="subscript"/>
        <sz val="11"/>
        <rFont val="Calibri"/>
        <family val="2"/>
        <scheme val="minor"/>
      </rPr>
      <t>wh,BIO</t>
    </r>
  </si>
  <si>
    <t>Water of hydration of biomass in volatile solids</t>
  </si>
  <si>
    <r>
      <t>i</t>
    </r>
    <r>
      <rPr>
        <vertAlign val="subscript"/>
        <sz val="11"/>
        <rFont val="Calibri"/>
        <family val="2"/>
        <scheme val="minor"/>
      </rPr>
      <t>wh,XE</t>
    </r>
  </si>
  <si>
    <t>Water of hydration of endogenous products in volatile solids</t>
  </si>
  <si>
    <r>
      <t>i</t>
    </r>
    <r>
      <rPr>
        <vertAlign val="subscript"/>
        <sz val="11"/>
        <rFont val="Calibri"/>
        <family val="2"/>
        <scheme val="minor"/>
      </rPr>
      <t>wh,PHA</t>
    </r>
  </si>
  <si>
    <t>Water of hydration of PHA in volatile solids</t>
  </si>
  <si>
    <t>Assuming 15% of H2O is associated with water of hydration</t>
  </si>
  <si>
    <r>
      <t>i</t>
    </r>
    <r>
      <rPr>
        <vertAlign val="subscript"/>
        <sz val="11"/>
        <rFont val="Calibri"/>
        <family val="2"/>
        <scheme val="minor"/>
      </rPr>
      <t>wh,EPS</t>
    </r>
  </si>
  <si>
    <t>Water of hydration correction of EPS in volatile solids</t>
  </si>
  <si>
    <t>Assuming 25% of H2O is associated with water of hydration</t>
  </si>
  <si>
    <t>High purity oxygen</t>
  </si>
  <si>
    <r>
      <t>f</t>
    </r>
    <r>
      <rPr>
        <vertAlign val="subscript"/>
        <sz val="11"/>
        <rFont val="Calibri"/>
        <family val="2"/>
        <scheme val="minor"/>
      </rPr>
      <t>bw,floc</t>
    </r>
  </si>
  <si>
    <t>Fraction of bound water</t>
  </si>
  <si>
    <t>previously 0.05 (0.15 for Lopez et al. 2006; Hao et al., 2010)</t>
  </si>
  <si>
    <t>previously -100</t>
  </si>
  <si>
    <t>MABR offgas</t>
  </si>
  <si>
    <r>
      <t>PUR</t>
    </r>
    <r>
      <rPr>
        <vertAlign val="subscript"/>
        <sz val="11"/>
        <rFont val="Calibri"/>
        <family val="2"/>
        <scheme val="minor"/>
      </rPr>
      <t>BIOP</t>
    </r>
  </si>
  <si>
    <t>Phosphorus uptake rate of PAO (PURBIOP)</t>
  </si>
  <si>
    <t>Effluent</t>
  </si>
  <si>
    <t>-Damp(chargebalance)</t>
  </si>
  <si>
    <r>
      <t>S</t>
    </r>
    <r>
      <rPr>
        <vertAlign val="subscript"/>
        <sz val="11"/>
        <rFont val="Calibri"/>
        <family val="2"/>
        <scheme val="minor"/>
      </rPr>
      <t>Ca</t>
    </r>
    <r>
      <rPr>
        <sz val="11"/>
        <rFont val="Calibri"/>
        <family val="2"/>
        <scheme val="minor"/>
      </rPr>
      <t>+i</t>
    </r>
    <r>
      <rPr>
        <vertAlign val="subscript"/>
        <sz val="11"/>
        <rFont val="Calibri"/>
        <family val="2"/>
        <scheme val="minor"/>
      </rPr>
      <t>Ca,PP</t>
    </r>
    <r>
      <rPr>
        <sz val="11"/>
        <rFont val="Calibri"/>
        <family val="2"/>
        <scheme val="minor"/>
      </rPr>
      <t>*AM</t>
    </r>
    <r>
      <rPr>
        <vertAlign val="subscript"/>
        <sz val="11"/>
        <rFont val="Calibri"/>
        <family val="2"/>
        <scheme val="minor"/>
      </rPr>
      <t>Ca</t>
    </r>
    <r>
      <rPr>
        <sz val="11"/>
        <rFont val="Calibri"/>
        <family val="2"/>
        <scheme val="minor"/>
      </rPr>
      <t>/AM</t>
    </r>
    <r>
      <rPr>
        <vertAlign val="subscript"/>
        <sz val="11"/>
        <rFont val="Calibri"/>
        <family val="2"/>
        <scheme val="minor"/>
      </rPr>
      <t>P</t>
    </r>
    <r>
      <rPr>
        <sz val="11"/>
        <rFont val="Calibri"/>
        <family val="2"/>
        <scheme val="minor"/>
      </rPr>
      <t>*X</t>
    </r>
    <r>
      <rPr>
        <vertAlign val="subscript"/>
        <sz val="11"/>
        <rFont val="Calibri"/>
        <family val="2"/>
        <scheme val="minor"/>
      </rPr>
      <t>PP</t>
    </r>
    <r>
      <rPr>
        <sz val="11"/>
        <rFont val="Calibri"/>
        <family val="2"/>
        <scheme val="minor"/>
      </rPr>
      <t>+i</t>
    </r>
    <r>
      <rPr>
        <vertAlign val="subscript"/>
        <sz val="11"/>
        <rFont val="Calibri"/>
        <family val="2"/>
        <scheme val="minor"/>
      </rPr>
      <t>Ca,INORG</t>
    </r>
    <r>
      <rPr>
        <sz val="11"/>
        <rFont val="Calibri"/>
        <family val="2"/>
        <scheme val="minor"/>
      </rPr>
      <t>*X</t>
    </r>
    <r>
      <rPr>
        <vertAlign val="subscript"/>
        <sz val="11"/>
        <rFont val="Calibri"/>
        <family val="2"/>
        <scheme val="minor"/>
      </rPr>
      <t>INORG</t>
    </r>
    <r>
      <rPr>
        <sz val="11"/>
        <rFont val="Calibri"/>
        <family val="2"/>
        <scheme val="minor"/>
      </rPr>
      <t>+X</t>
    </r>
    <r>
      <rPr>
        <vertAlign val="subscript"/>
        <sz val="11"/>
        <rFont val="Calibri"/>
        <family val="2"/>
        <scheme val="minor"/>
      </rPr>
      <t>ACP</t>
    </r>
    <r>
      <rPr>
        <sz val="11"/>
        <rFont val="Calibri"/>
        <family val="2"/>
        <scheme val="minor"/>
      </rPr>
      <t>*3*AM</t>
    </r>
    <r>
      <rPr>
        <vertAlign val="subscript"/>
        <sz val="11"/>
        <rFont val="Calibri"/>
        <family val="2"/>
        <scheme val="minor"/>
      </rPr>
      <t>Ca</t>
    </r>
    <r>
      <rPr>
        <sz val="11"/>
        <rFont val="Calibri"/>
        <family val="2"/>
        <scheme val="minor"/>
      </rPr>
      <t>/MM</t>
    </r>
    <r>
      <rPr>
        <vertAlign val="subscript"/>
        <sz val="11"/>
        <rFont val="Calibri"/>
        <family val="2"/>
        <scheme val="minor"/>
      </rPr>
      <t>ACP</t>
    </r>
    <r>
      <rPr>
        <sz val="11"/>
        <rFont val="Calibri"/>
        <family val="2"/>
        <scheme val="minor"/>
      </rPr>
      <t>+X</t>
    </r>
    <r>
      <rPr>
        <vertAlign val="subscript"/>
        <sz val="11"/>
        <rFont val="Calibri"/>
        <family val="2"/>
        <scheme val="minor"/>
      </rPr>
      <t>CaCO3</t>
    </r>
    <r>
      <rPr>
        <sz val="11"/>
        <rFont val="Calibri"/>
        <family val="2"/>
        <scheme val="minor"/>
      </rPr>
      <t>*AM</t>
    </r>
    <r>
      <rPr>
        <vertAlign val="subscript"/>
        <sz val="11"/>
        <rFont val="Calibri"/>
        <family val="2"/>
        <scheme val="minor"/>
      </rPr>
      <t>Ca</t>
    </r>
    <r>
      <rPr>
        <sz val="11"/>
        <rFont val="Calibri"/>
        <family val="2"/>
        <scheme val="minor"/>
      </rPr>
      <t>/MM</t>
    </r>
    <r>
      <rPr>
        <vertAlign val="subscript"/>
        <sz val="11"/>
        <rFont val="Calibri"/>
        <family val="2"/>
        <scheme val="minor"/>
      </rPr>
      <t>CaCO3</t>
    </r>
    <r>
      <rPr>
        <sz val="11"/>
        <rFont val="Calibri"/>
        <family val="2"/>
        <scheme val="minor"/>
      </rPr>
      <t>+X</t>
    </r>
    <r>
      <rPr>
        <vertAlign val="subscript"/>
        <sz val="11"/>
        <rFont val="Calibri"/>
        <family val="2"/>
        <scheme val="minor"/>
      </rPr>
      <t>BSH</t>
    </r>
    <r>
      <rPr>
        <sz val="11"/>
        <rFont val="Calibri"/>
        <family val="2"/>
        <scheme val="minor"/>
      </rPr>
      <t>*AM</t>
    </r>
    <r>
      <rPr>
        <vertAlign val="subscript"/>
        <sz val="11"/>
        <rFont val="Calibri"/>
        <family val="2"/>
        <scheme val="minor"/>
      </rPr>
      <t>Ca</t>
    </r>
    <r>
      <rPr>
        <sz val="11"/>
        <rFont val="Calibri"/>
        <family val="2"/>
        <scheme val="minor"/>
      </rPr>
      <t>/MM</t>
    </r>
    <r>
      <rPr>
        <vertAlign val="subscript"/>
        <sz val="11"/>
        <rFont val="Calibri"/>
        <family val="2"/>
        <scheme val="minor"/>
      </rPr>
      <t>BSH</t>
    </r>
  </si>
  <si>
    <t>Brushite precipitation</t>
  </si>
  <si>
    <r>
      <t>q</t>
    </r>
    <r>
      <rPr>
        <vertAlign val="subscript"/>
        <sz val="11"/>
        <rFont val="Calibri"/>
        <family val="2"/>
      </rPr>
      <t>HFO,RED,T</t>
    </r>
    <r>
      <rPr>
        <sz val="11"/>
        <rFont val="Calibri"/>
        <family val="2"/>
      </rPr>
      <t xml:space="preserve"> * X</t>
    </r>
    <r>
      <rPr>
        <vertAlign val="subscript"/>
        <sz val="11"/>
        <rFont val="Calibri"/>
        <family val="2"/>
      </rPr>
      <t>HFO</t>
    </r>
    <r>
      <rPr>
        <sz val="11"/>
        <rFont val="Calibri"/>
        <family val="2"/>
      </rPr>
      <t>*Loginh</t>
    </r>
    <r>
      <rPr>
        <vertAlign val="subscript"/>
        <sz val="11"/>
        <rFont val="Calibri"/>
        <family val="2"/>
      </rPr>
      <t>ORP,HFO</t>
    </r>
    <r>
      <rPr>
        <sz val="11"/>
        <rFont val="Calibri"/>
        <family val="2"/>
      </rPr>
      <t>*(Msat</t>
    </r>
    <r>
      <rPr>
        <vertAlign val="subscript"/>
        <sz val="11"/>
        <rFont val="Calibri"/>
        <family val="2"/>
      </rPr>
      <t>SB,KSB</t>
    </r>
    <r>
      <rPr>
        <sz val="11"/>
        <rFont val="Calibri"/>
        <family val="2"/>
      </rPr>
      <t>+Msat</t>
    </r>
    <r>
      <rPr>
        <vertAlign val="subscript"/>
        <sz val="11"/>
        <rFont val="Calibri"/>
        <family val="2"/>
      </rPr>
      <t>SVFA,KVFA</t>
    </r>
    <r>
      <rPr>
        <sz val="11"/>
        <rFont val="Calibri"/>
        <family val="2"/>
      </rPr>
      <t>)</t>
    </r>
  </si>
  <si>
    <r>
      <t>-X</t>
    </r>
    <r>
      <rPr>
        <vertAlign val="subscript"/>
        <sz val="11"/>
        <rFont val="Calibri"/>
        <family val="2"/>
      </rPr>
      <t>HFO,H</t>
    </r>
    <r>
      <rPr>
        <sz val="11"/>
        <rFont val="Calibri"/>
        <family val="2"/>
      </rPr>
      <t>/X</t>
    </r>
    <r>
      <rPr>
        <vertAlign val="subscript"/>
        <sz val="11"/>
        <rFont val="Calibri"/>
        <family val="2"/>
      </rPr>
      <t>HFO</t>
    </r>
  </si>
  <si>
    <r>
      <t>-X</t>
    </r>
    <r>
      <rPr>
        <vertAlign val="subscript"/>
        <sz val="11"/>
        <rFont val="Calibri"/>
        <family val="2"/>
      </rPr>
      <t>HFO,L</t>
    </r>
    <r>
      <rPr>
        <sz val="11"/>
        <rFont val="Calibri"/>
        <family val="2"/>
      </rPr>
      <t>/X</t>
    </r>
    <r>
      <rPr>
        <vertAlign val="subscript"/>
        <sz val="11"/>
        <rFont val="Calibri"/>
        <family val="2"/>
      </rPr>
      <t>HFO</t>
    </r>
  </si>
  <si>
    <r>
      <t>-X</t>
    </r>
    <r>
      <rPr>
        <vertAlign val="subscript"/>
        <sz val="11"/>
        <rFont val="Calibri"/>
        <family val="2"/>
      </rPr>
      <t>HFO,old</t>
    </r>
    <r>
      <rPr>
        <sz val="11"/>
        <rFont val="Calibri"/>
        <family val="2"/>
      </rPr>
      <t>/X</t>
    </r>
    <r>
      <rPr>
        <vertAlign val="subscript"/>
        <sz val="11"/>
        <rFont val="Calibri"/>
        <family val="2"/>
      </rPr>
      <t>HFO</t>
    </r>
  </si>
  <si>
    <r>
      <t>-X</t>
    </r>
    <r>
      <rPr>
        <vertAlign val="subscript"/>
        <sz val="11"/>
        <rFont val="Calibri"/>
        <family val="2"/>
      </rPr>
      <t>HFO,H,P</t>
    </r>
    <r>
      <rPr>
        <sz val="11"/>
        <rFont val="Calibri"/>
        <family val="2"/>
      </rPr>
      <t>/X</t>
    </r>
    <r>
      <rPr>
        <vertAlign val="subscript"/>
        <sz val="11"/>
        <rFont val="Calibri"/>
        <family val="2"/>
      </rPr>
      <t>HFO</t>
    </r>
  </si>
  <si>
    <r>
      <t>-X</t>
    </r>
    <r>
      <rPr>
        <vertAlign val="subscript"/>
        <sz val="11"/>
        <rFont val="Calibri"/>
        <family val="2"/>
      </rPr>
      <t>HFO,L,P</t>
    </r>
    <r>
      <rPr>
        <sz val="11"/>
        <rFont val="Calibri"/>
        <family val="2"/>
      </rPr>
      <t>/X</t>
    </r>
    <r>
      <rPr>
        <vertAlign val="subscript"/>
        <sz val="11"/>
        <rFont val="Calibri"/>
        <family val="2"/>
      </rPr>
      <t>HFO</t>
    </r>
  </si>
  <si>
    <r>
      <t>-X</t>
    </r>
    <r>
      <rPr>
        <vertAlign val="subscript"/>
        <sz val="11"/>
        <rFont val="Calibri"/>
        <family val="2"/>
      </rPr>
      <t>HFO,H,P,old</t>
    </r>
    <r>
      <rPr>
        <sz val="11"/>
        <rFont val="Calibri"/>
        <family val="2"/>
      </rPr>
      <t>/X</t>
    </r>
    <r>
      <rPr>
        <vertAlign val="subscript"/>
        <sz val="11"/>
        <rFont val="Calibri"/>
        <family val="2"/>
      </rPr>
      <t>HFO</t>
    </r>
  </si>
  <si>
    <r>
      <t>-X</t>
    </r>
    <r>
      <rPr>
        <vertAlign val="subscript"/>
        <sz val="11"/>
        <rFont val="Calibri"/>
        <family val="2"/>
      </rPr>
      <t>HFO,L,P,old</t>
    </r>
    <r>
      <rPr>
        <sz val="11"/>
        <rFont val="Calibri"/>
        <family val="2"/>
      </rPr>
      <t>/X</t>
    </r>
    <r>
      <rPr>
        <vertAlign val="subscript"/>
        <sz val="11"/>
        <rFont val="Calibri"/>
        <family val="2"/>
      </rPr>
      <t>HFO</t>
    </r>
  </si>
  <si>
    <r>
      <t>X</t>
    </r>
    <r>
      <rPr>
        <vertAlign val="subscript"/>
        <sz val="11"/>
        <rFont val="Calibri"/>
        <family val="2"/>
      </rPr>
      <t>HFO,P</t>
    </r>
    <r>
      <rPr>
        <sz val="11"/>
        <rFont val="Calibri"/>
        <family val="2"/>
      </rPr>
      <t>/X</t>
    </r>
    <r>
      <rPr>
        <vertAlign val="subscript"/>
        <sz val="11"/>
        <rFont val="Calibri"/>
        <family val="2"/>
      </rPr>
      <t>HFO</t>
    </r>
  </si>
  <si>
    <t>Cooments</t>
  </si>
  <si>
    <t>If(x&lt;0;-Log10(-x+1);Log10(x+1))</t>
  </si>
  <si>
    <r>
      <t>Henry</t>
    </r>
    <r>
      <rPr>
        <vertAlign val="subscript"/>
        <sz val="11"/>
        <color theme="1"/>
        <rFont val="Calibri"/>
        <family val="2"/>
        <scheme val="minor"/>
      </rPr>
      <t>GNH3</t>
    </r>
    <r>
      <rPr>
        <sz val="11"/>
        <color indexed="8"/>
        <rFont val="Calibri"/>
        <family val="2"/>
      </rPr>
      <t>(T)</t>
    </r>
  </si>
  <si>
    <r>
      <t>Temperature dependent Henry coefficient for NH</t>
    </r>
    <r>
      <rPr>
        <vertAlign val="subscript"/>
        <sz val="11"/>
        <color theme="1"/>
        <rFont val="Calibri"/>
        <family val="2"/>
        <scheme val="minor"/>
      </rPr>
      <t>3</t>
    </r>
  </si>
  <si>
    <r>
      <t>Henry</t>
    </r>
    <r>
      <rPr>
        <vertAlign val="subscript"/>
        <sz val="11"/>
        <color theme="1"/>
        <rFont val="Calibri"/>
        <family val="2"/>
        <scheme val="minor"/>
      </rPr>
      <t>GNH3_25</t>
    </r>
    <r>
      <rPr>
        <sz val="11"/>
        <color indexed="8"/>
        <rFont val="Calibri"/>
        <family val="2"/>
      </rPr>
      <t>*Exp(Henry</t>
    </r>
    <r>
      <rPr>
        <vertAlign val="subscript"/>
        <sz val="11"/>
        <color theme="1"/>
        <rFont val="Calibri"/>
        <family val="2"/>
        <scheme val="minor"/>
      </rPr>
      <t>GNH3_dt</t>
    </r>
    <r>
      <rPr>
        <sz val="11"/>
        <color indexed="8"/>
        <rFont val="Calibri"/>
        <family val="2"/>
      </rPr>
      <t>*((1/T)-(1/298.15)))</t>
    </r>
  </si>
  <si>
    <r>
      <t>Henry</t>
    </r>
    <r>
      <rPr>
        <vertAlign val="subscript"/>
        <sz val="11"/>
        <color theme="1"/>
        <rFont val="Calibri"/>
        <family val="2"/>
        <scheme val="minor"/>
      </rPr>
      <t>GH2S</t>
    </r>
    <r>
      <rPr>
        <sz val="11"/>
        <color indexed="8"/>
        <rFont val="Calibri"/>
        <family val="2"/>
      </rPr>
      <t>(T)</t>
    </r>
  </si>
  <si>
    <r>
      <t>Temperature dependent Henry coefficient for H</t>
    </r>
    <r>
      <rPr>
        <vertAlign val="subscript"/>
        <sz val="11"/>
        <rFont val="Calibri"/>
        <family val="2"/>
        <scheme val="minor"/>
      </rPr>
      <t>2</t>
    </r>
    <r>
      <rPr>
        <sz val="11"/>
        <rFont val="Calibri"/>
        <family val="2"/>
        <scheme val="minor"/>
      </rPr>
      <t>S</t>
    </r>
  </si>
  <si>
    <r>
      <t>Henry</t>
    </r>
    <r>
      <rPr>
        <vertAlign val="subscript"/>
        <sz val="11"/>
        <color theme="1"/>
        <rFont val="Calibri"/>
        <family val="2"/>
        <scheme val="minor"/>
      </rPr>
      <t>GH2S_25</t>
    </r>
    <r>
      <rPr>
        <sz val="11"/>
        <color indexed="8"/>
        <rFont val="Calibri"/>
        <family val="2"/>
      </rPr>
      <t>*Exp(Henry</t>
    </r>
    <r>
      <rPr>
        <vertAlign val="subscript"/>
        <sz val="11"/>
        <color theme="1"/>
        <rFont val="Calibri"/>
        <family val="2"/>
        <scheme val="minor"/>
      </rPr>
      <t>GH2S_dt</t>
    </r>
    <r>
      <rPr>
        <sz val="11"/>
        <color indexed="8"/>
        <rFont val="Calibri"/>
        <family val="2"/>
      </rPr>
      <t>*((1/T)-(1/298.15)))</t>
    </r>
  </si>
  <si>
    <t>if (x &lt; Sumo__DampingLimit &amp;&amp; dx &lt; 0.0 &amp;&amp; fabs(dx/x) &gt; Sumo__DerivToStateRatioLimit)
{
     Real x_d = 1/((1+exp(-Sumo__DampingStrength/(Sumo__DampingLimit)*
                      (x - Sumo__DampingLimit/2.0))));
    return x_d*dx;
}
else return dx;</t>
  </si>
  <si>
    <t>MinElemIndex([] x)</t>
  </si>
  <si>
    <t>Index of element with minimum value in 'x'</t>
    <phoneticPr fontId="0"/>
  </si>
  <si>
    <t>return std::distance(x.data, std::min_element(x.data, x.data+x.size))+1;</t>
    <phoneticPr fontId="0"/>
  </si>
  <si>
    <t>Real sum = 0.0;
for( int i = 0; i &lt; y.size; ++i )
{
  if( y(i) == z ) sum += x(i);
}
return sum;</t>
  </si>
  <si>
    <t>STRING If(BOOL a; STRING b; STRING c)</t>
  </si>
  <si>
    <t>STRING</t>
  </si>
  <si>
    <t>Real sum = 0.0;
for( int i = 0; i &lt; x.size; ++i )
{
  sum += x(i);
}
return sum/x.size;</t>
  </si>
  <si>
    <t>Average([] x; INT start; INT end)</t>
  </si>
  <si>
    <t>Average of array elements between indices 'start' and 'end'</t>
  </si>
  <si>
    <t>Real sum = 0.0;
if (end &gt; x.size)
{
    return -9999.9;
}
if (start &gt; end)
{
    return -9999.9;
}
if (start == end &amp;&amp; start &lt; x.size)
{
    return x(start);
}
for(int i = start; i &lt; end; ++i)
{
  sum += x(i);
}
return sum/(end - start);</t>
  </si>
  <si>
    <t>Real m = x(0);
for( int i = 1; i &lt; x.size; ++i )
{
    m = max( m, x(i) );
}
return m;</t>
  </si>
  <si>
    <t>Real m = x(0);
for( int i = 1; i &lt; x.size; ++i )
{
    m = min( m, x(i) );
}
return m;</t>
  </si>
  <si>
    <t>Real sum = 0.0;
for( int i = 0; i &lt;= x.size; ++i )
{
  sum += x(i);
}
return sum;</t>
  </si>
  <si>
    <t>MoveAndPrepend([] x; y)</t>
  </si>
  <si>
    <t>Move the array content 'to the right' and insert a new value to array beginning</t>
  </si>
  <si>
    <t>for( int i = x.size-1; i &gt;= 1; --i )
{
  x(i) = x(i-1);
}
static int j = 0;
x(0) = y;
return j++;</t>
  </si>
  <si>
    <t>MoveAndAppend([] x; y)</t>
  </si>
  <si>
    <t>Move the array content 'to the left' and insert a new value to array end</t>
  </si>
  <si>
    <t>for( int i = 0; i &lt;= x.size-1; ++i )
{
  x(i) = x(i+1);
}
x(x.size-1) = y;
return 0;</t>
  </si>
  <si>
    <t>Estimated to fit saturation concentrations for 0-30 °C from Metcalf &amp; Eddy Inc.: Wastewater Engineering: Treatment and Reuse</t>
  </si>
  <si>
    <r>
      <t>Temperature dependency factor for CO</t>
    </r>
    <r>
      <rPr>
        <vertAlign val="subscript"/>
        <sz val="11"/>
        <rFont val="Calibri"/>
        <family val="2"/>
        <scheme val="minor"/>
      </rPr>
      <t>2</t>
    </r>
    <r>
      <rPr>
        <sz val="11"/>
        <rFont val="Calibri"/>
        <family val="2"/>
        <scheme val="minor"/>
      </rPr>
      <t xml:space="preserve"> Henry coefficient</t>
    </r>
  </si>
  <si>
    <t>original values in Sumo:</t>
  </si>
  <si>
    <t>Sabba et al</t>
  </si>
  <si>
    <r>
      <t>p</t>
    </r>
    <r>
      <rPr>
        <vertAlign val="subscript"/>
        <sz val="11"/>
        <rFont val="Calibri"/>
        <family val="2"/>
      </rPr>
      <t>NTP</t>
    </r>
  </si>
  <si>
    <r>
      <t>Ca</t>
    </r>
    <r>
      <rPr>
        <vertAlign val="subscript"/>
        <sz val="11"/>
        <rFont val="Calibri"/>
        <family val="2"/>
        <scheme val="minor"/>
      </rPr>
      <t>3</t>
    </r>
    <r>
      <rPr>
        <sz val="11"/>
        <rFont val="Calibri"/>
        <family val="2"/>
        <scheme val="minor"/>
      </rPr>
      <t>(PO</t>
    </r>
    <r>
      <rPr>
        <vertAlign val="subscript"/>
        <sz val="11"/>
        <rFont val="Calibri"/>
        <family val="2"/>
        <scheme val="minor"/>
      </rPr>
      <t>4</t>
    </r>
    <r>
      <rPr>
        <sz val="11"/>
        <rFont val="Calibri"/>
        <family val="2"/>
        <scheme val="minor"/>
      </rPr>
      <t>)</t>
    </r>
    <r>
      <rPr>
        <vertAlign val="subscript"/>
        <sz val="11"/>
        <rFont val="Calibri"/>
        <family val="2"/>
        <scheme val="minor"/>
      </rPr>
      <t>2</t>
    </r>
    <r>
      <rPr>
        <sz val="11"/>
        <rFont val="Calibri"/>
        <family val="2"/>
        <scheme val="minor"/>
      </rPr>
      <t>x·4 H</t>
    </r>
    <r>
      <rPr>
        <vertAlign val="subscript"/>
        <sz val="11"/>
        <rFont val="Calibri"/>
        <family val="2"/>
        <scheme val="minor"/>
      </rPr>
      <t>2</t>
    </r>
    <r>
      <rPr>
        <sz val="11"/>
        <rFont val="Calibri"/>
        <family val="2"/>
        <scheme val="minor"/>
      </rPr>
      <t>O</t>
    </r>
  </si>
  <si>
    <r>
      <t>MM</t>
    </r>
    <r>
      <rPr>
        <vertAlign val="subscript"/>
        <sz val="11"/>
        <rFont val="Calibri"/>
        <family val="2"/>
        <scheme val="minor"/>
      </rPr>
      <t>Al2SO43</t>
    </r>
  </si>
  <si>
    <t>Molecular mass of aluminium sulfate</t>
  </si>
  <si>
    <r>
      <t>MM</t>
    </r>
    <r>
      <rPr>
        <vertAlign val="subscript"/>
        <sz val="11"/>
        <rFont val="Calibri"/>
        <family val="2"/>
        <scheme val="minor"/>
      </rPr>
      <t>AlCl3</t>
    </r>
  </si>
  <si>
    <t>Molecular mass of aluminium chloride</t>
  </si>
  <si>
    <r>
      <t>MM</t>
    </r>
    <r>
      <rPr>
        <vertAlign val="subscript"/>
        <sz val="11"/>
        <rFont val="Calibri"/>
        <family val="2"/>
        <scheme val="minor"/>
      </rPr>
      <t>CaCl</t>
    </r>
    <r>
      <rPr>
        <vertAlign val="subscript"/>
        <sz val="11"/>
        <rFont val="Calibri"/>
        <family val="2"/>
      </rPr>
      <t>2</t>
    </r>
  </si>
  <si>
    <t>Molecular mass of CaCl2</t>
  </si>
  <si>
    <r>
      <t>MM</t>
    </r>
    <r>
      <rPr>
        <vertAlign val="subscript"/>
        <sz val="11"/>
        <rFont val="Calibri"/>
        <family val="2"/>
        <scheme val="minor"/>
      </rPr>
      <t>CaOH</t>
    </r>
    <r>
      <rPr>
        <vertAlign val="subscript"/>
        <sz val="11"/>
        <rFont val="Calibri"/>
        <family val="2"/>
      </rPr>
      <t>2</t>
    </r>
  </si>
  <si>
    <t>Molecular mass of CaOH2</t>
  </si>
  <si>
    <r>
      <t>MM</t>
    </r>
    <r>
      <rPr>
        <vertAlign val="subscript"/>
        <sz val="11"/>
        <rFont val="Calibri"/>
        <family val="2"/>
        <scheme val="minor"/>
      </rPr>
      <t>Fe2SO43</t>
    </r>
  </si>
  <si>
    <t>Molecular mass of iron sulfate</t>
  </si>
  <si>
    <r>
      <t>MM</t>
    </r>
    <r>
      <rPr>
        <vertAlign val="subscript"/>
        <sz val="11"/>
        <rFont val="Calibri"/>
        <family val="2"/>
        <scheme val="minor"/>
      </rPr>
      <t>H3PO4</t>
    </r>
  </si>
  <si>
    <t>Molecular mass of phosphoric acid</t>
  </si>
  <si>
    <r>
      <t>Ca</t>
    </r>
    <r>
      <rPr>
        <vertAlign val="subscript"/>
        <sz val="11"/>
        <rFont val="Calibri"/>
        <family val="2"/>
        <scheme val="minor"/>
      </rPr>
      <t>5</t>
    </r>
    <r>
      <rPr>
        <sz val="11"/>
        <rFont val="Calibri"/>
        <family val="2"/>
        <scheme val="minor"/>
      </rPr>
      <t>(PO</t>
    </r>
    <r>
      <rPr>
        <vertAlign val="subscript"/>
        <sz val="11"/>
        <rFont val="Calibri"/>
        <family val="2"/>
        <scheme val="minor"/>
      </rPr>
      <t>4</t>
    </r>
    <r>
      <rPr>
        <sz val="11"/>
        <rFont val="Calibri"/>
        <family val="2"/>
        <scheme val="minor"/>
      </rPr>
      <t>)</t>
    </r>
    <r>
      <rPr>
        <vertAlign val="subscript"/>
        <sz val="11"/>
        <rFont val="Calibri"/>
        <family val="2"/>
        <scheme val="minor"/>
      </rPr>
      <t>3</t>
    </r>
    <r>
      <rPr>
        <sz val="11"/>
        <rFont val="Calibri"/>
        <family val="2"/>
        <scheme val="minor"/>
      </rPr>
      <t>(OH)</t>
    </r>
  </si>
  <si>
    <r>
      <t>Ca</t>
    </r>
    <r>
      <rPr>
        <vertAlign val="subscript"/>
        <sz val="11"/>
        <rFont val="Calibri"/>
        <family val="2"/>
        <scheme val="minor"/>
      </rPr>
      <t>2</t>
    </r>
    <r>
      <rPr>
        <sz val="11"/>
        <rFont val="Calibri"/>
        <family val="2"/>
        <scheme val="minor"/>
      </rPr>
      <t>(PO</t>
    </r>
    <r>
      <rPr>
        <vertAlign val="subscript"/>
        <sz val="11"/>
        <rFont val="Calibri"/>
        <family val="2"/>
        <scheme val="minor"/>
      </rPr>
      <t>4</t>
    </r>
    <r>
      <rPr>
        <sz val="11"/>
        <rFont val="Calibri"/>
        <family val="2"/>
        <scheme val="minor"/>
      </rPr>
      <t>)(OH)</t>
    </r>
    <r>
      <rPr>
        <vertAlign val="subscript"/>
        <sz val="11"/>
        <rFont val="Calibri"/>
        <family val="2"/>
        <scheme val="minor"/>
      </rPr>
      <t>2</t>
    </r>
    <r>
      <rPr>
        <vertAlign val="superscript"/>
        <sz val="11"/>
        <rFont val="Calibri"/>
        <family val="2"/>
        <scheme val="minor"/>
      </rPr>
      <t>-</t>
    </r>
  </si>
  <si>
    <r>
      <t>MM</t>
    </r>
    <r>
      <rPr>
        <vertAlign val="subscript"/>
        <sz val="11"/>
        <rFont val="Calibri"/>
        <family val="2"/>
        <scheme val="minor"/>
      </rPr>
      <t>HNO3</t>
    </r>
  </si>
  <si>
    <t>Molecular mass of nitric acid</t>
  </si>
  <si>
    <r>
      <t>CH</t>
    </r>
    <r>
      <rPr>
        <vertAlign val="subscript"/>
        <sz val="11"/>
        <rFont val="Calibri"/>
        <family val="2"/>
        <scheme val="minor"/>
      </rPr>
      <t>4</t>
    </r>
    <r>
      <rPr>
        <sz val="11"/>
        <rFont val="Calibri"/>
        <family val="2"/>
        <scheme val="minor"/>
      </rPr>
      <t>S</t>
    </r>
  </si>
  <si>
    <r>
      <t>MM</t>
    </r>
    <r>
      <rPr>
        <vertAlign val="subscript"/>
        <sz val="11"/>
        <rFont val="Calibri"/>
        <family val="2"/>
        <scheme val="minor"/>
      </rPr>
      <t>N2O</t>
    </r>
  </si>
  <si>
    <t>Molar mass of nitrous oxide ion</t>
  </si>
  <si>
    <r>
      <t>MM</t>
    </r>
    <r>
      <rPr>
        <vertAlign val="subscript"/>
        <sz val="11"/>
        <rFont val="Calibri"/>
        <family val="2"/>
        <scheme val="minor"/>
      </rPr>
      <t>KNO2</t>
    </r>
  </si>
  <si>
    <t>Molecular mass of KNO2</t>
  </si>
  <si>
    <r>
      <t>MM</t>
    </r>
    <r>
      <rPr>
        <vertAlign val="subscript"/>
        <sz val="11"/>
        <rFont val="Calibri"/>
        <family val="2"/>
        <scheme val="minor"/>
      </rPr>
      <t>KNO3</t>
    </r>
  </si>
  <si>
    <t>Molecular mass of KNO3</t>
  </si>
  <si>
    <r>
      <t>MM</t>
    </r>
    <r>
      <rPr>
        <vertAlign val="subscript"/>
        <sz val="11"/>
        <rFont val="Calibri"/>
        <family val="2"/>
        <scheme val="minor"/>
      </rPr>
      <t>NH4HCO3</t>
    </r>
  </si>
  <si>
    <t>Molecular mass of NH4HCO3</t>
  </si>
  <si>
    <r>
      <t>MM</t>
    </r>
    <r>
      <rPr>
        <vertAlign val="subscript"/>
        <sz val="11"/>
        <rFont val="Calibri"/>
        <family val="2"/>
        <scheme val="minor"/>
      </rPr>
      <t>NO</t>
    </r>
  </si>
  <si>
    <t>Molar mass of nitric oxide ion</t>
  </si>
  <si>
    <r>
      <t>MgNH</t>
    </r>
    <r>
      <rPr>
        <vertAlign val="subscript"/>
        <sz val="11"/>
        <rFont val="Calibri"/>
        <family val="2"/>
        <scheme val="minor"/>
      </rPr>
      <t>4</t>
    </r>
    <r>
      <rPr>
        <sz val="11"/>
        <rFont val="Calibri"/>
        <family val="2"/>
        <scheme val="minor"/>
      </rPr>
      <t>PO</t>
    </r>
    <r>
      <rPr>
        <vertAlign val="subscript"/>
        <sz val="11"/>
        <rFont val="Calibri"/>
        <family val="2"/>
        <scheme val="minor"/>
      </rPr>
      <t>4</t>
    </r>
    <r>
      <rPr>
        <sz val="11"/>
        <rFont val="Calibri"/>
        <family val="2"/>
        <scheme val="minor"/>
      </rPr>
      <t>x·6 H</t>
    </r>
    <r>
      <rPr>
        <vertAlign val="subscript"/>
        <sz val="11"/>
        <rFont val="Calibri"/>
        <family val="2"/>
        <scheme val="minor"/>
      </rPr>
      <t>2</t>
    </r>
    <r>
      <rPr>
        <sz val="11"/>
        <rFont val="Calibri"/>
        <family val="2"/>
        <scheme val="minor"/>
      </rPr>
      <t>O</t>
    </r>
  </si>
  <si>
    <r>
      <t>Fe</t>
    </r>
    <r>
      <rPr>
        <vertAlign val="subscript"/>
        <sz val="11"/>
        <rFont val="Calibri"/>
        <family val="2"/>
        <scheme val="minor"/>
      </rPr>
      <t>2</t>
    </r>
    <r>
      <rPr>
        <vertAlign val="superscript"/>
        <sz val="11"/>
        <rFont val="Calibri"/>
        <family val="2"/>
        <scheme val="minor"/>
      </rPr>
      <t>+3</t>
    </r>
    <r>
      <rPr>
        <sz val="11"/>
        <rFont val="Calibri"/>
        <family val="2"/>
        <scheme val="minor"/>
      </rPr>
      <t>(PO</t>
    </r>
    <r>
      <rPr>
        <vertAlign val="subscript"/>
        <sz val="11"/>
        <rFont val="Calibri"/>
        <family val="2"/>
        <scheme val="minor"/>
      </rPr>
      <t>4</t>
    </r>
    <r>
      <rPr>
        <vertAlign val="superscript"/>
        <sz val="11"/>
        <rFont val="Calibri"/>
        <family val="2"/>
        <scheme val="minor"/>
      </rPr>
      <t>3-</t>
    </r>
    <r>
      <rPr>
        <sz val="11"/>
        <rFont val="Calibri"/>
        <family val="2"/>
        <scheme val="minor"/>
      </rPr>
      <t>)</t>
    </r>
    <r>
      <rPr>
        <vertAlign val="subscript"/>
        <sz val="11"/>
        <rFont val="Calibri"/>
        <family val="2"/>
        <scheme val="minor"/>
      </rPr>
      <t xml:space="preserve">2 </t>
    </r>
    <r>
      <rPr>
        <sz val="11"/>
        <rFont val="Calibri"/>
        <family val="2"/>
        <scheme val="minor"/>
      </rPr>
      <t>x 8 H</t>
    </r>
    <r>
      <rPr>
        <vertAlign val="subscript"/>
        <sz val="11"/>
        <rFont val="Calibri"/>
        <family val="2"/>
        <scheme val="minor"/>
      </rPr>
      <t>2</t>
    </r>
    <r>
      <rPr>
        <sz val="11"/>
        <rFont val="Calibri"/>
        <family val="2"/>
        <scheme val="minor"/>
      </rPr>
      <t>O</t>
    </r>
  </si>
  <si>
    <t>Dissociation constant of propionate</t>
  </si>
  <si>
    <r>
      <t>K</t>
    </r>
    <r>
      <rPr>
        <vertAlign val="subscript"/>
        <sz val="11"/>
        <rFont val="Calibri"/>
        <family val="2"/>
        <scheme val="minor"/>
      </rPr>
      <t>But,param</t>
    </r>
  </si>
  <si>
    <t>Dissociation constant of butyrate</t>
  </si>
  <si>
    <t>?</t>
  </si>
  <si>
    <r>
      <t>K</t>
    </r>
    <r>
      <rPr>
        <vertAlign val="subscript"/>
        <sz val="11"/>
        <rFont val="Calibri"/>
        <family val="2"/>
        <scheme val="minor"/>
      </rPr>
      <t>Val,param</t>
    </r>
  </si>
  <si>
    <t>Dissociation constant of valerate</t>
  </si>
  <si>
    <t>Musvoto et al. (2000) =10^(-25.46) (NIST 1e-29 is too high)</t>
  </si>
  <si>
    <r>
      <t>EEQ</t>
    </r>
    <r>
      <rPr>
        <vertAlign val="subscript"/>
        <sz val="11"/>
        <rFont val="Calibri"/>
        <family val="2"/>
      </rPr>
      <t>NH2OH</t>
    </r>
  </si>
  <si>
    <t>Electron equivalence of NH2OH</t>
  </si>
  <si>
    <r>
      <t>EEQ</t>
    </r>
    <r>
      <rPr>
        <vertAlign val="subscript"/>
        <sz val="11"/>
        <rFont val="Calibri"/>
        <family val="2"/>
      </rPr>
      <t>NH2OH,NO</t>
    </r>
  </si>
  <si>
    <t>Electron equivalence of NH2OH to NO</t>
  </si>
  <si>
    <r>
      <t>c</t>
    </r>
    <r>
      <rPr>
        <vertAlign val="subscript"/>
        <sz val="11"/>
        <rFont val="Calibri"/>
        <family val="2"/>
        <scheme val="minor"/>
      </rPr>
      <t>mmol,mol</t>
    </r>
  </si>
  <si>
    <t>Conversion coefficient between milimols and mol</t>
  </si>
  <si>
    <r>
      <t>mmol.mol</t>
    </r>
    <r>
      <rPr>
        <vertAlign val="superscript"/>
        <sz val="11"/>
        <rFont val="Calibri"/>
        <family val="2"/>
        <scheme val="minor"/>
      </rPr>
      <t>-1</t>
    </r>
  </si>
  <si>
    <r>
      <t>c</t>
    </r>
    <r>
      <rPr>
        <vertAlign val="subscript"/>
        <sz val="11"/>
        <rFont val="Calibri"/>
        <family val="2"/>
        <scheme val="minor"/>
      </rPr>
      <t>s,min</t>
    </r>
  </si>
  <si>
    <t>Conversion coefficient between seconds and minutes</t>
  </si>
  <si>
    <r>
      <t>s.min</t>
    </r>
    <r>
      <rPr>
        <vertAlign val="superscript"/>
        <sz val="11"/>
        <rFont val="Calibri"/>
        <family val="2"/>
        <scheme val="minor"/>
      </rPr>
      <t>-1</t>
    </r>
  </si>
  <si>
    <r>
      <t>c</t>
    </r>
    <r>
      <rPr>
        <vertAlign val="subscript"/>
        <sz val="11"/>
        <rFont val="Calibri"/>
        <family val="2"/>
        <scheme val="minor"/>
      </rPr>
      <t>min,d</t>
    </r>
  </si>
  <si>
    <t>Conversion coefficient between minutes and days</t>
  </si>
  <si>
    <r>
      <t>min.d</t>
    </r>
    <r>
      <rPr>
        <vertAlign val="superscript"/>
        <sz val="11"/>
        <rFont val="Calibri"/>
        <family val="2"/>
        <scheme val="minor"/>
      </rPr>
      <t>-1</t>
    </r>
  </si>
  <si>
    <r>
      <t>c</t>
    </r>
    <r>
      <rPr>
        <vertAlign val="subscript"/>
        <sz val="11"/>
        <rFont val="Calibri"/>
        <family val="2"/>
        <scheme val="minor"/>
      </rPr>
      <t>d,w</t>
    </r>
  </si>
  <si>
    <t>Conversion coefficient between days and weeks</t>
  </si>
  <si>
    <r>
      <t>d.w</t>
    </r>
    <r>
      <rPr>
        <vertAlign val="superscript"/>
        <sz val="11"/>
        <rFont val="Calibri"/>
        <family val="2"/>
        <scheme val="minor"/>
      </rPr>
      <t>-1</t>
    </r>
  </si>
  <si>
    <r>
      <t>c</t>
    </r>
    <r>
      <rPr>
        <vertAlign val="subscript"/>
        <sz val="11"/>
        <rFont val="Calibri"/>
        <family val="2"/>
        <scheme val="minor"/>
      </rPr>
      <t>d,mon</t>
    </r>
  </si>
  <si>
    <t>Conversion coefficient between days and month</t>
  </si>
  <si>
    <r>
      <t>d.mon</t>
    </r>
    <r>
      <rPr>
        <vertAlign val="superscript"/>
        <sz val="11"/>
        <rFont val="Calibri"/>
        <family val="2"/>
        <scheme val="minor"/>
      </rPr>
      <t>-1</t>
    </r>
  </si>
  <si>
    <r>
      <t>c</t>
    </r>
    <r>
      <rPr>
        <vertAlign val="subscript"/>
        <sz val="11"/>
        <rFont val="Calibri"/>
        <family val="2"/>
        <scheme val="minor"/>
      </rPr>
      <t>d,y</t>
    </r>
  </si>
  <si>
    <t>Conversion coefficient between days and years</t>
  </si>
  <si>
    <r>
      <t>d.y</t>
    </r>
    <r>
      <rPr>
        <vertAlign val="superscript"/>
        <sz val="11"/>
        <rFont val="Calibri"/>
        <family val="2"/>
        <scheme val="minor"/>
      </rPr>
      <t>-1</t>
    </r>
  </si>
  <si>
    <r>
      <t>c</t>
    </r>
    <r>
      <rPr>
        <vertAlign val="subscript"/>
        <sz val="11"/>
        <rFont val="Calibri"/>
        <family val="2"/>
        <scheme val="minor"/>
      </rPr>
      <t>g,ton</t>
    </r>
  </si>
  <si>
    <t>Conversion coefficient between grams and ton</t>
  </si>
  <si>
    <r>
      <t>g.ton</t>
    </r>
    <r>
      <rPr>
        <vertAlign val="superscript"/>
        <sz val="11"/>
        <rFont val="Calibri"/>
        <family val="2"/>
        <scheme val="minor"/>
      </rPr>
      <t>-1</t>
    </r>
  </si>
  <si>
    <r>
      <t>c</t>
    </r>
    <r>
      <rPr>
        <vertAlign val="subscript"/>
        <sz val="11"/>
        <rFont val="Calibri"/>
        <family val="2"/>
        <scheme val="minor"/>
      </rPr>
      <t>W,kW</t>
    </r>
  </si>
  <si>
    <r>
      <t>kW.MW</t>
    </r>
    <r>
      <rPr>
        <vertAlign val="superscript"/>
        <sz val="11"/>
        <rFont val="Calibri"/>
        <family val="2"/>
        <scheme val="minor"/>
      </rPr>
      <t>-1</t>
    </r>
  </si>
  <si>
    <r>
      <t>c</t>
    </r>
    <r>
      <rPr>
        <vertAlign val="subscript"/>
        <sz val="11"/>
        <rFont val="Calibri"/>
        <family val="2"/>
        <scheme val="minor"/>
      </rPr>
      <t>Pa,MPa</t>
    </r>
  </si>
  <si>
    <t>Conversion coefficient between pascal and megapascal</t>
  </si>
  <si>
    <r>
      <t>Pa.MPa</t>
    </r>
    <r>
      <rPr>
        <vertAlign val="superscript"/>
        <sz val="11"/>
        <rFont val="Calibri"/>
        <family val="2"/>
        <scheme val="minor"/>
      </rPr>
      <t>-1</t>
    </r>
  </si>
  <si>
    <r>
      <t>c</t>
    </r>
    <r>
      <rPr>
        <vertAlign val="subscript"/>
        <sz val="11"/>
        <rFont val="Calibri"/>
        <family val="2"/>
        <scheme val="minor"/>
      </rPr>
      <t>Pa,mbar</t>
    </r>
  </si>
  <si>
    <t>Conversion coefficient between pascal and milibar</t>
  </si>
  <si>
    <r>
      <t>Pa.mbar</t>
    </r>
    <r>
      <rPr>
        <vertAlign val="superscript"/>
        <sz val="11"/>
        <rFont val="Calibri"/>
        <family val="2"/>
        <scheme val="minor"/>
      </rPr>
      <t>-1</t>
    </r>
  </si>
  <si>
    <r>
      <t>c</t>
    </r>
    <r>
      <rPr>
        <vertAlign val="subscript"/>
        <sz val="11"/>
        <rFont val="Calibri"/>
        <family val="2"/>
        <scheme val="minor"/>
      </rPr>
      <t>micron,m</t>
    </r>
  </si>
  <si>
    <t>Conversion coefficient between microns and meters</t>
  </si>
  <si>
    <r>
      <t>micron.m</t>
    </r>
    <r>
      <rPr>
        <vertAlign val="superscript"/>
        <sz val="11"/>
        <rFont val="Calibri"/>
        <family val="2"/>
        <scheme val="minor"/>
      </rPr>
      <t>-1</t>
    </r>
  </si>
  <si>
    <r>
      <t>c</t>
    </r>
    <r>
      <rPr>
        <vertAlign val="subscript"/>
        <sz val="11"/>
        <rFont val="Calibri"/>
        <family val="2"/>
        <scheme val="minor"/>
      </rPr>
      <t>mm,m</t>
    </r>
  </si>
  <si>
    <t>Conversion coefficient between milimeters and meters</t>
  </si>
  <si>
    <r>
      <t>mm.m</t>
    </r>
    <r>
      <rPr>
        <vertAlign val="superscript"/>
        <sz val="11"/>
        <rFont val="Calibri"/>
        <family val="2"/>
        <scheme val="minor"/>
      </rPr>
      <t>-1</t>
    </r>
  </si>
  <si>
    <r>
      <t>cm.m</t>
    </r>
    <r>
      <rPr>
        <vertAlign val="superscript"/>
        <sz val="11"/>
        <rFont val="Calibri"/>
        <family val="2"/>
        <scheme val="minor"/>
      </rPr>
      <t>-1</t>
    </r>
  </si>
  <si>
    <r>
      <t>c</t>
    </r>
    <r>
      <rPr>
        <vertAlign val="subscript"/>
        <sz val="11"/>
        <rFont val="Calibri"/>
        <family val="2"/>
        <scheme val="minor"/>
      </rPr>
      <t>MG,m3</t>
    </r>
  </si>
  <si>
    <t>Conversion coefficient between million gallons and cubic meters</t>
  </si>
  <si>
    <r>
      <t>MG.m</t>
    </r>
    <r>
      <rPr>
        <vertAlign val="superscript"/>
        <sz val="11"/>
        <rFont val="Calibri"/>
        <family val="2"/>
        <scheme val="minor"/>
      </rPr>
      <t>-3</t>
    </r>
  </si>
  <si>
    <r>
      <t>c</t>
    </r>
    <r>
      <rPr>
        <vertAlign val="subscript"/>
        <sz val="11"/>
        <rFont val="Calibri"/>
        <family val="2"/>
        <scheme val="minor"/>
      </rPr>
      <t>G,m3</t>
    </r>
  </si>
  <si>
    <t>Conversion coefficient between gallons and cubic meters</t>
  </si>
  <si>
    <r>
      <t>G.m</t>
    </r>
    <r>
      <rPr>
        <vertAlign val="superscript"/>
        <sz val="11"/>
        <rFont val="Calibri"/>
        <family val="2"/>
        <scheme val="minor"/>
      </rPr>
      <t>-3</t>
    </r>
  </si>
  <si>
    <r>
      <t>c</t>
    </r>
    <r>
      <rPr>
        <vertAlign val="subscript"/>
        <sz val="11"/>
        <rFont val="Calibri"/>
        <family val="2"/>
        <scheme val="minor"/>
      </rPr>
      <t>lbs,g</t>
    </r>
  </si>
  <si>
    <t>Conversion coefficient between lbs and g</t>
  </si>
  <si>
    <r>
      <t>lbs.g</t>
    </r>
    <r>
      <rPr>
        <vertAlign val="superscript"/>
        <sz val="11"/>
        <rFont val="Calibri"/>
        <family val="2"/>
        <scheme val="minor"/>
      </rPr>
      <t>-1</t>
    </r>
  </si>
  <si>
    <r>
      <t>c</t>
    </r>
    <r>
      <rPr>
        <vertAlign val="subscript"/>
        <sz val="11"/>
        <rFont val="Calibri"/>
        <family val="2"/>
        <scheme val="minor"/>
      </rPr>
      <t>ft3,m3</t>
    </r>
  </si>
  <si>
    <t>Conversion coefficient between cubic feet and cubic meters</t>
  </si>
  <si>
    <r>
      <t>ft</t>
    </r>
    <r>
      <rPr>
        <vertAlign val="superscript"/>
        <sz val="11"/>
        <rFont val="Calibri"/>
        <family val="2"/>
        <scheme val="minor"/>
      </rPr>
      <t>3</t>
    </r>
    <r>
      <rPr>
        <sz val="11"/>
        <rFont val="Calibri"/>
        <family val="2"/>
        <scheme val="minor"/>
      </rPr>
      <t>.m</t>
    </r>
    <r>
      <rPr>
        <vertAlign val="superscript"/>
        <sz val="11"/>
        <rFont val="Calibri"/>
        <family val="2"/>
        <scheme val="minor"/>
      </rPr>
      <t>-3</t>
    </r>
  </si>
  <si>
    <r>
      <t>c</t>
    </r>
    <r>
      <rPr>
        <vertAlign val="subscript"/>
        <sz val="11"/>
        <rFont val="Calibri"/>
        <family val="2"/>
        <scheme val="minor"/>
      </rPr>
      <t>ft2,m2</t>
    </r>
  </si>
  <si>
    <t>Conversion coefficient between square feet and square meters</t>
  </si>
  <si>
    <r>
      <t>ft</t>
    </r>
    <r>
      <rPr>
        <vertAlign val="superscript"/>
        <sz val="11"/>
        <rFont val="Calibri"/>
        <family val="2"/>
        <scheme val="minor"/>
      </rPr>
      <t>2</t>
    </r>
    <r>
      <rPr>
        <sz val="11"/>
        <rFont val="Calibri"/>
        <family val="2"/>
        <scheme val="minor"/>
      </rPr>
      <t>.m</t>
    </r>
    <r>
      <rPr>
        <vertAlign val="superscript"/>
        <sz val="11"/>
        <rFont val="Calibri"/>
        <family val="2"/>
        <scheme val="minor"/>
      </rPr>
      <t>-2</t>
    </r>
  </si>
  <si>
    <r>
      <t>c</t>
    </r>
    <r>
      <rPr>
        <vertAlign val="subscript"/>
        <sz val="11"/>
        <rFont val="Calibri"/>
        <family val="2"/>
        <scheme val="minor"/>
      </rPr>
      <t>ft,m</t>
    </r>
  </si>
  <si>
    <t>Conversion coefficient between foot and meters</t>
  </si>
  <si>
    <r>
      <t>ft.m</t>
    </r>
    <r>
      <rPr>
        <vertAlign val="superscript"/>
        <sz val="11"/>
        <rFont val="Calibri"/>
        <family val="2"/>
        <scheme val="minor"/>
      </rPr>
      <t>-1</t>
    </r>
  </si>
  <si>
    <t>Standard enthalpy of phosphoric acid</t>
  </si>
  <si>
    <r>
      <t>dH</t>
    </r>
    <r>
      <rPr>
        <vertAlign val="subscript"/>
        <sz val="11"/>
        <rFont val="Calibri"/>
        <family val="2"/>
        <scheme val="minor"/>
      </rPr>
      <t>diss,Prop</t>
    </r>
  </si>
  <si>
    <t>Standard enthalpy change of propionate dissociation</t>
  </si>
  <si>
    <t>NIST</t>
  </si>
  <si>
    <r>
      <t>dH</t>
    </r>
    <r>
      <rPr>
        <vertAlign val="subscript"/>
        <sz val="11"/>
        <rFont val="Calibri"/>
        <family val="2"/>
        <scheme val="minor"/>
      </rPr>
      <t>diss,But</t>
    </r>
  </si>
  <si>
    <t>Standard enthalpy change of butyrate dissociation</t>
  </si>
  <si>
    <r>
      <t>dH</t>
    </r>
    <r>
      <rPr>
        <vertAlign val="subscript"/>
        <sz val="11"/>
        <rFont val="Calibri"/>
        <family val="2"/>
        <scheme val="minor"/>
      </rPr>
      <t>diss,Val</t>
    </r>
  </si>
  <si>
    <t>Standard enthalpy change of valerate dissociation</t>
  </si>
  <si>
    <r>
      <t>D</t>
    </r>
    <r>
      <rPr>
        <vertAlign val="subscript"/>
        <sz val="11"/>
        <rFont val="Calibri"/>
        <family val="2"/>
        <charset val="238"/>
        <scheme val="minor"/>
      </rPr>
      <t>SNH2OH</t>
    </r>
  </si>
  <si>
    <t>Diffusion coefficient of NH2OH</t>
  </si>
  <si>
    <r>
      <t>D</t>
    </r>
    <r>
      <rPr>
        <vertAlign val="subscript"/>
        <sz val="11"/>
        <rFont val="Calibri"/>
        <family val="2"/>
        <charset val="238"/>
        <scheme val="minor"/>
      </rPr>
      <t>SNO</t>
    </r>
  </si>
  <si>
    <r>
      <t>D</t>
    </r>
    <r>
      <rPr>
        <vertAlign val="subscript"/>
        <sz val="11"/>
        <rFont val="Calibri"/>
        <family val="2"/>
        <charset val="238"/>
        <scheme val="minor"/>
      </rPr>
      <t>SN2O</t>
    </r>
  </si>
  <si>
    <t>Diffusion coefficient of N2O</t>
  </si>
  <si>
    <r>
      <t>D</t>
    </r>
    <r>
      <rPr>
        <vertAlign val="subscript"/>
        <sz val="11"/>
        <rFont val="Calibri"/>
        <family val="2"/>
        <charset val="238"/>
        <scheme val="minor"/>
      </rPr>
      <t>SO</t>
    </r>
  </si>
  <si>
    <r>
      <t>D</t>
    </r>
    <r>
      <rPr>
        <vertAlign val="subscript"/>
        <sz val="11"/>
        <rFont val="Calibri"/>
        <family val="2"/>
        <charset val="238"/>
        <scheme val="minor"/>
      </rPr>
      <t>SHCO</t>
    </r>
  </si>
  <si>
    <r>
      <t>Ca</t>
    </r>
    <r>
      <rPr>
        <sz val="11"/>
        <color indexed="8"/>
        <rFont val="Calibri"/>
        <family val="2"/>
      </rPr>
      <t>H</t>
    </r>
    <r>
      <rPr>
        <sz val="11"/>
        <color indexed="8"/>
        <rFont val="Calibri"/>
        <family val="2"/>
        <scheme val="minor"/>
      </rPr>
      <t>PO</t>
    </r>
    <r>
      <rPr>
        <vertAlign val="subscript"/>
        <sz val="11"/>
        <color indexed="8"/>
        <rFont val="Calibri"/>
        <family val="2"/>
        <scheme val="minor"/>
      </rPr>
      <t>4</t>
    </r>
    <r>
      <rPr>
        <sz val="11"/>
        <color indexed="8"/>
        <rFont val="Calibri"/>
        <family val="2"/>
        <scheme val="minor"/>
      </rPr>
      <t xml:space="preserve"> * 2H</t>
    </r>
    <r>
      <rPr>
        <vertAlign val="subscript"/>
        <sz val="11"/>
        <color indexed="8"/>
        <rFont val="Calibri"/>
        <family val="2"/>
        <scheme val="minor"/>
      </rPr>
      <t>2</t>
    </r>
    <r>
      <rPr>
        <sz val="11"/>
        <color indexed="8"/>
        <rFont val="Calibri"/>
        <family val="2"/>
        <scheme val="minor"/>
      </rPr>
      <t>O</t>
    </r>
  </si>
  <si>
    <r>
      <t>Logsat</t>
    </r>
    <r>
      <rPr>
        <vertAlign val="subscript"/>
        <sz val="11"/>
        <rFont val="Calibri"/>
        <family val="2"/>
        <scheme val="minor"/>
      </rPr>
      <t>SPO4,KPO4,PAO</t>
    </r>
  </si>
  <si>
    <r>
      <t>Half-saturation of NO</t>
    </r>
    <r>
      <rPr>
        <vertAlign val="subscript"/>
        <sz val="11"/>
        <color rgb="FF000000"/>
        <rFont val="Calibri"/>
        <family val="2"/>
        <scheme val="minor"/>
      </rPr>
      <t>x</t>
    </r>
    <r>
      <rPr>
        <sz val="11"/>
        <color rgb="FF000000"/>
        <rFont val="Calibri"/>
        <family val="2"/>
        <charset val="238"/>
        <scheme val="minor"/>
      </rPr>
      <t xml:space="preserve"> for anoxic ORP</t>
    </r>
  </si>
  <si>
    <t>Oxidation-reduction potential due to dissolved nitrate (anoxic)</t>
  </si>
  <si>
    <r>
      <t>ORP</t>
    </r>
    <r>
      <rPr>
        <vertAlign val="subscript"/>
        <sz val="11"/>
        <rFont val="Calibri"/>
        <family val="2"/>
        <scheme val="minor"/>
      </rPr>
      <t>base</t>
    </r>
    <r>
      <rPr>
        <sz val="11"/>
        <rFont val="Calibri"/>
        <family val="2"/>
        <scheme val="minor"/>
      </rPr>
      <t>+(ORP</t>
    </r>
    <r>
      <rPr>
        <vertAlign val="subscript"/>
        <sz val="11"/>
        <rFont val="Calibri"/>
        <family val="2"/>
        <scheme val="minor"/>
      </rPr>
      <t>max,SO2</t>
    </r>
    <r>
      <rPr>
        <sz val="11"/>
        <rFont val="Calibri"/>
        <family val="2"/>
        <scheme val="minor"/>
      </rPr>
      <t>-ORP</t>
    </r>
    <r>
      <rPr>
        <vertAlign val="subscript"/>
        <sz val="11"/>
        <rFont val="Calibri"/>
        <family val="2"/>
        <scheme val="minor"/>
      </rPr>
      <t>base</t>
    </r>
    <r>
      <rPr>
        <sz val="11"/>
        <rFont val="Calibri"/>
        <family val="2"/>
        <scheme val="minor"/>
      </rPr>
      <t>)*S</t>
    </r>
    <r>
      <rPr>
        <vertAlign val="subscript"/>
        <sz val="11"/>
        <rFont val="Calibri"/>
        <family val="2"/>
        <scheme val="minor"/>
      </rPr>
      <t>O2</t>
    </r>
    <r>
      <rPr>
        <sz val="11"/>
        <rFont val="Calibri"/>
        <family val="2"/>
        <scheme val="minor"/>
      </rPr>
      <t>/(K</t>
    </r>
    <r>
      <rPr>
        <vertAlign val="subscript"/>
        <sz val="11"/>
        <rFont val="Calibri"/>
        <family val="2"/>
        <scheme val="minor"/>
      </rPr>
      <t>ORP,SO2</t>
    </r>
    <r>
      <rPr>
        <sz val="11"/>
        <rFont val="Calibri"/>
        <family val="2"/>
        <scheme val="minor"/>
      </rPr>
      <t>+S</t>
    </r>
    <r>
      <rPr>
        <vertAlign val="subscript"/>
        <sz val="11"/>
        <rFont val="Calibri"/>
        <family val="2"/>
        <scheme val="minor"/>
      </rPr>
      <t>O2</t>
    </r>
    <r>
      <rPr>
        <sz val="11"/>
        <rFont val="Calibri"/>
        <family val="2"/>
        <scheme val="minor"/>
      </rPr>
      <t>)</t>
    </r>
  </si>
  <si>
    <r>
      <t>K</t>
    </r>
    <r>
      <rPr>
        <vertAlign val="subscript"/>
        <sz val="11"/>
        <rFont val="Calibri"/>
        <family val="2"/>
        <scheme val="minor"/>
      </rPr>
      <t>ORP,SNOx</t>
    </r>
  </si>
  <si>
    <r>
      <t>ORP</t>
    </r>
    <r>
      <rPr>
        <vertAlign val="subscript"/>
        <sz val="11"/>
        <rFont val="Calibri"/>
        <family val="2"/>
        <scheme val="minor"/>
      </rPr>
      <t>base</t>
    </r>
    <r>
      <rPr>
        <sz val="11"/>
        <rFont val="Calibri"/>
        <family val="2"/>
        <scheme val="minor"/>
      </rPr>
      <t>+(ORP</t>
    </r>
    <r>
      <rPr>
        <vertAlign val="subscript"/>
        <sz val="11"/>
        <rFont val="Calibri"/>
        <family val="2"/>
        <scheme val="minor"/>
      </rPr>
      <t>max,SNOx</t>
    </r>
    <r>
      <rPr>
        <sz val="11"/>
        <rFont val="Calibri"/>
        <family val="2"/>
        <scheme val="minor"/>
      </rPr>
      <t>-ORP</t>
    </r>
    <r>
      <rPr>
        <vertAlign val="subscript"/>
        <sz val="11"/>
        <rFont val="Calibri"/>
        <family val="2"/>
        <scheme val="minor"/>
      </rPr>
      <t>base</t>
    </r>
    <r>
      <rPr>
        <sz val="11"/>
        <rFont val="Calibri"/>
        <family val="2"/>
        <scheme val="minor"/>
      </rPr>
      <t>)*S</t>
    </r>
    <r>
      <rPr>
        <vertAlign val="subscript"/>
        <sz val="11"/>
        <rFont val="Calibri"/>
        <family val="2"/>
        <scheme val="minor"/>
      </rPr>
      <t>NOx</t>
    </r>
    <r>
      <rPr>
        <sz val="11"/>
        <rFont val="Calibri"/>
        <family val="2"/>
        <scheme val="minor"/>
      </rPr>
      <t>/(K</t>
    </r>
    <r>
      <rPr>
        <vertAlign val="subscript"/>
        <sz val="11"/>
        <rFont val="Calibri"/>
        <family val="2"/>
        <scheme val="minor"/>
      </rPr>
      <t>ORP,SNOx</t>
    </r>
    <r>
      <rPr>
        <sz val="11"/>
        <rFont val="Calibri"/>
        <family val="2"/>
        <scheme val="minor"/>
      </rPr>
      <t>+S</t>
    </r>
    <r>
      <rPr>
        <vertAlign val="subscript"/>
        <sz val="11"/>
        <rFont val="Calibri"/>
        <family val="2"/>
        <scheme val="minor"/>
      </rPr>
      <t>NOx</t>
    </r>
    <r>
      <rPr>
        <sz val="11"/>
        <rFont val="Calibri"/>
        <family val="2"/>
        <scheme val="minor"/>
      </rPr>
      <t>)</t>
    </r>
  </si>
  <si>
    <r>
      <t>ORP</t>
    </r>
    <r>
      <rPr>
        <vertAlign val="subscript"/>
        <sz val="11"/>
        <rFont val="Calibri"/>
        <family val="2"/>
      </rPr>
      <t>NOx</t>
    </r>
  </si>
  <si>
    <t>Use "Sumo1" for activated sludge modeling, iron addition for P removal and for plants that have digesters but no iron addition</t>
  </si>
  <si>
    <t>PAO's PHA storage from VFAs and PO4 release</t>
  </si>
  <si>
    <t>ORP related inhibiton functions</t>
  </si>
  <si>
    <r>
      <t>K</t>
    </r>
    <r>
      <rPr>
        <vertAlign val="subscript"/>
        <sz val="11"/>
        <rFont val="Calibri"/>
        <family val="2"/>
        <scheme val="minor"/>
      </rPr>
      <t>PHA,cle</t>
    </r>
  </si>
  <si>
    <t>Half-saturation of PHA for PAOs at PP cleavage</t>
  </si>
  <si>
    <r>
      <t>Logsat</t>
    </r>
    <r>
      <rPr>
        <vertAlign val="subscript"/>
        <sz val="11"/>
        <rFont val="Calibri"/>
        <family val="2"/>
      </rPr>
      <t>ORP,GAO,T</t>
    </r>
  </si>
  <si>
    <r>
      <t>Logsat</t>
    </r>
    <r>
      <rPr>
        <vertAlign val="subscript"/>
        <sz val="11"/>
        <rFont val="Calibri"/>
        <family val="2"/>
      </rPr>
      <t>ORP,GAO,Half,T</t>
    </r>
  </si>
  <si>
    <t>Slope of logistic half-saturation of ORP switching of GAOs temperature correction</t>
  </si>
  <si>
    <r>
      <t>Logsat</t>
    </r>
    <r>
      <rPr>
        <vertAlign val="subscript"/>
        <sz val="11"/>
        <rFont val="Calibri"/>
        <family val="2"/>
        <scheme val="minor"/>
      </rPr>
      <t>ORP,GAO,T</t>
    </r>
  </si>
  <si>
    <t>r32</t>
  </si>
  <si>
    <t>GAO anaerobic maintenance</t>
  </si>
  <si>
    <r>
      <t>q</t>
    </r>
    <r>
      <rPr>
        <vertAlign val="subscript"/>
        <sz val="11"/>
        <rFont val="Calibri"/>
        <family val="2"/>
        <scheme val="minor"/>
      </rPr>
      <t>ALPHA</t>
    </r>
  </si>
  <si>
    <r>
      <t>m</t>
    </r>
    <r>
      <rPr>
        <vertAlign val="superscript"/>
        <sz val="11"/>
        <rFont val="Calibri"/>
        <family val="2"/>
        <charset val="238"/>
        <scheme val="minor"/>
      </rPr>
      <t>3</t>
    </r>
    <r>
      <rPr>
        <sz val="11"/>
        <rFont val="Calibri"/>
        <family val="2"/>
        <scheme val="minor"/>
      </rPr>
      <t>.g</t>
    </r>
    <r>
      <rPr>
        <vertAlign val="superscript"/>
        <sz val="11"/>
        <rFont val="Calibri"/>
        <family val="2"/>
        <charset val="238"/>
        <scheme val="minor"/>
      </rPr>
      <t>-1</t>
    </r>
    <r>
      <rPr>
        <sz val="11"/>
        <rFont val="Calibri"/>
        <family val="2"/>
        <charset val="238"/>
        <scheme val="minor"/>
      </rPr>
      <t>.</t>
    </r>
    <r>
      <rPr>
        <sz val="11"/>
        <rFont val="Calibri"/>
        <family val="2"/>
        <scheme val="minor"/>
      </rPr>
      <t>d</t>
    </r>
    <r>
      <rPr>
        <vertAlign val="superscript"/>
        <sz val="11"/>
        <rFont val="Calibri"/>
        <family val="2"/>
        <scheme val="minor"/>
      </rPr>
      <t>-1</t>
    </r>
  </si>
  <si>
    <r>
      <t>S</t>
    </r>
    <r>
      <rPr>
        <vertAlign val="subscript"/>
        <sz val="11"/>
        <rFont val="Calibri"/>
        <family val="2"/>
        <charset val="238"/>
        <scheme val="minor"/>
      </rPr>
      <t>ALPHA,sat</t>
    </r>
  </si>
  <si>
    <r>
      <t>coeff</t>
    </r>
    <r>
      <rPr>
        <vertAlign val="subscript"/>
        <sz val="11"/>
        <rFont val="Calibri"/>
        <family val="2"/>
        <charset val="238"/>
        <scheme val="minor"/>
      </rPr>
      <t>damp,ALPHA</t>
    </r>
  </si>
  <si>
    <r>
      <t>pow</t>
    </r>
    <r>
      <rPr>
        <vertAlign val="subscript"/>
        <sz val="11"/>
        <rFont val="Calibri"/>
        <family val="2"/>
        <charset val="238"/>
        <scheme val="minor"/>
      </rPr>
      <t>damp,ALPHA</t>
    </r>
  </si>
  <si>
    <r>
      <t>sl</t>
    </r>
    <r>
      <rPr>
        <vertAlign val="subscript"/>
        <sz val="11"/>
        <rFont val="Calibri"/>
        <family val="2"/>
        <charset val="238"/>
        <scheme val="minor"/>
      </rPr>
      <t>TSS,</t>
    </r>
    <r>
      <rPr>
        <vertAlign val="subscript"/>
        <sz val="11"/>
        <rFont val="Calibri"/>
        <family val="2"/>
        <charset val="238"/>
      </rPr>
      <t>α</t>
    </r>
    <r>
      <rPr>
        <vertAlign val="subscript"/>
        <sz val="11"/>
        <rFont val="Calibri"/>
        <family val="2"/>
        <charset val="238"/>
        <scheme val="minor"/>
      </rPr>
      <t>,def</t>
    </r>
  </si>
  <si>
    <r>
      <t>sl</t>
    </r>
    <r>
      <rPr>
        <vertAlign val="subscript"/>
        <sz val="11"/>
        <rFont val="Calibri"/>
        <family val="2"/>
        <charset val="238"/>
        <scheme val="minor"/>
      </rPr>
      <t>TSS,α,coarse</t>
    </r>
  </si>
  <si>
    <r>
      <t>coeff</t>
    </r>
    <r>
      <rPr>
        <vertAlign val="subscript"/>
        <sz val="11"/>
        <rFont val="Calibri"/>
        <family val="2"/>
        <charset val="238"/>
        <scheme val="minor"/>
      </rPr>
      <t>lead,TSS,α,mech</t>
    </r>
  </si>
  <si>
    <r>
      <t>coeff</t>
    </r>
    <r>
      <rPr>
        <vertAlign val="subscript"/>
        <sz val="11"/>
        <rFont val="Calibri"/>
        <family val="2"/>
        <charset val="238"/>
        <scheme val="minor"/>
      </rPr>
      <t>lin,TSS,α,mech</t>
    </r>
  </si>
  <si>
    <r>
      <t>const</t>
    </r>
    <r>
      <rPr>
        <vertAlign val="subscript"/>
        <sz val="11"/>
        <color rgb="FF000000"/>
        <rFont val="Calibri"/>
        <family val="2"/>
        <charset val="238"/>
        <scheme val="minor"/>
      </rPr>
      <t>TSS,α,mech</t>
    </r>
  </si>
  <si>
    <r>
      <t>S</t>
    </r>
    <r>
      <rPr>
        <b/>
        <vertAlign val="subscript"/>
        <sz val="12"/>
        <rFont val="Calibri"/>
        <family val="2"/>
        <charset val="238"/>
        <scheme val="minor"/>
      </rPr>
      <t>ALPHA</t>
    </r>
  </si>
  <si>
    <t>Elimination of surfactants</t>
  </si>
  <si>
    <r>
      <rPr>
        <sz val="11"/>
        <rFont val="Calibri"/>
        <family val="2"/>
      </rPr>
      <t>d</t>
    </r>
    <r>
      <rPr>
        <vertAlign val="superscript"/>
        <sz val="11"/>
        <rFont val="Calibri"/>
        <family val="2"/>
      </rPr>
      <t>-1</t>
    </r>
  </si>
  <si>
    <t>Alpha factor influencing expressions</t>
  </si>
  <si>
    <r>
      <t>damp</t>
    </r>
    <r>
      <rPr>
        <vertAlign val="subscript"/>
        <sz val="11"/>
        <rFont val="Calibri"/>
        <family val="2"/>
        <charset val="238"/>
        <scheme val="minor"/>
      </rPr>
      <t>ALPHA</t>
    </r>
  </si>
  <si>
    <r>
      <t>1+coeff</t>
    </r>
    <r>
      <rPr>
        <vertAlign val="subscript"/>
        <sz val="11"/>
        <rFont val="Calibri"/>
        <family val="2"/>
        <charset val="238"/>
        <scheme val="minor"/>
      </rPr>
      <t>damp,ALPHA</t>
    </r>
    <r>
      <rPr>
        <sz val="11"/>
        <rFont val="Calibri"/>
        <family val="2"/>
        <charset val="238"/>
        <scheme val="minor"/>
      </rPr>
      <t>*(</t>
    </r>
    <r>
      <rPr>
        <sz val="11"/>
        <rFont val="Calibri"/>
        <family val="2"/>
        <scheme val="minor"/>
      </rPr>
      <t>S</t>
    </r>
    <r>
      <rPr>
        <vertAlign val="subscript"/>
        <sz val="11"/>
        <rFont val="Calibri"/>
        <family val="2"/>
        <charset val="238"/>
        <scheme val="minor"/>
      </rPr>
      <t>ALPHA</t>
    </r>
    <r>
      <rPr>
        <sz val="11"/>
        <rFont val="Calibri"/>
        <family val="2"/>
        <scheme val="minor"/>
      </rPr>
      <t>/S</t>
    </r>
    <r>
      <rPr>
        <vertAlign val="subscript"/>
        <sz val="11"/>
        <rFont val="Calibri"/>
        <family val="2"/>
        <charset val="238"/>
        <scheme val="minor"/>
      </rPr>
      <t>ALPHA,sat</t>
    </r>
    <r>
      <rPr>
        <sz val="11"/>
        <rFont val="Calibri"/>
        <family val="2"/>
        <charset val="238"/>
        <scheme val="minor"/>
      </rPr>
      <t>)^pow</t>
    </r>
    <r>
      <rPr>
        <vertAlign val="subscript"/>
        <sz val="11"/>
        <rFont val="Calibri"/>
        <family val="2"/>
        <charset val="238"/>
        <scheme val="minor"/>
      </rPr>
      <t>damp,ALPHA</t>
    </r>
  </si>
  <si>
    <r>
      <t>corr</t>
    </r>
    <r>
      <rPr>
        <vertAlign val="subscript"/>
        <sz val="11"/>
        <rFont val="Calibri"/>
        <family val="2"/>
        <charset val="238"/>
        <scheme val="minor"/>
      </rPr>
      <t>TSS,</t>
    </r>
    <r>
      <rPr>
        <vertAlign val="subscript"/>
        <sz val="11"/>
        <rFont val="Calibri"/>
        <family val="2"/>
        <charset val="238"/>
      </rPr>
      <t>α</t>
    </r>
  </si>
  <si>
    <r>
      <t>Exp(</t>
    </r>
    <r>
      <rPr>
        <sz val="11"/>
        <color indexed="8"/>
        <rFont val="Calibri"/>
        <family val="2"/>
      </rPr>
      <t>sl</t>
    </r>
    <r>
      <rPr>
        <vertAlign val="subscript"/>
        <sz val="11"/>
        <color rgb="FF000000"/>
        <rFont val="Calibri"/>
        <family val="2"/>
        <charset val="238"/>
      </rPr>
      <t>TSS,α,def</t>
    </r>
    <r>
      <rPr>
        <sz val="11"/>
        <color rgb="FF000000"/>
        <rFont val="Calibri"/>
        <family val="2"/>
        <charset val="238"/>
      </rPr>
      <t>*X</t>
    </r>
    <r>
      <rPr>
        <vertAlign val="subscript"/>
        <sz val="11"/>
        <color rgb="FF000000"/>
        <rFont val="Calibri"/>
        <family val="2"/>
        <charset val="238"/>
      </rPr>
      <t>TSS</t>
    </r>
    <r>
      <rPr>
        <sz val="11"/>
        <color rgb="FF000000"/>
        <rFont val="Calibri"/>
        <family val="2"/>
        <charset val="238"/>
      </rPr>
      <t>/c</t>
    </r>
    <r>
      <rPr>
        <vertAlign val="subscript"/>
        <sz val="11"/>
        <color rgb="FF000000"/>
        <rFont val="Calibri"/>
        <family val="2"/>
        <charset val="238"/>
      </rPr>
      <t>g,kg</t>
    </r>
    <r>
      <rPr>
        <sz val="11"/>
        <color indexed="8"/>
        <rFont val="Calibri"/>
        <family val="2"/>
      </rPr>
      <t>)</t>
    </r>
  </si>
  <si>
    <r>
      <t>Exp(</t>
    </r>
    <r>
      <rPr>
        <sz val="11"/>
        <color indexed="8"/>
        <rFont val="Calibri"/>
        <family val="2"/>
      </rPr>
      <t>sl</t>
    </r>
    <r>
      <rPr>
        <vertAlign val="subscript"/>
        <sz val="11"/>
        <color rgb="FF000000"/>
        <rFont val="Calibri"/>
        <family val="2"/>
        <charset val="238"/>
      </rPr>
      <t>TSS,α,coarse</t>
    </r>
    <r>
      <rPr>
        <sz val="11"/>
        <color rgb="FF000000"/>
        <rFont val="Calibri"/>
        <family val="2"/>
        <charset val="238"/>
      </rPr>
      <t>*X</t>
    </r>
    <r>
      <rPr>
        <vertAlign val="subscript"/>
        <sz val="11"/>
        <color rgb="FF000000"/>
        <rFont val="Calibri"/>
        <family val="2"/>
        <charset val="238"/>
      </rPr>
      <t>TSS</t>
    </r>
    <r>
      <rPr>
        <sz val="11"/>
        <color rgb="FF000000"/>
        <rFont val="Calibri"/>
        <family val="2"/>
        <charset val="238"/>
      </rPr>
      <t>/c</t>
    </r>
    <r>
      <rPr>
        <vertAlign val="subscript"/>
        <sz val="11"/>
        <color rgb="FF000000"/>
        <rFont val="Calibri"/>
        <family val="2"/>
        <charset val="238"/>
      </rPr>
      <t>g,kg</t>
    </r>
    <r>
      <rPr>
        <sz val="11"/>
        <color indexed="8"/>
        <rFont val="Calibri"/>
        <family val="2"/>
      </rPr>
      <t>)</t>
    </r>
  </si>
  <si>
    <t>SOTECorr_cap</t>
  </si>
  <si>
    <t>SOTEFixed_coarse</t>
  </si>
  <si>
    <r>
      <t>coeff</t>
    </r>
    <r>
      <rPr>
        <vertAlign val="subscript"/>
        <sz val="11"/>
        <rFont val="Calibri"/>
        <family val="2"/>
        <charset val="238"/>
        <scheme val="minor"/>
      </rPr>
      <t>lead,TSS,</t>
    </r>
    <r>
      <rPr>
        <vertAlign val="subscript"/>
        <sz val="11"/>
        <rFont val="Calibri"/>
        <family val="2"/>
        <charset val="238"/>
      </rPr>
      <t>α,mech</t>
    </r>
    <r>
      <rPr>
        <sz val="11"/>
        <rFont val="Calibri"/>
        <family val="2"/>
        <scheme val="minor"/>
      </rPr>
      <t>*(X</t>
    </r>
    <r>
      <rPr>
        <vertAlign val="subscript"/>
        <sz val="11"/>
        <rFont val="Calibri"/>
        <family val="2"/>
        <charset val="238"/>
        <scheme val="minor"/>
      </rPr>
      <t>TSS</t>
    </r>
    <r>
      <rPr>
        <sz val="11"/>
        <rFont val="Calibri"/>
        <family val="2"/>
        <charset val="238"/>
        <scheme val="minor"/>
      </rPr>
      <t>/c</t>
    </r>
    <r>
      <rPr>
        <vertAlign val="subscript"/>
        <sz val="11"/>
        <rFont val="Calibri"/>
        <family val="2"/>
        <charset val="238"/>
        <scheme val="minor"/>
      </rPr>
      <t>g,kg</t>
    </r>
    <r>
      <rPr>
        <sz val="11"/>
        <rFont val="Calibri"/>
        <family val="2"/>
        <charset val="238"/>
        <scheme val="minor"/>
      </rPr>
      <t>)^</t>
    </r>
    <r>
      <rPr>
        <sz val="11"/>
        <rFont val="Calibri"/>
        <family val="2"/>
        <scheme val="minor"/>
      </rPr>
      <t>2 + coeff</t>
    </r>
    <r>
      <rPr>
        <vertAlign val="subscript"/>
        <sz val="11"/>
        <rFont val="Calibri"/>
        <family val="2"/>
        <charset val="238"/>
        <scheme val="minor"/>
      </rPr>
      <t>lin,TSS,α,mech</t>
    </r>
    <r>
      <rPr>
        <sz val="11"/>
        <rFont val="Calibri"/>
        <family val="2"/>
        <scheme val="minor"/>
      </rPr>
      <t xml:space="preserve"> * X</t>
    </r>
    <r>
      <rPr>
        <vertAlign val="subscript"/>
        <sz val="11"/>
        <rFont val="Calibri"/>
        <family val="2"/>
        <charset val="238"/>
        <scheme val="minor"/>
      </rPr>
      <t>TSS</t>
    </r>
    <r>
      <rPr>
        <sz val="11"/>
        <rFont val="Calibri"/>
        <family val="2"/>
        <charset val="238"/>
        <scheme val="minor"/>
      </rPr>
      <t>/c</t>
    </r>
    <r>
      <rPr>
        <vertAlign val="subscript"/>
        <sz val="11"/>
        <rFont val="Calibri"/>
        <family val="2"/>
        <charset val="238"/>
        <scheme val="minor"/>
      </rPr>
      <t>g,kg</t>
    </r>
    <r>
      <rPr>
        <sz val="11"/>
        <rFont val="Calibri"/>
        <family val="2"/>
        <scheme val="minor"/>
      </rPr>
      <t xml:space="preserve"> + const</t>
    </r>
    <r>
      <rPr>
        <vertAlign val="subscript"/>
        <sz val="11"/>
        <rFont val="Calibri"/>
        <family val="2"/>
        <charset val="238"/>
        <scheme val="minor"/>
      </rPr>
      <t>TSS,α,mech</t>
    </r>
  </si>
  <si>
    <t>Mechanical</t>
  </si>
  <si>
    <r>
      <t>α</t>
    </r>
    <r>
      <rPr>
        <vertAlign val="subscript"/>
        <sz val="9.35"/>
        <rFont val="Calibri"/>
        <family val="2"/>
        <charset val="238"/>
      </rPr>
      <t>pred</t>
    </r>
  </si>
  <si>
    <t>Alpha factor predicted</t>
  </si>
  <si>
    <t>Alpha indicator</t>
  </si>
  <si>
    <r>
      <t>Y</t>
    </r>
    <r>
      <rPr>
        <vertAlign val="subscript"/>
        <sz val="11"/>
        <rFont val="Calibri"/>
        <family val="2"/>
        <scheme val="minor"/>
      </rPr>
      <t>CASTO,SB,ana</t>
    </r>
  </si>
  <si>
    <t>Yield of CASTOs on readily biodegradable substrate under anaerobic conditions</t>
  </si>
  <si>
    <r>
      <t>-1/Y</t>
    </r>
    <r>
      <rPr>
        <vertAlign val="subscript"/>
        <sz val="11"/>
        <rFont val="Calibri"/>
        <family val="2"/>
      </rPr>
      <t>CASTO,SB,ana</t>
    </r>
  </si>
  <si>
    <r>
      <t>Y</t>
    </r>
    <r>
      <rPr>
        <vertAlign val="subscript"/>
        <sz val="11"/>
        <rFont val="Calibri"/>
        <family val="2"/>
        <scheme val="minor"/>
      </rPr>
      <t>CASTO,H2,ana,high</t>
    </r>
  </si>
  <si>
    <t>Yield of H2 production in fermentation with high VFA concentration (CASTO)</t>
  </si>
  <si>
    <r>
      <t>(1-Y</t>
    </r>
    <r>
      <rPr>
        <vertAlign val="subscript"/>
        <sz val="11"/>
        <rFont val="Calibri"/>
        <family val="2"/>
      </rPr>
      <t>CASTO,SB,ana</t>
    </r>
    <r>
      <rPr>
        <sz val="11"/>
        <rFont val="Calibri"/>
        <family val="2"/>
      </rPr>
      <t>-Y</t>
    </r>
    <r>
      <rPr>
        <vertAlign val="subscript"/>
        <sz val="11"/>
        <rFont val="Calibri"/>
        <family val="2"/>
      </rPr>
      <t>CASTO,H2,ana,high</t>
    </r>
    <r>
      <rPr>
        <sz val="11"/>
        <rFont val="Calibri"/>
        <family val="2"/>
      </rPr>
      <t>)/Y</t>
    </r>
    <r>
      <rPr>
        <vertAlign val="subscript"/>
        <sz val="11"/>
        <rFont val="Calibri"/>
        <family val="2"/>
      </rPr>
      <t>CASTO,SB,ana</t>
    </r>
  </si>
  <si>
    <r>
      <t>Y</t>
    </r>
    <r>
      <rPr>
        <vertAlign val="subscript"/>
        <sz val="11"/>
        <rFont val="Calibri"/>
        <family val="2"/>
      </rPr>
      <t>CASTO,H2,ana,high</t>
    </r>
    <r>
      <rPr>
        <sz val="11"/>
        <rFont val="Calibri"/>
        <family val="2"/>
      </rPr>
      <t>/Y</t>
    </r>
    <r>
      <rPr>
        <vertAlign val="subscript"/>
        <sz val="11"/>
        <rFont val="Calibri"/>
        <family val="2"/>
      </rPr>
      <t>CASTO,SB,ana</t>
    </r>
  </si>
  <si>
    <r>
      <t>Y</t>
    </r>
    <r>
      <rPr>
        <vertAlign val="subscript"/>
        <sz val="11"/>
        <rFont val="Calibri"/>
        <family val="2"/>
        <scheme val="minor"/>
      </rPr>
      <t>CASTO,H2,ana,low</t>
    </r>
  </si>
  <si>
    <t>Yield of H2 production in fermentation with low VFA concentration (CASTO)</t>
  </si>
  <si>
    <r>
      <t>(1-Y</t>
    </r>
    <r>
      <rPr>
        <vertAlign val="subscript"/>
        <sz val="11"/>
        <rFont val="Calibri"/>
        <family val="2"/>
      </rPr>
      <t>CASTO,SB,ana</t>
    </r>
    <r>
      <rPr>
        <sz val="11"/>
        <rFont val="Calibri"/>
        <family val="2"/>
      </rPr>
      <t>-Y</t>
    </r>
    <r>
      <rPr>
        <vertAlign val="subscript"/>
        <sz val="11"/>
        <rFont val="Calibri"/>
        <family val="2"/>
      </rPr>
      <t>CASTO,H2,ana,low</t>
    </r>
    <r>
      <rPr>
        <sz val="11"/>
        <rFont val="Calibri"/>
        <family val="2"/>
      </rPr>
      <t>)/Y</t>
    </r>
    <r>
      <rPr>
        <vertAlign val="subscript"/>
        <sz val="11"/>
        <rFont val="Calibri"/>
        <family val="2"/>
      </rPr>
      <t>CASTO,SB,ana</t>
    </r>
  </si>
  <si>
    <r>
      <t>Y</t>
    </r>
    <r>
      <rPr>
        <vertAlign val="subscript"/>
        <sz val="11"/>
        <rFont val="Calibri"/>
        <family val="2"/>
      </rPr>
      <t>CASTO,H2,ana,low</t>
    </r>
    <r>
      <rPr>
        <sz val="11"/>
        <rFont val="Calibri"/>
        <family val="2"/>
      </rPr>
      <t>/Y</t>
    </r>
    <r>
      <rPr>
        <vertAlign val="subscript"/>
        <sz val="11"/>
        <rFont val="Calibri"/>
        <family val="2"/>
      </rPr>
      <t>CASTO,SB,ana</t>
    </r>
  </si>
  <si>
    <r>
      <t>Y</t>
    </r>
    <r>
      <rPr>
        <vertAlign val="subscript"/>
        <sz val="11"/>
        <rFont val="Calibri"/>
        <family val="2"/>
        <scheme val="minor"/>
      </rPr>
      <t>PP,CASTO,ox</t>
    </r>
  </si>
  <si>
    <t>Yield of CASTOs consumed per PP uptake under aerobic conditions</t>
  </si>
  <si>
    <r>
      <t>-Y</t>
    </r>
    <r>
      <rPr>
        <vertAlign val="subscript"/>
        <sz val="11"/>
        <rFont val="Calibri"/>
        <family val="2"/>
      </rPr>
      <t>PP,CASTO,ox</t>
    </r>
  </si>
  <si>
    <r>
      <t>i</t>
    </r>
    <r>
      <rPr>
        <vertAlign val="subscript"/>
        <sz val="11"/>
        <rFont val="Calibri"/>
        <family val="2"/>
      </rPr>
      <t>N,BIO</t>
    </r>
    <r>
      <rPr>
        <sz val="11"/>
        <rFont val="Calibri"/>
        <family val="2"/>
      </rPr>
      <t>*Y</t>
    </r>
    <r>
      <rPr>
        <vertAlign val="subscript"/>
        <sz val="11"/>
        <rFont val="Calibri"/>
        <family val="2"/>
      </rPr>
      <t>PP,CASTO,ox</t>
    </r>
  </si>
  <si>
    <r>
      <t>i</t>
    </r>
    <r>
      <rPr>
        <vertAlign val="subscript"/>
        <sz val="11"/>
        <rFont val="Calibri"/>
        <family val="2"/>
      </rPr>
      <t>P,BIO</t>
    </r>
    <r>
      <rPr>
        <sz val="11"/>
        <rFont val="Calibri"/>
        <family val="2"/>
      </rPr>
      <t>*Y</t>
    </r>
    <r>
      <rPr>
        <vertAlign val="subscript"/>
        <sz val="11"/>
        <rFont val="Calibri"/>
        <family val="2"/>
      </rPr>
      <t>PP,CASTO,ox</t>
    </r>
    <r>
      <rPr>
        <sz val="11"/>
        <rFont val="Calibri"/>
        <family val="2"/>
      </rPr>
      <t xml:space="preserve"> -1</t>
    </r>
  </si>
  <si>
    <r>
      <t>i</t>
    </r>
    <r>
      <rPr>
        <vertAlign val="subscript"/>
        <sz val="11"/>
        <rFont val="Calibri"/>
        <family val="2"/>
      </rPr>
      <t>CIT,BIO</t>
    </r>
    <r>
      <rPr>
        <sz val="11"/>
        <rFont val="Calibri"/>
        <family val="2"/>
      </rPr>
      <t>*Y</t>
    </r>
    <r>
      <rPr>
        <vertAlign val="subscript"/>
        <sz val="11"/>
        <rFont val="Calibri"/>
        <family val="2"/>
      </rPr>
      <t>PP,CASTO,ox</t>
    </r>
  </si>
  <si>
    <r>
      <t>-i</t>
    </r>
    <r>
      <rPr>
        <vertAlign val="subscript"/>
        <sz val="11"/>
        <rFont val="Calibri"/>
        <family val="2"/>
      </rPr>
      <t>INORG</t>
    </r>
    <r>
      <rPr>
        <sz val="11"/>
        <rFont val="Calibri"/>
        <family val="2"/>
      </rPr>
      <t>*Y</t>
    </r>
    <r>
      <rPr>
        <vertAlign val="subscript"/>
        <sz val="11"/>
        <rFont val="Calibri"/>
        <family val="2"/>
      </rPr>
      <t>PP,CASTO,ox</t>
    </r>
  </si>
  <si>
    <r>
      <t>Y</t>
    </r>
    <r>
      <rPr>
        <vertAlign val="subscript"/>
        <sz val="11"/>
        <rFont val="Calibri"/>
        <family val="2"/>
      </rPr>
      <t>PP,CASTO,ox</t>
    </r>
    <r>
      <rPr>
        <sz val="11"/>
        <rFont val="Calibri"/>
        <family val="2"/>
      </rPr>
      <t>*i</t>
    </r>
    <r>
      <rPr>
        <vertAlign val="subscript"/>
        <sz val="11"/>
        <rFont val="Calibri"/>
        <family val="2"/>
      </rPr>
      <t>INORG</t>
    </r>
    <r>
      <rPr>
        <sz val="11"/>
        <rFont val="Calibri"/>
        <family val="2"/>
      </rPr>
      <t>*(1-i</t>
    </r>
    <r>
      <rPr>
        <vertAlign val="subscript"/>
        <sz val="11"/>
        <rFont val="Calibri"/>
        <family val="2"/>
      </rPr>
      <t>Ca,INORG</t>
    </r>
    <r>
      <rPr>
        <sz val="11"/>
        <rFont val="Calibri"/>
        <family val="2"/>
      </rPr>
      <t>*(AM</t>
    </r>
    <r>
      <rPr>
        <vertAlign val="subscript"/>
        <sz val="11"/>
        <rFont val="Calibri"/>
        <family val="2"/>
      </rPr>
      <t>Ca</t>
    </r>
    <r>
      <rPr>
        <sz val="11"/>
        <rFont val="Calibri"/>
        <family val="2"/>
      </rPr>
      <t>+2*AM</t>
    </r>
    <r>
      <rPr>
        <vertAlign val="subscript"/>
        <sz val="11"/>
        <rFont val="Calibri"/>
        <family val="2"/>
      </rPr>
      <t>Cl</t>
    </r>
    <r>
      <rPr>
        <sz val="11"/>
        <rFont val="Calibri"/>
        <family val="2"/>
      </rPr>
      <t>)/AM</t>
    </r>
    <r>
      <rPr>
        <vertAlign val="subscript"/>
        <sz val="11"/>
        <rFont val="Calibri"/>
        <family val="2"/>
      </rPr>
      <t>Ca</t>
    </r>
    <r>
      <rPr>
        <sz val="11"/>
        <rFont val="Calibri"/>
        <family val="2"/>
      </rPr>
      <t>-i</t>
    </r>
    <r>
      <rPr>
        <vertAlign val="subscript"/>
        <sz val="11"/>
        <rFont val="Calibri"/>
        <family val="2"/>
      </rPr>
      <t>Mg,INORG</t>
    </r>
    <r>
      <rPr>
        <sz val="11"/>
        <rFont val="Calibri"/>
        <family val="2"/>
      </rPr>
      <t>*(AM</t>
    </r>
    <r>
      <rPr>
        <vertAlign val="subscript"/>
        <sz val="11"/>
        <rFont val="Calibri"/>
        <family val="2"/>
      </rPr>
      <t>Mg</t>
    </r>
    <r>
      <rPr>
        <sz val="11"/>
        <rFont val="Calibri"/>
        <family val="2"/>
      </rPr>
      <t>+2*AM</t>
    </r>
    <r>
      <rPr>
        <vertAlign val="subscript"/>
        <sz val="11"/>
        <rFont val="Calibri"/>
        <family val="2"/>
      </rPr>
      <t>Cl</t>
    </r>
    <r>
      <rPr>
        <sz val="11"/>
        <rFont val="Calibri"/>
        <family val="2"/>
      </rPr>
      <t>)/AM</t>
    </r>
    <r>
      <rPr>
        <vertAlign val="subscript"/>
        <sz val="11"/>
        <rFont val="Calibri"/>
        <family val="2"/>
      </rPr>
      <t>Mg)</t>
    </r>
    <r>
      <rPr>
        <sz val="11"/>
        <rFont val="Calibri"/>
        <family val="2"/>
      </rPr>
      <t>*f</t>
    </r>
    <r>
      <rPr>
        <vertAlign val="subscript"/>
        <sz val="11"/>
        <rFont val="Calibri"/>
        <family val="2"/>
      </rPr>
      <t>Na</t>
    </r>
  </si>
  <si>
    <r>
      <t>Y</t>
    </r>
    <r>
      <rPr>
        <vertAlign val="subscript"/>
        <sz val="11"/>
        <rFont val="Calibri"/>
        <family val="2"/>
      </rPr>
      <t>PP,CASTO,ox</t>
    </r>
    <r>
      <rPr>
        <sz val="11"/>
        <rFont val="Calibri"/>
        <family val="2"/>
      </rPr>
      <t>*(i</t>
    </r>
    <r>
      <rPr>
        <vertAlign val="subscript"/>
        <sz val="11"/>
        <rFont val="Calibri"/>
        <family val="2"/>
      </rPr>
      <t>INORG</t>
    </r>
    <r>
      <rPr>
        <sz val="11"/>
        <rFont val="Calibri"/>
        <family val="2"/>
      </rPr>
      <t>*(i</t>
    </r>
    <r>
      <rPr>
        <vertAlign val="subscript"/>
        <sz val="11"/>
        <rFont val="Calibri"/>
        <family val="2"/>
      </rPr>
      <t>Ca,INORG</t>
    </r>
    <r>
      <rPr>
        <sz val="11"/>
        <rFont val="Calibri"/>
        <family val="2"/>
      </rPr>
      <t>*(2*AM</t>
    </r>
    <r>
      <rPr>
        <vertAlign val="subscript"/>
        <sz val="11"/>
        <rFont val="Calibri"/>
        <family val="2"/>
      </rPr>
      <t>Cl</t>
    </r>
    <r>
      <rPr>
        <sz val="11"/>
        <rFont val="Calibri"/>
        <family val="2"/>
      </rPr>
      <t>)/AM</t>
    </r>
    <r>
      <rPr>
        <vertAlign val="subscript"/>
        <sz val="11"/>
        <rFont val="Calibri"/>
        <family val="2"/>
      </rPr>
      <t>Ca</t>
    </r>
    <r>
      <rPr>
        <sz val="11"/>
        <rFont val="Calibri"/>
        <family val="2"/>
      </rPr>
      <t>+i</t>
    </r>
    <r>
      <rPr>
        <vertAlign val="subscript"/>
        <sz val="11"/>
        <rFont val="Calibri"/>
        <family val="2"/>
      </rPr>
      <t>Mg,INORG</t>
    </r>
    <r>
      <rPr>
        <sz val="11"/>
        <rFont val="Calibri"/>
        <family val="2"/>
      </rPr>
      <t>*(2*AM</t>
    </r>
    <r>
      <rPr>
        <vertAlign val="subscript"/>
        <sz val="11"/>
        <rFont val="Calibri"/>
        <family val="2"/>
      </rPr>
      <t>Cl</t>
    </r>
    <r>
      <rPr>
        <sz val="11"/>
        <rFont val="Calibri"/>
        <family val="2"/>
      </rPr>
      <t>)/AM</t>
    </r>
    <r>
      <rPr>
        <vertAlign val="subscript"/>
        <sz val="11"/>
        <rFont val="Calibri"/>
        <family val="2"/>
      </rPr>
      <t>Mg</t>
    </r>
    <r>
      <rPr>
        <sz val="11"/>
        <rFont val="Calibri"/>
        <family val="2"/>
      </rPr>
      <t>)+i</t>
    </r>
    <r>
      <rPr>
        <vertAlign val="subscript"/>
        <sz val="11"/>
        <rFont val="Calibri"/>
        <family val="2"/>
      </rPr>
      <t>INORG</t>
    </r>
    <r>
      <rPr>
        <sz val="11"/>
        <rFont val="Calibri"/>
        <family val="2"/>
      </rPr>
      <t>*(1-i</t>
    </r>
    <r>
      <rPr>
        <vertAlign val="subscript"/>
        <sz val="11"/>
        <rFont val="Calibri"/>
        <family val="2"/>
      </rPr>
      <t>Ca,INORG</t>
    </r>
    <r>
      <rPr>
        <sz val="11"/>
        <rFont val="Calibri"/>
        <family val="2"/>
      </rPr>
      <t>*(AM</t>
    </r>
    <r>
      <rPr>
        <vertAlign val="subscript"/>
        <sz val="11"/>
        <rFont val="Calibri"/>
        <family val="2"/>
      </rPr>
      <t>Ca</t>
    </r>
    <r>
      <rPr>
        <sz val="11"/>
        <rFont val="Calibri"/>
        <family val="2"/>
      </rPr>
      <t>+2*AM</t>
    </r>
    <r>
      <rPr>
        <vertAlign val="subscript"/>
        <sz val="11"/>
        <rFont val="Calibri"/>
        <family val="2"/>
      </rPr>
      <t>Cl</t>
    </r>
    <r>
      <rPr>
        <sz val="11"/>
        <rFont val="Calibri"/>
        <family val="2"/>
      </rPr>
      <t>)/AM</t>
    </r>
    <r>
      <rPr>
        <vertAlign val="subscript"/>
        <sz val="11"/>
        <rFont val="Calibri"/>
        <family val="2"/>
      </rPr>
      <t>Ca</t>
    </r>
    <r>
      <rPr>
        <sz val="11"/>
        <rFont val="Calibri"/>
        <family val="2"/>
      </rPr>
      <t>-i</t>
    </r>
    <r>
      <rPr>
        <vertAlign val="subscript"/>
        <sz val="11"/>
        <rFont val="Calibri"/>
        <family val="2"/>
      </rPr>
      <t>Mg,INORG</t>
    </r>
    <r>
      <rPr>
        <sz val="11"/>
        <rFont val="Calibri"/>
        <family val="2"/>
      </rPr>
      <t>*(AM</t>
    </r>
    <r>
      <rPr>
        <vertAlign val="subscript"/>
        <sz val="11"/>
        <rFont val="Calibri"/>
        <family val="2"/>
      </rPr>
      <t>Mg</t>
    </r>
    <r>
      <rPr>
        <sz val="11"/>
        <rFont val="Calibri"/>
        <family val="2"/>
      </rPr>
      <t>+2*AM</t>
    </r>
    <r>
      <rPr>
        <vertAlign val="subscript"/>
        <sz val="11"/>
        <rFont val="Calibri"/>
        <family val="2"/>
      </rPr>
      <t>Cl</t>
    </r>
    <r>
      <rPr>
        <sz val="11"/>
        <rFont val="Calibri"/>
        <family val="2"/>
      </rPr>
      <t>)/AM</t>
    </r>
    <r>
      <rPr>
        <vertAlign val="subscript"/>
        <sz val="11"/>
        <rFont val="Calibri"/>
        <family val="2"/>
      </rPr>
      <t>Mg)</t>
    </r>
    <r>
      <rPr>
        <sz val="11"/>
        <rFont val="Calibri"/>
        <family val="2"/>
      </rPr>
      <t>*(1-f</t>
    </r>
    <r>
      <rPr>
        <vertAlign val="subscript"/>
        <sz val="11"/>
        <rFont val="Calibri"/>
        <family val="2"/>
      </rPr>
      <t>Na</t>
    </r>
    <r>
      <rPr>
        <sz val="11"/>
        <rFont val="Calibri"/>
        <family val="2"/>
      </rPr>
      <t>))</t>
    </r>
  </si>
  <si>
    <r>
      <t>Y</t>
    </r>
    <r>
      <rPr>
        <vertAlign val="subscript"/>
        <sz val="11"/>
        <rFont val="Calibri"/>
        <family val="2"/>
      </rPr>
      <t>PP,CASTO,ox</t>
    </r>
    <r>
      <rPr>
        <sz val="11"/>
        <rFont val="Calibri"/>
        <family val="2"/>
      </rPr>
      <t>*i</t>
    </r>
    <r>
      <rPr>
        <vertAlign val="subscript"/>
        <sz val="11"/>
        <rFont val="Calibri"/>
        <family val="2"/>
      </rPr>
      <t>INORG</t>
    </r>
    <r>
      <rPr>
        <sz val="11"/>
        <rFont val="Calibri"/>
        <family val="2"/>
      </rPr>
      <t>*i</t>
    </r>
    <r>
      <rPr>
        <vertAlign val="subscript"/>
        <sz val="11"/>
        <rFont val="Calibri"/>
        <family val="2"/>
      </rPr>
      <t>Ca,INORG</t>
    </r>
    <r>
      <rPr>
        <sz val="11"/>
        <rFont val="Calibri"/>
        <family val="2"/>
      </rPr>
      <t>-i</t>
    </r>
    <r>
      <rPr>
        <vertAlign val="subscript"/>
        <sz val="11"/>
        <rFont val="Calibri"/>
        <family val="2"/>
      </rPr>
      <t>Ca,PP</t>
    </r>
    <r>
      <rPr>
        <sz val="11"/>
        <rFont val="Calibri"/>
        <family val="2"/>
      </rPr>
      <t>*AM</t>
    </r>
    <r>
      <rPr>
        <vertAlign val="subscript"/>
        <sz val="11"/>
        <rFont val="Calibri"/>
        <family val="2"/>
      </rPr>
      <t>Ca</t>
    </r>
    <r>
      <rPr>
        <sz val="11"/>
        <rFont val="Calibri"/>
        <family val="2"/>
      </rPr>
      <t>/AM</t>
    </r>
    <r>
      <rPr>
        <vertAlign val="subscript"/>
        <sz val="11"/>
        <rFont val="Calibri"/>
        <family val="2"/>
      </rPr>
      <t>P</t>
    </r>
  </si>
  <si>
    <r>
      <t>Y</t>
    </r>
    <r>
      <rPr>
        <vertAlign val="subscript"/>
        <sz val="11"/>
        <rFont val="Calibri"/>
        <family val="2"/>
      </rPr>
      <t>PP,CASTO,ox</t>
    </r>
    <r>
      <rPr>
        <sz val="11"/>
        <rFont val="Calibri"/>
        <family val="2"/>
      </rPr>
      <t>*i</t>
    </r>
    <r>
      <rPr>
        <vertAlign val="subscript"/>
        <sz val="11"/>
        <rFont val="Calibri"/>
        <family val="2"/>
      </rPr>
      <t>INORG</t>
    </r>
    <r>
      <rPr>
        <sz val="11"/>
        <rFont val="Calibri"/>
        <family val="2"/>
      </rPr>
      <t>*i</t>
    </r>
    <r>
      <rPr>
        <vertAlign val="subscript"/>
        <sz val="11"/>
        <rFont val="Calibri"/>
        <family val="2"/>
      </rPr>
      <t>Mg,INORG</t>
    </r>
    <r>
      <rPr>
        <sz val="11"/>
        <rFont val="Calibri"/>
        <family val="2"/>
      </rPr>
      <t>-i</t>
    </r>
    <r>
      <rPr>
        <vertAlign val="subscript"/>
        <sz val="11"/>
        <rFont val="Calibri"/>
        <family val="2"/>
      </rPr>
      <t>Mg,PP</t>
    </r>
    <r>
      <rPr>
        <sz val="11"/>
        <rFont val="Calibri"/>
        <family val="2"/>
      </rPr>
      <t>*AM</t>
    </r>
    <r>
      <rPr>
        <vertAlign val="subscript"/>
        <sz val="11"/>
        <rFont val="Calibri"/>
        <family val="2"/>
      </rPr>
      <t>Mg</t>
    </r>
    <r>
      <rPr>
        <sz val="11"/>
        <rFont val="Calibri"/>
        <family val="2"/>
      </rPr>
      <t>/AM</t>
    </r>
    <r>
      <rPr>
        <vertAlign val="subscript"/>
        <sz val="11"/>
        <rFont val="Calibri"/>
        <family val="2"/>
      </rPr>
      <t>P</t>
    </r>
  </si>
  <si>
    <t>Yield of CASTOs consumed per PP uptake under anoxic conditions</t>
  </si>
  <si>
    <r>
      <t>Y</t>
    </r>
    <r>
      <rPr>
        <vertAlign val="subscript"/>
        <sz val="11"/>
        <rFont val="Calibri"/>
        <family val="2"/>
        <scheme val="minor"/>
      </rPr>
      <t>PP,CASTO,anox</t>
    </r>
  </si>
  <si>
    <r>
      <t>-Y</t>
    </r>
    <r>
      <rPr>
        <vertAlign val="subscript"/>
        <sz val="11"/>
        <rFont val="Calibri"/>
        <family val="2"/>
      </rPr>
      <t>PP,CASTO,anox</t>
    </r>
  </si>
  <si>
    <r>
      <t>i</t>
    </r>
    <r>
      <rPr>
        <vertAlign val="subscript"/>
        <sz val="11"/>
        <rFont val="Calibri"/>
        <family val="2"/>
      </rPr>
      <t>N,BIO</t>
    </r>
    <r>
      <rPr>
        <sz val="11"/>
        <rFont val="Calibri"/>
        <family val="2"/>
      </rPr>
      <t>*Y</t>
    </r>
    <r>
      <rPr>
        <vertAlign val="subscript"/>
        <sz val="11"/>
        <rFont val="Calibri"/>
        <family val="2"/>
      </rPr>
      <t>PP,CASTO,anox</t>
    </r>
  </si>
  <si>
    <r>
      <t>-Y</t>
    </r>
    <r>
      <rPr>
        <vertAlign val="subscript"/>
        <sz val="11"/>
        <rFont val="Calibri"/>
        <family val="2"/>
      </rPr>
      <t>PP,CASTO,anox</t>
    </r>
    <r>
      <rPr>
        <sz val="11"/>
        <rFont val="Calibri"/>
        <family val="2"/>
      </rPr>
      <t>/EEQ</t>
    </r>
    <r>
      <rPr>
        <vertAlign val="subscript"/>
        <sz val="11"/>
        <rFont val="Calibri"/>
        <family val="2"/>
      </rPr>
      <t>N2,NO3</t>
    </r>
  </si>
  <si>
    <r>
      <t>Y</t>
    </r>
    <r>
      <rPr>
        <vertAlign val="subscript"/>
        <sz val="11"/>
        <rFont val="Calibri"/>
        <family val="2"/>
      </rPr>
      <t>PP,CASTO,anox</t>
    </r>
    <r>
      <rPr>
        <sz val="11"/>
        <rFont val="Calibri"/>
        <family val="2"/>
      </rPr>
      <t>/EEQ</t>
    </r>
    <r>
      <rPr>
        <vertAlign val="subscript"/>
        <sz val="11"/>
        <rFont val="Calibri"/>
        <family val="2"/>
      </rPr>
      <t>N2,NO3</t>
    </r>
  </si>
  <si>
    <r>
      <t>i</t>
    </r>
    <r>
      <rPr>
        <vertAlign val="subscript"/>
        <sz val="11"/>
        <rFont val="Calibri"/>
        <family val="2"/>
      </rPr>
      <t>P,BIO</t>
    </r>
    <r>
      <rPr>
        <sz val="11"/>
        <rFont val="Calibri"/>
        <family val="2"/>
      </rPr>
      <t>*Y</t>
    </r>
    <r>
      <rPr>
        <vertAlign val="subscript"/>
        <sz val="11"/>
        <rFont val="Calibri"/>
        <family val="2"/>
      </rPr>
      <t>PP,CASTO,anox</t>
    </r>
    <r>
      <rPr>
        <sz val="11"/>
        <rFont val="Calibri"/>
        <family val="2"/>
      </rPr>
      <t xml:space="preserve"> -1</t>
    </r>
  </si>
  <si>
    <r>
      <t>i</t>
    </r>
    <r>
      <rPr>
        <vertAlign val="subscript"/>
        <sz val="11"/>
        <rFont val="Calibri"/>
        <family val="2"/>
      </rPr>
      <t>CIT,BIO</t>
    </r>
    <r>
      <rPr>
        <sz val="11"/>
        <rFont val="Calibri"/>
        <family val="2"/>
      </rPr>
      <t>*Y</t>
    </r>
    <r>
      <rPr>
        <vertAlign val="subscript"/>
        <sz val="11"/>
        <rFont val="Calibri"/>
        <family val="2"/>
      </rPr>
      <t>PP,CASTO,anox</t>
    </r>
  </si>
  <si>
    <r>
      <t>-i</t>
    </r>
    <r>
      <rPr>
        <vertAlign val="subscript"/>
        <sz val="11"/>
        <rFont val="Calibri"/>
        <family val="2"/>
      </rPr>
      <t>INORG</t>
    </r>
    <r>
      <rPr>
        <sz val="11"/>
        <rFont val="Calibri"/>
        <family val="2"/>
      </rPr>
      <t>*Y</t>
    </r>
    <r>
      <rPr>
        <vertAlign val="subscript"/>
        <sz val="11"/>
        <rFont val="Calibri"/>
        <family val="2"/>
      </rPr>
      <t>PP,CASTO,anox</t>
    </r>
  </si>
  <si>
    <r>
      <t>Y</t>
    </r>
    <r>
      <rPr>
        <vertAlign val="subscript"/>
        <sz val="11"/>
        <rFont val="Calibri"/>
        <family val="2"/>
      </rPr>
      <t>PP,CASTO,anox</t>
    </r>
    <r>
      <rPr>
        <sz val="11"/>
        <rFont val="Calibri"/>
        <family val="2"/>
      </rPr>
      <t>*i</t>
    </r>
    <r>
      <rPr>
        <vertAlign val="subscript"/>
        <sz val="11"/>
        <rFont val="Calibri"/>
        <family val="2"/>
      </rPr>
      <t>INORG</t>
    </r>
    <r>
      <rPr>
        <sz val="11"/>
        <rFont val="Calibri"/>
        <family val="2"/>
      </rPr>
      <t>*(1-i</t>
    </r>
    <r>
      <rPr>
        <vertAlign val="subscript"/>
        <sz val="11"/>
        <rFont val="Calibri"/>
        <family val="2"/>
      </rPr>
      <t>Ca,INORG</t>
    </r>
    <r>
      <rPr>
        <sz val="11"/>
        <rFont val="Calibri"/>
        <family val="2"/>
      </rPr>
      <t>*(AM</t>
    </r>
    <r>
      <rPr>
        <vertAlign val="subscript"/>
        <sz val="11"/>
        <rFont val="Calibri"/>
        <family val="2"/>
      </rPr>
      <t>Ca</t>
    </r>
    <r>
      <rPr>
        <sz val="11"/>
        <rFont val="Calibri"/>
        <family val="2"/>
      </rPr>
      <t>+2*AM</t>
    </r>
    <r>
      <rPr>
        <vertAlign val="subscript"/>
        <sz val="11"/>
        <rFont val="Calibri"/>
        <family val="2"/>
      </rPr>
      <t>Cl</t>
    </r>
    <r>
      <rPr>
        <sz val="11"/>
        <rFont val="Calibri"/>
        <family val="2"/>
      </rPr>
      <t>)/AM</t>
    </r>
    <r>
      <rPr>
        <vertAlign val="subscript"/>
        <sz val="11"/>
        <rFont val="Calibri"/>
        <family val="2"/>
      </rPr>
      <t>Ca</t>
    </r>
    <r>
      <rPr>
        <sz val="11"/>
        <rFont val="Calibri"/>
        <family val="2"/>
      </rPr>
      <t>-i</t>
    </r>
    <r>
      <rPr>
        <vertAlign val="subscript"/>
        <sz val="11"/>
        <rFont val="Calibri"/>
        <family val="2"/>
      </rPr>
      <t>Mg,INORG</t>
    </r>
    <r>
      <rPr>
        <sz val="11"/>
        <rFont val="Calibri"/>
        <family val="2"/>
      </rPr>
      <t>*(AM</t>
    </r>
    <r>
      <rPr>
        <vertAlign val="subscript"/>
        <sz val="11"/>
        <rFont val="Calibri"/>
        <family val="2"/>
      </rPr>
      <t>Mg</t>
    </r>
    <r>
      <rPr>
        <sz val="11"/>
        <rFont val="Calibri"/>
        <family val="2"/>
      </rPr>
      <t>+2*AM</t>
    </r>
    <r>
      <rPr>
        <vertAlign val="subscript"/>
        <sz val="11"/>
        <rFont val="Calibri"/>
        <family val="2"/>
      </rPr>
      <t>Cl</t>
    </r>
    <r>
      <rPr>
        <sz val="11"/>
        <rFont val="Calibri"/>
        <family val="2"/>
      </rPr>
      <t>)/AM</t>
    </r>
    <r>
      <rPr>
        <vertAlign val="subscript"/>
        <sz val="11"/>
        <rFont val="Calibri"/>
        <family val="2"/>
      </rPr>
      <t>Mg)</t>
    </r>
    <r>
      <rPr>
        <sz val="11"/>
        <rFont val="Calibri"/>
        <family val="2"/>
      </rPr>
      <t>*f</t>
    </r>
    <r>
      <rPr>
        <vertAlign val="subscript"/>
        <sz val="11"/>
        <rFont val="Calibri"/>
        <family val="2"/>
      </rPr>
      <t>Na</t>
    </r>
  </si>
  <si>
    <r>
      <t>Y</t>
    </r>
    <r>
      <rPr>
        <vertAlign val="subscript"/>
        <sz val="11"/>
        <rFont val="Calibri"/>
        <family val="2"/>
      </rPr>
      <t>PP,CASTO,anox</t>
    </r>
    <r>
      <rPr>
        <sz val="11"/>
        <rFont val="Calibri"/>
        <family val="2"/>
      </rPr>
      <t>*(i</t>
    </r>
    <r>
      <rPr>
        <vertAlign val="subscript"/>
        <sz val="11"/>
        <rFont val="Calibri"/>
        <family val="2"/>
      </rPr>
      <t>INORG</t>
    </r>
    <r>
      <rPr>
        <sz val="11"/>
        <rFont val="Calibri"/>
        <family val="2"/>
      </rPr>
      <t>*(i</t>
    </r>
    <r>
      <rPr>
        <vertAlign val="subscript"/>
        <sz val="11"/>
        <rFont val="Calibri"/>
        <family val="2"/>
      </rPr>
      <t>Ca,INORG</t>
    </r>
    <r>
      <rPr>
        <sz val="11"/>
        <rFont val="Calibri"/>
        <family val="2"/>
      </rPr>
      <t>*(2*AM</t>
    </r>
    <r>
      <rPr>
        <vertAlign val="subscript"/>
        <sz val="11"/>
        <rFont val="Calibri"/>
        <family val="2"/>
      </rPr>
      <t>Cl</t>
    </r>
    <r>
      <rPr>
        <sz val="11"/>
        <rFont val="Calibri"/>
        <family val="2"/>
      </rPr>
      <t>)/AM</t>
    </r>
    <r>
      <rPr>
        <vertAlign val="subscript"/>
        <sz val="11"/>
        <rFont val="Calibri"/>
        <family val="2"/>
      </rPr>
      <t>Ca</t>
    </r>
    <r>
      <rPr>
        <sz val="11"/>
        <rFont val="Calibri"/>
        <family val="2"/>
      </rPr>
      <t>+i</t>
    </r>
    <r>
      <rPr>
        <vertAlign val="subscript"/>
        <sz val="11"/>
        <rFont val="Calibri"/>
        <family val="2"/>
      </rPr>
      <t>Mg,INORG</t>
    </r>
    <r>
      <rPr>
        <sz val="11"/>
        <rFont val="Calibri"/>
        <family val="2"/>
      </rPr>
      <t>*(2*AM</t>
    </r>
    <r>
      <rPr>
        <vertAlign val="subscript"/>
        <sz val="11"/>
        <rFont val="Calibri"/>
        <family val="2"/>
      </rPr>
      <t>Cl</t>
    </r>
    <r>
      <rPr>
        <sz val="11"/>
        <rFont val="Calibri"/>
        <family val="2"/>
      </rPr>
      <t>)/AM</t>
    </r>
    <r>
      <rPr>
        <vertAlign val="subscript"/>
        <sz val="11"/>
        <rFont val="Calibri"/>
        <family val="2"/>
      </rPr>
      <t>Mg</t>
    </r>
    <r>
      <rPr>
        <sz val="11"/>
        <rFont val="Calibri"/>
        <family val="2"/>
      </rPr>
      <t>)+i</t>
    </r>
    <r>
      <rPr>
        <vertAlign val="subscript"/>
        <sz val="11"/>
        <rFont val="Calibri"/>
        <family val="2"/>
      </rPr>
      <t>INORG</t>
    </r>
    <r>
      <rPr>
        <sz val="11"/>
        <rFont val="Calibri"/>
        <family val="2"/>
      </rPr>
      <t>*(1-i</t>
    </r>
    <r>
      <rPr>
        <vertAlign val="subscript"/>
        <sz val="11"/>
        <rFont val="Calibri"/>
        <family val="2"/>
      </rPr>
      <t>Ca,INORG</t>
    </r>
    <r>
      <rPr>
        <sz val="11"/>
        <rFont val="Calibri"/>
        <family val="2"/>
      </rPr>
      <t>*(AM</t>
    </r>
    <r>
      <rPr>
        <vertAlign val="subscript"/>
        <sz val="11"/>
        <rFont val="Calibri"/>
        <family val="2"/>
      </rPr>
      <t>Ca</t>
    </r>
    <r>
      <rPr>
        <sz val="11"/>
        <rFont val="Calibri"/>
        <family val="2"/>
      </rPr>
      <t>+2*AM</t>
    </r>
    <r>
      <rPr>
        <vertAlign val="subscript"/>
        <sz val="11"/>
        <rFont val="Calibri"/>
        <family val="2"/>
      </rPr>
      <t>Cl</t>
    </r>
    <r>
      <rPr>
        <sz val="11"/>
        <rFont val="Calibri"/>
        <family val="2"/>
      </rPr>
      <t>)/AM</t>
    </r>
    <r>
      <rPr>
        <vertAlign val="subscript"/>
        <sz val="11"/>
        <rFont val="Calibri"/>
        <family val="2"/>
      </rPr>
      <t>Ca</t>
    </r>
    <r>
      <rPr>
        <sz val="11"/>
        <rFont val="Calibri"/>
        <family val="2"/>
      </rPr>
      <t>-i</t>
    </r>
    <r>
      <rPr>
        <vertAlign val="subscript"/>
        <sz val="11"/>
        <rFont val="Calibri"/>
        <family val="2"/>
      </rPr>
      <t>Mg,INORG</t>
    </r>
    <r>
      <rPr>
        <sz val="11"/>
        <rFont val="Calibri"/>
        <family val="2"/>
      </rPr>
      <t>*(AM</t>
    </r>
    <r>
      <rPr>
        <vertAlign val="subscript"/>
        <sz val="11"/>
        <rFont val="Calibri"/>
        <family val="2"/>
      </rPr>
      <t>Mg</t>
    </r>
    <r>
      <rPr>
        <sz val="11"/>
        <rFont val="Calibri"/>
        <family val="2"/>
      </rPr>
      <t>+2*AM</t>
    </r>
    <r>
      <rPr>
        <vertAlign val="subscript"/>
        <sz val="11"/>
        <rFont val="Calibri"/>
        <family val="2"/>
      </rPr>
      <t>Cl</t>
    </r>
    <r>
      <rPr>
        <sz val="11"/>
        <rFont val="Calibri"/>
        <family val="2"/>
      </rPr>
      <t>)/AM</t>
    </r>
    <r>
      <rPr>
        <vertAlign val="subscript"/>
        <sz val="11"/>
        <rFont val="Calibri"/>
        <family val="2"/>
      </rPr>
      <t>Mg)</t>
    </r>
    <r>
      <rPr>
        <sz val="11"/>
        <rFont val="Calibri"/>
        <family val="2"/>
      </rPr>
      <t>*(1-f</t>
    </r>
    <r>
      <rPr>
        <vertAlign val="subscript"/>
        <sz val="11"/>
        <rFont val="Calibri"/>
        <family val="2"/>
      </rPr>
      <t>Na</t>
    </r>
    <r>
      <rPr>
        <sz val="11"/>
        <rFont val="Calibri"/>
        <family val="2"/>
      </rPr>
      <t>))</t>
    </r>
  </si>
  <si>
    <r>
      <t>Y</t>
    </r>
    <r>
      <rPr>
        <vertAlign val="subscript"/>
        <sz val="11"/>
        <rFont val="Calibri"/>
        <family val="2"/>
      </rPr>
      <t>PP,CASTO,anox</t>
    </r>
    <r>
      <rPr>
        <sz val="11"/>
        <rFont val="Calibri"/>
        <family val="2"/>
      </rPr>
      <t>*i</t>
    </r>
    <r>
      <rPr>
        <vertAlign val="subscript"/>
        <sz val="11"/>
        <rFont val="Calibri"/>
        <family val="2"/>
      </rPr>
      <t>INORG</t>
    </r>
    <r>
      <rPr>
        <sz val="11"/>
        <rFont val="Calibri"/>
        <family val="2"/>
      </rPr>
      <t>*i</t>
    </r>
    <r>
      <rPr>
        <vertAlign val="subscript"/>
        <sz val="11"/>
        <rFont val="Calibri"/>
        <family val="2"/>
      </rPr>
      <t>Ca,INORG</t>
    </r>
    <r>
      <rPr>
        <sz val="11"/>
        <rFont val="Calibri"/>
        <family val="2"/>
      </rPr>
      <t>-i</t>
    </r>
    <r>
      <rPr>
        <vertAlign val="subscript"/>
        <sz val="11"/>
        <rFont val="Calibri"/>
        <family val="2"/>
      </rPr>
      <t>Ca,PP</t>
    </r>
    <r>
      <rPr>
        <sz val="11"/>
        <rFont val="Calibri"/>
        <family val="2"/>
      </rPr>
      <t>*AM</t>
    </r>
    <r>
      <rPr>
        <vertAlign val="subscript"/>
        <sz val="11"/>
        <rFont val="Calibri"/>
        <family val="2"/>
      </rPr>
      <t>Ca</t>
    </r>
    <r>
      <rPr>
        <sz val="11"/>
        <rFont val="Calibri"/>
        <family val="2"/>
      </rPr>
      <t>/AM</t>
    </r>
    <r>
      <rPr>
        <vertAlign val="subscript"/>
        <sz val="11"/>
        <rFont val="Calibri"/>
        <family val="2"/>
      </rPr>
      <t>P</t>
    </r>
  </si>
  <si>
    <r>
      <t>Y</t>
    </r>
    <r>
      <rPr>
        <vertAlign val="subscript"/>
        <sz val="11"/>
        <rFont val="Calibri"/>
        <family val="2"/>
      </rPr>
      <t>PP,CASTO,anox</t>
    </r>
    <r>
      <rPr>
        <sz val="11"/>
        <rFont val="Calibri"/>
        <family val="2"/>
      </rPr>
      <t>*i</t>
    </r>
    <r>
      <rPr>
        <vertAlign val="subscript"/>
        <sz val="11"/>
        <rFont val="Calibri"/>
        <family val="2"/>
      </rPr>
      <t>INORG</t>
    </r>
    <r>
      <rPr>
        <sz val="11"/>
        <rFont val="Calibri"/>
        <family val="2"/>
      </rPr>
      <t>*i</t>
    </r>
    <r>
      <rPr>
        <vertAlign val="subscript"/>
        <sz val="11"/>
        <rFont val="Calibri"/>
        <family val="2"/>
      </rPr>
      <t>Mg,INORG</t>
    </r>
    <r>
      <rPr>
        <sz val="11"/>
        <rFont val="Calibri"/>
        <family val="2"/>
      </rPr>
      <t>-i</t>
    </r>
    <r>
      <rPr>
        <vertAlign val="subscript"/>
        <sz val="11"/>
        <rFont val="Calibri"/>
        <family val="2"/>
      </rPr>
      <t>Mg,PP</t>
    </r>
    <r>
      <rPr>
        <sz val="11"/>
        <rFont val="Calibri"/>
        <family val="2"/>
      </rPr>
      <t>*AM</t>
    </r>
    <r>
      <rPr>
        <vertAlign val="subscript"/>
        <sz val="11"/>
        <rFont val="Calibri"/>
        <family val="2"/>
      </rPr>
      <t>Mg</t>
    </r>
    <r>
      <rPr>
        <sz val="11"/>
        <rFont val="Calibri"/>
        <family val="2"/>
      </rPr>
      <t>/AM</t>
    </r>
    <r>
      <rPr>
        <vertAlign val="subscript"/>
        <sz val="11"/>
        <rFont val="Calibri"/>
        <family val="2"/>
      </rPr>
      <t>P</t>
    </r>
  </si>
  <si>
    <r>
      <t>f(X</t>
    </r>
    <r>
      <rPr>
        <vertAlign val="subscript"/>
        <sz val="11"/>
        <rFont val="Calibri"/>
        <family val="2"/>
      </rPr>
      <t>CASTO</t>
    </r>
    <r>
      <rPr>
        <sz val="11"/>
        <rFont val="Calibri"/>
        <family val="2"/>
      </rPr>
      <t>)</t>
    </r>
  </si>
  <si>
    <r>
      <t>X</t>
    </r>
    <r>
      <rPr>
        <b/>
        <vertAlign val="subscript"/>
        <sz val="11"/>
        <rFont val="Calibri"/>
        <family val="2"/>
        <scheme val="minor"/>
      </rPr>
      <t>CASTO</t>
    </r>
  </si>
  <si>
    <r>
      <t>X</t>
    </r>
    <r>
      <rPr>
        <vertAlign val="subscript"/>
        <sz val="11"/>
        <rFont val="Calibri"/>
        <family val="2"/>
        <scheme val="minor"/>
      </rPr>
      <t>GAO</t>
    </r>
  </si>
  <si>
    <r>
      <t>act</t>
    </r>
    <r>
      <rPr>
        <vertAlign val="subscript"/>
        <sz val="11"/>
        <rFont val="Calibri"/>
        <family val="2"/>
        <scheme val="minor"/>
      </rPr>
      <t>PAO</t>
    </r>
    <r>
      <rPr>
        <sz val="11"/>
        <rFont val="Calibri"/>
        <family val="2"/>
        <scheme val="minor"/>
      </rPr>
      <t xml:space="preserve"> * X</t>
    </r>
    <r>
      <rPr>
        <vertAlign val="subscript"/>
        <sz val="11"/>
        <rFont val="Calibri"/>
        <family val="2"/>
        <scheme val="minor"/>
      </rPr>
      <t>CASTO</t>
    </r>
  </si>
  <si>
    <r>
      <t>act</t>
    </r>
    <r>
      <rPr>
        <vertAlign val="subscript"/>
        <sz val="11"/>
        <rFont val="Calibri"/>
        <family val="2"/>
        <scheme val="minor"/>
      </rPr>
      <t>GAO</t>
    </r>
    <r>
      <rPr>
        <sz val="11"/>
        <rFont val="Calibri"/>
        <family val="2"/>
        <scheme val="minor"/>
      </rPr>
      <t xml:space="preserve"> * X</t>
    </r>
    <r>
      <rPr>
        <vertAlign val="subscript"/>
        <sz val="11"/>
        <rFont val="Calibri"/>
        <family val="2"/>
        <scheme val="minor"/>
      </rPr>
      <t>CASTO</t>
    </r>
  </si>
  <si>
    <r>
      <t>act</t>
    </r>
    <r>
      <rPr>
        <vertAlign val="subscript"/>
        <sz val="11"/>
        <rFont val="Calibri"/>
        <family val="2"/>
        <scheme val="minor"/>
      </rPr>
      <t>PAO</t>
    </r>
  </si>
  <si>
    <r>
      <t>act</t>
    </r>
    <r>
      <rPr>
        <vertAlign val="subscript"/>
        <sz val="11"/>
        <rFont val="Calibri"/>
        <family val="2"/>
        <scheme val="minor"/>
      </rPr>
      <t>GAO</t>
    </r>
  </si>
  <si>
    <t>PAO activity of CASTOs</t>
  </si>
  <si>
    <t>GAO activity of CASTOs</t>
  </si>
  <si>
    <t>Carbon storing organisms (CASTO)</t>
  </si>
  <si>
    <r>
      <t>X</t>
    </r>
    <r>
      <rPr>
        <vertAlign val="subscript"/>
        <sz val="11"/>
        <rFont val="Calibri"/>
        <family val="2"/>
      </rPr>
      <t>PP</t>
    </r>
    <r>
      <rPr>
        <sz val="11"/>
        <rFont val="Calibri"/>
        <family val="2"/>
      </rPr>
      <t>/X</t>
    </r>
    <r>
      <rPr>
        <vertAlign val="subscript"/>
        <sz val="11"/>
        <rFont val="Calibri"/>
        <family val="2"/>
      </rPr>
      <t>CASTO</t>
    </r>
  </si>
  <si>
    <r>
      <t>-X</t>
    </r>
    <r>
      <rPr>
        <vertAlign val="subscript"/>
        <sz val="11"/>
        <rFont val="Calibri"/>
        <family val="2"/>
      </rPr>
      <t>PP</t>
    </r>
    <r>
      <rPr>
        <sz val="11"/>
        <rFont val="Calibri"/>
        <family val="2"/>
      </rPr>
      <t>/X</t>
    </r>
    <r>
      <rPr>
        <vertAlign val="subscript"/>
        <sz val="11"/>
        <rFont val="Calibri"/>
        <family val="2"/>
      </rPr>
      <t>CASTO</t>
    </r>
  </si>
  <si>
    <r>
      <t>X</t>
    </r>
    <r>
      <rPr>
        <vertAlign val="subscript"/>
        <sz val="11"/>
        <rFont val="Calibri"/>
        <family val="2"/>
      </rPr>
      <t>PP</t>
    </r>
    <r>
      <rPr>
        <sz val="11"/>
        <rFont val="Calibri"/>
        <family val="2"/>
      </rPr>
      <t>*AM</t>
    </r>
    <r>
      <rPr>
        <vertAlign val="subscript"/>
        <sz val="11"/>
        <rFont val="Calibri"/>
        <family val="2"/>
      </rPr>
      <t>K</t>
    </r>
    <r>
      <rPr>
        <sz val="11"/>
        <rFont val="Calibri"/>
        <family val="2"/>
      </rPr>
      <t>/AM</t>
    </r>
    <r>
      <rPr>
        <vertAlign val="subscript"/>
        <sz val="11"/>
        <rFont val="Calibri"/>
        <family val="2"/>
      </rPr>
      <t>P</t>
    </r>
    <r>
      <rPr>
        <sz val="11"/>
        <rFont val="Calibri"/>
        <family val="2"/>
      </rPr>
      <t>*i</t>
    </r>
    <r>
      <rPr>
        <vertAlign val="subscript"/>
        <sz val="11"/>
        <rFont val="Calibri"/>
        <family val="2"/>
      </rPr>
      <t>K,PP</t>
    </r>
    <r>
      <rPr>
        <sz val="11"/>
        <rFont val="Calibri"/>
        <family val="2"/>
      </rPr>
      <t>/X</t>
    </r>
    <r>
      <rPr>
        <vertAlign val="subscript"/>
        <sz val="11"/>
        <rFont val="Calibri"/>
        <family val="2"/>
      </rPr>
      <t>CASTO</t>
    </r>
  </si>
  <si>
    <r>
      <t>X</t>
    </r>
    <r>
      <rPr>
        <vertAlign val="subscript"/>
        <sz val="11"/>
        <rFont val="Calibri"/>
        <family val="2"/>
        <scheme val="minor"/>
      </rPr>
      <t>STC</t>
    </r>
  </si>
  <si>
    <r>
      <t>g X</t>
    </r>
    <r>
      <rPr>
        <vertAlign val="subscript"/>
        <sz val="11"/>
        <rFont val="Calibri"/>
        <family val="2"/>
        <scheme val="minor"/>
      </rPr>
      <t>CASTO</t>
    </r>
    <r>
      <rPr>
        <sz val="11"/>
        <rFont val="Calibri"/>
        <family val="2"/>
        <scheme val="minor"/>
      </rPr>
      <t>.g X</t>
    </r>
    <r>
      <rPr>
        <vertAlign val="subscript"/>
        <sz val="11"/>
        <rFont val="Calibri"/>
        <family val="2"/>
        <scheme val="minor"/>
      </rPr>
      <t>STC</t>
    </r>
    <r>
      <rPr>
        <vertAlign val="superscript"/>
        <sz val="11"/>
        <rFont val="Calibri"/>
        <family val="2"/>
        <scheme val="minor"/>
      </rPr>
      <t>-1</t>
    </r>
  </si>
  <si>
    <r>
      <t>X</t>
    </r>
    <r>
      <rPr>
        <vertAlign val="subscript"/>
        <sz val="11"/>
        <rFont val="Calibri"/>
        <family val="2"/>
      </rPr>
      <t>STC</t>
    </r>
    <r>
      <rPr>
        <sz val="11"/>
        <rFont val="Calibri"/>
        <family val="2"/>
      </rPr>
      <t>/X</t>
    </r>
    <r>
      <rPr>
        <vertAlign val="subscript"/>
        <sz val="11"/>
        <rFont val="Calibri"/>
        <family val="2"/>
      </rPr>
      <t>CASTO</t>
    </r>
  </si>
  <si>
    <r>
      <t>MRsat</t>
    </r>
    <r>
      <rPr>
        <vertAlign val="subscript"/>
        <sz val="11"/>
        <rFont val="Calibri"/>
        <family val="2"/>
        <scheme val="minor"/>
      </rPr>
      <t>XSTC,XCASTO,KSTC</t>
    </r>
  </si>
  <si>
    <r>
      <t>MRsat(X</t>
    </r>
    <r>
      <rPr>
        <vertAlign val="subscript"/>
        <sz val="11"/>
        <rFont val="Calibri"/>
        <family val="2"/>
        <scheme val="minor"/>
      </rPr>
      <t>STC</t>
    </r>
    <r>
      <rPr>
        <sz val="11"/>
        <rFont val="Calibri"/>
        <family val="2"/>
        <scheme val="minor"/>
      </rPr>
      <t>;X</t>
    </r>
    <r>
      <rPr>
        <vertAlign val="subscript"/>
        <sz val="11"/>
        <rFont val="Calibri"/>
        <family val="2"/>
        <scheme val="minor"/>
      </rPr>
      <t>CASTO</t>
    </r>
    <r>
      <rPr>
        <sz val="11"/>
        <rFont val="Calibri"/>
        <family val="2"/>
        <scheme val="minor"/>
      </rPr>
      <t>;K</t>
    </r>
    <r>
      <rPr>
        <vertAlign val="subscript"/>
        <sz val="11"/>
        <rFont val="Calibri"/>
        <family val="2"/>
        <scheme val="minor"/>
      </rPr>
      <t>STC</t>
    </r>
    <r>
      <rPr>
        <sz val="11"/>
        <rFont val="Calibri"/>
        <family val="2"/>
        <scheme val="minor"/>
      </rPr>
      <t>)</t>
    </r>
  </si>
  <si>
    <r>
      <t>MRinh</t>
    </r>
    <r>
      <rPr>
        <vertAlign val="subscript"/>
        <sz val="11"/>
        <rFont val="Calibri"/>
        <family val="2"/>
        <scheme val="minor"/>
      </rPr>
      <t>XSTC,XCASTO,KSTC</t>
    </r>
  </si>
  <si>
    <r>
      <t>MRinh(X</t>
    </r>
    <r>
      <rPr>
        <vertAlign val="subscript"/>
        <sz val="11"/>
        <rFont val="Calibri"/>
        <family val="2"/>
        <scheme val="minor"/>
      </rPr>
      <t>STC</t>
    </r>
    <r>
      <rPr>
        <sz val="11"/>
        <rFont val="Calibri"/>
        <family val="2"/>
        <scheme val="minor"/>
      </rPr>
      <t>;X</t>
    </r>
    <r>
      <rPr>
        <vertAlign val="subscript"/>
        <sz val="11"/>
        <rFont val="Calibri"/>
        <family val="2"/>
        <scheme val="minor"/>
      </rPr>
      <t>CASTO</t>
    </r>
    <r>
      <rPr>
        <sz val="11"/>
        <rFont val="Calibri"/>
        <family val="2"/>
        <scheme val="minor"/>
      </rPr>
      <t>;K</t>
    </r>
    <r>
      <rPr>
        <vertAlign val="subscript"/>
        <sz val="11"/>
        <rFont val="Calibri"/>
        <family val="2"/>
        <scheme val="minor"/>
      </rPr>
      <t>STC</t>
    </r>
    <r>
      <rPr>
        <sz val="11"/>
        <rFont val="Calibri"/>
        <family val="2"/>
        <scheme val="minor"/>
      </rPr>
      <t>)</t>
    </r>
  </si>
  <si>
    <r>
      <t>K</t>
    </r>
    <r>
      <rPr>
        <vertAlign val="subscript"/>
        <sz val="11"/>
        <rFont val="Calibri"/>
        <family val="2"/>
        <scheme val="minor"/>
      </rPr>
      <t>STC</t>
    </r>
  </si>
  <si>
    <r>
      <t>Y</t>
    </r>
    <r>
      <rPr>
        <vertAlign val="subscript"/>
        <sz val="11"/>
        <rFont val="Calibri"/>
        <family val="2"/>
        <scheme val="minor"/>
      </rPr>
      <t>CASTO,STC,ox</t>
    </r>
  </si>
  <si>
    <r>
      <t>Y</t>
    </r>
    <r>
      <rPr>
        <vertAlign val="subscript"/>
        <sz val="11"/>
        <rFont val="Calibri"/>
        <family val="2"/>
        <scheme val="minor"/>
      </rPr>
      <t>CASTO,STC,anox</t>
    </r>
  </si>
  <si>
    <r>
      <t>-(1-Y</t>
    </r>
    <r>
      <rPr>
        <vertAlign val="subscript"/>
        <sz val="11"/>
        <rFont val="Calibri"/>
        <family val="2"/>
      </rPr>
      <t>CASTO,STC,ox</t>
    </r>
    <r>
      <rPr>
        <sz val="11"/>
        <rFont val="Calibri"/>
        <family val="2"/>
      </rPr>
      <t>)/Y</t>
    </r>
    <r>
      <rPr>
        <vertAlign val="subscript"/>
        <sz val="11"/>
        <rFont val="Calibri"/>
        <family val="2"/>
      </rPr>
      <t>CASTO,STC,ox</t>
    </r>
  </si>
  <si>
    <r>
      <t>-(1-Y</t>
    </r>
    <r>
      <rPr>
        <vertAlign val="subscript"/>
        <sz val="11"/>
        <rFont val="Calibri"/>
        <family val="2"/>
      </rPr>
      <t>CASTO,STC,anox</t>
    </r>
    <r>
      <rPr>
        <sz val="11"/>
        <rFont val="Calibri"/>
        <family val="2"/>
      </rPr>
      <t>)/(EEQ</t>
    </r>
    <r>
      <rPr>
        <vertAlign val="subscript"/>
        <sz val="11"/>
        <rFont val="Calibri"/>
        <family val="2"/>
      </rPr>
      <t>N2,NO3</t>
    </r>
    <r>
      <rPr>
        <sz val="11"/>
        <rFont val="Calibri"/>
        <family val="2"/>
      </rPr>
      <t>*Y</t>
    </r>
    <r>
      <rPr>
        <vertAlign val="subscript"/>
        <sz val="11"/>
        <rFont val="Calibri"/>
        <family val="2"/>
      </rPr>
      <t>CASTO,STC,anox</t>
    </r>
    <r>
      <rPr>
        <sz val="11"/>
        <rFont val="Calibri"/>
        <family val="2"/>
      </rPr>
      <t>)</t>
    </r>
  </si>
  <si>
    <r>
      <t>(1-Y</t>
    </r>
    <r>
      <rPr>
        <vertAlign val="subscript"/>
        <sz val="11"/>
        <rFont val="Calibri"/>
        <family val="2"/>
      </rPr>
      <t>CASTO,STC,anox</t>
    </r>
    <r>
      <rPr>
        <sz val="11"/>
        <rFont val="Calibri"/>
        <family val="2"/>
      </rPr>
      <t>)/(EEQ</t>
    </r>
    <r>
      <rPr>
        <vertAlign val="subscript"/>
        <sz val="11"/>
        <rFont val="Calibri"/>
        <family val="2"/>
      </rPr>
      <t>N2,NO3</t>
    </r>
    <r>
      <rPr>
        <sz val="11"/>
        <rFont val="Calibri"/>
        <family val="2"/>
      </rPr>
      <t>*Y</t>
    </r>
    <r>
      <rPr>
        <vertAlign val="subscript"/>
        <sz val="11"/>
        <rFont val="Calibri"/>
        <family val="2"/>
      </rPr>
      <t>CASTO,STC,anox</t>
    </r>
    <r>
      <rPr>
        <sz val="11"/>
        <rFont val="Calibri"/>
        <family val="2"/>
      </rPr>
      <t>)</t>
    </r>
  </si>
  <si>
    <r>
      <t>i</t>
    </r>
    <r>
      <rPr>
        <vertAlign val="subscript"/>
        <sz val="11"/>
        <rFont val="Calibri"/>
        <family val="2"/>
        <scheme val="minor"/>
      </rPr>
      <t>CIT,STC</t>
    </r>
  </si>
  <si>
    <r>
      <t>(i</t>
    </r>
    <r>
      <rPr>
        <vertAlign val="subscript"/>
        <sz val="11"/>
        <rFont val="Calibri"/>
        <family val="2"/>
      </rPr>
      <t>CIT,STC</t>
    </r>
    <r>
      <rPr>
        <sz val="11"/>
        <rFont val="Calibri"/>
        <family val="2"/>
      </rPr>
      <t>/Y</t>
    </r>
    <r>
      <rPr>
        <vertAlign val="subscript"/>
        <sz val="11"/>
        <rFont val="Calibri"/>
        <family val="2"/>
      </rPr>
      <t>CASTO,STC,ox</t>
    </r>
    <r>
      <rPr>
        <sz val="11"/>
        <rFont val="Calibri"/>
        <family val="2"/>
      </rPr>
      <t>)</t>
    </r>
    <r>
      <rPr>
        <vertAlign val="subscript"/>
        <sz val="11"/>
        <rFont val="Calibri"/>
        <family val="2"/>
      </rPr>
      <t xml:space="preserve"> </t>
    </r>
    <r>
      <rPr>
        <sz val="11"/>
        <rFont val="Calibri"/>
        <family val="2"/>
      </rPr>
      <t>- i</t>
    </r>
    <r>
      <rPr>
        <vertAlign val="subscript"/>
        <sz val="11"/>
        <rFont val="Calibri"/>
        <family val="2"/>
      </rPr>
      <t>CIT,BIO</t>
    </r>
  </si>
  <si>
    <r>
      <t>(i</t>
    </r>
    <r>
      <rPr>
        <vertAlign val="subscript"/>
        <sz val="11"/>
        <rFont val="Calibri"/>
        <family val="2"/>
      </rPr>
      <t>CIT,STC</t>
    </r>
    <r>
      <rPr>
        <sz val="11"/>
        <rFont val="Calibri"/>
        <family val="2"/>
      </rPr>
      <t>/Y</t>
    </r>
    <r>
      <rPr>
        <vertAlign val="subscript"/>
        <sz val="11"/>
        <rFont val="Calibri"/>
        <family val="2"/>
      </rPr>
      <t>CASTO,STC,anox</t>
    </r>
    <r>
      <rPr>
        <sz val="11"/>
        <rFont val="Calibri"/>
        <family val="2"/>
      </rPr>
      <t>)</t>
    </r>
    <r>
      <rPr>
        <vertAlign val="subscript"/>
        <sz val="11"/>
        <rFont val="Calibri"/>
        <family val="2"/>
      </rPr>
      <t xml:space="preserve"> </t>
    </r>
    <r>
      <rPr>
        <sz val="11"/>
        <rFont val="Calibri"/>
        <family val="2"/>
      </rPr>
      <t>- i</t>
    </r>
    <r>
      <rPr>
        <vertAlign val="subscript"/>
        <sz val="11"/>
        <rFont val="Calibri"/>
        <family val="2"/>
      </rPr>
      <t>CIT,BIO</t>
    </r>
  </si>
  <si>
    <r>
      <t>i</t>
    </r>
    <r>
      <rPr>
        <vertAlign val="subscript"/>
        <sz val="11"/>
        <rFont val="Calibri"/>
        <family val="2"/>
      </rPr>
      <t>CIT,STC</t>
    </r>
  </si>
  <si>
    <r>
      <t>Loginh</t>
    </r>
    <r>
      <rPr>
        <vertAlign val="subscript"/>
        <sz val="11"/>
        <rFont val="Calibri"/>
        <family val="2"/>
        <scheme val="minor"/>
      </rPr>
      <t>XPP,XPAO,max</t>
    </r>
  </si>
  <si>
    <r>
      <t>MRsat</t>
    </r>
    <r>
      <rPr>
        <vertAlign val="subscript"/>
        <sz val="11"/>
        <rFont val="Calibri"/>
        <family val="2"/>
        <scheme val="minor"/>
      </rPr>
      <t>XPHA,XPAO,KPHA</t>
    </r>
  </si>
  <si>
    <r>
      <t>Loginh</t>
    </r>
    <r>
      <rPr>
        <vertAlign val="subscript"/>
        <sz val="11"/>
        <rFont val="Calibri"/>
        <family val="2"/>
        <scheme val="minor"/>
      </rPr>
      <t>XPHA,XPAO,max</t>
    </r>
  </si>
  <si>
    <r>
      <t>MRsat</t>
    </r>
    <r>
      <rPr>
        <vertAlign val="subscript"/>
        <sz val="11"/>
        <rFont val="Calibri"/>
        <family val="2"/>
        <scheme val="minor"/>
      </rPr>
      <t>XPP,XPAO,KPP</t>
    </r>
  </si>
  <si>
    <r>
      <t>MRsat(X</t>
    </r>
    <r>
      <rPr>
        <vertAlign val="subscript"/>
        <sz val="11"/>
        <rFont val="Calibri"/>
        <family val="2"/>
        <scheme val="minor"/>
      </rPr>
      <t>PP</t>
    </r>
    <r>
      <rPr>
        <sz val="11"/>
        <rFont val="Calibri"/>
        <family val="2"/>
        <scheme val="minor"/>
      </rPr>
      <t>;X</t>
    </r>
    <r>
      <rPr>
        <vertAlign val="subscript"/>
        <sz val="11"/>
        <rFont val="Calibri"/>
        <family val="2"/>
        <scheme val="minor"/>
      </rPr>
      <t>PAO</t>
    </r>
    <r>
      <rPr>
        <sz val="11"/>
        <rFont val="Calibri"/>
        <family val="2"/>
        <scheme val="minor"/>
      </rPr>
      <t>;K</t>
    </r>
    <r>
      <rPr>
        <vertAlign val="subscript"/>
        <sz val="11"/>
        <rFont val="Calibri"/>
        <family val="2"/>
        <scheme val="minor"/>
      </rPr>
      <t>PP</t>
    </r>
    <r>
      <rPr>
        <sz val="11"/>
        <rFont val="Calibri"/>
        <family val="2"/>
        <scheme val="minor"/>
      </rPr>
      <t>)</t>
    </r>
  </si>
  <si>
    <r>
      <t>Msat</t>
    </r>
    <r>
      <rPr>
        <vertAlign val="subscript"/>
        <sz val="11"/>
        <rFont val="Calibri"/>
        <family val="2"/>
        <scheme val="minor"/>
      </rPr>
      <t>SVFA,KVFA,CASTO</t>
    </r>
  </si>
  <si>
    <r>
      <t>Msat(S</t>
    </r>
    <r>
      <rPr>
        <vertAlign val="subscript"/>
        <sz val="11"/>
        <rFont val="Calibri"/>
        <family val="2"/>
        <scheme val="minor"/>
      </rPr>
      <t>VFA</t>
    </r>
    <r>
      <rPr>
        <sz val="11"/>
        <rFont val="Calibri"/>
        <family val="2"/>
        <scheme val="minor"/>
      </rPr>
      <t>;K</t>
    </r>
    <r>
      <rPr>
        <vertAlign val="subscript"/>
        <sz val="11"/>
        <rFont val="Calibri"/>
        <family val="2"/>
        <scheme val="minor"/>
      </rPr>
      <t>VFA,CASTO</t>
    </r>
    <r>
      <rPr>
        <sz val="11"/>
        <rFont val="Calibri"/>
        <family val="2"/>
        <scheme val="minor"/>
      </rPr>
      <t>)</t>
    </r>
  </si>
  <si>
    <r>
      <t>K</t>
    </r>
    <r>
      <rPr>
        <vertAlign val="subscript"/>
        <sz val="11"/>
        <rFont val="Calibri"/>
        <family val="2"/>
        <scheme val="minor"/>
      </rPr>
      <t>VFA,CASTO</t>
    </r>
  </si>
  <si>
    <r>
      <t>K</t>
    </r>
    <r>
      <rPr>
        <vertAlign val="subscript"/>
        <sz val="11"/>
        <rFont val="Calibri"/>
        <family val="2"/>
        <scheme val="minor"/>
      </rPr>
      <t>VFA,CASTO,AS</t>
    </r>
    <r>
      <rPr>
        <sz val="11"/>
        <rFont val="Calibri"/>
        <family val="2"/>
        <scheme val="minor"/>
      </rPr>
      <t>*f</t>
    </r>
    <r>
      <rPr>
        <vertAlign val="subscript"/>
        <sz val="11"/>
        <rFont val="Calibri"/>
        <family val="2"/>
        <scheme val="minor"/>
      </rPr>
      <t>KS</t>
    </r>
  </si>
  <si>
    <r>
      <t>K</t>
    </r>
    <r>
      <rPr>
        <vertAlign val="subscript"/>
        <sz val="11"/>
        <rFont val="Calibri"/>
        <family val="2"/>
        <scheme val="minor"/>
      </rPr>
      <t>VFA,CASTO,AS</t>
    </r>
  </si>
  <si>
    <t>Half-saturation of VFA storage for CASTOs (AS)</t>
  </si>
  <si>
    <t>Half-saturation of VFA storage for CASTOs</t>
  </si>
  <si>
    <t>Saturation term for VFA storage (CASTO)</t>
  </si>
  <si>
    <t>CASTO decay</t>
  </si>
  <si>
    <t>CASTO anaerobic decay</t>
  </si>
  <si>
    <r>
      <t>PAO polyphosphate storage, NO</t>
    </r>
    <r>
      <rPr>
        <vertAlign val="subscript"/>
        <sz val="11"/>
        <rFont val="Calibri"/>
        <family val="2"/>
      </rPr>
      <t>x</t>
    </r>
  </si>
  <si>
    <r>
      <t>PAO polyphosphate storage, O</t>
    </r>
    <r>
      <rPr>
        <vertAlign val="subscript"/>
        <sz val="11"/>
        <rFont val="Calibri"/>
        <family val="2"/>
      </rPr>
      <t>2</t>
    </r>
  </si>
  <si>
    <r>
      <t>MRinh</t>
    </r>
    <r>
      <rPr>
        <vertAlign val="subscript"/>
        <sz val="11"/>
        <rFont val="Calibri"/>
        <family val="2"/>
        <scheme val="minor"/>
      </rPr>
      <t>XPP,XPAO,KPP</t>
    </r>
  </si>
  <si>
    <r>
      <t>MRinh(X</t>
    </r>
    <r>
      <rPr>
        <vertAlign val="subscript"/>
        <sz val="11"/>
        <rFont val="Calibri"/>
        <family val="2"/>
        <scheme val="minor"/>
      </rPr>
      <t>PP</t>
    </r>
    <r>
      <rPr>
        <sz val="11"/>
        <rFont val="Calibri"/>
        <family val="2"/>
        <scheme val="minor"/>
      </rPr>
      <t>;X</t>
    </r>
    <r>
      <rPr>
        <vertAlign val="subscript"/>
        <sz val="11"/>
        <rFont val="Calibri"/>
        <family val="2"/>
        <scheme val="minor"/>
      </rPr>
      <t>PAO</t>
    </r>
    <r>
      <rPr>
        <sz val="11"/>
        <rFont val="Calibri"/>
        <family val="2"/>
        <scheme val="minor"/>
      </rPr>
      <t>;K</t>
    </r>
    <r>
      <rPr>
        <vertAlign val="subscript"/>
        <sz val="11"/>
        <rFont val="Calibri"/>
        <family val="2"/>
        <scheme val="minor"/>
      </rPr>
      <t>PP</t>
    </r>
    <r>
      <rPr>
        <sz val="11"/>
        <rFont val="Calibri"/>
        <family val="2"/>
        <scheme val="minor"/>
      </rPr>
      <t>)</t>
    </r>
  </si>
  <si>
    <r>
      <t>MRinh</t>
    </r>
    <r>
      <rPr>
        <vertAlign val="subscript"/>
        <sz val="11"/>
        <rFont val="Calibri"/>
        <family val="2"/>
        <scheme val="minor"/>
      </rPr>
      <t>XPHA,XPAO,KPHA,cle</t>
    </r>
  </si>
  <si>
    <r>
      <t>µ</t>
    </r>
    <r>
      <rPr>
        <vertAlign val="subscript"/>
        <sz val="11"/>
        <color indexed="8"/>
        <rFont val="Calibri"/>
        <family val="2"/>
        <scheme val="minor"/>
      </rPr>
      <t>CASTO,T</t>
    </r>
  </si>
  <si>
    <r>
      <t>θ</t>
    </r>
    <r>
      <rPr>
        <vertAlign val="subscript"/>
        <sz val="11"/>
        <color indexed="8"/>
        <rFont val="Calibri"/>
        <family val="2"/>
        <scheme val="minor"/>
      </rPr>
      <t>µ,CASTO</t>
    </r>
  </si>
  <si>
    <t>Arrhenius coefficient for CASTO growth</t>
  </si>
  <si>
    <r>
      <t>µ</t>
    </r>
    <r>
      <rPr>
        <vertAlign val="subscript"/>
        <sz val="11"/>
        <color indexed="8"/>
        <rFont val="Calibri"/>
        <family val="2"/>
        <scheme val="minor"/>
      </rPr>
      <t>CASTO</t>
    </r>
    <r>
      <rPr>
        <sz val="11"/>
        <color indexed="8"/>
        <rFont val="Calibri"/>
        <family val="2"/>
        <scheme val="minor"/>
      </rPr>
      <t>*Arrh(θ</t>
    </r>
    <r>
      <rPr>
        <vertAlign val="subscript"/>
        <sz val="11"/>
        <color indexed="8"/>
        <rFont val="Calibri"/>
        <family val="2"/>
        <scheme val="minor"/>
      </rPr>
      <t>µ,CASTO</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</si>
  <si>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η</t>
    </r>
    <r>
      <rPr>
        <vertAlign val="subscript"/>
        <sz val="11"/>
        <rFont val="Calibri"/>
        <family val="2"/>
        <scheme val="minor"/>
      </rPr>
      <t>CASTO,anox</t>
    </r>
  </si>
  <si>
    <r>
      <t>K</t>
    </r>
    <r>
      <rPr>
        <vertAlign val="subscript"/>
        <sz val="11"/>
        <rFont val="Calibri"/>
        <family val="2"/>
        <scheme val="minor"/>
      </rPr>
      <t>O2,CASTO,AS</t>
    </r>
  </si>
  <si>
    <r>
      <t>Half-saturation of O</t>
    </r>
    <r>
      <rPr>
        <vertAlign val="subscript"/>
        <sz val="11"/>
        <color rgb="FF000000"/>
        <rFont val="Calibri"/>
        <family val="2"/>
        <scheme val="minor"/>
      </rPr>
      <t>2</t>
    </r>
    <r>
      <rPr>
        <sz val="11"/>
        <color rgb="FF000000"/>
        <rFont val="Calibri"/>
        <family val="2"/>
        <charset val="238"/>
        <scheme val="minor"/>
      </rPr>
      <t xml:space="preserve"> for CASTOs (AS)</t>
    </r>
  </si>
  <si>
    <r>
      <t>K</t>
    </r>
    <r>
      <rPr>
        <vertAlign val="subscript"/>
        <sz val="11"/>
        <rFont val="Calibri"/>
        <family val="2"/>
        <scheme val="minor"/>
      </rPr>
      <t>O2,CASTO,AS</t>
    </r>
    <r>
      <rPr>
        <sz val="11"/>
        <rFont val="Calibri"/>
        <family val="2"/>
        <scheme val="minor"/>
      </rPr>
      <t>*f</t>
    </r>
    <r>
      <rPr>
        <vertAlign val="subscript"/>
        <sz val="11"/>
        <rFont val="Calibri"/>
        <family val="2"/>
        <scheme val="minor"/>
      </rPr>
      <t>KS</t>
    </r>
  </si>
  <si>
    <r>
      <t>Half-saturation of O</t>
    </r>
    <r>
      <rPr>
        <vertAlign val="subscript"/>
        <sz val="11"/>
        <color rgb="FF000000"/>
        <rFont val="Calibri"/>
        <family val="2"/>
        <scheme val="minor"/>
      </rPr>
      <t>2</t>
    </r>
    <r>
      <rPr>
        <sz val="11"/>
        <color rgb="FF000000"/>
        <rFont val="Calibri"/>
        <family val="2"/>
        <charset val="238"/>
        <scheme val="minor"/>
      </rPr>
      <t xml:space="preserve"> for CASTOs</t>
    </r>
  </si>
  <si>
    <r>
      <t>K</t>
    </r>
    <r>
      <rPr>
        <vertAlign val="subscript"/>
        <sz val="11"/>
        <rFont val="Calibri"/>
        <family val="2"/>
        <scheme val="minor"/>
      </rPr>
      <t>O2,CASTO</t>
    </r>
  </si>
  <si>
    <r>
      <t>Msat(S</t>
    </r>
    <r>
      <rPr>
        <vertAlign val="subscript"/>
        <sz val="11"/>
        <rFont val="Calibri"/>
        <family val="2"/>
        <scheme val="minor"/>
      </rPr>
      <t>O2</t>
    </r>
    <r>
      <rPr>
        <sz val="11"/>
        <rFont val="Calibri"/>
        <family val="2"/>
        <scheme val="minor"/>
      </rPr>
      <t>;K</t>
    </r>
    <r>
      <rPr>
        <vertAlign val="subscript"/>
        <sz val="11"/>
        <rFont val="Calibri"/>
        <family val="2"/>
        <scheme val="minor"/>
      </rPr>
      <t>O2,CASTO</t>
    </r>
    <r>
      <rPr>
        <sz val="11"/>
        <rFont val="Calibri"/>
        <family val="2"/>
        <scheme val="minor"/>
      </rPr>
      <t>)</t>
    </r>
  </si>
  <si>
    <r>
      <t>Saturation term for O</t>
    </r>
    <r>
      <rPr>
        <vertAlign val="subscript"/>
        <sz val="11"/>
        <color rgb="FF000000"/>
        <rFont val="Calibri"/>
        <family val="2"/>
        <scheme val="minor"/>
      </rPr>
      <t>2</t>
    </r>
    <r>
      <rPr>
        <sz val="11"/>
        <color rgb="FF000000"/>
        <rFont val="Calibri"/>
        <family val="2"/>
        <charset val="238"/>
        <scheme val="minor"/>
      </rPr>
      <t xml:space="preserve"> (CASTO)</t>
    </r>
  </si>
  <si>
    <r>
      <t>Msat</t>
    </r>
    <r>
      <rPr>
        <vertAlign val="subscript"/>
        <sz val="11"/>
        <rFont val="Calibri"/>
        <family val="2"/>
        <scheme val="minor"/>
      </rPr>
      <t>SO2,KO2,CASTO</t>
    </r>
  </si>
  <si>
    <r>
      <t>Minh(S</t>
    </r>
    <r>
      <rPr>
        <vertAlign val="subscript"/>
        <sz val="11"/>
        <rFont val="Calibri"/>
        <family val="2"/>
        <scheme val="minor"/>
      </rPr>
      <t>O2</t>
    </r>
    <r>
      <rPr>
        <sz val="11"/>
        <rFont val="Calibri"/>
        <family val="2"/>
        <scheme val="minor"/>
      </rPr>
      <t>;K</t>
    </r>
    <r>
      <rPr>
        <vertAlign val="subscript"/>
        <sz val="11"/>
        <rFont val="Calibri"/>
        <family val="2"/>
        <scheme val="minor"/>
      </rPr>
      <t>O2,CASTO</t>
    </r>
    <r>
      <rPr>
        <sz val="11"/>
        <rFont val="Calibri"/>
        <family val="2"/>
        <scheme val="minor"/>
      </rPr>
      <t>)</t>
    </r>
  </si>
  <si>
    <r>
      <t>Inhibition term for O</t>
    </r>
    <r>
      <rPr>
        <vertAlign val="subscript"/>
        <sz val="11"/>
        <color rgb="FF000000"/>
        <rFont val="Calibri"/>
        <family val="2"/>
        <scheme val="minor"/>
      </rPr>
      <t>2</t>
    </r>
    <r>
      <rPr>
        <sz val="11"/>
        <color rgb="FF000000"/>
        <rFont val="Calibri"/>
        <family val="2"/>
        <charset val="238"/>
        <scheme val="minor"/>
      </rPr>
      <t xml:space="preserve"> (CASTO)</t>
    </r>
  </si>
  <si>
    <r>
      <t>Minh</t>
    </r>
    <r>
      <rPr>
        <vertAlign val="subscript"/>
        <sz val="11"/>
        <rFont val="Calibri"/>
        <family val="2"/>
        <scheme val="minor"/>
      </rPr>
      <t>SO2,KO2,CASTO</t>
    </r>
  </si>
  <si>
    <r>
      <t>µ</t>
    </r>
    <r>
      <rPr>
        <vertAlign val="subscript"/>
        <sz val="11"/>
        <rFont val="Calibri"/>
        <family val="2"/>
      </rPr>
      <t>CASTO,T</t>
    </r>
    <r>
      <rPr>
        <sz val="11"/>
        <rFont val="Calibri"/>
        <family val="2"/>
      </rPr>
      <t xml:space="preserve"> * X</t>
    </r>
    <r>
      <rPr>
        <vertAlign val="subscript"/>
        <sz val="11"/>
        <rFont val="Calibri"/>
        <family val="2"/>
      </rPr>
      <t>CASTO</t>
    </r>
    <r>
      <rPr>
        <sz val="11"/>
        <rFont val="Calibri"/>
        <family val="2"/>
      </rPr>
      <t xml:space="preserve"> * MRsat</t>
    </r>
    <r>
      <rPr>
        <vertAlign val="subscript"/>
        <sz val="11"/>
        <rFont val="Calibri"/>
        <family val="2"/>
      </rPr>
      <t>XSTC,XCASTO,KSTC</t>
    </r>
    <r>
      <rPr>
        <sz val="11"/>
        <rFont val="Calibri"/>
        <family val="2"/>
      </rPr>
      <t xml:space="preserve"> * Msat</t>
    </r>
    <r>
      <rPr>
        <vertAlign val="subscript"/>
        <sz val="11"/>
        <rFont val="Calibri"/>
        <family val="2"/>
      </rPr>
      <t>SO2,KO2,CASTO</t>
    </r>
    <r>
      <rPr>
        <sz val="11"/>
        <rFont val="Calibri"/>
        <family val="2"/>
      </rPr>
      <t xml:space="preserve"> * Msat</t>
    </r>
    <r>
      <rPr>
        <vertAlign val="subscript"/>
        <sz val="11"/>
        <rFont val="Calibri"/>
        <family val="2"/>
      </rPr>
      <t>SNHx,KNHx,BIO</t>
    </r>
    <r>
      <rPr>
        <sz val="11"/>
        <rFont val="Calibri"/>
        <family val="2"/>
      </rPr>
      <t xml:space="preserve"> * Msat</t>
    </r>
    <r>
      <rPr>
        <vertAlign val="subscript"/>
        <sz val="11"/>
        <rFont val="Calibri"/>
        <family val="2"/>
      </rPr>
      <t>SPO4,KPO4,BIO</t>
    </r>
    <r>
      <rPr>
        <sz val="11"/>
        <rFont val="Calibri"/>
        <family val="2"/>
      </rPr>
      <t xml:space="preserve"> * Msat</t>
    </r>
    <r>
      <rPr>
        <vertAlign val="subscript"/>
        <sz val="11"/>
        <rFont val="Calibri"/>
        <family val="2"/>
      </rPr>
      <t>SCAT,KCAT</t>
    </r>
    <r>
      <rPr>
        <sz val="11"/>
        <rFont val="Calibri"/>
        <family val="2"/>
      </rPr>
      <t xml:space="preserve"> * Msat</t>
    </r>
    <r>
      <rPr>
        <vertAlign val="subscript"/>
        <sz val="11"/>
        <rFont val="Calibri"/>
        <family val="2"/>
      </rPr>
      <t>SAN,KAN</t>
    </r>
    <r>
      <rPr>
        <sz val="11"/>
        <rFont val="Calibri"/>
        <family val="2"/>
      </rPr>
      <t xml:space="preserve"> * Msat</t>
    </r>
    <r>
      <rPr>
        <vertAlign val="subscript"/>
        <sz val="11"/>
        <rFont val="Calibri"/>
        <family val="2"/>
      </rPr>
      <t>SCa,KCa,PAO</t>
    </r>
    <r>
      <rPr>
        <sz val="11"/>
        <rFont val="Calibri"/>
        <family val="2"/>
      </rPr>
      <t xml:space="preserve"> * Msat</t>
    </r>
    <r>
      <rPr>
        <vertAlign val="subscript"/>
        <sz val="11"/>
        <rFont val="Calibri"/>
        <family val="2"/>
      </rPr>
      <t>SMg,KMg,PAO</t>
    </r>
    <r>
      <rPr>
        <sz val="11"/>
        <rFont val="Calibri"/>
        <family val="2"/>
      </rPr>
      <t xml:space="preserve"> * Bellinh</t>
    </r>
    <r>
      <rPr>
        <vertAlign val="subscript"/>
        <sz val="11"/>
        <rFont val="Calibri"/>
        <family val="2"/>
      </rPr>
      <t>pH</t>
    </r>
  </si>
  <si>
    <t>Logistic inhibition term for PHA (PAO)</t>
  </si>
  <si>
    <t>Logistic inhibition term for PP (PAO)</t>
  </si>
  <si>
    <r>
      <t>Logistic saturation term for PO</t>
    </r>
    <r>
      <rPr>
        <vertAlign val="subscript"/>
        <sz val="11"/>
        <color rgb="FF000000"/>
        <rFont val="Calibri"/>
        <family val="2"/>
        <scheme val="minor"/>
      </rPr>
      <t>4</t>
    </r>
    <r>
      <rPr>
        <sz val="11"/>
        <color rgb="FF000000"/>
        <rFont val="Calibri"/>
        <family val="2"/>
        <charset val="238"/>
        <scheme val="minor"/>
      </rPr>
      <t xml:space="preserve"> (PAO)</t>
    </r>
  </si>
  <si>
    <r>
      <t>Msat</t>
    </r>
    <r>
      <rPr>
        <vertAlign val="subscript"/>
        <sz val="11"/>
        <rFont val="Calibri"/>
        <family val="2"/>
        <scheme val="minor"/>
      </rPr>
      <t>SNOx,KNOx,CASTO</t>
    </r>
  </si>
  <si>
    <r>
      <t>Saturation term for NO</t>
    </r>
    <r>
      <rPr>
        <vertAlign val="subscript"/>
        <sz val="11"/>
        <color rgb="FF000000"/>
        <rFont val="Calibri"/>
        <family val="2"/>
        <scheme val="minor"/>
      </rPr>
      <t>x</t>
    </r>
    <r>
      <rPr>
        <sz val="11"/>
        <color rgb="FF000000"/>
        <rFont val="Calibri"/>
        <family val="2"/>
        <charset val="238"/>
        <scheme val="minor"/>
      </rPr>
      <t xml:space="preserve"> (CASTO)</t>
    </r>
  </si>
  <si>
    <r>
      <t>Msat(S</t>
    </r>
    <r>
      <rPr>
        <vertAlign val="subscript"/>
        <sz val="11"/>
        <rFont val="Calibri"/>
        <family val="2"/>
        <scheme val="minor"/>
      </rPr>
      <t>NOx</t>
    </r>
    <r>
      <rPr>
        <sz val="11"/>
        <rFont val="Calibri"/>
        <family val="2"/>
        <scheme val="minor"/>
      </rPr>
      <t>;K</t>
    </r>
    <r>
      <rPr>
        <vertAlign val="subscript"/>
        <sz val="11"/>
        <rFont val="Calibri"/>
        <family val="2"/>
        <scheme val="minor"/>
      </rPr>
      <t>NOx,CASTO</t>
    </r>
    <r>
      <rPr>
        <sz val="11"/>
        <rFont val="Calibri"/>
        <family val="2"/>
        <scheme val="minor"/>
      </rPr>
      <t>)</t>
    </r>
  </si>
  <si>
    <r>
      <t>K</t>
    </r>
    <r>
      <rPr>
        <vertAlign val="subscript"/>
        <sz val="11"/>
        <rFont val="Calibri"/>
        <family val="2"/>
        <scheme val="minor"/>
      </rPr>
      <t>NOx,CASTO</t>
    </r>
  </si>
  <si>
    <r>
      <t>Half-saturation of NO</t>
    </r>
    <r>
      <rPr>
        <vertAlign val="subscript"/>
        <sz val="11"/>
        <color rgb="FF000000"/>
        <rFont val="Calibri"/>
        <family val="2"/>
        <scheme val="minor"/>
      </rPr>
      <t>x</t>
    </r>
    <r>
      <rPr>
        <sz val="11"/>
        <color rgb="FF000000"/>
        <rFont val="Calibri"/>
        <family val="2"/>
        <charset val="238"/>
        <scheme val="minor"/>
      </rPr>
      <t xml:space="preserve"> for CASTOs</t>
    </r>
  </si>
  <si>
    <r>
      <t>K</t>
    </r>
    <r>
      <rPr>
        <vertAlign val="subscript"/>
        <sz val="11"/>
        <rFont val="Calibri"/>
        <family val="2"/>
        <scheme val="minor"/>
      </rPr>
      <t>NOx,CASTO,AS</t>
    </r>
  </si>
  <si>
    <r>
      <t>K</t>
    </r>
    <r>
      <rPr>
        <vertAlign val="subscript"/>
        <sz val="11"/>
        <rFont val="Calibri"/>
        <family val="2"/>
        <scheme val="minor"/>
      </rPr>
      <t>NOx,CASTO,AS</t>
    </r>
    <r>
      <rPr>
        <sz val="11"/>
        <rFont val="Calibri"/>
        <family val="2"/>
        <scheme val="minor"/>
      </rPr>
      <t>*f</t>
    </r>
    <r>
      <rPr>
        <vertAlign val="subscript"/>
        <sz val="11"/>
        <rFont val="Calibri"/>
        <family val="2"/>
        <scheme val="minor"/>
      </rPr>
      <t>KS</t>
    </r>
  </si>
  <si>
    <r>
      <t>Half-saturation of NO</t>
    </r>
    <r>
      <rPr>
        <vertAlign val="subscript"/>
        <sz val="11"/>
        <color rgb="FF000000"/>
        <rFont val="Calibri"/>
        <family val="2"/>
        <scheme val="minor"/>
      </rPr>
      <t>x</t>
    </r>
    <r>
      <rPr>
        <sz val="11"/>
        <color rgb="FF000000"/>
        <rFont val="Calibri"/>
        <family val="2"/>
        <charset val="238"/>
        <scheme val="minor"/>
      </rPr>
      <t xml:space="preserve"> for CASTOs (AS)</t>
    </r>
  </si>
  <si>
    <r>
      <t>µ</t>
    </r>
    <r>
      <rPr>
        <vertAlign val="subscript"/>
        <sz val="11"/>
        <rFont val="Calibri"/>
        <family val="2"/>
      </rPr>
      <t>CASTO,T</t>
    </r>
    <r>
      <rPr>
        <sz val="11"/>
        <rFont val="Calibri"/>
        <family val="2"/>
      </rPr>
      <t xml:space="preserve"> * X</t>
    </r>
    <r>
      <rPr>
        <vertAlign val="subscript"/>
        <sz val="11"/>
        <rFont val="Calibri"/>
        <family val="2"/>
      </rPr>
      <t>CASTO</t>
    </r>
    <r>
      <rPr>
        <sz val="11"/>
        <rFont val="Calibri"/>
        <family val="2"/>
      </rPr>
      <t xml:space="preserve"> * η</t>
    </r>
    <r>
      <rPr>
        <vertAlign val="subscript"/>
        <sz val="11"/>
        <rFont val="Calibri"/>
        <family val="2"/>
      </rPr>
      <t>CASTO,anox</t>
    </r>
    <r>
      <rPr>
        <sz val="11"/>
        <rFont val="Calibri"/>
        <family val="2"/>
      </rPr>
      <t xml:space="preserve"> * MRsat</t>
    </r>
    <r>
      <rPr>
        <vertAlign val="subscript"/>
        <sz val="11"/>
        <rFont val="Calibri"/>
        <family val="2"/>
      </rPr>
      <t>XSTC,XCASTO,KSTC</t>
    </r>
    <r>
      <rPr>
        <sz val="11"/>
        <rFont val="Calibri"/>
        <family val="2"/>
      </rPr>
      <t xml:space="preserve"> * Msat</t>
    </r>
    <r>
      <rPr>
        <vertAlign val="subscript"/>
        <sz val="11"/>
        <rFont val="Calibri"/>
        <family val="2"/>
      </rPr>
      <t>SNOx,KNOx,CASTO</t>
    </r>
    <r>
      <rPr>
        <sz val="11"/>
        <rFont val="Calibri"/>
        <family val="2"/>
      </rPr>
      <t xml:space="preserve"> * Minh</t>
    </r>
    <r>
      <rPr>
        <vertAlign val="subscript"/>
        <sz val="11"/>
        <rFont val="Calibri"/>
        <family val="2"/>
      </rPr>
      <t>SO2,KO2,CASTO</t>
    </r>
    <r>
      <rPr>
        <sz val="11"/>
        <rFont val="Calibri"/>
        <family val="2"/>
      </rPr>
      <t xml:space="preserve"> * Msat</t>
    </r>
    <r>
      <rPr>
        <vertAlign val="subscript"/>
        <sz val="11"/>
        <rFont val="Calibri"/>
        <family val="2"/>
      </rPr>
      <t>SNHx,KNHx,BIO</t>
    </r>
    <r>
      <rPr>
        <sz val="11"/>
        <rFont val="Calibri"/>
        <family val="2"/>
      </rPr>
      <t xml:space="preserve"> * Msat</t>
    </r>
    <r>
      <rPr>
        <vertAlign val="subscript"/>
        <sz val="11"/>
        <rFont val="Calibri"/>
        <family val="2"/>
      </rPr>
      <t>SPO4,KPO4,BIO</t>
    </r>
    <r>
      <rPr>
        <sz val="11"/>
        <rFont val="Calibri"/>
        <family val="2"/>
      </rPr>
      <t xml:space="preserve"> * Msat</t>
    </r>
    <r>
      <rPr>
        <vertAlign val="subscript"/>
        <sz val="11"/>
        <rFont val="Calibri"/>
        <family val="2"/>
      </rPr>
      <t>SCAT,KCAT</t>
    </r>
    <r>
      <rPr>
        <sz val="11"/>
        <rFont val="Calibri"/>
        <family val="2"/>
      </rPr>
      <t xml:space="preserve"> * Msat</t>
    </r>
    <r>
      <rPr>
        <vertAlign val="subscript"/>
        <sz val="11"/>
        <rFont val="Calibri"/>
        <family val="2"/>
      </rPr>
      <t>SAN,KAN</t>
    </r>
    <r>
      <rPr>
        <sz val="11"/>
        <rFont val="Calibri"/>
        <family val="2"/>
      </rPr>
      <t xml:space="preserve"> * Msat</t>
    </r>
    <r>
      <rPr>
        <vertAlign val="subscript"/>
        <sz val="11"/>
        <rFont val="Calibri"/>
        <family val="2"/>
      </rPr>
      <t>SCa,KCa,PAO</t>
    </r>
    <r>
      <rPr>
        <sz val="11"/>
        <rFont val="Calibri"/>
        <family val="2"/>
      </rPr>
      <t xml:space="preserve"> * Msat</t>
    </r>
    <r>
      <rPr>
        <vertAlign val="subscript"/>
        <sz val="11"/>
        <rFont val="Calibri"/>
        <family val="2"/>
      </rPr>
      <t>SMg,KMg,PAO</t>
    </r>
    <r>
      <rPr>
        <sz val="11"/>
        <rFont val="Calibri"/>
        <family val="2"/>
      </rPr>
      <t xml:space="preserve"> * Bellinh</t>
    </r>
    <r>
      <rPr>
        <vertAlign val="subscript"/>
        <sz val="11"/>
        <rFont val="Calibri"/>
        <family val="2"/>
      </rPr>
      <t>pH</t>
    </r>
  </si>
  <si>
    <r>
      <t>Minh(S</t>
    </r>
    <r>
      <rPr>
        <vertAlign val="subscript"/>
        <sz val="11"/>
        <rFont val="Calibri"/>
        <family val="2"/>
        <scheme val="minor"/>
      </rPr>
      <t>NOx</t>
    </r>
    <r>
      <rPr>
        <sz val="11"/>
        <rFont val="Calibri"/>
        <family val="2"/>
        <scheme val="minor"/>
      </rPr>
      <t>;K</t>
    </r>
    <r>
      <rPr>
        <vertAlign val="subscript"/>
        <sz val="11"/>
        <rFont val="Calibri"/>
        <family val="2"/>
        <scheme val="minor"/>
      </rPr>
      <t>NOx,CASTO</t>
    </r>
    <r>
      <rPr>
        <sz val="11"/>
        <rFont val="Calibri"/>
        <family val="2"/>
        <scheme val="minor"/>
      </rPr>
      <t>)</t>
    </r>
  </si>
  <si>
    <r>
      <t>Inhibition term for NO</t>
    </r>
    <r>
      <rPr>
        <vertAlign val="subscript"/>
        <sz val="11"/>
        <color rgb="FF000000"/>
        <rFont val="Calibri"/>
        <family val="2"/>
        <scheme val="minor"/>
      </rPr>
      <t>x</t>
    </r>
    <r>
      <rPr>
        <sz val="11"/>
        <color rgb="FF000000"/>
        <rFont val="Calibri"/>
        <family val="2"/>
        <charset val="238"/>
        <scheme val="minor"/>
      </rPr>
      <t xml:space="preserve"> (CASTO)</t>
    </r>
  </si>
  <si>
    <r>
      <t>Minh</t>
    </r>
    <r>
      <rPr>
        <vertAlign val="subscript"/>
        <sz val="11"/>
        <rFont val="Calibri"/>
        <family val="2"/>
        <scheme val="minor"/>
      </rPr>
      <t>SNOx,KNOx,CASTO</t>
    </r>
  </si>
  <si>
    <t>Half-saturations for carbon storing organisms (CASTO)</t>
  </si>
  <si>
    <t>Carbon storing organism kinetics (CASTO)</t>
  </si>
  <si>
    <t>CASTO aerobic maintenance</t>
  </si>
  <si>
    <t>CASTO anoxic maintenance</t>
  </si>
  <si>
    <r>
      <t>b</t>
    </r>
    <r>
      <rPr>
        <vertAlign val="subscript"/>
        <sz val="11"/>
        <color indexed="8"/>
        <rFont val="Calibri"/>
        <family val="2"/>
        <charset val="238"/>
        <scheme val="minor"/>
      </rPr>
      <t>STC,T</t>
    </r>
  </si>
  <si>
    <r>
      <t>b</t>
    </r>
    <r>
      <rPr>
        <vertAlign val="subscript"/>
        <sz val="11"/>
        <color indexed="8"/>
        <rFont val="Calibri"/>
        <family val="2"/>
        <charset val="238"/>
        <scheme val="minor"/>
      </rPr>
      <t>STC</t>
    </r>
    <r>
      <rPr>
        <sz val="11"/>
        <color indexed="8"/>
        <rFont val="Calibri"/>
        <family val="2"/>
        <scheme val="minor"/>
      </rPr>
      <t>*Arrh(θ</t>
    </r>
    <r>
      <rPr>
        <vertAlign val="subscript"/>
        <sz val="11"/>
        <color indexed="8"/>
        <rFont val="Calibri"/>
        <family val="2"/>
        <scheme val="minor"/>
      </rPr>
      <t>b,STC</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</si>
  <si>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θ</t>
    </r>
    <r>
      <rPr>
        <vertAlign val="subscript"/>
        <sz val="11"/>
        <color indexed="8"/>
        <rFont val="Calibri"/>
        <family val="2"/>
        <scheme val="minor"/>
      </rPr>
      <t>b,STC</t>
    </r>
  </si>
  <si>
    <r>
      <t>b</t>
    </r>
    <r>
      <rPr>
        <vertAlign val="subscript"/>
        <sz val="11"/>
        <rFont val="Calibri"/>
        <family val="2"/>
      </rPr>
      <t>STC,T</t>
    </r>
    <r>
      <rPr>
        <sz val="11"/>
        <rFont val="Calibri"/>
        <family val="2"/>
      </rPr>
      <t xml:space="preserve"> * X</t>
    </r>
    <r>
      <rPr>
        <vertAlign val="subscript"/>
        <sz val="11"/>
        <rFont val="Calibri"/>
        <family val="2"/>
      </rPr>
      <t>CASTO</t>
    </r>
    <r>
      <rPr>
        <sz val="11"/>
        <rFont val="Calibri"/>
        <family val="2"/>
      </rPr>
      <t xml:space="preserve"> * Msat</t>
    </r>
    <r>
      <rPr>
        <vertAlign val="subscript"/>
        <sz val="11"/>
        <rFont val="Calibri"/>
        <family val="2"/>
      </rPr>
      <t>SO2,KO2,CASTO</t>
    </r>
    <r>
      <rPr>
        <sz val="11"/>
        <rFont val="Calibri"/>
        <family val="2"/>
      </rPr>
      <t xml:space="preserve"> * MRsat</t>
    </r>
    <r>
      <rPr>
        <vertAlign val="subscript"/>
        <sz val="11"/>
        <rFont val="Calibri"/>
        <family val="2"/>
      </rPr>
      <t>XSTC,XCASTO,KSTC</t>
    </r>
  </si>
  <si>
    <r>
      <t>η</t>
    </r>
    <r>
      <rPr>
        <vertAlign val="subscript"/>
        <sz val="11"/>
        <rFont val="Calibri"/>
        <family val="2"/>
        <scheme val="minor"/>
      </rPr>
      <t>bSTC,anox</t>
    </r>
  </si>
  <si>
    <r>
      <t>b</t>
    </r>
    <r>
      <rPr>
        <vertAlign val="subscript"/>
        <sz val="11"/>
        <rFont val="Calibri"/>
        <family val="2"/>
      </rPr>
      <t>STC,T</t>
    </r>
    <r>
      <rPr>
        <sz val="11"/>
        <rFont val="Calibri"/>
        <family val="2"/>
      </rPr>
      <t xml:space="preserve"> * η</t>
    </r>
    <r>
      <rPr>
        <vertAlign val="subscript"/>
        <sz val="11"/>
        <rFont val="Calibri"/>
        <family val="2"/>
      </rPr>
      <t>bSTC,anox</t>
    </r>
    <r>
      <rPr>
        <sz val="11"/>
        <rFont val="Calibri"/>
        <family val="2"/>
      </rPr>
      <t xml:space="preserve"> * X</t>
    </r>
    <r>
      <rPr>
        <vertAlign val="subscript"/>
        <sz val="11"/>
        <rFont val="Calibri"/>
        <family val="2"/>
      </rPr>
      <t>CASTO</t>
    </r>
    <r>
      <rPr>
        <sz val="11"/>
        <rFont val="Calibri"/>
        <family val="2"/>
      </rPr>
      <t xml:space="preserve"> * Minh</t>
    </r>
    <r>
      <rPr>
        <vertAlign val="subscript"/>
        <sz val="11"/>
        <rFont val="Calibri"/>
        <family val="2"/>
      </rPr>
      <t>SO2,KO2,CASTO</t>
    </r>
    <r>
      <rPr>
        <sz val="11"/>
        <rFont val="Calibri"/>
        <family val="2"/>
      </rPr>
      <t xml:space="preserve"> * Msat</t>
    </r>
    <r>
      <rPr>
        <vertAlign val="subscript"/>
        <sz val="11"/>
        <rFont val="Calibri"/>
        <family val="2"/>
      </rPr>
      <t>SNOx,KNOx,CASTO</t>
    </r>
    <r>
      <rPr>
        <sz val="11"/>
        <rFont val="Calibri"/>
        <family val="2"/>
      </rPr>
      <t xml:space="preserve"> * MRsat</t>
    </r>
    <r>
      <rPr>
        <vertAlign val="subscript"/>
        <sz val="11"/>
        <rFont val="Calibri"/>
        <family val="2"/>
      </rPr>
      <t>XSTC,XCASTO,KSTC</t>
    </r>
  </si>
  <si>
    <r>
      <t>µ</t>
    </r>
    <r>
      <rPr>
        <vertAlign val="subscript"/>
        <sz val="11"/>
        <rFont val="Calibri"/>
        <family val="2"/>
      </rPr>
      <t>PAO,lim,T</t>
    </r>
    <r>
      <rPr>
        <sz val="11"/>
        <rFont val="Calibri"/>
        <family val="2"/>
      </rPr>
      <t xml:space="preserve"> * X</t>
    </r>
    <r>
      <rPr>
        <vertAlign val="subscript"/>
        <sz val="11"/>
        <rFont val="Calibri"/>
        <family val="2"/>
      </rPr>
      <t>PAO</t>
    </r>
    <r>
      <rPr>
        <sz val="11"/>
        <rFont val="Calibri"/>
        <family val="2"/>
      </rPr>
      <t xml:space="preserve"> * MRsat</t>
    </r>
    <r>
      <rPr>
        <vertAlign val="subscript"/>
        <sz val="11"/>
        <rFont val="Calibri"/>
        <family val="2"/>
      </rPr>
      <t>XPHA,XPAO,KPHA</t>
    </r>
    <r>
      <rPr>
        <sz val="11"/>
        <rFont val="Calibri"/>
        <family val="2"/>
      </rPr>
      <t xml:space="preserve"> * Msat</t>
    </r>
    <r>
      <rPr>
        <vertAlign val="subscript"/>
        <sz val="11"/>
        <rFont val="Calibri"/>
        <family val="2"/>
      </rPr>
      <t>SO2,KO2,CASTO</t>
    </r>
    <r>
      <rPr>
        <sz val="11"/>
        <rFont val="Calibri"/>
        <family val="2"/>
      </rPr>
      <t xml:space="preserve"> * Msat</t>
    </r>
    <r>
      <rPr>
        <vertAlign val="subscript"/>
        <sz val="11"/>
        <rFont val="Calibri"/>
        <family val="2"/>
      </rPr>
      <t>SNHx,KNHx,BIO</t>
    </r>
    <r>
      <rPr>
        <sz val="11"/>
        <rFont val="Calibri"/>
        <family val="2"/>
      </rPr>
      <t xml:space="preserve"> * Minh</t>
    </r>
    <r>
      <rPr>
        <vertAlign val="subscript"/>
        <sz val="11"/>
        <rFont val="Calibri"/>
        <family val="2"/>
      </rPr>
      <t>SPO4,KiPO4,lim</t>
    </r>
    <r>
      <rPr>
        <sz val="11"/>
        <rFont val="Calibri"/>
        <family val="2"/>
      </rPr>
      <t xml:space="preserve"> * Msat</t>
    </r>
    <r>
      <rPr>
        <vertAlign val="subscript"/>
        <sz val="11"/>
        <rFont val="Calibri"/>
        <family val="2"/>
      </rPr>
      <t>XPP,KPP,lim</t>
    </r>
    <r>
      <rPr>
        <sz val="11"/>
        <rFont val="Calibri"/>
        <family val="2"/>
      </rPr>
      <t xml:space="preserve"> * Msat</t>
    </r>
    <r>
      <rPr>
        <vertAlign val="subscript"/>
        <sz val="11"/>
        <rFont val="Calibri"/>
        <family val="2"/>
      </rPr>
      <t>SCAT,KCAT</t>
    </r>
    <r>
      <rPr>
        <sz val="11"/>
        <rFont val="Calibri"/>
        <family val="2"/>
      </rPr>
      <t xml:space="preserve"> * Msat</t>
    </r>
    <r>
      <rPr>
        <vertAlign val="subscript"/>
        <sz val="11"/>
        <rFont val="Calibri"/>
        <family val="2"/>
      </rPr>
      <t>SAN,KAN</t>
    </r>
    <r>
      <rPr>
        <sz val="11"/>
        <rFont val="Calibri"/>
        <family val="2"/>
      </rPr>
      <t xml:space="preserve"> * Msat</t>
    </r>
    <r>
      <rPr>
        <vertAlign val="subscript"/>
        <sz val="11"/>
        <rFont val="Calibri"/>
        <family val="2"/>
      </rPr>
      <t>SCa,KCa</t>
    </r>
    <r>
      <rPr>
        <sz val="11"/>
        <rFont val="Calibri"/>
        <family val="2"/>
      </rPr>
      <t xml:space="preserve"> * Msat</t>
    </r>
    <r>
      <rPr>
        <vertAlign val="subscript"/>
        <sz val="11"/>
        <rFont val="Calibri"/>
        <family val="2"/>
      </rPr>
      <t>SMg,KMg</t>
    </r>
    <r>
      <rPr>
        <sz val="11"/>
        <rFont val="Calibri"/>
        <family val="2"/>
      </rPr>
      <t xml:space="preserve"> * Bellinh</t>
    </r>
    <r>
      <rPr>
        <vertAlign val="subscript"/>
        <sz val="11"/>
        <rFont val="Calibri"/>
        <family val="2"/>
      </rPr>
      <t>pH</t>
    </r>
    <r>
      <rPr>
        <sz val="11"/>
        <rFont val="Calibri"/>
        <family val="2"/>
        <charset val="238"/>
      </rPr>
      <t/>
    </r>
  </si>
  <si>
    <r>
      <t>µ</t>
    </r>
    <r>
      <rPr>
        <vertAlign val="subscript"/>
        <sz val="11"/>
        <rFont val="Calibri"/>
        <family val="2"/>
      </rPr>
      <t>PAO,lim,T</t>
    </r>
    <r>
      <rPr>
        <sz val="11"/>
        <rFont val="Calibri"/>
        <family val="2"/>
      </rPr>
      <t xml:space="preserve"> * X</t>
    </r>
    <r>
      <rPr>
        <vertAlign val="subscript"/>
        <sz val="11"/>
        <rFont val="Calibri"/>
        <family val="2"/>
      </rPr>
      <t>PAO</t>
    </r>
    <r>
      <rPr>
        <sz val="11"/>
        <rFont val="Calibri"/>
        <family val="2"/>
      </rPr>
      <t xml:space="preserve"> * η</t>
    </r>
    <r>
      <rPr>
        <vertAlign val="subscript"/>
        <sz val="11"/>
        <rFont val="Calibri"/>
        <family val="2"/>
      </rPr>
      <t>CASTO,anox</t>
    </r>
    <r>
      <rPr>
        <sz val="11"/>
        <rFont val="Calibri"/>
        <family val="2"/>
      </rPr>
      <t xml:space="preserve"> * MRsat</t>
    </r>
    <r>
      <rPr>
        <vertAlign val="subscript"/>
        <sz val="11"/>
        <rFont val="Calibri"/>
        <family val="2"/>
      </rPr>
      <t>XPHA,XPAO,KPHA</t>
    </r>
    <r>
      <rPr>
        <sz val="11"/>
        <rFont val="Calibri"/>
        <family val="2"/>
      </rPr>
      <t xml:space="preserve"> * Minh</t>
    </r>
    <r>
      <rPr>
        <vertAlign val="subscript"/>
        <sz val="11"/>
        <rFont val="Calibri"/>
        <family val="2"/>
      </rPr>
      <t>SO2,KO2,CASTO</t>
    </r>
    <r>
      <rPr>
        <sz val="11"/>
        <rFont val="Calibri"/>
        <family val="2"/>
      </rPr>
      <t xml:space="preserve"> * Msat</t>
    </r>
    <r>
      <rPr>
        <vertAlign val="subscript"/>
        <sz val="11"/>
        <rFont val="Calibri"/>
        <family val="2"/>
      </rPr>
      <t>SNOx,KNOx,CASTO</t>
    </r>
    <r>
      <rPr>
        <sz val="11"/>
        <rFont val="Calibri"/>
        <family val="2"/>
      </rPr>
      <t xml:space="preserve"> * Msat</t>
    </r>
    <r>
      <rPr>
        <vertAlign val="subscript"/>
        <sz val="11"/>
        <rFont val="Calibri"/>
        <family val="2"/>
      </rPr>
      <t>SNHx,KNHx,BIO</t>
    </r>
    <r>
      <rPr>
        <sz val="11"/>
        <rFont val="Calibri"/>
        <family val="2"/>
      </rPr>
      <t xml:space="preserve"> * Minh</t>
    </r>
    <r>
      <rPr>
        <vertAlign val="subscript"/>
        <sz val="11"/>
        <rFont val="Calibri"/>
        <family val="2"/>
      </rPr>
      <t>SPO4,KiPO4,lim</t>
    </r>
    <r>
      <rPr>
        <sz val="11"/>
        <rFont val="Calibri"/>
        <family val="2"/>
      </rPr>
      <t xml:space="preserve"> * Msat</t>
    </r>
    <r>
      <rPr>
        <vertAlign val="subscript"/>
        <sz val="11"/>
        <rFont val="Calibri"/>
        <family val="2"/>
      </rPr>
      <t>XPP,KPP,lim</t>
    </r>
    <r>
      <rPr>
        <sz val="11"/>
        <rFont val="Calibri"/>
        <family val="2"/>
      </rPr>
      <t xml:space="preserve"> * Msat</t>
    </r>
    <r>
      <rPr>
        <vertAlign val="subscript"/>
        <sz val="11"/>
        <rFont val="Calibri"/>
        <family val="2"/>
      </rPr>
      <t>SCAT,KCAT</t>
    </r>
    <r>
      <rPr>
        <sz val="11"/>
        <rFont val="Calibri"/>
        <family val="2"/>
      </rPr>
      <t xml:space="preserve"> * Msat</t>
    </r>
    <r>
      <rPr>
        <vertAlign val="subscript"/>
        <sz val="11"/>
        <rFont val="Calibri"/>
        <family val="2"/>
      </rPr>
      <t>SAN,KAN</t>
    </r>
    <r>
      <rPr>
        <sz val="11"/>
        <rFont val="Calibri"/>
        <family val="2"/>
      </rPr>
      <t xml:space="preserve"> * Msat</t>
    </r>
    <r>
      <rPr>
        <vertAlign val="subscript"/>
        <sz val="11"/>
        <rFont val="Calibri"/>
        <family val="2"/>
      </rPr>
      <t>SCa,KCa</t>
    </r>
    <r>
      <rPr>
        <sz val="11"/>
        <rFont val="Calibri"/>
        <family val="2"/>
      </rPr>
      <t xml:space="preserve"> * Msat</t>
    </r>
    <r>
      <rPr>
        <vertAlign val="subscript"/>
        <sz val="11"/>
        <rFont val="Calibri"/>
        <family val="2"/>
      </rPr>
      <t>SMg,KMg</t>
    </r>
    <r>
      <rPr>
        <sz val="11"/>
        <rFont val="Calibri"/>
        <family val="2"/>
      </rPr>
      <t xml:space="preserve"> * Bellinh</t>
    </r>
    <r>
      <rPr>
        <vertAlign val="subscript"/>
        <sz val="11"/>
        <rFont val="Calibri"/>
        <family val="2"/>
      </rPr>
      <t>pH</t>
    </r>
    <r>
      <rPr>
        <sz val="11"/>
        <rFont val="Calibri"/>
        <family val="2"/>
        <charset val="238"/>
      </rPr>
      <t/>
    </r>
  </si>
  <si>
    <t>based on Lopez Vazquez et al., 2009</t>
  </si>
  <si>
    <t>Observed maximum specific growth rate of CASTOs (temperature corrected)</t>
  </si>
  <si>
    <t>Maximum polyphosphate uptake rate of PAOs</t>
  </si>
  <si>
    <r>
      <t>b</t>
    </r>
    <r>
      <rPr>
        <vertAlign val="subscript"/>
        <sz val="11"/>
        <color indexed="8"/>
        <rFont val="Calibri"/>
        <family val="2"/>
        <scheme val="minor"/>
      </rPr>
      <t>CASTO,T</t>
    </r>
  </si>
  <si>
    <t>Decay rate of CASTOs (temperature corrected)</t>
  </si>
  <si>
    <r>
      <t>b</t>
    </r>
    <r>
      <rPr>
        <vertAlign val="subscript"/>
        <sz val="11"/>
        <color indexed="8"/>
        <rFont val="Calibri"/>
        <family val="2"/>
        <scheme val="minor"/>
      </rPr>
      <t>CASTO</t>
    </r>
    <r>
      <rPr>
        <sz val="11"/>
        <color indexed="8"/>
        <rFont val="Calibri"/>
        <family val="2"/>
        <scheme val="minor"/>
      </rPr>
      <t>*Arrh(θ</t>
    </r>
    <r>
      <rPr>
        <vertAlign val="subscript"/>
        <sz val="11"/>
        <color indexed="8"/>
        <rFont val="Calibri"/>
        <family val="2"/>
        <scheme val="minor"/>
      </rPr>
      <t>b,CASTO</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</si>
  <si>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θ</t>
    </r>
    <r>
      <rPr>
        <vertAlign val="subscript"/>
        <sz val="11"/>
        <color indexed="8"/>
        <rFont val="Calibri"/>
        <family val="2"/>
        <scheme val="minor"/>
      </rPr>
      <t>b,CASTO</t>
    </r>
  </si>
  <si>
    <t>Arrhenius coefficient for CASTO decay</t>
  </si>
  <si>
    <r>
      <t>η</t>
    </r>
    <r>
      <rPr>
        <vertAlign val="subscript"/>
        <sz val="11"/>
        <rFont val="Calibri"/>
        <family val="2"/>
        <scheme val="minor"/>
      </rPr>
      <t>bCASTO,anox</t>
    </r>
  </si>
  <si>
    <r>
      <t>η</t>
    </r>
    <r>
      <rPr>
        <vertAlign val="subscript"/>
        <sz val="11"/>
        <rFont val="Calibri"/>
        <family val="2"/>
        <scheme val="minor"/>
      </rPr>
      <t>bCASTO,ana</t>
    </r>
  </si>
  <si>
    <t>Reduction factor for anoxic decay of CASTOs</t>
  </si>
  <si>
    <t>Reduction factor for anaerobic decay of CASTOs</t>
  </si>
  <si>
    <t>Reduction factor for anoxic growth of CASTOs</t>
  </si>
  <si>
    <r>
      <t>b</t>
    </r>
    <r>
      <rPr>
        <vertAlign val="subscript"/>
        <sz val="11"/>
        <rFont val="Calibri"/>
        <family val="2"/>
      </rPr>
      <t>CASTO,T</t>
    </r>
    <r>
      <rPr>
        <sz val="11"/>
        <rFont val="Calibri"/>
        <family val="2"/>
      </rPr>
      <t xml:space="preserve"> * MRinh</t>
    </r>
    <r>
      <rPr>
        <vertAlign val="subscript"/>
        <sz val="11"/>
        <rFont val="Calibri"/>
        <family val="2"/>
        <charset val="238"/>
      </rPr>
      <t>XSTC,XCASTO,KSTC</t>
    </r>
    <r>
      <rPr>
        <sz val="11"/>
        <rFont val="Calibri"/>
        <family val="2"/>
      </rPr>
      <t xml:space="preserve"> * (X</t>
    </r>
    <r>
      <rPr>
        <vertAlign val="subscript"/>
        <sz val="11"/>
        <rFont val="Calibri"/>
        <family val="2"/>
        <charset val="238"/>
      </rPr>
      <t>CASTO</t>
    </r>
    <r>
      <rPr>
        <sz val="11"/>
        <rFont val="Calibri"/>
        <family val="2"/>
      </rPr>
      <t xml:space="preserve"> * Msat</t>
    </r>
    <r>
      <rPr>
        <vertAlign val="subscript"/>
        <sz val="11"/>
        <rFont val="Calibri"/>
        <family val="2"/>
      </rPr>
      <t>SO2,KO2,CASTO</t>
    </r>
    <r>
      <rPr>
        <sz val="11"/>
        <rFont val="Calibri"/>
        <family val="2"/>
      </rPr>
      <t xml:space="preserve"> + η</t>
    </r>
    <r>
      <rPr>
        <vertAlign val="subscript"/>
        <sz val="11"/>
        <rFont val="Calibri"/>
        <family val="2"/>
      </rPr>
      <t>bCASTO,anox</t>
    </r>
    <r>
      <rPr>
        <sz val="11"/>
        <rFont val="Calibri"/>
        <family val="2"/>
      </rPr>
      <t xml:space="preserve"> * (X</t>
    </r>
    <r>
      <rPr>
        <vertAlign val="subscript"/>
        <sz val="11"/>
        <rFont val="Calibri"/>
        <family val="2"/>
        <charset val="238"/>
      </rPr>
      <t>GAO</t>
    </r>
    <r>
      <rPr>
        <sz val="11"/>
        <rFont val="Calibri"/>
        <family val="2"/>
      </rPr>
      <t xml:space="preserve"> + X</t>
    </r>
    <r>
      <rPr>
        <vertAlign val="subscript"/>
        <sz val="11"/>
        <rFont val="Calibri"/>
        <family val="2"/>
        <charset val="238"/>
      </rPr>
      <t>PAO</t>
    </r>
    <r>
      <rPr>
        <sz val="11"/>
        <rFont val="Calibri"/>
        <family val="2"/>
      </rPr>
      <t xml:space="preserve"> * MRinh</t>
    </r>
    <r>
      <rPr>
        <vertAlign val="subscript"/>
        <sz val="11"/>
        <rFont val="Calibri"/>
        <family val="2"/>
      </rPr>
      <t>XPP,XPAO,KPP</t>
    </r>
    <r>
      <rPr>
        <sz val="11"/>
        <rFont val="Calibri"/>
        <family val="2"/>
      </rPr>
      <t>) * Msat</t>
    </r>
    <r>
      <rPr>
        <vertAlign val="subscript"/>
        <sz val="11"/>
        <rFont val="Calibri"/>
        <family val="2"/>
      </rPr>
      <t>SNOx,KNOx,CASTO</t>
    </r>
    <r>
      <rPr>
        <sz val="11"/>
        <rFont val="Calibri"/>
        <family val="2"/>
      </rPr>
      <t xml:space="preserve"> * Minh</t>
    </r>
    <r>
      <rPr>
        <vertAlign val="subscript"/>
        <sz val="11"/>
        <rFont val="Calibri"/>
        <family val="2"/>
      </rPr>
      <t>SO2,KO2,CASTO</t>
    </r>
    <r>
      <rPr>
        <sz val="11"/>
        <rFont val="Calibri"/>
        <family val="2"/>
      </rPr>
      <t>)</t>
    </r>
  </si>
  <si>
    <r>
      <t>µ</t>
    </r>
    <r>
      <rPr>
        <vertAlign val="subscript"/>
        <sz val="11"/>
        <rFont val="Calibri"/>
        <family val="2"/>
        <charset val="238"/>
        <scheme val="minor"/>
      </rPr>
      <t>CASTO</t>
    </r>
  </si>
  <si>
    <t>Maximum specific growth rate of CASTOs</t>
  </si>
  <si>
    <r>
      <t>b</t>
    </r>
    <r>
      <rPr>
        <vertAlign val="subscript"/>
        <sz val="11"/>
        <rFont val="Calibri"/>
        <family val="2"/>
        <scheme val="minor"/>
      </rPr>
      <t>CASTO</t>
    </r>
  </si>
  <si>
    <t>Decay rate of CASTOs</t>
  </si>
  <si>
    <r>
      <t>b</t>
    </r>
    <r>
      <rPr>
        <vertAlign val="subscript"/>
        <sz val="11"/>
        <rFont val="Calibri"/>
        <family val="2"/>
        <scheme val="minor"/>
      </rPr>
      <t>STC</t>
    </r>
  </si>
  <si>
    <t>CASTO related calculations</t>
  </si>
  <si>
    <t>r27</t>
  </si>
  <si>
    <t>r28</t>
  </si>
  <si>
    <r>
      <t>PUR</t>
    </r>
    <r>
      <rPr>
        <vertAlign val="subscript"/>
        <sz val="11"/>
        <rFont val="Calibri"/>
        <family val="2"/>
        <scheme val="minor"/>
      </rPr>
      <t>BIO</t>
    </r>
    <r>
      <rPr>
        <sz val="11"/>
        <rFont val="Calibri"/>
        <family val="2"/>
        <scheme val="minor"/>
      </rPr>
      <t xml:space="preserve"> + PUR</t>
    </r>
    <r>
      <rPr>
        <vertAlign val="subscript"/>
        <sz val="11"/>
        <rFont val="Calibri"/>
        <family val="2"/>
        <scheme val="minor"/>
      </rPr>
      <t>CHEM</t>
    </r>
  </si>
  <si>
    <r>
      <t>-(v15_S</t>
    </r>
    <r>
      <rPr>
        <vertAlign val="subscript"/>
        <sz val="11"/>
        <rFont val="Calibri"/>
        <family val="2"/>
        <scheme val="minor"/>
      </rPr>
      <t>PO4</t>
    </r>
    <r>
      <rPr>
        <sz val="11"/>
        <rFont val="Calibri"/>
        <family val="2"/>
        <scheme val="minor"/>
      </rPr>
      <t xml:space="preserve"> * r15 + v16_S</t>
    </r>
    <r>
      <rPr>
        <vertAlign val="subscript"/>
        <sz val="11"/>
        <rFont val="Calibri"/>
        <family val="2"/>
        <scheme val="minor"/>
      </rPr>
      <t>PO4</t>
    </r>
    <r>
      <rPr>
        <sz val="11"/>
        <rFont val="Calibri"/>
        <family val="2"/>
        <scheme val="minor"/>
      </rPr>
      <t xml:space="preserve"> * r16)</t>
    </r>
  </si>
  <si>
    <t>r30</t>
  </si>
  <si>
    <t>r31</t>
  </si>
  <si>
    <t>r33</t>
  </si>
  <si>
    <t>r34</t>
  </si>
  <si>
    <t>Observed inorganic carbon content of STC</t>
  </si>
  <si>
    <r>
      <t>(1 - Logsat</t>
    </r>
    <r>
      <rPr>
        <vertAlign val="subscript"/>
        <sz val="11"/>
        <rFont val="Calibri"/>
        <family val="2"/>
        <charset val="238"/>
        <scheme val="minor"/>
      </rPr>
      <t>ORP,GAO,T</t>
    </r>
    <r>
      <rPr>
        <sz val="11"/>
        <rFont val="Calibri"/>
        <family val="2"/>
        <scheme val="minor"/>
      </rPr>
      <t>) * Loginh</t>
    </r>
    <r>
      <rPr>
        <vertAlign val="subscript"/>
        <sz val="11"/>
        <color rgb="FF000000"/>
        <rFont val="Calibri"/>
        <family val="2"/>
      </rPr>
      <t>ORP,PAO</t>
    </r>
    <r>
      <rPr>
        <sz val="11"/>
        <color indexed="8"/>
        <rFont val="Calibri"/>
        <family val="2"/>
      </rPr>
      <t/>
    </r>
  </si>
  <si>
    <r>
      <t>act</t>
    </r>
    <r>
      <rPr>
        <vertAlign val="subscript"/>
        <sz val="11"/>
        <rFont val="Calibri"/>
        <family val="2"/>
        <scheme val="minor"/>
      </rPr>
      <t>ferm,PAO,ORP</t>
    </r>
  </si>
  <si>
    <r>
      <t>µ</t>
    </r>
    <r>
      <rPr>
        <vertAlign val="subscript"/>
        <sz val="11"/>
        <rFont val="Calibri"/>
        <family val="2"/>
      </rPr>
      <t>FERM,PAO,T</t>
    </r>
    <r>
      <rPr>
        <sz val="11"/>
        <rFont val="Calibri"/>
        <family val="2"/>
      </rPr>
      <t xml:space="preserve"> * X</t>
    </r>
    <r>
      <rPr>
        <vertAlign val="subscript"/>
        <sz val="11"/>
        <rFont val="Calibri"/>
        <family val="2"/>
      </rPr>
      <t>CASTO</t>
    </r>
    <r>
      <rPr>
        <sz val="11"/>
        <rFont val="Calibri"/>
        <family val="2"/>
        <charset val="238"/>
      </rPr>
      <t xml:space="preserve"> * act</t>
    </r>
    <r>
      <rPr>
        <vertAlign val="subscript"/>
        <sz val="11"/>
        <rFont val="Calibri"/>
        <family val="2"/>
      </rPr>
      <t>ferm,PAO,ORP</t>
    </r>
    <r>
      <rPr>
        <sz val="11"/>
        <rFont val="Calibri"/>
        <family val="2"/>
      </rPr>
      <t xml:space="preserve"> * Loginh</t>
    </r>
    <r>
      <rPr>
        <vertAlign val="subscript"/>
        <sz val="11"/>
        <rFont val="Calibri"/>
        <family val="2"/>
      </rPr>
      <t>SVFA,KVFA,FERM</t>
    </r>
    <r>
      <rPr>
        <sz val="11"/>
        <rFont val="Calibri"/>
        <family val="2"/>
      </rPr>
      <t xml:space="preserve"> * Msat</t>
    </r>
    <r>
      <rPr>
        <vertAlign val="subscript"/>
        <sz val="11"/>
        <rFont val="Calibri"/>
        <family val="2"/>
      </rPr>
      <t>SB,KSB,ana</t>
    </r>
    <r>
      <rPr>
        <sz val="11"/>
        <rFont val="Calibri"/>
        <family val="2"/>
      </rPr>
      <t xml:space="preserve"> * Msat</t>
    </r>
    <r>
      <rPr>
        <vertAlign val="subscript"/>
        <sz val="11"/>
        <rFont val="Calibri"/>
        <family val="2"/>
      </rPr>
      <t>SNHx,KNHx,BIO</t>
    </r>
    <r>
      <rPr>
        <sz val="11"/>
        <rFont val="Calibri"/>
        <family val="2"/>
      </rPr>
      <t xml:space="preserve"> * Msat</t>
    </r>
    <r>
      <rPr>
        <vertAlign val="subscript"/>
        <sz val="11"/>
        <rFont val="Calibri"/>
        <family val="2"/>
      </rPr>
      <t>SPO4,KPO4,BIO</t>
    </r>
    <r>
      <rPr>
        <sz val="11"/>
        <rFont val="Calibri"/>
        <family val="2"/>
      </rPr>
      <t xml:space="preserve"> * Msat</t>
    </r>
    <r>
      <rPr>
        <vertAlign val="subscript"/>
        <sz val="11"/>
        <rFont val="Calibri"/>
        <family val="2"/>
      </rPr>
      <t>SCAT,KCAT</t>
    </r>
    <r>
      <rPr>
        <sz val="11"/>
        <rFont val="Calibri"/>
        <family val="2"/>
      </rPr>
      <t xml:space="preserve"> * Msat</t>
    </r>
    <r>
      <rPr>
        <vertAlign val="subscript"/>
        <sz val="11"/>
        <rFont val="Calibri"/>
        <family val="2"/>
      </rPr>
      <t>SAN,KAN</t>
    </r>
    <r>
      <rPr>
        <sz val="11"/>
        <rFont val="Calibri"/>
        <family val="2"/>
      </rPr>
      <t xml:space="preserve"> * Msat</t>
    </r>
    <r>
      <rPr>
        <vertAlign val="subscript"/>
        <sz val="11"/>
        <rFont val="Calibri"/>
        <family val="2"/>
      </rPr>
      <t>SCa,KCa</t>
    </r>
    <r>
      <rPr>
        <sz val="11"/>
        <rFont val="Calibri"/>
        <family val="2"/>
      </rPr>
      <t xml:space="preserve"> * Msat</t>
    </r>
    <r>
      <rPr>
        <vertAlign val="subscript"/>
        <sz val="11"/>
        <rFont val="Calibri"/>
        <family val="2"/>
      </rPr>
      <t>SMg,KMg</t>
    </r>
    <r>
      <rPr>
        <sz val="11"/>
        <rFont val="Calibri"/>
        <family val="2"/>
      </rPr>
      <t xml:space="preserve"> * Msat</t>
    </r>
    <r>
      <rPr>
        <vertAlign val="subscript"/>
        <sz val="11"/>
        <rFont val="Calibri"/>
        <family val="2"/>
      </rPr>
      <t>SCO2,KCO2,BIO</t>
    </r>
    <r>
      <rPr>
        <sz val="11"/>
        <rFont val="Calibri"/>
        <family val="2"/>
      </rPr>
      <t xml:space="preserve"> * Bellinh</t>
    </r>
    <r>
      <rPr>
        <vertAlign val="subscript"/>
        <sz val="11"/>
        <rFont val="Calibri"/>
        <family val="2"/>
      </rPr>
      <t>pH</t>
    </r>
    <r>
      <rPr>
        <sz val="11"/>
        <rFont val="Calibri"/>
        <family val="2"/>
        <charset val="238"/>
      </rPr>
      <t/>
    </r>
  </si>
  <si>
    <r>
      <t>µ</t>
    </r>
    <r>
      <rPr>
        <vertAlign val="subscript"/>
        <sz val="11"/>
        <rFont val="Calibri"/>
        <family val="2"/>
      </rPr>
      <t>FERM,PAO,T</t>
    </r>
    <r>
      <rPr>
        <sz val="11"/>
        <rFont val="Calibri"/>
        <family val="2"/>
      </rPr>
      <t xml:space="preserve"> * X</t>
    </r>
    <r>
      <rPr>
        <vertAlign val="subscript"/>
        <sz val="11"/>
        <rFont val="Calibri"/>
        <family val="2"/>
      </rPr>
      <t>CASTO</t>
    </r>
    <r>
      <rPr>
        <sz val="11"/>
        <rFont val="Calibri"/>
        <family val="2"/>
        <charset val="238"/>
      </rPr>
      <t xml:space="preserve"> * act</t>
    </r>
    <r>
      <rPr>
        <vertAlign val="subscript"/>
        <sz val="11"/>
        <rFont val="Calibri"/>
        <family val="2"/>
      </rPr>
      <t>ferm,PAO,ORP</t>
    </r>
    <r>
      <rPr>
        <sz val="11"/>
        <rFont val="Calibri"/>
        <family val="2"/>
      </rPr>
      <t xml:space="preserve"> * Logsat</t>
    </r>
    <r>
      <rPr>
        <vertAlign val="subscript"/>
        <sz val="11"/>
        <rFont val="Calibri"/>
        <family val="2"/>
      </rPr>
      <t>SVFA,KVFA,FERM</t>
    </r>
    <r>
      <rPr>
        <sz val="11"/>
        <rFont val="Calibri"/>
        <family val="2"/>
      </rPr>
      <t xml:space="preserve"> * Msat</t>
    </r>
    <r>
      <rPr>
        <vertAlign val="subscript"/>
        <sz val="11"/>
        <rFont val="Calibri"/>
        <family val="2"/>
      </rPr>
      <t>SB,KSB,ana</t>
    </r>
    <r>
      <rPr>
        <sz val="11"/>
        <rFont val="Calibri"/>
        <family val="2"/>
      </rPr>
      <t xml:space="preserve"> * Msat</t>
    </r>
    <r>
      <rPr>
        <vertAlign val="subscript"/>
        <sz val="11"/>
        <rFont val="Calibri"/>
        <family val="2"/>
      </rPr>
      <t>SNHx,KNHx,BIO</t>
    </r>
    <r>
      <rPr>
        <sz val="11"/>
        <rFont val="Calibri"/>
        <family val="2"/>
      </rPr>
      <t xml:space="preserve"> * Msat</t>
    </r>
    <r>
      <rPr>
        <vertAlign val="subscript"/>
        <sz val="11"/>
        <rFont val="Calibri"/>
        <family val="2"/>
      </rPr>
      <t>SPO4,KPO4,BIO</t>
    </r>
    <r>
      <rPr>
        <sz val="11"/>
        <rFont val="Calibri"/>
        <family val="2"/>
      </rPr>
      <t xml:space="preserve"> * Msat</t>
    </r>
    <r>
      <rPr>
        <vertAlign val="subscript"/>
        <sz val="11"/>
        <rFont val="Calibri"/>
        <family val="2"/>
      </rPr>
      <t>SCAT,KCAT</t>
    </r>
    <r>
      <rPr>
        <sz val="11"/>
        <rFont val="Calibri"/>
        <family val="2"/>
      </rPr>
      <t xml:space="preserve"> * Msat</t>
    </r>
    <r>
      <rPr>
        <vertAlign val="subscript"/>
        <sz val="11"/>
        <rFont val="Calibri"/>
        <family val="2"/>
      </rPr>
      <t>SAN,KAN</t>
    </r>
    <r>
      <rPr>
        <sz val="11"/>
        <rFont val="Calibri"/>
        <family val="2"/>
      </rPr>
      <t xml:space="preserve"> * Msat</t>
    </r>
    <r>
      <rPr>
        <vertAlign val="subscript"/>
        <sz val="11"/>
        <rFont val="Calibri"/>
        <family val="2"/>
      </rPr>
      <t>SCa,KCa</t>
    </r>
    <r>
      <rPr>
        <sz val="11"/>
        <rFont val="Calibri"/>
        <family val="2"/>
      </rPr>
      <t xml:space="preserve"> * Msat</t>
    </r>
    <r>
      <rPr>
        <vertAlign val="subscript"/>
        <sz val="11"/>
        <rFont val="Calibri"/>
        <family val="2"/>
      </rPr>
      <t>SMg,KMg</t>
    </r>
    <r>
      <rPr>
        <sz val="11"/>
        <rFont val="Calibri"/>
        <family val="2"/>
      </rPr>
      <t xml:space="preserve"> * Bellinh</t>
    </r>
    <r>
      <rPr>
        <vertAlign val="subscript"/>
        <sz val="11"/>
        <rFont val="Calibri"/>
        <family val="2"/>
      </rPr>
      <t>pH</t>
    </r>
    <r>
      <rPr>
        <sz val="11"/>
        <rFont val="Calibri"/>
        <family val="2"/>
      </rPr>
      <t/>
    </r>
  </si>
  <si>
    <r>
      <t>q</t>
    </r>
    <r>
      <rPr>
        <vertAlign val="subscript"/>
        <sz val="11"/>
        <rFont val="Calibri"/>
        <family val="2"/>
      </rPr>
      <t>PAO,PHA,T</t>
    </r>
    <r>
      <rPr>
        <sz val="11"/>
        <rFont val="Calibri"/>
        <family val="2"/>
      </rPr>
      <t xml:space="preserve"> * X</t>
    </r>
    <r>
      <rPr>
        <vertAlign val="subscript"/>
        <sz val="11"/>
        <rFont val="Calibri"/>
        <family val="2"/>
      </rPr>
      <t>CASTO</t>
    </r>
    <r>
      <rPr>
        <sz val="11"/>
        <rFont val="Calibri"/>
        <family val="2"/>
        <charset val="238"/>
      </rPr>
      <t xml:space="preserve"> * act</t>
    </r>
    <r>
      <rPr>
        <vertAlign val="subscript"/>
        <sz val="11"/>
        <rFont val="Calibri"/>
        <family val="2"/>
      </rPr>
      <t>sto,PAO,ORP</t>
    </r>
    <r>
      <rPr>
        <sz val="11"/>
        <rFont val="Calibri"/>
        <family val="2"/>
      </rPr>
      <t xml:space="preserve"> * Msat</t>
    </r>
    <r>
      <rPr>
        <vertAlign val="subscript"/>
        <sz val="11"/>
        <rFont val="Calibri"/>
        <family val="2"/>
      </rPr>
      <t>SVFA,KVFA,CASTO</t>
    </r>
    <r>
      <rPr>
        <sz val="11"/>
        <rFont val="Calibri"/>
        <family val="2"/>
      </rPr>
      <t xml:space="preserve"> * MRsat</t>
    </r>
    <r>
      <rPr>
        <vertAlign val="subscript"/>
        <sz val="11"/>
        <rFont val="Calibri"/>
        <family val="2"/>
      </rPr>
      <t>XPP,XPAO,KPP</t>
    </r>
    <r>
      <rPr>
        <sz val="11"/>
        <rFont val="Calibri"/>
        <family val="2"/>
      </rPr>
      <t xml:space="preserve"> * Loginh</t>
    </r>
    <r>
      <rPr>
        <vertAlign val="subscript"/>
        <sz val="11"/>
        <rFont val="Calibri"/>
        <family val="2"/>
      </rPr>
      <t>XPHA,XPAO,max</t>
    </r>
  </si>
  <si>
    <r>
      <t>act</t>
    </r>
    <r>
      <rPr>
        <vertAlign val="subscript"/>
        <sz val="11"/>
        <rFont val="Calibri"/>
        <family val="2"/>
        <scheme val="minor"/>
      </rPr>
      <t>sto,PAO,ORP</t>
    </r>
  </si>
  <si>
    <r>
      <t>act</t>
    </r>
    <r>
      <rPr>
        <vertAlign val="subscript"/>
        <sz val="11"/>
        <rFont val="Calibri"/>
        <family val="2"/>
        <scheme val="minor"/>
      </rPr>
      <t>sto,GAO,ORP</t>
    </r>
  </si>
  <si>
    <t>ORP dependent VFA storage activity of GAOs</t>
  </si>
  <si>
    <t>ORP dependent VFA storage activity of PAOs</t>
  </si>
  <si>
    <t>ORP dependent fermentation activity of PAOs</t>
  </si>
  <si>
    <r>
      <t>(1 - Logsat</t>
    </r>
    <r>
      <rPr>
        <vertAlign val="subscript"/>
        <sz val="11"/>
        <color indexed="8"/>
        <rFont val="Calibri"/>
        <family val="2"/>
        <charset val="238"/>
      </rPr>
      <t>ORP,GAO,T</t>
    </r>
    <r>
      <rPr>
        <sz val="11"/>
        <color indexed="8"/>
        <rFont val="Calibri"/>
        <family val="2"/>
        <charset val="238"/>
      </rPr>
      <t xml:space="preserve">) </t>
    </r>
  </si>
  <si>
    <t>mV.°C-1</t>
  </si>
  <si>
    <r>
      <t>sl</t>
    </r>
    <r>
      <rPr>
        <vertAlign val="subscript"/>
        <sz val="11"/>
        <rFont val="Calibri"/>
        <family val="2"/>
        <charset val="238"/>
        <scheme val="minor"/>
      </rPr>
      <t>ORP,GAO,Half,T</t>
    </r>
  </si>
  <si>
    <t>Max(var - Sumo__MSatMin; 0) / (k + var)</t>
  </si>
  <si>
    <t>Bellopt(var; xopt; whalf; slope)</t>
  </si>
  <si>
    <t>Bell-shaped filtering function</t>
  </si>
  <si>
    <t>1 / (1 + Pow(Abs((var-xopt)/whalf),slope))</t>
  </si>
  <si>
    <t>Sign(x2) * fabs(x1)</t>
  </si>
  <si>
    <t>fabs(modelvar-data)</t>
  </si>
  <si>
    <t>fabs((modelvar-data)/modelvar)</t>
  </si>
  <si>
    <t>Absolute value of integer</t>
  </si>
  <si>
    <t>fabs(x)</t>
  </si>
  <si>
    <t>Atmosphere composition</t>
  </si>
  <si>
    <r>
      <t>K</t>
    </r>
    <r>
      <rPr>
        <vertAlign val="subscript"/>
        <sz val="11"/>
        <rFont val="Calibri"/>
        <family val="2"/>
        <scheme val="minor"/>
      </rPr>
      <t>Prop,param</t>
    </r>
  </si>
  <si>
    <r>
      <t>D</t>
    </r>
    <r>
      <rPr>
        <vertAlign val="subscript"/>
        <sz val="11"/>
        <rFont val="Calibri"/>
        <family val="2"/>
        <charset val="238"/>
        <scheme val="minor"/>
      </rPr>
      <t>SALPHA</t>
    </r>
  </si>
  <si>
    <t>Diffusion coefficient of alpha indicator</t>
  </si>
  <si>
    <t>Msat cut off value</t>
  </si>
  <si>
    <t xml:space="preserve"> </t>
  </si>
  <si>
    <t>Sumo__MSatMin</t>
  </si>
  <si>
    <r>
      <t>Logsat</t>
    </r>
    <r>
      <rPr>
        <vertAlign val="subscript"/>
        <sz val="11"/>
        <rFont val="Calibri"/>
        <family val="2"/>
        <scheme val="minor"/>
      </rPr>
      <t>ORP,GAO,Half,15</t>
    </r>
  </si>
  <si>
    <r>
      <t>Logsat</t>
    </r>
    <r>
      <rPr>
        <vertAlign val="subscript"/>
        <sz val="11"/>
        <rFont val="Calibri"/>
        <family val="2"/>
        <scheme val="minor"/>
      </rPr>
      <t>ORP,GAO,Half,25</t>
    </r>
  </si>
  <si>
    <r>
      <t>(Logsat</t>
    </r>
    <r>
      <rPr>
        <vertAlign val="subscript"/>
        <sz val="11"/>
        <rFont val="Calibri"/>
        <family val="2"/>
        <charset val="238"/>
        <scheme val="minor"/>
      </rPr>
      <t>ORP,GAO,Half,25</t>
    </r>
    <r>
      <rPr>
        <sz val="11"/>
        <rFont val="Calibri"/>
        <family val="2"/>
        <scheme val="minor"/>
      </rPr>
      <t xml:space="preserve"> - Logsat</t>
    </r>
    <r>
      <rPr>
        <vertAlign val="subscript"/>
        <sz val="11"/>
        <rFont val="Calibri"/>
        <family val="2"/>
        <charset val="238"/>
        <scheme val="minor"/>
      </rPr>
      <t>ORP,GAO,Half,15</t>
    </r>
    <r>
      <rPr>
        <sz val="11"/>
        <rFont val="Calibri"/>
        <family val="2"/>
        <scheme val="minor"/>
      </rPr>
      <t>) / (25 - 15)</t>
    </r>
  </si>
  <si>
    <r>
      <t>Logsat</t>
    </r>
    <r>
      <rPr>
        <vertAlign val="subscript"/>
        <sz val="11"/>
        <rFont val="Calibri"/>
        <family val="2"/>
        <charset val="238"/>
        <scheme val="minor"/>
      </rPr>
      <t>ORP,GAO,Half,25</t>
    </r>
    <r>
      <rPr>
        <sz val="11"/>
        <rFont val="Calibri"/>
        <family val="2"/>
        <scheme val="minor"/>
      </rPr>
      <t xml:space="preserve"> - sl</t>
    </r>
    <r>
      <rPr>
        <vertAlign val="subscript"/>
        <sz val="11"/>
        <rFont val="Calibri"/>
        <family val="2"/>
        <charset val="238"/>
        <scheme val="minor"/>
      </rPr>
      <t>ORP,GAO,Half,T</t>
    </r>
    <r>
      <rPr>
        <sz val="11"/>
        <rFont val="Calibri"/>
        <family val="2"/>
        <scheme val="minor"/>
      </rPr>
      <t xml:space="preserve"> * 25</t>
    </r>
  </si>
  <si>
    <t>Parameters from solver settings</t>
  </si>
  <si>
    <t>Enhanced biological phosphorus removal</t>
  </si>
  <si>
    <t>Total inorganic nitrogen</t>
  </si>
  <si>
    <r>
      <t>T</t>
    </r>
    <r>
      <rPr>
        <vertAlign val="subscript"/>
        <sz val="11"/>
        <rFont val="Calibri"/>
        <family val="2"/>
        <charset val="238"/>
        <scheme val="minor"/>
      </rPr>
      <t>IN</t>
    </r>
  </si>
  <si>
    <r>
      <t>S</t>
    </r>
    <r>
      <rPr>
        <vertAlign val="subscript"/>
        <sz val="11"/>
        <rFont val="Calibri"/>
        <family val="2"/>
      </rPr>
      <t>NHx</t>
    </r>
    <r>
      <rPr>
        <sz val="11"/>
        <rFont val="Calibri"/>
        <family val="2"/>
      </rPr>
      <t xml:space="preserve"> + S</t>
    </r>
    <r>
      <rPr>
        <vertAlign val="subscript"/>
        <sz val="11"/>
        <rFont val="Calibri"/>
        <family val="2"/>
      </rPr>
      <t>NOx</t>
    </r>
  </si>
  <si>
    <r>
      <t>T</t>
    </r>
    <r>
      <rPr>
        <vertAlign val="subscript"/>
        <sz val="11"/>
        <rFont val="Calibri"/>
        <family val="2"/>
        <scheme val="minor"/>
      </rPr>
      <t>KN</t>
    </r>
    <r>
      <rPr>
        <sz val="11"/>
        <rFont val="Calibri"/>
        <family val="2"/>
        <scheme val="minor"/>
      </rPr>
      <t xml:space="preserve"> + S</t>
    </r>
    <r>
      <rPr>
        <vertAlign val="subscript"/>
        <sz val="11"/>
        <rFont val="Calibri"/>
        <family val="2"/>
        <scheme val="minor"/>
      </rPr>
      <t>NOx</t>
    </r>
    <r>
      <rPr>
        <sz val="11"/>
        <rFont val="Calibri"/>
        <family val="2"/>
      </rPr>
      <t/>
    </r>
  </si>
  <si>
    <r>
      <t>q</t>
    </r>
    <r>
      <rPr>
        <vertAlign val="subscript"/>
        <sz val="11"/>
        <rFont val="Calibri"/>
        <family val="2"/>
        <charset val="238"/>
        <scheme val="minor"/>
      </rPr>
      <t>PAO,PHA</t>
    </r>
  </si>
  <si>
    <r>
      <t>sl</t>
    </r>
    <r>
      <rPr>
        <vertAlign val="subscript"/>
        <sz val="11"/>
        <rFont val="Calibri"/>
        <family val="2"/>
      </rPr>
      <t>ORP,GAO,Half,T</t>
    </r>
    <r>
      <rPr>
        <sz val="11"/>
        <rFont val="Calibri"/>
        <family val="2"/>
      </rPr>
      <t xml:space="preserve"> * T + y</t>
    </r>
    <r>
      <rPr>
        <vertAlign val="subscript"/>
        <sz val="11"/>
        <rFont val="Calibri"/>
        <family val="2"/>
      </rPr>
      <t>ORP,GAO,Half,T</t>
    </r>
  </si>
  <si>
    <r>
      <t>y</t>
    </r>
    <r>
      <rPr>
        <vertAlign val="subscript"/>
        <sz val="11"/>
        <rFont val="Calibri"/>
        <family val="2"/>
        <charset val="238"/>
        <scheme val="minor"/>
      </rPr>
      <t>ORP,GAO,Half,T</t>
    </r>
  </si>
  <si>
    <t>Intercept of logistic half-saturation of ORP switching of GAOs temperature correction</t>
  </si>
  <si>
    <r>
      <t>-(v1_S</t>
    </r>
    <r>
      <rPr>
        <vertAlign val="subscript"/>
        <sz val="11"/>
        <rFont val="Calibri"/>
        <family val="2"/>
        <scheme val="minor"/>
      </rPr>
      <t>O2</t>
    </r>
    <r>
      <rPr>
        <sz val="11"/>
        <rFont val="Calibri"/>
        <family val="2"/>
        <scheme val="minor"/>
      </rPr>
      <t xml:space="preserve"> * r1 + v3_S</t>
    </r>
    <r>
      <rPr>
        <vertAlign val="subscript"/>
        <sz val="11"/>
        <rFont val="Calibri"/>
        <family val="2"/>
        <scheme val="minor"/>
      </rPr>
      <t>O2</t>
    </r>
    <r>
      <rPr>
        <sz val="11"/>
        <rFont val="Calibri"/>
        <family val="2"/>
        <scheme val="minor"/>
      </rPr>
      <t xml:space="preserve"> * r3 + v7_S</t>
    </r>
    <r>
      <rPr>
        <vertAlign val="subscript"/>
        <sz val="11"/>
        <rFont val="Calibri"/>
        <family val="2"/>
        <scheme val="minor"/>
      </rPr>
      <t>O2</t>
    </r>
    <r>
      <rPr>
        <sz val="11"/>
        <rFont val="Calibri"/>
        <family val="2"/>
        <scheme val="minor"/>
      </rPr>
      <t xml:space="preserve"> * r7 + v13_S</t>
    </r>
    <r>
      <rPr>
        <vertAlign val="subscript"/>
        <sz val="11"/>
        <rFont val="Calibri"/>
        <family val="2"/>
        <scheme val="minor"/>
      </rPr>
      <t>O2</t>
    </r>
    <r>
      <rPr>
        <sz val="11"/>
        <rFont val="Calibri"/>
        <family val="2"/>
        <scheme val="minor"/>
      </rPr>
      <t xml:space="preserve"> * r13 + v15_S</t>
    </r>
    <r>
      <rPr>
        <vertAlign val="subscript"/>
        <sz val="11"/>
        <rFont val="Calibri"/>
        <family val="2"/>
        <scheme val="minor"/>
      </rPr>
      <t>O2</t>
    </r>
    <r>
      <rPr>
        <sz val="11"/>
        <rFont val="Calibri"/>
        <family val="2"/>
        <scheme val="minor"/>
      </rPr>
      <t xml:space="preserve"> * r15 + v17_S</t>
    </r>
    <r>
      <rPr>
        <vertAlign val="subscript"/>
        <sz val="11"/>
        <rFont val="Calibri"/>
        <family val="2"/>
        <scheme val="minor"/>
      </rPr>
      <t>O2</t>
    </r>
    <r>
      <rPr>
        <sz val="11"/>
        <rFont val="Calibri"/>
        <family val="2"/>
        <scheme val="minor"/>
      </rPr>
      <t xml:space="preserve"> * r17 + v21_S</t>
    </r>
    <r>
      <rPr>
        <vertAlign val="subscript"/>
        <sz val="11"/>
        <rFont val="Calibri"/>
        <family val="2"/>
        <scheme val="minor"/>
      </rPr>
      <t>O2</t>
    </r>
    <r>
      <rPr>
        <sz val="11"/>
        <rFont val="Calibri"/>
        <family val="2"/>
        <scheme val="minor"/>
      </rPr>
      <t xml:space="preserve"> * r21)</t>
    </r>
  </si>
  <si>
    <t>Total organic Kjeldahl nitrogen</t>
  </si>
  <si>
    <r>
      <t>T</t>
    </r>
    <r>
      <rPr>
        <vertAlign val="subscript"/>
        <sz val="11"/>
        <rFont val="Calibri"/>
        <family val="2"/>
        <charset val="238"/>
        <scheme val="minor"/>
      </rPr>
      <t>KN,B</t>
    </r>
  </si>
  <si>
    <r>
      <t>K</t>
    </r>
    <r>
      <rPr>
        <vertAlign val="subscript"/>
        <sz val="11"/>
        <rFont val="Calibri"/>
        <family val="2"/>
        <scheme val="minor"/>
      </rPr>
      <t>sp,STR,param</t>
    </r>
    <r>
      <rPr>
        <sz val="11"/>
        <rFont val="Calibri"/>
        <family val="2"/>
        <scheme val="minor"/>
      </rPr>
      <t>/(f</t>
    </r>
    <r>
      <rPr>
        <vertAlign val="subscript"/>
        <sz val="11"/>
        <rFont val="Calibri"/>
        <family val="2"/>
        <scheme val="minor"/>
      </rPr>
      <t>di</t>
    </r>
    <r>
      <rPr>
        <sz val="11"/>
        <rFont val="Calibri"/>
        <family val="2"/>
        <scheme val="minor"/>
      </rPr>
      <t>^</t>
    </r>
    <r>
      <rPr>
        <vertAlign val="superscript"/>
        <sz val="11"/>
        <rFont val="Calibri"/>
        <family val="2"/>
        <scheme val="minor"/>
      </rPr>
      <t>(1/3)</t>
    </r>
    <r>
      <rPr>
        <sz val="11"/>
        <rFont val="Calibri"/>
        <family val="2"/>
        <scheme val="minor"/>
      </rPr>
      <t>*f</t>
    </r>
    <r>
      <rPr>
        <vertAlign val="subscript"/>
        <sz val="11"/>
        <rFont val="Calibri"/>
        <family val="2"/>
        <scheme val="minor"/>
      </rPr>
      <t>mono</t>
    </r>
    <r>
      <rPr>
        <sz val="11"/>
        <rFont val="Calibri"/>
        <family val="2"/>
        <scheme val="minor"/>
      </rPr>
      <t>^</t>
    </r>
    <r>
      <rPr>
        <vertAlign val="superscript"/>
        <sz val="11"/>
        <rFont val="Calibri"/>
        <family val="2"/>
        <scheme val="minor"/>
      </rPr>
      <t>(1/3)</t>
    </r>
    <r>
      <rPr>
        <sz val="11"/>
        <rFont val="Calibri"/>
        <family val="2"/>
        <scheme val="minor"/>
      </rPr>
      <t>*f</t>
    </r>
    <r>
      <rPr>
        <vertAlign val="subscript"/>
        <sz val="11"/>
        <rFont val="Calibri"/>
        <family val="2"/>
        <scheme val="minor"/>
      </rPr>
      <t>tri</t>
    </r>
    <r>
      <rPr>
        <sz val="11"/>
        <rFont val="Calibri"/>
        <family val="2"/>
        <scheme val="minor"/>
      </rPr>
      <t>^</t>
    </r>
    <r>
      <rPr>
        <vertAlign val="superscript"/>
        <sz val="11"/>
        <rFont val="Calibri"/>
        <family val="2"/>
        <scheme val="minor"/>
      </rPr>
      <t>(1/3)</t>
    </r>
    <r>
      <rPr>
        <sz val="11"/>
        <rFont val="Calibri"/>
        <family val="2"/>
        <charset val="238"/>
        <scheme val="minor"/>
      </rPr>
      <t>)</t>
    </r>
  </si>
  <si>
    <r>
      <t>S</t>
    </r>
    <r>
      <rPr>
        <b/>
        <vertAlign val="subscript"/>
        <sz val="11"/>
        <rFont val="Calibri"/>
        <family val="2"/>
        <charset val="238"/>
        <scheme val="minor"/>
      </rPr>
      <t>VFA</t>
    </r>
  </si>
  <si>
    <r>
      <t>S</t>
    </r>
    <r>
      <rPr>
        <b/>
        <vertAlign val="subscript"/>
        <sz val="11"/>
        <rFont val="Calibri"/>
        <family val="2"/>
        <charset val="238"/>
        <scheme val="minor"/>
      </rPr>
      <t>B</t>
    </r>
  </si>
  <si>
    <r>
      <t>S</t>
    </r>
    <r>
      <rPr>
        <b/>
        <vertAlign val="subscript"/>
        <sz val="11"/>
        <rFont val="Calibri"/>
        <family val="2"/>
        <charset val="238"/>
        <scheme val="minor"/>
      </rPr>
      <t>MEOL</t>
    </r>
  </si>
  <si>
    <r>
      <t>C</t>
    </r>
    <r>
      <rPr>
        <b/>
        <vertAlign val="subscript"/>
        <sz val="11"/>
        <rFont val="Calibri"/>
        <family val="2"/>
        <charset val="238"/>
        <scheme val="minor"/>
      </rPr>
      <t>B</t>
    </r>
  </si>
  <si>
    <r>
      <t>X</t>
    </r>
    <r>
      <rPr>
        <b/>
        <vertAlign val="subscript"/>
        <sz val="11"/>
        <rFont val="Calibri"/>
        <family val="2"/>
        <charset val="238"/>
        <scheme val="minor"/>
      </rPr>
      <t>B</t>
    </r>
  </si>
  <si>
    <r>
      <t>S</t>
    </r>
    <r>
      <rPr>
        <b/>
        <vertAlign val="subscript"/>
        <sz val="11"/>
        <rFont val="Calibri"/>
        <family val="2"/>
        <charset val="238"/>
        <scheme val="minor"/>
      </rPr>
      <t>U</t>
    </r>
  </si>
  <si>
    <r>
      <t>C</t>
    </r>
    <r>
      <rPr>
        <b/>
        <vertAlign val="subscript"/>
        <sz val="11"/>
        <rFont val="Calibri"/>
        <family val="2"/>
        <charset val="238"/>
        <scheme val="minor"/>
      </rPr>
      <t>U</t>
    </r>
  </si>
  <si>
    <r>
      <t>X</t>
    </r>
    <r>
      <rPr>
        <b/>
        <vertAlign val="subscript"/>
        <sz val="11"/>
        <rFont val="Calibri"/>
        <family val="2"/>
        <charset val="238"/>
        <scheme val="minor"/>
      </rPr>
      <t>U</t>
    </r>
  </si>
  <si>
    <r>
      <t>X</t>
    </r>
    <r>
      <rPr>
        <b/>
        <vertAlign val="subscript"/>
        <sz val="11"/>
        <rFont val="Calibri"/>
        <family val="2"/>
        <charset val="238"/>
        <scheme val="minor"/>
      </rPr>
      <t>E</t>
    </r>
  </si>
  <si>
    <r>
      <t>X</t>
    </r>
    <r>
      <rPr>
        <b/>
        <vertAlign val="subscript"/>
        <sz val="11"/>
        <rFont val="Calibri"/>
        <family val="2"/>
        <charset val="238"/>
        <scheme val="minor"/>
      </rPr>
      <t>E,ana</t>
    </r>
  </si>
  <si>
    <r>
      <t>X</t>
    </r>
    <r>
      <rPr>
        <b/>
        <vertAlign val="subscript"/>
        <sz val="11"/>
        <rFont val="Calibri"/>
        <family val="2"/>
        <charset val="238"/>
        <scheme val="minor"/>
      </rPr>
      <t>OHO</t>
    </r>
  </si>
  <si>
    <r>
      <t>X</t>
    </r>
    <r>
      <rPr>
        <b/>
        <vertAlign val="subscript"/>
        <sz val="11"/>
        <rFont val="Calibri"/>
        <family val="2"/>
        <charset val="238"/>
        <scheme val="minor"/>
      </rPr>
      <t>CASTO</t>
    </r>
  </si>
  <si>
    <r>
      <t>X</t>
    </r>
    <r>
      <rPr>
        <b/>
        <vertAlign val="subscript"/>
        <sz val="11"/>
        <rFont val="Calibri"/>
        <family val="2"/>
        <charset val="238"/>
        <scheme val="minor"/>
      </rPr>
      <t>MEOLO</t>
    </r>
  </si>
  <si>
    <r>
      <t>X</t>
    </r>
    <r>
      <rPr>
        <b/>
        <vertAlign val="subscript"/>
        <sz val="11"/>
        <rFont val="Calibri"/>
        <family val="2"/>
        <charset val="238"/>
        <scheme val="minor"/>
      </rPr>
      <t>NITO</t>
    </r>
  </si>
  <si>
    <r>
      <t>X</t>
    </r>
    <r>
      <rPr>
        <b/>
        <vertAlign val="subscript"/>
        <sz val="11"/>
        <rFont val="Calibri"/>
        <family val="2"/>
        <charset val="238"/>
        <scheme val="minor"/>
      </rPr>
      <t>AMETO</t>
    </r>
  </si>
  <si>
    <r>
      <t>X</t>
    </r>
    <r>
      <rPr>
        <b/>
        <vertAlign val="subscript"/>
        <sz val="11"/>
        <rFont val="Calibri"/>
        <family val="2"/>
        <charset val="238"/>
        <scheme val="minor"/>
      </rPr>
      <t>HMETO</t>
    </r>
  </si>
  <si>
    <r>
      <t>S</t>
    </r>
    <r>
      <rPr>
        <b/>
        <vertAlign val="subscript"/>
        <sz val="11"/>
        <rFont val="Calibri"/>
        <family val="2"/>
        <charset val="238"/>
        <scheme val="minor"/>
      </rPr>
      <t>NHx</t>
    </r>
  </si>
  <si>
    <r>
      <t>S</t>
    </r>
    <r>
      <rPr>
        <b/>
        <vertAlign val="subscript"/>
        <sz val="11"/>
        <rFont val="Calibri"/>
        <family val="2"/>
        <charset val="238"/>
        <scheme val="minor"/>
      </rPr>
      <t>NOx</t>
    </r>
  </si>
  <si>
    <r>
      <t>S</t>
    </r>
    <r>
      <rPr>
        <b/>
        <vertAlign val="subscript"/>
        <sz val="11"/>
        <rFont val="Calibri"/>
        <family val="2"/>
        <charset val="238"/>
        <scheme val="minor"/>
      </rPr>
      <t>N2</t>
    </r>
  </si>
  <si>
    <r>
      <t>S</t>
    </r>
    <r>
      <rPr>
        <b/>
        <vertAlign val="subscript"/>
        <sz val="11"/>
        <rFont val="Calibri"/>
        <family val="2"/>
        <charset val="238"/>
        <scheme val="minor"/>
      </rPr>
      <t>N,B</t>
    </r>
  </si>
  <si>
    <r>
      <t>X</t>
    </r>
    <r>
      <rPr>
        <b/>
        <vertAlign val="subscript"/>
        <sz val="11"/>
        <rFont val="Calibri"/>
        <family val="2"/>
        <charset val="238"/>
        <scheme val="minor"/>
      </rPr>
      <t>N,B</t>
    </r>
  </si>
  <si>
    <r>
      <t>X</t>
    </r>
    <r>
      <rPr>
        <b/>
        <vertAlign val="subscript"/>
        <sz val="11"/>
        <rFont val="Calibri"/>
        <family val="2"/>
        <charset val="238"/>
        <scheme val="minor"/>
      </rPr>
      <t>N,U</t>
    </r>
  </si>
  <si>
    <r>
      <t>S</t>
    </r>
    <r>
      <rPr>
        <b/>
        <vertAlign val="subscript"/>
        <sz val="11"/>
        <rFont val="Calibri"/>
        <family val="2"/>
        <charset val="238"/>
        <scheme val="minor"/>
      </rPr>
      <t>PO4</t>
    </r>
  </si>
  <si>
    <r>
      <t>X</t>
    </r>
    <r>
      <rPr>
        <b/>
        <vertAlign val="subscript"/>
        <sz val="11"/>
        <rFont val="Calibri"/>
        <family val="2"/>
        <charset val="238"/>
        <scheme val="minor"/>
      </rPr>
      <t>PP</t>
    </r>
  </si>
  <si>
    <r>
      <t>S</t>
    </r>
    <r>
      <rPr>
        <b/>
        <vertAlign val="subscript"/>
        <sz val="11"/>
        <rFont val="Calibri"/>
        <family val="2"/>
        <charset val="238"/>
        <scheme val="minor"/>
      </rPr>
      <t>P,B</t>
    </r>
  </si>
  <si>
    <r>
      <t>X</t>
    </r>
    <r>
      <rPr>
        <b/>
        <vertAlign val="subscript"/>
        <sz val="11"/>
        <rFont val="Calibri"/>
        <family val="2"/>
        <charset val="238"/>
        <scheme val="minor"/>
      </rPr>
      <t>P,B</t>
    </r>
  </si>
  <si>
    <r>
      <t>X</t>
    </r>
    <r>
      <rPr>
        <b/>
        <vertAlign val="subscript"/>
        <sz val="11"/>
        <rFont val="Calibri"/>
        <family val="2"/>
        <charset val="238"/>
        <scheme val="minor"/>
      </rPr>
      <t>P,U</t>
    </r>
  </si>
  <si>
    <r>
      <t>S</t>
    </r>
    <r>
      <rPr>
        <b/>
        <vertAlign val="subscript"/>
        <sz val="11"/>
        <rFont val="Calibri"/>
        <family val="2"/>
        <charset val="238"/>
        <scheme val="minor"/>
      </rPr>
      <t>O2</t>
    </r>
  </si>
  <si>
    <r>
      <t>S</t>
    </r>
    <r>
      <rPr>
        <b/>
        <vertAlign val="subscript"/>
        <sz val="11"/>
        <rFont val="Calibri"/>
        <family val="2"/>
        <charset val="238"/>
        <scheme val="minor"/>
      </rPr>
      <t>CH4</t>
    </r>
  </si>
  <si>
    <r>
      <t>S</t>
    </r>
    <r>
      <rPr>
        <b/>
        <vertAlign val="subscript"/>
        <sz val="11"/>
        <rFont val="Calibri"/>
        <family val="2"/>
        <charset val="238"/>
        <scheme val="minor"/>
      </rPr>
      <t>H2</t>
    </r>
  </si>
  <si>
    <r>
      <t>S</t>
    </r>
    <r>
      <rPr>
        <b/>
        <vertAlign val="subscript"/>
        <sz val="11"/>
        <rFont val="Calibri"/>
        <family val="2"/>
        <charset val="238"/>
        <scheme val="minor"/>
      </rPr>
      <t>CO2</t>
    </r>
  </si>
  <si>
    <r>
      <t>X</t>
    </r>
    <r>
      <rPr>
        <b/>
        <vertAlign val="subscript"/>
        <sz val="11"/>
        <rFont val="Calibri"/>
        <family val="2"/>
        <charset val="238"/>
        <scheme val="minor"/>
      </rPr>
      <t>INORG</t>
    </r>
  </si>
  <si>
    <r>
      <t>S</t>
    </r>
    <r>
      <rPr>
        <b/>
        <vertAlign val="subscript"/>
        <sz val="11"/>
        <rFont val="Calibri"/>
        <family val="2"/>
        <charset val="238"/>
      </rPr>
      <t>CAT</t>
    </r>
  </si>
  <si>
    <r>
      <t>S</t>
    </r>
    <r>
      <rPr>
        <b/>
        <vertAlign val="subscript"/>
        <sz val="11"/>
        <rFont val="Calibri"/>
        <family val="2"/>
        <charset val="238"/>
      </rPr>
      <t>AN</t>
    </r>
  </si>
  <si>
    <r>
      <t>S</t>
    </r>
    <r>
      <rPr>
        <b/>
        <vertAlign val="subscript"/>
        <sz val="11"/>
        <rFont val="Calibri"/>
        <family val="2"/>
        <charset val="238"/>
        <scheme val="minor"/>
      </rPr>
      <t>Ca</t>
    </r>
  </si>
  <si>
    <r>
      <t>S</t>
    </r>
    <r>
      <rPr>
        <b/>
        <vertAlign val="subscript"/>
        <sz val="11"/>
        <rFont val="Calibri"/>
        <family val="2"/>
        <charset val="238"/>
      </rPr>
      <t>Mg</t>
    </r>
  </si>
  <si>
    <r>
      <t>S</t>
    </r>
    <r>
      <rPr>
        <b/>
        <vertAlign val="subscript"/>
        <sz val="11"/>
        <rFont val="Calibri"/>
        <family val="2"/>
        <charset val="238"/>
      </rPr>
      <t>K</t>
    </r>
  </si>
  <si>
    <r>
      <t>S</t>
    </r>
    <r>
      <rPr>
        <b/>
        <vertAlign val="subscript"/>
        <sz val="11"/>
        <rFont val="Calibri"/>
        <family val="2"/>
        <charset val="238"/>
        <scheme val="minor"/>
      </rPr>
      <t>Fe2</t>
    </r>
  </si>
  <si>
    <r>
      <t>X</t>
    </r>
    <r>
      <rPr>
        <b/>
        <vertAlign val="subscript"/>
        <sz val="11"/>
        <rFont val="Calibri"/>
        <family val="2"/>
        <charset val="238"/>
        <scheme val="minor"/>
      </rPr>
      <t>HFO,H</t>
    </r>
  </si>
  <si>
    <r>
      <t>X</t>
    </r>
    <r>
      <rPr>
        <b/>
        <vertAlign val="subscript"/>
        <sz val="11"/>
        <rFont val="Calibri"/>
        <family val="2"/>
        <charset val="238"/>
        <scheme val="minor"/>
      </rPr>
      <t>HFO,L</t>
    </r>
  </si>
  <si>
    <r>
      <t>X</t>
    </r>
    <r>
      <rPr>
        <b/>
        <vertAlign val="subscript"/>
        <sz val="11"/>
        <rFont val="Calibri"/>
        <family val="2"/>
        <charset val="238"/>
        <scheme val="minor"/>
      </rPr>
      <t>HFO,old</t>
    </r>
  </si>
  <si>
    <r>
      <t>X</t>
    </r>
    <r>
      <rPr>
        <b/>
        <vertAlign val="subscript"/>
        <sz val="11"/>
        <rFont val="Calibri"/>
        <family val="2"/>
        <charset val="238"/>
        <scheme val="minor"/>
      </rPr>
      <t>HFO,H,P</t>
    </r>
  </si>
  <si>
    <r>
      <t>X</t>
    </r>
    <r>
      <rPr>
        <b/>
        <vertAlign val="subscript"/>
        <sz val="11"/>
        <rFont val="Calibri"/>
        <family val="2"/>
        <charset val="238"/>
        <scheme val="minor"/>
      </rPr>
      <t>HFO,L,P</t>
    </r>
  </si>
  <si>
    <r>
      <t>X</t>
    </r>
    <r>
      <rPr>
        <b/>
        <vertAlign val="subscript"/>
        <sz val="11"/>
        <rFont val="Calibri"/>
        <family val="2"/>
        <charset val="238"/>
      </rPr>
      <t>HFO,H,P,old</t>
    </r>
  </si>
  <si>
    <r>
      <t>X</t>
    </r>
    <r>
      <rPr>
        <b/>
        <vertAlign val="subscript"/>
        <sz val="11"/>
        <rFont val="Calibri"/>
        <family val="2"/>
        <charset val="238"/>
      </rPr>
      <t>HFO,L,P,old</t>
    </r>
  </si>
  <si>
    <r>
      <t>X</t>
    </r>
    <r>
      <rPr>
        <b/>
        <vertAlign val="subscript"/>
        <sz val="11"/>
        <rFont val="Calibri"/>
        <family val="2"/>
        <charset val="238"/>
        <scheme val="minor"/>
      </rPr>
      <t>HAO,H</t>
    </r>
  </si>
  <si>
    <r>
      <t>X</t>
    </r>
    <r>
      <rPr>
        <b/>
        <vertAlign val="subscript"/>
        <sz val="11"/>
        <rFont val="Calibri"/>
        <family val="2"/>
        <charset val="238"/>
        <scheme val="minor"/>
      </rPr>
      <t>HAO,L</t>
    </r>
  </si>
  <si>
    <r>
      <t>X</t>
    </r>
    <r>
      <rPr>
        <b/>
        <vertAlign val="subscript"/>
        <sz val="11"/>
        <rFont val="Calibri"/>
        <family val="2"/>
        <charset val="238"/>
        <scheme val="minor"/>
      </rPr>
      <t>HAO,old</t>
    </r>
  </si>
  <si>
    <r>
      <t>X</t>
    </r>
    <r>
      <rPr>
        <b/>
        <vertAlign val="subscript"/>
        <sz val="11"/>
        <rFont val="Calibri"/>
        <family val="2"/>
        <charset val="238"/>
        <scheme val="minor"/>
      </rPr>
      <t>HAO,H,P</t>
    </r>
  </si>
  <si>
    <r>
      <t>X</t>
    </r>
    <r>
      <rPr>
        <b/>
        <vertAlign val="subscript"/>
        <sz val="11"/>
        <rFont val="Calibri"/>
        <family val="2"/>
        <charset val="238"/>
        <scheme val="minor"/>
      </rPr>
      <t>HAO,L,P</t>
    </r>
  </si>
  <si>
    <r>
      <t>X</t>
    </r>
    <r>
      <rPr>
        <b/>
        <vertAlign val="subscript"/>
        <sz val="11"/>
        <rFont val="Calibri"/>
        <family val="2"/>
        <charset val="238"/>
      </rPr>
      <t>HAO,H,P,old</t>
    </r>
  </si>
  <si>
    <r>
      <t>X</t>
    </r>
    <r>
      <rPr>
        <b/>
        <vertAlign val="subscript"/>
        <sz val="11"/>
        <rFont val="Calibri"/>
        <family val="2"/>
        <charset val="238"/>
      </rPr>
      <t>HAO,L,P,old</t>
    </r>
  </si>
  <si>
    <r>
      <t>X</t>
    </r>
    <r>
      <rPr>
        <b/>
        <vertAlign val="subscript"/>
        <sz val="11"/>
        <rFont val="Calibri"/>
        <family val="2"/>
        <charset val="238"/>
        <scheme val="minor"/>
      </rPr>
      <t>CaCO3</t>
    </r>
  </si>
  <si>
    <r>
      <t>X</t>
    </r>
    <r>
      <rPr>
        <b/>
        <vertAlign val="subscript"/>
        <sz val="11"/>
        <rFont val="Calibri"/>
        <family val="2"/>
        <charset val="238"/>
        <scheme val="minor"/>
      </rPr>
      <t>ACP</t>
    </r>
  </si>
  <si>
    <r>
      <t>X</t>
    </r>
    <r>
      <rPr>
        <b/>
        <vertAlign val="subscript"/>
        <sz val="11"/>
        <rFont val="Calibri"/>
        <family val="2"/>
        <charset val="238"/>
        <scheme val="minor"/>
      </rPr>
      <t>BSH</t>
    </r>
  </si>
  <si>
    <r>
      <t>X</t>
    </r>
    <r>
      <rPr>
        <b/>
        <vertAlign val="subscript"/>
        <sz val="12"/>
        <rFont val="Calibri"/>
        <family val="2"/>
        <charset val="238"/>
        <scheme val="minor"/>
      </rPr>
      <t>STR</t>
    </r>
  </si>
  <si>
    <r>
      <t>X</t>
    </r>
    <r>
      <rPr>
        <b/>
        <vertAlign val="subscript"/>
        <sz val="11"/>
        <rFont val="Calibri"/>
        <family val="2"/>
        <charset val="238"/>
        <scheme val="minor"/>
      </rPr>
      <t>Vivi</t>
    </r>
  </si>
  <si>
    <r>
      <t>S</t>
    </r>
    <r>
      <rPr>
        <b/>
        <vertAlign val="subscript"/>
        <sz val="11"/>
        <rFont val="Calibri"/>
        <family val="2"/>
        <charset val="238"/>
        <scheme val="minor"/>
      </rPr>
      <t>ALPHA</t>
    </r>
  </si>
  <si>
    <r>
      <t>G</t>
    </r>
    <r>
      <rPr>
        <b/>
        <vertAlign val="subscript"/>
        <sz val="11"/>
        <rFont val="Calibri"/>
        <family val="2"/>
        <charset val="238"/>
      </rPr>
      <t>CO2</t>
    </r>
  </si>
  <si>
    <r>
      <t>G</t>
    </r>
    <r>
      <rPr>
        <b/>
        <vertAlign val="subscript"/>
        <sz val="11"/>
        <rFont val="Calibri"/>
        <family val="2"/>
        <charset val="238"/>
      </rPr>
      <t>CH4</t>
    </r>
  </si>
  <si>
    <r>
      <t>G</t>
    </r>
    <r>
      <rPr>
        <b/>
        <vertAlign val="subscript"/>
        <sz val="11"/>
        <rFont val="Calibri"/>
        <family val="2"/>
        <charset val="238"/>
      </rPr>
      <t>H2</t>
    </r>
  </si>
  <si>
    <r>
      <t>G</t>
    </r>
    <r>
      <rPr>
        <b/>
        <vertAlign val="subscript"/>
        <sz val="11"/>
        <rFont val="Calibri"/>
        <family val="2"/>
        <charset val="238"/>
      </rPr>
      <t>O2</t>
    </r>
  </si>
  <si>
    <r>
      <t>G</t>
    </r>
    <r>
      <rPr>
        <b/>
        <vertAlign val="subscript"/>
        <sz val="11"/>
        <rFont val="Calibri"/>
        <family val="2"/>
        <charset val="238"/>
      </rPr>
      <t>NH3</t>
    </r>
  </si>
  <si>
    <r>
      <t>G</t>
    </r>
    <r>
      <rPr>
        <b/>
        <vertAlign val="subscript"/>
        <sz val="11"/>
        <rFont val="Calibri"/>
        <family val="2"/>
        <charset val="238"/>
      </rPr>
      <t>N2</t>
    </r>
  </si>
  <si>
    <r>
      <t>G</t>
    </r>
    <r>
      <rPr>
        <b/>
        <vertAlign val="subscript"/>
        <sz val="11"/>
        <rFont val="Calibri"/>
        <family val="2"/>
        <charset val="238"/>
      </rPr>
      <t>CO2,atm</t>
    </r>
  </si>
  <si>
    <r>
      <t>G</t>
    </r>
    <r>
      <rPr>
        <b/>
        <vertAlign val="subscript"/>
        <sz val="11"/>
        <rFont val="Calibri"/>
        <family val="2"/>
        <charset val="238"/>
      </rPr>
      <t>CH4,atm</t>
    </r>
  </si>
  <si>
    <r>
      <t>G</t>
    </r>
    <r>
      <rPr>
        <b/>
        <vertAlign val="subscript"/>
        <sz val="11"/>
        <rFont val="Calibri"/>
        <family val="2"/>
        <charset val="238"/>
      </rPr>
      <t>H2,atm</t>
    </r>
  </si>
  <si>
    <r>
      <t>G</t>
    </r>
    <r>
      <rPr>
        <b/>
        <vertAlign val="subscript"/>
        <sz val="11"/>
        <rFont val="Calibri"/>
        <family val="2"/>
        <charset val="238"/>
      </rPr>
      <t>O2,atm</t>
    </r>
  </si>
  <si>
    <r>
      <t>G</t>
    </r>
    <r>
      <rPr>
        <b/>
        <vertAlign val="subscript"/>
        <sz val="11"/>
        <rFont val="Calibri"/>
        <family val="2"/>
        <charset val="238"/>
      </rPr>
      <t>NH3,atm</t>
    </r>
  </si>
  <si>
    <r>
      <t>G</t>
    </r>
    <r>
      <rPr>
        <b/>
        <vertAlign val="subscript"/>
        <sz val="11"/>
        <rFont val="Calibri"/>
        <family val="2"/>
        <charset val="238"/>
      </rPr>
      <t>N2,atm</t>
    </r>
  </si>
  <si>
    <r>
      <t>Logsat</t>
    </r>
    <r>
      <rPr>
        <vertAlign val="subscript"/>
        <sz val="11"/>
        <rFont val="Calibri"/>
        <family val="2"/>
        <scheme val="minor"/>
      </rPr>
      <t>XPP,KPO4,PAO</t>
    </r>
  </si>
  <si>
    <t>Logistic saturation term for PP in PP cleavage (PAO)</t>
  </si>
  <si>
    <r>
      <t>b</t>
    </r>
    <r>
      <rPr>
        <vertAlign val="subscript"/>
        <sz val="11"/>
        <rFont val="Calibri"/>
        <family val="2"/>
      </rPr>
      <t>PP,ana,T</t>
    </r>
    <r>
      <rPr>
        <sz val="11"/>
        <rFont val="Calibri"/>
        <family val="2"/>
      </rPr>
      <t xml:space="preserve"> * X</t>
    </r>
    <r>
      <rPr>
        <vertAlign val="subscript"/>
        <sz val="11"/>
        <rFont val="Calibri"/>
        <family val="2"/>
      </rPr>
      <t>PAO</t>
    </r>
    <r>
      <rPr>
        <sz val="11"/>
        <rFont val="Calibri"/>
        <family val="2"/>
      </rPr>
      <t xml:space="preserve"> * Logsat</t>
    </r>
    <r>
      <rPr>
        <vertAlign val="subscript"/>
        <sz val="11"/>
        <rFont val="Calibri"/>
        <family val="2"/>
      </rPr>
      <t>XPP,KPO4,PAO</t>
    </r>
    <r>
      <rPr>
        <sz val="11"/>
        <rFont val="Calibri"/>
        <family val="2"/>
      </rPr>
      <t xml:space="preserve"> * (η</t>
    </r>
    <r>
      <rPr>
        <vertAlign val="subscript"/>
        <sz val="11"/>
        <rFont val="Calibri"/>
        <family val="2"/>
      </rPr>
      <t>bPP,aer</t>
    </r>
    <r>
      <rPr>
        <sz val="11"/>
        <rFont val="Calibri"/>
        <family val="2"/>
      </rPr>
      <t xml:space="preserve"> * MRinh</t>
    </r>
    <r>
      <rPr>
        <vertAlign val="subscript"/>
        <sz val="11"/>
        <rFont val="Calibri"/>
        <family val="2"/>
      </rPr>
      <t>XPHA,XPAO,KPHA,cle</t>
    </r>
    <r>
      <rPr>
        <sz val="11"/>
        <rFont val="Calibri"/>
        <family val="2"/>
      </rPr>
      <t xml:space="preserve"> * Msat</t>
    </r>
    <r>
      <rPr>
        <vertAlign val="subscript"/>
        <sz val="11"/>
        <rFont val="Calibri"/>
        <family val="2"/>
      </rPr>
      <t>SO2,KO2,CASTO</t>
    </r>
    <r>
      <rPr>
        <sz val="11"/>
        <rFont val="Calibri"/>
        <family val="2"/>
      </rPr>
      <t xml:space="preserve"> + η</t>
    </r>
    <r>
      <rPr>
        <vertAlign val="subscript"/>
        <sz val="11"/>
        <rFont val="Calibri"/>
        <family val="2"/>
      </rPr>
      <t>bPP,anox</t>
    </r>
    <r>
      <rPr>
        <sz val="11"/>
        <rFont val="Calibri"/>
        <family val="2"/>
      </rPr>
      <t xml:space="preserve"> * Minh</t>
    </r>
    <r>
      <rPr>
        <vertAlign val="subscript"/>
        <sz val="11"/>
        <rFont val="Calibri"/>
        <family val="2"/>
      </rPr>
      <t>SO2,KO2,CASTO</t>
    </r>
    <r>
      <rPr>
        <sz val="11"/>
        <rFont val="Calibri"/>
        <family val="2"/>
      </rPr>
      <t xml:space="preserve"> * Msat</t>
    </r>
    <r>
      <rPr>
        <vertAlign val="subscript"/>
        <sz val="11"/>
        <rFont val="Calibri"/>
        <family val="2"/>
      </rPr>
      <t>SNOx,KNOx,CASTO</t>
    </r>
    <r>
      <rPr>
        <sz val="11"/>
        <rFont val="Calibri"/>
        <family val="2"/>
      </rPr>
      <t xml:space="preserve"> + Minh</t>
    </r>
    <r>
      <rPr>
        <vertAlign val="subscript"/>
        <sz val="11"/>
        <rFont val="Calibri"/>
        <family val="2"/>
      </rPr>
      <t>SO2,KO2,CASTO</t>
    </r>
    <r>
      <rPr>
        <sz val="11"/>
        <rFont val="Calibri"/>
        <family val="2"/>
      </rPr>
      <t xml:space="preserve"> * Minh</t>
    </r>
    <r>
      <rPr>
        <vertAlign val="subscript"/>
        <sz val="11"/>
        <rFont val="Calibri"/>
        <family val="2"/>
      </rPr>
      <t>SNOx,KNOx,CASTO</t>
    </r>
    <r>
      <rPr>
        <sz val="11"/>
        <rFont val="Calibri"/>
        <family val="2"/>
      </rPr>
      <t>)</t>
    </r>
  </si>
  <si>
    <r>
      <t>q</t>
    </r>
    <r>
      <rPr>
        <vertAlign val="subscript"/>
        <sz val="11"/>
        <rFont val="Calibri"/>
        <family val="2"/>
      </rPr>
      <t>PAO,PP,T</t>
    </r>
    <r>
      <rPr>
        <sz val="11"/>
        <rFont val="Calibri"/>
        <family val="2"/>
      </rPr>
      <t xml:space="preserve"> * X</t>
    </r>
    <r>
      <rPr>
        <vertAlign val="subscript"/>
        <sz val="11"/>
        <rFont val="Calibri"/>
        <family val="2"/>
      </rPr>
      <t>PAO</t>
    </r>
    <r>
      <rPr>
        <sz val="11"/>
        <rFont val="Calibri"/>
        <family val="2"/>
      </rPr>
      <t>/(X</t>
    </r>
    <r>
      <rPr>
        <vertAlign val="subscript"/>
        <sz val="11"/>
        <rFont val="Calibri"/>
        <family val="2"/>
      </rPr>
      <t>PP</t>
    </r>
    <r>
      <rPr>
        <sz val="11"/>
        <rFont val="Calibri"/>
        <family val="2"/>
        <charset val="238"/>
      </rPr>
      <t>+X</t>
    </r>
    <r>
      <rPr>
        <vertAlign val="subscript"/>
        <sz val="11"/>
        <rFont val="Calibri"/>
        <family val="2"/>
        <charset val="238"/>
      </rPr>
      <t>PP,PAO,min</t>
    </r>
    <r>
      <rPr>
        <sz val="11"/>
        <rFont val="Calibri"/>
        <family val="2"/>
        <charset val="238"/>
      </rPr>
      <t>)</t>
    </r>
    <r>
      <rPr>
        <vertAlign val="subscript"/>
        <sz val="11"/>
        <rFont val="Calibri"/>
        <family val="2"/>
      </rPr>
      <t xml:space="preserve"> </t>
    </r>
    <r>
      <rPr>
        <sz val="11"/>
        <rFont val="Calibri"/>
        <family val="2"/>
      </rPr>
      <t>* X</t>
    </r>
    <r>
      <rPr>
        <vertAlign val="subscript"/>
        <sz val="11"/>
        <rFont val="Calibri"/>
        <family val="2"/>
      </rPr>
      <t xml:space="preserve">PAO </t>
    </r>
    <r>
      <rPr>
        <sz val="11"/>
        <rFont val="Calibri"/>
        <family val="2"/>
      </rPr>
      <t>* Msat</t>
    </r>
    <r>
      <rPr>
        <vertAlign val="subscript"/>
        <sz val="11"/>
        <rFont val="Calibri"/>
        <family val="2"/>
      </rPr>
      <t xml:space="preserve">SO2,KO2,CASTO </t>
    </r>
    <r>
      <rPr>
        <sz val="11"/>
        <rFont val="Calibri"/>
        <family val="2"/>
      </rPr>
      <t>* Logsat</t>
    </r>
    <r>
      <rPr>
        <vertAlign val="subscript"/>
        <sz val="11"/>
        <rFont val="Calibri"/>
        <family val="2"/>
      </rPr>
      <t xml:space="preserve">SPO4,KPO4,PAO </t>
    </r>
    <r>
      <rPr>
        <sz val="11"/>
        <rFont val="Calibri"/>
        <family val="2"/>
      </rPr>
      <t>* Loginh</t>
    </r>
    <r>
      <rPr>
        <vertAlign val="subscript"/>
        <sz val="11"/>
        <rFont val="Calibri"/>
        <family val="2"/>
      </rPr>
      <t xml:space="preserve">XPP,XPAO,max </t>
    </r>
    <r>
      <rPr>
        <sz val="11"/>
        <rFont val="Calibri"/>
        <family val="2"/>
      </rPr>
      <t>* Msat</t>
    </r>
    <r>
      <rPr>
        <vertAlign val="subscript"/>
        <sz val="11"/>
        <rFont val="Calibri"/>
        <family val="2"/>
      </rPr>
      <t xml:space="preserve">SCa,KCa,PAO </t>
    </r>
    <r>
      <rPr>
        <sz val="11"/>
        <rFont val="Calibri"/>
        <family val="2"/>
      </rPr>
      <t>* Msat</t>
    </r>
    <r>
      <rPr>
        <vertAlign val="subscript"/>
        <sz val="11"/>
        <rFont val="Calibri"/>
        <family val="2"/>
      </rPr>
      <t xml:space="preserve">SMg,KMg,PAO </t>
    </r>
    <r>
      <rPr>
        <sz val="11"/>
        <rFont val="Calibri"/>
        <family val="2"/>
      </rPr>
      <t>* Msat</t>
    </r>
    <r>
      <rPr>
        <vertAlign val="subscript"/>
        <sz val="11"/>
        <rFont val="Calibri"/>
        <family val="2"/>
      </rPr>
      <t xml:space="preserve">SK,KK,PAO </t>
    </r>
    <r>
      <rPr>
        <sz val="11"/>
        <rFont val="Calibri"/>
        <family val="2"/>
      </rPr>
      <t>* Bellinh</t>
    </r>
    <r>
      <rPr>
        <vertAlign val="subscript"/>
        <sz val="11"/>
        <rFont val="Calibri"/>
        <family val="2"/>
      </rPr>
      <t>pH</t>
    </r>
    <r>
      <rPr>
        <sz val="11"/>
        <rFont val="Calibri"/>
        <family val="2"/>
        <charset val="238"/>
      </rPr>
      <t/>
    </r>
  </si>
  <si>
    <r>
      <t>X</t>
    </r>
    <r>
      <rPr>
        <vertAlign val="subscript"/>
        <sz val="11"/>
        <rFont val="Calibri"/>
        <family val="2"/>
        <charset val="238"/>
        <scheme val="minor"/>
      </rPr>
      <t>PP,PAO,min</t>
    </r>
  </si>
  <si>
    <t>PAO PP uptake booster denominator limiting term</t>
  </si>
  <si>
    <r>
      <t>q</t>
    </r>
    <r>
      <rPr>
        <vertAlign val="subscript"/>
        <sz val="11"/>
        <rFont val="Calibri"/>
        <family val="2"/>
      </rPr>
      <t>PAO,PP,T</t>
    </r>
    <r>
      <rPr>
        <sz val="11"/>
        <rFont val="Calibri"/>
        <family val="2"/>
      </rPr>
      <t xml:space="preserve"> * X</t>
    </r>
    <r>
      <rPr>
        <vertAlign val="subscript"/>
        <sz val="11"/>
        <rFont val="Calibri"/>
        <family val="2"/>
      </rPr>
      <t>PAO</t>
    </r>
    <r>
      <rPr>
        <sz val="11"/>
        <rFont val="Calibri"/>
        <family val="2"/>
      </rPr>
      <t>/(X</t>
    </r>
    <r>
      <rPr>
        <vertAlign val="subscript"/>
        <sz val="11"/>
        <rFont val="Calibri"/>
        <family val="2"/>
      </rPr>
      <t>PP</t>
    </r>
    <r>
      <rPr>
        <sz val="11"/>
        <rFont val="Calibri"/>
        <family val="2"/>
        <charset val="238"/>
      </rPr>
      <t>+X</t>
    </r>
    <r>
      <rPr>
        <vertAlign val="subscript"/>
        <sz val="11"/>
        <rFont val="Calibri"/>
        <family val="2"/>
        <charset val="238"/>
      </rPr>
      <t>PP,PAO,min</t>
    </r>
    <r>
      <rPr>
        <sz val="11"/>
        <rFont val="Calibri"/>
        <family val="2"/>
        <charset val="238"/>
      </rPr>
      <t>)</t>
    </r>
    <r>
      <rPr>
        <vertAlign val="subscript"/>
        <sz val="11"/>
        <rFont val="Calibri"/>
        <family val="2"/>
      </rPr>
      <t xml:space="preserve"> </t>
    </r>
    <r>
      <rPr>
        <sz val="11"/>
        <rFont val="Calibri"/>
        <family val="2"/>
      </rPr>
      <t>* X</t>
    </r>
    <r>
      <rPr>
        <vertAlign val="subscript"/>
        <sz val="11"/>
        <rFont val="Calibri"/>
        <family val="2"/>
      </rPr>
      <t xml:space="preserve">PAO </t>
    </r>
    <r>
      <rPr>
        <sz val="11"/>
        <rFont val="Calibri"/>
        <family val="2"/>
      </rPr>
      <t>* η</t>
    </r>
    <r>
      <rPr>
        <vertAlign val="subscript"/>
        <sz val="11"/>
        <rFont val="Calibri"/>
        <family val="2"/>
      </rPr>
      <t xml:space="preserve">CASTO,anox </t>
    </r>
    <r>
      <rPr>
        <sz val="11"/>
        <rFont val="Calibri"/>
        <family val="2"/>
      </rPr>
      <t>* Msat</t>
    </r>
    <r>
      <rPr>
        <vertAlign val="subscript"/>
        <sz val="11"/>
        <rFont val="Calibri"/>
        <family val="2"/>
      </rPr>
      <t xml:space="preserve">SNOx,KNOx,CASTO </t>
    </r>
    <r>
      <rPr>
        <sz val="11"/>
        <rFont val="Calibri"/>
        <family val="2"/>
      </rPr>
      <t>* Minh</t>
    </r>
    <r>
      <rPr>
        <vertAlign val="subscript"/>
        <sz val="11"/>
        <rFont val="Calibri"/>
        <family val="2"/>
      </rPr>
      <t xml:space="preserve">SO2,KO2,CASTO </t>
    </r>
    <r>
      <rPr>
        <sz val="11"/>
        <rFont val="Calibri"/>
        <family val="2"/>
      </rPr>
      <t>* Logsat</t>
    </r>
    <r>
      <rPr>
        <vertAlign val="subscript"/>
        <sz val="11"/>
        <rFont val="Calibri"/>
        <family val="2"/>
      </rPr>
      <t xml:space="preserve">SPO4,KPO4,PAO </t>
    </r>
    <r>
      <rPr>
        <sz val="11"/>
        <rFont val="Calibri"/>
        <family val="2"/>
      </rPr>
      <t>* Loginh</t>
    </r>
    <r>
      <rPr>
        <vertAlign val="subscript"/>
        <sz val="11"/>
        <rFont val="Calibri"/>
        <family val="2"/>
      </rPr>
      <t xml:space="preserve">XPP,XPAO,max </t>
    </r>
    <r>
      <rPr>
        <sz val="11"/>
        <rFont val="Calibri"/>
        <family val="2"/>
      </rPr>
      <t>* Msat</t>
    </r>
    <r>
      <rPr>
        <vertAlign val="subscript"/>
        <sz val="11"/>
        <rFont val="Calibri"/>
        <family val="2"/>
      </rPr>
      <t xml:space="preserve">SCa,KCa,PAO </t>
    </r>
    <r>
      <rPr>
        <sz val="11"/>
        <rFont val="Calibri"/>
        <family val="2"/>
      </rPr>
      <t>* Msat</t>
    </r>
    <r>
      <rPr>
        <vertAlign val="subscript"/>
        <sz val="11"/>
        <rFont val="Calibri"/>
        <family val="2"/>
      </rPr>
      <t xml:space="preserve">SMg,KMg,PAO </t>
    </r>
    <r>
      <rPr>
        <sz val="11"/>
        <rFont val="Calibri"/>
        <family val="2"/>
      </rPr>
      <t>* Msat</t>
    </r>
    <r>
      <rPr>
        <vertAlign val="subscript"/>
        <sz val="11"/>
        <rFont val="Calibri"/>
        <family val="2"/>
      </rPr>
      <t xml:space="preserve">SK,KK,PAO </t>
    </r>
    <r>
      <rPr>
        <sz val="11"/>
        <rFont val="Calibri"/>
        <family val="2"/>
      </rPr>
      <t>* Bellinh</t>
    </r>
    <r>
      <rPr>
        <vertAlign val="subscript"/>
        <sz val="11"/>
        <rFont val="Calibri"/>
        <family val="2"/>
      </rPr>
      <t>pH</t>
    </r>
  </si>
  <si>
    <t>SV group</t>
  </si>
  <si>
    <t>O2</t>
  </si>
  <si>
    <t>TIC</t>
  </si>
  <si>
    <t>TSS</t>
  </si>
  <si>
    <t>Biomass</t>
  </si>
  <si>
    <t>ALPHA</t>
  </si>
  <si>
    <t>IS input</t>
  </si>
  <si>
    <t>Non-pHSet; IS</t>
  </si>
  <si>
    <r>
      <t>IS</t>
    </r>
    <r>
      <rPr>
        <vertAlign val="subscript"/>
        <sz val="11"/>
        <color theme="1"/>
        <rFont val="Calibri"/>
        <family val="2"/>
        <scheme val="minor"/>
      </rPr>
      <t>input,AS</t>
    </r>
  </si>
  <si>
    <r>
      <t>IS</t>
    </r>
    <r>
      <rPr>
        <vertAlign val="subscript"/>
        <sz val="11"/>
        <color theme="1"/>
        <rFont val="Calibri"/>
        <family val="2"/>
        <scheme val="minor"/>
      </rPr>
      <t>input,DIG</t>
    </r>
  </si>
  <si>
    <r>
      <t>IS</t>
    </r>
    <r>
      <rPr>
        <vertAlign val="subscript"/>
        <sz val="11"/>
        <rFont val="Calibri"/>
        <family val="2"/>
        <scheme val="minor"/>
      </rPr>
      <t>input,AS</t>
    </r>
  </si>
  <si>
    <r>
      <t>IS</t>
    </r>
    <r>
      <rPr>
        <vertAlign val="subscript"/>
        <sz val="11"/>
        <rFont val="Calibri"/>
        <family val="2"/>
        <scheme val="minor"/>
      </rPr>
      <t>input,DIG</t>
    </r>
  </si>
  <si>
    <t>pH; Non-IS; Non-Input; Digester</t>
  </si>
  <si>
    <t>pH; Non-IS; Input; Digester; Non-pHSet</t>
  </si>
  <si>
    <t>pH; Non-IS; Non-Input; Non-Digester; Non-Sidestream</t>
  </si>
  <si>
    <t>pH; Non-IS; Input; Non-Digester; Non-Sidestream; Non-pHSet</t>
  </si>
  <si>
    <t>Ionic strength input for digesters</t>
  </si>
  <si>
    <t>Ionic strength input for activated sludge</t>
  </si>
  <si>
    <t>Ionic strength input for sidestream</t>
  </si>
  <si>
    <r>
      <t>IS</t>
    </r>
    <r>
      <rPr>
        <vertAlign val="subscript"/>
        <sz val="11"/>
        <color theme="1"/>
        <rFont val="Calibri"/>
        <family val="2"/>
        <scheme val="minor"/>
      </rPr>
      <t>input,sidestream</t>
    </r>
  </si>
  <si>
    <r>
      <t>IS</t>
    </r>
    <r>
      <rPr>
        <vertAlign val="subscript"/>
        <sz val="11"/>
        <rFont val="Calibri"/>
        <family val="2"/>
        <scheme val="minor"/>
      </rPr>
      <t>input,sidestream</t>
    </r>
  </si>
  <si>
    <t>pH; Non-IS; Input; Sidestream; Non-pHSet</t>
  </si>
  <si>
    <t>pH; Non-IS; Non-Input; Sidestream</t>
  </si>
  <si>
    <r>
      <t>X</t>
    </r>
    <r>
      <rPr>
        <vertAlign val="subscript"/>
        <sz val="11"/>
        <rFont val="Calibri"/>
        <family val="2"/>
        <scheme val="minor"/>
      </rPr>
      <t>BIO</t>
    </r>
    <r>
      <rPr>
        <sz val="11"/>
        <rFont val="Calibri"/>
        <family val="2"/>
        <scheme val="minor"/>
      </rPr>
      <t xml:space="preserve"> / i</t>
    </r>
    <r>
      <rPr>
        <vertAlign val="subscript"/>
        <sz val="11"/>
        <rFont val="Calibri"/>
        <family val="2"/>
        <scheme val="minor"/>
      </rPr>
      <t>CV,BIO</t>
    </r>
  </si>
  <si>
    <r>
      <t>X</t>
    </r>
    <r>
      <rPr>
        <vertAlign val="subscript"/>
        <sz val="11"/>
        <rFont val="Calibri"/>
        <family val="2"/>
        <scheme val="minor"/>
      </rPr>
      <t>CaCO3</t>
    </r>
    <r>
      <rPr>
        <sz val="11"/>
        <rFont val="Calibri"/>
        <family val="2"/>
        <scheme val="minor"/>
      </rPr>
      <t xml:space="preserve"> + X</t>
    </r>
    <r>
      <rPr>
        <vertAlign val="subscript"/>
        <sz val="11"/>
        <rFont val="Calibri"/>
        <family val="2"/>
        <scheme val="minor"/>
      </rPr>
      <t>ACP</t>
    </r>
    <r>
      <rPr>
        <sz val="11"/>
        <rFont val="Calibri"/>
        <family val="2"/>
        <scheme val="minor"/>
      </rPr>
      <t xml:space="preserve"> + X</t>
    </r>
    <r>
      <rPr>
        <vertAlign val="subscript"/>
        <sz val="11"/>
        <rFont val="Calibri"/>
        <family val="2"/>
        <scheme val="minor"/>
      </rPr>
      <t>STR</t>
    </r>
    <r>
      <rPr>
        <sz val="11"/>
        <rFont val="Calibri"/>
        <family val="2"/>
        <scheme val="minor"/>
      </rPr>
      <t xml:space="preserve"> + X</t>
    </r>
    <r>
      <rPr>
        <vertAlign val="subscript"/>
        <sz val="11"/>
        <rFont val="Calibri"/>
        <family val="2"/>
        <scheme val="minor"/>
      </rPr>
      <t>Vivi</t>
    </r>
    <r>
      <rPr>
        <sz val="11"/>
        <rFont val="Calibri"/>
        <family val="2"/>
        <scheme val="minor"/>
      </rPr>
      <t xml:space="preserve"> + X</t>
    </r>
    <r>
      <rPr>
        <vertAlign val="subscript"/>
        <sz val="11"/>
        <rFont val="Calibri"/>
        <family val="2"/>
        <scheme val="minor"/>
      </rPr>
      <t>BSH</t>
    </r>
  </si>
  <si>
    <r>
      <t>Max(0; f</t>
    </r>
    <r>
      <rPr>
        <vertAlign val="subscript"/>
        <sz val="11"/>
        <rFont val="Calibri"/>
        <family val="2"/>
        <scheme val="minor"/>
      </rPr>
      <t>TOC,1</t>
    </r>
    <r>
      <rPr>
        <sz val="11"/>
        <rFont val="Calibri"/>
        <family val="2"/>
        <scheme val="minor"/>
      </rPr>
      <t xml:space="preserve"> * T</t>
    </r>
    <r>
      <rPr>
        <vertAlign val="subscript"/>
        <sz val="11"/>
        <rFont val="Calibri"/>
        <family val="2"/>
        <charset val="238"/>
        <scheme val="minor"/>
      </rPr>
      <t>COD</t>
    </r>
    <r>
      <rPr>
        <sz val="11"/>
        <rFont val="Calibri"/>
        <family val="2"/>
        <scheme val="minor"/>
      </rPr>
      <t xml:space="preserve"> - f</t>
    </r>
    <r>
      <rPr>
        <vertAlign val="subscript"/>
        <sz val="11"/>
        <rFont val="Calibri"/>
        <family val="2"/>
        <scheme val="minor"/>
      </rPr>
      <t>TOC,2</t>
    </r>
    <r>
      <rPr>
        <sz val="11"/>
        <rFont val="Calibri"/>
        <family val="2"/>
        <scheme val="minor"/>
      </rPr>
      <t>)</t>
    </r>
  </si>
  <si>
    <r>
      <t>(X</t>
    </r>
    <r>
      <rPr>
        <vertAlign val="subscript"/>
        <sz val="11"/>
        <rFont val="Calibri"/>
        <family val="2"/>
        <scheme val="minor"/>
      </rPr>
      <t>HAO,L,P</t>
    </r>
    <r>
      <rPr>
        <sz val="11"/>
        <rFont val="Calibri"/>
        <family val="2"/>
        <scheme val="minor"/>
      </rPr>
      <t xml:space="preserve"> + X</t>
    </r>
    <r>
      <rPr>
        <vertAlign val="subscript"/>
        <sz val="11"/>
        <rFont val="Calibri"/>
        <family val="2"/>
        <scheme val="minor"/>
      </rPr>
      <t>HAO,L,P,old</t>
    </r>
    <r>
      <rPr>
        <sz val="11"/>
        <rFont val="Calibri"/>
        <family val="2"/>
        <scheme val="minor"/>
      </rPr>
      <t>) * ASF</t>
    </r>
    <r>
      <rPr>
        <vertAlign val="subscript"/>
        <sz val="11"/>
        <rFont val="Calibri"/>
        <family val="2"/>
        <scheme val="minor"/>
      </rPr>
      <t>HAO,L</t>
    </r>
    <r>
      <rPr>
        <sz val="11"/>
        <rFont val="Calibri"/>
        <family val="2"/>
        <scheme val="minor"/>
      </rPr>
      <t xml:space="preserve"> * (AM</t>
    </r>
    <r>
      <rPr>
        <vertAlign val="subscript"/>
        <sz val="11"/>
        <rFont val="Calibri"/>
        <family val="2"/>
        <scheme val="minor"/>
      </rPr>
      <t>P</t>
    </r>
    <r>
      <rPr>
        <sz val="11"/>
        <rFont val="Calibri"/>
        <family val="2"/>
        <scheme val="minor"/>
      </rPr>
      <t>/AM</t>
    </r>
    <r>
      <rPr>
        <vertAlign val="subscript"/>
        <sz val="11"/>
        <rFont val="Calibri"/>
        <family val="2"/>
        <scheme val="minor"/>
      </rPr>
      <t>Al</t>
    </r>
    <r>
      <rPr>
        <sz val="11"/>
        <rFont val="Calibri"/>
        <family val="2"/>
        <scheme val="minor"/>
      </rPr>
      <t>) + (X</t>
    </r>
    <r>
      <rPr>
        <vertAlign val="subscript"/>
        <sz val="11"/>
        <rFont val="Calibri"/>
        <family val="2"/>
        <scheme val="minor"/>
      </rPr>
      <t>HAO,H,P</t>
    </r>
    <r>
      <rPr>
        <sz val="11"/>
        <rFont val="Calibri"/>
        <family val="2"/>
        <scheme val="minor"/>
      </rPr>
      <t xml:space="preserve"> + X</t>
    </r>
    <r>
      <rPr>
        <vertAlign val="subscript"/>
        <sz val="11"/>
        <rFont val="Calibri"/>
        <family val="2"/>
        <scheme val="minor"/>
      </rPr>
      <t>HAO,H,P,old</t>
    </r>
    <r>
      <rPr>
        <sz val="11"/>
        <rFont val="Calibri"/>
        <family val="2"/>
        <scheme val="minor"/>
      </rPr>
      <t>) * ASF</t>
    </r>
    <r>
      <rPr>
        <vertAlign val="subscript"/>
        <sz val="11"/>
        <rFont val="Calibri"/>
        <family val="2"/>
        <scheme val="minor"/>
      </rPr>
      <t>HAO,H</t>
    </r>
    <r>
      <rPr>
        <sz val="11"/>
        <rFont val="Calibri"/>
        <family val="2"/>
        <scheme val="minor"/>
      </rPr>
      <t xml:space="preserve"> * (AM</t>
    </r>
    <r>
      <rPr>
        <vertAlign val="subscript"/>
        <sz val="11"/>
        <rFont val="Calibri"/>
        <family val="2"/>
        <scheme val="minor"/>
      </rPr>
      <t>P</t>
    </r>
    <r>
      <rPr>
        <sz val="11"/>
        <rFont val="Calibri"/>
        <family val="2"/>
        <scheme val="minor"/>
      </rPr>
      <t>/AM</t>
    </r>
    <r>
      <rPr>
        <vertAlign val="subscript"/>
        <sz val="11"/>
        <rFont val="Calibri"/>
        <family val="2"/>
        <scheme val="minor"/>
      </rPr>
      <t>Al</t>
    </r>
    <r>
      <rPr>
        <sz val="11"/>
        <rFont val="Calibri"/>
        <family val="2"/>
        <scheme val="minor"/>
      </rPr>
      <t>)</t>
    </r>
  </si>
  <si>
    <r>
      <t>(X</t>
    </r>
    <r>
      <rPr>
        <vertAlign val="subscript"/>
        <sz val="11"/>
        <rFont val="Calibri"/>
        <family val="2"/>
        <scheme val="minor"/>
      </rPr>
      <t>HFO,L,P</t>
    </r>
    <r>
      <rPr>
        <sz val="11"/>
        <rFont val="Calibri"/>
        <family val="2"/>
        <scheme val="minor"/>
      </rPr>
      <t xml:space="preserve"> + X</t>
    </r>
    <r>
      <rPr>
        <vertAlign val="subscript"/>
        <sz val="11"/>
        <rFont val="Calibri"/>
        <family val="2"/>
        <scheme val="minor"/>
      </rPr>
      <t>HFO,L,P,old</t>
    </r>
    <r>
      <rPr>
        <sz val="11"/>
        <rFont val="Calibri"/>
        <family val="2"/>
        <scheme val="minor"/>
      </rPr>
      <t>) * ASF</t>
    </r>
    <r>
      <rPr>
        <vertAlign val="subscript"/>
        <sz val="11"/>
        <rFont val="Calibri"/>
        <family val="2"/>
        <scheme val="minor"/>
      </rPr>
      <t>HFO,L</t>
    </r>
    <r>
      <rPr>
        <sz val="11"/>
        <rFont val="Calibri"/>
        <family val="2"/>
        <scheme val="minor"/>
      </rPr>
      <t xml:space="preserve"> * (AM</t>
    </r>
    <r>
      <rPr>
        <vertAlign val="subscript"/>
        <sz val="11"/>
        <rFont val="Calibri"/>
        <family val="2"/>
        <scheme val="minor"/>
      </rPr>
      <t>P</t>
    </r>
    <r>
      <rPr>
        <sz val="11"/>
        <rFont val="Calibri"/>
        <family val="2"/>
        <scheme val="minor"/>
      </rPr>
      <t>/AM</t>
    </r>
    <r>
      <rPr>
        <vertAlign val="subscript"/>
        <sz val="11"/>
        <rFont val="Calibri"/>
        <family val="2"/>
        <scheme val="minor"/>
      </rPr>
      <t>Fe</t>
    </r>
    <r>
      <rPr>
        <sz val="11"/>
        <rFont val="Calibri"/>
        <family val="2"/>
        <scheme val="minor"/>
      </rPr>
      <t>) + (X</t>
    </r>
    <r>
      <rPr>
        <vertAlign val="subscript"/>
        <sz val="11"/>
        <rFont val="Calibri"/>
        <family val="2"/>
        <scheme val="minor"/>
      </rPr>
      <t>HFO,H,P</t>
    </r>
    <r>
      <rPr>
        <sz val="11"/>
        <rFont val="Calibri"/>
        <family val="2"/>
        <scheme val="minor"/>
      </rPr>
      <t xml:space="preserve"> + X</t>
    </r>
    <r>
      <rPr>
        <vertAlign val="subscript"/>
        <sz val="11"/>
        <rFont val="Calibri"/>
        <family val="2"/>
        <scheme val="minor"/>
      </rPr>
      <t>HFO,H,P,old</t>
    </r>
    <r>
      <rPr>
        <sz val="11"/>
        <rFont val="Calibri"/>
        <family val="2"/>
        <scheme val="minor"/>
      </rPr>
      <t>) * ASF</t>
    </r>
    <r>
      <rPr>
        <vertAlign val="subscript"/>
        <sz val="11"/>
        <rFont val="Calibri"/>
        <family val="2"/>
        <scheme val="minor"/>
      </rPr>
      <t>HFO,H</t>
    </r>
    <r>
      <rPr>
        <sz val="11"/>
        <rFont val="Calibri"/>
        <family val="2"/>
        <scheme val="minor"/>
      </rPr>
      <t xml:space="preserve"> * (AM</t>
    </r>
    <r>
      <rPr>
        <vertAlign val="subscript"/>
        <sz val="11"/>
        <rFont val="Calibri"/>
        <family val="2"/>
        <scheme val="minor"/>
      </rPr>
      <t>P</t>
    </r>
    <r>
      <rPr>
        <sz val="11"/>
        <rFont val="Calibri"/>
        <family val="2"/>
        <scheme val="minor"/>
      </rPr>
      <t>/AM</t>
    </r>
    <r>
      <rPr>
        <vertAlign val="subscript"/>
        <sz val="11"/>
        <rFont val="Calibri"/>
        <family val="2"/>
        <scheme val="minor"/>
      </rPr>
      <t>Fe</t>
    </r>
    <r>
      <rPr>
        <sz val="11"/>
        <rFont val="Calibri"/>
        <family val="2"/>
        <scheme val="minor"/>
      </rPr>
      <t>)</t>
    </r>
  </si>
  <si>
    <r>
      <t>S</t>
    </r>
    <r>
      <rPr>
        <vertAlign val="subscript"/>
        <sz val="11"/>
        <rFont val="Calibri"/>
        <family val="2"/>
        <scheme val="minor"/>
      </rPr>
      <t>Mg</t>
    </r>
    <r>
      <rPr>
        <sz val="11"/>
        <rFont val="Calibri"/>
        <family val="2"/>
        <scheme val="minor"/>
      </rPr>
      <t xml:space="preserve"> + i</t>
    </r>
    <r>
      <rPr>
        <vertAlign val="subscript"/>
        <sz val="11"/>
        <rFont val="Calibri"/>
        <family val="2"/>
        <scheme val="minor"/>
      </rPr>
      <t>Mg,PP</t>
    </r>
    <r>
      <rPr>
        <sz val="11"/>
        <rFont val="Calibri"/>
        <family val="2"/>
        <scheme val="minor"/>
      </rPr>
      <t xml:space="preserve"> * X</t>
    </r>
    <r>
      <rPr>
        <vertAlign val="subscript"/>
        <sz val="11"/>
        <rFont val="Calibri"/>
        <family val="2"/>
        <charset val="238"/>
        <scheme val="minor"/>
      </rPr>
      <t>PP</t>
    </r>
    <r>
      <rPr>
        <sz val="11"/>
        <rFont val="Calibri"/>
        <family val="2"/>
        <scheme val="minor"/>
      </rPr>
      <t>* AM</t>
    </r>
    <r>
      <rPr>
        <vertAlign val="subscript"/>
        <sz val="11"/>
        <rFont val="Calibri"/>
        <family val="2"/>
        <scheme val="minor"/>
      </rPr>
      <t>Mg</t>
    </r>
    <r>
      <rPr>
        <sz val="11"/>
        <rFont val="Calibri"/>
        <family val="2"/>
        <scheme val="minor"/>
      </rPr>
      <t>/AM</t>
    </r>
    <r>
      <rPr>
        <vertAlign val="subscript"/>
        <sz val="11"/>
        <rFont val="Calibri"/>
        <family val="2"/>
        <scheme val="minor"/>
      </rPr>
      <t>P</t>
    </r>
    <r>
      <rPr>
        <sz val="11"/>
        <rFont val="Calibri"/>
        <family val="2"/>
        <scheme val="minor"/>
      </rPr>
      <t xml:space="preserve"> + i</t>
    </r>
    <r>
      <rPr>
        <vertAlign val="subscript"/>
        <sz val="11"/>
        <rFont val="Calibri"/>
        <family val="2"/>
        <scheme val="minor"/>
      </rPr>
      <t>Mg,INORG</t>
    </r>
    <r>
      <rPr>
        <sz val="11"/>
        <rFont val="Calibri"/>
        <family val="2"/>
        <scheme val="minor"/>
      </rPr>
      <t xml:space="preserve"> * X</t>
    </r>
    <r>
      <rPr>
        <vertAlign val="subscript"/>
        <sz val="11"/>
        <rFont val="Calibri"/>
        <family val="2"/>
        <scheme val="minor"/>
      </rPr>
      <t>INORG</t>
    </r>
    <r>
      <rPr>
        <sz val="11"/>
        <rFont val="Calibri"/>
        <family val="2"/>
        <scheme val="minor"/>
      </rPr>
      <t xml:space="preserve"> + X</t>
    </r>
    <r>
      <rPr>
        <vertAlign val="subscript"/>
        <sz val="11"/>
        <rFont val="Calibri"/>
        <family val="2"/>
        <scheme val="minor"/>
      </rPr>
      <t>STR</t>
    </r>
    <r>
      <rPr>
        <sz val="11"/>
        <rFont val="Calibri"/>
        <family val="2"/>
        <scheme val="minor"/>
      </rPr>
      <t xml:space="preserve"> * AM</t>
    </r>
    <r>
      <rPr>
        <vertAlign val="subscript"/>
        <sz val="11"/>
        <rFont val="Calibri"/>
        <family val="2"/>
        <scheme val="minor"/>
      </rPr>
      <t>Mg</t>
    </r>
    <r>
      <rPr>
        <sz val="11"/>
        <rFont val="Calibri"/>
        <family val="2"/>
        <scheme val="minor"/>
      </rPr>
      <t>/MM</t>
    </r>
    <r>
      <rPr>
        <vertAlign val="subscript"/>
        <sz val="11"/>
        <rFont val="Calibri"/>
        <family val="2"/>
        <scheme val="minor"/>
      </rPr>
      <t>STR</t>
    </r>
  </si>
  <si>
    <r>
      <t>X</t>
    </r>
    <r>
      <rPr>
        <vertAlign val="subscript"/>
        <sz val="11"/>
        <rFont val="Calibri"/>
        <family val="2"/>
        <scheme val="minor"/>
      </rPr>
      <t xml:space="preserve">HFO </t>
    </r>
    <r>
      <rPr>
        <sz val="11"/>
        <rFont val="Calibri"/>
        <family val="2"/>
        <scheme val="minor"/>
      </rPr>
      <t>+ S</t>
    </r>
    <r>
      <rPr>
        <vertAlign val="subscript"/>
        <sz val="11"/>
        <rFont val="Calibri"/>
        <family val="2"/>
        <scheme val="minor"/>
      </rPr>
      <t>Fe2</t>
    </r>
    <r>
      <rPr>
        <sz val="11"/>
        <rFont val="Calibri"/>
        <family val="2"/>
        <scheme val="minor"/>
      </rPr>
      <t xml:space="preserve"> + X</t>
    </r>
    <r>
      <rPr>
        <vertAlign val="subscript"/>
        <sz val="11"/>
        <rFont val="Calibri"/>
        <family val="2"/>
        <scheme val="minor"/>
      </rPr>
      <t>Vivi</t>
    </r>
    <r>
      <rPr>
        <sz val="11"/>
        <rFont val="Calibri"/>
        <family val="2"/>
        <scheme val="minor"/>
      </rPr>
      <t xml:space="preserve"> * 3 * AM</t>
    </r>
    <r>
      <rPr>
        <vertAlign val="subscript"/>
        <sz val="11"/>
        <rFont val="Calibri"/>
        <family val="2"/>
        <scheme val="minor"/>
      </rPr>
      <t>Fe</t>
    </r>
    <r>
      <rPr>
        <sz val="11"/>
        <rFont val="Calibri"/>
        <family val="2"/>
        <scheme val="minor"/>
      </rPr>
      <t>/MM</t>
    </r>
    <r>
      <rPr>
        <vertAlign val="subscript"/>
        <sz val="11"/>
        <rFont val="Calibri"/>
        <family val="2"/>
        <scheme val="minor"/>
      </rPr>
      <t>Vivi</t>
    </r>
  </si>
  <si>
    <r>
      <t>X</t>
    </r>
    <r>
      <rPr>
        <vertAlign val="subscript"/>
        <sz val="11"/>
        <rFont val="Calibri"/>
        <family val="2"/>
        <scheme val="minor"/>
      </rPr>
      <t>HAO,H</t>
    </r>
    <r>
      <rPr>
        <sz val="11"/>
        <rFont val="Calibri"/>
        <family val="2"/>
        <scheme val="minor"/>
      </rPr>
      <t xml:space="preserve"> + X</t>
    </r>
    <r>
      <rPr>
        <vertAlign val="subscript"/>
        <sz val="11"/>
        <rFont val="Calibri"/>
        <family val="2"/>
        <scheme val="minor"/>
      </rPr>
      <t>HAO,L</t>
    </r>
    <r>
      <rPr>
        <sz val="11"/>
        <rFont val="Calibri"/>
        <family val="2"/>
        <scheme val="minor"/>
      </rPr>
      <t xml:space="preserve"> + X</t>
    </r>
    <r>
      <rPr>
        <vertAlign val="subscript"/>
        <sz val="11"/>
        <rFont val="Calibri"/>
        <family val="2"/>
        <scheme val="minor"/>
      </rPr>
      <t>HAO,L,P</t>
    </r>
    <r>
      <rPr>
        <sz val="11"/>
        <rFont val="Calibri"/>
        <family val="2"/>
        <scheme val="minor"/>
      </rPr>
      <t xml:space="preserve"> + X</t>
    </r>
    <r>
      <rPr>
        <vertAlign val="subscript"/>
        <sz val="11"/>
        <rFont val="Calibri"/>
        <family val="2"/>
        <scheme val="minor"/>
      </rPr>
      <t>HAO,H,P</t>
    </r>
    <r>
      <rPr>
        <sz val="11"/>
        <rFont val="Calibri"/>
        <family val="2"/>
        <scheme val="minor"/>
      </rPr>
      <t xml:space="preserve"> + X</t>
    </r>
    <r>
      <rPr>
        <vertAlign val="subscript"/>
        <sz val="11"/>
        <rFont val="Calibri"/>
        <family val="2"/>
        <scheme val="minor"/>
      </rPr>
      <t>HAO,old</t>
    </r>
    <r>
      <rPr>
        <sz val="11"/>
        <rFont val="Calibri"/>
        <family val="2"/>
        <scheme val="minor"/>
      </rPr>
      <t xml:space="preserve"> + X</t>
    </r>
    <r>
      <rPr>
        <vertAlign val="subscript"/>
        <sz val="11"/>
        <rFont val="Calibri"/>
        <family val="2"/>
        <scheme val="minor"/>
      </rPr>
      <t>HAO,L,P,old</t>
    </r>
    <r>
      <rPr>
        <sz val="11"/>
        <rFont val="Calibri"/>
        <family val="2"/>
        <scheme val="minor"/>
      </rPr>
      <t xml:space="preserve"> + X</t>
    </r>
    <r>
      <rPr>
        <vertAlign val="subscript"/>
        <sz val="11"/>
        <rFont val="Calibri"/>
        <family val="2"/>
        <scheme val="minor"/>
      </rPr>
      <t>HAO,H,P,old</t>
    </r>
  </si>
  <si>
    <r>
      <t>X</t>
    </r>
    <r>
      <rPr>
        <vertAlign val="subscript"/>
        <sz val="11"/>
        <rFont val="Calibri"/>
        <family val="2"/>
        <scheme val="minor"/>
      </rPr>
      <t>HFO,H</t>
    </r>
    <r>
      <rPr>
        <sz val="11"/>
        <rFont val="Calibri"/>
        <family val="2"/>
        <scheme val="minor"/>
      </rPr>
      <t xml:space="preserve"> + X</t>
    </r>
    <r>
      <rPr>
        <vertAlign val="subscript"/>
        <sz val="11"/>
        <rFont val="Calibri"/>
        <family val="2"/>
        <scheme val="minor"/>
      </rPr>
      <t>HFO,L</t>
    </r>
    <r>
      <rPr>
        <sz val="11"/>
        <rFont val="Calibri"/>
        <family val="2"/>
        <scheme val="minor"/>
      </rPr>
      <t xml:space="preserve"> + X</t>
    </r>
    <r>
      <rPr>
        <vertAlign val="subscript"/>
        <sz val="11"/>
        <rFont val="Calibri"/>
        <family val="2"/>
        <scheme val="minor"/>
      </rPr>
      <t>HFO,L,P</t>
    </r>
    <r>
      <rPr>
        <sz val="11"/>
        <rFont val="Calibri"/>
        <family val="2"/>
        <scheme val="minor"/>
      </rPr>
      <t xml:space="preserve"> + X</t>
    </r>
    <r>
      <rPr>
        <vertAlign val="subscript"/>
        <sz val="11"/>
        <rFont val="Calibri"/>
        <family val="2"/>
        <scheme val="minor"/>
      </rPr>
      <t>HFO,H,P</t>
    </r>
    <r>
      <rPr>
        <sz val="11"/>
        <rFont val="Calibri"/>
        <family val="2"/>
        <scheme val="minor"/>
      </rPr>
      <t xml:space="preserve"> + X</t>
    </r>
    <r>
      <rPr>
        <vertAlign val="subscript"/>
        <sz val="11"/>
        <rFont val="Calibri"/>
        <family val="2"/>
        <scheme val="minor"/>
      </rPr>
      <t>HFO,old</t>
    </r>
    <r>
      <rPr>
        <sz val="11"/>
        <rFont val="Calibri"/>
        <family val="2"/>
        <scheme val="minor"/>
      </rPr>
      <t xml:space="preserve"> + X</t>
    </r>
    <r>
      <rPr>
        <vertAlign val="subscript"/>
        <sz val="11"/>
        <rFont val="Calibri"/>
        <family val="2"/>
        <scheme val="minor"/>
      </rPr>
      <t>HFO,L,P,old</t>
    </r>
    <r>
      <rPr>
        <sz val="11"/>
        <rFont val="Calibri"/>
        <family val="2"/>
        <scheme val="minor"/>
      </rPr>
      <t xml:space="preserve"> + X</t>
    </r>
    <r>
      <rPr>
        <vertAlign val="subscript"/>
        <sz val="11"/>
        <rFont val="Calibri"/>
        <family val="2"/>
        <scheme val="minor"/>
      </rPr>
      <t>HFO,H,P,old</t>
    </r>
  </si>
  <si>
    <r>
      <t>S</t>
    </r>
    <r>
      <rPr>
        <vertAlign val="subscript"/>
        <sz val="11"/>
        <rFont val="Calibri"/>
        <family val="2"/>
        <scheme val="minor"/>
      </rPr>
      <t>PO4</t>
    </r>
    <r>
      <rPr>
        <sz val="11"/>
        <rFont val="Calibri"/>
        <family val="2"/>
        <scheme val="minor"/>
      </rPr>
      <t xml:space="preserve"> + S</t>
    </r>
    <r>
      <rPr>
        <vertAlign val="subscript"/>
        <sz val="11"/>
        <rFont val="Calibri"/>
        <family val="2"/>
        <scheme val="minor"/>
      </rPr>
      <t>P,B</t>
    </r>
    <r>
      <rPr>
        <sz val="11"/>
        <rFont val="Calibri"/>
        <family val="2"/>
        <scheme val="minor"/>
      </rPr>
      <t xml:space="preserve"> + i</t>
    </r>
    <r>
      <rPr>
        <vertAlign val="subscript"/>
        <sz val="11"/>
        <rFont val="Calibri"/>
        <family val="2"/>
        <scheme val="minor"/>
      </rPr>
      <t>P,CB</t>
    </r>
    <r>
      <rPr>
        <sz val="11"/>
        <rFont val="Calibri"/>
        <family val="2"/>
        <scheme val="minor"/>
      </rPr>
      <t xml:space="preserve"> * C</t>
    </r>
    <r>
      <rPr>
        <vertAlign val="subscript"/>
        <sz val="11"/>
        <rFont val="Calibri"/>
        <family val="2"/>
        <scheme val="minor"/>
      </rPr>
      <t>B</t>
    </r>
    <r>
      <rPr>
        <sz val="11"/>
        <rFont val="Calibri"/>
        <family val="2"/>
        <scheme val="minor"/>
      </rPr>
      <t xml:space="preserve"> + i</t>
    </r>
    <r>
      <rPr>
        <vertAlign val="subscript"/>
        <sz val="11"/>
        <rFont val="Calibri"/>
        <family val="2"/>
        <scheme val="minor"/>
      </rPr>
      <t>P,SU</t>
    </r>
    <r>
      <rPr>
        <sz val="11"/>
        <rFont val="Calibri"/>
        <family val="2"/>
        <scheme val="minor"/>
      </rPr>
      <t xml:space="preserve"> * S</t>
    </r>
    <r>
      <rPr>
        <vertAlign val="subscript"/>
        <sz val="11"/>
        <rFont val="Calibri"/>
        <family val="2"/>
        <scheme val="minor"/>
      </rPr>
      <t>U</t>
    </r>
    <r>
      <rPr>
        <sz val="11"/>
        <rFont val="Calibri"/>
        <family val="2"/>
        <scheme val="minor"/>
      </rPr>
      <t xml:space="preserve"> + i</t>
    </r>
    <r>
      <rPr>
        <vertAlign val="subscript"/>
        <sz val="11"/>
        <rFont val="Calibri"/>
        <family val="2"/>
        <scheme val="minor"/>
      </rPr>
      <t>P,CU</t>
    </r>
    <r>
      <rPr>
        <sz val="11"/>
        <rFont val="Calibri"/>
        <family val="2"/>
        <scheme val="minor"/>
      </rPr>
      <t xml:space="preserve"> * C</t>
    </r>
    <r>
      <rPr>
        <vertAlign val="subscript"/>
        <sz val="11"/>
        <rFont val="Calibri"/>
        <family val="2"/>
        <scheme val="minor"/>
      </rPr>
      <t>U</t>
    </r>
  </si>
  <si>
    <r>
      <t>S</t>
    </r>
    <r>
      <rPr>
        <vertAlign val="subscript"/>
        <sz val="11"/>
        <rFont val="Calibri"/>
        <family val="2"/>
        <scheme val="minor"/>
      </rPr>
      <t>NHx</t>
    </r>
    <r>
      <rPr>
        <sz val="11"/>
        <rFont val="Calibri"/>
        <family val="2"/>
        <scheme val="minor"/>
      </rPr>
      <t xml:space="preserve"> + S</t>
    </r>
    <r>
      <rPr>
        <vertAlign val="subscript"/>
        <sz val="11"/>
        <rFont val="Calibri"/>
        <family val="2"/>
        <scheme val="minor"/>
      </rPr>
      <t>N,B</t>
    </r>
    <r>
      <rPr>
        <sz val="11"/>
        <rFont val="Calibri"/>
        <family val="2"/>
        <scheme val="minor"/>
      </rPr>
      <t xml:space="preserve"> + i</t>
    </r>
    <r>
      <rPr>
        <vertAlign val="subscript"/>
        <sz val="11"/>
        <rFont val="Calibri"/>
        <family val="2"/>
        <scheme val="minor"/>
      </rPr>
      <t>N,CB</t>
    </r>
    <r>
      <rPr>
        <sz val="11"/>
        <rFont val="Calibri"/>
        <family val="2"/>
        <scheme val="minor"/>
      </rPr>
      <t xml:space="preserve"> * C</t>
    </r>
    <r>
      <rPr>
        <vertAlign val="subscript"/>
        <sz val="11"/>
        <rFont val="Calibri"/>
        <family val="2"/>
        <scheme val="minor"/>
      </rPr>
      <t>B</t>
    </r>
    <r>
      <rPr>
        <sz val="11"/>
        <rFont val="Calibri"/>
        <family val="2"/>
        <scheme val="minor"/>
      </rPr>
      <t xml:space="preserve"> + i</t>
    </r>
    <r>
      <rPr>
        <vertAlign val="subscript"/>
        <sz val="11"/>
        <rFont val="Calibri"/>
        <family val="2"/>
        <scheme val="minor"/>
      </rPr>
      <t>N,SU</t>
    </r>
    <r>
      <rPr>
        <sz val="11"/>
        <rFont val="Calibri"/>
        <family val="2"/>
        <scheme val="minor"/>
      </rPr>
      <t xml:space="preserve"> * S</t>
    </r>
    <r>
      <rPr>
        <vertAlign val="subscript"/>
        <sz val="11"/>
        <rFont val="Calibri"/>
        <family val="2"/>
        <scheme val="minor"/>
      </rPr>
      <t>U</t>
    </r>
    <r>
      <rPr>
        <sz val="11"/>
        <rFont val="Calibri"/>
        <family val="2"/>
        <scheme val="minor"/>
      </rPr>
      <t xml:space="preserve"> + i</t>
    </r>
    <r>
      <rPr>
        <vertAlign val="subscript"/>
        <sz val="11"/>
        <rFont val="Calibri"/>
        <family val="2"/>
        <scheme val="minor"/>
      </rPr>
      <t>N,CU</t>
    </r>
    <r>
      <rPr>
        <sz val="11"/>
        <rFont val="Calibri"/>
        <family val="2"/>
        <scheme val="minor"/>
      </rPr>
      <t xml:space="preserve"> * C</t>
    </r>
    <r>
      <rPr>
        <vertAlign val="subscript"/>
        <sz val="11"/>
        <rFont val="Calibri"/>
        <family val="2"/>
        <scheme val="minor"/>
      </rPr>
      <t>U</t>
    </r>
  </si>
  <si>
    <r>
      <t>SC</t>
    </r>
    <r>
      <rPr>
        <vertAlign val="subscript"/>
        <sz val="11"/>
        <rFont val="Calibri"/>
        <family val="2"/>
        <scheme val="minor"/>
      </rPr>
      <t>COD</t>
    </r>
    <r>
      <rPr>
        <sz val="11"/>
        <rFont val="Calibri"/>
        <family val="2"/>
        <scheme val="minor"/>
      </rPr>
      <t xml:space="preserve"> + X</t>
    </r>
    <r>
      <rPr>
        <vertAlign val="subscript"/>
        <sz val="11"/>
        <rFont val="Calibri"/>
        <family val="2"/>
        <scheme val="minor"/>
      </rPr>
      <t>COD</t>
    </r>
  </si>
  <si>
    <r>
      <t>S</t>
    </r>
    <r>
      <rPr>
        <vertAlign val="subscript"/>
        <sz val="11"/>
        <rFont val="Calibri"/>
        <family val="2"/>
        <scheme val="minor"/>
      </rPr>
      <t>U</t>
    </r>
    <r>
      <rPr>
        <sz val="11"/>
        <rFont val="Calibri"/>
        <family val="2"/>
        <scheme val="minor"/>
      </rPr>
      <t xml:space="preserve"> + S</t>
    </r>
    <r>
      <rPr>
        <vertAlign val="subscript"/>
        <sz val="11"/>
        <rFont val="Calibri"/>
        <family val="2"/>
        <scheme val="minor"/>
      </rPr>
      <t xml:space="preserve">B </t>
    </r>
    <r>
      <rPr>
        <sz val="11"/>
        <rFont val="Calibri"/>
        <family val="2"/>
        <scheme val="minor"/>
      </rPr>
      <t>+ S</t>
    </r>
    <r>
      <rPr>
        <vertAlign val="subscript"/>
        <sz val="11"/>
        <rFont val="Calibri"/>
        <family val="2"/>
        <scheme val="minor"/>
      </rPr>
      <t xml:space="preserve">VFA </t>
    </r>
    <r>
      <rPr>
        <sz val="11"/>
        <rFont val="Calibri"/>
        <family val="2"/>
        <scheme val="minor"/>
      </rPr>
      <t>+ S</t>
    </r>
    <r>
      <rPr>
        <vertAlign val="subscript"/>
        <sz val="11"/>
        <rFont val="Calibri"/>
        <family val="2"/>
        <scheme val="minor"/>
      </rPr>
      <t>MEOL</t>
    </r>
  </si>
  <si>
    <r>
      <t>S</t>
    </r>
    <r>
      <rPr>
        <vertAlign val="subscript"/>
        <sz val="11"/>
        <rFont val="Calibri"/>
        <family val="2"/>
        <scheme val="minor"/>
      </rPr>
      <t>BOD,5</t>
    </r>
    <r>
      <rPr>
        <sz val="11"/>
        <rFont val="Calibri"/>
        <family val="2"/>
        <scheme val="minor"/>
      </rPr>
      <t xml:space="preserve"> + X</t>
    </r>
    <r>
      <rPr>
        <vertAlign val="subscript"/>
        <sz val="11"/>
        <rFont val="Calibri"/>
        <family val="2"/>
        <scheme val="minor"/>
      </rPr>
      <t>BOD,5</t>
    </r>
  </si>
  <si>
    <r>
      <t>X</t>
    </r>
    <r>
      <rPr>
        <vertAlign val="subscript"/>
        <sz val="11"/>
        <rFont val="Calibri"/>
        <family val="2"/>
        <scheme val="minor"/>
      </rPr>
      <t>BOD,ult</t>
    </r>
    <r>
      <rPr>
        <sz val="11"/>
        <rFont val="Calibri"/>
        <family val="2"/>
        <scheme val="minor"/>
      </rPr>
      <t xml:space="preserve"> * f</t>
    </r>
    <r>
      <rPr>
        <vertAlign val="subscript"/>
        <sz val="11"/>
        <rFont val="Calibri"/>
        <family val="2"/>
        <scheme val="minor"/>
      </rPr>
      <t>X,BOD5,BODult</t>
    </r>
  </si>
  <si>
    <r>
      <t>Y</t>
    </r>
    <r>
      <rPr>
        <vertAlign val="subscript"/>
        <sz val="11"/>
        <rFont val="Calibri"/>
        <family val="2"/>
        <scheme val="minor"/>
      </rPr>
      <t>BOD,ult</t>
    </r>
    <r>
      <rPr>
        <sz val="11"/>
        <rFont val="Calibri"/>
        <family val="2"/>
        <scheme val="minor"/>
      </rPr>
      <t xml:space="preserve"> * (S</t>
    </r>
    <r>
      <rPr>
        <vertAlign val="subscript"/>
        <sz val="11"/>
        <rFont val="Calibri"/>
        <family val="2"/>
        <scheme val="minor"/>
      </rPr>
      <t>VFA</t>
    </r>
    <r>
      <rPr>
        <sz val="11"/>
        <rFont val="Calibri"/>
        <family val="2"/>
        <scheme val="minor"/>
      </rPr>
      <t xml:space="preserve"> + S</t>
    </r>
    <r>
      <rPr>
        <vertAlign val="subscript"/>
        <sz val="11"/>
        <rFont val="Calibri"/>
        <family val="2"/>
        <scheme val="minor"/>
      </rPr>
      <t>B</t>
    </r>
    <r>
      <rPr>
        <sz val="11"/>
        <rFont val="Calibri"/>
        <family val="2"/>
        <scheme val="minor"/>
      </rPr>
      <t xml:space="preserve"> + S</t>
    </r>
    <r>
      <rPr>
        <vertAlign val="subscript"/>
        <sz val="11"/>
        <rFont val="Calibri"/>
        <family val="2"/>
        <scheme val="minor"/>
      </rPr>
      <t>MEOL</t>
    </r>
    <r>
      <rPr>
        <sz val="11"/>
        <rFont val="Calibri"/>
        <family val="2"/>
        <scheme val="minor"/>
      </rPr>
      <t>) * f</t>
    </r>
    <r>
      <rPr>
        <vertAlign val="subscript"/>
        <sz val="11"/>
        <rFont val="Calibri"/>
        <family val="2"/>
        <scheme val="minor"/>
      </rPr>
      <t xml:space="preserve">S,BOD5,BODult </t>
    </r>
    <r>
      <rPr>
        <sz val="11"/>
        <rFont val="Calibri"/>
        <family val="2"/>
        <scheme val="minor"/>
      </rPr>
      <t>+ Y</t>
    </r>
    <r>
      <rPr>
        <vertAlign val="subscript"/>
        <sz val="11"/>
        <rFont val="Calibri"/>
        <family val="2"/>
        <scheme val="minor"/>
      </rPr>
      <t>BOD,ult</t>
    </r>
    <r>
      <rPr>
        <sz val="11"/>
        <rFont val="Calibri"/>
        <family val="2"/>
        <scheme val="minor"/>
      </rPr>
      <t xml:space="preserve"> * C</t>
    </r>
    <r>
      <rPr>
        <vertAlign val="subscript"/>
        <sz val="11"/>
        <rFont val="Calibri"/>
        <family val="2"/>
        <scheme val="minor"/>
      </rPr>
      <t>B</t>
    </r>
    <r>
      <rPr>
        <sz val="11"/>
        <rFont val="Calibri"/>
        <family val="2"/>
        <scheme val="minor"/>
      </rPr>
      <t xml:space="preserve"> * f</t>
    </r>
    <r>
      <rPr>
        <vertAlign val="subscript"/>
        <sz val="11"/>
        <rFont val="Calibri"/>
        <family val="2"/>
        <scheme val="minor"/>
      </rPr>
      <t>C,BOD5,BODult</t>
    </r>
  </si>
  <si>
    <r>
      <t>S</t>
    </r>
    <r>
      <rPr>
        <vertAlign val="subscript"/>
        <sz val="11"/>
        <rFont val="Calibri"/>
        <family val="2"/>
        <scheme val="minor"/>
      </rPr>
      <t>BOD,ult</t>
    </r>
    <r>
      <rPr>
        <sz val="11"/>
        <rFont val="Calibri"/>
        <family val="2"/>
        <scheme val="minor"/>
      </rPr>
      <t xml:space="preserve"> + X</t>
    </r>
    <r>
      <rPr>
        <vertAlign val="subscript"/>
        <sz val="11"/>
        <rFont val="Calibri"/>
        <family val="2"/>
        <scheme val="minor"/>
      </rPr>
      <t>BOD,ult</t>
    </r>
  </si>
  <si>
    <r>
      <t>Y</t>
    </r>
    <r>
      <rPr>
        <vertAlign val="subscript"/>
        <sz val="11"/>
        <rFont val="Calibri"/>
        <family val="2"/>
        <scheme val="minor"/>
      </rPr>
      <t>BOD,ult</t>
    </r>
    <r>
      <rPr>
        <sz val="11"/>
        <rFont val="Calibri"/>
        <family val="2"/>
        <scheme val="minor"/>
      </rPr>
      <t xml:space="preserve"> * (S</t>
    </r>
    <r>
      <rPr>
        <vertAlign val="subscript"/>
        <sz val="11"/>
        <rFont val="Calibri"/>
        <family val="2"/>
        <scheme val="minor"/>
      </rPr>
      <t>VFA</t>
    </r>
    <r>
      <rPr>
        <sz val="11"/>
        <rFont val="Calibri"/>
        <family val="2"/>
        <scheme val="minor"/>
      </rPr>
      <t xml:space="preserve"> + S</t>
    </r>
    <r>
      <rPr>
        <vertAlign val="subscript"/>
        <sz val="11"/>
        <rFont val="Calibri"/>
        <family val="2"/>
        <scheme val="minor"/>
      </rPr>
      <t>B</t>
    </r>
    <r>
      <rPr>
        <sz val="11"/>
        <rFont val="Calibri"/>
        <family val="2"/>
        <scheme val="minor"/>
      </rPr>
      <t xml:space="preserve"> + S</t>
    </r>
    <r>
      <rPr>
        <vertAlign val="subscript"/>
        <sz val="11"/>
        <rFont val="Calibri"/>
        <family val="2"/>
        <scheme val="minor"/>
      </rPr>
      <t>MEOL</t>
    </r>
    <r>
      <rPr>
        <sz val="11"/>
        <rFont val="Calibri"/>
        <family val="2"/>
        <scheme val="minor"/>
      </rPr>
      <t xml:space="preserve"> + C</t>
    </r>
    <r>
      <rPr>
        <vertAlign val="subscript"/>
        <sz val="11"/>
        <rFont val="Calibri"/>
        <family val="2"/>
        <scheme val="minor"/>
      </rPr>
      <t>B</t>
    </r>
    <r>
      <rPr>
        <sz val="11"/>
        <rFont val="Calibri"/>
        <family val="2"/>
        <scheme val="minor"/>
      </rPr>
      <t>)</t>
    </r>
  </si>
  <si>
    <r>
      <t>X</t>
    </r>
    <r>
      <rPr>
        <vertAlign val="subscript"/>
        <sz val="11"/>
        <rFont val="Calibri"/>
        <family val="2"/>
        <scheme val="minor"/>
      </rPr>
      <t>HFO,TSS</t>
    </r>
    <r>
      <rPr>
        <sz val="11"/>
        <rFont val="Calibri"/>
        <family val="2"/>
        <scheme val="minor"/>
      </rPr>
      <t xml:space="preserve"> + X</t>
    </r>
    <r>
      <rPr>
        <vertAlign val="subscript"/>
        <sz val="11"/>
        <rFont val="Calibri"/>
        <family val="2"/>
        <scheme val="minor"/>
      </rPr>
      <t>HAO,TSS</t>
    </r>
  </si>
  <si>
    <r>
      <t>X</t>
    </r>
    <r>
      <rPr>
        <vertAlign val="subscript"/>
        <sz val="11"/>
        <rFont val="Calibri"/>
        <family val="2"/>
        <scheme val="minor"/>
      </rPr>
      <t>U</t>
    </r>
    <r>
      <rPr>
        <sz val="11"/>
        <rFont val="Calibri"/>
        <family val="2"/>
        <scheme val="minor"/>
      </rPr>
      <t>/i</t>
    </r>
    <r>
      <rPr>
        <vertAlign val="subscript"/>
        <sz val="11"/>
        <rFont val="Calibri"/>
        <family val="2"/>
        <scheme val="minor"/>
      </rPr>
      <t>CV,XU</t>
    </r>
    <r>
      <rPr>
        <sz val="11"/>
        <rFont val="Calibri"/>
        <family val="2"/>
        <scheme val="minor"/>
      </rPr>
      <t xml:space="preserve"> + S</t>
    </r>
    <r>
      <rPr>
        <vertAlign val="subscript"/>
        <sz val="11"/>
        <rFont val="Calibri"/>
        <family val="2"/>
        <scheme val="minor"/>
      </rPr>
      <t>U</t>
    </r>
    <r>
      <rPr>
        <sz val="11"/>
        <rFont val="Calibri"/>
        <family val="2"/>
        <scheme val="minor"/>
      </rPr>
      <t>/i</t>
    </r>
    <r>
      <rPr>
        <vertAlign val="subscript"/>
        <sz val="11"/>
        <rFont val="Calibri"/>
        <family val="2"/>
        <scheme val="minor"/>
      </rPr>
      <t>CV,SU</t>
    </r>
    <r>
      <rPr>
        <sz val="11"/>
        <rFont val="Calibri"/>
        <family val="2"/>
        <scheme val="minor"/>
      </rPr>
      <t xml:space="preserve"> + C</t>
    </r>
    <r>
      <rPr>
        <vertAlign val="subscript"/>
        <sz val="11"/>
        <rFont val="Calibri"/>
        <family val="2"/>
        <scheme val="minor"/>
      </rPr>
      <t>U</t>
    </r>
    <r>
      <rPr>
        <sz val="11"/>
        <rFont val="Calibri"/>
        <family val="2"/>
        <scheme val="minor"/>
      </rPr>
      <t>/i</t>
    </r>
    <r>
      <rPr>
        <vertAlign val="subscript"/>
        <sz val="11"/>
        <rFont val="Calibri"/>
        <family val="2"/>
        <scheme val="minor"/>
      </rPr>
      <t>CV,CU</t>
    </r>
  </si>
  <si>
    <t>Half-saturation of readily biodegradable substrate in fermentation by OHOs in digester</t>
  </si>
  <si>
    <t>previously 0.03</t>
  </si>
  <si>
    <t>previously 0.05</t>
  </si>
  <si>
    <t>previously 0.005</t>
  </si>
  <si>
    <r>
      <t>S</t>
    </r>
    <r>
      <rPr>
        <vertAlign val="subscript"/>
        <sz val="11"/>
        <rFont val="Calibri"/>
        <family val="2"/>
        <scheme val="minor"/>
      </rPr>
      <t>U,N</t>
    </r>
  </si>
  <si>
    <t>Soluble unbiodegradable organic nitrogen</t>
  </si>
  <si>
    <r>
      <t>S</t>
    </r>
    <r>
      <rPr>
        <vertAlign val="subscript"/>
        <sz val="11"/>
        <rFont val="Calibri"/>
        <family val="2"/>
      </rPr>
      <t>U</t>
    </r>
    <r>
      <rPr>
        <sz val="11"/>
        <rFont val="Calibri"/>
        <family val="2"/>
      </rPr>
      <t xml:space="preserve"> *i</t>
    </r>
    <r>
      <rPr>
        <vertAlign val="subscript"/>
        <sz val="11"/>
        <rFont val="Calibri"/>
        <family val="2"/>
      </rPr>
      <t>N,SU</t>
    </r>
  </si>
  <si>
    <r>
      <t>Loginhswitch(ORP; Logsat</t>
    </r>
    <r>
      <rPr>
        <vertAlign val="subscript"/>
        <sz val="11"/>
        <rFont val="Calibri"/>
        <family val="2"/>
      </rPr>
      <t>ORP,HFO,Half</t>
    </r>
    <r>
      <rPr>
        <sz val="11"/>
        <rFont val="Calibri"/>
        <family val="2"/>
      </rPr>
      <t>; Logsat</t>
    </r>
    <r>
      <rPr>
        <vertAlign val="subscript"/>
        <sz val="11"/>
        <rFont val="Calibri"/>
        <family val="2"/>
      </rPr>
      <t>ORP,HFO,Slope</t>
    </r>
    <r>
      <rPr>
        <sz val="11"/>
        <rFont val="Calibri"/>
        <family val="2"/>
      </rPr>
      <t>)</t>
    </r>
  </si>
  <si>
    <t>Logsatswitch(var; halfval; slope)</t>
  </si>
  <si>
    <t>Logistic saturation switch</t>
  </si>
  <si>
    <t>Loginhswitch(var; halfval; slope)</t>
  </si>
  <si>
    <t>Logistic inhibition switch</t>
  </si>
  <si>
    <r>
      <t>Logslope</t>
    </r>
    <r>
      <rPr>
        <vertAlign val="subscript"/>
        <sz val="11"/>
        <rFont val="Calibri"/>
        <family val="2"/>
        <charset val="238"/>
        <scheme val="minor"/>
      </rPr>
      <t>VFA,FERM</t>
    </r>
  </si>
  <si>
    <r>
      <t>Logrange</t>
    </r>
    <r>
      <rPr>
        <vertAlign val="subscript"/>
        <sz val="11"/>
        <rFont val="Calibri"/>
        <family val="2"/>
        <charset val="238"/>
        <scheme val="minor"/>
      </rPr>
      <t>VFA,FERM,AS</t>
    </r>
  </si>
  <si>
    <t>var / (var + halfval * Exp((halfval - var) * slope))</t>
  </si>
  <si>
    <t>1 - var / (var + halfval * Exp((halfval - var) * slope))</t>
  </si>
  <si>
    <r>
      <t>Logsat(S</t>
    </r>
    <r>
      <rPr>
        <vertAlign val="subscript"/>
        <sz val="11"/>
        <rFont val="Calibri"/>
        <family val="2"/>
        <scheme val="minor"/>
      </rPr>
      <t>VFA</t>
    </r>
    <r>
      <rPr>
        <sz val="11"/>
        <rFont val="Calibri"/>
        <family val="2"/>
        <scheme val="minor"/>
      </rPr>
      <t>;K</t>
    </r>
    <r>
      <rPr>
        <vertAlign val="subscript"/>
        <sz val="11"/>
        <rFont val="Calibri"/>
        <family val="2"/>
        <scheme val="minor"/>
      </rPr>
      <t>VFA,FERM</t>
    </r>
    <r>
      <rPr>
        <sz val="11"/>
        <rFont val="Calibri"/>
        <family val="2"/>
        <scheme val="minor"/>
      </rPr>
      <t>;Logslope</t>
    </r>
    <r>
      <rPr>
        <vertAlign val="subscript"/>
        <sz val="11"/>
        <rFont val="Calibri"/>
        <family val="2"/>
        <scheme val="minor"/>
      </rPr>
      <t>VFA,FERM</t>
    </r>
    <r>
      <rPr>
        <sz val="11"/>
        <rFont val="Calibri"/>
        <family val="2"/>
        <scheme val="minor"/>
      </rPr>
      <t>)</t>
    </r>
  </si>
  <si>
    <r>
      <t>Loginh(S</t>
    </r>
    <r>
      <rPr>
        <vertAlign val="subscript"/>
        <sz val="11"/>
        <rFont val="Calibri"/>
        <family val="2"/>
        <scheme val="minor"/>
      </rPr>
      <t>VFA</t>
    </r>
    <r>
      <rPr>
        <sz val="11"/>
        <rFont val="Calibri"/>
        <family val="2"/>
        <scheme val="minor"/>
      </rPr>
      <t>;K</t>
    </r>
    <r>
      <rPr>
        <vertAlign val="subscript"/>
        <sz val="11"/>
        <rFont val="Calibri"/>
        <family val="2"/>
        <scheme val="minor"/>
      </rPr>
      <t>VFA,FERM</t>
    </r>
    <r>
      <rPr>
        <sz val="11"/>
        <rFont val="Calibri"/>
        <family val="2"/>
        <scheme val="minor"/>
      </rPr>
      <t>;Logslope</t>
    </r>
    <r>
      <rPr>
        <vertAlign val="subscript"/>
        <sz val="11"/>
        <rFont val="Calibri"/>
        <family val="2"/>
        <scheme val="minor"/>
      </rPr>
      <t>VFA,FERM</t>
    </r>
    <r>
      <rPr>
        <sz val="11"/>
        <rFont val="Calibri"/>
        <family val="2"/>
        <scheme val="minor"/>
      </rPr>
      <t>)</t>
    </r>
  </si>
  <si>
    <t>Logistic slope of VFA fermentation switch for OHOs in biofilm</t>
  </si>
  <si>
    <t>Logistic slope of VFA fermentation switch for OHOs in AS</t>
  </si>
  <si>
    <t>define range in percentage of half-saturation value</t>
  </si>
  <si>
    <r>
      <t>Logrange</t>
    </r>
    <r>
      <rPr>
        <vertAlign val="subscript"/>
        <sz val="11"/>
        <rFont val="Calibri"/>
        <family val="2"/>
        <scheme val="minor"/>
      </rPr>
      <t>PO4,PAO,AS,sat</t>
    </r>
  </si>
  <si>
    <r>
      <t>Logistic slope of PO</t>
    </r>
    <r>
      <rPr>
        <vertAlign val="subscript"/>
        <sz val="11"/>
        <rFont val="Calibri"/>
        <family val="2"/>
        <charset val="238"/>
        <scheme val="minor"/>
      </rPr>
      <t>4</t>
    </r>
    <r>
      <rPr>
        <sz val="11"/>
        <rFont val="Calibri"/>
        <family val="2"/>
        <scheme val="minor"/>
      </rPr>
      <t xml:space="preserve"> uptake switch for PAOs in AS</t>
    </r>
  </si>
  <si>
    <r>
      <t>Logistic slope of PO</t>
    </r>
    <r>
      <rPr>
        <vertAlign val="subscript"/>
        <sz val="11"/>
        <rFont val="Calibri"/>
        <family val="2"/>
        <charset val="238"/>
        <scheme val="minor"/>
      </rPr>
      <t>4</t>
    </r>
    <r>
      <rPr>
        <sz val="11"/>
        <rFont val="Calibri"/>
        <family val="2"/>
        <scheme val="minor"/>
      </rPr>
      <t xml:space="preserve"> uptake switch for PAOs in biofilm</t>
    </r>
  </si>
  <si>
    <r>
      <t>Logslope</t>
    </r>
    <r>
      <rPr>
        <vertAlign val="subscript"/>
        <sz val="11"/>
        <rFont val="Calibri"/>
        <family val="2"/>
        <charset val="238"/>
        <scheme val="minor"/>
      </rPr>
      <t>PO4,PAO,sat</t>
    </r>
  </si>
  <si>
    <r>
      <t>Logsat(S</t>
    </r>
    <r>
      <rPr>
        <vertAlign val="subscript"/>
        <sz val="11"/>
        <rFont val="Calibri"/>
        <family val="2"/>
        <scheme val="minor"/>
      </rPr>
      <t>PO4</t>
    </r>
    <r>
      <rPr>
        <sz val="11"/>
        <rFont val="Calibri"/>
        <family val="2"/>
        <scheme val="minor"/>
      </rPr>
      <t>;K</t>
    </r>
    <r>
      <rPr>
        <vertAlign val="subscript"/>
        <sz val="11"/>
        <rFont val="Calibri"/>
        <family val="2"/>
        <scheme val="minor"/>
      </rPr>
      <t>PO4,PAO</t>
    </r>
    <r>
      <rPr>
        <sz val="11"/>
        <rFont val="Calibri"/>
        <family val="2"/>
        <scheme val="minor"/>
      </rPr>
      <t>;Logslope</t>
    </r>
    <r>
      <rPr>
        <vertAlign val="subscript"/>
        <sz val="11"/>
        <rFont val="Calibri"/>
        <family val="2"/>
        <charset val="238"/>
        <scheme val="minor"/>
      </rPr>
      <t>PO4,PAO,sat</t>
    </r>
    <r>
      <rPr>
        <sz val="11"/>
        <rFont val="Calibri"/>
        <family val="2"/>
        <scheme val="minor"/>
      </rPr>
      <t>)</t>
    </r>
  </si>
  <si>
    <r>
      <t>Logrange</t>
    </r>
    <r>
      <rPr>
        <vertAlign val="subscript"/>
        <sz val="11"/>
        <rFont val="Calibri"/>
        <family val="2"/>
        <charset val="238"/>
        <scheme val="minor"/>
      </rPr>
      <t>PP,PAO,AS,sat</t>
    </r>
  </si>
  <si>
    <t>Effective range of logistic switch for PP cleavage by PAOs</t>
  </si>
  <si>
    <r>
      <t>Logsat(X</t>
    </r>
    <r>
      <rPr>
        <vertAlign val="subscript"/>
        <sz val="11"/>
        <rFont val="Calibri"/>
        <family val="2"/>
        <scheme val="minor"/>
      </rPr>
      <t>PP</t>
    </r>
    <r>
      <rPr>
        <sz val="11"/>
        <rFont val="Calibri"/>
        <family val="2"/>
        <scheme val="minor"/>
      </rPr>
      <t>;K</t>
    </r>
    <r>
      <rPr>
        <vertAlign val="subscript"/>
        <sz val="11"/>
        <rFont val="Calibri"/>
        <family val="2"/>
        <scheme val="minor"/>
      </rPr>
      <t>PO4,PAO</t>
    </r>
    <r>
      <rPr>
        <sz val="11"/>
        <rFont val="Calibri"/>
        <family val="2"/>
        <scheme val="minor"/>
      </rPr>
      <t>;Logslope</t>
    </r>
    <r>
      <rPr>
        <vertAlign val="subscript"/>
        <sz val="11"/>
        <rFont val="Calibri"/>
        <family val="2"/>
        <charset val="238"/>
        <scheme val="minor"/>
      </rPr>
      <t>PP,PAO,sat</t>
    </r>
    <r>
      <rPr>
        <sz val="11"/>
        <rFont val="Calibri"/>
        <family val="2"/>
        <scheme val="minor"/>
      </rPr>
      <t>)</t>
    </r>
  </si>
  <si>
    <r>
      <t>Logslope</t>
    </r>
    <r>
      <rPr>
        <vertAlign val="subscript"/>
        <sz val="11"/>
        <rFont val="Calibri"/>
        <family val="2"/>
        <charset val="238"/>
        <scheme val="minor"/>
      </rPr>
      <t>PP,PAO,sat</t>
    </r>
  </si>
  <si>
    <t>Effective range of logistic switch for VFA fermentation by OHOs (AS)</t>
  </si>
  <si>
    <r>
      <t>Effective range of logistic switch for PO</t>
    </r>
    <r>
      <rPr>
        <vertAlign val="subscript"/>
        <sz val="11"/>
        <rFont val="Calibri"/>
        <family val="2"/>
        <charset val="238"/>
        <scheme val="minor"/>
      </rPr>
      <t>4</t>
    </r>
    <r>
      <rPr>
        <sz val="11"/>
        <rFont val="Calibri"/>
        <family val="2"/>
        <scheme val="minor"/>
      </rPr>
      <t xml:space="preserve"> uptake by PAOs</t>
    </r>
  </si>
  <si>
    <t>Logistic slope of PP cleavage switch for PAOs in AS</t>
  </si>
  <si>
    <t>Logistic slope of PP cleavage switch for PAOs in biofilm</t>
  </si>
  <si>
    <t>Slope calculations for logistic saturation/inhibition functions</t>
  </si>
  <si>
    <r>
      <t>Logslope</t>
    </r>
    <r>
      <rPr>
        <vertAlign val="subscript"/>
        <sz val="11"/>
        <rFont val="Calibri"/>
        <family val="2"/>
        <charset val="238"/>
        <scheme val="minor"/>
      </rPr>
      <t>P,HAO,DISS</t>
    </r>
  </si>
  <si>
    <r>
      <t>Logistic slope of PO</t>
    </r>
    <r>
      <rPr>
        <vertAlign val="subscript"/>
        <sz val="11"/>
        <rFont val="Calibri"/>
        <family val="2"/>
        <charset val="238"/>
        <scheme val="minor"/>
      </rPr>
      <t>4</t>
    </r>
    <r>
      <rPr>
        <sz val="11"/>
        <rFont val="Calibri"/>
        <family val="2"/>
        <scheme val="minor"/>
      </rPr>
      <t xml:space="preserve"> in HAO redissolution</t>
    </r>
  </si>
  <si>
    <r>
      <t>Logrange</t>
    </r>
    <r>
      <rPr>
        <vertAlign val="subscript"/>
        <sz val="11"/>
        <rFont val="Calibri"/>
        <family val="2"/>
        <charset val="238"/>
        <scheme val="minor"/>
      </rPr>
      <t>P,HAO,DISS</t>
    </r>
  </si>
  <si>
    <t>Effective range of logistic switch for HAO redissolution</t>
  </si>
  <si>
    <t>define range in percentage of half-inhibition value</t>
  </si>
  <si>
    <r>
      <t>Loginh(S</t>
    </r>
    <r>
      <rPr>
        <vertAlign val="subscript"/>
        <sz val="11"/>
        <rFont val="Calibri"/>
        <family val="2"/>
        <scheme val="minor"/>
      </rPr>
      <t>PO4</t>
    </r>
    <r>
      <rPr>
        <sz val="11"/>
        <rFont val="Calibri"/>
        <family val="2"/>
        <scheme val="minor"/>
      </rPr>
      <t>;Ki</t>
    </r>
    <r>
      <rPr>
        <vertAlign val="subscript"/>
        <sz val="11"/>
        <rFont val="Calibri"/>
        <family val="2"/>
        <scheme val="minor"/>
      </rPr>
      <t>P,HAO,DISS</t>
    </r>
    <r>
      <rPr>
        <sz val="11"/>
        <rFont val="Calibri"/>
        <family val="2"/>
        <scheme val="minor"/>
      </rPr>
      <t>;Logslope</t>
    </r>
    <r>
      <rPr>
        <vertAlign val="subscript"/>
        <sz val="11"/>
        <rFont val="Calibri"/>
        <family val="2"/>
        <charset val="238"/>
        <scheme val="minor"/>
      </rPr>
      <t>P,HAO,DISS</t>
    </r>
    <r>
      <rPr>
        <sz val="11"/>
        <rFont val="Calibri"/>
        <family val="2"/>
        <scheme val="minor"/>
      </rPr>
      <t>)</t>
    </r>
  </si>
  <si>
    <r>
      <t>Logslope</t>
    </r>
    <r>
      <rPr>
        <vertAlign val="subscript"/>
        <sz val="11"/>
        <rFont val="Calibri"/>
        <family val="2"/>
        <charset val="238"/>
        <scheme val="minor"/>
      </rPr>
      <t>P,HFO,DISS</t>
    </r>
  </si>
  <si>
    <r>
      <t>Logistic slope of PO</t>
    </r>
    <r>
      <rPr>
        <vertAlign val="subscript"/>
        <sz val="11"/>
        <rFont val="Calibri"/>
        <family val="2"/>
        <charset val="238"/>
        <scheme val="minor"/>
      </rPr>
      <t>4</t>
    </r>
    <r>
      <rPr>
        <sz val="11"/>
        <rFont val="Calibri"/>
        <family val="2"/>
        <scheme val="minor"/>
      </rPr>
      <t xml:space="preserve"> in HFO redissolution</t>
    </r>
  </si>
  <si>
    <r>
      <t>Loginh(S</t>
    </r>
    <r>
      <rPr>
        <vertAlign val="subscript"/>
        <sz val="11"/>
        <rFont val="Calibri"/>
        <family val="2"/>
        <scheme val="minor"/>
      </rPr>
      <t>PO4</t>
    </r>
    <r>
      <rPr>
        <sz val="11"/>
        <rFont val="Calibri"/>
        <family val="2"/>
        <scheme val="minor"/>
      </rPr>
      <t>;Ki</t>
    </r>
    <r>
      <rPr>
        <vertAlign val="subscript"/>
        <sz val="11"/>
        <rFont val="Calibri"/>
        <family val="2"/>
        <scheme val="minor"/>
      </rPr>
      <t>P,HFO,DISS</t>
    </r>
    <r>
      <rPr>
        <sz val="11"/>
        <rFont val="Calibri"/>
        <family val="2"/>
        <scheme val="minor"/>
      </rPr>
      <t>;Logslope</t>
    </r>
    <r>
      <rPr>
        <vertAlign val="subscript"/>
        <sz val="11"/>
        <rFont val="Calibri"/>
        <family val="2"/>
        <charset val="238"/>
        <scheme val="minor"/>
      </rPr>
      <t>P,HFO,DISS</t>
    </r>
    <r>
      <rPr>
        <sz val="11"/>
        <rFont val="Calibri"/>
        <family val="2"/>
        <scheme val="minor"/>
      </rPr>
      <t>)</t>
    </r>
  </si>
  <si>
    <r>
      <t>Logrange</t>
    </r>
    <r>
      <rPr>
        <vertAlign val="subscript"/>
        <sz val="11"/>
        <rFont val="Calibri"/>
        <family val="2"/>
        <charset val="238"/>
        <scheme val="minor"/>
      </rPr>
      <t>P,HFO,DISS</t>
    </r>
  </si>
  <si>
    <t>Effective range of logistic switch for HFO redissolution</t>
  </si>
  <si>
    <t>Logistic slope of inhibition term for PP/PAO</t>
  </si>
  <si>
    <r>
      <t>Loginh(X</t>
    </r>
    <r>
      <rPr>
        <vertAlign val="subscript"/>
        <sz val="11"/>
        <rFont val="Calibri"/>
        <family val="2"/>
        <charset val="238"/>
        <scheme val="minor"/>
      </rPr>
      <t>PP</t>
    </r>
    <r>
      <rPr>
        <sz val="11"/>
        <rFont val="Calibri"/>
        <family val="2"/>
        <scheme val="minor"/>
      </rPr>
      <t>/X</t>
    </r>
    <r>
      <rPr>
        <vertAlign val="subscript"/>
        <sz val="11"/>
        <rFont val="Calibri"/>
        <family val="2"/>
        <charset val="238"/>
        <scheme val="minor"/>
      </rPr>
      <t>PAO</t>
    </r>
    <r>
      <rPr>
        <sz val="11"/>
        <rFont val="Calibri"/>
        <family val="2"/>
        <scheme val="minor"/>
      </rPr>
      <t>; Ki</t>
    </r>
    <r>
      <rPr>
        <vertAlign val="subscript"/>
        <sz val="11"/>
        <rFont val="Calibri"/>
        <family val="2"/>
        <charset val="238"/>
        <scheme val="minor"/>
      </rPr>
      <t>PP,PAO,max</t>
    </r>
    <r>
      <rPr>
        <sz val="11"/>
        <rFont val="Calibri"/>
        <family val="2"/>
        <scheme val="minor"/>
      </rPr>
      <t>; Logslope</t>
    </r>
    <r>
      <rPr>
        <vertAlign val="subscript"/>
        <sz val="11"/>
        <rFont val="Calibri"/>
        <family val="2"/>
        <charset val="238"/>
        <scheme val="minor"/>
      </rPr>
      <t>PP,PAO,inh</t>
    </r>
    <r>
      <rPr>
        <sz val="11"/>
        <rFont val="Calibri"/>
        <family val="2"/>
        <scheme val="minor"/>
      </rPr>
      <t>)</t>
    </r>
  </si>
  <si>
    <r>
      <t>Logslope</t>
    </r>
    <r>
      <rPr>
        <vertAlign val="subscript"/>
        <sz val="11"/>
        <rFont val="Calibri"/>
        <family val="2"/>
        <charset val="238"/>
        <scheme val="minor"/>
      </rPr>
      <t>PP,PAO,inh</t>
    </r>
  </si>
  <si>
    <r>
      <t>Logrange</t>
    </r>
    <r>
      <rPr>
        <vertAlign val="subscript"/>
        <sz val="11"/>
        <rFont val="Calibri"/>
        <family val="2"/>
        <charset val="238"/>
        <scheme val="minor"/>
      </rPr>
      <t>PP,PAO,inh</t>
    </r>
  </si>
  <si>
    <t>Effective range of logistic switch for PP/PAO inhibition term</t>
  </si>
  <si>
    <r>
      <t>Logslope</t>
    </r>
    <r>
      <rPr>
        <vertAlign val="subscript"/>
        <sz val="11"/>
        <rFont val="Calibri"/>
        <family val="2"/>
        <charset val="238"/>
        <scheme val="minor"/>
      </rPr>
      <t>PHA,PAO,inh</t>
    </r>
  </si>
  <si>
    <t>Logistic slope of inhibition term for PHA/PAO</t>
  </si>
  <si>
    <r>
      <t>Logrange</t>
    </r>
    <r>
      <rPr>
        <vertAlign val="subscript"/>
        <sz val="11"/>
        <rFont val="Calibri"/>
        <family val="2"/>
        <charset val="238"/>
        <scheme val="minor"/>
      </rPr>
      <t>PHA,PAO,inh</t>
    </r>
  </si>
  <si>
    <t>Effective range of logistic switch for PHA/PAO inhibition term</t>
  </si>
  <si>
    <t>to clean up any remaining methanol in digesters without having to ferment mechanistically</t>
  </si>
  <si>
    <t>Effective range of bicarbonate logistic switch for NITOs (AS)</t>
  </si>
  <si>
    <t>Effective range of bicarbonate logistic switch for NITOs (Sidestream)</t>
  </si>
  <si>
    <r>
      <t>Logistic slope of bicarbonate</t>
    </r>
    <r>
      <rPr>
        <sz val="11"/>
        <color rgb="FF000000"/>
        <rFont val="Calibri"/>
        <family val="2"/>
        <charset val="238"/>
        <scheme val="minor"/>
      </rPr>
      <t xml:space="preserve"> for NITOs in AS</t>
    </r>
  </si>
  <si>
    <r>
      <t>Logistic slope of bicarbonate</t>
    </r>
    <r>
      <rPr>
        <sz val="11"/>
        <color rgb="FF000000"/>
        <rFont val="Calibri"/>
        <family val="2"/>
        <charset val="238"/>
        <scheme val="minor"/>
      </rPr>
      <t xml:space="preserve"> for NITOs in sidestream</t>
    </r>
  </si>
  <si>
    <r>
      <t>g COD.g P</t>
    </r>
    <r>
      <rPr>
        <vertAlign val="superscript"/>
        <sz val="11"/>
        <rFont val="Calibri"/>
        <family val="2"/>
        <scheme val="minor"/>
      </rPr>
      <t>-1</t>
    </r>
  </si>
  <si>
    <r>
      <t>L.mol [HCO</t>
    </r>
    <r>
      <rPr>
        <vertAlign val="subscript"/>
        <sz val="11"/>
        <rFont val="Calibri"/>
        <family val="2"/>
        <scheme val="minor"/>
      </rPr>
      <t>3</t>
    </r>
    <r>
      <rPr>
        <vertAlign val="superscript"/>
        <sz val="11"/>
        <rFont val="Calibri"/>
        <family val="2"/>
        <scheme val="minor"/>
      </rPr>
      <t>-</t>
    </r>
    <r>
      <rPr>
        <sz val="11"/>
        <rFont val="Calibri"/>
        <family val="2"/>
        <scheme val="minor"/>
      </rPr>
      <t>]</t>
    </r>
    <r>
      <rPr>
        <vertAlign val="superscript"/>
        <sz val="11"/>
        <rFont val="Calibri"/>
        <family val="2"/>
        <scheme val="minor"/>
      </rPr>
      <t>-1</t>
    </r>
  </si>
  <si>
    <r>
      <t>m</t>
    </r>
    <r>
      <rPr>
        <vertAlign val="superscript"/>
        <sz val="11"/>
        <rFont val="Calibri"/>
        <family val="2"/>
        <charset val="238"/>
        <scheme val="minor"/>
      </rPr>
      <t>3</t>
    </r>
    <r>
      <rPr>
        <sz val="11"/>
        <rFont val="Calibri"/>
        <family val="2"/>
        <scheme val="minor"/>
      </rPr>
      <t>.g COD</t>
    </r>
    <r>
      <rPr>
        <vertAlign val="superscript"/>
        <sz val="11"/>
        <rFont val="Calibri"/>
        <family val="2"/>
        <charset val="238"/>
        <scheme val="minor"/>
      </rPr>
      <t>-1</t>
    </r>
  </si>
  <si>
    <r>
      <t>m</t>
    </r>
    <r>
      <rPr>
        <vertAlign val="superscript"/>
        <sz val="11"/>
        <rFont val="Calibri"/>
        <family val="2"/>
        <charset val="238"/>
        <scheme val="minor"/>
      </rPr>
      <t>3</t>
    </r>
    <r>
      <rPr>
        <sz val="11"/>
        <rFont val="Calibri"/>
        <family val="2"/>
        <scheme val="minor"/>
      </rPr>
      <t>.g P</t>
    </r>
    <r>
      <rPr>
        <vertAlign val="superscript"/>
        <sz val="11"/>
        <rFont val="Calibri"/>
        <family val="2"/>
        <charset val="238"/>
        <scheme val="minor"/>
      </rPr>
      <t>-1</t>
    </r>
  </si>
  <si>
    <r>
      <t>mol [HCO</t>
    </r>
    <r>
      <rPr>
        <vertAlign val="subscript"/>
        <sz val="11"/>
        <color indexed="8"/>
        <rFont val="Calibri"/>
        <family val="2"/>
        <scheme val="minor"/>
      </rPr>
      <t>3</t>
    </r>
    <r>
      <rPr>
        <vertAlign val="superscript"/>
        <sz val="11"/>
        <color indexed="8"/>
        <rFont val="Calibri"/>
        <family val="2"/>
        <scheme val="minor"/>
      </rPr>
      <t>-</t>
    </r>
    <r>
      <rPr>
        <sz val="11"/>
        <color indexed="8"/>
        <rFont val="Calibri"/>
        <family val="2"/>
        <scheme val="minor"/>
      </rPr>
      <t>].L</t>
    </r>
    <r>
      <rPr>
        <vertAlign val="superscript"/>
        <sz val="11"/>
        <color indexed="8"/>
        <rFont val="Calibri"/>
        <family val="2"/>
        <charset val="238"/>
        <scheme val="minor"/>
      </rPr>
      <t>-1</t>
    </r>
  </si>
  <si>
    <t>Logisticslope(halfval; range)</t>
  </si>
  <si>
    <t>Slope for logistic saturation and inhibition functions</t>
  </si>
  <si>
    <t>(-1)*(2 / (halfval * range)) * Ln((1/19) * (1 + (1/2) * (halfval * range / halfval)))</t>
  </si>
  <si>
    <r>
      <t>Logisticslope(K</t>
    </r>
    <r>
      <rPr>
        <vertAlign val="subscript"/>
        <sz val="11"/>
        <rFont val="Calibri"/>
        <family val="2"/>
        <charset val="238"/>
        <scheme val="minor"/>
      </rPr>
      <t>VFA,FERM</t>
    </r>
    <r>
      <rPr>
        <sz val="11"/>
        <rFont val="Calibri"/>
        <family val="2"/>
        <scheme val="minor"/>
      </rPr>
      <t>; Logrange</t>
    </r>
    <r>
      <rPr>
        <vertAlign val="subscript"/>
        <sz val="11"/>
        <rFont val="Calibri"/>
        <family val="2"/>
        <charset val="238"/>
        <scheme val="minor"/>
      </rPr>
      <t>VFA,FERM,AS</t>
    </r>
    <r>
      <rPr>
        <sz val="11"/>
        <rFont val="Calibri"/>
        <family val="2"/>
        <scheme val="minor"/>
      </rPr>
      <t>)</t>
    </r>
  </si>
  <si>
    <r>
      <t>Logisticslope(K</t>
    </r>
    <r>
      <rPr>
        <vertAlign val="subscript"/>
        <sz val="11"/>
        <rFont val="Calibri"/>
        <family val="2"/>
        <charset val="238"/>
        <scheme val="minor"/>
      </rPr>
      <t>PO4,PAO</t>
    </r>
    <r>
      <rPr>
        <sz val="11"/>
        <rFont val="Calibri"/>
        <family val="2"/>
        <scheme val="minor"/>
      </rPr>
      <t>; Logrange</t>
    </r>
    <r>
      <rPr>
        <vertAlign val="subscript"/>
        <sz val="11"/>
        <rFont val="Calibri"/>
        <family val="2"/>
        <charset val="238"/>
        <scheme val="minor"/>
      </rPr>
      <t>PO4,PAO,AS,sat</t>
    </r>
    <r>
      <rPr>
        <sz val="11"/>
        <rFont val="Calibri"/>
        <family val="2"/>
        <scheme val="minor"/>
      </rPr>
      <t>)</t>
    </r>
  </si>
  <si>
    <r>
      <t>Logisticslope(K</t>
    </r>
    <r>
      <rPr>
        <vertAlign val="subscript"/>
        <sz val="11"/>
        <rFont val="Calibri"/>
        <family val="2"/>
        <charset val="238"/>
        <scheme val="minor"/>
      </rPr>
      <t>PO4,PAO</t>
    </r>
    <r>
      <rPr>
        <sz val="11"/>
        <rFont val="Calibri"/>
        <family val="2"/>
        <scheme val="minor"/>
      </rPr>
      <t>; Logrange</t>
    </r>
    <r>
      <rPr>
        <vertAlign val="subscript"/>
        <sz val="11"/>
        <rFont val="Calibri"/>
        <family val="2"/>
        <charset val="238"/>
        <scheme val="minor"/>
      </rPr>
      <t>PP,PAO,AS,sat</t>
    </r>
    <r>
      <rPr>
        <sz val="11"/>
        <rFont val="Calibri"/>
        <family val="2"/>
        <scheme val="minor"/>
      </rPr>
      <t>)</t>
    </r>
  </si>
  <si>
    <r>
      <t>Logisticslope(Ki</t>
    </r>
    <r>
      <rPr>
        <vertAlign val="subscript"/>
        <sz val="11"/>
        <rFont val="Calibri"/>
        <family val="2"/>
        <charset val="238"/>
        <scheme val="minor"/>
      </rPr>
      <t>PHA,PAO,max</t>
    </r>
    <r>
      <rPr>
        <sz val="11"/>
        <rFont val="Calibri"/>
        <family val="2"/>
        <scheme val="minor"/>
      </rPr>
      <t>; Logrange</t>
    </r>
    <r>
      <rPr>
        <vertAlign val="subscript"/>
        <sz val="11"/>
        <rFont val="Calibri"/>
        <family val="2"/>
        <charset val="238"/>
        <scheme val="minor"/>
      </rPr>
      <t>PHA,PAO,inh</t>
    </r>
    <r>
      <rPr>
        <sz val="11"/>
        <rFont val="Calibri"/>
        <family val="2"/>
        <scheme val="minor"/>
      </rPr>
      <t>)</t>
    </r>
  </si>
  <si>
    <r>
      <t>Logisticslope(Ki</t>
    </r>
    <r>
      <rPr>
        <vertAlign val="subscript"/>
        <sz val="11"/>
        <rFont val="Calibri"/>
        <family val="2"/>
        <charset val="238"/>
        <scheme val="minor"/>
      </rPr>
      <t>PP,PAO,max</t>
    </r>
    <r>
      <rPr>
        <sz val="11"/>
        <rFont val="Calibri"/>
        <family val="2"/>
        <scheme val="minor"/>
      </rPr>
      <t>; Logrange</t>
    </r>
    <r>
      <rPr>
        <vertAlign val="subscript"/>
        <sz val="11"/>
        <rFont val="Calibri"/>
        <family val="2"/>
        <charset val="238"/>
        <scheme val="minor"/>
      </rPr>
      <t>PP,PAO,inh</t>
    </r>
    <r>
      <rPr>
        <sz val="11"/>
        <rFont val="Calibri"/>
        <family val="2"/>
        <scheme val="minor"/>
      </rPr>
      <t>)</t>
    </r>
  </si>
  <si>
    <r>
      <t>Logisticslope(Ki</t>
    </r>
    <r>
      <rPr>
        <vertAlign val="subscript"/>
        <sz val="11"/>
        <rFont val="Calibri"/>
        <family val="2"/>
        <charset val="238"/>
        <scheme val="minor"/>
      </rPr>
      <t>P,HFO,DISS</t>
    </r>
    <r>
      <rPr>
        <sz val="11"/>
        <rFont val="Calibri"/>
        <family val="2"/>
        <scheme val="minor"/>
      </rPr>
      <t>; Logrange</t>
    </r>
    <r>
      <rPr>
        <vertAlign val="subscript"/>
        <sz val="11"/>
        <rFont val="Calibri"/>
        <family val="2"/>
        <charset val="238"/>
        <scheme val="minor"/>
      </rPr>
      <t>P,HFO,DISS</t>
    </r>
    <r>
      <rPr>
        <sz val="11"/>
        <rFont val="Calibri"/>
        <family val="2"/>
        <scheme val="minor"/>
      </rPr>
      <t>)</t>
    </r>
  </si>
  <si>
    <r>
      <t>Logisticslope(Ki</t>
    </r>
    <r>
      <rPr>
        <vertAlign val="subscript"/>
        <sz val="11"/>
        <rFont val="Calibri"/>
        <family val="2"/>
        <charset val="238"/>
        <scheme val="minor"/>
      </rPr>
      <t>P,HAO,DISS</t>
    </r>
    <r>
      <rPr>
        <sz val="11"/>
        <rFont val="Calibri"/>
        <family val="2"/>
        <scheme val="minor"/>
      </rPr>
      <t>; Logrange</t>
    </r>
    <r>
      <rPr>
        <vertAlign val="subscript"/>
        <sz val="11"/>
        <rFont val="Calibri"/>
        <family val="2"/>
        <charset val="238"/>
        <scheme val="minor"/>
      </rPr>
      <t>P,HAO,DISS</t>
    </r>
    <r>
      <rPr>
        <sz val="11"/>
        <rFont val="Calibri"/>
        <family val="2"/>
        <scheme val="minor"/>
      </rPr>
      <t>)</t>
    </r>
  </si>
  <si>
    <r>
      <t>Logisticslope(K</t>
    </r>
    <r>
      <rPr>
        <vertAlign val="subscript"/>
        <sz val="11"/>
        <rFont val="Calibri"/>
        <family val="2"/>
        <charset val="238"/>
        <scheme val="minor"/>
      </rPr>
      <t>VFA,FERM</t>
    </r>
    <r>
      <rPr>
        <sz val="11"/>
        <rFont val="Calibri"/>
        <family val="2"/>
        <scheme val="minor"/>
      </rPr>
      <t>; Logrange</t>
    </r>
    <r>
      <rPr>
        <vertAlign val="subscript"/>
        <sz val="11"/>
        <rFont val="Calibri"/>
        <family val="2"/>
        <charset val="238"/>
        <scheme val="minor"/>
      </rPr>
      <t>VFA,FERM,AS</t>
    </r>
    <r>
      <rPr>
        <sz val="11"/>
        <rFont val="Calibri"/>
        <family val="2"/>
        <scheme val="minor"/>
      </rPr>
      <t>)</t>
    </r>
    <r>
      <rPr>
        <sz val="11"/>
        <rFont val="Calibri"/>
        <family val="2"/>
        <scheme val="minor"/>
      </rPr>
      <t xml:space="preserve"> / f</t>
    </r>
    <r>
      <rPr>
        <vertAlign val="subscript"/>
        <sz val="11"/>
        <rFont val="Calibri"/>
        <family val="2"/>
        <scheme val="minor"/>
      </rPr>
      <t>KS</t>
    </r>
  </si>
  <si>
    <r>
      <t>Logisticslope(K</t>
    </r>
    <r>
      <rPr>
        <vertAlign val="subscript"/>
        <sz val="11"/>
        <rFont val="Calibri"/>
        <family val="2"/>
        <charset val="238"/>
        <scheme val="minor"/>
      </rPr>
      <t>PO4,PAO</t>
    </r>
    <r>
      <rPr>
        <sz val="11"/>
        <rFont val="Calibri"/>
        <family val="2"/>
        <scheme val="minor"/>
      </rPr>
      <t>; Logrange</t>
    </r>
    <r>
      <rPr>
        <vertAlign val="subscript"/>
        <sz val="11"/>
        <rFont val="Calibri"/>
        <family val="2"/>
        <charset val="238"/>
        <scheme val="minor"/>
      </rPr>
      <t>PO4,PAO,AS,sat</t>
    </r>
    <r>
      <rPr>
        <sz val="11"/>
        <rFont val="Calibri"/>
        <family val="2"/>
        <scheme val="minor"/>
      </rPr>
      <t>)</t>
    </r>
    <r>
      <rPr>
        <sz val="11"/>
        <rFont val="Calibri"/>
        <family val="2"/>
        <scheme val="minor"/>
      </rPr>
      <t xml:space="preserve"> / f</t>
    </r>
    <r>
      <rPr>
        <vertAlign val="subscript"/>
        <sz val="11"/>
        <rFont val="Calibri"/>
        <family val="2"/>
        <scheme val="minor"/>
      </rPr>
      <t>KS</t>
    </r>
  </si>
  <si>
    <r>
      <t>Logisticslope(K</t>
    </r>
    <r>
      <rPr>
        <vertAlign val="subscript"/>
        <sz val="11"/>
        <rFont val="Calibri"/>
        <family val="2"/>
        <charset val="238"/>
        <scheme val="minor"/>
      </rPr>
      <t>PO4,PAO</t>
    </r>
    <r>
      <rPr>
        <sz val="11"/>
        <rFont val="Calibri"/>
        <family val="2"/>
        <scheme val="minor"/>
      </rPr>
      <t>; Logrange</t>
    </r>
    <r>
      <rPr>
        <vertAlign val="subscript"/>
        <sz val="11"/>
        <rFont val="Calibri"/>
        <family val="2"/>
        <charset val="238"/>
        <scheme val="minor"/>
      </rPr>
      <t>PP,PAO,AS,sat</t>
    </r>
    <r>
      <rPr>
        <sz val="11"/>
        <rFont val="Calibri"/>
        <family val="2"/>
        <scheme val="minor"/>
      </rPr>
      <t>)</t>
    </r>
    <r>
      <rPr>
        <sz val="11"/>
        <rFont val="Calibri"/>
        <family val="2"/>
        <scheme val="minor"/>
      </rPr>
      <t xml:space="preserve"> / f</t>
    </r>
    <r>
      <rPr>
        <vertAlign val="subscript"/>
        <sz val="11"/>
        <rFont val="Calibri"/>
        <family val="2"/>
        <scheme val="minor"/>
      </rPr>
      <t>KS</t>
    </r>
  </si>
  <si>
    <t>based on the 95% percentile of the saturation function</t>
  </si>
  <si>
    <r>
      <t>Half-inhibition of NH3</t>
    </r>
    <r>
      <rPr>
        <sz val="11"/>
        <color rgb="FF000000"/>
        <rFont val="Calibri"/>
        <family val="2"/>
        <charset val="238"/>
        <scheme val="minor"/>
      </rPr>
      <t xml:space="preserve"> for AMETOs (AS)</t>
    </r>
  </si>
  <si>
    <t>Effective range of NH3 logistic switch for AMETOs</t>
  </si>
  <si>
    <r>
      <t>Logistic slope of NH3</t>
    </r>
    <r>
      <rPr>
        <sz val="11"/>
        <color rgb="FF000000"/>
        <rFont val="Calibri"/>
        <family val="2"/>
        <charset val="238"/>
        <scheme val="minor"/>
      </rPr>
      <t xml:space="preserve"> for AMETOs</t>
    </r>
  </si>
  <si>
    <r>
      <t>Logrange</t>
    </r>
    <r>
      <rPr>
        <vertAlign val="subscript"/>
        <sz val="11"/>
        <rFont val="Calibri"/>
        <family val="2"/>
        <charset val="238"/>
        <scheme val="minor"/>
      </rPr>
      <t>NH3,AMETO</t>
    </r>
  </si>
  <si>
    <r>
      <t>LoginhpH</t>
    </r>
    <r>
      <rPr>
        <vertAlign val="subscript"/>
        <sz val="11"/>
        <rFont val="Calibri"/>
        <family val="2"/>
        <scheme val="minor"/>
      </rPr>
      <t>NH3,AMETO</t>
    </r>
  </si>
  <si>
    <r>
      <t>µ</t>
    </r>
    <r>
      <rPr>
        <vertAlign val="subscript"/>
        <sz val="11"/>
        <rFont val="Calibri"/>
        <family val="2"/>
      </rPr>
      <t>AMETO,T</t>
    </r>
    <r>
      <rPr>
        <sz val="11"/>
        <rFont val="Calibri"/>
        <family val="2"/>
      </rPr>
      <t>*X</t>
    </r>
    <r>
      <rPr>
        <vertAlign val="subscript"/>
        <sz val="11"/>
        <rFont val="Calibri"/>
        <family val="2"/>
      </rPr>
      <t>AMETO</t>
    </r>
    <r>
      <rPr>
        <sz val="11"/>
        <rFont val="Calibri"/>
        <family val="2"/>
      </rPr>
      <t>*Hsat</t>
    </r>
    <r>
      <rPr>
        <vertAlign val="subscript"/>
        <sz val="11"/>
        <rFont val="Calibri"/>
        <family val="2"/>
      </rPr>
      <t>SVFA,AMETO</t>
    </r>
    <r>
      <rPr>
        <sz val="11"/>
        <rFont val="Calibri"/>
        <family val="2"/>
      </rPr>
      <t>*Minh</t>
    </r>
    <r>
      <rPr>
        <vertAlign val="subscript"/>
        <sz val="11"/>
        <rFont val="Calibri"/>
        <family val="2"/>
      </rPr>
      <t>SO2,KiO2,AMETO</t>
    </r>
    <r>
      <rPr>
        <sz val="11"/>
        <rFont val="Calibri"/>
        <family val="2"/>
      </rPr>
      <t>*Minh</t>
    </r>
    <r>
      <rPr>
        <vertAlign val="subscript"/>
        <sz val="11"/>
        <rFont val="Calibri"/>
        <family val="2"/>
      </rPr>
      <t>SNOx,KNOx,AMETO</t>
    </r>
    <r>
      <rPr>
        <sz val="11"/>
        <rFont val="Calibri"/>
        <family val="2"/>
      </rPr>
      <t>*LoginhpH</t>
    </r>
    <r>
      <rPr>
        <vertAlign val="subscript"/>
        <sz val="11"/>
        <rFont val="Calibri"/>
        <family val="2"/>
      </rPr>
      <t>NH3,AMETO</t>
    </r>
    <r>
      <rPr>
        <sz val="11"/>
        <rFont val="Calibri"/>
        <family val="2"/>
      </rPr>
      <t>*Msat</t>
    </r>
    <r>
      <rPr>
        <vertAlign val="subscript"/>
        <sz val="11"/>
        <rFont val="Calibri"/>
        <family val="2"/>
      </rPr>
      <t>SNHx,KNHx,BIO</t>
    </r>
    <r>
      <rPr>
        <sz val="11"/>
        <rFont val="Calibri"/>
        <family val="2"/>
      </rPr>
      <t>*Msat</t>
    </r>
    <r>
      <rPr>
        <vertAlign val="subscript"/>
        <sz val="11"/>
        <rFont val="Calibri"/>
        <family val="2"/>
      </rPr>
      <t>SPO4,KPO4,BIO</t>
    </r>
    <r>
      <rPr>
        <sz val="11"/>
        <rFont val="Calibri"/>
        <family val="2"/>
      </rPr>
      <t>*Msat</t>
    </r>
    <r>
      <rPr>
        <vertAlign val="subscript"/>
        <sz val="11"/>
        <rFont val="Calibri"/>
        <family val="2"/>
      </rPr>
      <t>SCAT,KCAT</t>
    </r>
    <r>
      <rPr>
        <sz val="11"/>
        <rFont val="Calibri"/>
        <family val="2"/>
      </rPr>
      <t>*Msat</t>
    </r>
    <r>
      <rPr>
        <vertAlign val="subscript"/>
        <sz val="11"/>
        <rFont val="Calibri"/>
        <family val="2"/>
      </rPr>
      <t>SAN,KAN</t>
    </r>
    <r>
      <rPr>
        <sz val="11"/>
        <rFont val="Calibri"/>
        <family val="2"/>
      </rPr>
      <t>*Msat</t>
    </r>
    <r>
      <rPr>
        <vertAlign val="subscript"/>
        <sz val="11"/>
        <rFont val="Calibri"/>
        <family val="2"/>
      </rPr>
      <t>SCa,KCa</t>
    </r>
    <r>
      <rPr>
        <sz val="11"/>
        <rFont val="Calibri"/>
        <family val="2"/>
      </rPr>
      <t>*Msat</t>
    </r>
    <r>
      <rPr>
        <vertAlign val="subscript"/>
        <sz val="11"/>
        <rFont val="Calibri"/>
        <family val="2"/>
      </rPr>
      <t>SMg,KMg</t>
    </r>
    <r>
      <rPr>
        <sz val="11"/>
        <rFont val="Calibri"/>
        <family val="2"/>
      </rPr>
      <t>*Bellinh</t>
    </r>
    <r>
      <rPr>
        <vertAlign val="subscript"/>
        <sz val="11"/>
        <rFont val="Calibri"/>
        <family val="2"/>
      </rPr>
      <t>pH,AMETO</t>
    </r>
  </si>
  <si>
    <t>A_MP/M_MBSH</t>
  </si>
  <si>
    <t>Fe(OH)3 -&gt; Fe2O3 + 3H2O</t>
  </si>
  <si>
    <r>
      <t>Logistic inhibition term for NHx</t>
    </r>
    <r>
      <rPr>
        <sz val="11"/>
        <color rgb="FF000000"/>
        <rFont val="Calibri"/>
        <family val="2"/>
        <charset val="238"/>
        <scheme val="minor"/>
      </rPr>
      <t>/NH</t>
    </r>
    <r>
      <rPr>
        <vertAlign val="subscript"/>
        <sz val="11"/>
        <color rgb="FF000000"/>
        <rFont val="Calibri"/>
        <family val="2"/>
        <scheme val="minor"/>
      </rPr>
      <t>3</t>
    </r>
    <r>
      <rPr>
        <sz val="11"/>
        <color rgb="FF000000"/>
        <rFont val="Calibri"/>
        <family val="2"/>
        <charset val="238"/>
        <scheme val="minor"/>
      </rPr>
      <t xml:space="preserve"> (AMETO)</t>
    </r>
  </si>
  <si>
    <r>
      <t>L.mol [NH</t>
    </r>
    <r>
      <rPr>
        <vertAlign val="subscript"/>
        <sz val="11"/>
        <rFont val="Calibri"/>
        <family val="2"/>
        <scheme val="minor"/>
      </rPr>
      <t>3</t>
    </r>
    <r>
      <rPr>
        <vertAlign val="superscript"/>
        <sz val="11"/>
        <rFont val="Calibri"/>
        <family val="2"/>
        <scheme val="minor"/>
      </rPr>
      <t>-</t>
    </r>
    <r>
      <rPr>
        <sz val="11"/>
        <rFont val="Calibri"/>
        <family val="2"/>
        <scheme val="minor"/>
      </rPr>
      <t>]</t>
    </r>
    <r>
      <rPr>
        <vertAlign val="superscript"/>
        <sz val="11"/>
        <rFont val="Calibri"/>
        <family val="2"/>
        <scheme val="minor"/>
      </rPr>
      <t>-1</t>
    </r>
  </si>
  <si>
    <t>SOTECorr_cdisc</t>
  </si>
  <si>
    <t>SOTECorr_mdisc</t>
  </si>
  <si>
    <t>SOTECorr_pdisc</t>
  </si>
  <si>
    <t>SOTECorr_cdome</t>
  </si>
  <si>
    <t>SOTECorr_mtube</t>
  </si>
  <si>
    <t>SOTEFixed_fine</t>
  </si>
  <si>
    <t>Input</t>
  </si>
  <si>
    <t>PondWaterColumn</t>
  </si>
  <si>
    <t>PondSediments</t>
  </si>
  <si>
    <t>Alpha improvement rate</t>
  </si>
  <si>
    <t>Maximum alpha indicator</t>
  </si>
  <si>
    <r>
      <t>K</t>
    </r>
    <r>
      <rPr>
        <vertAlign val="subscript"/>
        <sz val="11"/>
        <rFont val="Calibri"/>
        <family val="2"/>
        <charset val="238"/>
        <scheme val="minor"/>
      </rPr>
      <t>O2,ALPHA</t>
    </r>
  </si>
  <si>
    <t>Half-saturation of dissolved oxygen for alpha rate</t>
  </si>
  <si>
    <r>
      <t>f</t>
    </r>
    <r>
      <rPr>
        <vertAlign val="subscript"/>
        <sz val="11"/>
        <rFont val="Calibri"/>
        <family val="2"/>
        <charset val="238"/>
        <scheme val="minor"/>
      </rPr>
      <t>O2,max,ALPHA</t>
    </r>
  </si>
  <si>
    <t>Non-aerated zone alpha improvement rate increase</t>
  </si>
  <si>
    <t>Coefficient of alpha first order limitation-dampening term</t>
  </si>
  <si>
    <t>Power of alpha first order limitation-dampening term</t>
  </si>
  <si>
    <r>
      <t>sl</t>
    </r>
    <r>
      <rPr>
        <vertAlign val="subscript"/>
        <sz val="11"/>
        <color theme="1"/>
        <rFont val="Calibri"/>
        <family val="2"/>
        <scheme val="minor"/>
      </rPr>
      <t>h,diff,α</t>
    </r>
  </si>
  <si>
    <t>Slope of depth-related alpha factor correction term</t>
  </si>
  <si>
    <r>
      <t>m</t>
    </r>
    <r>
      <rPr>
        <vertAlign val="superscript"/>
        <sz val="11"/>
        <rFont val="Calibri"/>
        <family val="2"/>
        <scheme val="minor"/>
      </rPr>
      <t>-1</t>
    </r>
  </si>
  <si>
    <t>Slope of solids-related alpha factor correction term, default</t>
  </si>
  <si>
    <r>
      <t>m</t>
    </r>
    <r>
      <rPr>
        <vertAlign val="superscript"/>
        <sz val="11"/>
        <rFont val="Calibri"/>
        <family val="2"/>
        <charset val="238"/>
        <scheme val="minor"/>
      </rPr>
      <t>3</t>
    </r>
    <r>
      <rPr>
        <sz val="11"/>
        <rFont val="Calibri"/>
        <family val="2"/>
        <scheme val="minor"/>
      </rPr>
      <t>.kg TSS</t>
    </r>
    <r>
      <rPr>
        <vertAlign val="superscript"/>
        <sz val="11"/>
        <rFont val="Calibri"/>
        <family val="2"/>
        <scheme val="minor"/>
      </rPr>
      <t>-1</t>
    </r>
  </si>
  <si>
    <t>Slope of solids-related alpha factor correction term, coarse bubbles</t>
  </si>
  <si>
    <r>
      <t>m</t>
    </r>
    <r>
      <rPr>
        <vertAlign val="superscript"/>
        <sz val="11"/>
        <rFont val="Calibri"/>
        <family val="2"/>
        <charset val="238"/>
        <scheme val="minor"/>
      </rPr>
      <t>3</t>
    </r>
    <r>
      <rPr>
        <sz val="11"/>
        <rFont val="Calibri"/>
        <family val="2"/>
        <scheme val="minor"/>
      </rPr>
      <t>.kg TSS</t>
    </r>
    <r>
      <rPr>
        <vertAlign val="superscript"/>
        <sz val="11"/>
        <rFont val="Calibri"/>
        <family val="2"/>
        <charset val="238"/>
        <scheme val="minor"/>
      </rPr>
      <t>-1</t>
    </r>
  </si>
  <si>
    <t>Leading coefficient of solids-related alpha correction term, mechanical aeration</t>
  </si>
  <si>
    <r>
      <t>(kg TSS.m</t>
    </r>
    <r>
      <rPr>
        <vertAlign val="superscript"/>
        <sz val="11"/>
        <rFont val="Calibri"/>
        <family val="2"/>
        <charset val="238"/>
        <scheme val="minor"/>
      </rPr>
      <t>-3</t>
    </r>
    <r>
      <rPr>
        <sz val="11"/>
        <rFont val="Calibri"/>
        <family val="2"/>
        <scheme val="minor"/>
      </rPr>
      <t>)</t>
    </r>
    <r>
      <rPr>
        <vertAlign val="superscript"/>
        <sz val="11"/>
        <rFont val="Calibri"/>
        <family val="2"/>
        <charset val="238"/>
        <scheme val="minor"/>
      </rPr>
      <t>-2</t>
    </r>
  </si>
  <si>
    <t>Linear coefficient of solids-related alpha correction term, mechanical aeration</t>
  </si>
  <si>
    <t>Constant of solids-related alpha correction term, mechanical aeration</t>
  </si>
  <si>
    <r>
      <t>q</t>
    </r>
    <r>
      <rPr>
        <vertAlign val="subscript"/>
        <sz val="11"/>
        <rFont val="Calibri"/>
        <family val="2"/>
        <charset val="238"/>
        <scheme val="minor"/>
      </rPr>
      <t>ALPHA,O2</t>
    </r>
  </si>
  <si>
    <t>Alpha improvement rate (dissolved oxygen corrected)</t>
  </si>
  <si>
    <t>Alpha first order limitation-dampening term</t>
  </si>
  <si>
    <r>
      <t>corr</t>
    </r>
    <r>
      <rPr>
        <vertAlign val="subscript"/>
        <sz val="11"/>
        <rFont val="Calibri"/>
        <family val="2"/>
        <charset val="238"/>
        <scheme val="minor"/>
      </rPr>
      <t>h,diff,</t>
    </r>
    <r>
      <rPr>
        <vertAlign val="subscript"/>
        <sz val="11"/>
        <rFont val="Calibri"/>
        <family val="2"/>
        <charset val="238"/>
      </rPr>
      <t>α</t>
    </r>
  </si>
  <si>
    <t>Depth-related alpha factor correction term</t>
  </si>
  <si>
    <r>
      <t>(S</t>
    </r>
    <r>
      <rPr>
        <vertAlign val="subscript"/>
        <sz val="11"/>
        <color theme="1"/>
        <rFont val="Calibri"/>
        <family val="2"/>
        <scheme val="minor"/>
      </rPr>
      <t>ALPHA</t>
    </r>
    <r>
      <rPr>
        <sz val="11"/>
        <color theme="1"/>
        <rFont val="Calibri"/>
        <family val="2"/>
        <scheme val="minor"/>
      </rPr>
      <t>-1</t>
    </r>
    <r>
      <rPr>
        <sz val="11"/>
        <color indexed="8"/>
        <rFont val="Calibri"/>
        <family val="2"/>
      </rPr>
      <t>)*Exp(sl</t>
    </r>
    <r>
      <rPr>
        <vertAlign val="subscript"/>
        <sz val="11"/>
        <color theme="1"/>
        <rFont val="Calibri"/>
        <family val="2"/>
        <scheme val="minor"/>
      </rPr>
      <t>h,diff,α</t>
    </r>
    <r>
      <rPr>
        <sz val="11"/>
        <color indexed="8"/>
        <rFont val="Calibri"/>
        <family val="2"/>
      </rPr>
      <t>*h</t>
    </r>
    <r>
      <rPr>
        <vertAlign val="subscript"/>
        <sz val="11"/>
        <color theme="1"/>
        <rFont val="Calibri"/>
        <family val="2"/>
        <scheme val="minor"/>
      </rPr>
      <t>diff</t>
    </r>
    <r>
      <rPr>
        <sz val="11"/>
        <color indexed="8"/>
        <rFont val="Calibri"/>
        <family val="2"/>
      </rPr>
      <t>)+1</t>
    </r>
  </si>
  <si>
    <t>Solids-related alpha factor correction term</t>
  </si>
  <si>
    <r>
      <t>S</t>
    </r>
    <r>
      <rPr>
        <vertAlign val="subscript"/>
        <sz val="11"/>
        <rFont val="Calibri"/>
        <family val="2"/>
        <charset val="238"/>
        <scheme val="minor"/>
      </rPr>
      <t>ALPHA</t>
    </r>
    <r>
      <rPr>
        <sz val="11"/>
        <rFont val="Calibri"/>
        <family val="2"/>
        <scheme val="minor"/>
      </rPr>
      <t>/corr</t>
    </r>
    <r>
      <rPr>
        <vertAlign val="subscript"/>
        <sz val="11"/>
        <rFont val="Calibri"/>
        <family val="2"/>
        <scheme val="minor"/>
      </rPr>
      <t>h,diff,α</t>
    </r>
    <r>
      <rPr>
        <sz val="11"/>
        <rFont val="Calibri"/>
        <family val="2"/>
        <scheme val="minor"/>
      </rPr>
      <t>*corr</t>
    </r>
    <r>
      <rPr>
        <vertAlign val="subscript"/>
        <sz val="11"/>
        <rFont val="Calibri"/>
        <family val="2"/>
        <charset val="238"/>
        <scheme val="minor"/>
      </rPr>
      <t>TSS,</t>
    </r>
    <r>
      <rPr>
        <vertAlign val="subscript"/>
        <sz val="11"/>
        <rFont val="Calibri"/>
        <family val="2"/>
        <charset val="238"/>
      </rPr>
      <t>α</t>
    </r>
  </si>
  <si>
    <r>
      <t>q</t>
    </r>
    <r>
      <rPr>
        <vertAlign val="subscript"/>
        <sz val="11"/>
        <rFont val="Calibri"/>
        <family val="2"/>
        <charset val="238"/>
        <scheme val="minor"/>
      </rPr>
      <t>ALPHA</t>
    </r>
    <r>
      <rPr>
        <sz val="11"/>
        <rFont val="Calibri"/>
        <family val="2"/>
        <charset val="238"/>
        <scheme val="minor"/>
      </rPr>
      <t>*((1-f</t>
    </r>
    <r>
      <rPr>
        <vertAlign val="subscript"/>
        <sz val="11"/>
        <rFont val="Calibri"/>
        <family val="2"/>
        <charset val="238"/>
        <scheme val="minor"/>
      </rPr>
      <t>O2,max,ALPHA</t>
    </r>
    <r>
      <rPr>
        <sz val="11"/>
        <rFont val="Calibri"/>
        <family val="2"/>
        <charset val="238"/>
        <scheme val="minor"/>
      </rPr>
      <t>)*S</t>
    </r>
    <r>
      <rPr>
        <vertAlign val="subscript"/>
        <sz val="11"/>
        <rFont val="Calibri"/>
        <family val="2"/>
        <charset val="238"/>
        <scheme val="minor"/>
      </rPr>
      <t>O2</t>
    </r>
    <r>
      <rPr>
        <sz val="11"/>
        <rFont val="Calibri"/>
        <family val="2"/>
        <charset val="238"/>
        <scheme val="minor"/>
      </rPr>
      <t>/(K</t>
    </r>
    <r>
      <rPr>
        <vertAlign val="subscript"/>
        <sz val="11"/>
        <rFont val="Calibri"/>
        <family val="2"/>
        <charset val="238"/>
        <scheme val="minor"/>
      </rPr>
      <t>O2,ALPHA</t>
    </r>
    <r>
      <rPr>
        <sz val="11"/>
        <rFont val="Calibri"/>
        <family val="2"/>
        <charset val="238"/>
        <scheme val="minor"/>
      </rPr>
      <t>+S</t>
    </r>
    <r>
      <rPr>
        <vertAlign val="subscript"/>
        <sz val="11"/>
        <rFont val="Calibri"/>
        <family val="2"/>
        <charset val="238"/>
        <scheme val="minor"/>
      </rPr>
      <t>O2</t>
    </r>
    <r>
      <rPr>
        <sz val="11"/>
        <rFont val="Calibri"/>
        <family val="2"/>
        <charset val="238"/>
        <scheme val="minor"/>
      </rPr>
      <t>)+f</t>
    </r>
    <r>
      <rPr>
        <vertAlign val="subscript"/>
        <sz val="11"/>
        <rFont val="Calibri"/>
        <family val="2"/>
        <charset val="238"/>
        <scheme val="minor"/>
      </rPr>
      <t>O2,max,ALPHA</t>
    </r>
    <r>
      <rPr>
        <sz val="11"/>
        <rFont val="Calibri"/>
        <family val="2"/>
        <charset val="238"/>
        <scheme val="minor"/>
      </rPr>
      <t>)</t>
    </r>
  </si>
  <si>
    <r>
      <t>h</t>
    </r>
    <r>
      <rPr>
        <vertAlign val="subscript"/>
        <sz val="11"/>
        <rFont val="Calibri"/>
        <family val="2"/>
      </rPr>
      <t>diff</t>
    </r>
  </si>
  <si>
    <t>Diffuser submergence</t>
  </si>
  <si>
    <t>m</t>
  </si>
  <si>
    <r>
      <t>q</t>
    </r>
    <r>
      <rPr>
        <vertAlign val="subscript"/>
        <sz val="11"/>
        <rFont val="Calibri"/>
        <family val="2"/>
      </rPr>
      <t>ALPHA,O2</t>
    </r>
    <r>
      <rPr>
        <sz val="11"/>
        <rFont val="Calibri"/>
        <family val="2"/>
      </rPr>
      <t>*X</t>
    </r>
    <r>
      <rPr>
        <vertAlign val="subscript"/>
        <sz val="11"/>
        <rFont val="Calibri"/>
        <family val="2"/>
      </rPr>
      <t>VSS</t>
    </r>
    <r>
      <rPr>
        <sz val="11"/>
        <rFont val="Calibri"/>
        <family val="2"/>
      </rPr>
      <t>*damp</t>
    </r>
    <r>
      <rPr>
        <vertAlign val="subscript"/>
        <sz val="11"/>
        <rFont val="Calibri"/>
        <family val="2"/>
        <charset val="238"/>
      </rPr>
      <t>ALPHA</t>
    </r>
    <r>
      <rPr>
        <sz val="11"/>
        <rFont val="Calibri"/>
        <family val="2"/>
      </rPr>
      <t>*(S</t>
    </r>
    <r>
      <rPr>
        <vertAlign val="subscript"/>
        <sz val="11"/>
        <rFont val="Calibri"/>
        <family val="2"/>
      </rPr>
      <t>ALPHA,sat</t>
    </r>
    <r>
      <rPr>
        <sz val="11"/>
        <rFont val="Calibri"/>
        <family val="2"/>
      </rPr>
      <t>-S</t>
    </r>
    <r>
      <rPr>
        <vertAlign val="subscript"/>
        <sz val="11"/>
        <rFont val="Calibri"/>
        <family val="2"/>
      </rPr>
      <t>ALPHA</t>
    </r>
    <r>
      <rPr>
        <sz val="11"/>
        <rFont val="Calibri"/>
        <family val="2"/>
      </rPr>
      <t>)</t>
    </r>
  </si>
  <si>
    <r>
      <t>S</t>
    </r>
    <r>
      <rPr>
        <vertAlign val="subscript"/>
        <sz val="11"/>
        <rFont val="Calibri"/>
        <family val="2"/>
        <charset val="238"/>
        <scheme val="minor"/>
      </rPr>
      <t>ALPHA</t>
    </r>
    <r>
      <rPr>
        <sz val="11"/>
        <rFont val="Calibri"/>
        <family val="2"/>
        <scheme val="minor"/>
      </rPr>
      <t>*corr</t>
    </r>
    <r>
      <rPr>
        <vertAlign val="subscript"/>
        <sz val="11"/>
        <rFont val="Calibri"/>
        <family val="2"/>
        <charset val="238"/>
        <scheme val="minor"/>
      </rPr>
      <t>TSS,</t>
    </r>
    <r>
      <rPr>
        <vertAlign val="subscript"/>
        <sz val="11"/>
        <rFont val="Calibri"/>
        <family val="2"/>
        <charset val="238"/>
      </rPr>
      <t>α</t>
    </r>
  </si>
  <si>
    <t>Diffused</t>
  </si>
  <si>
    <t>Diffused; Non-SOTECorr_cap; Non-SOTEFixed_coarse</t>
  </si>
  <si>
    <r>
      <t>S</t>
    </r>
    <r>
      <rPr>
        <b/>
        <vertAlign val="subscript"/>
        <sz val="11"/>
        <rFont val="Calibri"/>
        <family val="2"/>
        <charset val="238"/>
        <scheme val="minor"/>
      </rPr>
      <t>ORPswitch</t>
    </r>
  </si>
  <si>
    <r>
      <t>S</t>
    </r>
    <r>
      <rPr>
        <b/>
        <vertAlign val="subscript"/>
        <sz val="12"/>
        <rFont val="Calibri"/>
        <family val="2"/>
        <charset val="238"/>
        <scheme val="minor"/>
      </rPr>
      <t>ORPswitch</t>
    </r>
  </si>
  <si>
    <t>r83</t>
  </si>
  <si>
    <r>
      <t>mV.d</t>
    </r>
    <r>
      <rPr>
        <vertAlign val="superscript"/>
        <sz val="11"/>
        <color indexed="8"/>
        <rFont val="Calibri"/>
        <family val="2"/>
        <charset val="238"/>
      </rPr>
      <t>-1</t>
    </r>
  </si>
  <si>
    <r>
      <t>k</t>
    </r>
    <r>
      <rPr>
        <vertAlign val="subscript"/>
        <sz val="11"/>
        <rFont val="Calibri"/>
        <family val="2"/>
        <charset val="238"/>
        <scheme val="minor"/>
      </rPr>
      <t>ORPswitch</t>
    </r>
  </si>
  <si>
    <r>
      <t>offset</t>
    </r>
    <r>
      <rPr>
        <vertAlign val="subscript"/>
        <sz val="11"/>
        <rFont val="Calibri"/>
        <family val="2"/>
        <charset val="238"/>
        <scheme val="minor"/>
      </rPr>
      <t>ORPswitch</t>
    </r>
  </si>
  <si>
    <r>
      <t>k</t>
    </r>
    <r>
      <rPr>
        <vertAlign val="subscript"/>
        <sz val="11"/>
        <rFont val="Calibri"/>
        <family val="2"/>
        <charset val="238"/>
      </rPr>
      <t>ORPswitch</t>
    </r>
    <r>
      <rPr>
        <sz val="11"/>
        <rFont val="Calibri"/>
        <family val="2"/>
      </rPr>
      <t>*(ORP + offset</t>
    </r>
    <r>
      <rPr>
        <vertAlign val="subscript"/>
        <sz val="11"/>
        <rFont val="Calibri"/>
        <family val="2"/>
        <charset val="238"/>
      </rPr>
      <t>ORPswitch</t>
    </r>
    <r>
      <rPr>
        <sz val="11"/>
        <rFont val="Calibri"/>
        <family val="2"/>
      </rPr>
      <t xml:space="preserve"> - S</t>
    </r>
    <r>
      <rPr>
        <vertAlign val="subscript"/>
        <sz val="11"/>
        <rFont val="Calibri"/>
        <family val="2"/>
        <charset val="238"/>
      </rPr>
      <t>ORPswitch</t>
    </r>
    <r>
      <rPr>
        <sz val="11"/>
        <rFont val="Calibri"/>
        <family val="2"/>
      </rPr>
      <t>)</t>
    </r>
  </si>
  <si>
    <r>
      <t>Loginhswitch(S</t>
    </r>
    <r>
      <rPr>
        <vertAlign val="subscript"/>
        <sz val="11"/>
        <rFont val="Calibri"/>
        <family val="2"/>
        <charset val="238"/>
        <scheme val="minor"/>
      </rPr>
      <t>ORPswitch</t>
    </r>
    <r>
      <rPr>
        <sz val="11"/>
        <rFont val="Calibri"/>
        <family val="2"/>
        <charset val="238"/>
        <scheme val="minor"/>
      </rPr>
      <t xml:space="preserve"> - offset</t>
    </r>
    <r>
      <rPr>
        <vertAlign val="subscript"/>
        <sz val="11"/>
        <rFont val="Calibri"/>
        <family val="2"/>
        <charset val="238"/>
        <scheme val="minor"/>
      </rPr>
      <t>ORPswitch</t>
    </r>
    <r>
      <rPr>
        <sz val="11"/>
        <rFont val="Calibri"/>
        <family val="2"/>
        <scheme val="minor"/>
      </rPr>
      <t>; Logsat</t>
    </r>
    <r>
      <rPr>
        <vertAlign val="subscript"/>
        <sz val="11"/>
        <rFont val="Calibri"/>
        <family val="2"/>
      </rPr>
      <t>ORP,PAO,Half</t>
    </r>
    <r>
      <rPr>
        <sz val="11"/>
        <rFont val="Calibri"/>
        <family val="2"/>
      </rPr>
      <t>; Logsat</t>
    </r>
    <r>
      <rPr>
        <vertAlign val="subscript"/>
        <sz val="11"/>
        <rFont val="Calibri"/>
        <family val="2"/>
      </rPr>
      <t>ORP,PAO,Slope</t>
    </r>
    <r>
      <rPr>
        <sz val="11"/>
        <rFont val="Calibri"/>
        <family val="2"/>
      </rPr>
      <t>)</t>
    </r>
  </si>
  <si>
    <r>
      <t>Logsatswitch(S</t>
    </r>
    <r>
      <rPr>
        <vertAlign val="subscript"/>
        <sz val="11"/>
        <rFont val="Calibri"/>
        <family val="2"/>
        <charset val="238"/>
      </rPr>
      <t>ORPswitch</t>
    </r>
    <r>
      <rPr>
        <sz val="11"/>
        <rFont val="Calibri"/>
        <family val="2"/>
        <charset val="238"/>
      </rPr>
      <t xml:space="preserve"> - offset</t>
    </r>
    <r>
      <rPr>
        <vertAlign val="subscript"/>
        <sz val="11"/>
        <rFont val="Calibri"/>
        <family val="2"/>
        <charset val="238"/>
      </rPr>
      <t>ORPswitch</t>
    </r>
    <r>
      <rPr>
        <sz val="11"/>
        <rFont val="Calibri"/>
        <family val="2"/>
      </rPr>
      <t>; Logsat</t>
    </r>
    <r>
      <rPr>
        <vertAlign val="subscript"/>
        <sz val="11"/>
        <rFont val="Calibri"/>
        <family val="2"/>
      </rPr>
      <t>ORP,GAO,Half,T</t>
    </r>
    <r>
      <rPr>
        <sz val="11"/>
        <rFont val="Calibri"/>
        <family val="2"/>
      </rPr>
      <t>; Logsat</t>
    </r>
    <r>
      <rPr>
        <vertAlign val="subscript"/>
        <sz val="11"/>
        <rFont val="Calibri"/>
        <family val="2"/>
      </rPr>
      <t>ORP,GAO,Slope</t>
    </r>
    <r>
      <rPr>
        <sz val="11"/>
        <rFont val="Calibri"/>
        <family val="2"/>
      </rPr>
      <t>)</t>
    </r>
  </si>
  <si>
    <t>used for keeping auxiliary ORP state variable in positive range - not recommended to alter</t>
  </si>
  <si>
    <t>sets inertia for the speed of CASTO activity switches' response to ORP changes</t>
  </si>
  <si>
    <t>ORP driver for CASTO activity switches</t>
  </si>
  <si>
    <t>ORP lag for CASTO activity switches</t>
  </si>
  <si>
    <r>
      <t>-(v30_S</t>
    </r>
    <r>
      <rPr>
        <vertAlign val="subscript"/>
        <sz val="11"/>
        <rFont val="Calibri"/>
        <family val="2"/>
        <scheme val="minor"/>
      </rPr>
      <t>O2</t>
    </r>
    <r>
      <rPr>
        <sz val="11"/>
        <rFont val="Calibri"/>
        <family val="2"/>
        <scheme val="minor"/>
      </rPr>
      <t xml:space="preserve"> * r30)</t>
    </r>
  </si>
  <si>
    <r>
      <t>i</t>
    </r>
    <r>
      <rPr>
        <vertAlign val="subscript"/>
        <sz val="11"/>
        <rFont val="Calibri"/>
        <family val="2"/>
        <scheme val="minor"/>
      </rPr>
      <t>P,BIO</t>
    </r>
    <r>
      <rPr>
        <sz val="11"/>
        <rFont val="Calibri"/>
        <family val="2"/>
        <scheme val="minor"/>
      </rPr>
      <t xml:space="preserve"> * (r1 + r2 + r3 + r4 + r5 + r6 + r7 + r10 + r13 + r14 + r25 + r26 + r30 + r33 + r36) + PUR</t>
    </r>
    <r>
      <rPr>
        <vertAlign val="subscript"/>
        <sz val="11"/>
        <rFont val="Calibri"/>
        <family val="2"/>
        <scheme val="minor"/>
      </rPr>
      <t>BIOP</t>
    </r>
  </si>
  <si>
    <t>g H2O /g MeOH</t>
  </si>
  <si>
    <t>Me(OH)3 -&gt; Me2O3 + 3H2O</t>
  </si>
  <si>
    <t>theoretical complete reaction</t>
  </si>
  <si>
    <t>measured loss between 105°C and 500°C</t>
  </si>
  <si>
    <t>Stricker et al. (2004) for Fe, calculation for Al</t>
  </si>
  <si>
    <t>loss at 105°C</t>
  </si>
  <si>
    <r>
      <t>X</t>
    </r>
    <r>
      <rPr>
        <vertAlign val="subscript"/>
        <sz val="11"/>
        <rFont val="Calibri"/>
        <family val="2"/>
        <scheme val="minor"/>
      </rPr>
      <t>HFO,ISS</t>
    </r>
  </si>
  <si>
    <r>
      <t>X</t>
    </r>
    <r>
      <rPr>
        <vertAlign val="subscript"/>
        <sz val="11"/>
        <rFont val="Calibri"/>
        <family val="2"/>
        <scheme val="minor"/>
      </rPr>
      <t>HAO,ISS</t>
    </r>
  </si>
  <si>
    <r>
      <t>X</t>
    </r>
    <r>
      <rPr>
        <vertAlign val="subscript"/>
        <sz val="11"/>
        <rFont val="Calibri"/>
        <family val="2"/>
        <scheme val="minor"/>
      </rPr>
      <t>Me,ISS</t>
    </r>
  </si>
  <si>
    <t>Total HFOs in ISS unit</t>
  </si>
  <si>
    <t>Total HAOs in ISS unit</t>
  </si>
  <si>
    <t>Metal precipitates in ISS unit</t>
  </si>
  <si>
    <r>
      <t>(1-f</t>
    </r>
    <r>
      <rPr>
        <vertAlign val="subscript"/>
        <sz val="11"/>
        <rFont val="Calibri"/>
        <family val="2"/>
        <scheme val="minor"/>
      </rPr>
      <t>H2O,HFO,VSS</t>
    </r>
    <r>
      <rPr>
        <sz val="11"/>
        <rFont val="Calibri"/>
        <family val="2"/>
        <scheme val="minor"/>
      </rPr>
      <t>)*X</t>
    </r>
    <r>
      <rPr>
        <vertAlign val="subscript"/>
        <sz val="11"/>
        <rFont val="Calibri"/>
        <family val="2"/>
        <scheme val="minor"/>
      </rPr>
      <t>HFO</t>
    </r>
    <r>
      <rPr>
        <sz val="11"/>
        <rFont val="Calibri"/>
        <family val="2"/>
        <scheme val="minor"/>
      </rPr>
      <t>*MM</t>
    </r>
    <r>
      <rPr>
        <vertAlign val="subscript"/>
        <sz val="11"/>
        <rFont val="Calibri"/>
        <family val="2"/>
        <scheme val="minor"/>
      </rPr>
      <t>FeOH3</t>
    </r>
    <r>
      <rPr>
        <sz val="11"/>
        <rFont val="Calibri"/>
        <family val="2"/>
        <scheme val="minor"/>
      </rPr>
      <t>/AM</t>
    </r>
    <r>
      <rPr>
        <vertAlign val="subscript"/>
        <sz val="11"/>
        <rFont val="Calibri"/>
        <family val="2"/>
        <scheme val="minor"/>
      </rPr>
      <t>Fe</t>
    </r>
    <r>
      <rPr>
        <sz val="11"/>
        <rFont val="Calibri"/>
        <family val="2"/>
        <scheme val="minor"/>
      </rPr>
      <t>+ (X</t>
    </r>
    <r>
      <rPr>
        <vertAlign val="subscript"/>
        <sz val="11"/>
        <rFont val="Calibri"/>
        <family val="2"/>
        <scheme val="minor"/>
      </rPr>
      <t>HFO,L,P</t>
    </r>
    <r>
      <rPr>
        <sz val="11"/>
        <rFont val="Calibri"/>
        <family val="2"/>
        <scheme val="minor"/>
      </rPr>
      <t>+X</t>
    </r>
    <r>
      <rPr>
        <vertAlign val="subscript"/>
        <sz val="11"/>
        <rFont val="Calibri"/>
        <family val="2"/>
        <scheme val="minor"/>
      </rPr>
      <t>HFO,L,P,old</t>
    </r>
    <r>
      <rPr>
        <sz val="11"/>
        <rFont val="Calibri"/>
        <family val="2"/>
        <scheme val="minor"/>
      </rPr>
      <t>)*ASF</t>
    </r>
    <r>
      <rPr>
        <vertAlign val="subscript"/>
        <sz val="11"/>
        <rFont val="Calibri"/>
        <family val="2"/>
        <scheme val="minor"/>
      </rPr>
      <t>HFO,L</t>
    </r>
    <r>
      <rPr>
        <sz val="11"/>
        <rFont val="Calibri"/>
        <family val="2"/>
        <scheme val="minor"/>
      </rPr>
      <t>*(MM</t>
    </r>
    <r>
      <rPr>
        <vertAlign val="subscript"/>
        <sz val="11"/>
        <rFont val="Calibri"/>
        <family val="2"/>
        <scheme val="minor"/>
      </rPr>
      <t>PO4</t>
    </r>
    <r>
      <rPr>
        <sz val="11"/>
        <rFont val="Calibri"/>
        <family val="2"/>
        <scheme val="minor"/>
      </rPr>
      <t>/AM</t>
    </r>
    <r>
      <rPr>
        <vertAlign val="subscript"/>
        <sz val="11"/>
        <rFont val="Calibri"/>
        <family val="2"/>
        <scheme val="minor"/>
      </rPr>
      <t>Fe</t>
    </r>
    <r>
      <rPr>
        <sz val="11"/>
        <rFont val="Calibri"/>
        <family val="2"/>
        <scheme val="minor"/>
      </rPr>
      <t>)+(X</t>
    </r>
    <r>
      <rPr>
        <vertAlign val="subscript"/>
        <sz val="11"/>
        <rFont val="Calibri"/>
        <family val="2"/>
        <scheme val="minor"/>
      </rPr>
      <t>HFO,H,P</t>
    </r>
    <r>
      <rPr>
        <sz val="11"/>
        <rFont val="Calibri"/>
        <family val="2"/>
        <scheme val="minor"/>
      </rPr>
      <t>+X</t>
    </r>
    <r>
      <rPr>
        <vertAlign val="subscript"/>
        <sz val="11"/>
        <rFont val="Calibri"/>
        <family val="2"/>
        <scheme val="minor"/>
      </rPr>
      <t>HFO,H,P,old</t>
    </r>
    <r>
      <rPr>
        <sz val="11"/>
        <rFont val="Calibri"/>
        <family val="2"/>
        <scheme val="minor"/>
      </rPr>
      <t>)*ASF</t>
    </r>
    <r>
      <rPr>
        <vertAlign val="subscript"/>
        <sz val="11"/>
        <rFont val="Calibri"/>
        <family val="2"/>
        <scheme val="minor"/>
      </rPr>
      <t>HFO,H</t>
    </r>
    <r>
      <rPr>
        <sz val="11"/>
        <rFont val="Calibri"/>
        <family val="2"/>
        <scheme val="minor"/>
      </rPr>
      <t>*(MM</t>
    </r>
    <r>
      <rPr>
        <vertAlign val="subscript"/>
        <sz val="11"/>
        <rFont val="Calibri"/>
        <family val="2"/>
        <scheme val="minor"/>
      </rPr>
      <t>PO4</t>
    </r>
    <r>
      <rPr>
        <sz val="11"/>
        <rFont val="Calibri"/>
        <family val="2"/>
        <scheme val="minor"/>
      </rPr>
      <t>/AM</t>
    </r>
    <r>
      <rPr>
        <vertAlign val="subscript"/>
        <sz val="11"/>
        <rFont val="Calibri"/>
        <family val="2"/>
        <scheme val="minor"/>
      </rPr>
      <t>Fe</t>
    </r>
    <r>
      <rPr>
        <sz val="11"/>
        <rFont val="Calibri"/>
        <family val="2"/>
        <scheme val="minor"/>
      </rPr>
      <t>)</t>
    </r>
  </si>
  <si>
    <r>
      <t>(1-f</t>
    </r>
    <r>
      <rPr>
        <vertAlign val="subscript"/>
        <sz val="11"/>
        <rFont val="Calibri"/>
        <family val="2"/>
        <scheme val="minor"/>
      </rPr>
      <t>H2O,HAO,VSS</t>
    </r>
    <r>
      <rPr>
        <sz val="11"/>
        <rFont val="Calibri"/>
        <family val="2"/>
        <scheme val="minor"/>
      </rPr>
      <t>)*X</t>
    </r>
    <r>
      <rPr>
        <vertAlign val="subscript"/>
        <sz val="11"/>
        <rFont val="Calibri"/>
        <family val="2"/>
        <scheme val="minor"/>
      </rPr>
      <t>HAO</t>
    </r>
    <r>
      <rPr>
        <sz val="11"/>
        <rFont val="Calibri"/>
        <family val="2"/>
        <scheme val="minor"/>
      </rPr>
      <t>*MM</t>
    </r>
    <r>
      <rPr>
        <vertAlign val="subscript"/>
        <sz val="11"/>
        <rFont val="Calibri"/>
        <family val="2"/>
        <scheme val="minor"/>
      </rPr>
      <t>AlOH3</t>
    </r>
    <r>
      <rPr>
        <sz val="11"/>
        <rFont val="Calibri"/>
        <family val="2"/>
        <scheme val="minor"/>
      </rPr>
      <t>/AM</t>
    </r>
    <r>
      <rPr>
        <vertAlign val="subscript"/>
        <sz val="11"/>
        <rFont val="Calibri"/>
        <family val="2"/>
        <scheme val="minor"/>
      </rPr>
      <t>Al</t>
    </r>
    <r>
      <rPr>
        <sz val="11"/>
        <rFont val="Calibri"/>
        <family val="2"/>
        <scheme val="minor"/>
      </rPr>
      <t>+ (X</t>
    </r>
    <r>
      <rPr>
        <vertAlign val="subscript"/>
        <sz val="11"/>
        <rFont val="Calibri"/>
        <family val="2"/>
        <scheme val="minor"/>
      </rPr>
      <t>HAO,L,P</t>
    </r>
    <r>
      <rPr>
        <sz val="11"/>
        <rFont val="Calibri"/>
        <family val="2"/>
        <scheme val="minor"/>
      </rPr>
      <t>+X</t>
    </r>
    <r>
      <rPr>
        <vertAlign val="subscript"/>
        <sz val="11"/>
        <rFont val="Calibri"/>
        <family val="2"/>
        <scheme val="minor"/>
      </rPr>
      <t>HAO,L,P,old</t>
    </r>
    <r>
      <rPr>
        <sz val="11"/>
        <rFont val="Calibri"/>
        <family val="2"/>
        <scheme val="minor"/>
      </rPr>
      <t>)*ASF</t>
    </r>
    <r>
      <rPr>
        <vertAlign val="subscript"/>
        <sz val="11"/>
        <rFont val="Calibri"/>
        <family val="2"/>
        <scheme val="minor"/>
      </rPr>
      <t>HAO,L</t>
    </r>
    <r>
      <rPr>
        <sz val="11"/>
        <rFont val="Calibri"/>
        <family val="2"/>
        <scheme val="minor"/>
      </rPr>
      <t>*(MM</t>
    </r>
    <r>
      <rPr>
        <vertAlign val="subscript"/>
        <sz val="11"/>
        <rFont val="Calibri"/>
        <family val="2"/>
        <scheme val="minor"/>
      </rPr>
      <t>PO4</t>
    </r>
    <r>
      <rPr>
        <sz val="11"/>
        <rFont val="Calibri"/>
        <family val="2"/>
        <scheme val="minor"/>
      </rPr>
      <t>/AM</t>
    </r>
    <r>
      <rPr>
        <vertAlign val="subscript"/>
        <sz val="11"/>
        <rFont val="Calibri"/>
        <family val="2"/>
        <scheme val="minor"/>
      </rPr>
      <t>Al</t>
    </r>
    <r>
      <rPr>
        <sz val="11"/>
        <rFont val="Calibri"/>
        <family val="2"/>
        <scheme val="minor"/>
      </rPr>
      <t>) +(X</t>
    </r>
    <r>
      <rPr>
        <vertAlign val="subscript"/>
        <sz val="11"/>
        <rFont val="Calibri"/>
        <family val="2"/>
        <scheme val="minor"/>
      </rPr>
      <t>HAO,H,P</t>
    </r>
    <r>
      <rPr>
        <sz val="11"/>
        <rFont val="Calibri"/>
        <family val="2"/>
        <scheme val="minor"/>
      </rPr>
      <t>+X</t>
    </r>
    <r>
      <rPr>
        <vertAlign val="subscript"/>
        <sz val="11"/>
        <rFont val="Calibri"/>
        <family val="2"/>
        <scheme val="minor"/>
      </rPr>
      <t>HAO,H,P,old</t>
    </r>
    <r>
      <rPr>
        <sz val="11"/>
        <rFont val="Calibri"/>
        <family val="2"/>
        <scheme val="minor"/>
      </rPr>
      <t>)*ASF</t>
    </r>
    <r>
      <rPr>
        <vertAlign val="subscript"/>
        <sz val="11"/>
        <rFont val="Calibri"/>
        <family val="2"/>
        <scheme val="minor"/>
      </rPr>
      <t>HAO,H</t>
    </r>
    <r>
      <rPr>
        <sz val="11"/>
        <rFont val="Calibri"/>
        <family val="2"/>
        <scheme val="minor"/>
      </rPr>
      <t>*(MM</t>
    </r>
    <r>
      <rPr>
        <vertAlign val="subscript"/>
        <sz val="11"/>
        <rFont val="Calibri"/>
        <family val="2"/>
        <scheme val="minor"/>
      </rPr>
      <t>PO4</t>
    </r>
    <r>
      <rPr>
        <sz val="11"/>
        <rFont val="Calibri"/>
        <family val="2"/>
        <scheme val="minor"/>
      </rPr>
      <t>/AM</t>
    </r>
    <r>
      <rPr>
        <vertAlign val="subscript"/>
        <sz val="11"/>
        <rFont val="Calibri"/>
        <family val="2"/>
        <scheme val="minor"/>
      </rPr>
      <t>Al</t>
    </r>
    <r>
      <rPr>
        <sz val="11"/>
        <rFont val="Calibri"/>
        <family val="2"/>
        <scheme val="minor"/>
      </rPr>
      <t>)</t>
    </r>
  </si>
  <si>
    <r>
      <t>X</t>
    </r>
    <r>
      <rPr>
        <vertAlign val="subscript"/>
        <sz val="11"/>
        <rFont val="Calibri"/>
        <family val="2"/>
        <scheme val="minor"/>
      </rPr>
      <t>HFO,ISS</t>
    </r>
    <r>
      <rPr>
        <sz val="11"/>
        <rFont val="Calibri"/>
        <family val="2"/>
        <scheme val="minor"/>
      </rPr>
      <t xml:space="preserve"> + X</t>
    </r>
    <r>
      <rPr>
        <vertAlign val="subscript"/>
        <sz val="11"/>
        <rFont val="Calibri"/>
        <family val="2"/>
        <scheme val="minor"/>
      </rPr>
      <t>HAO,ISS</t>
    </r>
  </si>
  <si>
    <r>
      <t>X</t>
    </r>
    <r>
      <rPr>
        <vertAlign val="subscript"/>
        <sz val="11"/>
        <rFont val="Calibri"/>
        <family val="2"/>
        <scheme val="minor"/>
      </rPr>
      <t>Me,H2O,VSS</t>
    </r>
  </si>
  <si>
    <t>Water associated with metals measured in VSS Test</t>
  </si>
  <si>
    <r>
      <t>X</t>
    </r>
    <r>
      <rPr>
        <vertAlign val="subscript"/>
        <sz val="11"/>
        <rFont val="Calibri"/>
        <family val="2"/>
        <scheme val="minor"/>
      </rPr>
      <t>Me,H2O,TSS</t>
    </r>
  </si>
  <si>
    <t>Water associated with metals measured in TSS Test</t>
  </si>
  <si>
    <r>
      <t>X</t>
    </r>
    <r>
      <rPr>
        <vertAlign val="subscript"/>
        <sz val="11"/>
        <rFont val="Calibri"/>
        <family val="2"/>
        <scheme val="minor"/>
      </rPr>
      <t>Me,ISS</t>
    </r>
    <r>
      <rPr>
        <sz val="11"/>
        <rFont val="Calibri"/>
        <family val="2"/>
        <scheme val="minor"/>
      </rPr>
      <t xml:space="preserve"> + X</t>
    </r>
    <r>
      <rPr>
        <vertAlign val="subscript"/>
        <sz val="11"/>
        <rFont val="Calibri"/>
        <family val="2"/>
        <scheme val="minor"/>
      </rPr>
      <t>precip</t>
    </r>
    <r>
      <rPr>
        <sz val="11"/>
        <rFont val="Calibri"/>
        <family val="2"/>
        <scheme val="minor"/>
      </rPr>
      <t xml:space="preserve"> + X</t>
    </r>
    <r>
      <rPr>
        <vertAlign val="subscript"/>
        <sz val="11"/>
        <rFont val="Calibri"/>
        <family val="2"/>
        <scheme val="minor"/>
      </rPr>
      <t>INORG</t>
    </r>
    <r>
      <rPr>
        <sz val="11"/>
        <rFont val="Calibri"/>
        <family val="2"/>
        <scheme val="minor"/>
      </rPr>
      <t xml:space="preserve"> + i</t>
    </r>
    <r>
      <rPr>
        <vertAlign val="subscript"/>
        <sz val="11"/>
        <rFont val="Calibri"/>
        <family val="2"/>
        <scheme val="minor"/>
      </rPr>
      <t>TSS,PP</t>
    </r>
    <r>
      <rPr>
        <sz val="11"/>
        <rFont val="Calibri"/>
        <family val="2"/>
        <scheme val="minor"/>
      </rPr>
      <t xml:space="preserve"> * X</t>
    </r>
    <r>
      <rPr>
        <vertAlign val="subscript"/>
        <sz val="11"/>
        <rFont val="Calibri"/>
        <family val="2"/>
        <scheme val="minor"/>
      </rPr>
      <t>PP</t>
    </r>
  </si>
  <si>
    <r>
      <t>X</t>
    </r>
    <r>
      <rPr>
        <vertAlign val="subscript"/>
        <sz val="11"/>
        <rFont val="Calibri"/>
        <family val="2"/>
        <scheme val="minor"/>
      </rPr>
      <t xml:space="preserve">VSS </t>
    </r>
    <r>
      <rPr>
        <sz val="11"/>
        <rFont val="Calibri"/>
        <family val="2"/>
        <scheme val="minor"/>
      </rPr>
      <t>+ X</t>
    </r>
    <r>
      <rPr>
        <vertAlign val="subscript"/>
        <sz val="11"/>
        <rFont val="Calibri"/>
        <family val="2"/>
        <scheme val="minor"/>
      </rPr>
      <t xml:space="preserve">ISS </t>
    </r>
    <r>
      <rPr>
        <sz val="11"/>
        <rFont val="Calibri"/>
        <family val="2"/>
        <scheme val="minor"/>
      </rPr>
      <t>- X</t>
    </r>
    <r>
      <rPr>
        <vertAlign val="subscript"/>
        <sz val="11"/>
        <rFont val="Calibri"/>
        <family val="2"/>
        <scheme val="minor"/>
      </rPr>
      <t>Me,H2O,TSS</t>
    </r>
  </si>
  <si>
    <r>
      <t>f</t>
    </r>
    <r>
      <rPr>
        <vertAlign val="subscript"/>
        <sz val="11"/>
        <rFont val="Calibri"/>
        <family val="2"/>
        <scheme val="minor"/>
      </rPr>
      <t>H2O,HFO,TSS</t>
    </r>
    <r>
      <rPr>
        <sz val="11"/>
        <rFont val="Calibri"/>
        <family val="2"/>
        <scheme val="minor"/>
      </rPr>
      <t>*X</t>
    </r>
    <r>
      <rPr>
        <vertAlign val="subscript"/>
        <sz val="11"/>
        <rFont val="Calibri"/>
        <family val="2"/>
        <scheme val="minor"/>
      </rPr>
      <t>HFO</t>
    </r>
    <r>
      <rPr>
        <sz val="11"/>
        <rFont val="Calibri"/>
        <family val="2"/>
        <scheme val="minor"/>
      </rPr>
      <t>*MM</t>
    </r>
    <r>
      <rPr>
        <vertAlign val="subscript"/>
        <sz val="11"/>
        <rFont val="Calibri"/>
        <family val="2"/>
        <scheme val="minor"/>
      </rPr>
      <t>FeOH3</t>
    </r>
    <r>
      <rPr>
        <sz val="11"/>
        <rFont val="Calibri"/>
        <family val="2"/>
        <scheme val="minor"/>
      </rPr>
      <t>/AM</t>
    </r>
    <r>
      <rPr>
        <vertAlign val="subscript"/>
        <sz val="11"/>
        <rFont val="Calibri"/>
        <family val="2"/>
        <scheme val="minor"/>
      </rPr>
      <t>Fe</t>
    </r>
    <r>
      <rPr>
        <sz val="11"/>
        <rFont val="Calibri"/>
        <family val="2"/>
        <scheme val="minor"/>
      </rPr>
      <t>+f</t>
    </r>
    <r>
      <rPr>
        <vertAlign val="subscript"/>
        <sz val="11"/>
        <rFont val="Calibri"/>
        <family val="2"/>
        <scheme val="minor"/>
      </rPr>
      <t>H2O,HAO,TSS</t>
    </r>
    <r>
      <rPr>
        <sz val="11"/>
        <rFont val="Calibri"/>
        <family val="2"/>
        <scheme val="minor"/>
      </rPr>
      <t>*X</t>
    </r>
    <r>
      <rPr>
        <vertAlign val="subscript"/>
        <sz val="11"/>
        <rFont val="Calibri"/>
        <family val="2"/>
        <scheme val="minor"/>
      </rPr>
      <t>HAO</t>
    </r>
    <r>
      <rPr>
        <sz val="11"/>
        <rFont val="Calibri"/>
        <family val="2"/>
        <scheme val="minor"/>
      </rPr>
      <t>*MM</t>
    </r>
    <r>
      <rPr>
        <vertAlign val="subscript"/>
        <sz val="11"/>
        <rFont val="Calibri"/>
        <family val="2"/>
        <scheme val="minor"/>
      </rPr>
      <t>AlOH3</t>
    </r>
    <r>
      <rPr>
        <sz val="11"/>
        <rFont val="Calibri"/>
        <family val="2"/>
        <scheme val="minor"/>
      </rPr>
      <t>/AM</t>
    </r>
    <r>
      <rPr>
        <vertAlign val="subscript"/>
        <sz val="11"/>
        <rFont val="Calibri"/>
        <family val="2"/>
        <scheme val="minor"/>
      </rPr>
      <t>Al</t>
    </r>
  </si>
  <si>
    <r>
      <t>(f</t>
    </r>
    <r>
      <rPr>
        <vertAlign val="subscript"/>
        <sz val="11"/>
        <rFont val="Calibri"/>
        <family val="2"/>
        <scheme val="minor"/>
      </rPr>
      <t>H2O,HFO,VSS</t>
    </r>
    <r>
      <rPr>
        <sz val="11"/>
        <rFont val="Calibri"/>
        <family val="2"/>
        <scheme val="minor"/>
      </rPr>
      <t>-f</t>
    </r>
    <r>
      <rPr>
        <vertAlign val="subscript"/>
        <sz val="11"/>
        <rFont val="Calibri"/>
        <family val="2"/>
        <scheme val="minor"/>
      </rPr>
      <t>H2O,HFO,TSS</t>
    </r>
    <r>
      <rPr>
        <sz val="11"/>
        <rFont val="Calibri"/>
        <family val="2"/>
        <scheme val="minor"/>
      </rPr>
      <t>)*X</t>
    </r>
    <r>
      <rPr>
        <vertAlign val="subscript"/>
        <sz val="11"/>
        <rFont val="Calibri"/>
        <family val="2"/>
        <scheme val="minor"/>
      </rPr>
      <t>HFO</t>
    </r>
    <r>
      <rPr>
        <sz val="11"/>
        <rFont val="Calibri"/>
        <family val="2"/>
        <scheme val="minor"/>
      </rPr>
      <t>*MM</t>
    </r>
    <r>
      <rPr>
        <vertAlign val="subscript"/>
        <sz val="11"/>
        <rFont val="Calibri"/>
        <family val="2"/>
        <scheme val="minor"/>
      </rPr>
      <t>FeOH3</t>
    </r>
    <r>
      <rPr>
        <sz val="11"/>
        <rFont val="Calibri"/>
        <family val="2"/>
        <scheme val="minor"/>
      </rPr>
      <t>/AM</t>
    </r>
    <r>
      <rPr>
        <vertAlign val="subscript"/>
        <sz val="11"/>
        <rFont val="Calibri"/>
        <family val="2"/>
        <scheme val="minor"/>
      </rPr>
      <t>Fe</t>
    </r>
    <r>
      <rPr>
        <sz val="11"/>
        <rFont val="Calibri"/>
        <family val="2"/>
        <scheme val="minor"/>
      </rPr>
      <t>+(f</t>
    </r>
    <r>
      <rPr>
        <vertAlign val="subscript"/>
        <sz val="11"/>
        <rFont val="Calibri"/>
        <family val="2"/>
        <scheme val="minor"/>
      </rPr>
      <t>H2O,HAO,VSS</t>
    </r>
    <r>
      <rPr>
        <sz val="11"/>
        <rFont val="Calibri"/>
        <family val="2"/>
        <scheme val="minor"/>
      </rPr>
      <t>-f</t>
    </r>
    <r>
      <rPr>
        <vertAlign val="subscript"/>
        <sz val="11"/>
        <rFont val="Calibri"/>
        <family val="2"/>
        <scheme val="minor"/>
      </rPr>
      <t>H2O,HAO,TSS</t>
    </r>
    <r>
      <rPr>
        <sz val="11"/>
        <rFont val="Calibri"/>
        <family val="2"/>
        <scheme val="minor"/>
      </rPr>
      <t>)*X</t>
    </r>
    <r>
      <rPr>
        <vertAlign val="subscript"/>
        <sz val="11"/>
        <rFont val="Calibri"/>
        <family val="2"/>
        <scheme val="minor"/>
      </rPr>
      <t>HAO</t>
    </r>
    <r>
      <rPr>
        <sz val="11"/>
        <rFont val="Calibri"/>
        <family val="2"/>
        <scheme val="minor"/>
      </rPr>
      <t>*MM</t>
    </r>
    <r>
      <rPr>
        <vertAlign val="subscript"/>
        <sz val="11"/>
        <rFont val="Calibri"/>
        <family val="2"/>
        <scheme val="minor"/>
      </rPr>
      <t>AlOH3</t>
    </r>
    <r>
      <rPr>
        <sz val="11"/>
        <rFont val="Calibri"/>
        <family val="2"/>
        <scheme val="minor"/>
      </rPr>
      <t>/AM</t>
    </r>
    <r>
      <rPr>
        <vertAlign val="subscript"/>
        <sz val="11"/>
        <rFont val="Calibri"/>
        <family val="2"/>
        <scheme val="minor"/>
      </rPr>
      <t>Al</t>
    </r>
  </si>
  <si>
    <t>Non-pH; Sidestream</t>
  </si>
  <si>
    <t>Non-pH; Non-Digester; Non-Sidestream</t>
  </si>
  <si>
    <r>
      <t>g COD.g COD</t>
    </r>
    <r>
      <rPr>
        <vertAlign val="superscript"/>
        <sz val="11"/>
        <rFont val="Calibri"/>
        <family val="2"/>
        <charset val="238"/>
        <scheme val="minor"/>
      </rPr>
      <t>-1</t>
    </r>
  </si>
  <si>
    <r>
      <t>g COD.g N</t>
    </r>
    <r>
      <rPr>
        <vertAlign val="superscript"/>
        <sz val="11"/>
        <rFont val="Calibri"/>
        <family val="2"/>
        <scheme val="minor"/>
      </rPr>
      <t>-1</t>
    </r>
  </si>
  <si>
    <r>
      <t>g COD.g P</t>
    </r>
    <r>
      <rPr>
        <vertAlign val="superscript"/>
        <sz val="11"/>
        <rFont val="Calibri"/>
        <family val="2"/>
        <charset val="238"/>
        <scheme val="minor"/>
      </rPr>
      <t>-1</t>
    </r>
  </si>
  <si>
    <r>
      <t>g P.g COD</t>
    </r>
    <r>
      <rPr>
        <vertAlign val="superscript"/>
        <sz val="11"/>
        <rFont val="Calibri"/>
        <family val="2"/>
        <charset val="238"/>
        <scheme val="minor"/>
      </rPr>
      <t>-1</t>
    </r>
  </si>
  <si>
    <r>
      <t>g TSS.g P</t>
    </r>
    <r>
      <rPr>
        <vertAlign val="superscript"/>
        <sz val="11"/>
        <rFont val="Calibri"/>
        <family val="2"/>
        <charset val="238"/>
        <scheme val="minor"/>
      </rPr>
      <t>-1</t>
    </r>
  </si>
  <si>
    <t>Primary effluent</t>
  </si>
  <si>
    <r>
      <t>q</t>
    </r>
    <r>
      <rPr>
        <vertAlign val="subscript"/>
        <sz val="11"/>
        <color indexed="8"/>
        <rFont val="Calibri"/>
        <family val="2"/>
        <scheme val="minor"/>
      </rPr>
      <t>XU</t>
    </r>
  </si>
  <si>
    <t>Rate of particulate unbiodegradable organics conversion</t>
  </si>
  <si>
    <r>
      <t>θ</t>
    </r>
    <r>
      <rPr>
        <vertAlign val="subscript"/>
        <sz val="11"/>
        <color indexed="8"/>
        <rFont val="Calibri"/>
        <family val="2"/>
        <scheme val="minor"/>
      </rPr>
      <t>q,XU</t>
    </r>
  </si>
  <si>
    <t>Arrhenius particulate unbiodegradable organics conversion</t>
  </si>
  <si>
    <r>
      <t>q</t>
    </r>
    <r>
      <rPr>
        <vertAlign val="subscript"/>
        <sz val="11"/>
        <color indexed="8"/>
        <rFont val="Calibri"/>
        <family val="2"/>
        <scheme val="minor"/>
      </rPr>
      <t>XU,T</t>
    </r>
  </si>
  <si>
    <t>Rate of particulate unbiodegradable organics conversion (temperature corrected)</t>
  </si>
  <si>
    <r>
      <t>q</t>
    </r>
    <r>
      <rPr>
        <vertAlign val="subscript"/>
        <sz val="11"/>
        <color indexed="8"/>
        <rFont val="Calibri"/>
        <family val="2"/>
        <scheme val="minor"/>
      </rPr>
      <t>XU</t>
    </r>
    <r>
      <rPr>
        <sz val="11"/>
        <color indexed="8"/>
        <rFont val="Calibri"/>
        <family val="2"/>
        <scheme val="minor"/>
      </rPr>
      <t>*Arrh(θ</t>
    </r>
    <r>
      <rPr>
        <vertAlign val="subscript"/>
        <sz val="11"/>
        <color indexed="8"/>
        <rFont val="Calibri"/>
        <family val="2"/>
        <scheme val="minor"/>
      </rPr>
      <t>q,XU</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</si>
  <si>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t>r84</t>
  </si>
  <si>
    <r>
      <t>-X</t>
    </r>
    <r>
      <rPr>
        <vertAlign val="subscript"/>
        <sz val="11"/>
        <rFont val="Calibri"/>
        <family val="2"/>
      </rPr>
      <t>N,U</t>
    </r>
    <r>
      <rPr>
        <sz val="11"/>
        <rFont val="Calibri"/>
        <family val="2"/>
      </rPr>
      <t>/X</t>
    </r>
    <r>
      <rPr>
        <vertAlign val="subscript"/>
        <sz val="11"/>
        <rFont val="Calibri"/>
        <family val="2"/>
      </rPr>
      <t>U</t>
    </r>
  </si>
  <si>
    <r>
      <t>X</t>
    </r>
    <r>
      <rPr>
        <vertAlign val="subscript"/>
        <sz val="11"/>
        <rFont val="Calibri"/>
        <family val="2"/>
      </rPr>
      <t>N,U</t>
    </r>
    <r>
      <rPr>
        <sz val="11"/>
        <rFont val="Calibri"/>
        <family val="2"/>
      </rPr>
      <t>/X</t>
    </r>
    <r>
      <rPr>
        <vertAlign val="subscript"/>
        <sz val="11"/>
        <rFont val="Calibri"/>
        <family val="2"/>
      </rPr>
      <t>U</t>
    </r>
  </si>
  <si>
    <r>
      <t>X</t>
    </r>
    <r>
      <rPr>
        <vertAlign val="subscript"/>
        <sz val="11"/>
        <rFont val="Calibri"/>
        <family val="2"/>
      </rPr>
      <t>P,U</t>
    </r>
    <r>
      <rPr>
        <sz val="11"/>
        <rFont val="Calibri"/>
        <family val="2"/>
      </rPr>
      <t>/X</t>
    </r>
    <r>
      <rPr>
        <vertAlign val="subscript"/>
        <sz val="11"/>
        <rFont val="Calibri"/>
        <family val="2"/>
      </rPr>
      <t>U</t>
    </r>
  </si>
  <si>
    <r>
      <t>-X</t>
    </r>
    <r>
      <rPr>
        <vertAlign val="subscript"/>
        <sz val="11"/>
        <rFont val="Calibri"/>
        <family val="2"/>
      </rPr>
      <t>P,U</t>
    </r>
    <r>
      <rPr>
        <sz val="11"/>
        <rFont val="Calibri"/>
        <family val="2"/>
      </rPr>
      <t>/X</t>
    </r>
    <r>
      <rPr>
        <vertAlign val="subscript"/>
        <sz val="11"/>
        <rFont val="Calibri"/>
        <family val="2"/>
      </rPr>
      <t>U</t>
    </r>
  </si>
  <si>
    <r>
      <t>K</t>
    </r>
    <r>
      <rPr>
        <vertAlign val="subscript"/>
        <sz val="11"/>
        <color indexed="8"/>
        <rFont val="Calibri"/>
        <family val="2"/>
        <scheme val="minor"/>
      </rPr>
      <t>XU</t>
    </r>
  </si>
  <si>
    <r>
      <t>q</t>
    </r>
    <r>
      <rPr>
        <vertAlign val="subscript"/>
        <sz val="11"/>
        <rFont val="Calibri"/>
        <family val="2"/>
      </rPr>
      <t>XU,T</t>
    </r>
    <r>
      <rPr>
        <sz val="11"/>
        <rFont val="Calibri"/>
        <family val="2"/>
      </rPr>
      <t>*X</t>
    </r>
    <r>
      <rPr>
        <vertAlign val="subscript"/>
        <sz val="11"/>
        <rFont val="Calibri"/>
        <family val="2"/>
      </rPr>
      <t>U</t>
    </r>
    <r>
      <rPr>
        <sz val="11"/>
        <rFont val="Calibri"/>
        <family val="2"/>
      </rPr>
      <t>*Msat</t>
    </r>
    <r>
      <rPr>
        <vertAlign val="subscript"/>
        <sz val="11"/>
        <rFont val="Calibri"/>
        <family val="2"/>
      </rPr>
      <t>XU,KXU</t>
    </r>
  </si>
  <si>
    <r>
      <t>Msat</t>
    </r>
    <r>
      <rPr>
        <vertAlign val="subscript"/>
        <sz val="11"/>
        <rFont val="Calibri"/>
        <family val="2"/>
      </rPr>
      <t>XU,KXU</t>
    </r>
  </si>
  <si>
    <t>Saturation term for XU</t>
  </si>
  <si>
    <r>
      <t>Msat(X</t>
    </r>
    <r>
      <rPr>
        <vertAlign val="subscript"/>
        <sz val="11"/>
        <rFont val="Calibri"/>
        <family val="2"/>
      </rPr>
      <t>U</t>
    </r>
    <r>
      <rPr>
        <sz val="11"/>
        <rFont val="Calibri"/>
        <family val="2"/>
      </rPr>
      <t>;K</t>
    </r>
    <r>
      <rPr>
        <vertAlign val="subscript"/>
        <sz val="11"/>
        <rFont val="Calibri"/>
        <family val="2"/>
      </rPr>
      <t>XU</t>
    </r>
    <r>
      <rPr>
        <sz val="11"/>
        <rFont val="Calibri"/>
        <family val="2"/>
      </rPr>
      <t>)</t>
    </r>
  </si>
  <si>
    <t>Aged P-bound hydrous ferric oxide, high surface (HFO,H,P,old)</t>
  </si>
  <si>
    <t>Aged P-bound hydrous ferric oxide, low surface (HFO,L,P,old)</t>
  </si>
  <si>
    <t>Conversion factor of TCOD into total organic carbon at effluent</t>
  </si>
  <si>
    <t>Conversion constant of TCOD into total organic carbon at effluent</t>
  </si>
  <si>
    <t>Saturation term for PHA storage (PAO)</t>
  </si>
  <si>
    <t>Inhibition term for PHA storage (PAO)</t>
  </si>
  <si>
    <t>Inhibition term for PP storage compound (PAO)</t>
  </si>
  <si>
    <t>Saturation term for PP storage (PAO)</t>
  </si>
  <si>
    <t>Kinetic rate of ORP lag for CASTO activity switches</t>
  </si>
  <si>
    <t>Offset of ORP lag for CASTO activity switches</t>
  </si>
  <si>
    <t>Inhibition term for VFAs in fermentation</t>
  </si>
  <si>
    <t>Half-saturation of particulate unbiodegradable organics</t>
  </si>
  <si>
    <r>
      <t>k</t>
    </r>
    <r>
      <rPr>
        <vertAlign val="subscript"/>
        <sz val="11"/>
        <rFont val="Calibri"/>
        <family val="2"/>
      </rPr>
      <t>L,GO2,PondSurface</t>
    </r>
  </si>
  <si>
    <r>
      <t>Liquid-side mass transfer coefficient of O</t>
    </r>
    <r>
      <rPr>
        <vertAlign val="subscript"/>
        <sz val="11"/>
        <color rgb="FF000000"/>
        <rFont val="Calibri"/>
        <family val="2"/>
        <scheme val="minor"/>
      </rPr>
      <t>2</t>
    </r>
    <r>
      <rPr>
        <sz val="11"/>
        <rFont val="Calibri"/>
        <family val="2"/>
        <scheme val="minor"/>
      </rPr>
      <t xml:space="preserve"> at liquid surface of a pond</t>
    </r>
  </si>
  <si>
    <r>
      <t>X</t>
    </r>
    <r>
      <rPr>
        <b/>
        <vertAlign val="subscript"/>
        <sz val="11"/>
        <rFont val="Calibri"/>
        <family val="2"/>
        <charset val="238"/>
        <scheme val="minor"/>
      </rPr>
      <t>ALGAE</t>
    </r>
  </si>
  <si>
    <t>Photosynthetic organisms (ALGAE)</t>
  </si>
  <si>
    <r>
      <t>X</t>
    </r>
    <r>
      <rPr>
        <b/>
        <vertAlign val="subscript"/>
        <sz val="11"/>
        <rFont val="Calibri"/>
        <family val="2"/>
        <scheme val="minor"/>
      </rPr>
      <t>ALGAE</t>
    </r>
  </si>
  <si>
    <t>ALGAE growth on Nitrate</t>
  </si>
  <si>
    <r>
      <t>-i</t>
    </r>
    <r>
      <rPr>
        <vertAlign val="subscript"/>
        <sz val="11"/>
        <color indexed="8"/>
        <rFont val="Calibri"/>
        <family val="2"/>
      </rPr>
      <t>N,ALGAE</t>
    </r>
  </si>
  <si>
    <r>
      <t>-i</t>
    </r>
    <r>
      <rPr>
        <vertAlign val="subscript"/>
        <sz val="11"/>
        <color indexed="8"/>
        <rFont val="Calibri"/>
        <family val="2"/>
      </rPr>
      <t>P,ALGAE</t>
    </r>
  </si>
  <si>
    <r>
      <t>1 + i</t>
    </r>
    <r>
      <rPr>
        <vertAlign val="subscript"/>
        <sz val="11"/>
        <color rgb="FF000000"/>
        <rFont val="Calibri"/>
        <family val="2"/>
      </rPr>
      <t>N,ALGAE</t>
    </r>
    <r>
      <rPr>
        <sz val="11"/>
        <color indexed="8"/>
        <rFont val="Calibri"/>
        <family val="2"/>
      </rPr>
      <t>*EEQ</t>
    </r>
    <r>
      <rPr>
        <vertAlign val="subscript"/>
        <sz val="11"/>
        <color rgb="FF000000"/>
        <rFont val="Calibri"/>
        <family val="2"/>
      </rPr>
      <t>NO3</t>
    </r>
  </si>
  <si>
    <r>
      <t>-i</t>
    </r>
    <r>
      <rPr>
        <vertAlign val="subscript"/>
        <sz val="11"/>
        <rFont val="Calibri"/>
        <family val="2"/>
        <scheme val="minor"/>
      </rPr>
      <t>CIT,ALGAE</t>
    </r>
  </si>
  <si>
    <t>ALGAE growth on Ammonia</t>
  </si>
  <si>
    <t>ALGAE respiration</t>
  </si>
  <si>
    <r>
      <t>i</t>
    </r>
    <r>
      <rPr>
        <vertAlign val="subscript"/>
        <sz val="11"/>
        <rFont val="Calibri"/>
        <family val="2"/>
        <scheme val="minor"/>
      </rPr>
      <t>CIT,ALGAE</t>
    </r>
  </si>
  <si>
    <t>Inorganic carbon content of algae</t>
  </si>
  <si>
    <t>g TIC.g COD-1</t>
  </si>
  <si>
    <t>C5H7O2N: 32 g COD/mol C</t>
  </si>
  <si>
    <r>
      <t>i</t>
    </r>
    <r>
      <rPr>
        <vertAlign val="subscript"/>
        <sz val="11"/>
        <rFont val="Calibri"/>
        <family val="2"/>
        <scheme val="minor"/>
      </rPr>
      <t>N,ALGAE</t>
    </r>
  </si>
  <si>
    <t>N content of algae</t>
  </si>
  <si>
    <t>g N.g COD-1</t>
  </si>
  <si>
    <r>
      <t>i</t>
    </r>
    <r>
      <rPr>
        <vertAlign val="subscript"/>
        <sz val="11"/>
        <rFont val="Calibri"/>
        <family val="2"/>
        <scheme val="minor"/>
      </rPr>
      <t>P,ALGAE</t>
    </r>
  </si>
  <si>
    <t>P content of algae</t>
  </si>
  <si>
    <t>g P.g COD-1</t>
  </si>
  <si>
    <t>Maximum specific growth rate of ALGAE</t>
  </si>
  <si>
    <r>
      <t>b</t>
    </r>
    <r>
      <rPr>
        <vertAlign val="subscript"/>
        <sz val="11"/>
        <color indexed="8"/>
        <rFont val="Calibri"/>
        <family val="2"/>
        <scheme val="minor"/>
      </rPr>
      <t>ALGAE</t>
    </r>
  </si>
  <si>
    <t>Decay rate of ALGAE</t>
  </si>
  <si>
    <t>Pond calculated variables</t>
  </si>
  <si>
    <r>
      <t>µ</t>
    </r>
    <r>
      <rPr>
        <vertAlign val="subscript"/>
        <sz val="11"/>
        <color indexed="8"/>
        <rFont val="Calibri"/>
        <family val="2"/>
      </rPr>
      <t>ALGAE,T</t>
    </r>
  </si>
  <si>
    <t>Maximum specific growth rate of ALGAE (temperature corrected)</t>
  </si>
  <si>
    <r>
      <t>d</t>
    </r>
    <r>
      <rPr>
        <vertAlign val="superscript"/>
        <sz val="11"/>
        <color indexed="8"/>
        <rFont val="Calibri"/>
        <family val="2"/>
      </rPr>
      <t>-1</t>
    </r>
  </si>
  <si>
    <r>
      <t>b</t>
    </r>
    <r>
      <rPr>
        <vertAlign val="subscript"/>
        <sz val="11"/>
        <color indexed="8"/>
        <rFont val="Calibri"/>
        <family val="2"/>
      </rPr>
      <t>ALGAE,T</t>
    </r>
  </si>
  <si>
    <t>Respiration rate of ALGAE (temperature corrected)</t>
  </si>
  <si>
    <t>GenThreePondModel</t>
  </si>
  <si>
    <t>ALGAE decay</t>
  </si>
  <si>
    <r>
      <t>X</t>
    </r>
    <r>
      <rPr>
        <vertAlign val="subscript"/>
        <sz val="11"/>
        <rFont val="Calibri"/>
        <family val="2"/>
        <scheme val="minor"/>
      </rPr>
      <t>OHO</t>
    </r>
    <r>
      <rPr>
        <sz val="11"/>
        <rFont val="Calibri"/>
        <family val="2"/>
        <scheme val="minor"/>
      </rPr>
      <t xml:space="preserve"> + X</t>
    </r>
    <r>
      <rPr>
        <vertAlign val="subscript"/>
        <sz val="11"/>
        <rFont val="Calibri"/>
        <family val="2"/>
        <scheme val="minor"/>
      </rPr>
      <t>CASTO</t>
    </r>
    <r>
      <rPr>
        <sz val="11"/>
        <rFont val="Calibri"/>
        <family val="2"/>
        <scheme val="minor"/>
      </rPr>
      <t xml:space="preserve"> + X</t>
    </r>
    <r>
      <rPr>
        <vertAlign val="subscript"/>
        <sz val="11"/>
        <rFont val="Calibri"/>
        <family val="2"/>
        <scheme val="minor"/>
      </rPr>
      <t>MEOLO</t>
    </r>
    <r>
      <rPr>
        <sz val="11"/>
        <rFont val="Calibri"/>
        <family val="2"/>
        <scheme val="minor"/>
      </rPr>
      <t xml:space="preserve"> + X</t>
    </r>
    <r>
      <rPr>
        <vertAlign val="subscript"/>
        <sz val="11"/>
        <rFont val="Calibri"/>
        <family val="2"/>
        <scheme val="minor"/>
      </rPr>
      <t>NITO</t>
    </r>
    <r>
      <rPr>
        <sz val="11"/>
        <rFont val="Calibri"/>
        <family val="2"/>
        <scheme val="minor"/>
      </rPr>
      <t xml:space="preserve"> + X</t>
    </r>
    <r>
      <rPr>
        <vertAlign val="subscript"/>
        <sz val="11"/>
        <rFont val="Calibri"/>
        <family val="2"/>
        <scheme val="minor"/>
      </rPr>
      <t>AMETO</t>
    </r>
    <r>
      <rPr>
        <sz val="11"/>
        <rFont val="Calibri"/>
        <family val="2"/>
        <scheme val="minor"/>
      </rPr>
      <t xml:space="preserve"> + X</t>
    </r>
    <r>
      <rPr>
        <vertAlign val="subscript"/>
        <sz val="11"/>
        <rFont val="Calibri"/>
        <family val="2"/>
        <scheme val="minor"/>
      </rPr>
      <t>HMETO</t>
    </r>
    <r>
      <rPr>
        <sz val="11"/>
        <rFont val="Calibri"/>
        <family val="2"/>
        <scheme val="minor"/>
      </rPr>
      <t xml:space="preserve"> + X</t>
    </r>
    <r>
      <rPr>
        <vertAlign val="subscript"/>
        <sz val="11"/>
        <rFont val="Calibri"/>
        <family val="2"/>
        <scheme val="minor"/>
      </rPr>
      <t>ALGAE</t>
    </r>
  </si>
  <si>
    <t>Photosynthetic organisms kinetics (ALGAE)</t>
  </si>
  <si>
    <r>
      <t>µ</t>
    </r>
    <r>
      <rPr>
        <vertAlign val="subscript"/>
        <sz val="11"/>
        <color rgb="FF000000"/>
        <rFont val="Calibri"/>
        <family val="2"/>
        <scheme val="minor"/>
      </rPr>
      <t>ALGAE</t>
    </r>
  </si>
  <si>
    <r>
      <t>i</t>
    </r>
    <r>
      <rPr>
        <vertAlign val="subscript"/>
        <sz val="11"/>
        <rFont val="Calibri"/>
        <family val="2"/>
      </rPr>
      <t>N,ALGAE</t>
    </r>
  </si>
  <si>
    <r>
      <t>i</t>
    </r>
    <r>
      <rPr>
        <vertAlign val="subscript"/>
        <sz val="11"/>
        <rFont val="Calibri"/>
        <family val="2"/>
      </rPr>
      <t>P,ALGAE</t>
    </r>
  </si>
  <si>
    <r>
      <t>i</t>
    </r>
    <r>
      <rPr>
        <vertAlign val="subscript"/>
        <sz val="11"/>
        <color indexed="8"/>
        <rFont val="Calibri"/>
        <family val="2"/>
      </rPr>
      <t>N,ALGAE</t>
    </r>
  </si>
  <si>
    <r>
      <t>i</t>
    </r>
    <r>
      <rPr>
        <vertAlign val="subscript"/>
        <sz val="11"/>
        <color indexed="8"/>
        <rFont val="Calibri"/>
        <family val="2"/>
      </rPr>
      <t>P,ALGAE</t>
    </r>
  </si>
  <si>
    <t>Environmental Variables</t>
  </si>
  <si>
    <t>Solar Irradiation</t>
  </si>
  <si>
    <t>W.m-2</t>
  </si>
  <si>
    <t>Optimal irradiation for photosynthesis</t>
  </si>
  <si>
    <t>TSS concentration for calculating light extinction switching factor</t>
  </si>
  <si>
    <t>g.m-3</t>
  </si>
  <si>
    <t>LightSwitch</t>
  </si>
  <si>
    <t>Light switch to account for solar irradiation and TSS shading</t>
  </si>
  <si>
    <r>
      <t>b</t>
    </r>
    <r>
      <rPr>
        <vertAlign val="subscript"/>
        <sz val="11"/>
        <color rgb="FF000000"/>
        <rFont val="Calibri"/>
        <family val="2"/>
      </rPr>
      <t xml:space="preserve">ALGAE,T </t>
    </r>
    <r>
      <rPr>
        <sz val="11"/>
        <color indexed="8"/>
        <rFont val="Calibri"/>
        <family val="2"/>
      </rPr>
      <t>* X</t>
    </r>
    <r>
      <rPr>
        <vertAlign val="subscript"/>
        <sz val="11"/>
        <color rgb="FF000000"/>
        <rFont val="Calibri"/>
        <family val="2"/>
      </rPr>
      <t>ALGAE</t>
    </r>
    <r>
      <rPr>
        <sz val="11"/>
        <color indexed="8"/>
        <rFont val="Calibri"/>
        <family val="2"/>
      </rPr>
      <t xml:space="preserve"> * Msat</t>
    </r>
    <r>
      <rPr>
        <vertAlign val="subscript"/>
        <sz val="11"/>
        <color rgb="FF000000"/>
        <rFont val="Calibri"/>
        <family val="2"/>
      </rPr>
      <t>SO2,KO2,ALGAE</t>
    </r>
  </si>
  <si>
    <r>
      <t>b</t>
    </r>
    <r>
      <rPr>
        <vertAlign val="subscript"/>
        <sz val="11"/>
        <color rgb="FF000000"/>
        <rFont val="Calibri"/>
        <family val="2"/>
      </rPr>
      <t xml:space="preserve">ALGAE,T </t>
    </r>
    <r>
      <rPr>
        <sz val="11"/>
        <color indexed="8"/>
        <rFont val="Calibri"/>
        <family val="2"/>
      </rPr>
      <t>* X</t>
    </r>
    <r>
      <rPr>
        <vertAlign val="subscript"/>
        <sz val="11"/>
        <color rgb="FF000000"/>
        <rFont val="Calibri"/>
        <family val="2"/>
      </rPr>
      <t>ALGAE</t>
    </r>
    <r>
      <rPr>
        <sz val="11"/>
        <color indexed="8"/>
        <rFont val="Calibri"/>
        <family val="2"/>
      </rPr>
      <t xml:space="preserve"> * Minh</t>
    </r>
    <r>
      <rPr>
        <vertAlign val="subscript"/>
        <sz val="11"/>
        <color rgb="FF000000"/>
        <rFont val="Calibri"/>
        <family val="2"/>
      </rPr>
      <t>SO2,KO2,ALGAE</t>
    </r>
  </si>
  <si>
    <r>
      <t>µ</t>
    </r>
    <r>
      <rPr>
        <vertAlign val="subscript"/>
        <sz val="11"/>
        <rFont val="Calibri"/>
        <family val="2"/>
      </rPr>
      <t>ALGAE,T</t>
    </r>
    <r>
      <rPr>
        <sz val="11"/>
        <rFont val="Calibri"/>
        <family val="2"/>
      </rPr>
      <t xml:space="preserve"> * X</t>
    </r>
    <r>
      <rPr>
        <vertAlign val="subscript"/>
        <sz val="11"/>
        <rFont val="Calibri"/>
        <family val="2"/>
      </rPr>
      <t>ALGAE</t>
    </r>
    <r>
      <rPr>
        <sz val="11"/>
        <rFont val="Calibri"/>
        <family val="2"/>
      </rPr>
      <t xml:space="preserve"> * Msat</t>
    </r>
    <r>
      <rPr>
        <vertAlign val="subscript"/>
        <sz val="11"/>
        <rFont val="Calibri"/>
        <family val="2"/>
      </rPr>
      <t xml:space="preserve">SPO4,KPO4,BIO </t>
    </r>
    <r>
      <rPr>
        <sz val="11"/>
        <rFont val="Calibri"/>
        <family val="2"/>
      </rPr>
      <t>* Msat</t>
    </r>
    <r>
      <rPr>
        <vertAlign val="subscript"/>
        <sz val="11"/>
        <rFont val="Calibri"/>
        <family val="2"/>
      </rPr>
      <t>SCO2,KCO2,ALGAE</t>
    </r>
    <r>
      <rPr>
        <sz val="11"/>
        <rFont val="Calibri"/>
        <family val="2"/>
      </rPr>
      <t xml:space="preserve"> * LightSwitch * Msat</t>
    </r>
    <r>
      <rPr>
        <vertAlign val="subscript"/>
        <sz val="11"/>
        <rFont val="Calibri"/>
        <family val="2"/>
      </rPr>
      <t>SNOx,KNOx,ALGAE</t>
    </r>
    <r>
      <rPr>
        <sz val="11"/>
        <rFont val="Calibri"/>
        <family val="2"/>
      </rPr>
      <t xml:space="preserve">  * Minh</t>
    </r>
    <r>
      <rPr>
        <vertAlign val="subscript"/>
        <sz val="11"/>
        <rFont val="Calibri"/>
        <family val="2"/>
      </rPr>
      <t>SNHx,KiNHx,ALGAE</t>
    </r>
  </si>
  <si>
    <r>
      <t>Half-saturation of CO</t>
    </r>
    <r>
      <rPr>
        <vertAlign val="subscript"/>
        <sz val="11"/>
        <color rgb="FF000000"/>
        <rFont val="Calibri"/>
        <family val="2"/>
        <scheme val="minor"/>
      </rPr>
      <t>2</t>
    </r>
    <r>
      <rPr>
        <sz val="11"/>
        <color indexed="8"/>
        <rFont val="Calibri"/>
        <family val="2"/>
        <scheme val="minor"/>
      </rPr>
      <t xml:space="preserve"> for ALGAE</t>
    </r>
  </si>
  <si>
    <r>
      <t>Half-saturation of NO</t>
    </r>
    <r>
      <rPr>
        <vertAlign val="subscript"/>
        <sz val="11"/>
        <color rgb="FF000000"/>
        <rFont val="Calibri"/>
        <family val="2"/>
        <scheme val="minor"/>
      </rPr>
      <t>x</t>
    </r>
    <r>
      <rPr>
        <sz val="11"/>
        <color indexed="8"/>
        <rFont val="Calibri"/>
        <family val="2"/>
        <scheme val="minor"/>
      </rPr>
      <t xml:space="preserve"> for ALGAE</t>
    </r>
  </si>
  <si>
    <r>
      <t>K</t>
    </r>
    <r>
      <rPr>
        <vertAlign val="subscript"/>
        <sz val="11"/>
        <color rgb="FF000000"/>
        <rFont val="Calibri"/>
        <family val="2"/>
        <scheme val="minor"/>
      </rPr>
      <t>CO2,ALGAE</t>
    </r>
  </si>
  <si>
    <r>
      <t>K</t>
    </r>
    <r>
      <rPr>
        <vertAlign val="subscript"/>
        <sz val="11"/>
        <color rgb="FF000000"/>
        <rFont val="Calibri"/>
        <family val="2"/>
        <scheme val="minor"/>
      </rPr>
      <t>NOx,ALGAE</t>
    </r>
  </si>
  <si>
    <r>
      <t>K</t>
    </r>
    <r>
      <rPr>
        <vertAlign val="subscript"/>
        <sz val="11"/>
        <color rgb="FF000000"/>
        <rFont val="Calibri"/>
        <family val="2"/>
        <scheme val="minor"/>
      </rPr>
      <t>O2,ALGAE</t>
    </r>
  </si>
  <si>
    <r>
      <t>Half-saturation of O</t>
    </r>
    <r>
      <rPr>
        <vertAlign val="subscript"/>
        <sz val="11"/>
        <color rgb="FF000000"/>
        <rFont val="Calibri"/>
        <family val="2"/>
        <scheme val="minor"/>
      </rPr>
      <t>2</t>
    </r>
    <r>
      <rPr>
        <sz val="11"/>
        <color indexed="8"/>
        <rFont val="Calibri"/>
        <family val="2"/>
        <scheme val="minor"/>
      </rPr>
      <t xml:space="preserve"> for ALGAE</t>
    </r>
  </si>
  <si>
    <r>
      <t>Half-inhibition of NH</t>
    </r>
    <r>
      <rPr>
        <vertAlign val="subscript"/>
        <sz val="11"/>
        <color rgb="FF000000"/>
        <rFont val="Calibri"/>
        <family val="2"/>
        <scheme val="minor"/>
      </rPr>
      <t>x</t>
    </r>
    <r>
      <rPr>
        <sz val="11"/>
        <color indexed="8"/>
        <rFont val="Calibri"/>
        <family val="2"/>
        <scheme val="minor"/>
      </rPr>
      <t xml:space="preserve"> for ALGAE</t>
    </r>
  </si>
  <si>
    <r>
      <t>K</t>
    </r>
    <r>
      <rPr>
        <sz val="11"/>
        <color rgb="FF000000"/>
        <rFont val="Calibri"/>
        <family val="2"/>
        <scheme val="minor"/>
      </rPr>
      <t>i</t>
    </r>
    <r>
      <rPr>
        <vertAlign val="subscript"/>
        <sz val="11"/>
        <color rgb="FF000000"/>
        <rFont val="Calibri"/>
        <family val="2"/>
        <scheme val="minor"/>
      </rPr>
      <t>NHx,ALGAE</t>
    </r>
  </si>
  <si>
    <r>
      <t>Minh</t>
    </r>
    <r>
      <rPr>
        <vertAlign val="subscript"/>
        <sz val="11"/>
        <rFont val="Calibri"/>
        <family val="2"/>
        <scheme val="minor"/>
      </rPr>
      <t>SNHx,KiNHx,ALGAE</t>
    </r>
  </si>
  <si>
    <r>
      <t>Minh</t>
    </r>
    <r>
      <rPr>
        <vertAlign val="subscript"/>
        <sz val="11"/>
        <rFont val="Calibri"/>
        <family val="2"/>
        <scheme val="minor"/>
      </rPr>
      <t>SO2,KO2,ALGAE</t>
    </r>
  </si>
  <si>
    <r>
      <t>Msat</t>
    </r>
    <r>
      <rPr>
        <vertAlign val="subscript"/>
        <sz val="11"/>
        <rFont val="Calibri"/>
        <family val="2"/>
        <scheme val="minor"/>
      </rPr>
      <t>SO2,KO2,ALGAE</t>
    </r>
  </si>
  <si>
    <r>
      <t>Msat</t>
    </r>
    <r>
      <rPr>
        <vertAlign val="subscript"/>
        <sz val="11"/>
        <rFont val="Calibri"/>
        <family val="2"/>
        <scheme val="minor"/>
      </rPr>
      <t>SCO2,KCO2,ALGAE</t>
    </r>
  </si>
  <si>
    <r>
      <t>Msat</t>
    </r>
    <r>
      <rPr>
        <vertAlign val="subscript"/>
        <sz val="11"/>
        <rFont val="Calibri"/>
        <family val="2"/>
        <scheme val="minor"/>
      </rPr>
      <t>SNOx,KNOx,ALGAE</t>
    </r>
  </si>
  <si>
    <t>Saturation term for O2 (ALGAE)</t>
  </si>
  <si>
    <t>Saturation term for CO2 (ALGAE)</t>
  </si>
  <si>
    <t>Inhibition term for O2 (ALGAE)</t>
  </si>
  <si>
    <t>Inhibition term for NHx (ALGAE)</t>
  </si>
  <si>
    <r>
      <t>Msat(S</t>
    </r>
    <r>
      <rPr>
        <vertAlign val="subscript"/>
        <sz val="11"/>
        <rFont val="Calibri"/>
        <family val="2"/>
        <scheme val="minor"/>
      </rPr>
      <t>CO2</t>
    </r>
    <r>
      <rPr>
        <sz val="11"/>
        <rFont val="Calibri"/>
        <family val="2"/>
        <scheme val="minor"/>
      </rPr>
      <t>;K</t>
    </r>
    <r>
      <rPr>
        <vertAlign val="subscript"/>
        <sz val="11"/>
        <rFont val="Calibri"/>
        <family val="2"/>
        <scheme val="minor"/>
      </rPr>
      <t>CO2,ALGAE</t>
    </r>
    <r>
      <rPr>
        <sz val="11"/>
        <rFont val="Calibri"/>
        <family val="2"/>
        <scheme val="minor"/>
      </rPr>
      <t>)</t>
    </r>
  </si>
  <si>
    <r>
      <t>Msat(S</t>
    </r>
    <r>
      <rPr>
        <vertAlign val="subscript"/>
        <sz val="11"/>
        <rFont val="Calibri"/>
        <family val="2"/>
        <scheme val="minor"/>
      </rPr>
      <t>NOx</t>
    </r>
    <r>
      <rPr>
        <sz val="11"/>
        <rFont val="Calibri"/>
        <family val="2"/>
        <scheme val="minor"/>
      </rPr>
      <t>;K</t>
    </r>
    <r>
      <rPr>
        <vertAlign val="subscript"/>
        <sz val="11"/>
        <rFont val="Calibri"/>
        <family val="2"/>
        <scheme val="minor"/>
      </rPr>
      <t>NOx,ALGAE</t>
    </r>
    <r>
      <rPr>
        <sz val="11"/>
        <rFont val="Calibri"/>
        <family val="2"/>
        <scheme val="minor"/>
      </rPr>
      <t>)</t>
    </r>
  </si>
  <si>
    <r>
      <t>Msat(S</t>
    </r>
    <r>
      <rPr>
        <vertAlign val="subscript"/>
        <sz val="11"/>
        <rFont val="Calibri"/>
        <family val="2"/>
        <scheme val="minor"/>
      </rPr>
      <t>O2</t>
    </r>
    <r>
      <rPr>
        <sz val="11"/>
        <rFont val="Calibri"/>
        <family val="2"/>
        <scheme val="minor"/>
      </rPr>
      <t>;K</t>
    </r>
    <r>
      <rPr>
        <vertAlign val="subscript"/>
        <sz val="11"/>
        <rFont val="Calibri"/>
        <family val="2"/>
        <scheme val="minor"/>
      </rPr>
      <t>O2,ALGAE</t>
    </r>
    <r>
      <rPr>
        <sz val="11"/>
        <rFont val="Calibri"/>
        <family val="2"/>
        <scheme val="minor"/>
      </rPr>
      <t>)</t>
    </r>
  </si>
  <si>
    <r>
      <t>Minh(S</t>
    </r>
    <r>
      <rPr>
        <vertAlign val="subscript"/>
        <sz val="11"/>
        <rFont val="Calibri"/>
        <family val="2"/>
        <scheme val="minor"/>
      </rPr>
      <t>NHx</t>
    </r>
    <r>
      <rPr>
        <sz val="11"/>
        <rFont val="Calibri"/>
        <family val="2"/>
        <scheme val="minor"/>
      </rPr>
      <t>;Ki</t>
    </r>
    <r>
      <rPr>
        <vertAlign val="subscript"/>
        <sz val="11"/>
        <rFont val="Calibri"/>
        <family val="2"/>
        <scheme val="minor"/>
      </rPr>
      <t>NHx,ALGAE</t>
    </r>
    <r>
      <rPr>
        <sz val="11"/>
        <rFont val="Calibri"/>
        <family val="2"/>
        <scheme val="minor"/>
      </rPr>
      <t>)</t>
    </r>
  </si>
  <si>
    <r>
      <t>Minh(S</t>
    </r>
    <r>
      <rPr>
        <vertAlign val="subscript"/>
        <sz val="11"/>
        <rFont val="Calibri"/>
        <family val="2"/>
        <scheme val="minor"/>
      </rPr>
      <t>O2</t>
    </r>
    <r>
      <rPr>
        <sz val="11"/>
        <rFont val="Calibri"/>
        <family val="2"/>
        <scheme val="minor"/>
      </rPr>
      <t>;K</t>
    </r>
    <r>
      <rPr>
        <vertAlign val="subscript"/>
        <sz val="11"/>
        <rFont val="Calibri"/>
        <family val="2"/>
        <scheme val="minor"/>
      </rPr>
      <t>O2,ALGAE</t>
    </r>
    <r>
      <rPr>
        <sz val="11"/>
        <rFont val="Calibri"/>
        <family val="2"/>
        <scheme val="minor"/>
      </rPr>
      <t>)</t>
    </r>
  </si>
  <si>
    <t>r85</t>
  </si>
  <si>
    <t>r86</t>
  </si>
  <si>
    <t>r87</t>
  </si>
  <si>
    <t>r88</t>
  </si>
  <si>
    <r>
      <t>i</t>
    </r>
    <r>
      <rPr>
        <vertAlign val="subscript"/>
        <sz val="11"/>
        <color indexed="8"/>
        <rFont val="Calibri"/>
        <family val="2"/>
      </rPr>
      <t>P,ALGAE</t>
    </r>
    <r>
      <rPr>
        <sz val="11"/>
        <color rgb="FF000000"/>
        <rFont val="Calibri"/>
        <family val="2"/>
      </rPr>
      <t>-i</t>
    </r>
    <r>
      <rPr>
        <vertAlign val="subscript"/>
        <sz val="11"/>
        <color indexed="8"/>
        <rFont val="Calibri"/>
        <family val="2"/>
      </rPr>
      <t>P,BIO</t>
    </r>
  </si>
  <si>
    <r>
      <t>µ</t>
    </r>
    <r>
      <rPr>
        <vertAlign val="subscript"/>
        <sz val="11"/>
        <rFont val="Calibri"/>
        <family val="2"/>
      </rPr>
      <t>ALGAE,T</t>
    </r>
    <r>
      <rPr>
        <sz val="11"/>
        <rFont val="Calibri"/>
        <family val="2"/>
      </rPr>
      <t xml:space="preserve"> * X</t>
    </r>
    <r>
      <rPr>
        <vertAlign val="subscript"/>
        <sz val="11"/>
        <rFont val="Calibri"/>
        <family val="2"/>
      </rPr>
      <t>ALGAE</t>
    </r>
    <r>
      <rPr>
        <sz val="11"/>
        <rFont val="Calibri"/>
        <family val="2"/>
      </rPr>
      <t xml:space="preserve"> *Msat</t>
    </r>
    <r>
      <rPr>
        <vertAlign val="subscript"/>
        <sz val="11"/>
        <rFont val="Calibri"/>
        <family val="2"/>
      </rPr>
      <t>SNHx,KNHx,ALGAE</t>
    </r>
    <r>
      <rPr>
        <sz val="11"/>
        <rFont val="Calibri"/>
        <family val="2"/>
      </rPr>
      <t xml:space="preserve"> * Msat</t>
    </r>
    <r>
      <rPr>
        <vertAlign val="subscript"/>
        <sz val="11"/>
        <rFont val="Calibri"/>
        <family val="2"/>
      </rPr>
      <t xml:space="preserve">SPO4,KPO4,BIO </t>
    </r>
    <r>
      <rPr>
        <sz val="11"/>
        <rFont val="Calibri"/>
        <family val="2"/>
      </rPr>
      <t>* Msat</t>
    </r>
    <r>
      <rPr>
        <vertAlign val="subscript"/>
        <sz val="11"/>
        <rFont val="Calibri"/>
        <family val="2"/>
      </rPr>
      <t>SCO2,KCO2,ALGAE</t>
    </r>
    <r>
      <rPr>
        <sz val="11"/>
        <rFont val="Calibri"/>
        <family val="2"/>
      </rPr>
      <t xml:space="preserve"> * LightSwitch </t>
    </r>
  </si>
  <si>
    <r>
      <t>K</t>
    </r>
    <r>
      <rPr>
        <vertAlign val="subscript"/>
        <sz val="11"/>
        <rFont val="Calibri"/>
        <family val="2"/>
        <scheme val="minor"/>
      </rPr>
      <t>NHx,ALGAE</t>
    </r>
  </si>
  <si>
    <r>
      <t>Half-saturation of NH</t>
    </r>
    <r>
      <rPr>
        <vertAlign val="subscript"/>
        <sz val="11"/>
        <color rgb="FF000000"/>
        <rFont val="Calibri"/>
        <family val="2"/>
        <scheme val="minor"/>
      </rPr>
      <t>x</t>
    </r>
    <r>
      <rPr>
        <sz val="11"/>
        <color rgb="FF000000"/>
        <rFont val="Calibri"/>
        <family val="2"/>
        <charset val="238"/>
        <scheme val="minor"/>
      </rPr>
      <t xml:space="preserve"> for ALGAE</t>
    </r>
  </si>
  <si>
    <r>
      <t>Msat</t>
    </r>
    <r>
      <rPr>
        <vertAlign val="subscript"/>
        <sz val="11"/>
        <rFont val="Calibri"/>
        <family val="2"/>
        <scheme val="minor"/>
      </rPr>
      <t>SNHx,KNHx,ALGAE</t>
    </r>
  </si>
  <si>
    <r>
      <t>Msat(S</t>
    </r>
    <r>
      <rPr>
        <vertAlign val="subscript"/>
        <sz val="11"/>
        <rFont val="Calibri"/>
        <family val="2"/>
        <scheme val="minor"/>
      </rPr>
      <t>NHx</t>
    </r>
    <r>
      <rPr>
        <sz val="11"/>
        <rFont val="Calibri"/>
        <family val="2"/>
        <scheme val="minor"/>
      </rPr>
      <t>;K</t>
    </r>
    <r>
      <rPr>
        <vertAlign val="subscript"/>
        <sz val="11"/>
        <rFont val="Calibri"/>
        <family val="2"/>
        <scheme val="minor"/>
      </rPr>
      <t>NHx,ALGAE</t>
    </r>
    <r>
      <rPr>
        <sz val="11"/>
        <rFont val="Calibri"/>
        <family val="2"/>
        <scheme val="minor"/>
      </rPr>
      <t>)</t>
    </r>
  </si>
  <si>
    <r>
      <t>θ</t>
    </r>
    <r>
      <rPr>
        <vertAlign val="subscript"/>
        <sz val="11"/>
        <color indexed="8"/>
        <rFont val="Calibri"/>
        <family val="2"/>
        <scheme val="minor"/>
      </rPr>
      <t>µ,ALGAE</t>
    </r>
  </si>
  <si>
    <r>
      <t>θ</t>
    </r>
    <r>
      <rPr>
        <vertAlign val="subscript"/>
        <sz val="11"/>
        <color indexed="8"/>
        <rFont val="Calibri"/>
        <family val="2"/>
        <scheme val="minor"/>
      </rPr>
      <t>b,ALGAE</t>
    </r>
  </si>
  <si>
    <t>Arrhenius coefficient for ALGAE growth</t>
  </si>
  <si>
    <t>Arrhenius coefficient for ALGAE decay</t>
  </si>
  <si>
    <r>
      <t>µ</t>
    </r>
    <r>
      <rPr>
        <vertAlign val="subscript"/>
        <sz val="11"/>
        <color indexed="8"/>
        <rFont val="Calibri"/>
        <family val="2"/>
      </rPr>
      <t>ALGAE</t>
    </r>
    <r>
      <rPr>
        <sz val="11"/>
        <color indexed="8"/>
        <rFont val="Calibri"/>
        <family val="2"/>
      </rPr>
      <t>*Arrh(θ</t>
    </r>
    <r>
      <rPr>
        <vertAlign val="subscript"/>
        <sz val="11"/>
        <color indexed="8"/>
        <rFont val="Calibri"/>
        <family val="2"/>
      </rPr>
      <t>µ,ALGAE</t>
    </r>
    <r>
      <rPr>
        <sz val="11"/>
        <color indexed="8"/>
        <rFont val="Calibri"/>
        <family val="2"/>
      </rPr>
      <t>; T; T</t>
    </r>
    <r>
      <rPr>
        <vertAlign val="subscript"/>
        <sz val="11"/>
        <color indexed="8"/>
        <rFont val="Calibri"/>
        <family val="2"/>
      </rPr>
      <t>base</t>
    </r>
    <r>
      <rPr>
        <sz val="11"/>
        <color indexed="8"/>
        <rFont val="Calibri"/>
        <family val="2"/>
      </rPr>
      <t>)</t>
    </r>
  </si>
  <si>
    <r>
      <t>b</t>
    </r>
    <r>
      <rPr>
        <vertAlign val="subscript"/>
        <sz val="11"/>
        <color indexed="8"/>
        <rFont val="Calibri"/>
        <family val="2"/>
      </rPr>
      <t>ALGAE</t>
    </r>
    <r>
      <rPr>
        <sz val="11"/>
        <color indexed="8"/>
        <rFont val="Calibri"/>
        <family val="2"/>
      </rPr>
      <t>*Arrh(θ</t>
    </r>
    <r>
      <rPr>
        <vertAlign val="subscript"/>
        <sz val="11"/>
        <color indexed="8"/>
        <rFont val="Calibri"/>
        <family val="2"/>
      </rPr>
      <t>b,ALGAE</t>
    </r>
    <r>
      <rPr>
        <sz val="11"/>
        <color indexed="8"/>
        <rFont val="Calibri"/>
        <family val="2"/>
      </rPr>
      <t>;T;T</t>
    </r>
    <r>
      <rPr>
        <vertAlign val="subscript"/>
        <sz val="11"/>
        <color indexed="8"/>
        <rFont val="Calibri"/>
        <family val="2"/>
      </rPr>
      <t>base</t>
    </r>
    <r>
      <rPr>
        <sz val="11"/>
        <color indexed="8"/>
        <rFont val="Calibri"/>
        <family val="2"/>
      </rPr>
      <t>)</t>
    </r>
  </si>
  <si>
    <t>Saturation term for NOx (ALGAE)</t>
  </si>
  <si>
    <t>Saturation term for NHx (ALGAE)</t>
  </si>
  <si>
    <r>
      <t>X</t>
    </r>
    <r>
      <rPr>
        <vertAlign val="subscript"/>
        <sz val="11"/>
        <rFont val="Calibri"/>
        <family val="2"/>
        <scheme val="minor"/>
      </rPr>
      <t>HET</t>
    </r>
  </si>
  <si>
    <t>COD of heterotrophs</t>
  </si>
  <si>
    <r>
      <t>q</t>
    </r>
    <r>
      <rPr>
        <vertAlign val="subscript"/>
        <sz val="11"/>
        <rFont val="Calibri"/>
        <family val="2"/>
      </rPr>
      <t>AMMON,T</t>
    </r>
    <r>
      <rPr>
        <sz val="11"/>
        <rFont val="Calibri"/>
        <family val="2"/>
      </rPr>
      <t>*S</t>
    </r>
    <r>
      <rPr>
        <vertAlign val="subscript"/>
        <sz val="11"/>
        <rFont val="Calibri"/>
        <family val="2"/>
      </rPr>
      <t>N,B</t>
    </r>
    <r>
      <rPr>
        <sz val="11"/>
        <rFont val="Calibri"/>
        <family val="2"/>
      </rPr>
      <t>*X</t>
    </r>
    <r>
      <rPr>
        <vertAlign val="subscript"/>
        <sz val="11"/>
        <rFont val="Calibri"/>
        <family val="2"/>
      </rPr>
      <t>HET</t>
    </r>
  </si>
  <si>
    <r>
      <t>q</t>
    </r>
    <r>
      <rPr>
        <vertAlign val="subscript"/>
        <sz val="11"/>
        <rFont val="Calibri"/>
        <family val="2"/>
      </rPr>
      <t>SPB,T</t>
    </r>
    <r>
      <rPr>
        <sz val="11"/>
        <rFont val="Calibri"/>
        <family val="2"/>
      </rPr>
      <t>*S</t>
    </r>
    <r>
      <rPr>
        <vertAlign val="subscript"/>
        <sz val="11"/>
        <rFont val="Calibri"/>
        <family val="2"/>
      </rPr>
      <t>P,B</t>
    </r>
    <r>
      <rPr>
        <sz val="11"/>
        <rFont val="Calibri"/>
        <family val="2"/>
      </rPr>
      <t>*X</t>
    </r>
    <r>
      <rPr>
        <vertAlign val="subscript"/>
        <sz val="11"/>
        <rFont val="Calibri"/>
        <family val="2"/>
      </rPr>
      <t>HET</t>
    </r>
  </si>
  <si>
    <r>
      <t>MRsat</t>
    </r>
    <r>
      <rPr>
        <vertAlign val="subscript"/>
        <sz val="11"/>
        <rFont val="Calibri"/>
        <family val="2"/>
        <scheme val="minor"/>
      </rPr>
      <t>XB,XHET,KHYD</t>
    </r>
  </si>
  <si>
    <r>
      <rPr>
        <sz val="11"/>
        <rFont val="Calibri"/>
        <family val="2"/>
        <scheme val="minor"/>
      </rPr>
      <t>MRsat</t>
    </r>
    <r>
      <rPr>
        <vertAlign val="subscript"/>
        <sz val="11"/>
        <rFont val="Calibri"/>
        <family val="2"/>
        <scheme val="minor"/>
      </rPr>
      <t>XEana,XHET,KHYD</t>
    </r>
  </si>
  <si>
    <r>
      <t>MRsat(X</t>
    </r>
    <r>
      <rPr>
        <vertAlign val="subscript"/>
        <sz val="11"/>
        <rFont val="Calibri"/>
        <family val="2"/>
        <scheme val="minor"/>
      </rPr>
      <t>B</t>
    </r>
    <r>
      <rPr>
        <sz val="11"/>
        <rFont val="Calibri"/>
        <family val="2"/>
        <scheme val="minor"/>
      </rPr>
      <t>;X</t>
    </r>
    <r>
      <rPr>
        <vertAlign val="subscript"/>
        <sz val="11"/>
        <rFont val="Calibri"/>
        <family val="2"/>
        <scheme val="minor"/>
      </rPr>
      <t>HET</t>
    </r>
    <r>
      <rPr>
        <sz val="11"/>
        <rFont val="Calibri"/>
        <family val="2"/>
        <scheme val="minor"/>
      </rPr>
      <t>;K</t>
    </r>
    <r>
      <rPr>
        <vertAlign val="subscript"/>
        <sz val="11"/>
        <rFont val="Calibri"/>
        <family val="2"/>
        <scheme val="minor"/>
      </rPr>
      <t>HYD</t>
    </r>
    <r>
      <rPr>
        <sz val="11"/>
        <rFont val="Calibri"/>
        <family val="2"/>
        <scheme val="minor"/>
      </rPr>
      <t>)</t>
    </r>
  </si>
  <si>
    <r>
      <t>MRsat(X</t>
    </r>
    <r>
      <rPr>
        <vertAlign val="subscript"/>
        <sz val="11"/>
        <rFont val="Calibri"/>
        <family val="2"/>
        <scheme val="minor"/>
      </rPr>
      <t>E,ana</t>
    </r>
    <r>
      <rPr>
        <sz val="11"/>
        <rFont val="Calibri"/>
        <family val="2"/>
        <scheme val="minor"/>
      </rPr>
      <t>;X</t>
    </r>
    <r>
      <rPr>
        <vertAlign val="subscript"/>
        <sz val="11"/>
        <rFont val="Calibri"/>
        <family val="2"/>
        <scheme val="minor"/>
      </rPr>
      <t>HET</t>
    </r>
    <r>
      <rPr>
        <sz val="11"/>
        <rFont val="Calibri"/>
        <family val="2"/>
        <scheme val="minor"/>
      </rPr>
      <t>;K</t>
    </r>
    <r>
      <rPr>
        <vertAlign val="subscript"/>
        <sz val="11"/>
        <rFont val="Calibri"/>
        <family val="2"/>
        <scheme val="minor"/>
      </rPr>
      <t>HYD</t>
    </r>
    <r>
      <rPr>
        <sz val="11"/>
        <rFont val="Calibri"/>
        <family val="2"/>
        <scheme val="minor"/>
      </rPr>
      <t>)</t>
    </r>
  </si>
  <si>
    <r>
      <t>X</t>
    </r>
    <r>
      <rPr>
        <vertAlign val="subscript"/>
        <sz val="11"/>
        <rFont val="Calibri"/>
        <family val="2"/>
        <scheme val="minor"/>
      </rPr>
      <t>OHO</t>
    </r>
    <r>
      <rPr>
        <sz val="11"/>
        <rFont val="Calibri"/>
        <family val="2"/>
        <scheme val="minor"/>
      </rPr>
      <t xml:space="preserve"> + X</t>
    </r>
    <r>
      <rPr>
        <vertAlign val="subscript"/>
        <sz val="11"/>
        <rFont val="Calibri"/>
        <family val="2"/>
        <scheme val="minor"/>
      </rPr>
      <t>CASTO</t>
    </r>
    <r>
      <rPr>
        <sz val="11"/>
        <rFont val="Calibri"/>
        <family val="2"/>
        <scheme val="minor"/>
      </rPr>
      <t>+ X</t>
    </r>
    <r>
      <rPr>
        <vertAlign val="subscript"/>
        <sz val="11"/>
        <rFont val="Calibri"/>
        <family val="2"/>
        <scheme val="minor"/>
      </rPr>
      <t>AMETO</t>
    </r>
  </si>
  <si>
    <r>
      <t>-EEQ</t>
    </r>
    <r>
      <rPr>
        <vertAlign val="subscript"/>
        <sz val="11"/>
        <rFont val="Calibri"/>
        <family val="2"/>
      </rPr>
      <t>NO3</t>
    </r>
    <r>
      <rPr>
        <sz val="11"/>
        <rFont val="Calibri"/>
        <family val="2"/>
      </rPr>
      <t>*X</t>
    </r>
    <r>
      <rPr>
        <vertAlign val="subscript"/>
        <sz val="11"/>
        <rFont val="Calibri"/>
        <family val="2"/>
      </rPr>
      <t>OHO</t>
    </r>
    <r>
      <rPr>
        <sz val="11"/>
        <rFont val="Calibri"/>
        <family val="2"/>
      </rPr>
      <t>/X</t>
    </r>
    <r>
      <rPr>
        <vertAlign val="subscript"/>
        <sz val="11"/>
        <rFont val="Calibri"/>
        <family val="2"/>
      </rPr>
      <t>BIO</t>
    </r>
  </si>
  <si>
    <r>
      <t>-EEQ</t>
    </r>
    <r>
      <rPr>
        <vertAlign val="subscript"/>
        <sz val="11"/>
        <rFont val="Calibri"/>
        <family val="2"/>
      </rPr>
      <t>NO3</t>
    </r>
    <r>
      <rPr>
        <sz val="11"/>
        <rFont val="Calibri"/>
        <family val="2"/>
      </rPr>
      <t>*X</t>
    </r>
    <r>
      <rPr>
        <vertAlign val="subscript"/>
        <sz val="11"/>
        <rFont val="Calibri"/>
        <family val="2"/>
      </rPr>
      <t>CASTO</t>
    </r>
    <r>
      <rPr>
        <sz val="11"/>
        <rFont val="Calibri"/>
        <family val="2"/>
      </rPr>
      <t>/X</t>
    </r>
    <r>
      <rPr>
        <vertAlign val="subscript"/>
        <sz val="11"/>
        <rFont val="Calibri"/>
        <family val="2"/>
      </rPr>
      <t>BIO</t>
    </r>
  </si>
  <si>
    <r>
      <t>-EEQ</t>
    </r>
    <r>
      <rPr>
        <vertAlign val="subscript"/>
        <sz val="11"/>
        <rFont val="Calibri"/>
        <family val="2"/>
      </rPr>
      <t>NO3</t>
    </r>
    <r>
      <rPr>
        <sz val="11"/>
        <rFont val="Calibri"/>
        <family val="2"/>
      </rPr>
      <t>*X</t>
    </r>
    <r>
      <rPr>
        <vertAlign val="subscript"/>
        <sz val="11"/>
        <rFont val="Calibri"/>
        <family val="2"/>
      </rPr>
      <t>MEOLO</t>
    </r>
    <r>
      <rPr>
        <sz val="11"/>
        <rFont val="Calibri"/>
        <family val="2"/>
      </rPr>
      <t>/X</t>
    </r>
    <r>
      <rPr>
        <vertAlign val="subscript"/>
        <sz val="11"/>
        <rFont val="Calibri"/>
        <family val="2"/>
      </rPr>
      <t>BIO</t>
    </r>
  </si>
  <si>
    <r>
      <t>-EEQ</t>
    </r>
    <r>
      <rPr>
        <vertAlign val="subscript"/>
        <sz val="11"/>
        <rFont val="Calibri"/>
        <family val="2"/>
      </rPr>
      <t>NO3</t>
    </r>
    <r>
      <rPr>
        <sz val="11"/>
        <rFont val="Calibri"/>
        <family val="2"/>
      </rPr>
      <t>*X</t>
    </r>
    <r>
      <rPr>
        <vertAlign val="subscript"/>
        <sz val="11"/>
        <rFont val="Calibri"/>
        <family val="2"/>
      </rPr>
      <t>NITO</t>
    </r>
    <r>
      <rPr>
        <sz val="11"/>
        <rFont val="Calibri"/>
        <family val="2"/>
      </rPr>
      <t>/X</t>
    </r>
    <r>
      <rPr>
        <vertAlign val="subscript"/>
        <sz val="11"/>
        <rFont val="Calibri"/>
        <family val="2"/>
      </rPr>
      <t>BIO</t>
    </r>
  </si>
  <si>
    <r>
      <t>-EEQ</t>
    </r>
    <r>
      <rPr>
        <vertAlign val="subscript"/>
        <sz val="11"/>
        <rFont val="Calibri"/>
        <family val="2"/>
      </rPr>
      <t>NO3</t>
    </r>
    <r>
      <rPr>
        <sz val="11"/>
        <rFont val="Calibri"/>
        <family val="2"/>
      </rPr>
      <t>*X</t>
    </r>
    <r>
      <rPr>
        <vertAlign val="subscript"/>
        <sz val="11"/>
        <rFont val="Calibri"/>
        <family val="2"/>
      </rPr>
      <t>AMETO</t>
    </r>
    <r>
      <rPr>
        <sz val="11"/>
        <rFont val="Calibri"/>
        <family val="2"/>
      </rPr>
      <t>/X</t>
    </r>
    <r>
      <rPr>
        <vertAlign val="subscript"/>
        <sz val="11"/>
        <rFont val="Calibri"/>
        <family val="2"/>
      </rPr>
      <t>BIO</t>
    </r>
  </si>
  <si>
    <r>
      <t>-EEQ</t>
    </r>
    <r>
      <rPr>
        <vertAlign val="subscript"/>
        <sz val="11"/>
        <rFont val="Calibri"/>
        <family val="2"/>
      </rPr>
      <t>NO3</t>
    </r>
    <r>
      <rPr>
        <sz val="11"/>
        <rFont val="Calibri"/>
        <family val="2"/>
      </rPr>
      <t>*X</t>
    </r>
    <r>
      <rPr>
        <vertAlign val="subscript"/>
        <sz val="11"/>
        <rFont val="Calibri"/>
        <family val="2"/>
      </rPr>
      <t>HMETO</t>
    </r>
    <r>
      <rPr>
        <sz val="11"/>
        <rFont val="Calibri"/>
        <family val="2"/>
      </rPr>
      <t>/X</t>
    </r>
    <r>
      <rPr>
        <vertAlign val="subscript"/>
        <sz val="11"/>
        <rFont val="Calibri"/>
        <family val="2"/>
      </rPr>
      <t>BIO</t>
    </r>
  </si>
  <si>
    <r>
      <t>-EEQ</t>
    </r>
    <r>
      <rPr>
        <vertAlign val="subscript"/>
        <sz val="11"/>
        <rFont val="Calibri"/>
        <family val="2"/>
      </rPr>
      <t>NO3</t>
    </r>
    <r>
      <rPr>
        <sz val="11"/>
        <rFont val="Calibri"/>
        <family val="2"/>
      </rPr>
      <t>*X</t>
    </r>
    <r>
      <rPr>
        <vertAlign val="subscript"/>
        <sz val="11"/>
        <rFont val="Calibri"/>
        <family val="2"/>
      </rPr>
      <t>ALGAE</t>
    </r>
    <r>
      <rPr>
        <sz val="11"/>
        <rFont val="Calibri"/>
        <family val="2"/>
      </rPr>
      <t>/X</t>
    </r>
    <r>
      <rPr>
        <vertAlign val="subscript"/>
        <sz val="11"/>
        <rFont val="Calibri"/>
        <family val="2"/>
      </rPr>
      <t>BIO</t>
    </r>
  </si>
  <si>
    <r>
      <t>q</t>
    </r>
    <r>
      <rPr>
        <vertAlign val="subscript"/>
        <sz val="11"/>
        <rFont val="Calibri"/>
        <family val="2"/>
      </rPr>
      <t>ASSIM,T</t>
    </r>
    <r>
      <rPr>
        <sz val="11"/>
        <rFont val="Calibri"/>
        <family val="2"/>
      </rPr>
      <t>*X</t>
    </r>
    <r>
      <rPr>
        <vertAlign val="subscript"/>
        <sz val="11"/>
        <rFont val="Calibri"/>
        <family val="2"/>
      </rPr>
      <t>BIO</t>
    </r>
    <r>
      <rPr>
        <sz val="11"/>
        <rFont val="Calibri"/>
        <family val="2"/>
      </rPr>
      <t>*Msat</t>
    </r>
    <r>
      <rPr>
        <vertAlign val="subscript"/>
        <sz val="11"/>
        <rFont val="Calibri"/>
        <family val="2"/>
      </rPr>
      <t>SNOx,KNOx,ASSIM</t>
    </r>
    <r>
      <rPr>
        <sz val="11"/>
        <rFont val="Calibri"/>
        <family val="2"/>
      </rPr>
      <t>*Minh</t>
    </r>
    <r>
      <rPr>
        <vertAlign val="subscript"/>
        <sz val="11"/>
        <rFont val="Calibri"/>
        <family val="2"/>
      </rPr>
      <t>SNHx,KiNHx,ASSIM</t>
    </r>
  </si>
  <si>
    <r>
      <t>(i</t>
    </r>
    <r>
      <rPr>
        <vertAlign val="subscript"/>
        <sz val="11"/>
        <rFont val="Calibri"/>
        <family val="2"/>
      </rPr>
      <t>P,BIO</t>
    </r>
    <r>
      <rPr>
        <sz val="11"/>
        <rFont val="Calibri"/>
        <family val="2"/>
      </rPr>
      <t>*EEQ</t>
    </r>
    <r>
      <rPr>
        <vertAlign val="subscript"/>
        <sz val="11"/>
        <rFont val="Calibri"/>
        <family val="2"/>
      </rPr>
      <t>NO3</t>
    </r>
    <r>
      <rPr>
        <sz val="11"/>
        <rFont val="Calibri"/>
        <family val="2"/>
      </rPr>
      <t>*(X</t>
    </r>
    <r>
      <rPr>
        <vertAlign val="subscript"/>
        <sz val="11"/>
        <rFont val="Calibri"/>
        <family val="2"/>
      </rPr>
      <t>BIO</t>
    </r>
    <r>
      <rPr>
        <sz val="11"/>
        <rFont val="Calibri"/>
        <family val="2"/>
      </rPr>
      <t>-X</t>
    </r>
    <r>
      <rPr>
        <vertAlign val="subscript"/>
        <sz val="11"/>
        <rFont val="Calibri"/>
        <family val="2"/>
      </rPr>
      <t>ALGAE</t>
    </r>
    <r>
      <rPr>
        <sz val="11"/>
        <rFont val="Calibri"/>
        <family val="2"/>
      </rPr>
      <t>)+i</t>
    </r>
    <r>
      <rPr>
        <vertAlign val="subscript"/>
        <sz val="11"/>
        <rFont val="Calibri"/>
        <family val="2"/>
      </rPr>
      <t>P,ALGAE</t>
    </r>
    <r>
      <rPr>
        <sz val="11"/>
        <rFont val="Calibri"/>
        <family val="2"/>
      </rPr>
      <t>*EEQ</t>
    </r>
    <r>
      <rPr>
        <vertAlign val="subscript"/>
        <sz val="11"/>
        <rFont val="Calibri"/>
        <family val="2"/>
      </rPr>
      <t>NO3</t>
    </r>
    <r>
      <rPr>
        <sz val="11"/>
        <rFont val="Calibri"/>
        <family val="2"/>
      </rPr>
      <t>*X</t>
    </r>
    <r>
      <rPr>
        <vertAlign val="subscript"/>
        <sz val="11"/>
        <rFont val="Calibri"/>
        <family val="2"/>
      </rPr>
      <t>ALGAE</t>
    </r>
    <r>
      <rPr>
        <sz val="11"/>
        <rFont val="Calibri"/>
        <family val="2"/>
        <charset val="238"/>
      </rPr>
      <t>)/X</t>
    </r>
    <r>
      <rPr>
        <vertAlign val="subscript"/>
        <sz val="11"/>
        <rFont val="Calibri"/>
        <family val="2"/>
      </rPr>
      <t>BIO</t>
    </r>
  </si>
  <si>
    <r>
      <t>(i</t>
    </r>
    <r>
      <rPr>
        <vertAlign val="subscript"/>
        <sz val="11"/>
        <rFont val="Calibri"/>
        <family val="2"/>
      </rPr>
      <t>CIT,BIO</t>
    </r>
    <r>
      <rPr>
        <sz val="11"/>
        <rFont val="Calibri"/>
        <family val="2"/>
      </rPr>
      <t>*EEQ</t>
    </r>
    <r>
      <rPr>
        <vertAlign val="subscript"/>
        <sz val="11"/>
        <rFont val="Calibri"/>
        <family val="2"/>
      </rPr>
      <t>NO3</t>
    </r>
    <r>
      <rPr>
        <sz val="11"/>
        <rFont val="Calibri"/>
        <family val="2"/>
      </rPr>
      <t>*(X</t>
    </r>
    <r>
      <rPr>
        <vertAlign val="subscript"/>
        <sz val="11"/>
        <rFont val="Calibri"/>
        <family val="2"/>
      </rPr>
      <t>BIO</t>
    </r>
    <r>
      <rPr>
        <sz val="11"/>
        <rFont val="Calibri"/>
        <family val="2"/>
      </rPr>
      <t>-X</t>
    </r>
    <r>
      <rPr>
        <vertAlign val="subscript"/>
        <sz val="11"/>
        <rFont val="Calibri"/>
        <family val="2"/>
      </rPr>
      <t>ALGAE</t>
    </r>
    <r>
      <rPr>
        <sz val="11"/>
        <rFont val="Calibri"/>
        <family val="2"/>
      </rPr>
      <t>)+i</t>
    </r>
    <r>
      <rPr>
        <vertAlign val="subscript"/>
        <sz val="11"/>
        <rFont val="Calibri"/>
        <family val="2"/>
      </rPr>
      <t>CIT,ALGAE</t>
    </r>
    <r>
      <rPr>
        <sz val="11"/>
        <rFont val="Calibri"/>
        <family val="2"/>
      </rPr>
      <t>*EEQ</t>
    </r>
    <r>
      <rPr>
        <vertAlign val="subscript"/>
        <sz val="11"/>
        <rFont val="Calibri"/>
        <family val="2"/>
      </rPr>
      <t>NO3</t>
    </r>
    <r>
      <rPr>
        <sz val="11"/>
        <rFont val="Calibri"/>
        <family val="2"/>
      </rPr>
      <t>*X</t>
    </r>
    <r>
      <rPr>
        <vertAlign val="subscript"/>
        <sz val="11"/>
        <rFont val="Calibri"/>
        <family val="2"/>
      </rPr>
      <t>ALGAE</t>
    </r>
    <r>
      <rPr>
        <sz val="11"/>
        <rFont val="Calibri"/>
        <family val="2"/>
        <charset val="238"/>
      </rPr>
      <t>)/X</t>
    </r>
    <r>
      <rPr>
        <vertAlign val="subscript"/>
        <sz val="11"/>
        <rFont val="Calibri"/>
        <family val="2"/>
      </rPr>
      <t>BIO</t>
    </r>
  </si>
  <si>
    <r>
      <t>1+(i</t>
    </r>
    <r>
      <rPr>
        <vertAlign val="subscript"/>
        <sz val="11"/>
        <rFont val="Calibri"/>
        <family val="2"/>
      </rPr>
      <t>N,BIO</t>
    </r>
    <r>
      <rPr>
        <sz val="11"/>
        <rFont val="Calibri"/>
        <family val="2"/>
      </rPr>
      <t>*EEQ</t>
    </r>
    <r>
      <rPr>
        <vertAlign val="subscript"/>
        <sz val="11"/>
        <rFont val="Calibri"/>
        <family val="2"/>
      </rPr>
      <t>NO3</t>
    </r>
    <r>
      <rPr>
        <sz val="11"/>
        <rFont val="Calibri"/>
        <family val="2"/>
      </rPr>
      <t>*(X</t>
    </r>
    <r>
      <rPr>
        <vertAlign val="subscript"/>
        <sz val="11"/>
        <rFont val="Calibri"/>
        <family val="2"/>
      </rPr>
      <t>BIO</t>
    </r>
    <r>
      <rPr>
        <sz val="11"/>
        <rFont val="Calibri"/>
        <family val="2"/>
      </rPr>
      <t>-X</t>
    </r>
    <r>
      <rPr>
        <vertAlign val="subscript"/>
        <sz val="11"/>
        <rFont val="Calibri"/>
        <family val="2"/>
      </rPr>
      <t>ALGAE</t>
    </r>
    <r>
      <rPr>
        <sz val="11"/>
        <rFont val="Calibri"/>
        <family val="2"/>
      </rPr>
      <t>)+i</t>
    </r>
    <r>
      <rPr>
        <vertAlign val="subscript"/>
        <sz val="11"/>
        <rFont val="Calibri"/>
        <family val="2"/>
      </rPr>
      <t>N,ALGAE</t>
    </r>
    <r>
      <rPr>
        <sz val="11"/>
        <rFont val="Calibri"/>
        <family val="2"/>
      </rPr>
      <t>*EEQ</t>
    </r>
    <r>
      <rPr>
        <vertAlign val="subscript"/>
        <sz val="11"/>
        <rFont val="Calibri"/>
        <family val="2"/>
      </rPr>
      <t>NO3</t>
    </r>
    <r>
      <rPr>
        <sz val="11"/>
        <rFont val="Calibri"/>
        <family val="2"/>
      </rPr>
      <t>*X</t>
    </r>
    <r>
      <rPr>
        <vertAlign val="subscript"/>
        <sz val="11"/>
        <rFont val="Calibri"/>
        <family val="2"/>
      </rPr>
      <t>ALGAE</t>
    </r>
    <r>
      <rPr>
        <sz val="11"/>
        <rFont val="Calibri"/>
        <family val="2"/>
        <charset val="238"/>
      </rPr>
      <t>)/X</t>
    </r>
    <r>
      <rPr>
        <vertAlign val="subscript"/>
        <sz val="11"/>
        <rFont val="Calibri"/>
        <family val="2"/>
      </rPr>
      <t>BIO</t>
    </r>
  </si>
  <si>
    <r>
      <t>J</t>
    </r>
    <r>
      <rPr>
        <vertAlign val="subscript"/>
        <sz val="11"/>
        <rFont val="Calibri"/>
        <family val="2"/>
        <scheme val="minor"/>
      </rPr>
      <t>photosynt,solar</t>
    </r>
  </si>
  <si>
    <r>
      <t>J</t>
    </r>
    <r>
      <rPr>
        <vertAlign val="subscript"/>
        <sz val="11"/>
        <rFont val="Calibri"/>
        <family val="2"/>
        <scheme val="minor"/>
      </rPr>
      <t>photosynt,solar,opt</t>
    </r>
  </si>
  <si>
    <r>
      <t>K</t>
    </r>
    <r>
      <rPr>
        <vertAlign val="subscript"/>
        <sz val="11"/>
        <rFont val="Calibri"/>
        <family val="2"/>
        <scheme val="minor"/>
      </rPr>
      <t>XTSS,lightextinction</t>
    </r>
  </si>
  <si>
    <r>
      <t>Loginhswitch(X</t>
    </r>
    <r>
      <rPr>
        <vertAlign val="subscript"/>
        <sz val="11"/>
        <color rgb="FF000000"/>
        <rFont val="Calibri"/>
        <family val="2"/>
      </rPr>
      <t>TSS</t>
    </r>
    <r>
      <rPr>
        <sz val="11"/>
        <color indexed="8"/>
        <rFont val="Calibri"/>
        <family val="2"/>
      </rPr>
      <t>/K</t>
    </r>
    <r>
      <rPr>
        <vertAlign val="subscript"/>
        <sz val="11"/>
        <color rgb="FF000000"/>
        <rFont val="Calibri"/>
        <family val="2"/>
      </rPr>
      <t>XTSS,lightextinction</t>
    </r>
    <r>
      <rPr>
        <sz val="11"/>
        <color indexed="8"/>
        <rFont val="Calibri"/>
        <family val="2"/>
      </rPr>
      <t>; 1; 100) * Logsatswitch(J</t>
    </r>
    <r>
      <rPr>
        <vertAlign val="subscript"/>
        <sz val="11"/>
        <color rgb="FF000000"/>
        <rFont val="Calibri"/>
        <family val="2"/>
      </rPr>
      <t>photosynt,solar</t>
    </r>
    <r>
      <rPr>
        <sz val="11"/>
        <color indexed="8"/>
        <rFont val="Calibri"/>
        <family val="2"/>
      </rPr>
      <t>/J</t>
    </r>
    <r>
      <rPr>
        <vertAlign val="subscript"/>
        <sz val="11"/>
        <color rgb="FF000000"/>
        <rFont val="Calibri"/>
        <family val="2"/>
      </rPr>
      <t>photosynt,solar,opt</t>
    </r>
    <r>
      <rPr>
        <sz val="11"/>
        <color indexed="8"/>
        <rFont val="Calibri"/>
        <family val="2"/>
      </rPr>
      <t>;1;100)</t>
    </r>
  </si>
  <si>
    <r>
      <t>X</t>
    </r>
    <r>
      <rPr>
        <vertAlign val="subscript"/>
        <sz val="11"/>
        <rFont val="Calibri"/>
        <family val="2"/>
        <scheme val="minor"/>
      </rPr>
      <t>BIO,AS</t>
    </r>
  </si>
  <si>
    <r>
      <t>X</t>
    </r>
    <r>
      <rPr>
        <vertAlign val="subscript"/>
        <sz val="11"/>
        <rFont val="Calibri"/>
        <family val="2"/>
        <scheme val="minor"/>
      </rPr>
      <t>OHO</t>
    </r>
    <r>
      <rPr>
        <sz val="11"/>
        <rFont val="Calibri"/>
        <family val="2"/>
        <scheme val="minor"/>
      </rPr>
      <t xml:space="preserve"> + X</t>
    </r>
    <r>
      <rPr>
        <vertAlign val="subscript"/>
        <sz val="11"/>
        <rFont val="Calibri"/>
        <family val="2"/>
        <scheme val="minor"/>
      </rPr>
      <t>CASTO</t>
    </r>
    <r>
      <rPr>
        <sz val="11"/>
        <rFont val="Calibri"/>
        <family val="2"/>
        <scheme val="minor"/>
      </rPr>
      <t xml:space="preserve"> + X</t>
    </r>
    <r>
      <rPr>
        <vertAlign val="subscript"/>
        <sz val="11"/>
        <rFont val="Calibri"/>
        <family val="2"/>
        <scheme val="minor"/>
      </rPr>
      <t>MEOLO</t>
    </r>
    <r>
      <rPr>
        <sz val="11"/>
        <rFont val="Calibri"/>
        <family val="2"/>
        <scheme val="minor"/>
      </rPr>
      <t xml:space="preserve"> + X</t>
    </r>
    <r>
      <rPr>
        <vertAlign val="subscript"/>
        <sz val="11"/>
        <rFont val="Calibri"/>
        <family val="2"/>
        <scheme val="minor"/>
      </rPr>
      <t>NITO</t>
    </r>
    <r>
      <rPr>
        <sz val="11"/>
        <rFont val="Calibri"/>
        <family val="2"/>
        <scheme val="minor"/>
      </rPr>
      <t xml:space="preserve"> + X</t>
    </r>
    <r>
      <rPr>
        <vertAlign val="subscript"/>
        <sz val="11"/>
        <rFont val="Calibri"/>
        <family val="2"/>
        <scheme val="minor"/>
      </rPr>
      <t>AMETO</t>
    </r>
    <r>
      <rPr>
        <sz val="11"/>
        <rFont val="Calibri"/>
        <family val="2"/>
        <scheme val="minor"/>
      </rPr>
      <t xml:space="preserve"> + X</t>
    </r>
    <r>
      <rPr>
        <vertAlign val="subscript"/>
        <sz val="11"/>
        <rFont val="Calibri"/>
        <family val="2"/>
        <scheme val="minor"/>
      </rPr>
      <t>HMETO</t>
    </r>
  </si>
  <si>
    <t>COD of all biomasses in activated sludge</t>
  </si>
  <si>
    <r>
      <t>q</t>
    </r>
    <r>
      <rPr>
        <vertAlign val="subscript"/>
        <sz val="11"/>
        <rFont val="Calibri"/>
        <family val="2"/>
      </rPr>
      <t>ASSIM,T</t>
    </r>
    <r>
      <rPr>
        <sz val="11"/>
        <rFont val="Calibri"/>
        <family val="2"/>
      </rPr>
      <t>*X</t>
    </r>
    <r>
      <rPr>
        <vertAlign val="subscript"/>
        <sz val="11"/>
        <rFont val="Calibri"/>
        <family val="2"/>
      </rPr>
      <t>BIO,AS</t>
    </r>
    <r>
      <rPr>
        <sz val="11"/>
        <rFont val="Calibri"/>
        <family val="2"/>
      </rPr>
      <t>*Msat</t>
    </r>
    <r>
      <rPr>
        <vertAlign val="subscript"/>
        <sz val="11"/>
        <rFont val="Calibri"/>
        <family val="2"/>
      </rPr>
      <t>SNOx,KNOx,ASSIM</t>
    </r>
    <r>
      <rPr>
        <sz val="11"/>
        <rFont val="Calibri"/>
        <family val="2"/>
      </rPr>
      <t>*Minh</t>
    </r>
    <r>
      <rPr>
        <vertAlign val="subscript"/>
        <sz val="11"/>
        <rFont val="Calibri"/>
        <family val="2"/>
      </rPr>
      <t>SNHx,KiNHx,ASSIM</t>
    </r>
  </si>
  <si>
    <t>Non-GenThreePondModel</t>
  </si>
  <si>
    <r>
      <t>-EEQ</t>
    </r>
    <r>
      <rPr>
        <vertAlign val="subscript"/>
        <sz val="11"/>
        <rFont val="Calibri"/>
        <family val="2"/>
      </rPr>
      <t>NO3</t>
    </r>
    <r>
      <rPr>
        <sz val="11"/>
        <rFont val="Calibri"/>
        <family val="2"/>
      </rPr>
      <t>*X</t>
    </r>
    <r>
      <rPr>
        <vertAlign val="subscript"/>
        <sz val="11"/>
        <rFont val="Calibri"/>
        <family val="2"/>
      </rPr>
      <t>OHO</t>
    </r>
    <r>
      <rPr>
        <sz val="11"/>
        <rFont val="Calibri"/>
        <family val="2"/>
      </rPr>
      <t>/X</t>
    </r>
    <r>
      <rPr>
        <vertAlign val="subscript"/>
        <sz val="11"/>
        <rFont val="Calibri"/>
        <family val="2"/>
      </rPr>
      <t>BIO,AS</t>
    </r>
  </si>
  <si>
    <r>
      <t>-EEQ</t>
    </r>
    <r>
      <rPr>
        <vertAlign val="subscript"/>
        <sz val="11"/>
        <rFont val="Calibri"/>
        <family val="2"/>
      </rPr>
      <t>NO3</t>
    </r>
    <r>
      <rPr>
        <sz val="11"/>
        <rFont val="Calibri"/>
        <family val="2"/>
      </rPr>
      <t>*X</t>
    </r>
    <r>
      <rPr>
        <vertAlign val="subscript"/>
        <sz val="11"/>
        <rFont val="Calibri"/>
        <family val="2"/>
      </rPr>
      <t>CASTO</t>
    </r>
    <r>
      <rPr>
        <sz val="11"/>
        <rFont val="Calibri"/>
        <family val="2"/>
      </rPr>
      <t>/X</t>
    </r>
    <r>
      <rPr>
        <vertAlign val="subscript"/>
        <sz val="11"/>
        <rFont val="Calibri"/>
        <family val="2"/>
      </rPr>
      <t>BIO,AS</t>
    </r>
  </si>
  <si>
    <r>
      <t>-EEQ</t>
    </r>
    <r>
      <rPr>
        <vertAlign val="subscript"/>
        <sz val="11"/>
        <rFont val="Calibri"/>
        <family val="2"/>
      </rPr>
      <t>NO3</t>
    </r>
    <r>
      <rPr>
        <sz val="11"/>
        <rFont val="Calibri"/>
        <family val="2"/>
      </rPr>
      <t>*X</t>
    </r>
    <r>
      <rPr>
        <vertAlign val="subscript"/>
        <sz val="11"/>
        <rFont val="Calibri"/>
        <family val="2"/>
      </rPr>
      <t>MEOLO</t>
    </r>
    <r>
      <rPr>
        <sz val="11"/>
        <rFont val="Calibri"/>
        <family val="2"/>
      </rPr>
      <t>/X</t>
    </r>
    <r>
      <rPr>
        <vertAlign val="subscript"/>
        <sz val="11"/>
        <rFont val="Calibri"/>
        <family val="2"/>
      </rPr>
      <t>BIO,AS</t>
    </r>
  </si>
  <si>
    <r>
      <t>-EEQ</t>
    </r>
    <r>
      <rPr>
        <vertAlign val="subscript"/>
        <sz val="11"/>
        <rFont val="Calibri"/>
        <family val="2"/>
      </rPr>
      <t>NO3</t>
    </r>
    <r>
      <rPr>
        <sz val="11"/>
        <rFont val="Calibri"/>
        <family val="2"/>
      </rPr>
      <t>*X</t>
    </r>
    <r>
      <rPr>
        <vertAlign val="subscript"/>
        <sz val="11"/>
        <rFont val="Calibri"/>
        <family val="2"/>
      </rPr>
      <t>NITO</t>
    </r>
    <r>
      <rPr>
        <sz val="11"/>
        <rFont val="Calibri"/>
        <family val="2"/>
      </rPr>
      <t>/X</t>
    </r>
    <r>
      <rPr>
        <vertAlign val="subscript"/>
        <sz val="11"/>
        <rFont val="Calibri"/>
        <family val="2"/>
      </rPr>
      <t>BIO,AS</t>
    </r>
  </si>
  <si>
    <r>
      <t>-EEQ</t>
    </r>
    <r>
      <rPr>
        <vertAlign val="subscript"/>
        <sz val="11"/>
        <rFont val="Calibri"/>
        <family val="2"/>
      </rPr>
      <t>NO3</t>
    </r>
    <r>
      <rPr>
        <sz val="11"/>
        <rFont val="Calibri"/>
        <family val="2"/>
      </rPr>
      <t>*X</t>
    </r>
    <r>
      <rPr>
        <vertAlign val="subscript"/>
        <sz val="11"/>
        <rFont val="Calibri"/>
        <family val="2"/>
      </rPr>
      <t>AMETO</t>
    </r>
    <r>
      <rPr>
        <sz val="11"/>
        <rFont val="Calibri"/>
        <family val="2"/>
      </rPr>
      <t>/X</t>
    </r>
    <r>
      <rPr>
        <vertAlign val="subscript"/>
        <sz val="11"/>
        <rFont val="Calibri"/>
        <family val="2"/>
      </rPr>
      <t>BIO,AS</t>
    </r>
  </si>
  <si>
    <r>
      <t>-EEQ</t>
    </r>
    <r>
      <rPr>
        <vertAlign val="subscript"/>
        <sz val="11"/>
        <rFont val="Calibri"/>
        <family val="2"/>
      </rPr>
      <t>NO3</t>
    </r>
    <r>
      <rPr>
        <sz val="11"/>
        <rFont val="Calibri"/>
        <family val="2"/>
      </rPr>
      <t>*X</t>
    </r>
    <r>
      <rPr>
        <vertAlign val="subscript"/>
        <sz val="11"/>
        <rFont val="Calibri"/>
        <family val="2"/>
      </rPr>
      <t>HMETO</t>
    </r>
    <r>
      <rPr>
        <sz val="11"/>
        <rFont val="Calibri"/>
        <family val="2"/>
      </rPr>
      <t>/X</t>
    </r>
    <r>
      <rPr>
        <vertAlign val="subscript"/>
        <sz val="11"/>
        <rFont val="Calibri"/>
        <family val="2"/>
      </rPr>
      <t>BIO,AS</t>
    </r>
  </si>
  <si>
    <r>
      <t>1+i</t>
    </r>
    <r>
      <rPr>
        <vertAlign val="subscript"/>
        <sz val="11"/>
        <rFont val="Calibri"/>
        <family val="2"/>
      </rPr>
      <t>N,BIO</t>
    </r>
    <r>
      <rPr>
        <sz val="11"/>
        <rFont val="Calibri"/>
        <family val="2"/>
      </rPr>
      <t>*EEQ</t>
    </r>
    <r>
      <rPr>
        <vertAlign val="subscript"/>
        <sz val="11"/>
        <rFont val="Calibri"/>
        <family val="2"/>
      </rPr>
      <t>NO3</t>
    </r>
    <r>
      <rPr>
        <sz val="11"/>
        <rFont val="Calibri"/>
        <family val="2"/>
      </rPr>
      <t>*X</t>
    </r>
    <r>
      <rPr>
        <vertAlign val="subscript"/>
        <sz val="11"/>
        <rFont val="Calibri"/>
        <family val="2"/>
      </rPr>
      <t>BIO,AS</t>
    </r>
    <r>
      <rPr>
        <sz val="11"/>
        <rFont val="Calibri"/>
        <family val="2"/>
        <charset val="238"/>
      </rPr>
      <t>/X</t>
    </r>
    <r>
      <rPr>
        <vertAlign val="subscript"/>
        <sz val="11"/>
        <rFont val="Calibri"/>
        <family val="2"/>
      </rPr>
      <t>BIO,AS</t>
    </r>
  </si>
  <si>
    <r>
      <t>i</t>
    </r>
    <r>
      <rPr>
        <vertAlign val="subscript"/>
        <sz val="11"/>
        <rFont val="Calibri"/>
        <family val="2"/>
      </rPr>
      <t>P,BIO</t>
    </r>
    <r>
      <rPr>
        <sz val="11"/>
        <rFont val="Calibri"/>
        <family val="2"/>
      </rPr>
      <t>*EEQ</t>
    </r>
    <r>
      <rPr>
        <vertAlign val="subscript"/>
        <sz val="11"/>
        <rFont val="Calibri"/>
        <family val="2"/>
      </rPr>
      <t>NO3</t>
    </r>
    <r>
      <rPr>
        <sz val="11"/>
        <rFont val="Calibri"/>
        <family val="2"/>
      </rPr>
      <t>*X</t>
    </r>
    <r>
      <rPr>
        <vertAlign val="subscript"/>
        <sz val="11"/>
        <rFont val="Calibri"/>
        <family val="2"/>
      </rPr>
      <t>BIO,AS</t>
    </r>
    <r>
      <rPr>
        <sz val="11"/>
        <rFont val="Calibri"/>
        <family val="2"/>
        <charset val="238"/>
      </rPr>
      <t>/X</t>
    </r>
    <r>
      <rPr>
        <vertAlign val="subscript"/>
        <sz val="11"/>
        <rFont val="Calibri"/>
        <family val="2"/>
      </rPr>
      <t>BIO,AS</t>
    </r>
  </si>
  <si>
    <r>
      <t>i</t>
    </r>
    <r>
      <rPr>
        <vertAlign val="subscript"/>
        <sz val="11"/>
        <rFont val="Calibri"/>
        <family val="2"/>
      </rPr>
      <t>CIT,BIO</t>
    </r>
    <r>
      <rPr>
        <sz val="11"/>
        <rFont val="Calibri"/>
        <family val="2"/>
      </rPr>
      <t>*EEQ</t>
    </r>
    <r>
      <rPr>
        <vertAlign val="subscript"/>
        <sz val="11"/>
        <rFont val="Calibri"/>
        <family val="2"/>
      </rPr>
      <t>NO3</t>
    </r>
    <r>
      <rPr>
        <sz val="11"/>
        <rFont val="Calibri"/>
        <family val="2"/>
      </rPr>
      <t>*X</t>
    </r>
    <r>
      <rPr>
        <vertAlign val="subscript"/>
        <sz val="11"/>
        <rFont val="Calibri"/>
        <family val="2"/>
      </rPr>
      <t>BIO,AS</t>
    </r>
    <r>
      <rPr>
        <sz val="11"/>
        <rFont val="Calibri"/>
        <family val="2"/>
        <charset val="238"/>
      </rPr>
      <t>/X</t>
    </r>
    <r>
      <rPr>
        <vertAlign val="subscript"/>
        <sz val="11"/>
        <rFont val="Calibri"/>
        <family val="2"/>
      </rPr>
      <t>BIO,AS</t>
    </r>
  </si>
  <si>
    <r>
      <t>NO</t>
    </r>
    <r>
      <rPr>
        <vertAlign val="subscript"/>
        <sz val="11"/>
        <color rgb="FF000000"/>
        <rFont val="Calibri"/>
        <family val="2"/>
        <scheme val="minor"/>
      </rPr>
      <t>x</t>
    </r>
    <r>
      <rPr>
        <sz val="11"/>
        <color rgb="FF000000"/>
        <rFont val="Calibri"/>
        <family val="2"/>
        <charset val="238"/>
        <scheme val="minor"/>
      </rPr>
      <t xml:space="preserve"> assimilative reduction</t>
    </r>
    <r>
      <rPr>
        <sz val="11"/>
        <rFont val="Calibri"/>
        <family val="2"/>
      </rPr>
      <t xml:space="preserve"> for X</t>
    </r>
    <r>
      <rPr>
        <vertAlign val="subscript"/>
        <sz val="11"/>
        <rFont val="Calibri"/>
        <family val="2"/>
      </rPr>
      <t>BIO,AS</t>
    </r>
  </si>
  <si>
    <r>
      <t>NO</t>
    </r>
    <r>
      <rPr>
        <vertAlign val="subscript"/>
        <sz val="11"/>
        <color rgb="FF000000"/>
        <rFont val="Calibri"/>
        <family val="2"/>
        <scheme val="minor"/>
      </rPr>
      <t>x</t>
    </r>
    <r>
      <rPr>
        <sz val="11"/>
        <color rgb="FF000000"/>
        <rFont val="Calibri"/>
        <family val="2"/>
        <charset val="238"/>
        <scheme val="minor"/>
      </rPr>
      <t xml:space="preserve"> assimilative reduction</t>
    </r>
    <r>
      <rPr>
        <sz val="11"/>
        <rFont val="Calibri"/>
        <family val="2"/>
      </rPr>
      <t xml:space="preserve"> for X</t>
    </r>
    <r>
      <rPr>
        <vertAlign val="subscript"/>
        <sz val="11"/>
        <rFont val="Calibri"/>
        <family val="2"/>
      </rPr>
      <t>ALGAE</t>
    </r>
  </si>
  <si>
    <r>
      <t>pH</t>
    </r>
    <r>
      <rPr>
        <vertAlign val="subscript"/>
        <sz val="11"/>
        <rFont val="Calibri"/>
        <family val="2"/>
        <scheme val="minor"/>
      </rPr>
      <t>low,NITO</t>
    </r>
  </si>
  <si>
    <r>
      <t>pH</t>
    </r>
    <r>
      <rPr>
        <vertAlign val="subscript"/>
        <sz val="11"/>
        <rFont val="Calibri"/>
        <family val="2"/>
        <scheme val="minor"/>
      </rPr>
      <t>high,NITO</t>
    </r>
  </si>
  <si>
    <r>
      <t>µ</t>
    </r>
    <r>
      <rPr>
        <vertAlign val="subscript"/>
        <sz val="11"/>
        <rFont val="Calibri"/>
        <family val="2"/>
      </rPr>
      <t>NITO,T</t>
    </r>
    <r>
      <rPr>
        <sz val="11"/>
        <rFont val="Calibri"/>
        <family val="2"/>
      </rPr>
      <t>*X</t>
    </r>
    <r>
      <rPr>
        <vertAlign val="subscript"/>
        <sz val="11"/>
        <rFont val="Calibri"/>
        <family val="2"/>
      </rPr>
      <t>NITO</t>
    </r>
    <r>
      <rPr>
        <sz val="11"/>
        <rFont val="Calibri"/>
        <family val="2"/>
      </rPr>
      <t>*Msat</t>
    </r>
    <r>
      <rPr>
        <vertAlign val="subscript"/>
        <sz val="11"/>
        <rFont val="Calibri"/>
        <family val="2"/>
      </rPr>
      <t>SNHx,KNHx,NITO</t>
    </r>
    <r>
      <rPr>
        <sz val="11"/>
        <rFont val="Calibri"/>
        <family val="2"/>
      </rPr>
      <t>*LogsatpH</t>
    </r>
    <r>
      <rPr>
        <vertAlign val="subscript"/>
        <sz val="11"/>
        <rFont val="Calibri"/>
        <family val="2"/>
      </rPr>
      <t>CO2,NITO</t>
    </r>
    <r>
      <rPr>
        <sz val="11"/>
        <rFont val="Calibri"/>
        <family val="2"/>
      </rPr>
      <t>*Msat</t>
    </r>
    <r>
      <rPr>
        <vertAlign val="subscript"/>
        <sz val="11"/>
        <rFont val="Calibri"/>
        <family val="2"/>
      </rPr>
      <t>SO2,KO2,NITO</t>
    </r>
    <r>
      <rPr>
        <sz val="11"/>
        <rFont val="Calibri"/>
        <family val="2"/>
      </rPr>
      <t>*Msat</t>
    </r>
    <r>
      <rPr>
        <vertAlign val="subscript"/>
        <sz val="11"/>
        <rFont val="Calibri"/>
        <family val="2"/>
      </rPr>
      <t>SPO4,KPO4,BIO</t>
    </r>
    <r>
      <rPr>
        <sz val="11"/>
        <rFont val="Calibri"/>
        <family val="2"/>
      </rPr>
      <t>*Msat</t>
    </r>
    <r>
      <rPr>
        <vertAlign val="subscript"/>
        <sz val="11"/>
        <rFont val="Calibri"/>
        <family val="2"/>
      </rPr>
      <t>SCAT,KCAT</t>
    </r>
    <r>
      <rPr>
        <sz val="11"/>
        <rFont val="Calibri"/>
        <family val="2"/>
      </rPr>
      <t>*Msat</t>
    </r>
    <r>
      <rPr>
        <vertAlign val="subscript"/>
        <sz val="11"/>
        <rFont val="Calibri"/>
        <family val="2"/>
      </rPr>
      <t>SAN,KAN</t>
    </r>
    <r>
      <rPr>
        <sz val="11"/>
        <rFont val="Calibri"/>
        <family val="2"/>
      </rPr>
      <t>*Msat</t>
    </r>
    <r>
      <rPr>
        <vertAlign val="subscript"/>
        <sz val="11"/>
        <rFont val="Calibri"/>
        <family val="2"/>
      </rPr>
      <t>SCa,KCa</t>
    </r>
    <r>
      <rPr>
        <sz val="11"/>
        <rFont val="Calibri"/>
        <family val="2"/>
      </rPr>
      <t>*Msat</t>
    </r>
    <r>
      <rPr>
        <vertAlign val="subscript"/>
        <sz val="11"/>
        <rFont val="Calibri"/>
        <family val="2"/>
      </rPr>
      <t>SMg,KMg</t>
    </r>
    <r>
      <rPr>
        <sz val="11"/>
        <rFont val="Calibri"/>
        <family val="2"/>
      </rPr>
      <t>*MinhpH</t>
    </r>
    <r>
      <rPr>
        <vertAlign val="subscript"/>
        <sz val="11"/>
        <rFont val="Calibri"/>
        <family val="2"/>
      </rPr>
      <t>NH3,NITO</t>
    </r>
    <r>
      <rPr>
        <sz val="11"/>
        <rFont val="Calibri"/>
        <family val="2"/>
      </rPr>
      <t>*Bellinh</t>
    </r>
    <r>
      <rPr>
        <vertAlign val="subscript"/>
        <sz val="11"/>
        <rFont val="Calibri"/>
        <family val="2"/>
      </rPr>
      <t>pH,NITO</t>
    </r>
  </si>
  <si>
    <r>
      <t>Bellinh</t>
    </r>
    <r>
      <rPr>
        <vertAlign val="subscript"/>
        <sz val="11"/>
        <rFont val="Calibri"/>
        <family val="2"/>
        <scheme val="minor"/>
      </rPr>
      <t>pH,NITO</t>
    </r>
  </si>
  <si>
    <t>pH inhibition (Bell shaped) (NITO)</t>
  </si>
  <si>
    <r>
      <t>Bellinh(pH;pH</t>
    </r>
    <r>
      <rPr>
        <vertAlign val="subscript"/>
        <sz val="11"/>
        <rFont val="Calibri"/>
        <family val="2"/>
        <scheme val="minor"/>
      </rPr>
      <t>low,NITO</t>
    </r>
    <r>
      <rPr>
        <sz val="11"/>
        <rFont val="Calibri"/>
        <family val="2"/>
        <scheme val="minor"/>
      </rPr>
      <t>;pH</t>
    </r>
    <r>
      <rPr>
        <vertAlign val="subscript"/>
        <sz val="11"/>
        <rFont val="Calibri"/>
        <family val="2"/>
        <scheme val="minor"/>
      </rPr>
      <t>high,NITO</t>
    </r>
    <r>
      <rPr>
        <sz val="11"/>
        <rFont val="Calibri"/>
        <family val="2"/>
        <scheme val="minor"/>
      </rPr>
      <t>)</t>
    </r>
  </si>
  <si>
    <t>pH inhibition low value for NITOs</t>
  </si>
  <si>
    <t>pH inhibition high value for NITOs</t>
  </si>
  <si>
    <r>
      <t>S</t>
    </r>
    <r>
      <rPr>
        <b/>
        <vertAlign val="subscript"/>
        <sz val="11"/>
        <rFont val="Calibri"/>
        <family val="2"/>
        <charset val="238"/>
        <scheme val="minor"/>
      </rPr>
      <t>H</t>
    </r>
  </si>
  <si>
    <r>
      <t>S</t>
    </r>
    <r>
      <rPr>
        <b/>
        <vertAlign val="subscript"/>
        <sz val="12"/>
        <rFont val="Calibri"/>
        <family val="2"/>
        <charset val="238"/>
        <scheme val="minor"/>
      </rPr>
      <t>H</t>
    </r>
  </si>
  <si>
    <r>
      <t>(S</t>
    </r>
    <r>
      <rPr>
        <vertAlign val="subscript"/>
        <sz val="11"/>
        <rFont val="Calibri"/>
        <family val="2"/>
        <charset val="238"/>
        <scheme val="minor"/>
      </rPr>
      <t>H</t>
    </r>
    <r>
      <rPr>
        <sz val="11"/>
        <rFont val="Calibri"/>
        <family val="2"/>
        <scheme val="minor"/>
      </rPr>
      <t>-H</t>
    </r>
    <r>
      <rPr>
        <vertAlign val="subscript"/>
        <sz val="11"/>
        <rFont val="Calibri"/>
        <family val="2"/>
        <scheme val="minor"/>
      </rPr>
      <t>STP</t>
    </r>
    <r>
      <rPr>
        <sz val="11"/>
        <rFont val="Calibri"/>
        <family val="2"/>
        <scheme val="minor"/>
      </rPr>
      <t>)/c</t>
    </r>
    <r>
      <rPr>
        <vertAlign val="subscript"/>
        <sz val="11"/>
        <rFont val="Calibri"/>
        <family val="2"/>
        <scheme val="minor"/>
      </rPr>
      <t>p,water</t>
    </r>
  </si>
  <si>
    <t>Non-Input; pHSet; IS</t>
  </si>
  <si>
    <t>Energy</t>
  </si>
  <si>
    <r>
      <t>X</t>
    </r>
    <r>
      <rPr>
        <vertAlign val="subscript"/>
        <sz val="11"/>
        <rFont val="Calibri"/>
        <family val="2"/>
        <scheme val="minor"/>
      </rPr>
      <t>VSS</t>
    </r>
    <r>
      <rPr>
        <sz val="11"/>
        <rFont val="Calibri"/>
        <family val="2"/>
        <scheme val="minor"/>
      </rPr>
      <t xml:space="preserve"> + S</t>
    </r>
    <r>
      <rPr>
        <vertAlign val="subscript"/>
        <sz val="11"/>
        <rFont val="Calibri"/>
        <family val="2"/>
        <scheme val="minor"/>
      </rPr>
      <t>U</t>
    </r>
    <r>
      <rPr>
        <sz val="11"/>
        <rFont val="Calibri"/>
        <family val="2"/>
        <scheme val="minor"/>
      </rPr>
      <t>/i</t>
    </r>
    <r>
      <rPr>
        <vertAlign val="subscript"/>
        <sz val="11"/>
        <rFont val="Calibri"/>
        <family val="2"/>
        <scheme val="minor"/>
      </rPr>
      <t>CV,SU</t>
    </r>
    <r>
      <rPr>
        <sz val="11"/>
        <rFont val="Calibri"/>
        <family val="2"/>
        <scheme val="minor"/>
      </rPr>
      <t xml:space="preserve"> + S</t>
    </r>
    <r>
      <rPr>
        <vertAlign val="subscript"/>
        <sz val="11"/>
        <rFont val="Calibri"/>
        <family val="2"/>
        <scheme val="minor"/>
      </rPr>
      <t>B</t>
    </r>
    <r>
      <rPr>
        <sz val="11"/>
        <rFont val="Calibri"/>
        <family val="2"/>
        <scheme val="minor"/>
      </rPr>
      <t>/i</t>
    </r>
    <r>
      <rPr>
        <vertAlign val="subscript"/>
        <sz val="11"/>
        <rFont val="Calibri"/>
        <family val="2"/>
        <scheme val="minor"/>
      </rPr>
      <t>CV,SB</t>
    </r>
    <r>
      <rPr>
        <sz val="11"/>
        <rFont val="Calibri"/>
        <family val="2"/>
        <scheme val="minor"/>
      </rPr>
      <t xml:space="preserve"> +  f</t>
    </r>
    <r>
      <rPr>
        <vertAlign val="subscript"/>
        <sz val="11"/>
        <rFont val="Calibri"/>
        <family val="2"/>
        <scheme val="minor"/>
      </rPr>
      <t>VFA,DM</t>
    </r>
    <r>
      <rPr>
        <sz val="11"/>
        <rFont val="Calibri"/>
        <family val="2"/>
        <scheme val="minor"/>
      </rPr>
      <t>*S</t>
    </r>
    <r>
      <rPr>
        <vertAlign val="subscript"/>
        <sz val="11"/>
        <rFont val="Calibri"/>
        <family val="2"/>
        <scheme val="minor"/>
      </rPr>
      <t>VFA</t>
    </r>
    <r>
      <rPr>
        <sz val="11"/>
        <rFont val="Calibri"/>
        <family val="2"/>
        <scheme val="minor"/>
      </rPr>
      <t>/i</t>
    </r>
    <r>
      <rPr>
        <vertAlign val="subscript"/>
        <sz val="11"/>
        <rFont val="Calibri"/>
        <family val="2"/>
        <scheme val="minor"/>
      </rPr>
      <t>CV,VFA</t>
    </r>
    <r>
      <rPr>
        <sz val="11"/>
        <rFont val="Calibri"/>
        <family val="2"/>
        <scheme val="minor"/>
      </rPr>
      <t xml:space="preserve"> + C</t>
    </r>
    <r>
      <rPr>
        <vertAlign val="subscript"/>
        <sz val="11"/>
        <rFont val="Calibri"/>
        <family val="2"/>
        <scheme val="minor"/>
      </rPr>
      <t>B</t>
    </r>
    <r>
      <rPr>
        <sz val="11"/>
        <rFont val="Calibri"/>
        <family val="2"/>
        <scheme val="minor"/>
      </rPr>
      <t>/i</t>
    </r>
    <r>
      <rPr>
        <vertAlign val="subscript"/>
        <sz val="11"/>
        <rFont val="Calibri"/>
        <family val="2"/>
        <scheme val="minor"/>
      </rPr>
      <t>CV,CB</t>
    </r>
    <r>
      <rPr>
        <sz val="11"/>
        <rFont val="Calibri"/>
        <family val="2"/>
        <scheme val="minor"/>
      </rPr>
      <t xml:space="preserve"> + C</t>
    </r>
    <r>
      <rPr>
        <vertAlign val="subscript"/>
        <sz val="11"/>
        <rFont val="Calibri"/>
        <family val="2"/>
        <scheme val="minor"/>
      </rPr>
      <t>U</t>
    </r>
    <r>
      <rPr>
        <sz val="11"/>
        <rFont val="Calibri"/>
        <family val="2"/>
        <scheme val="minor"/>
      </rPr>
      <t>/i</t>
    </r>
    <r>
      <rPr>
        <vertAlign val="subscript"/>
        <sz val="11"/>
        <rFont val="Calibri"/>
        <family val="2"/>
        <scheme val="minor"/>
      </rPr>
      <t>CV,CU</t>
    </r>
  </si>
  <si>
    <r>
      <t>X</t>
    </r>
    <r>
      <rPr>
        <vertAlign val="subscript"/>
        <sz val="11"/>
        <rFont val="Calibri"/>
        <family val="2"/>
        <scheme val="minor"/>
      </rPr>
      <t>P</t>
    </r>
  </si>
  <si>
    <t>Particulate phosphorus</t>
  </si>
  <si>
    <r>
      <t>T</t>
    </r>
    <r>
      <rPr>
        <vertAlign val="subscript"/>
        <sz val="11"/>
        <rFont val="Calibri"/>
        <family val="2"/>
        <scheme val="minor"/>
      </rPr>
      <t>P</t>
    </r>
    <r>
      <rPr>
        <sz val="11"/>
        <rFont val="Calibri"/>
        <family val="2"/>
        <scheme val="minor"/>
      </rPr>
      <t>-S</t>
    </r>
    <r>
      <rPr>
        <vertAlign val="subscript"/>
        <sz val="11"/>
        <rFont val="Calibri"/>
        <family val="2"/>
        <scheme val="minor"/>
      </rPr>
      <t>P</t>
    </r>
  </si>
  <si>
    <t>Particulate total nitrogen</t>
  </si>
  <si>
    <r>
      <t>T</t>
    </r>
    <r>
      <rPr>
        <vertAlign val="subscript"/>
        <sz val="11"/>
        <rFont val="Calibri"/>
        <family val="2"/>
        <scheme val="minor"/>
      </rPr>
      <t>KN</t>
    </r>
    <r>
      <rPr>
        <sz val="11"/>
        <rFont val="Calibri"/>
        <family val="2"/>
        <scheme val="minor"/>
      </rPr>
      <t>-S</t>
    </r>
    <r>
      <rPr>
        <vertAlign val="subscript"/>
        <sz val="11"/>
        <rFont val="Calibri"/>
        <family val="2"/>
        <scheme val="minor"/>
      </rPr>
      <t>KN</t>
    </r>
  </si>
  <si>
    <r>
      <t>q</t>
    </r>
    <r>
      <rPr>
        <vertAlign val="subscript"/>
        <sz val="11"/>
        <rFont val="Calibri"/>
        <family val="2"/>
        <scheme val="minor"/>
      </rPr>
      <t>PFOA,SORP</t>
    </r>
  </si>
  <si>
    <t>Sorption rate of PFOA to solids</t>
  </si>
  <si>
    <t>to be calibrated (default from Wei et al., DOI: 10.1016/j.ecoenv.2017.03.040)</t>
  </si>
  <si>
    <r>
      <t>q</t>
    </r>
    <r>
      <rPr>
        <vertAlign val="subscript"/>
        <sz val="11"/>
        <rFont val="Calibri"/>
        <family val="2"/>
        <scheme val="minor"/>
      </rPr>
      <t>PFOS,SORP</t>
    </r>
  </si>
  <si>
    <t>Sorption rate of PFOS to solids</t>
  </si>
  <si>
    <r>
      <t>K</t>
    </r>
    <r>
      <rPr>
        <vertAlign val="subscript"/>
        <sz val="11"/>
        <rFont val="Calibri"/>
        <family val="2"/>
        <scheme val="minor"/>
      </rPr>
      <t>OC,PFOA,EQ</t>
    </r>
  </si>
  <si>
    <t>PFOA organic carbon/water equilibrium distribution coefficient</t>
  </si>
  <si>
    <r>
      <t>L.kg</t>
    </r>
    <r>
      <rPr>
        <vertAlign val="superscript"/>
        <sz val="11"/>
        <rFont val="Calibri"/>
        <family val="2"/>
        <scheme val="minor"/>
      </rPr>
      <t>-1</t>
    </r>
  </si>
  <si>
    <r>
      <t>global average log K</t>
    </r>
    <r>
      <rPr>
        <vertAlign val="subscript"/>
        <sz val="11"/>
        <rFont val="Calibri"/>
        <family val="2"/>
        <charset val="238"/>
        <scheme val="minor"/>
      </rPr>
      <t>OC</t>
    </r>
    <r>
      <rPr>
        <sz val="11"/>
        <rFont val="Calibri"/>
        <family val="2"/>
        <scheme val="minor"/>
      </rPr>
      <t xml:space="preserve"> around 3.7 for sewage sludge (Zareitalabad et al., DOI: 10.1016/j.chemosphere.2013.02.024)</t>
    </r>
  </si>
  <si>
    <r>
      <t>K</t>
    </r>
    <r>
      <rPr>
        <vertAlign val="subscript"/>
        <sz val="11"/>
        <rFont val="Calibri"/>
        <family val="2"/>
        <scheme val="minor"/>
      </rPr>
      <t>OC,PFOS,EQ</t>
    </r>
  </si>
  <si>
    <t>PFOS organic carbon/water equilibrium distribution coefficient</t>
  </si>
  <si>
    <r>
      <t>global average log K</t>
    </r>
    <r>
      <rPr>
        <vertAlign val="subscript"/>
        <sz val="11"/>
        <rFont val="Calibri"/>
        <family val="2"/>
        <charset val="238"/>
        <scheme val="minor"/>
      </rPr>
      <t>OC</t>
    </r>
    <r>
      <rPr>
        <sz val="11"/>
        <rFont val="Calibri"/>
        <family val="2"/>
        <scheme val="minor"/>
      </rPr>
      <t xml:space="preserve"> around 4.3 for sewage sludge (Zareitalabad et al., DOI: 10.1016/j.chemosphere.2013.02.024)</t>
    </r>
  </si>
  <si>
    <r>
      <t>S</t>
    </r>
    <r>
      <rPr>
        <b/>
        <vertAlign val="subscript"/>
        <sz val="11"/>
        <rFont val="Calibri"/>
        <family val="2"/>
      </rPr>
      <t>PFOA</t>
    </r>
  </si>
  <si>
    <t>Dissolved Perfluorooctanoic Acid (PFOA)</t>
  </si>
  <si>
    <r>
      <t>g PFAS.m</t>
    </r>
    <r>
      <rPr>
        <vertAlign val="superscript"/>
        <sz val="11"/>
        <color theme="1"/>
        <rFont val="Calibri"/>
        <family val="2"/>
        <charset val="238"/>
        <scheme val="minor"/>
      </rPr>
      <t>-3</t>
    </r>
  </si>
  <si>
    <t>PFAS</t>
  </si>
  <si>
    <r>
      <t>X</t>
    </r>
    <r>
      <rPr>
        <b/>
        <vertAlign val="subscript"/>
        <sz val="11"/>
        <rFont val="Calibri"/>
        <family val="2"/>
      </rPr>
      <t>PFOA</t>
    </r>
  </si>
  <si>
    <t>Adsorbed Perfluorooctanoic Acid (PFOA)</t>
  </si>
  <si>
    <r>
      <t>S</t>
    </r>
    <r>
      <rPr>
        <b/>
        <vertAlign val="subscript"/>
        <sz val="11"/>
        <rFont val="Calibri"/>
        <family val="2"/>
      </rPr>
      <t>PFOS</t>
    </r>
  </si>
  <si>
    <t>Dissolved Perfluorooctyl Sulfonate (PFOS)</t>
  </si>
  <si>
    <r>
      <t>X</t>
    </r>
    <r>
      <rPr>
        <b/>
        <vertAlign val="subscript"/>
        <sz val="11"/>
        <rFont val="Calibri"/>
        <family val="2"/>
      </rPr>
      <t>PFOS</t>
    </r>
  </si>
  <si>
    <t>Adsorbed Perfluorooctyl Sulfonate (PFOS)</t>
  </si>
  <si>
    <t>PFOA sorption</t>
  </si>
  <si>
    <r>
      <t>q</t>
    </r>
    <r>
      <rPr>
        <vertAlign val="subscript"/>
        <sz val="11"/>
        <rFont val="Calibri"/>
        <family val="2"/>
      </rPr>
      <t>PFOA,SORP</t>
    </r>
    <r>
      <rPr>
        <sz val="11"/>
        <rFont val="Calibri"/>
        <family val="2"/>
      </rPr>
      <t>*</t>
    </r>
    <r>
      <rPr>
        <sz val="11"/>
        <rFont val="Calibri"/>
        <family val="2"/>
        <charset val="238"/>
      </rPr>
      <t>(S</t>
    </r>
    <r>
      <rPr>
        <vertAlign val="subscript"/>
        <sz val="11"/>
        <rFont val="Calibri"/>
        <family val="2"/>
        <charset val="238"/>
      </rPr>
      <t>PFOA</t>
    </r>
    <r>
      <rPr>
        <sz val="11"/>
        <rFont val="Calibri"/>
        <family val="2"/>
        <charset val="238"/>
      </rPr>
      <t xml:space="preserve"> - (X</t>
    </r>
    <r>
      <rPr>
        <vertAlign val="subscript"/>
        <sz val="11"/>
        <rFont val="Calibri"/>
        <family val="2"/>
        <charset val="238"/>
      </rPr>
      <t>PFOA</t>
    </r>
    <r>
      <rPr>
        <sz val="11"/>
        <rFont val="Calibri"/>
        <family val="2"/>
        <charset val="238"/>
      </rPr>
      <t>/X</t>
    </r>
    <r>
      <rPr>
        <vertAlign val="subscript"/>
        <sz val="11"/>
        <rFont val="Calibri"/>
        <family val="2"/>
        <charset val="238"/>
      </rPr>
      <t>VSS</t>
    </r>
    <r>
      <rPr>
        <sz val="11"/>
        <rFont val="Calibri"/>
        <family val="2"/>
        <charset val="238"/>
      </rPr>
      <t>)*(c</t>
    </r>
    <r>
      <rPr>
        <vertAlign val="subscript"/>
        <sz val="11"/>
        <rFont val="Calibri"/>
        <family val="2"/>
        <charset val="238"/>
      </rPr>
      <t>g,kg</t>
    </r>
    <r>
      <rPr>
        <sz val="11"/>
        <rFont val="Calibri"/>
        <family val="2"/>
        <charset val="238"/>
      </rPr>
      <t>*c</t>
    </r>
    <r>
      <rPr>
        <vertAlign val="subscript"/>
        <sz val="11"/>
        <rFont val="Calibri"/>
        <family val="2"/>
        <charset val="238"/>
      </rPr>
      <t>mg,g</t>
    </r>
    <r>
      <rPr>
        <sz val="11"/>
        <rFont val="Calibri"/>
        <family val="2"/>
        <charset val="238"/>
      </rPr>
      <t>)/K</t>
    </r>
    <r>
      <rPr>
        <vertAlign val="subscript"/>
        <sz val="11"/>
        <rFont val="Calibri"/>
        <family val="2"/>
        <charset val="238"/>
      </rPr>
      <t>OC,PFOA,EQ</t>
    </r>
    <r>
      <rPr>
        <sz val="11"/>
        <rFont val="Calibri"/>
        <family val="2"/>
        <charset val="238"/>
      </rPr>
      <t>)</t>
    </r>
  </si>
  <si>
    <t>PFOS sorption</t>
  </si>
  <si>
    <r>
      <t>q</t>
    </r>
    <r>
      <rPr>
        <vertAlign val="subscript"/>
        <sz val="11"/>
        <rFont val="Calibri"/>
        <family val="2"/>
      </rPr>
      <t>PFOS,SORP</t>
    </r>
    <r>
      <rPr>
        <sz val="11"/>
        <rFont val="Calibri"/>
        <family val="2"/>
      </rPr>
      <t>*</t>
    </r>
    <r>
      <rPr>
        <sz val="11"/>
        <rFont val="Calibri"/>
        <family val="2"/>
        <charset val="238"/>
      </rPr>
      <t>(S</t>
    </r>
    <r>
      <rPr>
        <vertAlign val="subscript"/>
        <sz val="11"/>
        <rFont val="Calibri"/>
        <family val="2"/>
        <charset val="238"/>
      </rPr>
      <t>PFOS</t>
    </r>
    <r>
      <rPr>
        <sz val="11"/>
        <rFont val="Calibri"/>
        <family val="2"/>
        <charset val="238"/>
      </rPr>
      <t xml:space="preserve"> - (X</t>
    </r>
    <r>
      <rPr>
        <vertAlign val="subscript"/>
        <sz val="11"/>
        <rFont val="Calibri"/>
        <family val="2"/>
        <charset val="238"/>
      </rPr>
      <t>PFOS</t>
    </r>
    <r>
      <rPr>
        <sz val="11"/>
        <rFont val="Calibri"/>
        <family val="2"/>
        <charset val="238"/>
      </rPr>
      <t>/X</t>
    </r>
    <r>
      <rPr>
        <vertAlign val="subscript"/>
        <sz val="11"/>
        <rFont val="Calibri"/>
        <family val="2"/>
        <charset val="238"/>
      </rPr>
      <t>VSS</t>
    </r>
    <r>
      <rPr>
        <sz val="11"/>
        <rFont val="Calibri"/>
        <family val="2"/>
        <charset val="238"/>
      </rPr>
      <t>)*(c</t>
    </r>
    <r>
      <rPr>
        <vertAlign val="subscript"/>
        <sz val="11"/>
        <rFont val="Calibri"/>
        <family val="2"/>
        <charset val="238"/>
      </rPr>
      <t>g,kg</t>
    </r>
    <r>
      <rPr>
        <sz val="11"/>
        <rFont val="Calibri"/>
        <family val="2"/>
        <charset val="238"/>
      </rPr>
      <t>*c</t>
    </r>
    <r>
      <rPr>
        <vertAlign val="subscript"/>
        <sz val="11"/>
        <rFont val="Calibri"/>
        <family val="2"/>
        <charset val="238"/>
      </rPr>
      <t>mg,g</t>
    </r>
    <r>
      <rPr>
        <sz val="11"/>
        <rFont val="Calibri"/>
        <family val="2"/>
        <charset val="238"/>
      </rPr>
      <t>)/K</t>
    </r>
    <r>
      <rPr>
        <vertAlign val="subscript"/>
        <sz val="11"/>
        <rFont val="Calibri"/>
        <family val="2"/>
        <charset val="238"/>
      </rPr>
      <t>OC,PFOS,EQ</t>
    </r>
    <r>
      <rPr>
        <sz val="11"/>
        <rFont val="Calibri"/>
        <family val="2"/>
        <charset val="238"/>
      </rPr>
      <t>)</t>
    </r>
  </si>
  <si>
    <t>r89</t>
  </si>
  <si>
    <t>r90</t>
  </si>
  <si>
    <r>
      <t>S</t>
    </r>
    <r>
      <rPr>
        <b/>
        <vertAlign val="subscript"/>
        <sz val="12"/>
        <rFont val="Calibri"/>
        <family val="2"/>
        <charset val="238"/>
        <scheme val="minor"/>
      </rPr>
      <t>PFOA</t>
    </r>
  </si>
  <si>
    <r>
      <t>X</t>
    </r>
    <r>
      <rPr>
        <b/>
        <vertAlign val="subscript"/>
        <sz val="12"/>
        <rFont val="Calibri"/>
        <family val="2"/>
        <charset val="238"/>
        <scheme val="minor"/>
      </rPr>
      <t>PFOA</t>
    </r>
  </si>
  <si>
    <r>
      <t>S</t>
    </r>
    <r>
      <rPr>
        <b/>
        <vertAlign val="subscript"/>
        <sz val="12"/>
        <rFont val="Calibri"/>
        <family val="2"/>
        <charset val="238"/>
        <scheme val="minor"/>
      </rPr>
      <t>PFOS</t>
    </r>
  </si>
  <si>
    <r>
      <t>X</t>
    </r>
    <r>
      <rPr>
        <b/>
        <vertAlign val="subscript"/>
        <sz val="12"/>
        <rFont val="Calibri"/>
        <family val="2"/>
        <charset val="238"/>
        <scheme val="minor"/>
      </rPr>
      <t>PFOS</t>
    </r>
  </si>
  <si>
    <r>
      <t>T</t>
    </r>
    <r>
      <rPr>
        <vertAlign val="subscript"/>
        <sz val="11"/>
        <rFont val="Calibri"/>
        <family val="2"/>
      </rPr>
      <t>PFOA</t>
    </r>
  </si>
  <si>
    <t>Total PFOA</t>
  </si>
  <si>
    <r>
      <t>S</t>
    </r>
    <r>
      <rPr>
        <vertAlign val="subscript"/>
        <sz val="11"/>
        <rFont val="Calibri"/>
        <family val="2"/>
        <scheme val="minor"/>
      </rPr>
      <t>PFOA</t>
    </r>
    <r>
      <rPr>
        <sz val="11"/>
        <rFont val="Calibri"/>
        <family val="2"/>
        <scheme val="minor"/>
      </rPr>
      <t xml:space="preserve"> + X</t>
    </r>
    <r>
      <rPr>
        <vertAlign val="subscript"/>
        <sz val="11"/>
        <rFont val="Calibri"/>
        <family val="2"/>
        <scheme val="minor"/>
      </rPr>
      <t>PFOA</t>
    </r>
  </si>
  <si>
    <r>
      <t>g PFAS.m</t>
    </r>
    <r>
      <rPr>
        <vertAlign val="superscript"/>
        <sz val="11"/>
        <rFont val="Calibri"/>
        <family val="2"/>
        <scheme val="minor"/>
      </rPr>
      <t>-3</t>
    </r>
  </si>
  <si>
    <r>
      <t>T</t>
    </r>
    <r>
      <rPr>
        <vertAlign val="subscript"/>
        <sz val="11"/>
        <rFont val="Calibri"/>
        <family val="2"/>
      </rPr>
      <t>PFOS</t>
    </r>
  </si>
  <si>
    <t>Total PFOS</t>
  </si>
  <si>
    <r>
      <t>S</t>
    </r>
    <r>
      <rPr>
        <vertAlign val="subscript"/>
        <sz val="11"/>
        <rFont val="Calibri"/>
        <family val="2"/>
        <scheme val="minor"/>
      </rPr>
      <t>PFOS</t>
    </r>
    <r>
      <rPr>
        <sz val="11"/>
        <rFont val="Calibri"/>
        <family val="2"/>
        <scheme val="minor"/>
      </rPr>
      <t xml:space="preserve"> + X</t>
    </r>
    <r>
      <rPr>
        <vertAlign val="subscript"/>
        <sz val="11"/>
        <rFont val="Calibri"/>
        <family val="2"/>
        <scheme val="minor"/>
      </rPr>
      <t>PFOS</t>
    </r>
  </si>
  <si>
    <r>
      <t>X</t>
    </r>
    <r>
      <rPr>
        <vertAlign val="subscript"/>
        <sz val="11"/>
        <rFont val="Calibri"/>
        <family val="2"/>
        <scheme val="minor"/>
      </rPr>
      <t>KN</t>
    </r>
  </si>
  <si>
    <r>
      <t>Msat</t>
    </r>
    <r>
      <rPr>
        <vertAlign val="subscript"/>
        <sz val="11"/>
        <rFont val="Calibri"/>
        <family val="2"/>
        <scheme val="minor"/>
      </rPr>
      <t>CB,KCB,FLOC</t>
    </r>
  </si>
  <si>
    <t>Saturation term for colloidal biodegradable substrate in low biomass condition (flocculation)</t>
  </si>
  <si>
    <r>
      <t>Msat(C</t>
    </r>
    <r>
      <rPr>
        <vertAlign val="subscript"/>
        <sz val="11"/>
        <rFont val="Calibri"/>
        <family val="2"/>
        <scheme val="minor"/>
      </rPr>
      <t>B</t>
    </r>
    <r>
      <rPr>
        <sz val="11"/>
        <rFont val="Calibri"/>
        <family val="2"/>
        <scheme val="minor"/>
      </rPr>
      <t>;K</t>
    </r>
    <r>
      <rPr>
        <vertAlign val="subscript"/>
        <sz val="11"/>
        <rFont val="Calibri"/>
        <family val="2"/>
        <scheme val="minor"/>
      </rPr>
      <t>CB,FLOC</t>
    </r>
    <r>
      <rPr>
        <sz val="11"/>
        <rFont val="Calibri"/>
        <family val="2"/>
        <scheme val="minor"/>
      </rPr>
      <t>)</t>
    </r>
  </si>
  <si>
    <r>
      <t>Msat</t>
    </r>
    <r>
      <rPr>
        <vertAlign val="subscript"/>
        <sz val="11"/>
        <rFont val="Calibri"/>
        <family val="2"/>
        <scheme val="minor"/>
      </rPr>
      <t>CU,KCU,FLOC</t>
    </r>
  </si>
  <si>
    <t>Saturation term for colloidal unbiodegradable organics in low biomass condition  (floculation)</t>
  </si>
  <si>
    <r>
      <t>Msat(C</t>
    </r>
    <r>
      <rPr>
        <vertAlign val="subscript"/>
        <sz val="11"/>
        <rFont val="Calibri"/>
        <family val="2"/>
        <scheme val="minor"/>
      </rPr>
      <t>U</t>
    </r>
    <r>
      <rPr>
        <sz val="11"/>
        <rFont val="Calibri"/>
        <family val="2"/>
        <scheme val="minor"/>
      </rPr>
      <t>;K</t>
    </r>
    <r>
      <rPr>
        <vertAlign val="subscript"/>
        <sz val="11"/>
        <rFont val="Calibri"/>
        <family val="2"/>
        <scheme val="minor"/>
      </rPr>
      <t>CU,FLOC</t>
    </r>
    <r>
      <rPr>
        <sz val="11"/>
        <rFont val="Calibri"/>
        <family val="2"/>
        <scheme val="minor"/>
      </rPr>
      <t>)</t>
    </r>
  </si>
  <si>
    <r>
      <t>Msat</t>
    </r>
    <r>
      <rPr>
        <vertAlign val="subscript"/>
        <sz val="11"/>
        <rFont val="Calibri"/>
        <family val="2"/>
        <scheme val="minor"/>
      </rPr>
      <t>XB,KXB,HYD</t>
    </r>
  </si>
  <si>
    <t>Saturation term for slowly biodegradable substrate in low biomass condition (hydrolysis)</t>
  </si>
  <si>
    <r>
      <t>Msat(X</t>
    </r>
    <r>
      <rPr>
        <vertAlign val="subscript"/>
        <sz val="11"/>
        <rFont val="Calibri"/>
        <family val="2"/>
        <scheme val="minor"/>
      </rPr>
      <t>B</t>
    </r>
    <r>
      <rPr>
        <sz val="11"/>
        <rFont val="Calibri"/>
        <family val="2"/>
        <scheme val="minor"/>
      </rPr>
      <t>;K</t>
    </r>
    <r>
      <rPr>
        <vertAlign val="subscript"/>
        <sz val="11"/>
        <rFont val="Calibri"/>
        <family val="2"/>
        <scheme val="minor"/>
      </rPr>
      <t>XB,HYD</t>
    </r>
    <r>
      <rPr>
        <sz val="11"/>
        <rFont val="Calibri"/>
        <family val="2"/>
        <scheme val="minor"/>
      </rPr>
      <t>)</t>
    </r>
  </si>
  <si>
    <r>
      <t>Msat</t>
    </r>
    <r>
      <rPr>
        <vertAlign val="subscript"/>
        <sz val="11"/>
        <rFont val="Calibri"/>
        <family val="2"/>
        <scheme val="minor"/>
      </rPr>
      <t>XEana,KXEana,HYD</t>
    </r>
  </si>
  <si>
    <t>Saturation term for anaerobic endogenous decay products in low biomass condition (hydrolysis)</t>
  </si>
  <si>
    <r>
      <t>Msat(X</t>
    </r>
    <r>
      <rPr>
        <vertAlign val="subscript"/>
        <sz val="11"/>
        <rFont val="Calibri"/>
        <family val="2"/>
        <scheme val="minor"/>
      </rPr>
      <t>E,ana</t>
    </r>
    <r>
      <rPr>
        <sz val="11"/>
        <rFont val="Calibri"/>
        <family val="2"/>
        <scheme val="minor"/>
      </rPr>
      <t>;K</t>
    </r>
    <r>
      <rPr>
        <vertAlign val="subscript"/>
        <sz val="11"/>
        <rFont val="Calibri"/>
        <family val="2"/>
        <scheme val="minor"/>
      </rPr>
      <t>XEana,HYD</t>
    </r>
    <r>
      <rPr>
        <sz val="11"/>
        <rFont val="Calibri"/>
        <family val="2"/>
        <scheme val="minor"/>
      </rPr>
      <t>)</t>
    </r>
  </si>
  <si>
    <r>
      <t>Logslope</t>
    </r>
    <r>
      <rPr>
        <vertAlign val="subscript"/>
        <sz val="11"/>
        <rFont val="Calibri"/>
        <family val="2"/>
        <charset val="238"/>
        <scheme val="minor"/>
      </rPr>
      <t>XHET,HYD,lim</t>
    </r>
  </si>
  <si>
    <r>
      <t>Logisticslope(X</t>
    </r>
    <r>
      <rPr>
        <vertAlign val="subscript"/>
        <sz val="11"/>
        <rFont val="Calibri"/>
        <family val="2"/>
        <scheme val="minor"/>
      </rPr>
      <t>HET,HYD,lim</t>
    </r>
    <r>
      <rPr>
        <sz val="11"/>
        <rFont val="Calibri"/>
        <family val="2"/>
        <scheme val="minor"/>
      </rPr>
      <t>; Logrange</t>
    </r>
    <r>
      <rPr>
        <vertAlign val="subscript"/>
        <sz val="11"/>
        <rFont val="Calibri"/>
        <family val="2"/>
        <charset val="238"/>
        <scheme val="minor"/>
      </rPr>
      <t>XHET,HYD,lim</t>
    </r>
    <r>
      <rPr>
        <sz val="11"/>
        <rFont val="Calibri"/>
        <family val="2"/>
        <scheme val="minor"/>
      </rPr>
      <t>)</t>
    </r>
  </si>
  <si>
    <r>
      <t>Logsat</t>
    </r>
    <r>
      <rPr>
        <vertAlign val="subscript"/>
        <sz val="11"/>
        <rFont val="Calibri"/>
        <family val="2"/>
        <scheme val="minor"/>
      </rPr>
      <t>XHET,HYD,lim</t>
    </r>
  </si>
  <si>
    <t>Logistic saturation term for XHET in hydrolysis process</t>
  </si>
  <si>
    <r>
      <t>Logsat(X</t>
    </r>
    <r>
      <rPr>
        <vertAlign val="subscript"/>
        <sz val="11"/>
        <rFont val="Calibri"/>
        <family val="2"/>
        <scheme val="minor"/>
      </rPr>
      <t>HET</t>
    </r>
    <r>
      <rPr>
        <sz val="11"/>
        <rFont val="Calibri"/>
        <family val="2"/>
        <scheme val="minor"/>
      </rPr>
      <t>;X</t>
    </r>
    <r>
      <rPr>
        <vertAlign val="subscript"/>
        <sz val="11"/>
        <rFont val="Calibri"/>
        <family val="2"/>
        <scheme val="minor"/>
      </rPr>
      <t>HET,HYD,lim</t>
    </r>
    <r>
      <rPr>
        <sz val="11"/>
        <rFont val="Calibri"/>
        <family val="2"/>
        <scheme val="minor"/>
      </rPr>
      <t>;Logslope</t>
    </r>
    <r>
      <rPr>
        <vertAlign val="subscript"/>
        <sz val="11"/>
        <rFont val="Calibri"/>
        <family val="2"/>
        <charset val="238"/>
        <scheme val="minor"/>
      </rPr>
      <t>XHET,HYD,lim</t>
    </r>
    <r>
      <rPr>
        <sz val="11"/>
        <rFont val="Calibri"/>
        <family val="2"/>
        <scheme val="minor"/>
      </rPr>
      <t>)</t>
    </r>
  </si>
  <si>
    <r>
      <t>Loginh</t>
    </r>
    <r>
      <rPr>
        <vertAlign val="subscript"/>
        <sz val="11"/>
        <rFont val="Calibri"/>
        <family val="2"/>
        <scheme val="minor"/>
      </rPr>
      <t>XHET,HYD,lim</t>
    </r>
  </si>
  <si>
    <t>Logistic inhibition term for XHET in hydrolysis process</t>
  </si>
  <si>
    <r>
      <t>Loginh(X</t>
    </r>
    <r>
      <rPr>
        <vertAlign val="subscript"/>
        <sz val="11"/>
        <rFont val="Calibri"/>
        <family val="2"/>
        <scheme val="minor"/>
      </rPr>
      <t>HET</t>
    </r>
    <r>
      <rPr>
        <sz val="11"/>
        <rFont val="Calibri"/>
        <family val="2"/>
        <scheme val="minor"/>
      </rPr>
      <t>;X</t>
    </r>
    <r>
      <rPr>
        <vertAlign val="subscript"/>
        <sz val="11"/>
        <rFont val="Calibri"/>
        <family val="2"/>
        <scheme val="minor"/>
      </rPr>
      <t>HET,HYD,lim</t>
    </r>
    <r>
      <rPr>
        <sz val="11"/>
        <rFont val="Calibri"/>
        <family val="2"/>
        <scheme val="minor"/>
      </rPr>
      <t>;Logslope</t>
    </r>
    <r>
      <rPr>
        <vertAlign val="subscript"/>
        <sz val="11"/>
        <rFont val="Calibri"/>
        <family val="2"/>
        <charset val="238"/>
        <scheme val="minor"/>
      </rPr>
      <t>XHET,HYD,lim</t>
    </r>
    <r>
      <rPr>
        <sz val="11"/>
        <rFont val="Calibri"/>
        <family val="2"/>
        <scheme val="minor"/>
      </rPr>
      <t>)</t>
    </r>
  </si>
  <si>
    <r>
      <t>f</t>
    </r>
    <r>
      <rPr>
        <vertAlign val="subscript"/>
        <sz val="11"/>
        <rFont val="Calibri"/>
        <family val="2"/>
        <scheme val="minor"/>
      </rPr>
      <t>tri,field</t>
    </r>
  </si>
  <si>
    <r>
      <t>10^(-A</t>
    </r>
    <r>
      <rPr>
        <vertAlign val="subscript"/>
        <sz val="11"/>
        <rFont val="Calibri"/>
        <family val="2"/>
        <scheme val="minor"/>
      </rPr>
      <t>Davies</t>
    </r>
    <r>
      <rPr>
        <sz val="11"/>
        <rFont val="Calibri"/>
        <family val="2"/>
        <scheme val="minor"/>
      </rPr>
      <t>*3^(2)*(IS</t>
    </r>
    <r>
      <rPr>
        <vertAlign val="subscript"/>
        <sz val="11"/>
        <rFont val="Calibri"/>
        <family val="2"/>
        <scheme val="minor"/>
      </rPr>
      <t>field</t>
    </r>
    <r>
      <rPr>
        <sz val="11"/>
        <rFont val="Calibri"/>
        <family val="2"/>
        <scheme val="minor"/>
      </rPr>
      <t>^(0.5)/(1+1.5*IS</t>
    </r>
    <r>
      <rPr>
        <vertAlign val="subscript"/>
        <sz val="11"/>
        <rFont val="Calibri"/>
        <family val="2"/>
        <scheme val="minor"/>
      </rPr>
      <t>field</t>
    </r>
    <r>
      <rPr>
        <sz val="11"/>
        <rFont val="Calibri"/>
        <family val="2"/>
        <scheme val="minor"/>
      </rPr>
      <t>^(0.5))-0.3*IS</t>
    </r>
    <r>
      <rPr>
        <vertAlign val="subscript"/>
        <sz val="11"/>
        <rFont val="Calibri"/>
        <family val="2"/>
        <scheme val="minor"/>
      </rPr>
      <t>field</t>
    </r>
    <r>
      <rPr>
        <sz val="11"/>
        <rFont val="Calibri"/>
        <family val="2"/>
        <scheme val="minor"/>
      </rPr>
      <t>))</t>
    </r>
  </si>
  <si>
    <r>
      <t>K</t>
    </r>
    <r>
      <rPr>
        <vertAlign val="subscript"/>
        <sz val="11"/>
        <rFont val="Calibri"/>
        <family val="2"/>
        <scheme val="minor"/>
      </rPr>
      <t>W,T</t>
    </r>
    <r>
      <rPr>
        <sz val="11"/>
        <rFont val="Calibri"/>
        <family val="2"/>
        <scheme val="minor"/>
      </rPr>
      <t>/f</t>
    </r>
    <r>
      <rPr>
        <vertAlign val="subscript"/>
        <sz val="11"/>
        <rFont val="Calibri"/>
        <family val="2"/>
        <scheme val="minor"/>
      </rPr>
      <t>mono,field</t>
    </r>
    <r>
      <rPr>
        <sz val="11"/>
        <rFont val="Calibri"/>
        <family val="2"/>
        <scheme val="minor"/>
      </rPr>
      <t>^2</t>
    </r>
  </si>
  <si>
    <r>
      <t>K</t>
    </r>
    <r>
      <rPr>
        <vertAlign val="subscript"/>
        <sz val="11"/>
        <rFont val="Calibri"/>
        <family val="2"/>
        <scheme val="minor"/>
      </rPr>
      <t>P1,T</t>
    </r>
    <r>
      <rPr>
        <sz val="11"/>
        <rFont val="Calibri"/>
        <family val="2"/>
        <scheme val="minor"/>
      </rPr>
      <t>/f</t>
    </r>
    <r>
      <rPr>
        <vertAlign val="subscript"/>
        <sz val="11"/>
        <rFont val="Calibri"/>
        <family val="2"/>
        <scheme val="minor"/>
      </rPr>
      <t>mono,field</t>
    </r>
    <r>
      <rPr>
        <sz val="11"/>
        <rFont val="Calibri"/>
        <family val="2"/>
        <scheme val="minor"/>
      </rPr>
      <t>^2</t>
    </r>
  </si>
  <si>
    <r>
      <t>K</t>
    </r>
    <r>
      <rPr>
        <vertAlign val="subscript"/>
        <sz val="11"/>
        <rFont val="Calibri"/>
        <family val="2"/>
        <scheme val="minor"/>
      </rPr>
      <t>P2,T</t>
    </r>
    <r>
      <rPr>
        <sz val="11"/>
        <rFont val="Calibri"/>
        <family val="2"/>
        <scheme val="minor"/>
      </rPr>
      <t>/f</t>
    </r>
    <r>
      <rPr>
        <vertAlign val="subscript"/>
        <sz val="11"/>
        <rFont val="Calibri"/>
        <family val="2"/>
        <scheme val="minor"/>
      </rPr>
      <t>di,field</t>
    </r>
  </si>
  <si>
    <r>
      <t>K</t>
    </r>
    <r>
      <rPr>
        <vertAlign val="subscript"/>
        <sz val="11"/>
        <rFont val="Calibri"/>
        <family val="2"/>
        <scheme val="minor"/>
      </rPr>
      <t>P3,T</t>
    </r>
    <r>
      <rPr>
        <sz val="11"/>
        <rFont val="Calibri"/>
        <family val="2"/>
        <scheme val="minor"/>
      </rPr>
      <t>/(f</t>
    </r>
    <r>
      <rPr>
        <vertAlign val="subscript"/>
        <sz val="11"/>
        <rFont val="Calibri"/>
        <family val="2"/>
        <scheme val="minor"/>
      </rPr>
      <t>mono,field</t>
    </r>
    <r>
      <rPr>
        <sz val="11"/>
        <rFont val="Calibri"/>
        <family val="2"/>
        <scheme val="minor"/>
      </rPr>
      <t>*f</t>
    </r>
    <r>
      <rPr>
        <vertAlign val="subscript"/>
        <sz val="11"/>
        <rFont val="Calibri"/>
        <family val="2"/>
        <scheme val="minor"/>
      </rPr>
      <t>tri,field</t>
    </r>
    <r>
      <rPr>
        <sz val="11"/>
        <rFont val="Calibri"/>
        <family val="2"/>
        <scheme val="minor"/>
      </rPr>
      <t>)*f</t>
    </r>
    <r>
      <rPr>
        <vertAlign val="subscript"/>
        <sz val="11"/>
        <rFont val="Calibri"/>
        <family val="2"/>
        <scheme val="minor"/>
      </rPr>
      <t>di,field</t>
    </r>
  </si>
  <si>
    <r>
      <t>K</t>
    </r>
    <r>
      <rPr>
        <vertAlign val="subscript"/>
        <sz val="11"/>
        <rFont val="Calibri"/>
        <family val="2"/>
        <scheme val="minor"/>
      </rPr>
      <t>Ac,T</t>
    </r>
    <r>
      <rPr>
        <sz val="11"/>
        <rFont val="Calibri"/>
        <family val="2"/>
        <scheme val="minor"/>
      </rPr>
      <t>/f</t>
    </r>
    <r>
      <rPr>
        <vertAlign val="subscript"/>
        <sz val="11"/>
        <rFont val="Calibri"/>
        <family val="2"/>
        <scheme val="minor"/>
      </rPr>
      <t>mono,field</t>
    </r>
    <r>
      <rPr>
        <sz val="11"/>
        <rFont val="Calibri"/>
        <family val="2"/>
        <scheme val="minor"/>
      </rPr>
      <t>^2</t>
    </r>
  </si>
  <si>
    <r>
      <t>K</t>
    </r>
    <r>
      <rPr>
        <vertAlign val="subscript"/>
        <sz val="11"/>
        <rFont val="Calibri"/>
        <family val="2"/>
        <scheme val="minor"/>
      </rPr>
      <t>sp,CaCO3,param</t>
    </r>
    <r>
      <rPr>
        <sz val="11"/>
        <rFont val="Calibri"/>
        <family val="2"/>
        <scheme val="minor"/>
      </rPr>
      <t>/f</t>
    </r>
    <r>
      <rPr>
        <vertAlign val="subscript"/>
        <sz val="11"/>
        <rFont val="Calibri"/>
        <family val="2"/>
        <scheme val="minor"/>
      </rPr>
      <t>di,field</t>
    </r>
  </si>
  <si>
    <r>
      <t>K</t>
    </r>
    <r>
      <rPr>
        <vertAlign val="subscript"/>
        <sz val="11"/>
        <rFont val="Calibri"/>
        <family val="2"/>
        <scheme val="minor"/>
      </rPr>
      <t>sp,STR,param</t>
    </r>
    <r>
      <rPr>
        <sz val="11"/>
        <rFont val="Calibri"/>
        <family val="2"/>
        <scheme val="minor"/>
      </rPr>
      <t>/(f</t>
    </r>
    <r>
      <rPr>
        <vertAlign val="subscript"/>
        <sz val="11"/>
        <rFont val="Calibri"/>
        <family val="2"/>
        <scheme val="minor"/>
      </rPr>
      <t>di,field</t>
    </r>
    <r>
      <rPr>
        <sz val="11"/>
        <rFont val="Calibri"/>
        <family val="2"/>
        <scheme val="minor"/>
      </rPr>
      <t>^</t>
    </r>
    <r>
      <rPr>
        <vertAlign val="superscript"/>
        <sz val="11"/>
        <rFont val="Calibri"/>
        <family val="2"/>
        <scheme val="minor"/>
      </rPr>
      <t>(1/3)</t>
    </r>
    <r>
      <rPr>
        <sz val="11"/>
        <rFont val="Calibri"/>
        <family val="2"/>
        <scheme val="minor"/>
      </rPr>
      <t>*f</t>
    </r>
    <r>
      <rPr>
        <vertAlign val="subscript"/>
        <sz val="11"/>
        <rFont val="Calibri"/>
        <family val="2"/>
        <scheme val="minor"/>
      </rPr>
      <t>mono,field</t>
    </r>
    <r>
      <rPr>
        <sz val="11"/>
        <rFont val="Calibri"/>
        <family val="2"/>
        <scheme val="minor"/>
      </rPr>
      <t>^</t>
    </r>
    <r>
      <rPr>
        <vertAlign val="superscript"/>
        <sz val="11"/>
        <rFont val="Calibri"/>
        <family val="2"/>
        <scheme val="minor"/>
      </rPr>
      <t>(1/3)</t>
    </r>
    <r>
      <rPr>
        <sz val="11"/>
        <rFont val="Calibri"/>
        <family val="2"/>
        <scheme val="minor"/>
      </rPr>
      <t>*f</t>
    </r>
    <r>
      <rPr>
        <vertAlign val="subscript"/>
        <sz val="11"/>
        <rFont val="Calibri"/>
        <family val="2"/>
        <scheme val="minor"/>
      </rPr>
      <t>tri,field</t>
    </r>
    <r>
      <rPr>
        <sz val="11"/>
        <rFont val="Calibri"/>
        <family val="2"/>
        <scheme val="minor"/>
      </rPr>
      <t>^</t>
    </r>
    <r>
      <rPr>
        <vertAlign val="superscript"/>
        <sz val="11"/>
        <rFont val="Calibri"/>
        <family val="2"/>
        <scheme val="minor"/>
      </rPr>
      <t>(1/3)</t>
    </r>
    <r>
      <rPr>
        <sz val="11"/>
        <rFont val="Calibri"/>
        <family val="2"/>
        <charset val="238"/>
        <scheme val="minor"/>
      </rPr>
      <t>)</t>
    </r>
  </si>
  <si>
    <r>
      <t>K</t>
    </r>
    <r>
      <rPr>
        <vertAlign val="subscript"/>
        <sz val="11"/>
        <rFont val="Calibri"/>
        <family val="2"/>
        <scheme val="minor"/>
      </rPr>
      <t>sp,Vivi,param</t>
    </r>
    <r>
      <rPr>
        <sz val="11"/>
        <rFont val="Calibri"/>
        <family val="2"/>
        <scheme val="minor"/>
      </rPr>
      <t>/(f</t>
    </r>
    <r>
      <rPr>
        <vertAlign val="subscript"/>
        <sz val="11"/>
        <rFont val="Calibri"/>
        <family val="2"/>
        <scheme val="minor"/>
      </rPr>
      <t>di,field</t>
    </r>
    <r>
      <rPr>
        <vertAlign val="superscript"/>
        <sz val="11"/>
        <rFont val="Calibri"/>
        <family val="2"/>
        <scheme val="minor"/>
      </rPr>
      <t>^(3/5)</t>
    </r>
    <r>
      <rPr>
        <sz val="11"/>
        <rFont val="Calibri"/>
        <family val="2"/>
        <scheme val="minor"/>
      </rPr>
      <t>*f</t>
    </r>
    <r>
      <rPr>
        <vertAlign val="subscript"/>
        <sz val="11"/>
        <rFont val="Calibri"/>
        <family val="2"/>
        <scheme val="minor"/>
      </rPr>
      <t>tri,field</t>
    </r>
    <r>
      <rPr>
        <vertAlign val="superscript"/>
        <sz val="11"/>
        <rFont val="Calibri"/>
        <family val="2"/>
        <scheme val="minor"/>
      </rPr>
      <t>^(2/5)</t>
    </r>
    <r>
      <rPr>
        <sz val="11"/>
        <rFont val="Calibri"/>
        <family val="2"/>
        <scheme val="minor"/>
      </rPr>
      <t>)</t>
    </r>
  </si>
  <si>
    <r>
      <t>K</t>
    </r>
    <r>
      <rPr>
        <vertAlign val="subscript"/>
        <sz val="11"/>
        <rFont val="Calibri"/>
        <family val="2"/>
        <scheme val="minor"/>
      </rPr>
      <t>sp,ACP,param</t>
    </r>
    <r>
      <rPr>
        <sz val="11"/>
        <rFont val="Calibri"/>
        <family val="2"/>
        <scheme val="minor"/>
      </rPr>
      <t>/(f</t>
    </r>
    <r>
      <rPr>
        <vertAlign val="subscript"/>
        <sz val="11"/>
        <rFont val="Calibri"/>
        <family val="2"/>
        <scheme val="minor"/>
      </rPr>
      <t>di,field</t>
    </r>
    <r>
      <rPr>
        <vertAlign val="superscript"/>
        <sz val="11"/>
        <rFont val="Calibri"/>
        <family val="2"/>
        <scheme val="minor"/>
      </rPr>
      <t>^(3/5)</t>
    </r>
    <r>
      <rPr>
        <sz val="11"/>
        <rFont val="Calibri"/>
        <family val="2"/>
        <scheme val="minor"/>
      </rPr>
      <t>*f</t>
    </r>
    <r>
      <rPr>
        <vertAlign val="subscript"/>
        <sz val="11"/>
        <rFont val="Calibri"/>
        <family val="2"/>
        <scheme val="minor"/>
      </rPr>
      <t>tri,field</t>
    </r>
    <r>
      <rPr>
        <vertAlign val="superscript"/>
        <sz val="11"/>
        <rFont val="Calibri"/>
        <family val="2"/>
        <scheme val="minor"/>
      </rPr>
      <t>^(2/5)</t>
    </r>
    <r>
      <rPr>
        <sz val="11"/>
        <rFont val="Calibri"/>
        <family val="2"/>
        <scheme val="minor"/>
      </rPr>
      <t>)</t>
    </r>
  </si>
  <si>
    <r>
      <t>K</t>
    </r>
    <r>
      <rPr>
        <vertAlign val="subscript"/>
        <sz val="11"/>
        <rFont val="Calibri"/>
        <family val="2"/>
        <scheme val="minor"/>
      </rPr>
      <t>sp,BSH,param</t>
    </r>
    <r>
      <rPr>
        <sz val="11"/>
        <rFont val="Calibri"/>
        <family val="2"/>
        <scheme val="minor"/>
      </rPr>
      <t>/(f</t>
    </r>
    <r>
      <rPr>
        <vertAlign val="subscript"/>
        <sz val="11"/>
        <rFont val="Calibri"/>
        <family val="2"/>
        <scheme val="minor"/>
      </rPr>
      <t>di,field</t>
    </r>
    <r>
      <rPr>
        <vertAlign val="superscript"/>
        <sz val="11"/>
        <rFont val="Calibri"/>
        <family val="2"/>
        <scheme val="minor"/>
      </rPr>
      <t>^(1/2)</t>
    </r>
    <r>
      <rPr>
        <sz val="11"/>
        <rFont val="Calibri"/>
        <family val="2"/>
        <scheme val="minor"/>
      </rPr>
      <t>*f</t>
    </r>
    <r>
      <rPr>
        <vertAlign val="subscript"/>
        <sz val="11"/>
        <rFont val="Calibri"/>
        <family val="2"/>
        <scheme val="minor"/>
      </rPr>
      <t>di,field</t>
    </r>
    <r>
      <rPr>
        <vertAlign val="superscript"/>
        <sz val="11"/>
        <rFont val="Calibri"/>
        <family val="2"/>
        <scheme val="minor"/>
      </rPr>
      <t>^(1/2)</t>
    </r>
    <r>
      <rPr>
        <sz val="11"/>
        <rFont val="Calibri"/>
        <family val="2"/>
        <scheme val="minor"/>
      </rPr>
      <t>)</t>
    </r>
  </si>
  <si>
    <r>
      <t>[H</t>
    </r>
    <r>
      <rPr>
        <vertAlign val="superscript"/>
        <sz val="11"/>
        <rFont val="Calibri"/>
        <family val="2"/>
      </rPr>
      <t>+</t>
    </r>
    <r>
      <rPr>
        <sz val="11"/>
        <rFont val="Calibri"/>
        <family val="2"/>
      </rPr>
      <t>]</t>
    </r>
  </si>
  <si>
    <r>
      <t>10^(-pH</t>
    </r>
    <r>
      <rPr>
        <vertAlign val="subscript"/>
        <sz val="11"/>
        <rFont val="Calibri"/>
        <family val="2"/>
        <scheme val="minor"/>
      </rPr>
      <t>field</t>
    </r>
    <r>
      <rPr>
        <sz val="11"/>
        <rFont val="Calibri"/>
        <family val="2"/>
        <scheme val="minor"/>
      </rPr>
      <t>)</t>
    </r>
  </si>
  <si>
    <r>
      <t>[H</t>
    </r>
    <r>
      <rPr>
        <b/>
        <vertAlign val="superscript"/>
        <sz val="11"/>
        <rFont val="Calibri"/>
        <family val="2"/>
      </rPr>
      <t>+</t>
    </r>
    <r>
      <rPr>
        <b/>
        <sz val="11"/>
        <rFont val="Calibri"/>
        <family val="2"/>
      </rPr>
      <t>]</t>
    </r>
    <r>
      <rPr>
        <b/>
        <vertAlign val="subscript"/>
        <sz val="11"/>
        <rFont val="Calibri"/>
        <family val="2"/>
      </rPr>
      <t>field</t>
    </r>
  </si>
  <si>
    <r>
      <t>[OH</t>
    </r>
    <r>
      <rPr>
        <vertAlign val="superscript"/>
        <sz val="11"/>
        <rFont val="Calibri"/>
        <family val="2"/>
      </rPr>
      <t>-</t>
    </r>
    <r>
      <rPr>
        <sz val="11"/>
        <rFont val="Calibri"/>
        <family val="2"/>
      </rPr>
      <t>]</t>
    </r>
  </si>
  <si>
    <t>KW/[H+]</t>
  </si>
  <si>
    <r>
      <t>[OH</t>
    </r>
    <r>
      <rPr>
        <b/>
        <vertAlign val="superscript"/>
        <sz val="11"/>
        <rFont val="Calibri"/>
        <family val="2"/>
      </rPr>
      <t>-</t>
    </r>
    <r>
      <rPr>
        <b/>
        <sz val="11"/>
        <rFont val="Calibri"/>
        <family val="2"/>
      </rPr>
      <t>]</t>
    </r>
    <r>
      <rPr>
        <b/>
        <vertAlign val="subscript"/>
        <sz val="11"/>
        <rFont val="Calibri"/>
        <family val="2"/>
      </rPr>
      <t>field</t>
    </r>
  </si>
  <si>
    <r>
      <t>[NH</t>
    </r>
    <r>
      <rPr>
        <vertAlign val="subscript"/>
        <sz val="11"/>
        <rFont val="Calibri"/>
        <family val="2"/>
      </rPr>
      <t>3</t>
    </r>
    <r>
      <rPr>
        <sz val="11"/>
        <rFont val="Calibri"/>
        <family val="2"/>
      </rPr>
      <t>]</t>
    </r>
  </si>
  <si>
    <r>
      <t>(S</t>
    </r>
    <r>
      <rPr>
        <vertAlign val="subscript"/>
        <sz val="11"/>
        <rFont val="Calibri"/>
        <family val="2"/>
      </rPr>
      <t>NHx</t>
    </r>
    <r>
      <rPr>
        <sz val="11"/>
        <rFont val="Calibri"/>
        <family val="2"/>
      </rPr>
      <t>/(AM</t>
    </r>
    <r>
      <rPr>
        <vertAlign val="subscript"/>
        <sz val="11"/>
        <rFont val="Calibri"/>
        <family val="2"/>
      </rPr>
      <t>N</t>
    </r>
    <r>
      <rPr>
        <sz val="11"/>
        <rFont val="Calibri"/>
        <family val="2"/>
      </rPr>
      <t>*1000))*K</t>
    </r>
    <r>
      <rPr>
        <vertAlign val="subscript"/>
        <sz val="11"/>
        <rFont val="Calibri"/>
        <family val="2"/>
      </rPr>
      <t>NH3</t>
    </r>
    <r>
      <rPr>
        <sz val="11"/>
        <rFont val="Calibri"/>
        <family val="2"/>
      </rPr>
      <t>/([H+]+K</t>
    </r>
    <r>
      <rPr>
        <vertAlign val="subscript"/>
        <sz val="11"/>
        <rFont val="Calibri"/>
        <family val="2"/>
      </rPr>
      <t>NH3</t>
    </r>
    <r>
      <rPr>
        <sz val="11"/>
        <rFont val="Calibri"/>
        <family val="2"/>
      </rPr>
      <t>)</t>
    </r>
  </si>
  <si>
    <r>
      <t>[NH</t>
    </r>
    <r>
      <rPr>
        <b/>
        <vertAlign val="subscript"/>
        <sz val="11"/>
        <rFont val="Calibri"/>
        <family val="2"/>
      </rPr>
      <t>3</t>
    </r>
    <r>
      <rPr>
        <b/>
        <sz val="11"/>
        <rFont val="Calibri"/>
        <family val="2"/>
      </rPr>
      <t>]</t>
    </r>
    <r>
      <rPr>
        <b/>
        <vertAlign val="subscript"/>
        <sz val="11"/>
        <rFont val="Calibri"/>
        <family val="2"/>
      </rPr>
      <t>field</t>
    </r>
  </si>
  <si>
    <r>
      <t>[NH</t>
    </r>
    <r>
      <rPr>
        <vertAlign val="subscript"/>
        <sz val="11"/>
        <rFont val="Calibri"/>
        <family val="2"/>
      </rPr>
      <t>4</t>
    </r>
    <r>
      <rPr>
        <vertAlign val="superscript"/>
        <sz val="11"/>
        <rFont val="Calibri"/>
        <family val="2"/>
      </rPr>
      <t>+</t>
    </r>
    <r>
      <rPr>
        <sz val="11"/>
        <rFont val="Calibri"/>
        <family val="2"/>
      </rPr>
      <t>]</t>
    </r>
  </si>
  <si>
    <t>(SNHx/(AMN*1000))*[H+]/([H+]+KNH3)</t>
  </si>
  <si>
    <r>
      <t>[NH</t>
    </r>
    <r>
      <rPr>
        <b/>
        <vertAlign val="subscript"/>
        <sz val="11"/>
        <rFont val="Calibri"/>
        <family val="2"/>
      </rPr>
      <t>4</t>
    </r>
    <r>
      <rPr>
        <b/>
        <vertAlign val="superscript"/>
        <sz val="11"/>
        <rFont val="Calibri"/>
        <family val="2"/>
      </rPr>
      <t>+</t>
    </r>
    <r>
      <rPr>
        <b/>
        <sz val="11"/>
        <rFont val="Calibri"/>
        <family val="2"/>
      </rPr>
      <t>]</t>
    </r>
    <r>
      <rPr>
        <b/>
        <vertAlign val="subscript"/>
        <sz val="11"/>
        <rFont val="Calibri"/>
        <family val="2"/>
      </rPr>
      <t>field</t>
    </r>
  </si>
  <si>
    <r>
      <t>[NO</t>
    </r>
    <r>
      <rPr>
        <vertAlign val="subscript"/>
        <sz val="11"/>
        <rFont val="Calibri"/>
        <family val="2"/>
      </rPr>
      <t>3</t>
    </r>
    <r>
      <rPr>
        <vertAlign val="superscript"/>
        <sz val="11"/>
        <rFont val="Calibri"/>
        <family val="2"/>
      </rPr>
      <t>-</t>
    </r>
    <r>
      <rPr>
        <sz val="11"/>
        <rFont val="Calibri"/>
        <family val="2"/>
      </rPr>
      <t>]</t>
    </r>
  </si>
  <si>
    <r>
      <t>[NO</t>
    </r>
    <r>
      <rPr>
        <b/>
        <vertAlign val="subscript"/>
        <sz val="11"/>
        <rFont val="Calibri"/>
        <family val="2"/>
      </rPr>
      <t>3</t>
    </r>
    <r>
      <rPr>
        <b/>
        <vertAlign val="superscript"/>
        <sz val="11"/>
        <rFont val="Calibri"/>
        <family val="2"/>
      </rPr>
      <t>-</t>
    </r>
    <r>
      <rPr>
        <b/>
        <sz val="11"/>
        <rFont val="Calibri"/>
        <family val="2"/>
      </rPr>
      <t>]</t>
    </r>
    <r>
      <rPr>
        <b/>
        <vertAlign val="subscript"/>
        <sz val="11"/>
        <rFont val="Calibri"/>
        <family val="2"/>
      </rPr>
      <t>field</t>
    </r>
  </si>
  <si>
    <r>
      <t>[H</t>
    </r>
    <r>
      <rPr>
        <vertAlign val="subscript"/>
        <sz val="11"/>
        <rFont val="Calibri"/>
        <family val="2"/>
      </rPr>
      <t>2</t>
    </r>
    <r>
      <rPr>
        <sz val="11"/>
        <rFont val="Calibri"/>
        <family val="2"/>
      </rPr>
      <t>CO</t>
    </r>
    <r>
      <rPr>
        <vertAlign val="subscript"/>
        <sz val="11"/>
        <rFont val="Calibri"/>
        <family val="2"/>
      </rPr>
      <t>3</t>
    </r>
    <r>
      <rPr>
        <sz val="11"/>
        <rFont val="Calibri"/>
        <family val="2"/>
      </rPr>
      <t>]</t>
    </r>
  </si>
  <si>
    <r>
      <t>[H</t>
    </r>
    <r>
      <rPr>
        <b/>
        <vertAlign val="subscript"/>
        <sz val="11"/>
        <rFont val="Calibri"/>
        <family val="2"/>
      </rPr>
      <t>2</t>
    </r>
    <r>
      <rPr>
        <b/>
        <sz val="11"/>
        <rFont val="Calibri"/>
        <family val="2"/>
      </rPr>
      <t>CO</t>
    </r>
    <r>
      <rPr>
        <b/>
        <vertAlign val="subscript"/>
        <sz val="11"/>
        <rFont val="Calibri"/>
        <family val="2"/>
      </rPr>
      <t>3</t>
    </r>
    <r>
      <rPr>
        <b/>
        <sz val="11"/>
        <rFont val="Calibri"/>
        <family val="2"/>
      </rPr>
      <t>]</t>
    </r>
    <r>
      <rPr>
        <b/>
        <vertAlign val="subscript"/>
        <sz val="11"/>
        <rFont val="Calibri"/>
        <family val="2"/>
      </rPr>
      <t>field</t>
    </r>
  </si>
  <si>
    <r>
      <t>[HCO</t>
    </r>
    <r>
      <rPr>
        <vertAlign val="subscript"/>
        <sz val="11"/>
        <rFont val="Calibri"/>
        <family val="2"/>
      </rPr>
      <t>3</t>
    </r>
    <r>
      <rPr>
        <vertAlign val="superscript"/>
        <sz val="11"/>
        <rFont val="Calibri"/>
        <family val="2"/>
      </rPr>
      <t>-</t>
    </r>
    <r>
      <rPr>
        <sz val="11"/>
        <rFont val="Calibri"/>
        <family val="2"/>
      </rPr>
      <t>]</t>
    </r>
  </si>
  <si>
    <r>
      <t>[HCO</t>
    </r>
    <r>
      <rPr>
        <b/>
        <vertAlign val="subscript"/>
        <sz val="11"/>
        <rFont val="Calibri"/>
        <family val="2"/>
      </rPr>
      <t>3</t>
    </r>
    <r>
      <rPr>
        <b/>
        <vertAlign val="superscript"/>
        <sz val="11"/>
        <rFont val="Calibri"/>
        <family val="2"/>
      </rPr>
      <t>-</t>
    </r>
    <r>
      <rPr>
        <b/>
        <sz val="11"/>
        <rFont val="Calibri"/>
        <family val="2"/>
      </rPr>
      <t>]</t>
    </r>
    <r>
      <rPr>
        <b/>
        <vertAlign val="subscript"/>
        <sz val="11"/>
        <rFont val="Calibri"/>
        <family val="2"/>
      </rPr>
      <t>field</t>
    </r>
  </si>
  <si>
    <r>
      <t>[CO</t>
    </r>
    <r>
      <rPr>
        <vertAlign val="subscript"/>
        <sz val="11"/>
        <rFont val="Calibri"/>
        <family val="2"/>
      </rPr>
      <t>3</t>
    </r>
    <r>
      <rPr>
        <vertAlign val="superscript"/>
        <sz val="11"/>
        <rFont val="Calibri"/>
        <family val="2"/>
      </rPr>
      <t>2-</t>
    </r>
    <r>
      <rPr>
        <sz val="11"/>
        <rFont val="Calibri"/>
        <family val="2"/>
      </rPr>
      <t>]</t>
    </r>
  </si>
  <si>
    <r>
      <t>[CO</t>
    </r>
    <r>
      <rPr>
        <b/>
        <vertAlign val="subscript"/>
        <sz val="11"/>
        <rFont val="Calibri"/>
        <family val="2"/>
      </rPr>
      <t>3</t>
    </r>
    <r>
      <rPr>
        <b/>
        <vertAlign val="superscript"/>
        <sz val="11"/>
        <rFont val="Calibri"/>
        <family val="2"/>
      </rPr>
      <t>2-</t>
    </r>
    <r>
      <rPr>
        <b/>
        <sz val="11"/>
        <rFont val="Calibri"/>
        <family val="2"/>
      </rPr>
      <t>]</t>
    </r>
    <r>
      <rPr>
        <b/>
        <vertAlign val="subscript"/>
        <sz val="11"/>
        <rFont val="Calibri"/>
        <family val="2"/>
      </rPr>
      <t>field</t>
    </r>
  </si>
  <si>
    <r>
      <t>[H</t>
    </r>
    <r>
      <rPr>
        <vertAlign val="subscript"/>
        <sz val="11"/>
        <rFont val="Calibri"/>
        <family val="2"/>
      </rPr>
      <t>3</t>
    </r>
    <r>
      <rPr>
        <sz val="11"/>
        <rFont val="Calibri"/>
        <family val="2"/>
      </rPr>
      <t>PO</t>
    </r>
    <r>
      <rPr>
        <vertAlign val="subscript"/>
        <sz val="11"/>
        <rFont val="Calibri"/>
        <family val="2"/>
      </rPr>
      <t>4</t>
    </r>
    <r>
      <rPr>
        <sz val="11"/>
        <rFont val="Calibri"/>
        <family val="2"/>
      </rPr>
      <t>]</t>
    </r>
  </si>
  <si>
    <r>
      <t>[H</t>
    </r>
    <r>
      <rPr>
        <b/>
        <vertAlign val="subscript"/>
        <sz val="11"/>
        <rFont val="Calibri"/>
        <family val="2"/>
      </rPr>
      <t>3</t>
    </r>
    <r>
      <rPr>
        <b/>
        <sz val="11"/>
        <rFont val="Calibri"/>
        <family val="2"/>
      </rPr>
      <t>PO</t>
    </r>
    <r>
      <rPr>
        <b/>
        <vertAlign val="subscript"/>
        <sz val="11"/>
        <rFont val="Calibri"/>
        <family val="2"/>
      </rPr>
      <t>4</t>
    </r>
    <r>
      <rPr>
        <b/>
        <sz val="11"/>
        <rFont val="Calibri"/>
        <family val="2"/>
      </rPr>
      <t>]</t>
    </r>
    <r>
      <rPr>
        <b/>
        <vertAlign val="subscript"/>
        <sz val="11"/>
        <rFont val="Calibri"/>
        <family val="2"/>
      </rPr>
      <t>field</t>
    </r>
  </si>
  <si>
    <r>
      <t>[H</t>
    </r>
    <r>
      <rPr>
        <vertAlign val="subscript"/>
        <sz val="11"/>
        <rFont val="Calibri"/>
        <family val="2"/>
      </rPr>
      <t>2</t>
    </r>
    <r>
      <rPr>
        <sz val="11"/>
        <rFont val="Calibri"/>
        <family val="2"/>
      </rPr>
      <t>PO</t>
    </r>
    <r>
      <rPr>
        <vertAlign val="subscript"/>
        <sz val="11"/>
        <rFont val="Calibri"/>
        <family val="2"/>
      </rPr>
      <t>4</t>
    </r>
    <r>
      <rPr>
        <vertAlign val="superscript"/>
        <sz val="11"/>
        <rFont val="Calibri"/>
        <family val="2"/>
      </rPr>
      <t>-</t>
    </r>
    <r>
      <rPr>
        <sz val="11"/>
        <rFont val="Calibri"/>
        <family val="2"/>
      </rPr>
      <t>]</t>
    </r>
  </si>
  <si>
    <r>
      <t>[H</t>
    </r>
    <r>
      <rPr>
        <b/>
        <vertAlign val="subscript"/>
        <sz val="11"/>
        <rFont val="Calibri"/>
        <family val="2"/>
      </rPr>
      <t>2</t>
    </r>
    <r>
      <rPr>
        <b/>
        <sz val="11"/>
        <rFont val="Calibri"/>
        <family val="2"/>
      </rPr>
      <t>PO</t>
    </r>
    <r>
      <rPr>
        <b/>
        <vertAlign val="subscript"/>
        <sz val="11"/>
        <rFont val="Calibri"/>
        <family val="2"/>
      </rPr>
      <t>4</t>
    </r>
    <r>
      <rPr>
        <b/>
        <vertAlign val="superscript"/>
        <sz val="11"/>
        <rFont val="Calibri"/>
        <family val="2"/>
      </rPr>
      <t>-</t>
    </r>
    <r>
      <rPr>
        <b/>
        <sz val="11"/>
        <rFont val="Calibri"/>
        <family val="2"/>
      </rPr>
      <t>]</t>
    </r>
    <r>
      <rPr>
        <b/>
        <vertAlign val="subscript"/>
        <sz val="11"/>
        <rFont val="Calibri"/>
        <family val="2"/>
      </rPr>
      <t>field</t>
    </r>
  </si>
  <si>
    <r>
      <t>[HPO</t>
    </r>
    <r>
      <rPr>
        <vertAlign val="subscript"/>
        <sz val="11"/>
        <rFont val="Calibri"/>
        <family val="2"/>
      </rPr>
      <t>4</t>
    </r>
    <r>
      <rPr>
        <vertAlign val="superscript"/>
        <sz val="11"/>
        <rFont val="Calibri"/>
        <family val="2"/>
      </rPr>
      <t>2-</t>
    </r>
    <r>
      <rPr>
        <sz val="11"/>
        <rFont val="Calibri"/>
        <family val="2"/>
      </rPr>
      <t>]</t>
    </r>
  </si>
  <si>
    <r>
      <t>[HPO</t>
    </r>
    <r>
      <rPr>
        <b/>
        <vertAlign val="subscript"/>
        <sz val="11"/>
        <rFont val="Calibri"/>
        <family val="2"/>
      </rPr>
      <t>4</t>
    </r>
    <r>
      <rPr>
        <b/>
        <vertAlign val="superscript"/>
        <sz val="11"/>
        <rFont val="Calibri"/>
        <family val="2"/>
      </rPr>
      <t>2-</t>
    </r>
    <r>
      <rPr>
        <b/>
        <sz val="11"/>
        <rFont val="Calibri"/>
        <family val="2"/>
      </rPr>
      <t>]</t>
    </r>
    <r>
      <rPr>
        <b/>
        <vertAlign val="subscript"/>
        <sz val="11"/>
        <rFont val="Calibri"/>
        <family val="2"/>
      </rPr>
      <t>field</t>
    </r>
  </si>
  <si>
    <r>
      <t>[PO</t>
    </r>
    <r>
      <rPr>
        <vertAlign val="subscript"/>
        <sz val="11"/>
        <rFont val="Calibri"/>
        <family val="2"/>
      </rPr>
      <t>4</t>
    </r>
    <r>
      <rPr>
        <vertAlign val="superscript"/>
        <sz val="11"/>
        <rFont val="Calibri"/>
        <family val="2"/>
      </rPr>
      <t>3-</t>
    </r>
    <r>
      <rPr>
        <sz val="11"/>
        <rFont val="Calibri"/>
        <family val="2"/>
      </rPr>
      <t>]</t>
    </r>
  </si>
  <si>
    <r>
      <t>[PO</t>
    </r>
    <r>
      <rPr>
        <b/>
        <vertAlign val="subscript"/>
        <sz val="11"/>
        <rFont val="Calibri"/>
        <family val="2"/>
      </rPr>
      <t>4</t>
    </r>
    <r>
      <rPr>
        <b/>
        <vertAlign val="superscript"/>
        <sz val="11"/>
        <rFont val="Calibri"/>
        <family val="2"/>
      </rPr>
      <t>3-</t>
    </r>
    <r>
      <rPr>
        <b/>
        <sz val="11"/>
        <rFont val="Calibri"/>
        <family val="2"/>
      </rPr>
      <t>]</t>
    </r>
    <r>
      <rPr>
        <b/>
        <vertAlign val="subscript"/>
        <sz val="11"/>
        <rFont val="Calibri"/>
        <family val="2"/>
      </rPr>
      <t>field</t>
    </r>
  </si>
  <si>
    <r>
      <t>[HAc]</t>
    </r>
    <r>
      <rPr>
        <b/>
        <vertAlign val="subscript"/>
        <sz val="11"/>
        <rFont val="Calibri"/>
        <family val="2"/>
      </rPr>
      <t>field</t>
    </r>
  </si>
  <si>
    <r>
      <t>[Ac</t>
    </r>
    <r>
      <rPr>
        <vertAlign val="superscript"/>
        <sz val="11"/>
        <rFont val="Calibri"/>
        <family val="2"/>
      </rPr>
      <t>-</t>
    </r>
    <r>
      <rPr>
        <sz val="11"/>
        <rFont val="Calibri"/>
        <family val="2"/>
      </rPr>
      <t>]</t>
    </r>
  </si>
  <si>
    <r>
      <t>[Ac</t>
    </r>
    <r>
      <rPr>
        <b/>
        <vertAlign val="superscript"/>
        <sz val="11"/>
        <rFont val="Calibri"/>
        <family val="2"/>
      </rPr>
      <t>-</t>
    </r>
    <r>
      <rPr>
        <b/>
        <sz val="11"/>
        <rFont val="Calibri"/>
        <family val="2"/>
      </rPr>
      <t>]</t>
    </r>
    <r>
      <rPr>
        <b/>
        <vertAlign val="subscript"/>
        <sz val="11"/>
        <rFont val="Calibri"/>
        <family val="2"/>
      </rPr>
      <t>field</t>
    </r>
  </si>
  <si>
    <r>
      <t>[Ca</t>
    </r>
    <r>
      <rPr>
        <vertAlign val="superscript"/>
        <sz val="11"/>
        <rFont val="Calibri"/>
        <family val="2"/>
      </rPr>
      <t>2+</t>
    </r>
    <r>
      <rPr>
        <sz val="11"/>
        <rFont val="Calibri"/>
        <family val="2"/>
      </rPr>
      <t>]</t>
    </r>
  </si>
  <si>
    <r>
      <t>[Ca</t>
    </r>
    <r>
      <rPr>
        <b/>
        <vertAlign val="superscript"/>
        <sz val="11"/>
        <rFont val="Calibri"/>
        <family val="2"/>
      </rPr>
      <t>2+</t>
    </r>
    <r>
      <rPr>
        <b/>
        <sz val="11"/>
        <rFont val="Calibri"/>
        <family val="2"/>
      </rPr>
      <t>]</t>
    </r>
    <r>
      <rPr>
        <b/>
        <vertAlign val="subscript"/>
        <sz val="11"/>
        <rFont val="Calibri"/>
        <family val="2"/>
      </rPr>
      <t>field</t>
    </r>
  </si>
  <si>
    <r>
      <t>[Mg</t>
    </r>
    <r>
      <rPr>
        <vertAlign val="superscript"/>
        <sz val="11"/>
        <rFont val="Calibri"/>
        <family val="2"/>
      </rPr>
      <t>2+</t>
    </r>
    <r>
      <rPr>
        <sz val="11"/>
        <rFont val="Calibri"/>
        <family val="2"/>
      </rPr>
      <t>]</t>
    </r>
  </si>
  <si>
    <r>
      <t>[Mg</t>
    </r>
    <r>
      <rPr>
        <b/>
        <vertAlign val="superscript"/>
        <sz val="11"/>
        <rFont val="Calibri"/>
        <family val="2"/>
      </rPr>
      <t>2+</t>
    </r>
    <r>
      <rPr>
        <b/>
        <sz val="11"/>
        <rFont val="Calibri"/>
        <family val="2"/>
      </rPr>
      <t>]</t>
    </r>
    <r>
      <rPr>
        <b/>
        <vertAlign val="subscript"/>
        <sz val="11"/>
        <rFont val="Calibri"/>
        <family val="2"/>
      </rPr>
      <t>field</t>
    </r>
  </si>
  <si>
    <r>
      <t>[CAT</t>
    </r>
    <r>
      <rPr>
        <vertAlign val="superscript"/>
        <sz val="11"/>
        <rFont val="Calibri"/>
        <family val="2"/>
      </rPr>
      <t>+</t>
    </r>
    <r>
      <rPr>
        <sz val="11"/>
        <rFont val="Calibri"/>
        <family val="2"/>
      </rPr>
      <t>]</t>
    </r>
  </si>
  <si>
    <r>
      <t>[CAT</t>
    </r>
    <r>
      <rPr>
        <b/>
        <vertAlign val="superscript"/>
        <sz val="11"/>
        <rFont val="Calibri"/>
        <family val="2"/>
      </rPr>
      <t>+</t>
    </r>
    <r>
      <rPr>
        <b/>
        <sz val="11"/>
        <rFont val="Calibri"/>
        <family val="2"/>
      </rPr>
      <t>]</t>
    </r>
    <r>
      <rPr>
        <b/>
        <vertAlign val="subscript"/>
        <sz val="11"/>
        <rFont val="Calibri"/>
        <family val="2"/>
      </rPr>
      <t>field</t>
    </r>
  </si>
  <si>
    <r>
      <t>[K</t>
    </r>
    <r>
      <rPr>
        <vertAlign val="superscript"/>
        <sz val="11"/>
        <rFont val="Calibri"/>
        <family val="2"/>
      </rPr>
      <t>+</t>
    </r>
    <r>
      <rPr>
        <sz val="11"/>
        <rFont val="Calibri"/>
        <family val="2"/>
      </rPr>
      <t>]</t>
    </r>
  </si>
  <si>
    <r>
      <t>[K</t>
    </r>
    <r>
      <rPr>
        <b/>
        <vertAlign val="superscript"/>
        <sz val="11"/>
        <rFont val="Calibri"/>
        <family val="2"/>
      </rPr>
      <t>+</t>
    </r>
    <r>
      <rPr>
        <b/>
        <sz val="11"/>
        <rFont val="Calibri"/>
        <family val="2"/>
      </rPr>
      <t>]</t>
    </r>
    <r>
      <rPr>
        <b/>
        <vertAlign val="subscript"/>
        <sz val="11"/>
        <rFont val="Calibri"/>
        <family val="2"/>
      </rPr>
      <t>field</t>
    </r>
  </si>
  <si>
    <r>
      <t>[AN</t>
    </r>
    <r>
      <rPr>
        <vertAlign val="superscript"/>
        <sz val="11"/>
        <rFont val="Calibri"/>
        <family val="2"/>
      </rPr>
      <t>-</t>
    </r>
    <r>
      <rPr>
        <sz val="11"/>
        <rFont val="Calibri"/>
        <family val="2"/>
      </rPr>
      <t>]</t>
    </r>
  </si>
  <si>
    <r>
      <t>[AN</t>
    </r>
    <r>
      <rPr>
        <b/>
        <vertAlign val="superscript"/>
        <sz val="11"/>
        <rFont val="Calibri"/>
        <family val="2"/>
      </rPr>
      <t>-</t>
    </r>
    <r>
      <rPr>
        <b/>
        <sz val="11"/>
        <rFont val="Calibri"/>
        <family val="2"/>
      </rPr>
      <t>]</t>
    </r>
    <r>
      <rPr>
        <b/>
        <vertAlign val="subscript"/>
        <sz val="11"/>
        <rFont val="Calibri"/>
        <family val="2"/>
      </rPr>
      <t>field</t>
    </r>
  </si>
  <si>
    <r>
      <t>[Fe</t>
    </r>
    <r>
      <rPr>
        <vertAlign val="superscript"/>
        <sz val="11"/>
        <rFont val="Calibri"/>
        <family val="2"/>
      </rPr>
      <t>2+</t>
    </r>
    <r>
      <rPr>
        <sz val="11"/>
        <rFont val="Calibri"/>
        <family val="2"/>
      </rPr>
      <t>]</t>
    </r>
  </si>
  <si>
    <r>
      <t>[Fe</t>
    </r>
    <r>
      <rPr>
        <b/>
        <vertAlign val="superscript"/>
        <sz val="11"/>
        <rFont val="Calibri"/>
        <family val="2"/>
      </rPr>
      <t>2+</t>
    </r>
    <r>
      <rPr>
        <b/>
        <sz val="11"/>
        <rFont val="Calibri"/>
        <family val="2"/>
      </rPr>
      <t>]</t>
    </r>
    <r>
      <rPr>
        <b/>
        <vertAlign val="subscript"/>
        <sz val="11"/>
        <rFont val="Calibri"/>
        <family val="2"/>
      </rPr>
      <t>field</t>
    </r>
  </si>
  <si>
    <t>Gas transfer rates for pH-dependent gases</t>
  </si>
  <si>
    <t>define range in percentage of XBIO limit</t>
  </si>
  <si>
    <r>
      <t>X</t>
    </r>
    <r>
      <rPr>
        <vertAlign val="subscript"/>
        <sz val="11"/>
        <color rgb="FF000000"/>
        <rFont val="Calibri"/>
        <family val="2"/>
        <scheme val="minor"/>
      </rPr>
      <t>HET,HYD,lim</t>
    </r>
  </si>
  <si>
    <r>
      <t>X</t>
    </r>
    <r>
      <rPr>
        <vertAlign val="subscript"/>
        <sz val="11"/>
        <color rgb="FF000000"/>
        <rFont val="Calibri"/>
        <family val="2"/>
        <scheme val="minor"/>
      </rPr>
      <t>HET</t>
    </r>
    <r>
      <rPr>
        <sz val="11"/>
        <color indexed="8"/>
        <rFont val="Calibri"/>
        <family val="2"/>
        <scheme val="minor"/>
      </rPr>
      <t xml:space="preserve"> limit concentration for hydrolysis</t>
    </r>
  </si>
  <si>
    <r>
      <t>Logrange</t>
    </r>
    <r>
      <rPr>
        <vertAlign val="subscript"/>
        <sz val="11"/>
        <rFont val="Calibri"/>
        <family val="2"/>
        <charset val="238"/>
        <scheme val="minor"/>
      </rPr>
      <t>XHET,HYD,lim</t>
    </r>
  </si>
  <si>
    <t>Effective range of logistic switch for XHET limit</t>
  </si>
  <si>
    <r>
      <t>K</t>
    </r>
    <r>
      <rPr>
        <vertAlign val="subscript"/>
        <sz val="11"/>
        <color indexed="8"/>
        <rFont val="Calibri"/>
        <family val="2"/>
        <scheme val="minor"/>
      </rPr>
      <t>CB,FLOC</t>
    </r>
  </si>
  <si>
    <t>Half-saturation of biodegradable colloids in low biomass condition flocculation</t>
  </si>
  <si>
    <r>
      <t>K</t>
    </r>
    <r>
      <rPr>
        <vertAlign val="subscript"/>
        <sz val="11"/>
        <color indexed="8"/>
        <rFont val="Calibri"/>
        <family val="2"/>
        <scheme val="minor"/>
      </rPr>
      <t>CU,FLOC</t>
    </r>
  </si>
  <si>
    <r>
      <t>K</t>
    </r>
    <r>
      <rPr>
        <vertAlign val="subscript"/>
        <sz val="11"/>
        <color indexed="8"/>
        <rFont val="Calibri"/>
        <family val="2"/>
        <scheme val="minor"/>
      </rPr>
      <t>XB,HYD</t>
    </r>
  </si>
  <si>
    <t>Half-saturation of slowly biodegradable substrate in low biomass condition hydrolysis</t>
  </si>
  <si>
    <t>Goel et al, 1998</t>
  </si>
  <si>
    <r>
      <t>K</t>
    </r>
    <r>
      <rPr>
        <vertAlign val="subscript"/>
        <sz val="11"/>
        <color indexed="8"/>
        <rFont val="Calibri"/>
        <family val="2"/>
        <scheme val="minor"/>
      </rPr>
      <t>XEana,HYD</t>
    </r>
  </si>
  <si>
    <t>Half-saturation of anaerobic endogenous decay products in low biomass condition hydrolysis</t>
  </si>
  <si>
    <t xml:space="preserve">pH and IS parameters </t>
  </si>
  <si>
    <t>set pH when not calculated</t>
  </si>
  <si>
    <t>set IS when not calculated</t>
  </si>
  <si>
    <t>Logistic slope of logistic term for XHET limit</t>
  </si>
  <si>
    <t>Non-Sidestream</t>
  </si>
  <si>
    <r>
      <t>Bellinh(pH</t>
    </r>
    <r>
      <rPr>
        <vertAlign val="subscript"/>
        <sz val="11"/>
        <rFont val="Calibri"/>
        <family val="2"/>
        <scheme val="minor"/>
      </rPr>
      <t>field</t>
    </r>
    <r>
      <rPr>
        <sz val="11"/>
        <rFont val="Calibri"/>
        <family val="2"/>
        <scheme val="minor"/>
      </rPr>
      <t>;pH</t>
    </r>
    <r>
      <rPr>
        <vertAlign val="subscript"/>
        <sz val="11"/>
        <rFont val="Calibri"/>
        <family val="2"/>
        <scheme val="minor"/>
      </rPr>
      <t>low</t>
    </r>
    <r>
      <rPr>
        <sz val="11"/>
        <rFont val="Calibri"/>
        <family val="2"/>
        <scheme val="minor"/>
      </rPr>
      <t>;pH</t>
    </r>
    <r>
      <rPr>
        <vertAlign val="subscript"/>
        <sz val="11"/>
        <rFont val="Calibri"/>
        <family val="2"/>
        <scheme val="minor"/>
      </rPr>
      <t>high</t>
    </r>
    <r>
      <rPr>
        <sz val="11"/>
        <rFont val="Calibri"/>
        <family val="2"/>
        <scheme val="minor"/>
      </rPr>
      <t>)</t>
    </r>
  </si>
  <si>
    <r>
      <t>Bellinh(pH</t>
    </r>
    <r>
      <rPr>
        <vertAlign val="subscript"/>
        <sz val="11"/>
        <rFont val="Calibri"/>
        <family val="2"/>
        <scheme val="minor"/>
      </rPr>
      <t>field</t>
    </r>
    <r>
      <rPr>
        <sz val="11"/>
        <rFont val="Calibri"/>
        <family val="2"/>
        <scheme val="minor"/>
      </rPr>
      <t>;pH</t>
    </r>
    <r>
      <rPr>
        <vertAlign val="subscript"/>
        <sz val="11"/>
        <rFont val="Calibri"/>
        <family val="2"/>
        <scheme val="minor"/>
      </rPr>
      <t>low,NITO</t>
    </r>
    <r>
      <rPr>
        <sz val="11"/>
        <rFont val="Calibri"/>
        <family val="2"/>
        <scheme val="minor"/>
      </rPr>
      <t>;pH</t>
    </r>
    <r>
      <rPr>
        <vertAlign val="subscript"/>
        <sz val="11"/>
        <rFont val="Calibri"/>
        <family val="2"/>
        <scheme val="minor"/>
      </rPr>
      <t>high,NITO</t>
    </r>
    <r>
      <rPr>
        <sz val="11"/>
        <rFont val="Calibri"/>
        <family val="2"/>
        <scheme val="minor"/>
      </rPr>
      <t>)</t>
    </r>
  </si>
  <si>
    <r>
      <t>Bellinh(pH</t>
    </r>
    <r>
      <rPr>
        <vertAlign val="subscript"/>
        <sz val="11"/>
        <rFont val="Calibri"/>
        <family val="2"/>
        <scheme val="minor"/>
      </rPr>
      <t>field</t>
    </r>
    <r>
      <rPr>
        <sz val="11"/>
        <rFont val="Calibri"/>
        <family val="2"/>
        <scheme val="minor"/>
      </rPr>
      <t>;pH</t>
    </r>
    <r>
      <rPr>
        <vertAlign val="subscript"/>
        <sz val="11"/>
        <rFont val="Calibri"/>
        <family val="2"/>
        <scheme val="minor"/>
      </rPr>
      <t>low,AMETO</t>
    </r>
    <r>
      <rPr>
        <sz val="11"/>
        <rFont val="Calibri"/>
        <family val="2"/>
        <scheme val="minor"/>
      </rPr>
      <t>;pH</t>
    </r>
    <r>
      <rPr>
        <vertAlign val="subscript"/>
        <sz val="11"/>
        <rFont val="Calibri"/>
        <family val="2"/>
        <scheme val="minor"/>
      </rPr>
      <t>high,AMETO</t>
    </r>
    <r>
      <rPr>
        <sz val="11"/>
        <rFont val="Calibri"/>
        <family val="2"/>
        <scheme val="minor"/>
      </rPr>
      <t>)</t>
    </r>
  </si>
  <si>
    <r>
      <t>Bellinh(pH</t>
    </r>
    <r>
      <rPr>
        <vertAlign val="subscript"/>
        <sz val="11"/>
        <rFont val="Calibri"/>
        <family val="2"/>
        <scheme val="minor"/>
      </rPr>
      <t>field</t>
    </r>
    <r>
      <rPr>
        <sz val="11"/>
        <rFont val="Calibri"/>
        <family val="2"/>
        <scheme val="minor"/>
      </rPr>
      <t>;pH</t>
    </r>
    <r>
      <rPr>
        <vertAlign val="subscript"/>
        <sz val="11"/>
        <rFont val="Calibri"/>
        <family val="2"/>
        <scheme val="minor"/>
      </rPr>
      <t>low,HMETO</t>
    </r>
    <r>
      <rPr>
        <sz val="11"/>
        <rFont val="Calibri"/>
        <family val="2"/>
        <scheme val="minor"/>
      </rPr>
      <t>;pH</t>
    </r>
    <r>
      <rPr>
        <vertAlign val="subscript"/>
        <sz val="11"/>
        <rFont val="Calibri"/>
        <family val="2"/>
        <scheme val="minor"/>
      </rPr>
      <t>high,HMETO</t>
    </r>
    <r>
      <rPr>
        <sz val="11"/>
        <rFont val="Calibri"/>
        <family val="2"/>
        <scheme val="minor"/>
      </rPr>
      <t>)</t>
    </r>
  </si>
  <si>
    <t>Non-Precipitation; Digester</t>
  </si>
  <si>
    <t>Non-Precipitation; Non-Digester</t>
  </si>
  <si>
    <r>
      <t>K</t>
    </r>
    <r>
      <rPr>
        <vertAlign val="subscript"/>
        <sz val="11"/>
        <rFont val="Calibri"/>
        <family val="2"/>
        <scheme val="minor"/>
      </rPr>
      <t>CO2,NITO,pH,AS</t>
    </r>
  </si>
  <si>
    <r>
      <t>Logrange</t>
    </r>
    <r>
      <rPr>
        <vertAlign val="subscript"/>
        <sz val="11"/>
        <rFont val="Calibri"/>
        <family val="2"/>
        <charset val="238"/>
        <scheme val="minor"/>
      </rPr>
      <t>CO2,NITO,pH,AS</t>
    </r>
  </si>
  <si>
    <r>
      <t>K</t>
    </r>
    <r>
      <rPr>
        <vertAlign val="subscript"/>
        <sz val="11"/>
        <color indexed="8"/>
        <rFont val="Calibri"/>
        <family val="2"/>
        <scheme val="minor"/>
      </rPr>
      <t>CO2,NITO,pH,sidestream</t>
    </r>
  </si>
  <si>
    <r>
      <t>Logrange</t>
    </r>
    <r>
      <rPr>
        <vertAlign val="subscript"/>
        <sz val="11"/>
        <rFont val="Calibri"/>
        <family val="2"/>
        <charset val="238"/>
        <scheme val="minor"/>
      </rPr>
      <t>CO2,NITO,pH,sidestream</t>
    </r>
  </si>
  <si>
    <r>
      <t>Ki</t>
    </r>
    <r>
      <rPr>
        <vertAlign val="subscript"/>
        <sz val="11"/>
        <rFont val="Calibri"/>
        <family val="2"/>
        <scheme val="minor"/>
      </rPr>
      <t>NH3,NITO,pH,AS</t>
    </r>
  </si>
  <si>
    <r>
      <t>Ki</t>
    </r>
    <r>
      <rPr>
        <vertAlign val="subscript"/>
        <sz val="11"/>
        <rFont val="Calibri"/>
        <family val="2"/>
        <scheme val="minor"/>
      </rPr>
      <t>NH3,AMETO,pH,AS</t>
    </r>
  </si>
  <si>
    <r>
      <t>Logisticslope(K</t>
    </r>
    <r>
      <rPr>
        <vertAlign val="subscript"/>
        <sz val="11"/>
        <rFont val="Calibri"/>
        <family val="2"/>
        <charset val="238"/>
        <scheme val="minor"/>
      </rPr>
      <t>CO2,NITO,pH,sidestream</t>
    </r>
    <r>
      <rPr>
        <sz val="11"/>
        <rFont val="Calibri"/>
        <family val="2"/>
        <scheme val="minor"/>
      </rPr>
      <t>; Logrange</t>
    </r>
    <r>
      <rPr>
        <vertAlign val="subscript"/>
        <sz val="11"/>
        <rFont val="Calibri"/>
        <family val="2"/>
        <charset val="238"/>
        <scheme val="minor"/>
      </rPr>
      <t>CO2,NITO,pH,sidestream</t>
    </r>
    <r>
      <rPr>
        <sz val="11"/>
        <rFont val="Calibri"/>
        <family val="2"/>
        <scheme val="minor"/>
      </rPr>
      <t>)</t>
    </r>
  </si>
  <si>
    <r>
      <t>Logisticslope(K</t>
    </r>
    <r>
      <rPr>
        <vertAlign val="subscript"/>
        <sz val="11"/>
        <rFont val="Calibri"/>
        <family val="2"/>
        <charset val="238"/>
        <scheme val="minor"/>
      </rPr>
      <t>CO2,NITO,pH,AS</t>
    </r>
    <r>
      <rPr>
        <sz val="11"/>
        <rFont val="Calibri"/>
        <family val="2"/>
        <scheme val="minor"/>
      </rPr>
      <t>; Logrange</t>
    </r>
    <r>
      <rPr>
        <vertAlign val="subscript"/>
        <sz val="11"/>
        <rFont val="Calibri"/>
        <family val="2"/>
        <charset val="238"/>
        <scheme val="minor"/>
      </rPr>
      <t>CO2,NITO,pH,AS</t>
    </r>
    <r>
      <rPr>
        <sz val="11"/>
        <rFont val="Calibri"/>
        <family val="2"/>
        <scheme val="minor"/>
      </rPr>
      <t>)</t>
    </r>
  </si>
  <si>
    <r>
      <t>Logslope</t>
    </r>
    <r>
      <rPr>
        <vertAlign val="subscript"/>
        <sz val="11"/>
        <rFont val="Calibri"/>
        <family val="2"/>
        <scheme val="minor"/>
      </rPr>
      <t>CO2,NITO,pH</t>
    </r>
  </si>
  <si>
    <r>
      <t>Ki</t>
    </r>
    <r>
      <rPr>
        <vertAlign val="subscript"/>
        <sz val="11"/>
        <rFont val="Calibri"/>
        <family val="2"/>
        <scheme val="minor"/>
      </rPr>
      <t>NH3,AMETO,pH</t>
    </r>
  </si>
  <si>
    <r>
      <t>Ki</t>
    </r>
    <r>
      <rPr>
        <vertAlign val="subscript"/>
        <sz val="11"/>
        <rFont val="Calibri"/>
        <family val="2"/>
        <scheme val="minor"/>
      </rPr>
      <t>NH3,AMETO,pH,AS</t>
    </r>
    <r>
      <rPr>
        <sz val="11"/>
        <rFont val="Calibri"/>
        <family val="2"/>
        <scheme val="minor"/>
      </rPr>
      <t>*f</t>
    </r>
    <r>
      <rPr>
        <vertAlign val="subscript"/>
        <sz val="11"/>
        <rFont val="Calibri"/>
        <family val="2"/>
        <scheme val="minor"/>
      </rPr>
      <t>KS</t>
    </r>
  </si>
  <si>
    <r>
      <t>Ki</t>
    </r>
    <r>
      <rPr>
        <vertAlign val="subscript"/>
        <sz val="11"/>
        <rFont val="Calibri"/>
        <family val="2"/>
        <scheme val="minor"/>
      </rPr>
      <t>NH3,NITO,pH</t>
    </r>
  </si>
  <si>
    <r>
      <t>Ki</t>
    </r>
    <r>
      <rPr>
        <vertAlign val="subscript"/>
        <sz val="11"/>
        <rFont val="Calibri"/>
        <family val="2"/>
        <scheme val="minor"/>
      </rPr>
      <t>NH3,NITO,pH,AS</t>
    </r>
    <r>
      <rPr>
        <sz val="11"/>
        <rFont val="Calibri"/>
        <family val="2"/>
        <scheme val="minor"/>
      </rPr>
      <t>*f</t>
    </r>
    <r>
      <rPr>
        <vertAlign val="subscript"/>
        <sz val="11"/>
        <rFont val="Calibri"/>
        <family val="2"/>
        <scheme val="minor"/>
      </rPr>
      <t>KS</t>
    </r>
  </si>
  <si>
    <r>
      <t>K</t>
    </r>
    <r>
      <rPr>
        <vertAlign val="subscript"/>
        <sz val="11"/>
        <rFont val="Calibri"/>
        <family val="2"/>
        <scheme val="minor"/>
      </rPr>
      <t>CO2,NITO,pH</t>
    </r>
  </si>
  <si>
    <r>
      <t>K</t>
    </r>
    <r>
      <rPr>
        <vertAlign val="subscript"/>
        <sz val="11"/>
        <rFont val="Calibri"/>
        <family val="2"/>
        <scheme val="minor"/>
      </rPr>
      <t>CO2,NITO,pH,sidestream</t>
    </r>
  </si>
  <si>
    <r>
      <t>Logisticslope(Ki</t>
    </r>
    <r>
      <rPr>
        <vertAlign val="subscript"/>
        <sz val="11"/>
        <rFont val="Calibri"/>
        <family val="2"/>
        <charset val="238"/>
        <scheme val="minor"/>
      </rPr>
      <t>NH3,AMETO,pH;</t>
    </r>
    <r>
      <rPr>
        <sz val="11"/>
        <rFont val="Calibri"/>
        <family val="2"/>
        <scheme val="minor"/>
      </rPr>
      <t xml:space="preserve"> Logrange</t>
    </r>
    <r>
      <rPr>
        <vertAlign val="subscript"/>
        <sz val="11"/>
        <rFont val="Calibri"/>
        <family val="2"/>
        <charset val="238"/>
        <scheme val="minor"/>
      </rPr>
      <t>NH3,AMETO</t>
    </r>
    <r>
      <rPr>
        <sz val="11"/>
        <rFont val="Calibri"/>
        <family val="2"/>
        <scheme val="minor"/>
      </rPr>
      <t>)</t>
    </r>
  </si>
  <si>
    <r>
      <t>Loginh([NH</t>
    </r>
    <r>
      <rPr>
        <vertAlign val="subscript"/>
        <sz val="11"/>
        <rFont val="Calibri"/>
        <family val="2"/>
        <scheme val="minor"/>
      </rPr>
      <t>3</t>
    </r>
    <r>
      <rPr>
        <sz val="11"/>
        <rFont val="Calibri"/>
        <family val="2"/>
        <scheme val="minor"/>
      </rPr>
      <t>]; Ki</t>
    </r>
    <r>
      <rPr>
        <vertAlign val="subscript"/>
        <sz val="11"/>
        <rFont val="Calibri"/>
        <family val="2"/>
        <scheme val="minor"/>
      </rPr>
      <t>NH3,AMETO,pH</t>
    </r>
    <r>
      <rPr>
        <sz val="11"/>
        <rFont val="Calibri"/>
        <family val="2"/>
        <scheme val="minor"/>
      </rPr>
      <t>; Logslope</t>
    </r>
    <r>
      <rPr>
        <vertAlign val="subscript"/>
        <sz val="11"/>
        <rFont val="Calibri"/>
        <family val="2"/>
        <charset val="238"/>
        <scheme val="minor"/>
      </rPr>
      <t>NH3,AMETO,pH</t>
    </r>
    <r>
      <rPr>
        <sz val="11"/>
        <rFont val="Calibri"/>
        <family val="2"/>
        <scheme val="minor"/>
      </rPr>
      <t>)</t>
    </r>
  </si>
  <si>
    <r>
      <t>Minh([NH</t>
    </r>
    <r>
      <rPr>
        <vertAlign val="subscript"/>
        <sz val="11"/>
        <rFont val="Calibri"/>
        <family val="2"/>
        <scheme val="minor"/>
      </rPr>
      <t>3</t>
    </r>
    <r>
      <rPr>
        <sz val="11"/>
        <rFont val="Calibri"/>
        <family val="2"/>
        <scheme val="minor"/>
      </rPr>
      <t>];Ki</t>
    </r>
    <r>
      <rPr>
        <vertAlign val="subscript"/>
        <sz val="11"/>
        <rFont val="Calibri"/>
        <family val="2"/>
        <scheme val="minor"/>
      </rPr>
      <t>NH3,NITO,pH</t>
    </r>
    <r>
      <rPr>
        <sz val="11"/>
        <rFont val="Calibri"/>
        <family val="2"/>
        <scheme val="minor"/>
      </rPr>
      <t>)</t>
    </r>
  </si>
  <si>
    <r>
      <t>Logsat([HCO</t>
    </r>
    <r>
      <rPr>
        <vertAlign val="subscript"/>
        <sz val="11"/>
        <rFont val="Calibri"/>
        <family val="2"/>
        <scheme val="minor"/>
      </rPr>
      <t>3</t>
    </r>
    <r>
      <rPr>
        <vertAlign val="superscript"/>
        <sz val="11"/>
        <rFont val="Calibri"/>
        <family val="2"/>
        <scheme val="minor"/>
      </rPr>
      <t>-</t>
    </r>
    <r>
      <rPr>
        <sz val="11"/>
        <rFont val="Calibri"/>
        <family val="2"/>
        <scheme val="minor"/>
      </rPr>
      <t>]; K</t>
    </r>
    <r>
      <rPr>
        <vertAlign val="subscript"/>
        <sz val="11"/>
        <rFont val="Calibri"/>
        <family val="2"/>
        <scheme val="minor"/>
      </rPr>
      <t>CO2,NITO,pH</t>
    </r>
    <r>
      <rPr>
        <sz val="11"/>
        <rFont val="Calibri"/>
        <family val="2"/>
        <scheme val="minor"/>
      </rPr>
      <t>; Logslope</t>
    </r>
    <r>
      <rPr>
        <vertAlign val="subscript"/>
        <sz val="11"/>
        <rFont val="Calibri"/>
        <family val="2"/>
        <charset val="238"/>
        <scheme val="minor"/>
      </rPr>
      <t>CO2,NITO,pH</t>
    </r>
    <r>
      <rPr>
        <sz val="11"/>
        <rFont val="Calibri"/>
        <family val="2"/>
        <scheme val="minor"/>
      </rPr>
      <t>)</t>
    </r>
  </si>
  <si>
    <r>
      <t>Logslope</t>
    </r>
    <r>
      <rPr>
        <vertAlign val="subscript"/>
        <sz val="11"/>
        <rFont val="Calibri"/>
        <family val="2"/>
        <scheme val="minor"/>
      </rPr>
      <t>NH3,AMETO,pH</t>
    </r>
  </si>
  <si>
    <r>
      <t>f(X</t>
    </r>
    <r>
      <rPr>
        <vertAlign val="subscript"/>
        <sz val="11"/>
        <rFont val="Calibri"/>
        <family val="2"/>
      </rPr>
      <t>N,U</t>
    </r>
    <r>
      <rPr>
        <sz val="11"/>
        <rFont val="Calibri"/>
        <family val="2"/>
      </rPr>
      <t>);f(X</t>
    </r>
    <r>
      <rPr>
        <vertAlign val="subscript"/>
        <sz val="11"/>
        <rFont val="Calibri"/>
        <family val="2"/>
      </rPr>
      <t>P,U</t>
    </r>
    <r>
      <rPr>
        <sz val="11"/>
        <rFont val="Calibri"/>
        <family val="2"/>
      </rPr>
      <t>)</t>
    </r>
  </si>
  <si>
    <r>
      <t>f(X</t>
    </r>
    <r>
      <rPr>
        <vertAlign val="subscript"/>
        <sz val="11"/>
        <rFont val="Calibri"/>
        <family val="2"/>
      </rPr>
      <t>INORG</t>
    </r>
    <r>
      <rPr>
        <sz val="11"/>
        <rFont val="Calibri"/>
        <family val="2"/>
      </rPr>
      <t>);f(S</t>
    </r>
    <r>
      <rPr>
        <vertAlign val="subscript"/>
        <sz val="11"/>
        <rFont val="Calibri"/>
        <family val="2"/>
        <charset val="238"/>
      </rPr>
      <t>Ca</t>
    </r>
    <r>
      <rPr>
        <sz val="11"/>
        <rFont val="Calibri"/>
        <family val="2"/>
      </rPr>
      <t>);f(S</t>
    </r>
    <r>
      <rPr>
        <vertAlign val="subscript"/>
        <sz val="11"/>
        <rFont val="Calibri"/>
        <family val="2"/>
        <charset val="238"/>
      </rPr>
      <t>Mg</t>
    </r>
    <r>
      <rPr>
        <sz val="11"/>
        <rFont val="Calibri"/>
        <family val="2"/>
      </rPr>
      <t>);f(S</t>
    </r>
    <r>
      <rPr>
        <vertAlign val="subscript"/>
        <sz val="11"/>
        <rFont val="Calibri"/>
        <family val="2"/>
        <charset val="238"/>
      </rPr>
      <t>CAT</t>
    </r>
    <r>
      <rPr>
        <sz val="11"/>
        <rFont val="Calibri"/>
        <family val="2"/>
      </rPr>
      <t>);f(S</t>
    </r>
    <r>
      <rPr>
        <vertAlign val="subscript"/>
        <sz val="11"/>
        <rFont val="Calibri"/>
        <family val="2"/>
        <charset val="238"/>
      </rPr>
      <t>AN</t>
    </r>
    <r>
      <rPr>
        <sz val="11"/>
        <rFont val="Calibri"/>
        <family val="2"/>
      </rPr>
      <t>)</t>
    </r>
  </si>
  <si>
    <r>
      <t>q</t>
    </r>
    <r>
      <rPr>
        <vertAlign val="subscript"/>
        <sz val="11"/>
        <color indexed="8"/>
        <rFont val="Calibri"/>
        <family val="2"/>
        <scheme val="minor"/>
      </rPr>
      <t>FLOC</t>
    </r>
    <r>
      <rPr>
        <vertAlign val="subscript"/>
        <sz val="11"/>
        <color rgb="FF000000"/>
        <rFont val="Calibri"/>
        <family val="2"/>
        <scheme val="minor"/>
      </rPr>
      <t>,HFO</t>
    </r>
  </si>
  <si>
    <t>Rate of flocculation with HFO</t>
  </si>
  <si>
    <r>
      <t>q</t>
    </r>
    <r>
      <rPr>
        <vertAlign val="subscript"/>
        <sz val="11"/>
        <color indexed="8"/>
        <rFont val="Calibri"/>
        <family val="2"/>
        <scheme val="minor"/>
      </rPr>
      <t>FLOC</t>
    </r>
    <r>
      <rPr>
        <vertAlign val="subscript"/>
        <sz val="11"/>
        <color rgb="FF000000"/>
        <rFont val="Calibri"/>
        <family val="2"/>
        <scheme val="minor"/>
      </rPr>
      <t>,HAO</t>
    </r>
  </si>
  <si>
    <t>Rate of flocculation with HAO</t>
  </si>
  <si>
    <r>
      <t>q</t>
    </r>
    <r>
      <rPr>
        <vertAlign val="subscript"/>
        <sz val="11"/>
        <rFont val="Calibri"/>
        <family val="2"/>
      </rPr>
      <t>FLOC,T</t>
    </r>
    <r>
      <rPr>
        <sz val="11"/>
        <rFont val="Calibri"/>
        <family val="2"/>
      </rPr>
      <t>*X</t>
    </r>
    <r>
      <rPr>
        <vertAlign val="subscript"/>
        <sz val="11"/>
        <rFont val="Calibri"/>
        <family val="2"/>
      </rPr>
      <t>BIO</t>
    </r>
    <r>
      <rPr>
        <sz val="11"/>
        <rFont val="Calibri"/>
        <family val="2"/>
      </rPr>
      <t>*(Logsat</t>
    </r>
    <r>
      <rPr>
        <vertAlign val="subscript"/>
        <sz val="11"/>
        <rFont val="Calibri"/>
        <family val="2"/>
      </rPr>
      <t>XBIO,FLOC,lim</t>
    </r>
    <r>
      <rPr>
        <sz val="11"/>
        <rFont val="Calibri"/>
        <family val="2"/>
      </rPr>
      <t>*MRsat</t>
    </r>
    <r>
      <rPr>
        <vertAlign val="subscript"/>
        <sz val="11"/>
        <rFont val="Calibri"/>
        <family val="2"/>
      </rPr>
      <t>CB,XBIO,KFLOC</t>
    </r>
    <r>
      <rPr>
        <sz val="11"/>
        <rFont val="Calibri"/>
        <family val="2"/>
      </rPr>
      <t>+1/10*Loginh</t>
    </r>
    <r>
      <rPr>
        <vertAlign val="subscript"/>
        <sz val="11"/>
        <rFont val="Calibri"/>
        <family val="2"/>
      </rPr>
      <t>XBIO,FLOC,lim</t>
    </r>
    <r>
      <rPr>
        <sz val="11"/>
        <rFont val="Calibri"/>
        <family val="2"/>
      </rPr>
      <t>*Msat</t>
    </r>
    <r>
      <rPr>
        <vertAlign val="subscript"/>
        <sz val="11"/>
        <rFont val="Calibri"/>
        <family val="2"/>
      </rPr>
      <t>CB,KCB,FLOC</t>
    </r>
    <r>
      <rPr>
        <sz val="11"/>
        <rFont val="Calibri"/>
        <family val="2"/>
      </rPr>
      <t>)</t>
    </r>
  </si>
  <si>
    <r>
      <t>q</t>
    </r>
    <r>
      <rPr>
        <vertAlign val="subscript"/>
        <sz val="11"/>
        <rFont val="Calibri"/>
        <family val="2"/>
      </rPr>
      <t>FLOC,T</t>
    </r>
    <r>
      <rPr>
        <sz val="11"/>
        <rFont val="Calibri"/>
        <family val="2"/>
      </rPr>
      <t>*X</t>
    </r>
    <r>
      <rPr>
        <vertAlign val="subscript"/>
        <sz val="11"/>
        <rFont val="Calibri"/>
        <family val="2"/>
      </rPr>
      <t>BIO</t>
    </r>
    <r>
      <rPr>
        <sz val="11"/>
        <rFont val="Calibri"/>
        <family val="2"/>
      </rPr>
      <t>*(Logsat</t>
    </r>
    <r>
      <rPr>
        <vertAlign val="subscript"/>
        <sz val="11"/>
        <rFont val="Calibri"/>
        <family val="2"/>
      </rPr>
      <t>XBIO,FLOC,lim</t>
    </r>
    <r>
      <rPr>
        <sz val="11"/>
        <rFont val="Calibri"/>
        <family val="2"/>
      </rPr>
      <t>*MRsat</t>
    </r>
    <r>
      <rPr>
        <vertAlign val="subscript"/>
        <sz val="11"/>
        <rFont val="Calibri"/>
        <family val="2"/>
      </rPr>
      <t>CU,XBIO,KFLOC</t>
    </r>
    <r>
      <rPr>
        <sz val="11"/>
        <rFont val="Calibri"/>
        <family val="2"/>
      </rPr>
      <t>+1/10*Loginh</t>
    </r>
    <r>
      <rPr>
        <vertAlign val="subscript"/>
        <sz val="11"/>
        <rFont val="Calibri"/>
        <family val="2"/>
      </rPr>
      <t>XBIO,FLOC,lim</t>
    </r>
    <r>
      <rPr>
        <sz val="11"/>
        <rFont val="Calibri"/>
        <family val="2"/>
      </rPr>
      <t>*Msat</t>
    </r>
    <r>
      <rPr>
        <vertAlign val="subscript"/>
        <sz val="11"/>
        <rFont val="Calibri"/>
        <family val="2"/>
      </rPr>
      <t>CU,KCU,FLOC</t>
    </r>
    <r>
      <rPr>
        <sz val="11"/>
        <rFont val="Calibri"/>
        <family val="2"/>
      </rPr>
      <t>)</t>
    </r>
  </si>
  <si>
    <r>
      <t>q</t>
    </r>
    <r>
      <rPr>
        <vertAlign val="subscript"/>
        <sz val="11"/>
        <color indexed="8"/>
        <rFont val="Calibri"/>
        <family val="2"/>
        <scheme val="minor"/>
      </rPr>
      <t>FLOC,HFO,T</t>
    </r>
  </si>
  <si>
    <r>
      <t>q</t>
    </r>
    <r>
      <rPr>
        <vertAlign val="subscript"/>
        <sz val="11"/>
        <color indexed="8"/>
        <rFont val="Calibri"/>
        <family val="2"/>
        <scheme val="minor"/>
      </rPr>
      <t>FLOC,HAO,T</t>
    </r>
  </si>
  <si>
    <r>
      <t>q</t>
    </r>
    <r>
      <rPr>
        <vertAlign val="subscript"/>
        <sz val="11"/>
        <color indexed="8"/>
        <rFont val="Calibri"/>
        <family val="2"/>
        <scheme val="minor"/>
      </rPr>
      <t>FLOC,HFO</t>
    </r>
    <r>
      <rPr>
        <sz val="11"/>
        <color indexed="8"/>
        <rFont val="Calibri"/>
        <family val="2"/>
        <scheme val="minor"/>
      </rPr>
      <t>*Arrh(θ</t>
    </r>
    <r>
      <rPr>
        <vertAlign val="subscript"/>
        <sz val="11"/>
        <color indexed="8"/>
        <rFont val="Calibri"/>
        <family val="2"/>
        <scheme val="minor"/>
      </rPr>
      <t>q,FLOC,HFO</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</si>
  <si>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q</t>
    </r>
    <r>
      <rPr>
        <vertAlign val="subscript"/>
        <sz val="11"/>
        <color indexed="8"/>
        <rFont val="Calibri"/>
        <family val="2"/>
        <scheme val="minor"/>
      </rPr>
      <t>FLOC,HAO</t>
    </r>
    <r>
      <rPr>
        <sz val="11"/>
        <color indexed="8"/>
        <rFont val="Calibri"/>
        <family val="2"/>
        <scheme val="minor"/>
      </rPr>
      <t>*Arrh(θ</t>
    </r>
    <r>
      <rPr>
        <vertAlign val="subscript"/>
        <sz val="11"/>
        <color indexed="8"/>
        <rFont val="Calibri"/>
        <family val="2"/>
        <scheme val="minor"/>
      </rPr>
      <t>q,FLOC,HAO</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</si>
  <si>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Msat</t>
    </r>
    <r>
      <rPr>
        <vertAlign val="subscript"/>
        <sz val="11"/>
        <rFont val="Calibri"/>
        <family val="2"/>
        <scheme val="minor"/>
      </rPr>
      <t>CB,KCB,FLOC,HFO</t>
    </r>
  </si>
  <si>
    <r>
      <t>Msat</t>
    </r>
    <r>
      <rPr>
        <vertAlign val="subscript"/>
        <sz val="11"/>
        <rFont val="Calibri"/>
        <family val="2"/>
        <scheme val="minor"/>
      </rPr>
      <t>CU,KCU,FLOC,HFO</t>
    </r>
  </si>
  <si>
    <t>Saturation term for colloidal unbiodegradable organics flocculation with HFO  (floculation)</t>
  </si>
  <si>
    <r>
      <t>Msat(C</t>
    </r>
    <r>
      <rPr>
        <vertAlign val="subscript"/>
        <sz val="11"/>
        <rFont val="Calibri"/>
        <family val="2"/>
        <scheme val="minor"/>
      </rPr>
      <t>U</t>
    </r>
    <r>
      <rPr>
        <sz val="11"/>
        <rFont val="Calibri"/>
        <family val="2"/>
        <scheme val="minor"/>
      </rPr>
      <t>;K</t>
    </r>
    <r>
      <rPr>
        <vertAlign val="subscript"/>
        <sz val="11"/>
        <rFont val="Calibri"/>
        <family val="2"/>
        <scheme val="minor"/>
      </rPr>
      <t>CU,FLOC,HFO</t>
    </r>
    <r>
      <rPr>
        <sz val="11"/>
        <rFont val="Calibri"/>
        <family val="2"/>
        <scheme val="minor"/>
      </rPr>
      <t>)</t>
    </r>
  </si>
  <si>
    <r>
      <t>Msat(C</t>
    </r>
    <r>
      <rPr>
        <vertAlign val="subscript"/>
        <sz val="11"/>
        <rFont val="Calibri"/>
        <family val="2"/>
        <scheme val="minor"/>
      </rPr>
      <t>B</t>
    </r>
    <r>
      <rPr>
        <sz val="11"/>
        <rFont val="Calibri"/>
        <family val="2"/>
        <scheme val="minor"/>
      </rPr>
      <t>;K</t>
    </r>
    <r>
      <rPr>
        <vertAlign val="subscript"/>
        <sz val="11"/>
        <rFont val="Calibri"/>
        <family val="2"/>
        <scheme val="minor"/>
      </rPr>
      <t>CB,FLOC,HFO</t>
    </r>
    <r>
      <rPr>
        <sz val="11"/>
        <rFont val="Calibri"/>
        <family val="2"/>
        <scheme val="minor"/>
      </rPr>
      <t>)</t>
    </r>
  </si>
  <si>
    <t>Saturation term for colloidal biodegradable substrate flocculation with HFO (flocculation)</t>
  </si>
  <si>
    <r>
      <t>Msat</t>
    </r>
    <r>
      <rPr>
        <vertAlign val="subscript"/>
        <sz val="11"/>
        <rFont val="Calibri"/>
        <family val="2"/>
        <scheme val="minor"/>
      </rPr>
      <t>CB,KCB,FLOC,HAO</t>
    </r>
  </si>
  <si>
    <r>
      <t>Msat</t>
    </r>
    <r>
      <rPr>
        <vertAlign val="subscript"/>
        <sz val="11"/>
        <rFont val="Calibri"/>
        <family val="2"/>
        <scheme val="minor"/>
      </rPr>
      <t>CU,KCU,FLOC,HAO</t>
    </r>
  </si>
  <si>
    <t>Saturation term for colloidal biodegradable substrate flocculation with HAO (flocculation)</t>
  </si>
  <si>
    <t>Saturation term for colloidal unbiodegradable organics flocculation with HAO  (floculation)</t>
  </si>
  <si>
    <r>
      <t>Msat(C</t>
    </r>
    <r>
      <rPr>
        <vertAlign val="subscript"/>
        <sz val="11"/>
        <rFont val="Calibri"/>
        <family val="2"/>
        <scheme val="minor"/>
      </rPr>
      <t>B</t>
    </r>
    <r>
      <rPr>
        <sz val="11"/>
        <rFont val="Calibri"/>
        <family val="2"/>
        <scheme val="minor"/>
      </rPr>
      <t>;K</t>
    </r>
    <r>
      <rPr>
        <vertAlign val="subscript"/>
        <sz val="11"/>
        <rFont val="Calibri"/>
        <family val="2"/>
        <scheme val="minor"/>
      </rPr>
      <t>CB,FLOC,HAO</t>
    </r>
    <r>
      <rPr>
        <sz val="11"/>
        <rFont val="Calibri"/>
        <family val="2"/>
        <scheme val="minor"/>
      </rPr>
      <t>)</t>
    </r>
  </si>
  <si>
    <r>
      <t>Msat(C</t>
    </r>
    <r>
      <rPr>
        <vertAlign val="subscript"/>
        <sz val="11"/>
        <rFont val="Calibri"/>
        <family val="2"/>
        <scheme val="minor"/>
      </rPr>
      <t>U</t>
    </r>
    <r>
      <rPr>
        <sz val="11"/>
        <rFont val="Calibri"/>
        <family val="2"/>
        <scheme val="minor"/>
      </rPr>
      <t>;K</t>
    </r>
    <r>
      <rPr>
        <vertAlign val="subscript"/>
        <sz val="11"/>
        <rFont val="Calibri"/>
        <family val="2"/>
        <scheme val="minor"/>
      </rPr>
      <t>CU,FLOC,HAO</t>
    </r>
    <r>
      <rPr>
        <sz val="11"/>
        <rFont val="Calibri"/>
        <family val="2"/>
        <scheme val="minor"/>
      </rPr>
      <t>)</t>
    </r>
  </si>
  <si>
    <t>Half-saturation of biodegradable colloids flocculation with HFO</t>
  </si>
  <si>
    <r>
      <t>K</t>
    </r>
    <r>
      <rPr>
        <vertAlign val="subscript"/>
        <sz val="11"/>
        <color indexed="8"/>
        <rFont val="Calibri"/>
        <family val="2"/>
        <scheme val="minor"/>
      </rPr>
      <t>CB,FLOC</t>
    </r>
    <r>
      <rPr>
        <vertAlign val="subscript"/>
        <sz val="11"/>
        <color rgb="FF000000"/>
        <rFont val="Calibri"/>
        <family val="2"/>
        <scheme val="minor"/>
      </rPr>
      <t>,HFO</t>
    </r>
  </si>
  <si>
    <r>
      <t>K</t>
    </r>
    <r>
      <rPr>
        <vertAlign val="subscript"/>
        <sz val="11"/>
        <color indexed="8"/>
        <rFont val="Calibri"/>
        <family val="2"/>
        <scheme val="minor"/>
      </rPr>
      <t>CU,FLOC</t>
    </r>
    <r>
      <rPr>
        <vertAlign val="subscript"/>
        <sz val="11"/>
        <color rgb="FF000000"/>
        <rFont val="Calibri"/>
        <family val="2"/>
        <scheme val="minor"/>
      </rPr>
      <t>,HFO</t>
    </r>
  </si>
  <si>
    <t>Half-saturation of biodegradable colloids flocculation with HAO</t>
  </si>
  <si>
    <r>
      <t>K</t>
    </r>
    <r>
      <rPr>
        <vertAlign val="subscript"/>
        <sz val="11"/>
        <color indexed="8"/>
        <rFont val="Calibri"/>
        <family val="2"/>
        <scheme val="minor"/>
      </rPr>
      <t>CB,FLOC</t>
    </r>
    <r>
      <rPr>
        <vertAlign val="subscript"/>
        <sz val="11"/>
        <color rgb="FF000000"/>
        <rFont val="Calibri"/>
        <family val="2"/>
        <scheme val="minor"/>
      </rPr>
      <t>,HAO</t>
    </r>
  </si>
  <si>
    <r>
      <t>K</t>
    </r>
    <r>
      <rPr>
        <vertAlign val="subscript"/>
        <sz val="11"/>
        <color indexed="8"/>
        <rFont val="Calibri"/>
        <family val="2"/>
        <scheme val="minor"/>
      </rPr>
      <t>CU,FLOC</t>
    </r>
    <r>
      <rPr>
        <vertAlign val="subscript"/>
        <sz val="11"/>
        <color rgb="FF000000"/>
        <rFont val="Calibri"/>
        <family val="2"/>
        <scheme val="minor"/>
      </rPr>
      <t>,HAO</t>
    </r>
  </si>
  <si>
    <r>
      <t>θ</t>
    </r>
    <r>
      <rPr>
        <vertAlign val="subscript"/>
        <sz val="11"/>
        <color indexed="8"/>
        <rFont val="Calibri"/>
        <family val="2"/>
        <scheme val="minor"/>
      </rPr>
      <t>q,FLOC</t>
    </r>
    <r>
      <rPr>
        <vertAlign val="subscript"/>
        <sz val="11"/>
        <color rgb="FF000000"/>
        <rFont val="Calibri"/>
        <family val="2"/>
        <scheme val="minor"/>
      </rPr>
      <t>,HFO</t>
    </r>
  </si>
  <si>
    <r>
      <t>θ</t>
    </r>
    <r>
      <rPr>
        <vertAlign val="subscript"/>
        <sz val="11"/>
        <color indexed="8"/>
        <rFont val="Calibri"/>
        <family val="2"/>
        <scheme val="minor"/>
      </rPr>
      <t>q,FLOC</t>
    </r>
    <r>
      <rPr>
        <vertAlign val="subscript"/>
        <sz val="11"/>
        <color rgb="FF000000"/>
        <rFont val="Calibri"/>
        <family val="2"/>
        <scheme val="minor"/>
      </rPr>
      <t>,HAO</t>
    </r>
  </si>
  <si>
    <t>Arrhenius coefficient for flocculation HFO</t>
  </si>
  <si>
    <t>Arrhenius coefficient for flocculation HAO</t>
  </si>
  <si>
    <r>
      <t>pH</t>
    </r>
    <r>
      <rPr>
        <vertAlign val="subscript"/>
        <sz val="11"/>
        <rFont val="Calibri"/>
        <family val="2"/>
        <scheme val="minor"/>
      </rPr>
      <t>low</t>
    </r>
    <r>
      <rPr>
        <vertAlign val="subscript"/>
        <sz val="11"/>
        <color rgb="FF000000"/>
        <rFont val="Calibri"/>
        <family val="2"/>
        <scheme val="minor"/>
      </rPr>
      <t>,FLOC,HFO</t>
    </r>
  </si>
  <si>
    <t>pH inhibition low value for flocculation with HFO</t>
  </si>
  <si>
    <r>
      <t>pH</t>
    </r>
    <r>
      <rPr>
        <vertAlign val="subscript"/>
        <sz val="11"/>
        <rFont val="Calibri"/>
        <family val="2"/>
        <scheme val="minor"/>
      </rPr>
      <t>high</t>
    </r>
    <r>
      <rPr>
        <vertAlign val="subscript"/>
        <sz val="11"/>
        <color rgb="FF000000"/>
        <rFont val="Calibri"/>
        <family val="2"/>
        <scheme val="minor"/>
      </rPr>
      <t>,FLOC,HFO</t>
    </r>
  </si>
  <si>
    <t>pH inhibition high value for flocculation with HFO</t>
  </si>
  <si>
    <r>
      <t>pH</t>
    </r>
    <r>
      <rPr>
        <vertAlign val="subscript"/>
        <sz val="11"/>
        <rFont val="Calibri"/>
        <family val="2"/>
        <scheme val="minor"/>
      </rPr>
      <t>low</t>
    </r>
    <r>
      <rPr>
        <vertAlign val="subscript"/>
        <sz val="11"/>
        <color rgb="FF000000"/>
        <rFont val="Calibri"/>
        <family val="2"/>
        <scheme val="minor"/>
      </rPr>
      <t>,FLOC,HAO</t>
    </r>
  </si>
  <si>
    <t>pH inhibition low value for flocculation with HAO</t>
  </si>
  <si>
    <r>
      <t>pH</t>
    </r>
    <r>
      <rPr>
        <vertAlign val="subscript"/>
        <sz val="11"/>
        <rFont val="Calibri"/>
        <family val="2"/>
        <scheme val="minor"/>
      </rPr>
      <t>high</t>
    </r>
    <r>
      <rPr>
        <vertAlign val="subscript"/>
        <sz val="11"/>
        <color rgb="FF000000"/>
        <rFont val="Calibri"/>
        <family val="2"/>
        <scheme val="minor"/>
      </rPr>
      <t>,FLOC,HAO</t>
    </r>
  </si>
  <si>
    <t>pH inhibition high value for flocculation with HAO</t>
  </si>
  <si>
    <r>
      <t>q</t>
    </r>
    <r>
      <rPr>
        <vertAlign val="subscript"/>
        <sz val="11"/>
        <rFont val="Calibri"/>
        <family val="2"/>
      </rPr>
      <t>FLOC,T</t>
    </r>
    <r>
      <rPr>
        <sz val="11"/>
        <rFont val="Calibri"/>
        <family val="2"/>
      </rPr>
      <t>*X</t>
    </r>
    <r>
      <rPr>
        <vertAlign val="subscript"/>
        <sz val="11"/>
        <rFont val="Calibri"/>
        <family val="2"/>
      </rPr>
      <t>BIO</t>
    </r>
    <r>
      <rPr>
        <sz val="11"/>
        <rFont val="Calibri"/>
        <family val="2"/>
      </rPr>
      <t>*Msat</t>
    </r>
    <r>
      <rPr>
        <vertAlign val="subscript"/>
        <sz val="11"/>
        <rFont val="Calibri"/>
        <family val="2"/>
      </rPr>
      <t>CB,KCB,FLOC</t>
    </r>
    <r>
      <rPr>
        <sz val="11"/>
        <rFont val="Calibri"/>
        <family val="2"/>
      </rPr>
      <t>+q</t>
    </r>
    <r>
      <rPr>
        <vertAlign val="subscript"/>
        <sz val="11"/>
        <rFont val="Calibri"/>
        <family val="2"/>
      </rPr>
      <t>FLOC,HFO,T</t>
    </r>
    <r>
      <rPr>
        <sz val="11"/>
        <rFont val="Calibri"/>
        <family val="2"/>
      </rPr>
      <t>*X</t>
    </r>
    <r>
      <rPr>
        <vertAlign val="subscript"/>
        <sz val="11"/>
        <rFont val="Calibri"/>
        <family val="2"/>
      </rPr>
      <t>HFO</t>
    </r>
    <r>
      <rPr>
        <sz val="11"/>
        <rFont val="Calibri"/>
        <family val="2"/>
      </rPr>
      <t>*Msat</t>
    </r>
    <r>
      <rPr>
        <vertAlign val="subscript"/>
        <sz val="11"/>
        <rFont val="Calibri"/>
        <family val="2"/>
      </rPr>
      <t>CB,KCB,FLOC,HFO</t>
    </r>
    <r>
      <rPr>
        <sz val="11"/>
        <rFont val="Calibri"/>
        <family val="2"/>
      </rPr>
      <t>*Bellinh</t>
    </r>
    <r>
      <rPr>
        <vertAlign val="subscript"/>
        <sz val="11"/>
        <rFont val="Calibri"/>
        <family val="2"/>
      </rPr>
      <t>pH,FLOC,HFO</t>
    </r>
    <r>
      <rPr>
        <sz val="11"/>
        <rFont val="Calibri"/>
        <family val="2"/>
      </rPr>
      <t>+q</t>
    </r>
    <r>
      <rPr>
        <vertAlign val="subscript"/>
        <sz val="11"/>
        <rFont val="Calibri"/>
        <family val="2"/>
      </rPr>
      <t>FLOC,HAO,T</t>
    </r>
    <r>
      <rPr>
        <sz val="11"/>
        <rFont val="Calibri"/>
        <family val="2"/>
      </rPr>
      <t>*X</t>
    </r>
    <r>
      <rPr>
        <vertAlign val="subscript"/>
        <sz val="11"/>
        <rFont val="Calibri"/>
        <family val="2"/>
      </rPr>
      <t>HAO</t>
    </r>
    <r>
      <rPr>
        <sz val="11"/>
        <rFont val="Calibri"/>
        <family val="2"/>
      </rPr>
      <t>*Msat</t>
    </r>
    <r>
      <rPr>
        <vertAlign val="subscript"/>
        <sz val="11"/>
        <rFont val="Calibri"/>
        <family val="2"/>
      </rPr>
      <t>CB,KCB,FLOC,HAO</t>
    </r>
    <r>
      <rPr>
        <sz val="11"/>
        <rFont val="Calibri"/>
        <family val="2"/>
      </rPr>
      <t>*Bellinh</t>
    </r>
    <r>
      <rPr>
        <vertAlign val="subscript"/>
        <sz val="11"/>
        <rFont val="Calibri"/>
        <family val="2"/>
      </rPr>
      <t>pH,FLOC,HAO</t>
    </r>
  </si>
  <si>
    <r>
      <t>q</t>
    </r>
    <r>
      <rPr>
        <vertAlign val="subscript"/>
        <sz val="11"/>
        <rFont val="Calibri"/>
        <family val="2"/>
      </rPr>
      <t>FLOC,T</t>
    </r>
    <r>
      <rPr>
        <sz val="11"/>
        <rFont val="Calibri"/>
        <family val="2"/>
      </rPr>
      <t>*X</t>
    </r>
    <r>
      <rPr>
        <vertAlign val="subscript"/>
        <sz val="11"/>
        <rFont val="Calibri"/>
        <family val="2"/>
      </rPr>
      <t>BIO</t>
    </r>
    <r>
      <rPr>
        <sz val="11"/>
        <rFont val="Calibri"/>
        <family val="2"/>
      </rPr>
      <t>*Msat</t>
    </r>
    <r>
      <rPr>
        <vertAlign val="subscript"/>
        <sz val="11"/>
        <rFont val="Calibri"/>
        <family val="2"/>
      </rPr>
      <t>CU,KCU,FLOC</t>
    </r>
    <r>
      <rPr>
        <sz val="11"/>
        <rFont val="Calibri"/>
        <family val="2"/>
      </rPr>
      <t>+q</t>
    </r>
    <r>
      <rPr>
        <vertAlign val="subscript"/>
        <sz val="11"/>
        <rFont val="Calibri"/>
        <family val="2"/>
      </rPr>
      <t>FLOC,HFO,T</t>
    </r>
    <r>
      <rPr>
        <sz val="11"/>
        <rFont val="Calibri"/>
        <family val="2"/>
      </rPr>
      <t>*X</t>
    </r>
    <r>
      <rPr>
        <vertAlign val="subscript"/>
        <sz val="11"/>
        <rFont val="Calibri"/>
        <family val="2"/>
      </rPr>
      <t>HFO</t>
    </r>
    <r>
      <rPr>
        <sz val="11"/>
        <rFont val="Calibri"/>
        <family val="2"/>
      </rPr>
      <t>*Msat</t>
    </r>
    <r>
      <rPr>
        <vertAlign val="subscript"/>
        <sz val="11"/>
        <rFont val="Calibri"/>
        <family val="2"/>
      </rPr>
      <t>CU,KCU,FLOC,HFO</t>
    </r>
    <r>
      <rPr>
        <sz val="11"/>
        <rFont val="Calibri"/>
        <family val="2"/>
      </rPr>
      <t>*Bellinh</t>
    </r>
    <r>
      <rPr>
        <vertAlign val="subscript"/>
        <sz val="11"/>
        <rFont val="Calibri"/>
        <family val="2"/>
      </rPr>
      <t>pH,FLOC,HFO</t>
    </r>
    <r>
      <rPr>
        <sz val="11"/>
        <rFont val="Calibri"/>
        <family val="2"/>
      </rPr>
      <t>+q</t>
    </r>
    <r>
      <rPr>
        <vertAlign val="subscript"/>
        <sz val="11"/>
        <rFont val="Calibri"/>
        <family val="2"/>
      </rPr>
      <t>FLOC,HAO,T</t>
    </r>
    <r>
      <rPr>
        <sz val="11"/>
        <rFont val="Calibri"/>
        <family val="2"/>
      </rPr>
      <t>*X</t>
    </r>
    <r>
      <rPr>
        <vertAlign val="subscript"/>
        <sz val="11"/>
        <rFont val="Calibri"/>
        <family val="2"/>
      </rPr>
      <t>HAO</t>
    </r>
    <r>
      <rPr>
        <sz val="11"/>
        <rFont val="Calibri"/>
        <family val="2"/>
      </rPr>
      <t>*Msat</t>
    </r>
    <r>
      <rPr>
        <vertAlign val="subscript"/>
        <sz val="11"/>
        <rFont val="Calibri"/>
        <family val="2"/>
      </rPr>
      <t>CU,KCU,FLOC,HAO</t>
    </r>
    <r>
      <rPr>
        <sz val="11"/>
        <rFont val="Calibri"/>
        <family val="2"/>
      </rPr>
      <t>*Bellinh</t>
    </r>
    <r>
      <rPr>
        <vertAlign val="subscript"/>
        <sz val="11"/>
        <rFont val="Calibri"/>
        <family val="2"/>
      </rPr>
      <t>pH,FLOC,HAO</t>
    </r>
  </si>
  <si>
    <r>
      <t>Bellinh</t>
    </r>
    <r>
      <rPr>
        <vertAlign val="subscript"/>
        <sz val="11"/>
        <rFont val="Calibri"/>
        <family val="2"/>
        <scheme val="minor"/>
      </rPr>
      <t>pH,FLOC,HFO</t>
    </r>
  </si>
  <si>
    <t>pH inhibition (Bell shaped) (flocculation with HFO)</t>
  </si>
  <si>
    <r>
      <t>Bellinh(pH;pH</t>
    </r>
    <r>
      <rPr>
        <vertAlign val="subscript"/>
        <sz val="11"/>
        <rFont val="Calibri"/>
        <family val="2"/>
        <scheme val="minor"/>
      </rPr>
      <t>low,FLOC,HFO</t>
    </r>
    <r>
      <rPr>
        <sz val="11"/>
        <rFont val="Calibri"/>
        <family val="2"/>
        <scheme val="minor"/>
      </rPr>
      <t>;pH</t>
    </r>
    <r>
      <rPr>
        <vertAlign val="subscript"/>
        <sz val="11"/>
        <rFont val="Calibri"/>
        <family val="2"/>
        <scheme val="minor"/>
      </rPr>
      <t>high,FLOC,HFO</t>
    </r>
    <r>
      <rPr>
        <sz val="11"/>
        <rFont val="Calibri"/>
        <family val="2"/>
        <scheme val="minor"/>
      </rPr>
      <t>)</t>
    </r>
  </si>
  <si>
    <r>
      <t>Bellinh(pH</t>
    </r>
    <r>
      <rPr>
        <vertAlign val="subscript"/>
        <sz val="11"/>
        <rFont val="Calibri"/>
        <family val="2"/>
        <scheme val="minor"/>
      </rPr>
      <t>field</t>
    </r>
    <r>
      <rPr>
        <sz val="11"/>
        <rFont val="Calibri"/>
        <family val="2"/>
        <scheme val="minor"/>
      </rPr>
      <t>;pH</t>
    </r>
    <r>
      <rPr>
        <vertAlign val="subscript"/>
        <sz val="11"/>
        <rFont val="Calibri"/>
        <family val="2"/>
        <scheme val="minor"/>
      </rPr>
      <t>low,FLOC,HFO</t>
    </r>
    <r>
      <rPr>
        <sz val="11"/>
        <rFont val="Calibri"/>
        <family val="2"/>
        <scheme val="minor"/>
      </rPr>
      <t>;pH</t>
    </r>
    <r>
      <rPr>
        <vertAlign val="subscript"/>
        <sz val="11"/>
        <rFont val="Calibri"/>
        <family val="2"/>
        <scheme val="minor"/>
      </rPr>
      <t>high,FLOC,HFO</t>
    </r>
    <r>
      <rPr>
        <sz val="11"/>
        <rFont val="Calibri"/>
        <family val="2"/>
        <scheme val="minor"/>
      </rPr>
      <t>)</t>
    </r>
  </si>
  <si>
    <r>
      <t>Bellinh</t>
    </r>
    <r>
      <rPr>
        <vertAlign val="subscript"/>
        <sz val="11"/>
        <rFont val="Calibri"/>
        <family val="2"/>
        <scheme val="minor"/>
      </rPr>
      <t>pH,FLOC,HAO</t>
    </r>
  </si>
  <si>
    <t>pH inhibition (Bell shaped) (flocculation with HAO)</t>
  </si>
  <si>
    <r>
      <t>Bellinh(pH;pH</t>
    </r>
    <r>
      <rPr>
        <vertAlign val="subscript"/>
        <sz val="11"/>
        <rFont val="Calibri"/>
        <family val="2"/>
        <scheme val="minor"/>
      </rPr>
      <t>low,FLOC,HAO</t>
    </r>
    <r>
      <rPr>
        <sz val="11"/>
        <rFont val="Calibri"/>
        <family val="2"/>
        <scheme val="minor"/>
      </rPr>
      <t>;pH</t>
    </r>
    <r>
      <rPr>
        <vertAlign val="subscript"/>
        <sz val="11"/>
        <rFont val="Calibri"/>
        <family val="2"/>
        <scheme val="minor"/>
      </rPr>
      <t>high,FLOC,HAO</t>
    </r>
    <r>
      <rPr>
        <sz val="11"/>
        <rFont val="Calibri"/>
        <family val="2"/>
        <scheme val="minor"/>
      </rPr>
      <t>)</t>
    </r>
  </si>
  <si>
    <r>
      <t>Bellinh(pH</t>
    </r>
    <r>
      <rPr>
        <vertAlign val="subscript"/>
        <sz val="11"/>
        <rFont val="Calibri"/>
        <family val="2"/>
        <scheme val="minor"/>
      </rPr>
      <t>field</t>
    </r>
    <r>
      <rPr>
        <sz val="11"/>
        <rFont val="Calibri"/>
        <family val="2"/>
        <scheme val="minor"/>
      </rPr>
      <t>;pH</t>
    </r>
    <r>
      <rPr>
        <vertAlign val="subscript"/>
        <sz val="11"/>
        <rFont val="Calibri"/>
        <family val="2"/>
        <scheme val="minor"/>
      </rPr>
      <t>low,FLOC,HAO</t>
    </r>
    <r>
      <rPr>
        <sz val="11"/>
        <rFont val="Calibri"/>
        <family val="2"/>
        <scheme val="minor"/>
      </rPr>
      <t>;pH</t>
    </r>
    <r>
      <rPr>
        <vertAlign val="subscript"/>
        <sz val="11"/>
        <rFont val="Calibri"/>
        <family val="2"/>
        <scheme val="minor"/>
      </rPr>
      <t>high,FLOC,HAO</t>
    </r>
    <r>
      <rPr>
        <sz val="11"/>
        <rFont val="Calibri"/>
        <family val="2"/>
        <scheme val="minor"/>
      </rPr>
      <t>)</t>
    </r>
  </si>
  <si>
    <r>
      <t>q</t>
    </r>
    <r>
      <rPr>
        <vertAlign val="subscript"/>
        <sz val="11"/>
        <color indexed="8"/>
        <rFont val="Calibri"/>
        <family val="2"/>
        <scheme val="minor"/>
      </rPr>
      <t>HYD</t>
    </r>
    <r>
      <rPr>
        <vertAlign val="subscript"/>
        <sz val="11"/>
        <color rgb="FF000000"/>
        <rFont val="Calibri"/>
        <family val="2"/>
        <scheme val="minor"/>
      </rPr>
      <t>,XBe</t>
    </r>
  </si>
  <si>
    <r>
      <t>q</t>
    </r>
    <r>
      <rPr>
        <vertAlign val="subscript"/>
        <sz val="11"/>
        <color indexed="8"/>
        <rFont val="Calibri"/>
        <family val="2"/>
        <scheme val="minor"/>
      </rPr>
      <t>HYD</t>
    </r>
    <r>
      <rPr>
        <vertAlign val="subscript"/>
        <sz val="11"/>
        <color rgb="FF000000"/>
        <rFont val="Calibri"/>
        <family val="2"/>
        <scheme val="minor"/>
      </rPr>
      <t>,XB</t>
    </r>
  </si>
  <si>
    <r>
      <t>K</t>
    </r>
    <r>
      <rPr>
        <vertAlign val="subscript"/>
        <sz val="11"/>
        <color indexed="8"/>
        <rFont val="Calibri"/>
        <family val="2"/>
        <scheme val="minor"/>
      </rPr>
      <t>XBe,HYD</t>
    </r>
  </si>
  <si>
    <r>
      <t>i</t>
    </r>
    <r>
      <rPr>
        <vertAlign val="subscript"/>
        <sz val="11"/>
        <rFont val="Calibri"/>
        <family val="2"/>
        <scheme val="minor"/>
      </rPr>
      <t>CV,XBe</t>
    </r>
  </si>
  <si>
    <t>COD of biodegradable substrate from biomass decay in volatile solids</t>
  </si>
  <si>
    <r>
      <t>X</t>
    </r>
    <r>
      <rPr>
        <b/>
        <vertAlign val="subscript"/>
        <sz val="11"/>
        <rFont val="Calibri"/>
        <family val="2"/>
        <scheme val="minor"/>
      </rPr>
      <t>B,e</t>
    </r>
  </si>
  <si>
    <r>
      <t>X</t>
    </r>
    <r>
      <rPr>
        <b/>
        <vertAlign val="subscript"/>
        <sz val="11"/>
        <rFont val="Calibri"/>
        <family val="2"/>
        <scheme val="minor"/>
      </rPr>
      <t>N,Be</t>
    </r>
  </si>
  <si>
    <r>
      <t>q</t>
    </r>
    <r>
      <rPr>
        <vertAlign val="subscript"/>
        <sz val="11"/>
        <rFont val="Calibri"/>
        <family val="2"/>
      </rPr>
      <t>HYD,XBe,T</t>
    </r>
    <r>
      <rPr>
        <sz val="11"/>
        <rFont val="Calibri"/>
        <family val="2"/>
      </rPr>
      <t>*X</t>
    </r>
    <r>
      <rPr>
        <vertAlign val="subscript"/>
        <sz val="11"/>
        <rFont val="Calibri"/>
        <family val="2"/>
      </rPr>
      <t>HET</t>
    </r>
    <r>
      <rPr>
        <sz val="11"/>
        <rFont val="Calibri"/>
        <family val="2"/>
      </rPr>
      <t>*(Logsat</t>
    </r>
    <r>
      <rPr>
        <vertAlign val="subscript"/>
        <sz val="11"/>
        <rFont val="Calibri"/>
        <family val="2"/>
      </rPr>
      <t>XHET,HYD,lim</t>
    </r>
    <r>
      <rPr>
        <sz val="11"/>
        <rFont val="Calibri"/>
        <family val="2"/>
      </rPr>
      <t>*MRsat</t>
    </r>
    <r>
      <rPr>
        <vertAlign val="subscript"/>
        <sz val="11"/>
        <rFont val="Calibri"/>
        <family val="2"/>
      </rPr>
      <t>XBe,XHET,KHYD</t>
    </r>
    <r>
      <rPr>
        <sz val="11"/>
        <rFont val="Calibri"/>
        <family val="2"/>
      </rPr>
      <t>+Loginh</t>
    </r>
    <r>
      <rPr>
        <vertAlign val="subscript"/>
        <sz val="11"/>
        <rFont val="Calibri"/>
        <family val="2"/>
      </rPr>
      <t>XHET,HYD,lim</t>
    </r>
    <r>
      <rPr>
        <sz val="11"/>
        <rFont val="Calibri"/>
        <family val="2"/>
      </rPr>
      <t>*Msat</t>
    </r>
    <r>
      <rPr>
        <vertAlign val="subscript"/>
        <sz val="11"/>
        <rFont val="Calibri"/>
        <family val="2"/>
      </rPr>
      <t>XBe,KXBe,HYD</t>
    </r>
    <r>
      <rPr>
        <sz val="11"/>
        <rFont val="Calibri"/>
        <family val="2"/>
      </rPr>
      <t>)*(Msat</t>
    </r>
    <r>
      <rPr>
        <vertAlign val="subscript"/>
        <sz val="11"/>
        <rFont val="Calibri"/>
        <family val="2"/>
      </rPr>
      <t>SO2,KO2,OHO</t>
    </r>
    <r>
      <rPr>
        <sz val="11"/>
        <rFont val="Calibri"/>
        <family val="2"/>
      </rPr>
      <t>+η</t>
    </r>
    <r>
      <rPr>
        <vertAlign val="subscript"/>
        <sz val="11"/>
        <rFont val="Calibri"/>
        <family val="2"/>
      </rPr>
      <t>HYD,anox</t>
    </r>
    <r>
      <rPr>
        <sz val="11"/>
        <rFont val="Calibri"/>
        <family val="2"/>
      </rPr>
      <t>*Msat</t>
    </r>
    <r>
      <rPr>
        <vertAlign val="subscript"/>
        <sz val="11"/>
        <rFont val="Calibri"/>
        <family val="2"/>
      </rPr>
      <t>SNOx,KNOx,OHO</t>
    </r>
    <r>
      <rPr>
        <sz val="11"/>
        <rFont val="Calibri"/>
        <family val="2"/>
      </rPr>
      <t>*Minh</t>
    </r>
    <r>
      <rPr>
        <vertAlign val="subscript"/>
        <sz val="11"/>
        <rFont val="Calibri"/>
        <family val="2"/>
      </rPr>
      <t>SO2,KO2,OHO</t>
    </r>
    <r>
      <rPr>
        <sz val="11"/>
        <rFont val="Calibri"/>
        <family val="2"/>
      </rPr>
      <t>+η</t>
    </r>
    <r>
      <rPr>
        <vertAlign val="subscript"/>
        <sz val="11"/>
        <rFont val="Calibri"/>
        <family val="2"/>
      </rPr>
      <t>HYD,ana</t>
    </r>
    <r>
      <rPr>
        <sz val="11"/>
        <rFont val="Calibri"/>
        <family val="2"/>
      </rPr>
      <t>*Minh</t>
    </r>
    <r>
      <rPr>
        <vertAlign val="subscript"/>
        <sz val="11"/>
        <rFont val="Calibri"/>
        <family val="2"/>
      </rPr>
      <t>SNOx,KNOx,OHO</t>
    </r>
    <r>
      <rPr>
        <sz val="11"/>
        <rFont val="Calibri"/>
        <family val="2"/>
      </rPr>
      <t>*Minh</t>
    </r>
    <r>
      <rPr>
        <vertAlign val="subscript"/>
        <sz val="11"/>
        <rFont val="Calibri"/>
        <family val="2"/>
      </rPr>
      <t>SO2,KO2,OHO</t>
    </r>
    <r>
      <rPr>
        <sz val="11"/>
        <rFont val="Calibri"/>
        <family val="2"/>
      </rPr>
      <t>)</t>
    </r>
  </si>
  <si>
    <r>
      <t>q</t>
    </r>
    <r>
      <rPr>
        <vertAlign val="subscript"/>
        <sz val="11"/>
        <rFont val="Calibri"/>
        <family val="2"/>
      </rPr>
      <t>HYD,XB,T</t>
    </r>
    <r>
      <rPr>
        <sz val="11"/>
        <rFont val="Calibri"/>
        <family val="2"/>
      </rPr>
      <t>*X</t>
    </r>
    <r>
      <rPr>
        <vertAlign val="subscript"/>
        <sz val="11"/>
        <rFont val="Calibri"/>
        <family val="2"/>
      </rPr>
      <t>HET</t>
    </r>
    <r>
      <rPr>
        <sz val="11"/>
        <rFont val="Calibri"/>
        <family val="2"/>
      </rPr>
      <t>*(Logsat</t>
    </r>
    <r>
      <rPr>
        <vertAlign val="subscript"/>
        <sz val="11"/>
        <rFont val="Calibri"/>
        <family val="2"/>
      </rPr>
      <t>XHET,HYD,lim</t>
    </r>
    <r>
      <rPr>
        <sz val="11"/>
        <rFont val="Calibri"/>
        <family val="2"/>
      </rPr>
      <t>*MRsat</t>
    </r>
    <r>
      <rPr>
        <vertAlign val="subscript"/>
        <sz val="11"/>
        <rFont val="Calibri"/>
        <family val="2"/>
      </rPr>
      <t>XB,XHET,KHYD</t>
    </r>
    <r>
      <rPr>
        <sz val="11"/>
        <rFont val="Calibri"/>
        <family val="2"/>
      </rPr>
      <t>+Loginh</t>
    </r>
    <r>
      <rPr>
        <vertAlign val="subscript"/>
        <sz val="11"/>
        <rFont val="Calibri"/>
        <family val="2"/>
      </rPr>
      <t>XHET,HYD,lim</t>
    </r>
    <r>
      <rPr>
        <sz val="11"/>
        <rFont val="Calibri"/>
        <family val="2"/>
      </rPr>
      <t>*Msat</t>
    </r>
    <r>
      <rPr>
        <vertAlign val="subscript"/>
        <sz val="11"/>
        <rFont val="Calibri"/>
        <family val="2"/>
      </rPr>
      <t>XB,KXB,HYD</t>
    </r>
    <r>
      <rPr>
        <sz val="11"/>
        <rFont val="Calibri"/>
        <family val="2"/>
      </rPr>
      <t>)*(Msat</t>
    </r>
    <r>
      <rPr>
        <vertAlign val="subscript"/>
        <sz val="11"/>
        <rFont val="Calibri"/>
        <family val="2"/>
      </rPr>
      <t>SO2,KO2,OHO</t>
    </r>
    <r>
      <rPr>
        <sz val="11"/>
        <rFont val="Calibri"/>
        <family val="2"/>
      </rPr>
      <t>+η</t>
    </r>
    <r>
      <rPr>
        <vertAlign val="subscript"/>
        <sz val="11"/>
        <rFont val="Calibri"/>
        <family val="2"/>
      </rPr>
      <t>HYD,anox</t>
    </r>
    <r>
      <rPr>
        <sz val="11"/>
        <rFont val="Calibri"/>
        <family val="2"/>
      </rPr>
      <t>*Msat</t>
    </r>
    <r>
      <rPr>
        <vertAlign val="subscript"/>
        <sz val="11"/>
        <rFont val="Calibri"/>
        <family val="2"/>
      </rPr>
      <t>SNOx,KNOx,OHO</t>
    </r>
    <r>
      <rPr>
        <sz val="11"/>
        <rFont val="Calibri"/>
        <family val="2"/>
      </rPr>
      <t>*Minh</t>
    </r>
    <r>
      <rPr>
        <vertAlign val="subscript"/>
        <sz val="11"/>
        <rFont val="Calibri"/>
        <family val="2"/>
      </rPr>
      <t>SO2,KO2,OHO</t>
    </r>
    <r>
      <rPr>
        <sz val="11"/>
        <rFont val="Calibri"/>
        <family val="2"/>
      </rPr>
      <t>+η</t>
    </r>
    <r>
      <rPr>
        <vertAlign val="subscript"/>
        <sz val="11"/>
        <rFont val="Calibri"/>
        <family val="2"/>
      </rPr>
      <t>HYD,ana</t>
    </r>
    <r>
      <rPr>
        <sz val="11"/>
        <rFont val="Calibri"/>
        <family val="2"/>
      </rPr>
      <t>*Minh</t>
    </r>
    <r>
      <rPr>
        <vertAlign val="subscript"/>
        <sz val="11"/>
        <rFont val="Calibri"/>
        <family val="2"/>
      </rPr>
      <t>SNOx,KNOx,OHO</t>
    </r>
    <r>
      <rPr>
        <sz val="11"/>
        <rFont val="Calibri"/>
        <family val="2"/>
      </rPr>
      <t>*Minh</t>
    </r>
    <r>
      <rPr>
        <vertAlign val="subscript"/>
        <sz val="11"/>
        <rFont val="Calibri"/>
        <family val="2"/>
      </rPr>
      <t>SO2,KO2,OHO</t>
    </r>
    <r>
      <rPr>
        <sz val="11"/>
        <rFont val="Calibri"/>
        <family val="2"/>
      </rPr>
      <t>)</t>
    </r>
  </si>
  <si>
    <r>
      <t>X</t>
    </r>
    <r>
      <rPr>
        <b/>
        <vertAlign val="subscript"/>
        <sz val="11"/>
        <rFont val="Calibri"/>
        <family val="2"/>
        <scheme val="minor"/>
      </rPr>
      <t>P,Be</t>
    </r>
  </si>
  <si>
    <r>
      <t>X</t>
    </r>
    <r>
      <rPr>
        <b/>
        <vertAlign val="subscript"/>
        <sz val="11"/>
        <rFont val="Calibri"/>
        <family val="2"/>
        <charset val="238"/>
        <scheme val="minor"/>
      </rPr>
      <t>B</t>
    </r>
    <r>
      <rPr>
        <b/>
        <vertAlign val="subscript"/>
        <sz val="11"/>
        <rFont val="Calibri"/>
        <family val="2"/>
        <scheme val="minor"/>
      </rPr>
      <t>,e</t>
    </r>
  </si>
  <si>
    <t>Slowly biodegradable substrate from biomass decay</t>
  </si>
  <si>
    <r>
      <t>X</t>
    </r>
    <r>
      <rPr>
        <b/>
        <vertAlign val="subscript"/>
        <sz val="11"/>
        <rFont val="Calibri"/>
        <family val="2"/>
        <charset val="238"/>
        <scheme val="minor"/>
      </rPr>
      <t>N,B</t>
    </r>
    <r>
      <rPr>
        <b/>
        <vertAlign val="subscript"/>
        <sz val="11"/>
        <rFont val="Calibri"/>
        <family val="2"/>
        <scheme val="minor"/>
      </rPr>
      <t>e</t>
    </r>
  </si>
  <si>
    <r>
      <t>Particulate biodegradable organic N (from X</t>
    </r>
    <r>
      <rPr>
        <vertAlign val="subscript"/>
        <sz val="11"/>
        <color rgb="FF000000"/>
        <rFont val="Calibri"/>
        <family val="2"/>
        <scheme val="minor"/>
      </rPr>
      <t>Be</t>
    </r>
    <r>
      <rPr>
        <sz val="11"/>
        <color rgb="FF000000"/>
        <rFont val="Calibri"/>
        <family val="2"/>
        <charset val="238"/>
        <scheme val="minor"/>
      </rPr>
      <t>)</t>
    </r>
  </si>
  <si>
    <r>
      <t>X</t>
    </r>
    <r>
      <rPr>
        <b/>
        <vertAlign val="subscript"/>
        <sz val="11"/>
        <rFont val="Calibri"/>
        <family val="2"/>
        <charset val="238"/>
        <scheme val="minor"/>
      </rPr>
      <t>P,B</t>
    </r>
    <r>
      <rPr>
        <b/>
        <vertAlign val="subscript"/>
        <sz val="11"/>
        <rFont val="Calibri"/>
        <family val="2"/>
        <scheme val="minor"/>
      </rPr>
      <t>e</t>
    </r>
  </si>
  <si>
    <r>
      <t>Particulate biodegradable organic P (from X</t>
    </r>
    <r>
      <rPr>
        <vertAlign val="subscript"/>
        <sz val="11"/>
        <color rgb="FF000000"/>
        <rFont val="Calibri"/>
        <family val="2"/>
        <scheme val="minor"/>
      </rPr>
      <t>Be</t>
    </r>
    <r>
      <rPr>
        <sz val="11"/>
        <color rgb="FF000000"/>
        <rFont val="Calibri"/>
        <family val="2"/>
        <charset val="238"/>
        <scheme val="minor"/>
      </rPr>
      <t>)</t>
    </r>
  </si>
  <si>
    <r>
      <t>S</t>
    </r>
    <r>
      <rPr>
        <vertAlign val="subscript"/>
        <sz val="11"/>
        <rFont val="Calibri"/>
        <family val="2"/>
        <scheme val="minor"/>
      </rPr>
      <t>NHx</t>
    </r>
    <r>
      <rPr>
        <sz val="11"/>
        <rFont val="Calibri"/>
        <family val="2"/>
        <scheme val="minor"/>
      </rPr>
      <t xml:space="preserve"> + S</t>
    </r>
    <r>
      <rPr>
        <vertAlign val="subscript"/>
        <sz val="11"/>
        <rFont val="Calibri"/>
        <family val="2"/>
        <scheme val="minor"/>
      </rPr>
      <t>N,B</t>
    </r>
    <r>
      <rPr>
        <sz val="11"/>
        <rFont val="Calibri"/>
        <family val="2"/>
        <scheme val="minor"/>
      </rPr>
      <t xml:space="preserve"> + i</t>
    </r>
    <r>
      <rPr>
        <vertAlign val="subscript"/>
        <sz val="11"/>
        <rFont val="Calibri"/>
        <family val="2"/>
        <scheme val="minor"/>
      </rPr>
      <t>N,CB</t>
    </r>
    <r>
      <rPr>
        <sz val="11"/>
        <rFont val="Calibri"/>
        <family val="2"/>
        <scheme val="minor"/>
      </rPr>
      <t>*C</t>
    </r>
    <r>
      <rPr>
        <vertAlign val="subscript"/>
        <sz val="11"/>
        <rFont val="Calibri"/>
        <family val="2"/>
        <scheme val="minor"/>
      </rPr>
      <t>B</t>
    </r>
    <r>
      <rPr>
        <sz val="11"/>
        <rFont val="Calibri"/>
        <family val="2"/>
        <scheme val="minor"/>
      </rPr>
      <t xml:space="preserve"> + X</t>
    </r>
    <r>
      <rPr>
        <vertAlign val="subscript"/>
        <sz val="11"/>
        <rFont val="Calibri"/>
        <family val="2"/>
        <scheme val="minor"/>
      </rPr>
      <t>N,B</t>
    </r>
    <r>
      <rPr>
        <sz val="11"/>
        <rFont val="Calibri"/>
        <family val="2"/>
        <scheme val="minor"/>
      </rPr>
      <t xml:space="preserve"> + X</t>
    </r>
    <r>
      <rPr>
        <vertAlign val="subscript"/>
        <sz val="11"/>
        <rFont val="Calibri"/>
        <family val="2"/>
        <scheme val="minor"/>
      </rPr>
      <t>N,Be</t>
    </r>
    <r>
      <rPr>
        <sz val="11"/>
        <rFont val="Calibri"/>
        <family val="2"/>
        <scheme val="minor"/>
      </rPr>
      <t xml:space="preserve"> +i</t>
    </r>
    <r>
      <rPr>
        <vertAlign val="subscript"/>
        <sz val="11"/>
        <rFont val="Calibri"/>
        <family val="2"/>
        <scheme val="minor"/>
      </rPr>
      <t>N,SU</t>
    </r>
    <r>
      <rPr>
        <sz val="11"/>
        <rFont val="Calibri"/>
        <family val="2"/>
        <scheme val="minor"/>
      </rPr>
      <t>*S</t>
    </r>
    <r>
      <rPr>
        <vertAlign val="subscript"/>
        <sz val="11"/>
        <rFont val="Calibri"/>
        <family val="2"/>
        <scheme val="minor"/>
      </rPr>
      <t>U</t>
    </r>
    <r>
      <rPr>
        <sz val="11"/>
        <rFont val="Calibri"/>
        <family val="2"/>
        <scheme val="minor"/>
      </rPr>
      <t xml:space="preserve"> +i</t>
    </r>
    <r>
      <rPr>
        <vertAlign val="subscript"/>
        <sz val="11"/>
        <rFont val="Calibri"/>
        <family val="2"/>
        <scheme val="minor"/>
      </rPr>
      <t>N,CU</t>
    </r>
    <r>
      <rPr>
        <sz val="11"/>
        <rFont val="Calibri"/>
        <family val="2"/>
        <scheme val="minor"/>
      </rPr>
      <t>*C</t>
    </r>
    <r>
      <rPr>
        <vertAlign val="subscript"/>
        <sz val="11"/>
        <rFont val="Calibri"/>
        <family val="2"/>
        <scheme val="minor"/>
      </rPr>
      <t>U</t>
    </r>
    <r>
      <rPr>
        <sz val="11"/>
        <rFont val="Calibri"/>
        <family val="2"/>
        <scheme val="minor"/>
      </rPr>
      <t xml:space="preserve"> + X</t>
    </r>
    <r>
      <rPr>
        <vertAlign val="subscript"/>
        <sz val="11"/>
        <rFont val="Calibri"/>
        <family val="2"/>
        <scheme val="minor"/>
      </rPr>
      <t>N,U</t>
    </r>
    <r>
      <rPr>
        <sz val="11"/>
        <rFont val="Calibri"/>
        <family val="2"/>
        <scheme val="minor"/>
      </rPr>
      <t xml:space="preserve"> + i</t>
    </r>
    <r>
      <rPr>
        <vertAlign val="subscript"/>
        <sz val="11"/>
        <rFont val="Calibri"/>
        <family val="2"/>
        <scheme val="minor"/>
      </rPr>
      <t>N,BIO</t>
    </r>
    <r>
      <rPr>
        <sz val="11"/>
        <rFont val="Calibri"/>
        <family val="2"/>
        <scheme val="minor"/>
      </rPr>
      <t>*X</t>
    </r>
    <r>
      <rPr>
        <vertAlign val="subscript"/>
        <sz val="11"/>
        <rFont val="Calibri"/>
        <family val="2"/>
        <scheme val="minor"/>
      </rPr>
      <t>BIO</t>
    </r>
    <r>
      <rPr>
        <sz val="11"/>
        <rFont val="Calibri"/>
        <family val="2"/>
        <scheme val="minor"/>
      </rPr>
      <t>+i</t>
    </r>
    <r>
      <rPr>
        <vertAlign val="subscript"/>
        <sz val="11"/>
        <rFont val="Calibri"/>
        <family val="2"/>
        <scheme val="minor"/>
      </rPr>
      <t>N,XE</t>
    </r>
    <r>
      <rPr>
        <sz val="11"/>
        <rFont val="Calibri"/>
        <family val="2"/>
        <scheme val="minor"/>
      </rPr>
      <t>*(X</t>
    </r>
    <r>
      <rPr>
        <vertAlign val="subscript"/>
        <sz val="11"/>
        <rFont val="Calibri"/>
        <family val="2"/>
        <scheme val="minor"/>
      </rPr>
      <t>E,ana</t>
    </r>
    <r>
      <rPr>
        <sz val="11"/>
        <rFont val="Calibri"/>
        <family val="2"/>
        <scheme val="minor"/>
      </rPr>
      <t>+X</t>
    </r>
    <r>
      <rPr>
        <vertAlign val="subscript"/>
        <sz val="11"/>
        <rFont val="Calibri"/>
        <family val="2"/>
        <scheme val="minor"/>
      </rPr>
      <t>E</t>
    </r>
    <r>
      <rPr>
        <sz val="11"/>
        <rFont val="Calibri"/>
        <family val="2"/>
        <scheme val="minor"/>
      </rPr>
      <t>)+ i</t>
    </r>
    <r>
      <rPr>
        <vertAlign val="subscript"/>
        <sz val="11"/>
        <rFont val="Calibri"/>
        <family val="2"/>
        <scheme val="minor"/>
      </rPr>
      <t>N,XSTR</t>
    </r>
    <r>
      <rPr>
        <sz val="11"/>
        <rFont val="Calibri"/>
        <family val="2"/>
        <scheme val="minor"/>
      </rPr>
      <t xml:space="preserve"> * X</t>
    </r>
    <r>
      <rPr>
        <vertAlign val="subscript"/>
        <sz val="11"/>
        <rFont val="Calibri"/>
        <family val="2"/>
        <scheme val="minor"/>
      </rPr>
      <t>STR</t>
    </r>
    <r>
      <rPr>
        <sz val="11"/>
        <rFont val="Calibri"/>
        <family val="2"/>
        <scheme val="minor"/>
      </rPr>
      <t xml:space="preserve"> </t>
    </r>
  </si>
  <si>
    <r>
      <t>S</t>
    </r>
    <r>
      <rPr>
        <vertAlign val="subscript"/>
        <sz val="11"/>
        <rFont val="Calibri"/>
        <family val="2"/>
        <scheme val="minor"/>
      </rPr>
      <t>N,B</t>
    </r>
    <r>
      <rPr>
        <sz val="11"/>
        <rFont val="Calibri"/>
        <family val="2"/>
        <scheme val="minor"/>
      </rPr>
      <t xml:space="preserve"> + i</t>
    </r>
    <r>
      <rPr>
        <vertAlign val="subscript"/>
        <sz val="11"/>
        <rFont val="Calibri"/>
        <family val="2"/>
        <scheme val="minor"/>
      </rPr>
      <t>N,CB</t>
    </r>
    <r>
      <rPr>
        <sz val="11"/>
        <rFont val="Calibri"/>
        <family val="2"/>
        <scheme val="minor"/>
      </rPr>
      <t>*C</t>
    </r>
    <r>
      <rPr>
        <vertAlign val="subscript"/>
        <sz val="11"/>
        <rFont val="Calibri"/>
        <family val="2"/>
        <scheme val="minor"/>
      </rPr>
      <t>B</t>
    </r>
    <r>
      <rPr>
        <sz val="11"/>
        <rFont val="Calibri"/>
        <family val="2"/>
        <scheme val="minor"/>
      </rPr>
      <t xml:space="preserve"> + X</t>
    </r>
    <r>
      <rPr>
        <vertAlign val="subscript"/>
        <sz val="11"/>
        <rFont val="Calibri"/>
        <family val="2"/>
        <scheme val="minor"/>
      </rPr>
      <t>N,B</t>
    </r>
    <r>
      <rPr>
        <sz val="11"/>
        <rFont val="Calibri"/>
        <family val="2"/>
        <scheme val="minor"/>
      </rPr>
      <t xml:space="preserve"> + X</t>
    </r>
    <r>
      <rPr>
        <vertAlign val="subscript"/>
        <sz val="11"/>
        <rFont val="Calibri"/>
        <family val="2"/>
        <scheme val="minor"/>
      </rPr>
      <t>N,Be</t>
    </r>
    <r>
      <rPr>
        <sz val="11"/>
        <rFont val="Calibri"/>
        <family val="2"/>
        <scheme val="minor"/>
      </rPr>
      <t xml:space="preserve"> + i</t>
    </r>
    <r>
      <rPr>
        <vertAlign val="subscript"/>
        <sz val="11"/>
        <rFont val="Calibri"/>
        <family val="2"/>
        <scheme val="minor"/>
      </rPr>
      <t>N,BIO</t>
    </r>
    <r>
      <rPr>
        <sz val="11"/>
        <rFont val="Calibri"/>
        <family val="2"/>
        <scheme val="minor"/>
      </rPr>
      <t xml:space="preserve"> * X</t>
    </r>
    <r>
      <rPr>
        <vertAlign val="subscript"/>
        <sz val="11"/>
        <rFont val="Calibri"/>
        <family val="2"/>
        <scheme val="minor"/>
      </rPr>
      <t>BIO</t>
    </r>
  </si>
  <si>
    <r>
      <t>i</t>
    </r>
    <r>
      <rPr>
        <vertAlign val="subscript"/>
        <sz val="11"/>
        <rFont val="Calibri"/>
        <family val="2"/>
        <scheme val="minor"/>
      </rPr>
      <t>P,BIO</t>
    </r>
    <r>
      <rPr>
        <sz val="11"/>
        <rFont val="Calibri"/>
        <family val="2"/>
        <scheme val="minor"/>
      </rPr>
      <t>*(X</t>
    </r>
    <r>
      <rPr>
        <vertAlign val="subscript"/>
        <sz val="11"/>
        <rFont val="Calibri"/>
        <family val="2"/>
        <scheme val="minor"/>
      </rPr>
      <t>BIO</t>
    </r>
    <r>
      <rPr>
        <sz val="11"/>
        <rFont val="Calibri"/>
        <family val="2"/>
        <scheme val="minor"/>
      </rPr>
      <t>+X</t>
    </r>
    <r>
      <rPr>
        <vertAlign val="subscript"/>
        <sz val="11"/>
        <rFont val="Calibri"/>
        <family val="2"/>
        <scheme val="minor"/>
      </rPr>
      <t>E,ana</t>
    </r>
    <r>
      <rPr>
        <sz val="11"/>
        <rFont val="Calibri"/>
        <family val="2"/>
        <scheme val="minor"/>
      </rPr>
      <t>+X</t>
    </r>
    <r>
      <rPr>
        <vertAlign val="subscript"/>
        <sz val="11"/>
        <rFont val="Calibri"/>
        <family val="2"/>
        <scheme val="minor"/>
      </rPr>
      <t>E</t>
    </r>
    <r>
      <rPr>
        <sz val="11"/>
        <rFont val="Calibri"/>
        <family val="2"/>
        <scheme val="minor"/>
      </rPr>
      <t>) + S</t>
    </r>
    <r>
      <rPr>
        <vertAlign val="subscript"/>
        <sz val="11"/>
        <rFont val="Calibri"/>
        <family val="2"/>
        <scheme val="minor"/>
      </rPr>
      <t>PO4</t>
    </r>
    <r>
      <rPr>
        <sz val="11"/>
        <rFont val="Calibri"/>
        <family val="2"/>
        <scheme val="minor"/>
      </rPr>
      <t xml:space="preserve"> + S</t>
    </r>
    <r>
      <rPr>
        <vertAlign val="subscript"/>
        <sz val="11"/>
        <rFont val="Calibri"/>
        <family val="2"/>
        <scheme val="minor"/>
      </rPr>
      <t>P,B</t>
    </r>
    <r>
      <rPr>
        <sz val="11"/>
        <rFont val="Calibri"/>
        <family val="2"/>
        <scheme val="minor"/>
      </rPr>
      <t xml:space="preserve"> + i</t>
    </r>
    <r>
      <rPr>
        <vertAlign val="subscript"/>
        <sz val="11"/>
        <rFont val="Calibri"/>
        <family val="2"/>
        <scheme val="minor"/>
      </rPr>
      <t>P,CB</t>
    </r>
    <r>
      <rPr>
        <sz val="11"/>
        <rFont val="Calibri"/>
        <family val="2"/>
        <scheme val="minor"/>
      </rPr>
      <t>*C</t>
    </r>
    <r>
      <rPr>
        <vertAlign val="subscript"/>
        <sz val="11"/>
        <rFont val="Calibri"/>
        <family val="2"/>
        <scheme val="minor"/>
      </rPr>
      <t>B</t>
    </r>
    <r>
      <rPr>
        <sz val="11"/>
        <rFont val="Calibri"/>
        <family val="2"/>
        <scheme val="minor"/>
      </rPr>
      <t xml:space="preserve"> + X</t>
    </r>
    <r>
      <rPr>
        <vertAlign val="subscript"/>
        <sz val="11"/>
        <rFont val="Calibri"/>
        <family val="2"/>
        <scheme val="minor"/>
      </rPr>
      <t>P,B</t>
    </r>
    <r>
      <rPr>
        <sz val="11"/>
        <rFont val="Calibri"/>
        <family val="2"/>
        <scheme val="minor"/>
      </rPr>
      <t xml:space="preserve"> + X</t>
    </r>
    <r>
      <rPr>
        <vertAlign val="subscript"/>
        <sz val="11"/>
        <rFont val="Calibri"/>
        <family val="2"/>
        <scheme val="minor"/>
      </rPr>
      <t>P,Be</t>
    </r>
    <r>
      <rPr>
        <sz val="11"/>
        <rFont val="Calibri"/>
        <family val="2"/>
        <scheme val="minor"/>
      </rPr>
      <t xml:space="preserve"> + i</t>
    </r>
    <r>
      <rPr>
        <vertAlign val="subscript"/>
        <sz val="11"/>
        <rFont val="Calibri"/>
        <family val="2"/>
        <scheme val="minor"/>
      </rPr>
      <t>P,SU</t>
    </r>
    <r>
      <rPr>
        <sz val="11"/>
        <rFont val="Calibri"/>
        <family val="2"/>
        <scheme val="minor"/>
      </rPr>
      <t>*S</t>
    </r>
    <r>
      <rPr>
        <vertAlign val="subscript"/>
        <sz val="11"/>
        <rFont val="Calibri"/>
        <family val="2"/>
        <scheme val="minor"/>
      </rPr>
      <t>U</t>
    </r>
    <r>
      <rPr>
        <sz val="11"/>
        <rFont val="Calibri"/>
        <family val="2"/>
        <scheme val="minor"/>
      </rPr>
      <t xml:space="preserve"> + X</t>
    </r>
    <r>
      <rPr>
        <vertAlign val="subscript"/>
        <sz val="11"/>
        <rFont val="Calibri"/>
        <family val="2"/>
        <scheme val="minor"/>
      </rPr>
      <t>P,U</t>
    </r>
    <r>
      <rPr>
        <sz val="11"/>
        <rFont val="Calibri"/>
        <family val="2"/>
        <scheme val="minor"/>
      </rPr>
      <t xml:space="preserve"> + i</t>
    </r>
    <r>
      <rPr>
        <vertAlign val="subscript"/>
        <sz val="11"/>
        <rFont val="Calibri"/>
        <family val="2"/>
        <scheme val="minor"/>
      </rPr>
      <t>P,CU</t>
    </r>
    <r>
      <rPr>
        <sz val="11"/>
        <rFont val="Calibri"/>
        <family val="2"/>
        <scheme val="minor"/>
      </rPr>
      <t>*C</t>
    </r>
    <r>
      <rPr>
        <vertAlign val="subscript"/>
        <sz val="11"/>
        <rFont val="Calibri"/>
        <family val="2"/>
        <scheme val="minor"/>
      </rPr>
      <t>U</t>
    </r>
    <r>
      <rPr>
        <sz val="11"/>
        <rFont val="Calibri"/>
        <family val="2"/>
        <scheme val="minor"/>
      </rPr>
      <t xml:space="preserve">  +X</t>
    </r>
    <r>
      <rPr>
        <vertAlign val="subscript"/>
        <sz val="11"/>
        <rFont val="Calibri"/>
        <family val="2"/>
        <scheme val="minor"/>
      </rPr>
      <t>PP</t>
    </r>
    <r>
      <rPr>
        <sz val="11"/>
        <rFont val="Calibri"/>
        <family val="2"/>
        <scheme val="minor"/>
      </rPr>
      <t xml:space="preserve"> + i</t>
    </r>
    <r>
      <rPr>
        <vertAlign val="subscript"/>
        <sz val="11"/>
        <rFont val="Calibri"/>
        <family val="2"/>
        <scheme val="minor"/>
      </rPr>
      <t>P,XSTR</t>
    </r>
    <r>
      <rPr>
        <sz val="11"/>
        <rFont val="Calibri"/>
        <family val="2"/>
        <scheme val="minor"/>
      </rPr>
      <t xml:space="preserve"> * X</t>
    </r>
    <r>
      <rPr>
        <vertAlign val="subscript"/>
        <sz val="11"/>
        <rFont val="Calibri"/>
        <family val="2"/>
        <scheme val="minor"/>
      </rPr>
      <t>STR</t>
    </r>
    <r>
      <rPr>
        <sz val="11"/>
        <rFont val="Calibri"/>
        <family val="2"/>
        <scheme val="minor"/>
      </rPr>
      <t xml:space="preserve"> +X</t>
    </r>
    <r>
      <rPr>
        <vertAlign val="subscript"/>
        <sz val="11"/>
        <rFont val="Calibri"/>
        <family val="2"/>
        <scheme val="minor"/>
      </rPr>
      <t>HFO,P</t>
    </r>
    <r>
      <rPr>
        <sz val="11"/>
        <rFont val="Calibri"/>
        <family val="2"/>
        <scheme val="minor"/>
      </rPr>
      <t>+X</t>
    </r>
    <r>
      <rPr>
        <vertAlign val="subscript"/>
        <sz val="11"/>
        <rFont val="Calibri"/>
        <family val="2"/>
        <scheme val="minor"/>
      </rPr>
      <t>HAO,P</t>
    </r>
    <r>
      <rPr>
        <sz val="11"/>
        <rFont val="Calibri"/>
        <family val="2"/>
        <scheme val="minor"/>
      </rPr>
      <t>+i</t>
    </r>
    <r>
      <rPr>
        <vertAlign val="subscript"/>
        <sz val="11"/>
        <rFont val="Calibri"/>
        <family val="2"/>
        <scheme val="minor"/>
      </rPr>
      <t>P,XACP</t>
    </r>
    <r>
      <rPr>
        <sz val="11"/>
        <rFont val="Calibri"/>
        <family val="2"/>
        <scheme val="minor"/>
      </rPr>
      <t xml:space="preserve"> * X</t>
    </r>
    <r>
      <rPr>
        <vertAlign val="subscript"/>
        <sz val="11"/>
        <rFont val="Calibri"/>
        <family val="2"/>
        <scheme val="minor"/>
      </rPr>
      <t>ACP</t>
    </r>
    <r>
      <rPr>
        <sz val="11"/>
        <rFont val="Calibri"/>
        <family val="2"/>
        <scheme val="minor"/>
      </rPr>
      <t>+i</t>
    </r>
    <r>
      <rPr>
        <vertAlign val="subscript"/>
        <sz val="11"/>
        <rFont val="Calibri"/>
        <family val="2"/>
        <scheme val="minor"/>
      </rPr>
      <t>P,XVivi</t>
    </r>
    <r>
      <rPr>
        <sz val="11"/>
        <rFont val="Calibri"/>
        <family val="2"/>
        <scheme val="minor"/>
      </rPr>
      <t xml:space="preserve"> * X</t>
    </r>
    <r>
      <rPr>
        <vertAlign val="subscript"/>
        <sz val="11"/>
        <rFont val="Calibri"/>
        <family val="2"/>
        <scheme val="minor"/>
      </rPr>
      <t>Vivi</t>
    </r>
    <r>
      <rPr>
        <sz val="11"/>
        <rFont val="Calibri"/>
        <family val="2"/>
        <scheme val="minor"/>
      </rPr>
      <t>+i</t>
    </r>
    <r>
      <rPr>
        <vertAlign val="subscript"/>
        <sz val="11"/>
        <rFont val="Calibri"/>
        <family val="2"/>
        <scheme val="minor"/>
      </rPr>
      <t>P,XBSH</t>
    </r>
    <r>
      <rPr>
        <sz val="11"/>
        <rFont val="Calibri"/>
        <family val="2"/>
        <scheme val="minor"/>
      </rPr>
      <t>*X</t>
    </r>
    <r>
      <rPr>
        <vertAlign val="subscript"/>
        <sz val="11"/>
        <rFont val="Calibri"/>
        <family val="2"/>
        <scheme val="minor"/>
      </rPr>
      <t>BSH</t>
    </r>
  </si>
  <si>
    <r>
      <t>MRsat</t>
    </r>
    <r>
      <rPr>
        <vertAlign val="subscript"/>
        <sz val="11"/>
        <rFont val="Calibri"/>
        <family val="2"/>
        <scheme val="minor"/>
      </rPr>
      <t>XBe,XHET,KHYD</t>
    </r>
  </si>
  <si>
    <t>Saturation term for slowly biodegradable substrate from biomass decay (hydrolysis)</t>
  </si>
  <si>
    <r>
      <t>MRsat(X</t>
    </r>
    <r>
      <rPr>
        <vertAlign val="subscript"/>
        <sz val="11"/>
        <rFont val="Calibri"/>
        <family val="2"/>
        <scheme val="minor"/>
      </rPr>
      <t>B,e</t>
    </r>
    <r>
      <rPr>
        <sz val="11"/>
        <rFont val="Calibri"/>
        <family val="2"/>
        <scheme val="minor"/>
      </rPr>
      <t>;X</t>
    </r>
    <r>
      <rPr>
        <vertAlign val="subscript"/>
        <sz val="11"/>
        <rFont val="Calibri"/>
        <family val="2"/>
        <scheme val="minor"/>
      </rPr>
      <t>HET</t>
    </r>
    <r>
      <rPr>
        <sz val="11"/>
        <rFont val="Calibri"/>
        <family val="2"/>
        <scheme val="minor"/>
      </rPr>
      <t>;K</t>
    </r>
    <r>
      <rPr>
        <vertAlign val="subscript"/>
        <sz val="11"/>
        <rFont val="Calibri"/>
        <family val="2"/>
        <scheme val="minor"/>
      </rPr>
      <t>HYD</t>
    </r>
    <r>
      <rPr>
        <sz val="11"/>
        <rFont val="Calibri"/>
        <family val="2"/>
        <scheme val="minor"/>
      </rPr>
      <t>)</t>
    </r>
  </si>
  <si>
    <r>
      <t>Msat</t>
    </r>
    <r>
      <rPr>
        <vertAlign val="subscript"/>
        <sz val="11"/>
        <rFont val="Calibri"/>
        <family val="2"/>
        <scheme val="minor"/>
      </rPr>
      <t>XBe,KXBe,HYD</t>
    </r>
  </si>
  <si>
    <t>Saturation term for slowly biodegradable substrate from biomass decay in low biomass condition (hydrolysis)</t>
  </si>
  <si>
    <r>
      <t>Msat(X</t>
    </r>
    <r>
      <rPr>
        <vertAlign val="subscript"/>
        <sz val="11"/>
        <rFont val="Calibri"/>
        <family val="2"/>
        <scheme val="minor"/>
      </rPr>
      <t>B,e</t>
    </r>
    <r>
      <rPr>
        <sz val="11"/>
        <rFont val="Calibri"/>
        <family val="2"/>
        <scheme val="minor"/>
      </rPr>
      <t>;K</t>
    </r>
    <r>
      <rPr>
        <vertAlign val="subscript"/>
        <sz val="11"/>
        <rFont val="Calibri"/>
        <family val="2"/>
        <scheme val="minor"/>
      </rPr>
      <t>XBe,HYD</t>
    </r>
    <r>
      <rPr>
        <sz val="11"/>
        <rFont val="Calibri"/>
        <family val="2"/>
        <scheme val="minor"/>
      </rPr>
      <t>)</t>
    </r>
  </si>
  <si>
    <r>
      <t>q</t>
    </r>
    <r>
      <rPr>
        <vertAlign val="subscript"/>
        <sz val="11"/>
        <color indexed="8"/>
        <rFont val="Calibri"/>
        <family val="2"/>
        <scheme val="minor"/>
      </rPr>
      <t>HYD,XB,T</t>
    </r>
  </si>
  <si>
    <t>Rate of hydrolysis for XB (temperature corrected)</t>
  </si>
  <si>
    <r>
      <t>q</t>
    </r>
    <r>
      <rPr>
        <vertAlign val="subscript"/>
        <sz val="11"/>
        <color indexed="8"/>
        <rFont val="Calibri"/>
        <family val="2"/>
        <scheme val="minor"/>
      </rPr>
      <t>HYD,XB</t>
    </r>
    <r>
      <rPr>
        <sz val="11"/>
        <color indexed="8"/>
        <rFont val="Calibri"/>
        <family val="2"/>
        <scheme val="minor"/>
      </rPr>
      <t>*Arrh(θ</t>
    </r>
    <r>
      <rPr>
        <vertAlign val="subscript"/>
        <sz val="11"/>
        <color indexed="8"/>
        <rFont val="Calibri"/>
        <family val="2"/>
        <scheme val="minor"/>
      </rPr>
      <t>q,HYD</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</si>
  <si>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q</t>
    </r>
    <r>
      <rPr>
        <vertAlign val="subscript"/>
        <sz val="11"/>
        <color indexed="8"/>
        <rFont val="Calibri"/>
        <family val="2"/>
        <scheme val="minor"/>
      </rPr>
      <t>HYD,XBe,T</t>
    </r>
  </si>
  <si>
    <t>Rate of hydrolysis for XB,e (temperature corrected)</t>
  </si>
  <si>
    <r>
      <t>q</t>
    </r>
    <r>
      <rPr>
        <vertAlign val="subscript"/>
        <sz val="11"/>
        <color indexed="8"/>
        <rFont val="Calibri"/>
        <family val="2"/>
        <scheme val="minor"/>
      </rPr>
      <t>HYD,XBe</t>
    </r>
    <r>
      <rPr>
        <sz val="11"/>
        <color indexed="8"/>
        <rFont val="Calibri"/>
        <family val="2"/>
        <scheme val="minor"/>
      </rPr>
      <t>*Arrh(θ</t>
    </r>
    <r>
      <rPr>
        <vertAlign val="subscript"/>
        <sz val="11"/>
        <color indexed="8"/>
        <rFont val="Calibri"/>
        <family val="2"/>
        <scheme val="minor"/>
      </rPr>
      <t>q,HYD</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</si>
  <si>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q</t>
    </r>
    <r>
      <rPr>
        <vertAlign val="subscript"/>
        <sz val="11"/>
        <rFont val="Calibri"/>
        <family val="2"/>
      </rPr>
      <t>HYD,XBe,T</t>
    </r>
    <r>
      <rPr>
        <sz val="11"/>
        <rFont val="Calibri"/>
        <family val="2"/>
      </rPr>
      <t>*X</t>
    </r>
    <r>
      <rPr>
        <vertAlign val="subscript"/>
        <sz val="11"/>
        <rFont val="Calibri"/>
        <family val="2"/>
      </rPr>
      <t>HET</t>
    </r>
    <r>
      <rPr>
        <sz val="11"/>
        <rFont val="Calibri"/>
        <family val="2"/>
      </rPr>
      <t>*(Logsat</t>
    </r>
    <r>
      <rPr>
        <vertAlign val="subscript"/>
        <sz val="11"/>
        <rFont val="Calibri"/>
        <family val="2"/>
      </rPr>
      <t>XHET,HYD,lim</t>
    </r>
    <r>
      <rPr>
        <sz val="11"/>
        <rFont val="Calibri"/>
        <family val="2"/>
      </rPr>
      <t>*MRsat</t>
    </r>
    <r>
      <rPr>
        <vertAlign val="subscript"/>
        <sz val="11"/>
        <rFont val="Calibri"/>
        <family val="2"/>
      </rPr>
      <t>XEana,XHET,KHYD</t>
    </r>
    <r>
      <rPr>
        <sz val="11"/>
        <rFont val="Calibri"/>
        <family val="2"/>
      </rPr>
      <t>+Loginh</t>
    </r>
    <r>
      <rPr>
        <vertAlign val="subscript"/>
        <sz val="11"/>
        <rFont val="Calibri"/>
        <family val="2"/>
      </rPr>
      <t>XHET,HYD,lim</t>
    </r>
    <r>
      <rPr>
        <sz val="11"/>
        <rFont val="Calibri"/>
        <family val="2"/>
      </rPr>
      <t>*Msat</t>
    </r>
    <r>
      <rPr>
        <vertAlign val="subscript"/>
        <sz val="11"/>
        <rFont val="Calibri"/>
        <family val="2"/>
      </rPr>
      <t>XEana,KXEana,HYD</t>
    </r>
    <r>
      <rPr>
        <sz val="11"/>
        <rFont val="Calibri"/>
        <family val="2"/>
      </rPr>
      <t>)*(Msat</t>
    </r>
    <r>
      <rPr>
        <vertAlign val="subscript"/>
        <sz val="11"/>
        <rFont val="Calibri"/>
        <family val="2"/>
      </rPr>
      <t>SO2,KO2,OHO</t>
    </r>
    <r>
      <rPr>
        <sz val="11"/>
        <rFont val="Calibri"/>
        <family val="2"/>
      </rPr>
      <t>+η</t>
    </r>
    <r>
      <rPr>
        <vertAlign val="subscript"/>
        <sz val="11"/>
        <rFont val="Calibri"/>
        <family val="2"/>
      </rPr>
      <t>HYD,anox</t>
    </r>
    <r>
      <rPr>
        <sz val="11"/>
        <rFont val="Calibri"/>
        <family val="2"/>
      </rPr>
      <t>*Msat</t>
    </r>
    <r>
      <rPr>
        <vertAlign val="subscript"/>
        <sz val="11"/>
        <rFont val="Calibri"/>
        <family val="2"/>
      </rPr>
      <t>SNOx,KNOx,OHO</t>
    </r>
    <r>
      <rPr>
        <sz val="11"/>
        <rFont val="Calibri"/>
        <family val="2"/>
      </rPr>
      <t>*Minh</t>
    </r>
    <r>
      <rPr>
        <vertAlign val="subscript"/>
        <sz val="11"/>
        <rFont val="Calibri"/>
        <family val="2"/>
      </rPr>
      <t>SO2,KO2,OHO</t>
    </r>
    <r>
      <rPr>
        <sz val="11"/>
        <rFont val="Calibri"/>
        <family val="2"/>
      </rPr>
      <t>)</t>
    </r>
  </si>
  <si>
    <r>
      <t>X</t>
    </r>
    <r>
      <rPr>
        <vertAlign val="subscript"/>
        <sz val="11"/>
        <rFont val="Calibri"/>
        <family val="2"/>
      </rPr>
      <t>N,Be</t>
    </r>
    <r>
      <rPr>
        <sz val="11"/>
        <rFont val="Calibri"/>
        <family val="2"/>
      </rPr>
      <t>/X</t>
    </r>
    <r>
      <rPr>
        <vertAlign val="subscript"/>
        <sz val="11"/>
        <rFont val="Calibri"/>
        <family val="2"/>
      </rPr>
      <t>B,e</t>
    </r>
  </si>
  <si>
    <r>
      <t>-X</t>
    </r>
    <r>
      <rPr>
        <vertAlign val="subscript"/>
        <sz val="11"/>
        <rFont val="Calibri"/>
        <family val="2"/>
      </rPr>
      <t>N,Be</t>
    </r>
    <r>
      <rPr>
        <sz val="11"/>
        <rFont val="Calibri"/>
        <family val="2"/>
      </rPr>
      <t>/X</t>
    </r>
    <r>
      <rPr>
        <vertAlign val="subscript"/>
        <sz val="11"/>
        <rFont val="Calibri"/>
        <family val="2"/>
      </rPr>
      <t>B,e</t>
    </r>
  </si>
  <si>
    <r>
      <t>X</t>
    </r>
    <r>
      <rPr>
        <vertAlign val="subscript"/>
        <sz val="11"/>
        <rFont val="Calibri"/>
        <family val="2"/>
      </rPr>
      <t>P,Be</t>
    </r>
    <r>
      <rPr>
        <sz val="11"/>
        <rFont val="Calibri"/>
        <family val="2"/>
      </rPr>
      <t>/X</t>
    </r>
    <r>
      <rPr>
        <vertAlign val="subscript"/>
        <sz val="11"/>
        <rFont val="Calibri"/>
        <family val="2"/>
      </rPr>
      <t>B,e</t>
    </r>
  </si>
  <si>
    <r>
      <t>X</t>
    </r>
    <r>
      <rPr>
        <vertAlign val="subscript"/>
        <sz val="11"/>
        <rFont val="Calibri"/>
        <family val="2"/>
      </rPr>
      <t>PP</t>
    </r>
    <r>
      <rPr>
        <sz val="11"/>
        <rFont val="Calibri"/>
        <family val="2"/>
      </rPr>
      <t>*AM</t>
    </r>
    <r>
      <rPr>
        <vertAlign val="subscript"/>
        <sz val="11"/>
        <rFont val="Calibri"/>
        <family val="2"/>
      </rPr>
      <t>Ca</t>
    </r>
    <r>
      <rPr>
        <sz val="11"/>
        <rFont val="Calibri"/>
        <family val="2"/>
      </rPr>
      <t>/AM</t>
    </r>
    <r>
      <rPr>
        <vertAlign val="subscript"/>
        <sz val="11"/>
        <rFont val="Calibri"/>
        <family val="2"/>
      </rPr>
      <t>P</t>
    </r>
    <r>
      <rPr>
        <sz val="11"/>
        <rFont val="Calibri"/>
        <family val="2"/>
      </rPr>
      <t>*i</t>
    </r>
    <r>
      <rPr>
        <vertAlign val="subscript"/>
        <sz val="11"/>
        <rFont val="Calibri"/>
        <family val="2"/>
      </rPr>
      <t>Ca,PP</t>
    </r>
    <r>
      <rPr>
        <sz val="11"/>
        <rFont val="Calibri"/>
        <family val="2"/>
      </rPr>
      <t>/X</t>
    </r>
    <r>
      <rPr>
        <vertAlign val="subscript"/>
        <sz val="11"/>
        <rFont val="Calibri"/>
        <family val="2"/>
      </rPr>
      <t>CASTO</t>
    </r>
  </si>
  <si>
    <r>
      <t>X</t>
    </r>
    <r>
      <rPr>
        <vertAlign val="subscript"/>
        <sz val="11"/>
        <rFont val="Calibri"/>
        <family val="2"/>
      </rPr>
      <t>PP</t>
    </r>
    <r>
      <rPr>
        <sz val="11"/>
        <rFont val="Calibri"/>
        <family val="2"/>
      </rPr>
      <t>*AM</t>
    </r>
    <r>
      <rPr>
        <vertAlign val="subscript"/>
        <sz val="11"/>
        <rFont val="Calibri"/>
        <family val="2"/>
      </rPr>
      <t>Mg</t>
    </r>
    <r>
      <rPr>
        <sz val="11"/>
        <rFont val="Calibri"/>
        <family val="2"/>
      </rPr>
      <t>/AM</t>
    </r>
    <r>
      <rPr>
        <vertAlign val="subscript"/>
        <sz val="11"/>
        <rFont val="Calibri"/>
        <family val="2"/>
      </rPr>
      <t>P</t>
    </r>
    <r>
      <rPr>
        <sz val="11"/>
        <rFont val="Calibri"/>
        <family val="2"/>
      </rPr>
      <t>*i</t>
    </r>
    <r>
      <rPr>
        <vertAlign val="subscript"/>
        <sz val="11"/>
        <rFont val="Calibri"/>
        <family val="2"/>
      </rPr>
      <t>Mg,PP</t>
    </r>
    <r>
      <rPr>
        <sz val="11"/>
        <rFont val="Calibri"/>
        <family val="2"/>
      </rPr>
      <t>/X</t>
    </r>
    <r>
      <rPr>
        <vertAlign val="subscript"/>
        <sz val="11"/>
        <rFont val="Calibri"/>
        <family val="2"/>
      </rPr>
      <t>CASTO</t>
    </r>
  </si>
  <si>
    <r>
      <t>-X</t>
    </r>
    <r>
      <rPr>
        <vertAlign val="subscript"/>
        <sz val="11"/>
        <rFont val="Calibri"/>
        <family val="2"/>
      </rPr>
      <t>P,Be</t>
    </r>
    <r>
      <rPr>
        <sz val="11"/>
        <rFont val="Calibri"/>
        <family val="2"/>
      </rPr>
      <t>/X</t>
    </r>
    <r>
      <rPr>
        <vertAlign val="subscript"/>
        <sz val="11"/>
        <rFont val="Calibri"/>
        <family val="2"/>
      </rPr>
      <t>B,e</t>
    </r>
  </si>
  <si>
    <r>
      <t>X</t>
    </r>
    <r>
      <rPr>
        <b/>
        <vertAlign val="subscript"/>
        <sz val="11"/>
        <rFont val="Calibri"/>
        <family val="2"/>
        <charset val="238"/>
        <scheme val="minor"/>
      </rPr>
      <t>PHA,PAO</t>
    </r>
  </si>
  <si>
    <r>
      <t>X</t>
    </r>
    <r>
      <rPr>
        <vertAlign val="subscript"/>
        <sz val="11"/>
        <color rgb="FF000000"/>
        <rFont val="Calibri"/>
        <family val="2"/>
      </rPr>
      <t>PHA,PAO</t>
    </r>
    <r>
      <rPr>
        <sz val="11"/>
        <color indexed="8"/>
        <rFont val="Calibri"/>
        <family val="2"/>
      </rPr>
      <t xml:space="preserve"> / X</t>
    </r>
    <r>
      <rPr>
        <vertAlign val="subscript"/>
        <sz val="11"/>
        <color rgb="FF000000"/>
        <rFont val="Calibri"/>
        <family val="2"/>
      </rPr>
      <t>STC</t>
    </r>
  </si>
  <si>
    <r>
      <t>MRsat(X</t>
    </r>
    <r>
      <rPr>
        <vertAlign val="subscript"/>
        <sz val="11"/>
        <rFont val="Calibri"/>
        <family val="2"/>
        <scheme val="minor"/>
      </rPr>
      <t>PHA,PAO</t>
    </r>
    <r>
      <rPr>
        <sz val="11"/>
        <rFont val="Calibri"/>
        <family val="2"/>
        <scheme val="minor"/>
      </rPr>
      <t>;X</t>
    </r>
    <r>
      <rPr>
        <vertAlign val="subscript"/>
        <sz val="11"/>
        <rFont val="Calibri"/>
        <family val="2"/>
        <scheme val="minor"/>
      </rPr>
      <t>PAO</t>
    </r>
    <r>
      <rPr>
        <sz val="11"/>
        <rFont val="Calibri"/>
        <family val="2"/>
        <scheme val="minor"/>
      </rPr>
      <t>;K</t>
    </r>
    <r>
      <rPr>
        <vertAlign val="subscript"/>
        <sz val="11"/>
        <rFont val="Calibri"/>
        <family val="2"/>
        <scheme val="minor"/>
      </rPr>
      <t>PHA</t>
    </r>
    <r>
      <rPr>
        <sz val="11"/>
        <rFont val="Calibri"/>
        <family val="2"/>
        <scheme val="minor"/>
      </rPr>
      <t>)</t>
    </r>
  </si>
  <si>
    <r>
      <t>MRinh(X</t>
    </r>
    <r>
      <rPr>
        <vertAlign val="subscript"/>
        <sz val="11"/>
        <rFont val="Calibri"/>
        <family val="2"/>
        <scheme val="minor"/>
      </rPr>
      <t>PHA,PAO</t>
    </r>
    <r>
      <rPr>
        <sz val="11"/>
        <rFont val="Calibri"/>
        <family val="2"/>
        <scheme val="minor"/>
      </rPr>
      <t>;X</t>
    </r>
    <r>
      <rPr>
        <vertAlign val="subscript"/>
        <sz val="11"/>
        <rFont val="Calibri"/>
        <family val="2"/>
        <scheme val="minor"/>
      </rPr>
      <t>PAO</t>
    </r>
    <r>
      <rPr>
        <sz val="11"/>
        <rFont val="Calibri"/>
        <family val="2"/>
        <scheme val="minor"/>
      </rPr>
      <t>;K</t>
    </r>
    <r>
      <rPr>
        <vertAlign val="subscript"/>
        <sz val="11"/>
        <rFont val="Calibri"/>
        <family val="2"/>
        <scheme val="minor"/>
      </rPr>
      <t>PHA,cle</t>
    </r>
    <r>
      <rPr>
        <sz val="11"/>
        <rFont val="Calibri"/>
        <family val="2"/>
        <scheme val="minor"/>
      </rPr>
      <t>)</t>
    </r>
  </si>
  <si>
    <r>
      <t>Loginh(X</t>
    </r>
    <r>
      <rPr>
        <vertAlign val="subscript"/>
        <sz val="11"/>
        <rFont val="Calibri"/>
        <family val="2"/>
        <charset val="238"/>
        <scheme val="minor"/>
      </rPr>
      <t>PHA,PAO</t>
    </r>
    <r>
      <rPr>
        <sz val="11"/>
        <rFont val="Calibri"/>
        <family val="2"/>
        <scheme val="minor"/>
      </rPr>
      <t>/X</t>
    </r>
    <r>
      <rPr>
        <vertAlign val="subscript"/>
        <sz val="11"/>
        <rFont val="Calibri"/>
        <family val="2"/>
        <charset val="238"/>
        <scheme val="minor"/>
      </rPr>
      <t>PAO</t>
    </r>
    <r>
      <rPr>
        <sz val="11"/>
        <rFont val="Calibri"/>
        <family val="2"/>
        <scheme val="minor"/>
      </rPr>
      <t>; Ki</t>
    </r>
    <r>
      <rPr>
        <vertAlign val="subscript"/>
        <sz val="11"/>
        <rFont val="Calibri"/>
        <family val="2"/>
        <charset val="238"/>
        <scheme val="minor"/>
      </rPr>
      <t>PHA,PAO,max</t>
    </r>
    <r>
      <rPr>
        <sz val="11"/>
        <rFont val="Calibri"/>
        <family val="2"/>
        <scheme val="minor"/>
      </rPr>
      <t>; Logslope</t>
    </r>
    <r>
      <rPr>
        <vertAlign val="subscript"/>
        <sz val="11"/>
        <rFont val="Calibri"/>
        <family val="2"/>
        <charset val="238"/>
        <scheme val="minor"/>
      </rPr>
      <t>PHA,PAO,inh</t>
    </r>
    <r>
      <rPr>
        <sz val="11"/>
        <rFont val="Calibri"/>
        <family val="2"/>
        <scheme val="minor"/>
      </rPr>
      <t>)</t>
    </r>
  </si>
  <si>
    <r>
      <t>X</t>
    </r>
    <r>
      <rPr>
        <b/>
        <vertAlign val="subscript"/>
        <sz val="11"/>
        <rFont val="Calibri"/>
        <family val="2"/>
        <scheme val="minor"/>
      </rPr>
      <t>PHA</t>
    </r>
    <r>
      <rPr>
        <b/>
        <vertAlign val="subscript"/>
        <sz val="11"/>
        <rFont val="Calibri"/>
        <family val="2"/>
        <charset val="238"/>
        <scheme val="minor"/>
      </rPr>
      <t>,PAO</t>
    </r>
  </si>
  <si>
    <r>
      <t>-(X</t>
    </r>
    <r>
      <rPr>
        <vertAlign val="subscript"/>
        <sz val="11"/>
        <rFont val="Calibri"/>
        <family val="2"/>
      </rPr>
      <t>PHA,PAO</t>
    </r>
    <r>
      <rPr>
        <sz val="11"/>
        <rFont val="Calibri"/>
        <family val="2"/>
      </rPr>
      <t>/X</t>
    </r>
    <r>
      <rPr>
        <vertAlign val="subscript"/>
        <sz val="11"/>
        <rFont val="Calibri"/>
        <family val="2"/>
      </rPr>
      <t>STC</t>
    </r>
    <r>
      <rPr>
        <sz val="11"/>
        <rFont val="Calibri"/>
        <family val="2"/>
      </rPr>
      <t>)/Y</t>
    </r>
    <r>
      <rPr>
        <vertAlign val="subscript"/>
        <sz val="11"/>
        <rFont val="Calibri"/>
        <family val="2"/>
      </rPr>
      <t>CASTO,STC,ox</t>
    </r>
  </si>
  <si>
    <r>
      <t>-(X</t>
    </r>
    <r>
      <rPr>
        <vertAlign val="subscript"/>
        <sz val="11"/>
        <rFont val="Calibri"/>
        <family val="2"/>
      </rPr>
      <t>PHA,PAO</t>
    </r>
    <r>
      <rPr>
        <sz val="11"/>
        <rFont val="Calibri"/>
        <family val="2"/>
      </rPr>
      <t>/X</t>
    </r>
    <r>
      <rPr>
        <vertAlign val="subscript"/>
        <sz val="11"/>
        <rFont val="Calibri"/>
        <family val="2"/>
      </rPr>
      <t>STC</t>
    </r>
    <r>
      <rPr>
        <sz val="11"/>
        <rFont val="Calibri"/>
        <family val="2"/>
      </rPr>
      <t>)/Y</t>
    </r>
    <r>
      <rPr>
        <vertAlign val="subscript"/>
        <sz val="11"/>
        <rFont val="Calibri"/>
        <family val="2"/>
      </rPr>
      <t>CASTO,STC,anox</t>
    </r>
  </si>
  <si>
    <r>
      <t>-X</t>
    </r>
    <r>
      <rPr>
        <vertAlign val="subscript"/>
        <sz val="11"/>
        <rFont val="Calibri"/>
        <family val="2"/>
      </rPr>
      <t>PHA,PAO</t>
    </r>
    <r>
      <rPr>
        <sz val="11"/>
        <rFont val="Calibri"/>
        <family val="2"/>
      </rPr>
      <t>/X</t>
    </r>
    <r>
      <rPr>
        <vertAlign val="subscript"/>
        <sz val="11"/>
        <rFont val="Calibri"/>
        <family val="2"/>
      </rPr>
      <t>STC</t>
    </r>
  </si>
  <si>
    <r>
      <t>-X</t>
    </r>
    <r>
      <rPr>
        <vertAlign val="subscript"/>
        <sz val="11"/>
        <rFont val="Calibri"/>
        <family val="2"/>
      </rPr>
      <t>PHA,PAO</t>
    </r>
    <r>
      <rPr>
        <sz val="11"/>
        <rFont val="Calibri"/>
        <family val="2"/>
      </rPr>
      <t>/X</t>
    </r>
    <r>
      <rPr>
        <vertAlign val="subscript"/>
        <sz val="11"/>
        <rFont val="Calibri"/>
        <family val="2"/>
      </rPr>
      <t>CASTO</t>
    </r>
  </si>
  <si>
    <r>
      <t>X</t>
    </r>
    <r>
      <rPr>
        <b/>
        <vertAlign val="subscript"/>
        <sz val="11"/>
        <rFont val="Calibri"/>
        <family val="2"/>
        <charset val="238"/>
        <scheme val="minor"/>
      </rPr>
      <t>PHA,GAO</t>
    </r>
  </si>
  <si>
    <t>Polyhydroxyalkanoates (PHA) stored by PAOs</t>
  </si>
  <si>
    <t>Polyhydroxyalkanoates (PHA) stored by GAOs</t>
  </si>
  <si>
    <r>
      <t>X</t>
    </r>
    <r>
      <rPr>
        <b/>
        <vertAlign val="subscript"/>
        <sz val="11"/>
        <rFont val="Calibri"/>
        <family val="2"/>
        <scheme val="minor"/>
      </rPr>
      <t>PHA,GAO</t>
    </r>
  </si>
  <si>
    <r>
      <t>-(X</t>
    </r>
    <r>
      <rPr>
        <vertAlign val="subscript"/>
        <sz val="11"/>
        <rFont val="Calibri"/>
        <family val="2"/>
      </rPr>
      <t>PHA,GAO</t>
    </r>
    <r>
      <rPr>
        <sz val="11"/>
        <rFont val="Calibri"/>
        <family val="2"/>
      </rPr>
      <t>/X</t>
    </r>
    <r>
      <rPr>
        <vertAlign val="subscript"/>
        <sz val="11"/>
        <rFont val="Calibri"/>
        <family val="2"/>
      </rPr>
      <t>STC</t>
    </r>
    <r>
      <rPr>
        <sz val="11"/>
        <rFont val="Calibri"/>
        <family val="2"/>
      </rPr>
      <t>)/Y</t>
    </r>
    <r>
      <rPr>
        <vertAlign val="subscript"/>
        <sz val="11"/>
        <rFont val="Calibri"/>
        <family val="2"/>
      </rPr>
      <t>CASTO,STC,ox</t>
    </r>
  </si>
  <si>
    <r>
      <t>-(X</t>
    </r>
    <r>
      <rPr>
        <vertAlign val="subscript"/>
        <sz val="11"/>
        <rFont val="Calibri"/>
        <family val="2"/>
      </rPr>
      <t>PHA,GAO</t>
    </r>
    <r>
      <rPr>
        <sz val="11"/>
        <rFont val="Calibri"/>
        <family val="2"/>
      </rPr>
      <t>/X</t>
    </r>
    <r>
      <rPr>
        <vertAlign val="subscript"/>
        <sz val="11"/>
        <rFont val="Calibri"/>
        <family val="2"/>
      </rPr>
      <t>STC</t>
    </r>
    <r>
      <rPr>
        <sz val="11"/>
        <rFont val="Calibri"/>
        <family val="2"/>
      </rPr>
      <t>)/Y</t>
    </r>
    <r>
      <rPr>
        <vertAlign val="subscript"/>
        <sz val="11"/>
        <rFont val="Calibri"/>
        <family val="2"/>
      </rPr>
      <t>CASTO,STC,anox</t>
    </r>
  </si>
  <si>
    <r>
      <t>CASTO growth on PHA, O</t>
    </r>
    <r>
      <rPr>
        <vertAlign val="subscript"/>
        <sz val="11"/>
        <color rgb="FF000000"/>
        <rFont val="Calibri"/>
        <family val="2"/>
        <scheme val="minor"/>
      </rPr>
      <t>2</t>
    </r>
  </si>
  <si>
    <r>
      <t>CASTO growth on PHA, NO</t>
    </r>
    <r>
      <rPr>
        <vertAlign val="subscript"/>
        <sz val="11"/>
        <color rgb="FF000000"/>
        <rFont val="Calibri"/>
        <family val="2"/>
        <scheme val="minor"/>
      </rPr>
      <t>x</t>
    </r>
  </si>
  <si>
    <r>
      <t>-X</t>
    </r>
    <r>
      <rPr>
        <vertAlign val="subscript"/>
        <sz val="11"/>
        <rFont val="Calibri"/>
        <family val="2"/>
      </rPr>
      <t>PHA,GAO</t>
    </r>
    <r>
      <rPr>
        <sz val="11"/>
        <rFont val="Calibri"/>
        <family val="2"/>
      </rPr>
      <t>/X</t>
    </r>
    <r>
      <rPr>
        <vertAlign val="subscript"/>
        <sz val="11"/>
        <rFont val="Calibri"/>
        <family val="2"/>
      </rPr>
      <t>STC</t>
    </r>
  </si>
  <si>
    <r>
      <t>-X</t>
    </r>
    <r>
      <rPr>
        <vertAlign val="subscript"/>
        <sz val="11"/>
        <rFont val="Calibri"/>
        <family val="2"/>
      </rPr>
      <t>PHA,GAO</t>
    </r>
    <r>
      <rPr>
        <sz val="11"/>
        <rFont val="Calibri"/>
        <family val="2"/>
      </rPr>
      <t>/X</t>
    </r>
    <r>
      <rPr>
        <vertAlign val="subscript"/>
        <sz val="11"/>
        <rFont val="Calibri"/>
        <family val="2"/>
      </rPr>
      <t>CASTO</t>
    </r>
  </si>
  <si>
    <r>
      <t>X</t>
    </r>
    <r>
      <rPr>
        <vertAlign val="subscript"/>
        <sz val="11"/>
        <rFont val="Calibri"/>
        <family val="2"/>
        <scheme val="minor"/>
      </rPr>
      <t>BIO</t>
    </r>
    <r>
      <rPr>
        <sz val="11"/>
        <rFont val="Calibri"/>
        <family val="2"/>
        <scheme val="minor"/>
      </rPr>
      <t xml:space="preserve"> + X</t>
    </r>
    <r>
      <rPr>
        <vertAlign val="subscript"/>
        <sz val="11"/>
        <rFont val="Calibri"/>
        <family val="2"/>
        <scheme val="minor"/>
      </rPr>
      <t>B</t>
    </r>
    <r>
      <rPr>
        <sz val="11"/>
        <rFont val="Calibri"/>
        <family val="2"/>
        <scheme val="minor"/>
      </rPr>
      <t xml:space="preserve"> + X</t>
    </r>
    <r>
      <rPr>
        <vertAlign val="subscript"/>
        <sz val="11"/>
        <rFont val="Calibri"/>
        <family val="2"/>
        <scheme val="minor"/>
      </rPr>
      <t>B,e</t>
    </r>
    <r>
      <rPr>
        <sz val="11"/>
        <rFont val="Calibri"/>
        <family val="2"/>
        <scheme val="minor"/>
      </rPr>
      <t xml:space="preserve"> + X</t>
    </r>
    <r>
      <rPr>
        <vertAlign val="subscript"/>
        <sz val="11"/>
        <rFont val="Calibri"/>
        <family val="2"/>
        <scheme val="minor"/>
      </rPr>
      <t>U</t>
    </r>
    <r>
      <rPr>
        <sz val="11"/>
        <rFont val="Calibri"/>
        <family val="2"/>
        <scheme val="minor"/>
      </rPr>
      <t xml:space="preserve"> + X</t>
    </r>
    <r>
      <rPr>
        <vertAlign val="subscript"/>
        <sz val="11"/>
        <rFont val="Calibri"/>
        <family val="2"/>
        <scheme val="minor"/>
      </rPr>
      <t>PHA,PAO</t>
    </r>
    <r>
      <rPr>
        <sz val="11"/>
        <rFont val="Calibri"/>
        <family val="2"/>
        <scheme val="minor"/>
      </rPr>
      <t xml:space="preserve"> + X</t>
    </r>
    <r>
      <rPr>
        <vertAlign val="subscript"/>
        <sz val="11"/>
        <rFont val="Calibri"/>
        <family val="2"/>
        <scheme val="minor"/>
      </rPr>
      <t>PHA,GAO</t>
    </r>
    <r>
      <rPr>
        <sz val="11"/>
        <rFont val="Calibri"/>
        <family val="2"/>
        <scheme val="minor"/>
      </rPr>
      <t xml:space="preserve"> + X</t>
    </r>
    <r>
      <rPr>
        <vertAlign val="subscript"/>
        <sz val="11"/>
        <rFont val="Calibri"/>
        <family val="2"/>
        <scheme val="minor"/>
      </rPr>
      <t>E,ana</t>
    </r>
    <r>
      <rPr>
        <sz val="11"/>
        <rFont val="Calibri"/>
        <family val="2"/>
        <scheme val="minor"/>
      </rPr>
      <t xml:space="preserve"> + X</t>
    </r>
    <r>
      <rPr>
        <vertAlign val="subscript"/>
        <sz val="11"/>
        <rFont val="Calibri"/>
        <family val="2"/>
        <scheme val="minor"/>
      </rPr>
      <t>E</t>
    </r>
  </si>
  <si>
    <r>
      <t>Y</t>
    </r>
    <r>
      <rPr>
        <vertAlign val="subscript"/>
        <sz val="11"/>
        <rFont val="Calibri"/>
        <family val="2"/>
        <scheme val="minor"/>
      </rPr>
      <t>BOD,ult</t>
    </r>
    <r>
      <rPr>
        <sz val="11"/>
        <rFont val="Calibri"/>
        <family val="2"/>
        <scheme val="minor"/>
      </rPr>
      <t xml:space="preserve"> * (X</t>
    </r>
    <r>
      <rPr>
        <vertAlign val="subscript"/>
        <sz val="11"/>
        <rFont val="Calibri"/>
        <family val="2"/>
        <scheme val="minor"/>
      </rPr>
      <t>BIO</t>
    </r>
    <r>
      <rPr>
        <sz val="11"/>
        <rFont val="Calibri"/>
        <family val="2"/>
        <scheme val="minor"/>
      </rPr>
      <t xml:space="preserve"> + X</t>
    </r>
    <r>
      <rPr>
        <vertAlign val="subscript"/>
        <sz val="11"/>
        <rFont val="Calibri"/>
        <family val="2"/>
        <scheme val="minor"/>
      </rPr>
      <t>B</t>
    </r>
    <r>
      <rPr>
        <sz val="11"/>
        <rFont val="Calibri"/>
        <family val="2"/>
        <scheme val="minor"/>
      </rPr>
      <t xml:space="preserve"> + X</t>
    </r>
    <r>
      <rPr>
        <vertAlign val="subscript"/>
        <sz val="11"/>
        <rFont val="Calibri"/>
        <family val="2"/>
        <scheme val="minor"/>
      </rPr>
      <t>B,e</t>
    </r>
    <r>
      <rPr>
        <sz val="11"/>
        <rFont val="Calibri"/>
        <family val="2"/>
        <scheme val="minor"/>
      </rPr>
      <t>+ X</t>
    </r>
    <r>
      <rPr>
        <vertAlign val="subscript"/>
        <sz val="11"/>
        <rFont val="Calibri"/>
        <family val="2"/>
        <scheme val="minor"/>
      </rPr>
      <t>PHA,PAO</t>
    </r>
    <r>
      <rPr>
        <sz val="11"/>
        <rFont val="Calibri"/>
        <family val="2"/>
        <scheme val="minor"/>
      </rPr>
      <t xml:space="preserve"> + X</t>
    </r>
    <r>
      <rPr>
        <vertAlign val="subscript"/>
        <sz val="11"/>
        <rFont val="Calibri"/>
        <family val="2"/>
        <scheme val="minor"/>
      </rPr>
      <t>PHA,GAO</t>
    </r>
    <r>
      <rPr>
        <sz val="11"/>
        <rFont val="Calibri"/>
        <family val="2"/>
        <scheme val="minor"/>
      </rPr>
      <t>)</t>
    </r>
  </si>
  <si>
    <r>
      <t>X</t>
    </r>
    <r>
      <rPr>
        <vertAlign val="subscript"/>
        <sz val="11"/>
        <rFont val="Calibri"/>
        <family val="2"/>
        <scheme val="minor"/>
      </rPr>
      <t>PHA,PAO</t>
    </r>
    <r>
      <rPr>
        <sz val="11"/>
        <rFont val="Calibri"/>
        <family val="2"/>
        <scheme val="minor"/>
      </rPr>
      <t xml:space="preserve"> + X</t>
    </r>
    <r>
      <rPr>
        <vertAlign val="subscript"/>
        <sz val="11"/>
        <rFont val="Calibri"/>
        <family val="2"/>
        <scheme val="minor"/>
      </rPr>
      <t>PHA,GAO</t>
    </r>
  </si>
  <si>
    <r>
      <t>X</t>
    </r>
    <r>
      <rPr>
        <vertAlign val="subscript"/>
        <sz val="11"/>
        <color rgb="FF000000"/>
        <rFont val="Calibri"/>
        <family val="2"/>
      </rPr>
      <t>PHA,GAO</t>
    </r>
    <r>
      <rPr>
        <sz val="11"/>
        <color indexed="8"/>
        <rFont val="Calibri"/>
        <family val="2"/>
      </rPr>
      <t xml:space="preserve"> / X</t>
    </r>
    <r>
      <rPr>
        <vertAlign val="subscript"/>
        <sz val="11"/>
        <color rgb="FF000000"/>
        <rFont val="Calibri"/>
        <family val="2"/>
      </rPr>
      <t>STC</t>
    </r>
  </si>
  <si>
    <r>
      <t>Loginh</t>
    </r>
    <r>
      <rPr>
        <vertAlign val="subscript"/>
        <sz val="11"/>
        <rFont val="Calibri"/>
        <family val="2"/>
        <scheme val="minor"/>
      </rPr>
      <t>XPHA,XGAO,max</t>
    </r>
  </si>
  <si>
    <r>
      <t>Loginh(X</t>
    </r>
    <r>
      <rPr>
        <vertAlign val="subscript"/>
        <sz val="11"/>
        <rFont val="Calibri"/>
        <family val="2"/>
        <charset val="238"/>
        <scheme val="minor"/>
      </rPr>
      <t>PHA,GAO</t>
    </r>
    <r>
      <rPr>
        <sz val="11"/>
        <rFont val="Calibri"/>
        <family val="2"/>
        <scheme val="minor"/>
      </rPr>
      <t>/X</t>
    </r>
    <r>
      <rPr>
        <vertAlign val="subscript"/>
        <sz val="11"/>
        <rFont val="Calibri"/>
        <family val="2"/>
        <charset val="238"/>
        <scheme val="minor"/>
      </rPr>
      <t>GAO</t>
    </r>
    <r>
      <rPr>
        <sz val="11"/>
        <rFont val="Calibri"/>
        <family val="2"/>
        <scheme val="minor"/>
      </rPr>
      <t>; Ki</t>
    </r>
    <r>
      <rPr>
        <vertAlign val="subscript"/>
        <sz val="11"/>
        <rFont val="Calibri"/>
        <family val="2"/>
        <charset val="238"/>
        <scheme val="minor"/>
      </rPr>
      <t>PHA,GAO,max</t>
    </r>
    <r>
      <rPr>
        <sz val="11"/>
        <rFont val="Calibri"/>
        <family val="2"/>
        <scheme val="minor"/>
      </rPr>
      <t>; Logslope</t>
    </r>
    <r>
      <rPr>
        <vertAlign val="subscript"/>
        <sz val="11"/>
        <rFont val="Calibri"/>
        <family val="2"/>
        <charset val="238"/>
        <scheme val="minor"/>
      </rPr>
      <t>PHA,GAO,inh</t>
    </r>
    <r>
      <rPr>
        <sz val="11"/>
        <rFont val="Calibri"/>
        <family val="2"/>
        <scheme val="minor"/>
      </rPr>
      <t>)</t>
    </r>
  </si>
  <si>
    <t>Logistic inhibition term for PHA (GAO)</t>
  </si>
  <si>
    <t>Inhibition term for PHA (GAO)</t>
  </si>
  <si>
    <t>Saturation term for PHA (GAO)</t>
  </si>
  <si>
    <r>
      <t>Logslope</t>
    </r>
    <r>
      <rPr>
        <vertAlign val="subscript"/>
        <sz val="11"/>
        <rFont val="Calibri"/>
        <family val="2"/>
        <charset val="238"/>
        <scheme val="minor"/>
      </rPr>
      <t>PHA,GAO,inh</t>
    </r>
  </si>
  <si>
    <r>
      <t>Logisticslope(Ki</t>
    </r>
    <r>
      <rPr>
        <vertAlign val="subscript"/>
        <sz val="11"/>
        <rFont val="Calibri"/>
        <family val="2"/>
        <charset val="238"/>
        <scheme val="minor"/>
      </rPr>
      <t>PHA,GAO,max</t>
    </r>
    <r>
      <rPr>
        <sz val="11"/>
        <rFont val="Calibri"/>
        <family val="2"/>
        <scheme val="minor"/>
      </rPr>
      <t>; Logrange</t>
    </r>
    <r>
      <rPr>
        <vertAlign val="subscript"/>
        <sz val="11"/>
        <rFont val="Calibri"/>
        <family val="2"/>
        <charset val="238"/>
        <scheme val="minor"/>
      </rPr>
      <t>PHA,GAO,inh</t>
    </r>
    <r>
      <rPr>
        <sz val="11"/>
        <rFont val="Calibri"/>
        <family val="2"/>
        <scheme val="minor"/>
      </rPr>
      <t>)</t>
    </r>
  </si>
  <si>
    <t>Logistic slope of inhibition term for PHA/GAO</t>
  </si>
  <si>
    <r>
      <t>Ki</t>
    </r>
    <r>
      <rPr>
        <vertAlign val="subscript"/>
        <sz val="11"/>
        <rFont val="Calibri"/>
        <family val="2"/>
        <scheme val="minor"/>
      </rPr>
      <t>PHA,GAO,max</t>
    </r>
  </si>
  <si>
    <t>Half-inhibition of maximum PHA content of GAOs (AS)</t>
  </si>
  <si>
    <r>
      <t>Logrange</t>
    </r>
    <r>
      <rPr>
        <vertAlign val="subscript"/>
        <sz val="11"/>
        <rFont val="Calibri"/>
        <family val="2"/>
        <charset val="238"/>
        <scheme val="minor"/>
      </rPr>
      <t>PHA,GAO,inh</t>
    </r>
  </si>
  <si>
    <t>Effective range of logistic switch for PHA/GAO inhibition term</t>
  </si>
  <si>
    <t>Half-saturation of PHA for GAOs (AS)</t>
  </si>
  <si>
    <r>
      <t>K</t>
    </r>
    <r>
      <rPr>
        <vertAlign val="subscript"/>
        <sz val="11"/>
        <rFont val="Calibri"/>
        <family val="2"/>
        <scheme val="minor"/>
      </rPr>
      <t>PHA</t>
    </r>
    <r>
      <rPr>
        <vertAlign val="subscript"/>
        <sz val="11"/>
        <rFont val="Calibri"/>
        <family val="2"/>
        <charset val="238"/>
        <scheme val="minor"/>
      </rPr>
      <t>,GAO</t>
    </r>
  </si>
  <si>
    <r>
      <t>MRinh</t>
    </r>
    <r>
      <rPr>
        <vertAlign val="subscript"/>
        <sz val="11"/>
        <rFont val="Calibri"/>
        <family val="2"/>
        <scheme val="minor"/>
      </rPr>
      <t>XPHA,XGAO,</t>
    </r>
    <r>
      <rPr>
        <vertAlign val="subscript"/>
        <sz val="11"/>
        <rFont val="Calibri"/>
        <family val="2"/>
        <charset val="238"/>
        <scheme val="minor"/>
      </rPr>
      <t>KPHA</t>
    </r>
  </si>
  <si>
    <r>
      <t>MRsat</t>
    </r>
    <r>
      <rPr>
        <vertAlign val="subscript"/>
        <sz val="11"/>
        <rFont val="Calibri"/>
        <family val="2"/>
        <scheme val="minor"/>
      </rPr>
      <t>XPHA,XGAO,</t>
    </r>
    <r>
      <rPr>
        <vertAlign val="subscript"/>
        <sz val="11"/>
        <rFont val="Calibri"/>
        <family val="2"/>
        <charset val="238"/>
        <scheme val="minor"/>
      </rPr>
      <t>KPHA</t>
    </r>
  </si>
  <si>
    <r>
      <t>MRsat(X</t>
    </r>
    <r>
      <rPr>
        <vertAlign val="subscript"/>
        <sz val="11"/>
        <rFont val="Calibri"/>
        <family val="2"/>
        <scheme val="minor"/>
      </rPr>
      <t>PHA,GAO</t>
    </r>
    <r>
      <rPr>
        <sz val="11"/>
        <rFont val="Calibri"/>
        <family val="2"/>
        <scheme val="minor"/>
      </rPr>
      <t>;X</t>
    </r>
    <r>
      <rPr>
        <vertAlign val="subscript"/>
        <sz val="11"/>
        <rFont val="Calibri"/>
        <family val="2"/>
        <scheme val="minor"/>
      </rPr>
      <t>GAO</t>
    </r>
    <r>
      <rPr>
        <sz val="11"/>
        <rFont val="Calibri"/>
        <family val="2"/>
        <scheme val="minor"/>
      </rPr>
      <t>;</t>
    </r>
    <r>
      <rPr>
        <sz val="11"/>
        <rFont val="Calibri"/>
        <family val="2"/>
        <charset val="238"/>
        <scheme val="minor"/>
      </rPr>
      <t>K</t>
    </r>
    <r>
      <rPr>
        <vertAlign val="subscript"/>
        <sz val="11"/>
        <rFont val="Calibri"/>
        <family val="2"/>
        <charset val="238"/>
        <scheme val="minor"/>
      </rPr>
      <t>PHA,GAO</t>
    </r>
    <r>
      <rPr>
        <sz val="11"/>
        <rFont val="Calibri"/>
        <family val="2"/>
        <scheme val="minor"/>
      </rPr>
      <t>)</t>
    </r>
  </si>
  <si>
    <r>
      <t>b</t>
    </r>
    <r>
      <rPr>
        <vertAlign val="subscript"/>
        <sz val="11"/>
        <rFont val="Calibri"/>
        <family val="2"/>
      </rPr>
      <t xml:space="preserve">CASTO,T </t>
    </r>
    <r>
      <rPr>
        <sz val="11"/>
        <rFont val="Calibri"/>
        <family val="2"/>
      </rPr>
      <t>* (η</t>
    </r>
    <r>
      <rPr>
        <vertAlign val="subscript"/>
        <sz val="11"/>
        <rFont val="Calibri"/>
        <family val="2"/>
      </rPr>
      <t xml:space="preserve">bCASTO,ana </t>
    </r>
    <r>
      <rPr>
        <sz val="11"/>
        <rFont val="Calibri"/>
        <family val="2"/>
      </rPr>
      <t>* (X</t>
    </r>
    <r>
      <rPr>
        <vertAlign val="subscript"/>
        <sz val="11"/>
        <rFont val="Calibri"/>
        <family val="2"/>
        <charset val="238"/>
      </rPr>
      <t>PAO</t>
    </r>
    <r>
      <rPr>
        <sz val="11"/>
        <rFont val="Calibri"/>
        <family val="2"/>
      </rPr>
      <t xml:space="preserve"> * MRinh</t>
    </r>
    <r>
      <rPr>
        <vertAlign val="subscript"/>
        <sz val="11"/>
        <rFont val="Calibri"/>
        <family val="2"/>
      </rPr>
      <t>XPP,XPAO,KPP</t>
    </r>
    <r>
      <rPr>
        <sz val="11"/>
        <rFont val="Calibri"/>
        <family val="2"/>
      </rPr>
      <t xml:space="preserve"> + X</t>
    </r>
    <r>
      <rPr>
        <vertAlign val="subscript"/>
        <sz val="11"/>
        <rFont val="Calibri"/>
        <family val="2"/>
        <charset val="238"/>
      </rPr>
      <t>GAO</t>
    </r>
    <r>
      <rPr>
        <sz val="11"/>
        <rFont val="Calibri"/>
        <family val="2"/>
      </rPr>
      <t xml:space="preserve"> * MRinh</t>
    </r>
    <r>
      <rPr>
        <vertAlign val="subscript"/>
        <sz val="11"/>
        <rFont val="Calibri"/>
        <family val="2"/>
      </rPr>
      <t>XPHA,XGAO,KPHA</t>
    </r>
    <r>
      <rPr>
        <sz val="11"/>
        <rFont val="Calibri"/>
        <family val="2"/>
      </rPr>
      <t>) * Minh</t>
    </r>
    <r>
      <rPr>
        <vertAlign val="subscript"/>
        <sz val="11"/>
        <rFont val="Calibri"/>
        <family val="2"/>
      </rPr>
      <t xml:space="preserve">SNOx,KNOx,CASTO </t>
    </r>
    <r>
      <rPr>
        <sz val="11"/>
        <rFont val="Calibri"/>
        <family val="2"/>
      </rPr>
      <t>* Minh</t>
    </r>
    <r>
      <rPr>
        <vertAlign val="subscript"/>
        <sz val="11"/>
        <rFont val="Calibri"/>
        <family val="2"/>
      </rPr>
      <t xml:space="preserve">SO2,KO2,CASTO </t>
    </r>
    <r>
      <rPr>
        <sz val="11"/>
        <rFont val="Calibri"/>
        <family val="2"/>
      </rPr>
      <t>+ X</t>
    </r>
    <r>
      <rPr>
        <vertAlign val="subscript"/>
        <sz val="11"/>
        <rFont val="Calibri"/>
        <family val="2"/>
        <charset val="238"/>
      </rPr>
      <t>CASTO</t>
    </r>
    <r>
      <rPr>
        <sz val="11"/>
        <rFont val="Calibri"/>
        <family val="2"/>
      </rPr>
      <t xml:space="preserve"> * m</t>
    </r>
    <r>
      <rPr>
        <vertAlign val="subscript"/>
        <sz val="11"/>
        <rFont val="Calibri"/>
        <family val="2"/>
      </rPr>
      <t>tox,ana</t>
    </r>
    <r>
      <rPr>
        <sz val="11"/>
        <rFont val="Calibri"/>
        <family val="2"/>
      </rPr>
      <t>)</t>
    </r>
  </si>
  <si>
    <t>GAO's PHA storage from VFAs</t>
  </si>
  <si>
    <r>
      <t>η</t>
    </r>
    <r>
      <rPr>
        <vertAlign val="subscript"/>
        <sz val="11"/>
        <rFont val="Calibri"/>
        <family val="2"/>
        <scheme val="minor"/>
      </rPr>
      <t>bPHA,ana</t>
    </r>
  </si>
  <si>
    <t>Reduction factor for anaerobic maintenance of GAOs on PHA</t>
  </si>
  <si>
    <r>
      <t>b</t>
    </r>
    <r>
      <rPr>
        <vertAlign val="subscript"/>
        <sz val="11"/>
        <rFont val="Calibri"/>
        <family val="2"/>
      </rPr>
      <t>STC,T</t>
    </r>
    <r>
      <rPr>
        <sz val="11"/>
        <rFont val="Calibri"/>
        <family val="2"/>
      </rPr>
      <t xml:space="preserve"> * η</t>
    </r>
    <r>
      <rPr>
        <vertAlign val="subscript"/>
        <sz val="11"/>
        <rFont val="Calibri"/>
        <family val="2"/>
      </rPr>
      <t>bPHA,ana</t>
    </r>
    <r>
      <rPr>
        <sz val="11"/>
        <rFont val="Calibri"/>
        <family val="2"/>
      </rPr>
      <t xml:space="preserve"> * X</t>
    </r>
    <r>
      <rPr>
        <vertAlign val="subscript"/>
        <sz val="11"/>
        <rFont val="Calibri"/>
        <family val="2"/>
      </rPr>
      <t>GAO</t>
    </r>
    <r>
      <rPr>
        <sz val="11"/>
        <rFont val="Calibri"/>
        <family val="2"/>
      </rPr>
      <t xml:space="preserve"> * Minh</t>
    </r>
    <r>
      <rPr>
        <vertAlign val="subscript"/>
        <sz val="11"/>
        <rFont val="Calibri"/>
        <family val="2"/>
      </rPr>
      <t>SO2,KO2,CASTO</t>
    </r>
    <r>
      <rPr>
        <sz val="11"/>
        <rFont val="Calibri"/>
        <family val="2"/>
      </rPr>
      <t xml:space="preserve"> * Minh</t>
    </r>
    <r>
      <rPr>
        <vertAlign val="subscript"/>
        <sz val="11"/>
        <rFont val="Calibri"/>
        <family val="2"/>
      </rPr>
      <t>SNOx,KNOx,CASTO</t>
    </r>
    <r>
      <rPr>
        <sz val="11"/>
        <rFont val="Calibri"/>
        <family val="2"/>
      </rPr>
      <t xml:space="preserve"> * MRsat</t>
    </r>
    <r>
      <rPr>
        <vertAlign val="subscript"/>
        <sz val="11"/>
        <rFont val="Calibri"/>
        <family val="2"/>
      </rPr>
      <t>XPHA,XGAO,KPHA</t>
    </r>
  </si>
  <si>
    <t>Observed yield of CASTOs on PHA under aerobic conditions</t>
  </si>
  <si>
    <t>Observed yield of CASTOs on PHA under anoxic conditions</t>
  </si>
  <si>
    <t>Temperature correction of ORP switch of PHA storage by GAO</t>
  </si>
  <si>
    <t>ORP switch of PHA storage by GAO</t>
  </si>
  <si>
    <t>Saturation term for carbon storage (CASTO)</t>
  </si>
  <si>
    <t>Inhibition term for carbon storage (CASTO)</t>
  </si>
  <si>
    <t>Rate of VFA storage into PHA for GAOs (temperature corrected)</t>
  </si>
  <si>
    <r>
      <t>q</t>
    </r>
    <r>
      <rPr>
        <vertAlign val="subscript"/>
        <sz val="11"/>
        <color indexed="8"/>
        <rFont val="Calibri"/>
        <family val="2"/>
        <scheme val="minor"/>
      </rPr>
      <t>GAO,PHA,T</t>
    </r>
  </si>
  <si>
    <r>
      <t>q</t>
    </r>
    <r>
      <rPr>
        <vertAlign val="subscript"/>
        <sz val="11"/>
        <color indexed="8"/>
        <rFont val="Calibri"/>
        <family val="2"/>
        <scheme val="minor"/>
      </rPr>
      <t>GAO,PHA</t>
    </r>
    <r>
      <rPr>
        <sz val="11"/>
        <color indexed="8"/>
        <rFont val="Calibri"/>
        <family val="2"/>
        <scheme val="minor"/>
      </rPr>
      <t>*Arrh(θ</t>
    </r>
    <r>
      <rPr>
        <vertAlign val="subscript"/>
        <sz val="11"/>
        <color indexed="8"/>
        <rFont val="Calibri"/>
        <family val="2"/>
        <scheme val="minor"/>
      </rPr>
      <t>q,GAO,PHA</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</si>
  <si>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q</t>
    </r>
    <r>
      <rPr>
        <vertAlign val="subscript"/>
        <sz val="11"/>
        <rFont val="Calibri"/>
        <family val="2"/>
        <charset val="238"/>
        <scheme val="minor"/>
      </rPr>
      <t>GAO,PHA</t>
    </r>
  </si>
  <si>
    <t>Rate of VFA storage into PHA for GAOs</t>
  </si>
  <si>
    <r>
      <t>θ</t>
    </r>
    <r>
      <rPr>
        <vertAlign val="subscript"/>
        <sz val="11"/>
        <color indexed="8"/>
        <rFont val="Calibri"/>
        <family val="2"/>
        <scheme val="minor"/>
      </rPr>
      <t>q,GAO,PHA</t>
    </r>
  </si>
  <si>
    <t>Arrhenius coefficient for carbon storage use for maintenance</t>
  </si>
  <si>
    <t>Rate of CASTOs maintenance on stored carbon</t>
  </si>
  <si>
    <t>Reduction factor for anoxic maintenance of CASTOs on stored carbon</t>
  </si>
  <si>
    <t>Half-saturation of stored carbon for PAOs</t>
  </si>
  <si>
    <t>Half-value of ORP switch of PHA storage by GAO at 15°C / 59°F</t>
  </si>
  <si>
    <t>Half-value of ORP switch of PHA storage by GAO at 25°C / 77°F</t>
  </si>
  <si>
    <t>Observed rate of CASTOs maintenance on stored carbon (temperature corrected)</t>
  </si>
  <si>
    <r>
      <t>MRinh(X</t>
    </r>
    <r>
      <rPr>
        <vertAlign val="subscript"/>
        <sz val="11"/>
        <rFont val="Calibri"/>
        <family val="2"/>
        <scheme val="minor"/>
      </rPr>
      <t>PHA,GAO</t>
    </r>
    <r>
      <rPr>
        <sz val="11"/>
        <rFont val="Calibri"/>
        <family val="2"/>
        <charset val="238"/>
        <scheme val="minor"/>
      </rPr>
      <t>;</t>
    </r>
    <r>
      <rPr>
        <sz val="11"/>
        <rFont val="Calibri"/>
        <family val="2"/>
        <scheme val="minor"/>
      </rPr>
      <t>X</t>
    </r>
    <r>
      <rPr>
        <vertAlign val="subscript"/>
        <sz val="11"/>
        <rFont val="Calibri"/>
        <family val="2"/>
        <scheme val="minor"/>
      </rPr>
      <t>GAO</t>
    </r>
    <r>
      <rPr>
        <sz val="11"/>
        <rFont val="Calibri"/>
        <family val="2"/>
        <scheme val="minor"/>
      </rPr>
      <t>;</t>
    </r>
    <r>
      <rPr>
        <sz val="11"/>
        <rFont val="Calibri"/>
        <family val="2"/>
        <charset val="238"/>
        <scheme val="minor"/>
      </rPr>
      <t>K</t>
    </r>
    <r>
      <rPr>
        <vertAlign val="subscript"/>
        <sz val="11"/>
        <rFont val="Calibri"/>
        <family val="2"/>
        <charset val="238"/>
        <scheme val="minor"/>
      </rPr>
      <t>PHA,GAO</t>
    </r>
    <r>
      <rPr>
        <sz val="11"/>
        <rFont val="Calibri"/>
        <family val="2"/>
        <charset val="238"/>
        <scheme val="minor"/>
      </rPr>
      <t>)</t>
    </r>
  </si>
  <si>
    <r>
      <t>q</t>
    </r>
    <r>
      <rPr>
        <vertAlign val="subscript"/>
        <sz val="11"/>
        <rFont val="Calibri"/>
        <family val="2"/>
      </rPr>
      <t>GAO,PHA,T</t>
    </r>
    <r>
      <rPr>
        <sz val="11"/>
        <rFont val="Calibri"/>
        <family val="2"/>
      </rPr>
      <t xml:space="preserve"> * X</t>
    </r>
    <r>
      <rPr>
        <vertAlign val="subscript"/>
        <sz val="11"/>
        <rFont val="Calibri"/>
        <family val="2"/>
      </rPr>
      <t>CASTO</t>
    </r>
    <r>
      <rPr>
        <sz val="11"/>
        <rFont val="Calibri"/>
        <family val="2"/>
        <charset val="238"/>
      </rPr>
      <t xml:space="preserve"> * act</t>
    </r>
    <r>
      <rPr>
        <vertAlign val="subscript"/>
        <sz val="11"/>
        <rFont val="Calibri"/>
        <family val="2"/>
      </rPr>
      <t>sto,GAO,ORP</t>
    </r>
    <r>
      <rPr>
        <sz val="11"/>
        <rFont val="Calibri"/>
        <family val="2"/>
      </rPr>
      <t xml:space="preserve"> * Msat</t>
    </r>
    <r>
      <rPr>
        <vertAlign val="subscript"/>
        <sz val="11"/>
        <rFont val="Calibri"/>
        <family val="2"/>
      </rPr>
      <t>SVFA,KVFA,CASTO</t>
    </r>
    <r>
      <rPr>
        <sz val="11"/>
        <rFont val="Calibri"/>
        <family val="2"/>
      </rPr>
      <t xml:space="preserve"> * Loginh</t>
    </r>
    <r>
      <rPr>
        <vertAlign val="subscript"/>
        <sz val="11"/>
        <rFont val="Calibri"/>
        <family val="2"/>
      </rPr>
      <t>XPHA,XGAO,max</t>
    </r>
  </si>
  <si>
    <t>Balances per processes</t>
  </si>
  <si>
    <t>PHA stored in CASTOs</t>
  </si>
  <si>
    <r>
      <t>Y</t>
    </r>
    <r>
      <rPr>
        <vertAlign val="subscript"/>
        <sz val="11"/>
        <rFont val="Calibri"/>
        <family val="2"/>
        <scheme val="minor"/>
      </rPr>
      <t>GAO,PHA,ox</t>
    </r>
  </si>
  <si>
    <t>Yield of GAOs on PHA under aerobic conditions</t>
  </si>
  <si>
    <t>Yield of GAOs on PHA under anoxic conditions</t>
  </si>
  <si>
    <r>
      <t>Y</t>
    </r>
    <r>
      <rPr>
        <vertAlign val="subscript"/>
        <sz val="11"/>
        <rFont val="Calibri"/>
        <family val="2"/>
        <scheme val="minor"/>
      </rPr>
      <t>GAO,PHA,anox</t>
    </r>
  </si>
  <si>
    <r>
      <t>(Y</t>
    </r>
    <r>
      <rPr>
        <vertAlign val="subscript"/>
        <sz val="11"/>
        <rFont val="Calibri"/>
        <family val="2"/>
        <scheme val="minor"/>
      </rPr>
      <t>PAO,PHA,anox</t>
    </r>
    <r>
      <rPr>
        <sz val="11"/>
        <rFont val="Calibri"/>
        <family val="2"/>
        <scheme val="minor"/>
      </rPr>
      <t xml:space="preserve"> * X</t>
    </r>
    <r>
      <rPr>
        <vertAlign val="subscript"/>
        <sz val="11"/>
        <rFont val="Calibri"/>
        <family val="2"/>
        <scheme val="minor"/>
      </rPr>
      <t>PHA,PAO</t>
    </r>
    <r>
      <rPr>
        <sz val="11"/>
        <rFont val="Calibri"/>
        <family val="2"/>
        <scheme val="minor"/>
      </rPr>
      <t xml:space="preserve"> + Y</t>
    </r>
    <r>
      <rPr>
        <vertAlign val="subscript"/>
        <sz val="11"/>
        <rFont val="Calibri"/>
        <family val="2"/>
        <scheme val="minor"/>
      </rPr>
      <t>GAO,PHA,anox</t>
    </r>
    <r>
      <rPr>
        <sz val="11"/>
        <rFont val="Calibri"/>
        <family val="2"/>
        <scheme val="minor"/>
      </rPr>
      <t xml:space="preserve"> * X</t>
    </r>
    <r>
      <rPr>
        <vertAlign val="subscript"/>
        <sz val="11"/>
        <rFont val="Calibri"/>
        <family val="2"/>
        <scheme val="minor"/>
      </rPr>
      <t>PHA,GAO</t>
    </r>
    <r>
      <rPr>
        <sz val="11"/>
        <rFont val="Calibri"/>
        <family val="2"/>
        <scheme val="minor"/>
      </rPr>
      <t xml:space="preserve"> ) / X</t>
    </r>
    <r>
      <rPr>
        <vertAlign val="subscript"/>
        <sz val="11"/>
        <rFont val="Calibri"/>
        <family val="2"/>
        <scheme val="minor"/>
      </rPr>
      <t>STC</t>
    </r>
  </si>
  <si>
    <r>
      <t>Y</t>
    </r>
    <r>
      <rPr>
        <vertAlign val="subscript"/>
        <sz val="11"/>
        <rFont val="Calibri"/>
        <family val="2"/>
        <scheme val="minor"/>
      </rPr>
      <t>PAO,PHA,anox</t>
    </r>
  </si>
  <si>
    <t>Yield of PAOs on PHA under anoxic conditions</t>
  </si>
  <si>
    <r>
      <t>-1/Y</t>
    </r>
    <r>
      <rPr>
        <vertAlign val="subscript"/>
        <sz val="11"/>
        <rFont val="Calibri"/>
        <family val="2"/>
      </rPr>
      <t>PAO,PHA,anox</t>
    </r>
  </si>
  <si>
    <r>
      <t>-(1-Y</t>
    </r>
    <r>
      <rPr>
        <vertAlign val="subscript"/>
        <sz val="11"/>
        <rFont val="Calibri"/>
        <family val="2"/>
      </rPr>
      <t>PAO,PHA,anox</t>
    </r>
    <r>
      <rPr>
        <sz val="11"/>
        <rFont val="Calibri"/>
        <family val="2"/>
      </rPr>
      <t>)/(EEQ</t>
    </r>
    <r>
      <rPr>
        <vertAlign val="subscript"/>
        <sz val="11"/>
        <rFont val="Calibri"/>
        <family val="2"/>
      </rPr>
      <t>N2,NO3</t>
    </r>
    <r>
      <rPr>
        <sz val="11"/>
        <rFont val="Calibri"/>
        <family val="2"/>
      </rPr>
      <t>*Y</t>
    </r>
    <r>
      <rPr>
        <vertAlign val="subscript"/>
        <sz val="11"/>
        <rFont val="Calibri"/>
        <family val="2"/>
      </rPr>
      <t>PAO,PHA,anox</t>
    </r>
    <r>
      <rPr>
        <sz val="11"/>
        <rFont val="Calibri"/>
        <family val="2"/>
      </rPr>
      <t>)</t>
    </r>
  </si>
  <si>
    <r>
      <t>(1-Y</t>
    </r>
    <r>
      <rPr>
        <vertAlign val="subscript"/>
        <sz val="11"/>
        <rFont val="Calibri"/>
        <family val="2"/>
      </rPr>
      <t>PAO,PHA,anox</t>
    </r>
    <r>
      <rPr>
        <sz val="11"/>
        <rFont val="Calibri"/>
        <family val="2"/>
      </rPr>
      <t>)/(EEQ</t>
    </r>
    <r>
      <rPr>
        <vertAlign val="subscript"/>
        <sz val="11"/>
        <rFont val="Calibri"/>
        <family val="2"/>
      </rPr>
      <t>N2,NO3</t>
    </r>
    <r>
      <rPr>
        <sz val="11"/>
        <rFont val="Calibri"/>
        <family val="2"/>
      </rPr>
      <t>*Y</t>
    </r>
    <r>
      <rPr>
        <vertAlign val="subscript"/>
        <sz val="11"/>
        <rFont val="Calibri"/>
        <family val="2"/>
      </rPr>
      <t>PAO,PHA,anox</t>
    </r>
    <r>
      <rPr>
        <sz val="11"/>
        <rFont val="Calibri"/>
        <family val="2"/>
      </rPr>
      <t>)</t>
    </r>
  </si>
  <si>
    <r>
      <t>(i</t>
    </r>
    <r>
      <rPr>
        <vertAlign val="subscript"/>
        <sz val="11"/>
        <rFont val="Calibri"/>
        <family val="2"/>
      </rPr>
      <t>CIT,PHA</t>
    </r>
    <r>
      <rPr>
        <sz val="11"/>
        <rFont val="Calibri"/>
        <family val="2"/>
      </rPr>
      <t>/Y</t>
    </r>
    <r>
      <rPr>
        <vertAlign val="subscript"/>
        <sz val="11"/>
        <rFont val="Calibri"/>
        <family val="2"/>
      </rPr>
      <t>PAO,PHA,anox</t>
    </r>
    <r>
      <rPr>
        <sz val="11"/>
        <rFont val="Calibri"/>
        <family val="2"/>
      </rPr>
      <t>)</t>
    </r>
    <r>
      <rPr>
        <vertAlign val="subscript"/>
        <sz val="11"/>
        <rFont val="Calibri"/>
        <family val="2"/>
      </rPr>
      <t xml:space="preserve"> </t>
    </r>
    <r>
      <rPr>
        <sz val="11"/>
        <rFont val="Calibri"/>
        <family val="2"/>
      </rPr>
      <t>- i</t>
    </r>
    <r>
      <rPr>
        <vertAlign val="subscript"/>
        <sz val="11"/>
        <rFont val="Calibri"/>
        <family val="2"/>
      </rPr>
      <t>CIT,BIO</t>
    </r>
  </si>
  <si>
    <r>
      <t>-1/Y</t>
    </r>
    <r>
      <rPr>
        <vertAlign val="subscript"/>
        <sz val="11"/>
        <rFont val="Calibri"/>
        <family val="2"/>
      </rPr>
      <t>PAO,PHA,ox</t>
    </r>
  </si>
  <si>
    <r>
      <t>-(1-Y</t>
    </r>
    <r>
      <rPr>
        <vertAlign val="subscript"/>
        <sz val="11"/>
        <rFont val="Calibri"/>
        <family val="2"/>
      </rPr>
      <t>PAO,PHA,ox</t>
    </r>
    <r>
      <rPr>
        <sz val="11"/>
        <rFont val="Calibri"/>
        <family val="2"/>
      </rPr>
      <t>)/Y</t>
    </r>
    <r>
      <rPr>
        <vertAlign val="subscript"/>
        <sz val="11"/>
        <rFont val="Calibri"/>
        <family val="2"/>
      </rPr>
      <t>PAO,PHA,ox</t>
    </r>
  </si>
  <si>
    <r>
      <t>(i</t>
    </r>
    <r>
      <rPr>
        <vertAlign val="subscript"/>
        <sz val="11"/>
        <rFont val="Calibri"/>
        <family val="2"/>
      </rPr>
      <t>CIT,PHA</t>
    </r>
    <r>
      <rPr>
        <sz val="11"/>
        <rFont val="Calibri"/>
        <family val="2"/>
      </rPr>
      <t>/Y</t>
    </r>
    <r>
      <rPr>
        <vertAlign val="subscript"/>
        <sz val="11"/>
        <rFont val="Calibri"/>
        <family val="2"/>
      </rPr>
      <t>PAO,PHA,ox</t>
    </r>
    <r>
      <rPr>
        <sz val="11"/>
        <rFont val="Calibri"/>
        <family val="2"/>
      </rPr>
      <t>)</t>
    </r>
    <r>
      <rPr>
        <vertAlign val="subscript"/>
        <sz val="11"/>
        <rFont val="Calibri"/>
        <family val="2"/>
      </rPr>
      <t xml:space="preserve"> </t>
    </r>
    <r>
      <rPr>
        <sz val="11"/>
        <rFont val="Calibri"/>
        <family val="2"/>
      </rPr>
      <t>- i</t>
    </r>
    <r>
      <rPr>
        <vertAlign val="subscript"/>
        <sz val="11"/>
        <rFont val="Calibri"/>
        <family val="2"/>
      </rPr>
      <t>CIT,BIO</t>
    </r>
  </si>
  <si>
    <r>
      <t>(Y</t>
    </r>
    <r>
      <rPr>
        <vertAlign val="subscript"/>
        <sz val="11"/>
        <rFont val="Calibri"/>
        <family val="2"/>
        <scheme val="minor"/>
      </rPr>
      <t>PAO,PHA,ox</t>
    </r>
    <r>
      <rPr>
        <sz val="11"/>
        <rFont val="Calibri"/>
        <family val="2"/>
        <scheme val="minor"/>
      </rPr>
      <t xml:space="preserve"> * X</t>
    </r>
    <r>
      <rPr>
        <vertAlign val="subscript"/>
        <sz val="11"/>
        <rFont val="Calibri"/>
        <family val="2"/>
        <scheme val="minor"/>
      </rPr>
      <t>PHA,PAO</t>
    </r>
    <r>
      <rPr>
        <sz val="11"/>
        <rFont val="Calibri"/>
        <family val="2"/>
        <scheme val="minor"/>
      </rPr>
      <t xml:space="preserve"> + Y</t>
    </r>
    <r>
      <rPr>
        <vertAlign val="subscript"/>
        <sz val="11"/>
        <rFont val="Calibri"/>
        <family val="2"/>
        <scheme val="minor"/>
      </rPr>
      <t>GAO,PHA,ox</t>
    </r>
    <r>
      <rPr>
        <sz val="11"/>
        <rFont val="Calibri"/>
        <family val="2"/>
        <scheme val="minor"/>
      </rPr>
      <t xml:space="preserve"> * X</t>
    </r>
    <r>
      <rPr>
        <vertAlign val="subscript"/>
        <sz val="11"/>
        <rFont val="Calibri"/>
        <family val="2"/>
        <scheme val="minor"/>
      </rPr>
      <t>PHA,GAO</t>
    </r>
    <r>
      <rPr>
        <sz val="11"/>
        <rFont val="Calibri"/>
        <family val="2"/>
        <scheme val="minor"/>
      </rPr>
      <t xml:space="preserve"> ) / X</t>
    </r>
    <r>
      <rPr>
        <vertAlign val="subscript"/>
        <sz val="11"/>
        <rFont val="Calibri"/>
        <family val="2"/>
        <scheme val="minor"/>
      </rPr>
      <t>STC</t>
    </r>
  </si>
  <si>
    <r>
      <t>Y</t>
    </r>
    <r>
      <rPr>
        <vertAlign val="subscript"/>
        <sz val="11"/>
        <rFont val="Calibri"/>
        <family val="2"/>
        <scheme val="minor"/>
      </rPr>
      <t>PAO,PHA,ox</t>
    </r>
  </si>
  <si>
    <r>
      <t>i</t>
    </r>
    <r>
      <rPr>
        <vertAlign val="subscript"/>
        <sz val="11"/>
        <rFont val="Calibri"/>
        <family val="2"/>
      </rPr>
      <t>CIT,PHA</t>
    </r>
    <r>
      <rPr>
        <sz val="11"/>
        <rFont val="Calibri"/>
        <family val="2"/>
      </rPr>
      <t>-i</t>
    </r>
    <r>
      <rPr>
        <vertAlign val="subscript"/>
        <sz val="11"/>
        <rFont val="Calibri"/>
        <family val="2"/>
      </rPr>
      <t>CIT,VFA</t>
    </r>
  </si>
  <si>
    <t>Heat - pond model</t>
  </si>
  <si>
    <t>rate_Hbio</t>
  </si>
  <si>
    <t>Biological heat rate of biological reactions</t>
  </si>
  <si>
    <t>MJ.m-3.d-1</t>
  </si>
  <si>
    <t>COD Balance - pond model</t>
  </si>
  <si>
    <t>rate_TCOD,stripping</t>
  </si>
  <si>
    <t>g.m-3.d-1</t>
  </si>
  <si>
    <t>2</t>
  </si>
  <si>
    <t>rate_TCOD,oxydation,O2</t>
  </si>
  <si>
    <t xml:space="preserve"> - ((v1_SO2 * r1 * -1) + (v3_SO2 * r3 * -1) + (v7_SO2 * r7 * -1) + (v13_SO2 * r13 * -1) + (v15_SO2 * r15 * -1) + (v17_SO2 * r17 * -1) + (v21_SO2 * r21 * -1) + (v41_SO2 * r41 * -1))</t>
  </si>
  <si>
    <t>rate_TCOD,oxydation,NO3</t>
  </si>
  <si>
    <t>rate_TCOD,photosynt</t>
  </si>
  <si>
    <t>((v40_XALGAE * r40) + (v39_XALGAE * r39))</t>
  </si>
  <si>
    <t>rate_TCOD,autotrophs</t>
  </si>
  <si>
    <t>((v30_XNITO * r30))</t>
  </si>
  <si>
    <t>TN Balance - pond model</t>
  </si>
  <si>
    <t>rate_SNHx,stripping</t>
  </si>
  <si>
    <t>rate_TN,denit</t>
  </si>
  <si>
    <t xml:space="preserve"> + ((v2_SNOx * r2 * 1) + (v4_SNOx * r4 * 1) + (v10_SNOx * r10 * 1) + (v14_SNOx * r14 * 1) + (v16_SNOx * r16 * 1) + (v18_SNOx * r18 * 1) + (v22_SNOx * r22 * 1))</t>
  </si>
  <si>
    <t>O2 Balance - pond model</t>
  </si>
  <si>
    <t>rate_SO2,aerator</t>
  </si>
  <si>
    <t>rate_SO2,sur</t>
  </si>
  <si>
    <t>rate_SO2,C,oxidation</t>
  </si>
  <si>
    <t xml:space="preserve"> - ((v1_SO2 * r1 * -1) + (v3_SO2 * r3 * -1) + (v7_SO2 * r7 * -1) + (v13_SO2 * r13 * -1) + (v15_SO2 * r15 * -1) + (v17_SO2 * r17 * -1) + (v21_SO2 * r21 * -1))</t>
  </si>
  <si>
    <t>rate_SO2,nitrif</t>
  </si>
  <si>
    <t>((v30_SO2 * r30))</t>
  </si>
  <si>
    <t>rate_SO2,Fe,oxidation</t>
  </si>
  <si>
    <t>rate_SO2,photosynt</t>
  </si>
  <si>
    <t>((v40_SO2 * r40) + (v39_SO2 * r39))</t>
  </si>
  <si>
    <t>rate_SO2,ALGAE,resp</t>
  </si>
  <si>
    <t>((v41_SO2 * r41))</t>
  </si>
  <si>
    <t>SNHx processes - pond model</t>
  </si>
  <si>
    <t>rate_SNHx,OHOs</t>
  </si>
  <si>
    <t>((v1_SNHx * r1) + (v2_SNHx * r2) + (v3_SNHx * r3) + (v4_SNHx * r4) + (v5_SNHx * r5) + (v6_SNHx * r6) + (v7_SNHx * r7) + (v8_SNHx * r8) + (v9_SNHx * r9))</t>
  </si>
  <si>
    <t>rate_SNHx,NITOs</t>
  </si>
  <si>
    <t>((v30_SNHx * r30) + (v31_SNHx * r31) + (v32_SNHx * r32))</t>
  </si>
  <si>
    <t>rate_SNHx,ALGAE</t>
  </si>
  <si>
    <t>((v40_SNHx * r40) + (v41_SNHx * r41) + (v42_SNHx * r42))</t>
  </si>
  <si>
    <t>rate_SNHx,Hydrolysis</t>
  </si>
  <si>
    <t>SNOx processes - pond model</t>
  </si>
  <si>
    <t>rate_SNOx,OHOs</t>
  </si>
  <si>
    <t>((v2_SNOx * r2) + (v4_SNOx * r4))</t>
  </si>
  <si>
    <t>rate_SNOx,NITOs</t>
  </si>
  <si>
    <t>((v30_SNOx * r30))</t>
  </si>
  <si>
    <t>rate_SNOx,ALGAE</t>
  </si>
  <si>
    <t>((v39_SNOx * r39))</t>
  </si>
  <si>
    <t>SPO4 processes - pond model</t>
  </si>
  <si>
    <t>rate_SPO4,OHOs</t>
  </si>
  <si>
    <t>((v1_SPO4 * r1) + (v2_SPO4 * r2) + (v3_SPO4 * r3) + (v4_SPO4 * r4) + (v5_SPO4 * r5) + (v6_SPO4 * r6) + (v7_SPO4 * r7))</t>
  </si>
  <si>
    <t>rate_SPO4,NITOs</t>
  </si>
  <si>
    <t>((v30_SPO4 * r30))</t>
  </si>
  <si>
    <t>rate_SPO4,ALGAE</t>
  </si>
  <si>
    <t>((v39_SPO4 * r39) + (v40_SPO4 * r40) + (v41_SPO4 * r41) + (v42_SPO4 * r42))</t>
  </si>
  <si>
    <t>rate_SPO4,Hydrolysis</t>
  </si>
  <si>
    <t>rate_SPO4,Precipitation</t>
  </si>
  <si>
    <t>SCO2 processes - pond model</t>
  </si>
  <si>
    <t>rate_SCO2,stripping</t>
  </si>
  <si>
    <t>rate_SCO2,OHOs</t>
  </si>
  <si>
    <t>((v1_SCO2 * r1) + (v2_SCO2 * r2) + (v3_SCO2 * r3) + (v4_SCO2 * r4) + (v5_SCO2 * r5) + (v6_SCO2 * r6) + (v7_SCO2 * r7))</t>
  </si>
  <si>
    <t>rate_SCO2,NITOs</t>
  </si>
  <si>
    <t>((v30_SCO2 * r30))</t>
  </si>
  <si>
    <t>rate_SCO2,ALGAE</t>
  </si>
  <si>
    <t>((v39_SCO2 * r39) + (v40_SCO2 * r40) + (v41_SCO2 * r41) + (v42_SCO2 * r42))</t>
  </si>
  <si>
    <t>rate_SCO2,Hydrolysis</t>
  </si>
  <si>
    <t>rate_SCO2,Precipitation</t>
  </si>
  <si>
    <t>Aeration - pond model</t>
  </si>
  <si>
    <t>rate_DiffAer,ox,transf</t>
  </si>
  <si>
    <t>Diffused aeration oxygen transferred</t>
  </si>
  <si>
    <t>rate_SurfAer,ox,transf</t>
  </si>
  <si>
    <t>Surface aeration oxygen transferred</t>
  </si>
  <si>
    <t>Nitrifier kinetics - pond model</t>
  </si>
  <si>
    <t>Display_µAOB,T</t>
  </si>
  <si>
    <t>d-1</t>
  </si>
  <si>
    <t>Display_XAOB</t>
  </si>
  <si>
    <t>g COD.m-3</t>
  </si>
  <si>
    <t>Display_MsatSNHx,KNHx,AOB</t>
  </si>
  <si>
    <t>Display_LogsatpHCO2,AOB</t>
  </si>
  <si>
    <t>Display_MsatSO2,KO2,AOB</t>
  </si>
  <si>
    <t>Display_MsatSPO4,KPO4,BIO</t>
  </si>
  <si>
    <t>Display_MsatSCAT,KCAT</t>
  </si>
  <si>
    <t>Display_MsatSAN,KAN</t>
  </si>
  <si>
    <t>Display_MsatSCa,KCa</t>
  </si>
  <si>
    <t>Display_MsatSMg,KMg</t>
  </si>
  <si>
    <t>Display_MsatSSO4,KSO4,BIO</t>
  </si>
  <si>
    <t>Display_MinhpHHNO2,AOB</t>
  </si>
  <si>
    <t>Display_MinhpHNH3,NITO</t>
  </si>
  <si>
    <t>Display_BellinhpH,AOB</t>
  </si>
  <si>
    <t>Display_MsatSALK,KALK</t>
  </si>
  <si>
    <t>Nitrifier specific growth rate (temperature corrected)</t>
  </si>
  <si>
    <t>Nitrifier concentration (AOB for two-step or NITO for single-step)</t>
  </si>
  <si>
    <t>Ammonia availability (Monod saturation function)</t>
  </si>
  <si>
    <t>CO2 availability (Log saturation function)</t>
  </si>
  <si>
    <t>Oxygen availability (Monod saturation function)</t>
  </si>
  <si>
    <t>Phosphate availability (Monod saturation function)</t>
  </si>
  <si>
    <t>Cation availability (Monod saturation function)</t>
  </si>
  <si>
    <t>Anion availability (Monod saturation function)</t>
  </si>
  <si>
    <t>Calcium availability (Monod saturation function)</t>
  </si>
  <si>
    <t>Magnesium availability (Monod saturation function)</t>
  </si>
  <si>
    <t>Sulphate availability (Monod saturation function)</t>
  </si>
  <si>
    <t>Nitrous acid inhibition (Monod saturation function)</t>
  </si>
  <si>
    <t>Un-ionized ammonia inhibition (Monod saturation function)</t>
  </si>
  <si>
    <t>pH inhibition function</t>
  </si>
  <si>
    <t>Alkalinity availability (Monod saturation function)</t>
  </si>
  <si>
    <t>Algal kinetics - pond model</t>
  </si>
  <si>
    <t>Display_µALGAE,T</t>
  </si>
  <si>
    <t>Algal specific growth rate (temperature corrected)</t>
  </si>
  <si>
    <t>Display_XALGAE</t>
  </si>
  <si>
    <t>Algal concentration</t>
  </si>
  <si>
    <t>Display_MsatSCO2,KCO2,ALGAE</t>
  </si>
  <si>
    <t>CO2 availability (Monod saturation function)</t>
  </si>
  <si>
    <t>Display_LightSwitch</t>
  </si>
  <si>
    <t>Light availability function</t>
  </si>
  <si>
    <t>Display_MsatSNOx,KNOx,ALGAE</t>
  </si>
  <si>
    <t>Nitrate availability (Monod saturation function)</t>
  </si>
  <si>
    <t>Display_MinhSNHx,KiNHx,ALGAE</t>
  </si>
  <si>
    <t>Ammonia inhibition of nitrate assimilation (Monod saturation function)</t>
  </si>
  <si>
    <t>Display_MsatSNHx,KNHx,ALGAE</t>
  </si>
  <si>
    <t>Heat of reaction</t>
  </si>
  <si>
    <t>Heat of biological reaction</t>
  </si>
  <si>
    <t>MJ.g COD-1</t>
  </si>
  <si>
    <t>DeltaHbio</t>
  </si>
  <si>
    <t>Key(955)</t>
  </si>
  <si>
    <r>
      <t>f(X</t>
    </r>
    <r>
      <rPr>
        <vertAlign val="subscript"/>
        <sz val="11"/>
        <rFont val="Calibri"/>
        <family val="2"/>
      </rPr>
      <t>N,Be</t>
    </r>
    <r>
      <rPr>
        <sz val="11"/>
        <rFont val="Calibri"/>
        <family val="2"/>
      </rPr>
      <t>);f(X</t>
    </r>
    <r>
      <rPr>
        <vertAlign val="subscript"/>
        <sz val="11"/>
        <rFont val="Calibri"/>
        <family val="2"/>
      </rPr>
      <t>P,Be</t>
    </r>
    <r>
      <rPr>
        <sz val="11"/>
        <rFont val="Calibri"/>
        <family val="2"/>
      </rPr>
      <t>)</t>
    </r>
  </si>
  <si>
    <r>
      <t>µ</t>
    </r>
    <r>
      <rPr>
        <vertAlign val="subscript"/>
        <sz val="11"/>
        <rFont val="Calibri"/>
        <family val="2"/>
        <charset val="238"/>
        <scheme val="minor"/>
      </rPr>
      <t>ALGAE,T</t>
    </r>
  </si>
  <si>
    <r>
      <t>X</t>
    </r>
    <r>
      <rPr>
        <vertAlign val="subscript"/>
        <sz val="11"/>
        <rFont val="Calibri"/>
        <family val="2"/>
        <charset val="238"/>
        <scheme val="minor"/>
      </rPr>
      <t>ALGAE</t>
    </r>
  </si>
  <si>
    <r>
      <t>Msat</t>
    </r>
    <r>
      <rPr>
        <vertAlign val="subscript"/>
        <sz val="11"/>
        <rFont val="Calibri"/>
        <family val="2"/>
        <charset val="238"/>
        <scheme val="minor"/>
      </rPr>
      <t>SCO2,KCO2,ALGAE</t>
    </r>
  </si>
  <si>
    <r>
      <t>Msat</t>
    </r>
    <r>
      <rPr>
        <vertAlign val="subscript"/>
        <sz val="11"/>
        <rFont val="Calibri"/>
        <family val="2"/>
        <charset val="238"/>
        <scheme val="minor"/>
      </rPr>
      <t>SNOx,KNOx,ALGAE</t>
    </r>
  </si>
  <si>
    <r>
      <t>Minh</t>
    </r>
    <r>
      <rPr>
        <vertAlign val="subscript"/>
        <sz val="11"/>
        <rFont val="Calibri"/>
        <family val="2"/>
        <charset val="238"/>
        <scheme val="minor"/>
      </rPr>
      <t>SNHx,KiNHx,ALGAE</t>
    </r>
  </si>
  <si>
    <r>
      <t>Msat</t>
    </r>
    <r>
      <rPr>
        <vertAlign val="subscript"/>
        <sz val="11"/>
        <rFont val="Calibri"/>
        <family val="2"/>
        <charset val="238"/>
        <scheme val="minor"/>
      </rPr>
      <t>SNHx,KNHx,ALGAE</t>
    </r>
  </si>
  <si>
    <r>
      <t>Bellinh</t>
    </r>
    <r>
      <rPr>
        <vertAlign val="subscript"/>
        <sz val="11"/>
        <rFont val="Calibri"/>
        <family val="2"/>
        <charset val="238"/>
        <scheme val="minor"/>
      </rPr>
      <t>pH,NITO</t>
    </r>
  </si>
  <si>
    <r>
      <t>MinhpH</t>
    </r>
    <r>
      <rPr>
        <vertAlign val="subscript"/>
        <sz val="11"/>
        <rFont val="Calibri"/>
        <family val="2"/>
        <charset val="238"/>
        <scheme val="minor"/>
      </rPr>
      <t>NH3,NITO</t>
    </r>
  </si>
  <si>
    <r>
      <t>Msat</t>
    </r>
    <r>
      <rPr>
        <vertAlign val="subscript"/>
        <sz val="11"/>
        <rFont val="Calibri"/>
        <family val="2"/>
        <charset val="238"/>
        <scheme val="minor"/>
      </rPr>
      <t>SNHx,KNHx,NITO</t>
    </r>
  </si>
  <si>
    <r>
      <t>LogsatpH</t>
    </r>
    <r>
      <rPr>
        <vertAlign val="subscript"/>
        <sz val="11"/>
        <rFont val="Calibri"/>
        <family val="2"/>
        <charset val="238"/>
        <scheme val="minor"/>
      </rPr>
      <t>CO2,NITO</t>
    </r>
  </si>
  <si>
    <r>
      <t>Msat</t>
    </r>
    <r>
      <rPr>
        <vertAlign val="subscript"/>
        <sz val="11"/>
        <rFont val="Calibri"/>
        <family val="2"/>
        <charset val="238"/>
        <scheme val="minor"/>
      </rPr>
      <t>SO2,KO2,NITO</t>
    </r>
  </si>
  <si>
    <r>
      <t>Msat</t>
    </r>
    <r>
      <rPr>
        <vertAlign val="subscript"/>
        <sz val="11"/>
        <rFont val="Calibri"/>
        <family val="2"/>
        <charset val="238"/>
        <scheme val="minor"/>
      </rPr>
      <t>SPO4,KPO4,BIO</t>
    </r>
  </si>
  <si>
    <r>
      <t>Msat</t>
    </r>
    <r>
      <rPr>
        <vertAlign val="subscript"/>
        <sz val="11"/>
        <rFont val="Calibri"/>
        <family val="2"/>
        <charset val="238"/>
        <scheme val="minor"/>
      </rPr>
      <t>SCAT,KCAT</t>
    </r>
  </si>
  <si>
    <r>
      <t>Msat</t>
    </r>
    <r>
      <rPr>
        <vertAlign val="subscript"/>
        <sz val="11"/>
        <rFont val="Calibri"/>
        <family val="2"/>
        <charset val="238"/>
        <scheme val="minor"/>
      </rPr>
      <t>SAN,KAN</t>
    </r>
  </si>
  <si>
    <r>
      <t>Msat</t>
    </r>
    <r>
      <rPr>
        <vertAlign val="subscript"/>
        <sz val="11"/>
        <rFont val="Calibri"/>
        <family val="2"/>
        <charset val="238"/>
        <scheme val="minor"/>
      </rPr>
      <t>SCa,KCa</t>
    </r>
  </si>
  <si>
    <r>
      <t>Msat</t>
    </r>
    <r>
      <rPr>
        <vertAlign val="subscript"/>
        <sz val="11"/>
        <rFont val="Calibri"/>
        <family val="2"/>
        <charset val="238"/>
        <scheme val="minor"/>
      </rPr>
      <t>SMg,KMg</t>
    </r>
  </si>
  <si>
    <r>
      <t>X</t>
    </r>
    <r>
      <rPr>
        <vertAlign val="subscript"/>
        <sz val="11"/>
        <rFont val="Calibri"/>
        <family val="2"/>
        <charset val="238"/>
        <scheme val="minor"/>
      </rPr>
      <t>NITO</t>
    </r>
  </si>
  <si>
    <r>
      <t>µ</t>
    </r>
    <r>
      <rPr>
        <vertAlign val="subscript"/>
        <sz val="11"/>
        <rFont val="Calibri"/>
        <family val="2"/>
        <charset val="238"/>
        <scheme val="minor"/>
      </rPr>
      <t>NITO,T</t>
    </r>
  </si>
  <si>
    <t>SOTRaerator</t>
  </si>
  <si>
    <t>Standard oxygen transfer rate by aerator</t>
  </si>
  <si>
    <r>
      <t>g.d</t>
    </r>
    <r>
      <rPr>
        <vertAlign val="superscript"/>
        <sz val="11"/>
        <rFont val="Calibri"/>
        <family val="2"/>
      </rPr>
      <t>-1</t>
    </r>
  </si>
  <si>
    <t>SOTRsur</t>
  </si>
  <si>
    <t>Standard oxygen transfer rate via water surface</t>
  </si>
  <si>
    <t>SOTRsur,min</t>
  </si>
  <si>
    <t>Minimum standard oxygen transfer rate via water surface (if non-aerated)</t>
  </si>
  <si>
    <t>Intracellular water of biomass in volatile solids</t>
  </si>
  <si>
    <r>
      <t>i</t>
    </r>
    <r>
      <rPr>
        <vertAlign val="subscript"/>
        <sz val="11"/>
        <rFont val="Calibri"/>
        <family val="2"/>
        <scheme val="minor"/>
      </rPr>
      <t>vw,XBe</t>
    </r>
  </si>
  <si>
    <t>Vicinal water of slowly biodegradable substrate from biomass decay in volatile solids</t>
  </si>
  <si>
    <r>
      <t>i</t>
    </r>
    <r>
      <rPr>
        <vertAlign val="subscript"/>
        <sz val="11"/>
        <rFont val="Calibri"/>
        <family val="2"/>
        <scheme val="minor"/>
      </rPr>
      <t>wh,XBe</t>
    </r>
  </si>
  <si>
    <t>Water of hydration of slowly biodegradable substrate from biomass decay in volatile solids</t>
  </si>
  <si>
    <t>Yield of PAOs on PHA under aerobic conditions</t>
  </si>
  <si>
    <r>
      <t>f(X</t>
    </r>
    <r>
      <rPr>
        <vertAlign val="subscript"/>
        <sz val="11"/>
        <rFont val="Calibri"/>
        <family val="2"/>
      </rPr>
      <t>B,e</t>
    </r>
    <r>
      <rPr>
        <sz val="11"/>
        <rFont val="Calibri"/>
        <family val="2"/>
      </rPr>
      <t>)</t>
    </r>
  </si>
  <si>
    <r>
      <t>X</t>
    </r>
    <r>
      <rPr>
        <vertAlign val="subscript"/>
        <sz val="11"/>
        <rFont val="Calibri"/>
        <family val="2"/>
        <scheme val="minor"/>
      </rPr>
      <t>PHA,CASTO</t>
    </r>
  </si>
  <si>
    <t>Stored carbon in CASTOs</t>
  </si>
  <si>
    <r>
      <t>f(X</t>
    </r>
    <r>
      <rPr>
        <vertAlign val="subscript"/>
        <sz val="11"/>
        <rFont val="Calibri"/>
        <family val="2"/>
      </rPr>
      <t>INORG</t>
    </r>
    <r>
      <rPr>
        <sz val="11"/>
        <rFont val="Calibri"/>
        <family val="2"/>
      </rPr>
      <t>);f(X</t>
    </r>
    <r>
      <rPr>
        <vertAlign val="subscript"/>
        <sz val="11"/>
        <rFont val="Calibri"/>
        <family val="2"/>
      </rPr>
      <t>PP</t>
    </r>
    <r>
      <rPr>
        <sz val="11"/>
        <rFont val="Calibri"/>
        <family val="2"/>
      </rPr>
      <t>);f(X</t>
    </r>
    <r>
      <rPr>
        <vertAlign val="subscript"/>
        <sz val="11"/>
        <rFont val="Calibri"/>
        <family val="2"/>
      </rPr>
      <t>PHA,PAO</t>
    </r>
    <r>
      <rPr>
        <sz val="11"/>
        <rFont val="Calibri"/>
        <family val="2"/>
      </rPr>
      <t>);f(X</t>
    </r>
    <r>
      <rPr>
        <vertAlign val="subscript"/>
        <sz val="11"/>
        <rFont val="Calibri"/>
        <family val="2"/>
        <charset val="238"/>
      </rPr>
      <t>PHA,GAO</t>
    </r>
    <r>
      <rPr>
        <sz val="11"/>
        <rFont val="Calibri"/>
        <family val="2"/>
      </rPr>
      <t>)</t>
    </r>
  </si>
  <si>
    <r>
      <t>i</t>
    </r>
    <r>
      <rPr>
        <vertAlign val="subscript"/>
        <sz val="11"/>
        <rFont val="Calibri"/>
        <family val="2"/>
        <scheme val="minor"/>
      </rPr>
      <t>CIT,XBe</t>
    </r>
  </si>
  <si>
    <r>
      <t>Inorganic carbon content of X</t>
    </r>
    <r>
      <rPr>
        <vertAlign val="subscript"/>
        <sz val="11"/>
        <color rgb="FF000000"/>
        <rFont val="Calibri"/>
        <family val="2"/>
        <scheme val="minor"/>
      </rPr>
      <t>B,e</t>
    </r>
  </si>
  <si>
    <r>
      <t>i</t>
    </r>
    <r>
      <rPr>
        <vertAlign val="subscript"/>
        <sz val="11"/>
        <rFont val="Calibri"/>
        <family val="2"/>
      </rPr>
      <t>CIT,XBe</t>
    </r>
    <r>
      <rPr>
        <sz val="11"/>
        <rFont val="Calibri"/>
        <family val="2"/>
      </rPr>
      <t>-i</t>
    </r>
    <r>
      <rPr>
        <vertAlign val="subscript"/>
        <sz val="11"/>
        <rFont val="Calibri"/>
        <family val="2"/>
      </rPr>
      <t>CIT,SB</t>
    </r>
  </si>
  <si>
    <r>
      <t>(1-f</t>
    </r>
    <r>
      <rPr>
        <vertAlign val="subscript"/>
        <sz val="11"/>
        <rFont val="Calibri"/>
        <family val="2"/>
        <charset val="238"/>
      </rPr>
      <t>E</t>
    </r>
    <r>
      <rPr>
        <sz val="11"/>
        <rFont val="Calibri"/>
        <family val="2"/>
      </rPr>
      <t>)*(i</t>
    </r>
    <r>
      <rPr>
        <vertAlign val="subscript"/>
        <sz val="11"/>
        <rFont val="Calibri"/>
        <family val="2"/>
        <charset val="238"/>
      </rPr>
      <t>CIT,BIO</t>
    </r>
    <r>
      <rPr>
        <sz val="11"/>
        <rFont val="Calibri"/>
        <family val="2"/>
      </rPr>
      <t>-i</t>
    </r>
    <r>
      <rPr>
        <vertAlign val="subscript"/>
        <sz val="11"/>
        <rFont val="Calibri"/>
        <family val="2"/>
        <charset val="238"/>
      </rPr>
      <t>CIT,XBe</t>
    </r>
    <r>
      <rPr>
        <sz val="11"/>
        <rFont val="Calibri"/>
        <family val="2"/>
      </rPr>
      <t>)</t>
    </r>
  </si>
  <si>
    <r>
      <t>(1-f</t>
    </r>
    <r>
      <rPr>
        <vertAlign val="subscript"/>
        <sz val="11"/>
        <rFont val="Calibri"/>
        <family val="2"/>
        <charset val="238"/>
      </rPr>
      <t>E</t>
    </r>
    <r>
      <rPr>
        <sz val="11"/>
        <rFont val="Calibri"/>
        <family val="2"/>
      </rPr>
      <t>)*(i</t>
    </r>
    <r>
      <rPr>
        <vertAlign val="subscript"/>
        <sz val="11"/>
        <rFont val="Calibri"/>
        <family val="2"/>
        <charset val="238"/>
      </rPr>
      <t>CIT,BIO</t>
    </r>
    <r>
      <rPr>
        <sz val="11"/>
        <rFont val="Calibri"/>
        <family val="2"/>
      </rPr>
      <t>-i</t>
    </r>
    <r>
      <rPr>
        <vertAlign val="subscript"/>
        <sz val="11"/>
        <rFont val="Calibri"/>
        <family val="2"/>
        <charset val="238"/>
      </rPr>
      <t>CIT,XBe</t>
    </r>
    <r>
      <rPr>
        <sz val="11"/>
        <rFont val="Calibri"/>
        <family val="2"/>
      </rPr>
      <t>)+(i</t>
    </r>
    <r>
      <rPr>
        <vertAlign val="subscript"/>
        <sz val="11"/>
        <rFont val="Calibri"/>
        <family val="2"/>
      </rPr>
      <t>CIT,STC</t>
    </r>
    <r>
      <rPr>
        <sz val="11"/>
        <rFont val="Calibri"/>
        <family val="2"/>
      </rPr>
      <t>-i</t>
    </r>
    <r>
      <rPr>
        <vertAlign val="subscript"/>
        <sz val="11"/>
        <rFont val="Calibri"/>
        <family val="2"/>
      </rPr>
      <t>CIT,VFA</t>
    </r>
    <r>
      <rPr>
        <sz val="11"/>
        <rFont val="Calibri"/>
        <family val="2"/>
      </rPr>
      <t>)*X</t>
    </r>
    <r>
      <rPr>
        <vertAlign val="subscript"/>
        <sz val="11"/>
        <rFont val="Calibri"/>
        <family val="2"/>
      </rPr>
      <t>STC</t>
    </r>
    <r>
      <rPr>
        <sz val="11"/>
        <rFont val="Calibri"/>
        <family val="2"/>
      </rPr>
      <t>/X</t>
    </r>
    <r>
      <rPr>
        <vertAlign val="subscript"/>
        <sz val="11"/>
        <rFont val="Calibri"/>
        <family val="2"/>
      </rPr>
      <t>CASTO</t>
    </r>
  </si>
  <si>
    <r>
      <t>i</t>
    </r>
    <r>
      <rPr>
        <vertAlign val="subscript"/>
        <sz val="11"/>
        <rFont val="Calibri"/>
        <family val="2"/>
        <charset val="238"/>
        <scheme val="minor"/>
      </rPr>
      <t>CIT,XBe</t>
    </r>
  </si>
  <si>
    <r>
      <t>i</t>
    </r>
    <r>
      <rPr>
        <vertAlign val="subscript"/>
        <sz val="11"/>
        <rFont val="Calibri"/>
        <family val="2"/>
      </rPr>
      <t>CIT,ALGAE</t>
    </r>
    <r>
      <rPr>
        <sz val="11"/>
        <rFont val="Calibri"/>
        <family val="2"/>
      </rPr>
      <t>-(1-f</t>
    </r>
    <r>
      <rPr>
        <vertAlign val="subscript"/>
        <sz val="11"/>
        <rFont val="Calibri"/>
        <family val="2"/>
      </rPr>
      <t>E</t>
    </r>
    <r>
      <rPr>
        <sz val="11"/>
        <rFont val="Calibri"/>
        <family val="2"/>
      </rPr>
      <t>)*i</t>
    </r>
    <r>
      <rPr>
        <vertAlign val="subscript"/>
        <sz val="11"/>
        <rFont val="Calibri"/>
        <family val="2"/>
      </rPr>
      <t>CIT,XBe</t>
    </r>
    <r>
      <rPr>
        <sz val="11"/>
        <rFont val="Calibri"/>
        <family val="2"/>
      </rPr>
      <t>-f</t>
    </r>
    <r>
      <rPr>
        <vertAlign val="subscript"/>
        <sz val="11"/>
        <rFont val="Calibri"/>
        <family val="2"/>
      </rPr>
      <t>E</t>
    </r>
    <r>
      <rPr>
        <sz val="11"/>
        <rFont val="Calibri"/>
        <family val="2"/>
      </rPr>
      <t>*i</t>
    </r>
    <r>
      <rPr>
        <vertAlign val="subscript"/>
        <sz val="11"/>
        <rFont val="Calibri"/>
        <family val="2"/>
      </rPr>
      <t>CIT,BIO</t>
    </r>
  </si>
  <si>
    <r>
      <t>X</t>
    </r>
    <r>
      <rPr>
        <vertAlign val="subscript"/>
        <sz val="11"/>
        <rFont val="Calibri"/>
        <family val="2"/>
        <scheme val="minor"/>
      </rPr>
      <t>VSS,BIO</t>
    </r>
    <r>
      <rPr>
        <sz val="11"/>
        <rFont val="Calibri"/>
        <family val="2"/>
        <scheme val="minor"/>
      </rPr>
      <t xml:space="preserve"> + X</t>
    </r>
    <r>
      <rPr>
        <vertAlign val="subscript"/>
        <sz val="11"/>
        <rFont val="Calibri"/>
        <family val="2"/>
        <scheme val="minor"/>
      </rPr>
      <t>B</t>
    </r>
    <r>
      <rPr>
        <sz val="11"/>
        <rFont val="Calibri"/>
        <family val="2"/>
        <scheme val="minor"/>
      </rPr>
      <t>/i</t>
    </r>
    <r>
      <rPr>
        <vertAlign val="subscript"/>
        <sz val="11"/>
        <rFont val="Calibri"/>
        <family val="2"/>
        <scheme val="minor"/>
      </rPr>
      <t>CV,XB</t>
    </r>
    <r>
      <rPr>
        <sz val="11"/>
        <rFont val="Calibri"/>
        <family val="2"/>
        <scheme val="minor"/>
      </rPr>
      <t xml:space="preserve"> + X</t>
    </r>
    <r>
      <rPr>
        <vertAlign val="subscript"/>
        <sz val="11"/>
        <rFont val="Calibri"/>
        <family val="2"/>
        <scheme val="minor"/>
      </rPr>
      <t>B,e</t>
    </r>
    <r>
      <rPr>
        <sz val="11"/>
        <rFont val="Calibri"/>
        <family val="2"/>
        <scheme val="minor"/>
      </rPr>
      <t>/i</t>
    </r>
    <r>
      <rPr>
        <vertAlign val="subscript"/>
        <sz val="11"/>
        <rFont val="Calibri"/>
        <family val="2"/>
        <scheme val="minor"/>
      </rPr>
      <t>CV,XBe</t>
    </r>
    <r>
      <rPr>
        <sz val="11"/>
        <rFont val="Calibri"/>
        <family val="2"/>
        <scheme val="minor"/>
      </rPr>
      <t>+ X</t>
    </r>
    <r>
      <rPr>
        <vertAlign val="subscript"/>
        <sz val="11"/>
        <rFont val="Calibri"/>
        <family val="2"/>
        <scheme val="minor"/>
      </rPr>
      <t>U</t>
    </r>
    <r>
      <rPr>
        <sz val="11"/>
        <rFont val="Calibri"/>
        <family val="2"/>
        <scheme val="minor"/>
      </rPr>
      <t>/i</t>
    </r>
    <r>
      <rPr>
        <vertAlign val="subscript"/>
        <sz val="11"/>
        <rFont val="Calibri"/>
        <family val="2"/>
        <scheme val="minor"/>
      </rPr>
      <t>CV,XU</t>
    </r>
    <r>
      <rPr>
        <sz val="11"/>
        <rFont val="Calibri"/>
        <family val="2"/>
        <scheme val="minor"/>
      </rPr>
      <t xml:space="preserve"> + X</t>
    </r>
    <r>
      <rPr>
        <vertAlign val="subscript"/>
        <sz val="11"/>
        <rFont val="Calibri"/>
        <family val="2"/>
        <scheme val="minor"/>
      </rPr>
      <t>PHA,PAO</t>
    </r>
    <r>
      <rPr>
        <sz val="11"/>
        <rFont val="Calibri"/>
        <family val="2"/>
        <scheme val="minor"/>
      </rPr>
      <t>/</t>
    </r>
    <r>
      <rPr>
        <sz val="11"/>
        <rFont val="Calibri"/>
        <family val="2"/>
        <charset val="238"/>
        <scheme val="minor"/>
      </rPr>
      <t>i</t>
    </r>
    <r>
      <rPr>
        <vertAlign val="subscript"/>
        <sz val="11"/>
        <rFont val="Calibri"/>
        <family val="2"/>
        <charset val="238"/>
        <scheme val="minor"/>
      </rPr>
      <t>CV,PHA</t>
    </r>
    <r>
      <rPr>
        <sz val="11"/>
        <rFont val="Calibri"/>
        <family val="2"/>
        <scheme val="minor"/>
      </rPr>
      <t xml:space="preserve"> + X</t>
    </r>
    <r>
      <rPr>
        <vertAlign val="subscript"/>
        <sz val="11"/>
        <rFont val="Calibri"/>
        <family val="2"/>
        <scheme val="minor"/>
      </rPr>
      <t>PHA,GAO</t>
    </r>
    <r>
      <rPr>
        <sz val="11"/>
        <rFont val="Calibri"/>
        <family val="2"/>
        <scheme val="minor"/>
      </rPr>
      <t>/</t>
    </r>
    <r>
      <rPr>
        <sz val="11"/>
        <rFont val="Calibri"/>
        <family val="2"/>
        <charset val="238"/>
        <scheme val="minor"/>
      </rPr>
      <t>i</t>
    </r>
    <r>
      <rPr>
        <vertAlign val="subscript"/>
        <sz val="11"/>
        <rFont val="Calibri"/>
        <family val="2"/>
        <charset val="238"/>
        <scheme val="minor"/>
      </rPr>
      <t>CV,PHA</t>
    </r>
    <r>
      <rPr>
        <sz val="11"/>
        <rFont val="Calibri"/>
        <family val="2"/>
        <scheme val="minor"/>
      </rPr>
      <t xml:space="preserve"> + X</t>
    </r>
    <r>
      <rPr>
        <vertAlign val="subscript"/>
        <sz val="11"/>
        <rFont val="Calibri"/>
        <family val="2"/>
        <scheme val="minor"/>
      </rPr>
      <t>E,ana</t>
    </r>
    <r>
      <rPr>
        <sz val="11"/>
        <rFont val="Calibri"/>
        <family val="2"/>
        <scheme val="minor"/>
      </rPr>
      <t>/i</t>
    </r>
    <r>
      <rPr>
        <vertAlign val="subscript"/>
        <sz val="11"/>
        <rFont val="Calibri"/>
        <family val="2"/>
        <scheme val="minor"/>
      </rPr>
      <t>CV,XE</t>
    </r>
    <r>
      <rPr>
        <sz val="11"/>
        <rFont val="Calibri"/>
        <family val="2"/>
        <scheme val="minor"/>
      </rPr>
      <t xml:space="preserve"> + X</t>
    </r>
    <r>
      <rPr>
        <vertAlign val="subscript"/>
        <sz val="11"/>
        <rFont val="Calibri"/>
        <family val="2"/>
        <scheme val="minor"/>
      </rPr>
      <t>E</t>
    </r>
    <r>
      <rPr>
        <sz val="11"/>
        <rFont val="Calibri"/>
        <family val="2"/>
        <scheme val="minor"/>
      </rPr>
      <t>/i</t>
    </r>
    <r>
      <rPr>
        <vertAlign val="subscript"/>
        <sz val="11"/>
        <rFont val="Calibri"/>
        <family val="2"/>
        <scheme val="minor"/>
      </rPr>
      <t>CV,XE</t>
    </r>
    <r>
      <rPr>
        <sz val="11"/>
        <rFont val="Calibri"/>
        <family val="2"/>
        <scheme val="minor"/>
      </rPr>
      <t xml:space="preserve"> + f</t>
    </r>
    <r>
      <rPr>
        <vertAlign val="subscript"/>
        <sz val="11"/>
        <rFont val="Calibri"/>
        <family val="2"/>
        <scheme val="minor"/>
      </rPr>
      <t>H2O,HFO,VSS</t>
    </r>
    <r>
      <rPr>
        <sz val="11"/>
        <rFont val="Calibri"/>
        <family val="2"/>
        <scheme val="minor"/>
      </rPr>
      <t xml:space="preserve"> * X</t>
    </r>
    <r>
      <rPr>
        <vertAlign val="subscript"/>
        <sz val="11"/>
        <rFont val="Calibri"/>
        <family val="2"/>
        <scheme val="minor"/>
      </rPr>
      <t>HFO</t>
    </r>
    <r>
      <rPr>
        <sz val="11"/>
        <rFont val="Calibri"/>
        <family val="2"/>
        <scheme val="minor"/>
      </rPr>
      <t xml:space="preserve"> * MM</t>
    </r>
    <r>
      <rPr>
        <vertAlign val="subscript"/>
        <sz val="11"/>
        <rFont val="Calibri"/>
        <family val="2"/>
        <scheme val="minor"/>
      </rPr>
      <t>FeOH3</t>
    </r>
    <r>
      <rPr>
        <sz val="11"/>
        <rFont val="Calibri"/>
        <family val="2"/>
        <scheme val="minor"/>
      </rPr>
      <t>/AM</t>
    </r>
    <r>
      <rPr>
        <vertAlign val="subscript"/>
        <sz val="11"/>
        <rFont val="Calibri"/>
        <family val="2"/>
        <scheme val="minor"/>
      </rPr>
      <t>Fe</t>
    </r>
    <r>
      <rPr>
        <sz val="11"/>
        <rFont val="Calibri"/>
        <family val="2"/>
        <scheme val="minor"/>
      </rPr>
      <t xml:space="preserve"> + f</t>
    </r>
    <r>
      <rPr>
        <vertAlign val="subscript"/>
        <sz val="11"/>
        <rFont val="Calibri"/>
        <family val="2"/>
        <scheme val="minor"/>
      </rPr>
      <t>H2O,HAO,VSS</t>
    </r>
    <r>
      <rPr>
        <sz val="11"/>
        <rFont val="Calibri"/>
        <family val="2"/>
        <scheme val="minor"/>
      </rPr>
      <t xml:space="preserve"> * X</t>
    </r>
    <r>
      <rPr>
        <vertAlign val="subscript"/>
        <sz val="11"/>
        <rFont val="Calibri"/>
        <family val="2"/>
        <scheme val="minor"/>
      </rPr>
      <t>HAO</t>
    </r>
    <r>
      <rPr>
        <sz val="11"/>
        <rFont val="Calibri"/>
        <family val="2"/>
        <scheme val="minor"/>
      </rPr>
      <t xml:space="preserve"> * MM</t>
    </r>
    <r>
      <rPr>
        <vertAlign val="subscript"/>
        <sz val="11"/>
        <rFont val="Calibri"/>
        <family val="2"/>
        <scheme val="minor"/>
      </rPr>
      <t>AlOH3</t>
    </r>
    <r>
      <rPr>
        <sz val="11"/>
        <rFont val="Calibri"/>
        <family val="2"/>
        <scheme val="minor"/>
      </rPr>
      <t>/AM</t>
    </r>
    <r>
      <rPr>
        <vertAlign val="subscript"/>
        <sz val="11"/>
        <rFont val="Calibri"/>
        <family val="2"/>
        <scheme val="minor"/>
      </rPr>
      <t>Al</t>
    </r>
  </si>
  <si>
    <r>
      <t>(i</t>
    </r>
    <r>
      <rPr>
        <vertAlign val="subscript"/>
        <sz val="11"/>
        <rFont val="Calibri"/>
        <family val="2"/>
        <charset val="238"/>
        <scheme val="minor"/>
      </rPr>
      <t>CIT,PHA</t>
    </r>
    <r>
      <rPr>
        <sz val="11"/>
        <rFont val="Calibri"/>
        <family val="2"/>
        <scheme val="minor"/>
      </rPr>
      <t xml:space="preserve"> * X</t>
    </r>
    <r>
      <rPr>
        <vertAlign val="subscript"/>
        <sz val="11"/>
        <rFont val="Calibri"/>
        <family val="2"/>
        <scheme val="minor"/>
      </rPr>
      <t>PHA,PAO</t>
    </r>
    <r>
      <rPr>
        <sz val="11"/>
        <rFont val="Calibri"/>
        <family val="2"/>
        <scheme val="minor"/>
      </rPr>
      <t xml:space="preserve"> +</t>
    </r>
    <r>
      <rPr>
        <sz val="11"/>
        <rFont val="Calibri"/>
        <family val="2"/>
        <charset val="238"/>
        <scheme val="minor"/>
      </rPr>
      <t xml:space="preserve"> i</t>
    </r>
    <r>
      <rPr>
        <vertAlign val="subscript"/>
        <sz val="11"/>
        <rFont val="Calibri"/>
        <family val="2"/>
        <charset val="238"/>
        <scheme val="minor"/>
      </rPr>
      <t>CIT,PHA</t>
    </r>
    <r>
      <rPr>
        <sz val="11"/>
        <rFont val="Calibri"/>
        <family val="2"/>
        <charset val="238"/>
        <scheme val="minor"/>
      </rPr>
      <t xml:space="preserve"> *</t>
    </r>
    <r>
      <rPr>
        <sz val="11"/>
        <rFont val="Calibri"/>
        <family val="2"/>
        <scheme val="minor"/>
      </rPr>
      <t xml:space="preserve"> X</t>
    </r>
    <r>
      <rPr>
        <vertAlign val="subscript"/>
        <sz val="11"/>
        <rFont val="Calibri"/>
        <family val="2"/>
        <scheme val="minor"/>
      </rPr>
      <t>PHA,GAO</t>
    </r>
    <r>
      <rPr>
        <sz val="11"/>
        <rFont val="Calibri"/>
        <family val="2"/>
        <scheme val="minor"/>
      </rPr>
      <t xml:space="preserve"> ) / X</t>
    </r>
    <r>
      <rPr>
        <vertAlign val="subscript"/>
        <sz val="11"/>
        <rFont val="Calibri"/>
        <family val="2"/>
        <scheme val="minor"/>
      </rPr>
      <t>STC</t>
    </r>
  </si>
  <si>
    <t>Rate of hydrolysis of slowly biodegradable substrate</t>
  </si>
  <si>
    <t>Rate of hydrolysis of slowly biodegradable substrate from biomass decay</t>
  </si>
  <si>
    <t>Half-saturation of unbiodegradable colloids in low biomass condition flocculation</t>
  </si>
  <si>
    <t>Half-saturation of unbiodegradable colloids flocculation with HFO</t>
  </si>
  <si>
    <t>Half-saturation of unbiodegradable colloids flocculation with HAO</t>
  </si>
  <si>
    <t>Half-saturation of slowly biodegradable substrate from biomass decay in low biomass condition hydrolysis</t>
  </si>
  <si>
    <r>
      <t>(X</t>
    </r>
    <r>
      <rPr>
        <vertAlign val="subscript"/>
        <sz val="11"/>
        <rFont val="Calibri"/>
        <family val="2"/>
        <charset val="238"/>
        <scheme val="minor"/>
      </rPr>
      <t>VSS,BIO</t>
    </r>
    <r>
      <rPr>
        <sz val="11"/>
        <rFont val="Calibri"/>
        <family val="2"/>
        <charset val="238"/>
        <scheme val="minor"/>
      </rPr>
      <t>*(i</t>
    </r>
    <r>
      <rPr>
        <vertAlign val="subscript"/>
        <sz val="11"/>
        <rFont val="Calibri"/>
        <family val="2"/>
        <charset val="238"/>
        <scheme val="minor"/>
      </rPr>
      <t>vw,BIO</t>
    </r>
    <r>
      <rPr>
        <sz val="11"/>
        <rFont val="Calibri"/>
        <family val="2"/>
        <charset val="238"/>
        <scheme val="minor"/>
      </rPr>
      <t>+i</t>
    </r>
    <r>
      <rPr>
        <vertAlign val="subscript"/>
        <sz val="11"/>
        <rFont val="Calibri"/>
        <family val="2"/>
        <charset val="238"/>
        <scheme val="minor"/>
      </rPr>
      <t>iw,BIO</t>
    </r>
    <r>
      <rPr>
        <sz val="11"/>
        <rFont val="Calibri"/>
        <family val="2"/>
        <charset val="238"/>
        <scheme val="minor"/>
      </rPr>
      <t>+i</t>
    </r>
    <r>
      <rPr>
        <vertAlign val="subscript"/>
        <sz val="11"/>
        <rFont val="Calibri"/>
        <family val="2"/>
        <charset val="238"/>
        <scheme val="minor"/>
      </rPr>
      <t>wh,BIO</t>
    </r>
    <r>
      <rPr>
        <sz val="11"/>
        <rFont val="Calibri"/>
        <family val="2"/>
        <charset val="238"/>
        <scheme val="minor"/>
      </rPr>
      <t>)</t>
    </r>
    <r>
      <rPr>
        <vertAlign val="subscript"/>
        <sz val="11"/>
        <rFont val="Calibri"/>
        <family val="2"/>
        <charset val="238"/>
        <scheme val="minor"/>
      </rPr>
      <t xml:space="preserve"> </t>
    </r>
    <r>
      <rPr>
        <sz val="11"/>
        <rFont val="Calibri"/>
        <family val="2"/>
        <charset val="238"/>
        <scheme val="minor"/>
      </rPr>
      <t>+ X</t>
    </r>
    <r>
      <rPr>
        <vertAlign val="subscript"/>
        <sz val="11"/>
        <rFont val="Calibri"/>
        <family val="2"/>
        <charset val="238"/>
        <scheme val="minor"/>
      </rPr>
      <t>VSS,BIO</t>
    </r>
    <r>
      <rPr>
        <sz val="11"/>
        <rFont val="Calibri"/>
        <family val="2"/>
        <charset val="238"/>
        <scheme val="minor"/>
      </rPr>
      <t xml:space="preserve"> * (i</t>
    </r>
    <r>
      <rPr>
        <vertAlign val="subscript"/>
        <sz val="11"/>
        <rFont val="Calibri"/>
        <family val="2"/>
        <charset val="238"/>
        <scheme val="minor"/>
      </rPr>
      <t>vw,EPS</t>
    </r>
    <r>
      <rPr>
        <sz val="11"/>
        <rFont val="Calibri"/>
        <family val="2"/>
        <charset val="238"/>
        <scheme val="minor"/>
      </rPr>
      <t xml:space="preserve"> + i</t>
    </r>
    <r>
      <rPr>
        <vertAlign val="subscript"/>
        <sz val="11"/>
        <rFont val="Calibri"/>
        <family val="2"/>
        <charset val="238"/>
        <scheme val="minor"/>
      </rPr>
      <t>wh,EPS</t>
    </r>
    <r>
      <rPr>
        <sz val="11"/>
        <rFont val="Calibri"/>
        <family val="2"/>
        <charset val="238"/>
        <scheme val="minor"/>
      </rPr>
      <t>) + X</t>
    </r>
    <r>
      <rPr>
        <vertAlign val="subscript"/>
        <sz val="11"/>
        <rFont val="Calibri"/>
        <family val="2"/>
        <charset val="238"/>
        <scheme val="minor"/>
      </rPr>
      <t>E</t>
    </r>
    <r>
      <rPr>
        <sz val="11"/>
        <rFont val="Calibri"/>
        <family val="2"/>
        <charset val="238"/>
        <scheme val="minor"/>
      </rPr>
      <t>/i</t>
    </r>
    <r>
      <rPr>
        <vertAlign val="subscript"/>
        <sz val="11"/>
        <rFont val="Calibri"/>
        <family val="2"/>
        <charset val="238"/>
        <scheme val="minor"/>
      </rPr>
      <t>CV,XE</t>
    </r>
    <r>
      <rPr>
        <sz val="11"/>
        <rFont val="Calibri"/>
        <family val="2"/>
        <charset val="238"/>
        <scheme val="minor"/>
      </rPr>
      <t xml:space="preserve"> * (i</t>
    </r>
    <r>
      <rPr>
        <vertAlign val="subscript"/>
        <sz val="11"/>
        <rFont val="Calibri"/>
        <family val="2"/>
        <charset val="238"/>
        <scheme val="minor"/>
      </rPr>
      <t>vw,XE</t>
    </r>
    <r>
      <rPr>
        <sz val="11"/>
        <rFont val="Calibri"/>
        <family val="2"/>
        <charset val="238"/>
        <scheme val="minor"/>
      </rPr>
      <t>+i</t>
    </r>
    <r>
      <rPr>
        <vertAlign val="subscript"/>
        <sz val="11"/>
        <rFont val="Calibri"/>
        <family val="2"/>
        <charset val="238"/>
        <scheme val="minor"/>
      </rPr>
      <t>wh,XE</t>
    </r>
    <r>
      <rPr>
        <sz val="11"/>
        <rFont val="Calibri"/>
        <family val="2"/>
        <charset val="238"/>
        <scheme val="minor"/>
      </rPr>
      <t>) + X</t>
    </r>
    <r>
      <rPr>
        <vertAlign val="subscript"/>
        <sz val="11"/>
        <rFont val="Calibri"/>
        <family val="2"/>
        <charset val="238"/>
        <scheme val="minor"/>
      </rPr>
      <t>E</t>
    </r>
    <r>
      <rPr>
        <sz val="11"/>
        <rFont val="Calibri"/>
        <family val="2"/>
        <charset val="238"/>
        <scheme val="minor"/>
      </rPr>
      <t>/i</t>
    </r>
    <r>
      <rPr>
        <vertAlign val="subscript"/>
        <sz val="11"/>
        <rFont val="Calibri"/>
        <family val="2"/>
        <charset val="238"/>
        <scheme val="minor"/>
      </rPr>
      <t>CV,XE</t>
    </r>
    <r>
      <rPr>
        <sz val="11"/>
        <rFont val="Calibri"/>
        <family val="2"/>
        <charset val="238"/>
        <scheme val="minor"/>
      </rPr>
      <t xml:space="preserve"> * (i</t>
    </r>
    <r>
      <rPr>
        <vertAlign val="subscript"/>
        <sz val="11"/>
        <rFont val="Calibri"/>
        <family val="2"/>
        <charset val="238"/>
        <scheme val="minor"/>
      </rPr>
      <t>vw,EPS</t>
    </r>
    <r>
      <rPr>
        <sz val="11"/>
        <rFont val="Calibri"/>
        <family val="2"/>
        <charset val="238"/>
        <scheme val="minor"/>
      </rPr>
      <t xml:space="preserve"> + i</t>
    </r>
    <r>
      <rPr>
        <vertAlign val="subscript"/>
        <sz val="11"/>
        <rFont val="Calibri"/>
        <family val="2"/>
        <charset val="238"/>
        <scheme val="minor"/>
      </rPr>
      <t>wh,EPS</t>
    </r>
    <r>
      <rPr>
        <sz val="11"/>
        <rFont val="Calibri"/>
        <family val="2"/>
        <charset val="238"/>
        <scheme val="minor"/>
      </rPr>
      <t>) + X</t>
    </r>
    <r>
      <rPr>
        <vertAlign val="subscript"/>
        <sz val="11"/>
        <rFont val="Calibri"/>
        <family val="2"/>
        <charset val="238"/>
        <scheme val="minor"/>
      </rPr>
      <t>B</t>
    </r>
    <r>
      <rPr>
        <sz val="11"/>
        <rFont val="Calibri"/>
        <family val="2"/>
        <charset val="238"/>
        <scheme val="minor"/>
      </rPr>
      <t>/i</t>
    </r>
    <r>
      <rPr>
        <vertAlign val="subscript"/>
        <sz val="11"/>
        <rFont val="Calibri"/>
        <family val="2"/>
        <charset val="238"/>
        <scheme val="minor"/>
      </rPr>
      <t>CV,XB</t>
    </r>
    <r>
      <rPr>
        <sz val="11"/>
        <rFont val="Calibri"/>
        <family val="2"/>
        <charset val="238"/>
        <scheme val="minor"/>
      </rPr>
      <t xml:space="preserve"> *(i</t>
    </r>
    <r>
      <rPr>
        <vertAlign val="subscript"/>
        <sz val="11"/>
        <rFont val="Calibri"/>
        <family val="2"/>
        <charset val="238"/>
        <scheme val="minor"/>
      </rPr>
      <t>vw,XB</t>
    </r>
    <r>
      <rPr>
        <sz val="11"/>
        <rFont val="Calibri"/>
        <family val="2"/>
        <charset val="238"/>
        <scheme val="minor"/>
      </rPr>
      <t>+i</t>
    </r>
    <r>
      <rPr>
        <vertAlign val="subscript"/>
        <sz val="11"/>
        <rFont val="Calibri"/>
        <family val="2"/>
        <charset val="238"/>
        <scheme val="minor"/>
      </rPr>
      <t>wh,XB</t>
    </r>
    <r>
      <rPr>
        <sz val="11"/>
        <rFont val="Calibri"/>
        <family val="2"/>
        <charset val="238"/>
        <scheme val="minor"/>
      </rPr>
      <t>) + X</t>
    </r>
    <r>
      <rPr>
        <vertAlign val="subscript"/>
        <sz val="11"/>
        <rFont val="Calibri"/>
        <family val="2"/>
        <charset val="238"/>
        <scheme val="minor"/>
      </rPr>
      <t>B,e</t>
    </r>
    <r>
      <rPr>
        <sz val="11"/>
        <rFont val="Calibri"/>
        <family val="2"/>
        <charset val="238"/>
        <scheme val="minor"/>
      </rPr>
      <t>/i</t>
    </r>
    <r>
      <rPr>
        <vertAlign val="subscript"/>
        <sz val="11"/>
        <rFont val="Calibri"/>
        <family val="2"/>
        <charset val="238"/>
        <scheme val="minor"/>
      </rPr>
      <t>CV,XBe</t>
    </r>
    <r>
      <rPr>
        <sz val="11"/>
        <rFont val="Calibri"/>
        <family val="2"/>
        <charset val="238"/>
        <scheme val="minor"/>
      </rPr>
      <t xml:space="preserve"> *(i</t>
    </r>
    <r>
      <rPr>
        <vertAlign val="subscript"/>
        <sz val="11"/>
        <rFont val="Calibri"/>
        <family val="2"/>
        <charset val="238"/>
        <scheme val="minor"/>
      </rPr>
      <t>vw,XBe</t>
    </r>
    <r>
      <rPr>
        <sz val="11"/>
        <rFont val="Calibri"/>
        <family val="2"/>
        <charset val="238"/>
        <scheme val="minor"/>
      </rPr>
      <t>+i</t>
    </r>
    <r>
      <rPr>
        <vertAlign val="subscript"/>
        <sz val="11"/>
        <rFont val="Calibri"/>
        <family val="2"/>
        <charset val="238"/>
        <scheme val="minor"/>
      </rPr>
      <t>wh,XBe</t>
    </r>
    <r>
      <rPr>
        <sz val="11"/>
        <rFont val="Calibri"/>
        <family val="2"/>
        <charset val="238"/>
        <scheme val="minor"/>
      </rPr>
      <t>)+X</t>
    </r>
    <r>
      <rPr>
        <vertAlign val="subscript"/>
        <sz val="11"/>
        <rFont val="Calibri"/>
        <family val="2"/>
        <charset val="238"/>
        <scheme val="minor"/>
      </rPr>
      <t>U</t>
    </r>
    <r>
      <rPr>
        <sz val="11"/>
        <rFont val="Calibri"/>
        <family val="2"/>
        <charset val="238"/>
        <scheme val="minor"/>
      </rPr>
      <t>/i</t>
    </r>
    <r>
      <rPr>
        <vertAlign val="subscript"/>
        <sz val="11"/>
        <rFont val="Calibri"/>
        <family val="2"/>
        <charset val="238"/>
        <scheme val="minor"/>
      </rPr>
      <t>CV,XU</t>
    </r>
    <r>
      <rPr>
        <sz val="11"/>
        <rFont val="Calibri"/>
        <family val="2"/>
        <charset val="238"/>
        <scheme val="minor"/>
      </rPr>
      <t xml:space="preserve"> *(i</t>
    </r>
    <r>
      <rPr>
        <vertAlign val="subscript"/>
        <sz val="11"/>
        <rFont val="Calibri"/>
        <family val="2"/>
        <charset val="238"/>
        <scheme val="minor"/>
      </rPr>
      <t>vw,XU</t>
    </r>
    <r>
      <rPr>
        <sz val="11"/>
        <rFont val="Calibri"/>
        <family val="2"/>
        <charset val="238"/>
        <scheme val="minor"/>
      </rPr>
      <t>+i</t>
    </r>
    <r>
      <rPr>
        <vertAlign val="subscript"/>
        <sz val="11"/>
        <rFont val="Calibri"/>
        <family val="2"/>
        <charset val="238"/>
        <scheme val="minor"/>
      </rPr>
      <t>wh,XU</t>
    </r>
    <r>
      <rPr>
        <sz val="11"/>
        <rFont val="Calibri"/>
        <family val="2"/>
        <charset val="238"/>
        <scheme val="minor"/>
      </rPr>
      <t>) + X</t>
    </r>
    <r>
      <rPr>
        <vertAlign val="subscript"/>
        <sz val="11"/>
        <rFont val="Calibri"/>
        <family val="2"/>
        <charset val="238"/>
        <scheme val="minor"/>
      </rPr>
      <t>PHA,PAO</t>
    </r>
    <r>
      <rPr>
        <sz val="11"/>
        <rFont val="Calibri"/>
        <family val="2"/>
        <charset val="238"/>
        <scheme val="minor"/>
      </rPr>
      <t>/i</t>
    </r>
    <r>
      <rPr>
        <vertAlign val="subscript"/>
        <sz val="11"/>
        <rFont val="Calibri"/>
        <family val="2"/>
        <charset val="238"/>
        <scheme val="minor"/>
      </rPr>
      <t xml:space="preserve">CV,PHA </t>
    </r>
    <r>
      <rPr>
        <sz val="11"/>
        <rFont val="Calibri"/>
        <family val="2"/>
        <charset val="238"/>
        <scheme val="minor"/>
      </rPr>
      <t>* (i</t>
    </r>
    <r>
      <rPr>
        <vertAlign val="subscript"/>
        <sz val="11"/>
        <rFont val="Calibri"/>
        <family val="2"/>
        <charset val="238"/>
        <scheme val="minor"/>
      </rPr>
      <t>vw,PHA</t>
    </r>
    <r>
      <rPr>
        <sz val="11"/>
        <rFont val="Calibri"/>
        <family val="2"/>
        <charset val="238"/>
        <scheme val="minor"/>
      </rPr>
      <t>+i</t>
    </r>
    <r>
      <rPr>
        <vertAlign val="subscript"/>
        <sz val="11"/>
        <rFont val="Calibri"/>
        <family val="2"/>
        <charset val="238"/>
        <scheme val="minor"/>
      </rPr>
      <t>wh,PHA</t>
    </r>
    <r>
      <rPr>
        <sz val="11"/>
        <rFont val="Calibri"/>
        <family val="2"/>
        <charset val="238"/>
        <scheme val="minor"/>
      </rPr>
      <t>) + X</t>
    </r>
    <r>
      <rPr>
        <vertAlign val="subscript"/>
        <sz val="11"/>
        <rFont val="Calibri"/>
        <family val="2"/>
        <charset val="238"/>
        <scheme val="minor"/>
      </rPr>
      <t>PHA,GAO</t>
    </r>
    <r>
      <rPr>
        <sz val="11"/>
        <rFont val="Calibri"/>
        <family val="2"/>
        <charset val="238"/>
        <scheme val="minor"/>
      </rPr>
      <t>/i</t>
    </r>
    <r>
      <rPr>
        <vertAlign val="subscript"/>
        <sz val="11"/>
        <rFont val="Calibri"/>
        <family val="2"/>
        <charset val="238"/>
        <scheme val="minor"/>
      </rPr>
      <t xml:space="preserve">CV,PHA </t>
    </r>
    <r>
      <rPr>
        <sz val="11"/>
        <rFont val="Calibri"/>
        <family val="2"/>
        <charset val="238"/>
        <scheme val="minor"/>
      </rPr>
      <t>* (i</t>
    </r>
    <r>
      <rPr>
        <vertAlign val="subscript"/>
        <sz val="11"/>
        <rFont val="Calibri"/>
        <family val="2"/>
        <charset val="238"/>
        <scheme val="minor"/>
      </rPr>
      <t>vw,PHA</t>
    </r>
    <r>
      <rPr>
        <sz val="11"/>
        <rFont val="Calibri"/>
        <family val="2"/>
        <charset val="238"/>
        <scheme val="minor"/>
      </rPr>
      <t>+i</t>
    </r>
    <r>
      <rPr>
        <vertAlign val="subscript"/>
        <sz val="11"/>
        <rFont val="Calibri"/>
        <family val="2"/>
        <charset val="238"/>
        <scheme val="minor"/>
      </rPr>
      <t>wh,PHA</t>
    </r>
    <r>
      <rPr>
        <sz val="11"/>
        <rFont val="Calibri"/>
        <family val="2"/>
        <charset val="238"/>
        <scheme val="minor"/>
      </rPr>
      <t>) + C</t>
    </r>
    <r>
      <rPr>
        <vertAlign val="subscript"/>
        <sz val="11"/>
        <rFont val="Calibri"/>
        <family val="2"/>
        <charset val="238"/>
        <scheme val="minor"/>
      </rPr>
      <t>B</t>
    </r>
    <r>
      <rPr>
        <sz val="11"/>
        <rFont val="Calibri"/>
        <family val="2"/>
        <charset val="238"/>
        <scheme val="minor"/>
      </rPr>
      <t>/i</t>
    </r>
    <r>
      <rPr>
        <vertAlign val="subscript"/>
        <sz val="11"/>
        <rFont val="Calibri"/>
        <family val="2"/>
        <charset val="238"/>
        <scheme val="minor"/>
      </rPr>
      <t>CV,CB</t>
    </r>
    <r>
      <rPr>
        <sz val="11"/>
        <rFont val="Calibri"/>
        <family val="2"/>
        <charset val="238"/>
        <scheme val="minor"/>
      </rPr>
      <t xml:space="preserve"> *i</t>
    </r>
    <r>
      <rPr>
        <vertAlign val="subscript"/>
        <sz val="11"/>
        <rFont val="Calibri"/>
        <family val="2"/>
        <charset val="238"/>
        <scheme val="minor"/>
      </rPr>
      <t>vw,CB</t>
    </r>
    <r>
      <rPr>
        <sz val="11"/>
        <rFont val="Calibri"/>
        <family val="2"/>
        <charset val="238"/>
        <scheme val="minor"/>
      </rPr>
      <t xml:space="preserve"> + C</t>
    </r>
    <r>
      <rPr>
        <vertAlign val="subscript"/>
        <sz val="11"/>
        <rFont val="Calibri"/>
        <family val="2"/>
        <charset val="238"/>
        <scheme val="minor"/>
      </rPr>
      <t>U</t>
    </r>
    <r>
      <rPr>
        <sz val="11"/>
        <rFont val="Calibri"/>
        <family val="2"/>
        <charset val="238"/>
        <scheme val="minor"/>
      </rPr>
      <t>/i</t>
    </r>
    <r>
      <rPr>
        <vertAlign val="subscript"/>
        <sz val="11"/>
        <rFont val="Calibri"/>
        <family val="2"/>
        <charset val="238"/>
        <scheme val="minor"/>
      </rPr>
      <t>CV,CU</t>
    </r>
    <r>
      <rPr>
        <sz val="11"/>
        <rFont val="Calibri"/>
        <family val="2"/>
        <charset val="238"/>
        <scheme val="minor"/>
      </rPr>
      <t>*i</t>
    </r>
    <r>
      <rPr>
        <vertAlign val="subscript"/>
        <sz val="11"/>
        <rFont val="Calibri"/>
        <family val="2"/>
        <charset val="238"/>
        <scheme val="minor"/>
      </rPr>
      <t>vw,CU</t>
    </r>
    <r>
      <rPr>
        <sz val="11"/>
        <rFont val="Calibri"/>
        <family val="2"/>
        <charset val="238"/>
        <scheme val="minor"/>
      </rPr>
      <t>)/X</t>
    </r>
    <r>
      <rPr>
        <vertAlign val="subscript"/>
        <sz val="11"/>
        <rFont val="Calibri"/>
        <family val="2"/>
        <charset val="238"/>
        <scheme val="minor"/>
      </rPr>
      <t>VSS</t>
    </r>
  </si>
  <si>
    <r>
      <t>X</t>
    </r>
    <r>
      <rPr>
        <vertAlign val="subscript"/>
        <sz val="11"/>
        <rFont val="Calibri"/>
        <family val="2"/>
        <charset val="238"/>
      </rPr>
      <t>B</t>
    </r>
    <r>
      <rPr>
        <sz val="11"/>
        <rFont val="Calibri"/>
        <family val="2"/>
      </rPr>
      <t xml:space="preserve"> hydrolysis</t>
    </r>
  </si>
  <si>
    <r>
      <t>X</t>
    </r>
    <r>
      <rPr>
        <vertAlign val="subscript"/>
        <sz val="11"/>
        <rFont val="Calibri"/>
        <family val="2"/>
        <charset val="238"/>
      </rPr>
      <t>B,e</t>
    </r>
    <r>
      <rPr>
        <sz val="11"/>
        <rFont val="Calibri"/>
        <family val="2"/>
      </rPr>
      <t xml:space="preserve"> hydrolysis</t>
    </r>
  </si>
  <si>
    <r>
      <t>S</t>
    </r>
    <r>
      <rPr>
        <vertAlign val="subscript"/>
        <sz val="11"/>
        <rFont val="Calibri"/>
        <family val="2"/>
        <charset val="238"/>
      </rPr>
      <t>N,B</t>
    </r>
    <r>
      <rPr>
        <sz val="11"/>
        <rFont val="Calibri"/>
        <family val="2"/>
      </rPr>
      <t xml:space="preserve"> ammonification</t>
    </r>
  </si>
  <si>
    <r>
      <t>X</t>
    </r>
    <r>
      <rPr>
        <vertAlign val="subscript"/>
        <sz val="11"/>
        <rFont val="Calibri"/>
        <family val="2"/>
        <charset val="238"/>
      </rPr>
      <t>E</t>
    </r>
    <r>
      <rPr>
        <sz val="11"/>
        <rFont val="Calibri"/>
        <family val="2"/>
      </rPr>
      <t xml:space="preserve"> conversion</t>
    </r>
  </si>
  <si>
    <r>
      <t>X</t>
    </r>
    <r>
      <rPr>
        <vertAlign val="subscript"/>
        <sz val="11"/>
        <rFont val="Calibri"/>
        <family val="2"/>
        <charset val="238"/>
      </rPr>
      <t>E,ana</t>
    </r>
    <r>
      <rPr>
        <sz val="11"/>
        <rFont val="Calibri"/>
        <family val="2"/>
      </rPr>
      <t xml:space="preserve"> hydrolysis</t>
    </r>
  </si>
  <si>
    <r>
      <t>X</t>
    </r>
    <r>
      <rPr>
        <vertAlign val="subscript"/>
        <sz val="11"/>
        <rFont val="Calibri"/>
        <family val="2"/>
        <charset val="238"/>
      </rPr>
      <t>U</t>
    </r>
    <r>
      <rPr>
        <sz val="11"/>
        <rFont val="Calibri"/>
        <family val="2"/>
      </rPr>
      <t xml:space="preserve"> conversion</t>
    </r>
  </si>
  <si>
    <t>r91</t>
  </si>
  <si>
    <r>
      <t>COUR + NOUR - (v64_S</t>
    </r>
    <r>
      <rPr>
        <vertAlign val="subscript"/>
        <sz val="11"/>
        <rFont val="Calibri"/>
        <family val="2"/>
        <charset val="238"/>
        <scheme val="minor"/>
      </rPr>
      <t>O2</t>
    </r>
    <r>
      <rPr>
        <sz val="11"/>
        <rFont val="Calibri"/>
        <family val="2"/>
        <scheme val="minor"/>
      </rPr>
      <t xml:space="preserve"> * r64)</t>
    </r>
  </si>
  <si>
    <r>
      <t>-(v2_S</t>
    </r>
    <r>
      <rPr>
        <vertAlign val="subscript"/>
        <sz val="11"/>
        <rFont val="Calibri"/>
        <family val="2"/>
        <scheme val="minor"/>
      </rPr>
      <t>NOx</t>
    </r>
    <r>
      <rPr>
        <sz val="11"/>
        <rFont val="Calibri"/>
        <family val="2"/>
        <scheme val="minor"/>
      </rPr>
      <t xml:space="preserve"> * r2 + v4_S</t>
    </r>
    <r>
      <rPr>
        <vertAlign val="subscript"/>
        <sz val="11"/>
        <rFont val="Calibri"/>
        <family val="2"/>
        <scheme val="minor"/>
      </rPr>
      <t>NOx</t>
    </r>
    <r>
      <rPr>
        <sz val="11"/>
        <rFont val="Calibri"/>
        <family val="2"/>
        <scheme val="minor"/>
      </rPr>
      <t xml:space="preserve"> * r4 + v10_S</t>
    </r>
    <r>
      <rPr>
        <vertAlign val="subscript"/>
        <sz val="11"/>
        <rFont val="Calibri"/>
        <family val="2"/>
        <scheme val="minor"/>
      </rPr>
      <t>NOx</t>
    </r>
    <r>
      <rPr>
        <sz val="11"/>
        <rFont val="Calibri"/>
        <family val="2"/>
        <scheme val="minor"/>
      </rPr>
      <t xml:space="preserve"> * r10 + v14_S</t>
    </r>
    <r>
      <rPr>
        <vertAlign val="subscript"/>
        <sz val="11"/>
        <rFont val="Calibri"/>
        <family val="2"/>
        <scheme val="minor"/>
      </rPr>
      <t>NOx</t>
    </r>
    <r>
      <rPr>
        <sz val="11"/>
        <rFont val="Calibri"/>
        <family val="2"/>
        <scheme val="minor"/>
      </rPr>
      <t xml:space="preserve"> * r14 + v16_S</t>
    </r>
    <r>
      <rPr>
        <vertAlign val="subscript"/>
        <sz val="11"/>
        <rFont val="Calibri"/>
        <family val="2"/>
        <scheme val="minor"/>
      </rPr>
      <t>NOx</t>
    </r>
    <r>
      <rPr>
        <sz val="11"/>
        <rFont val="Calibri"/>
        <family val="2"/>
        <scheme val="minor"/>
      </rPr>
      <t xml:space="preserve"> * r16 + v18_S</t>
    </r>
    <r>
      <rPr>
        <vertAlign val="subscript"/>
        <sz val="11"/>
        <rFont val="Calibri"/>
        <family val="2"/>
        <charset val="238"/>
        <scheme val="minor"/>
      </rPr>
      <t>NOx</t>
    </r>
    <r>
      <rPr>
        <sz val="11"/>
        <rFont val="Calibri"/>
        <family val="2"/>
        <scheme val="minor"/>
      </rPr>
      <t xml:space="preserve"> * r18 + v22_S</t>
    </r>
    <r>
      <rPr>
        <vertAlign val="subscript"/>
        <sz val="11"/>
        <rFont val="Calibri"/>
        <family val="2"/>
        <scheme val="minor"/>
      </rPr>
      <t>NOx</t>
    </r>
    <r>
      <rPr>
        <sz val="11"/>
        <rFont val="Calibri"/>
        <family val="2"/>
        <scheme val="minor"/>
      </rPr>
      <t xml:space="preserve"> * r22 + v55_S</t>
    </r>
    <r>
      <rPr>
        <vertAlign val="subscript"/>
        <sz val="11"/>
        <rFont val="Calibri"/>
        <family val="2"/>
        <scheme val="minor"/>
      </rPr>
      <t>NOx</t>
    </r>
    <r>
      <rPr>
        <sz val="11"/>
        <rFont val="Calibri"/>
        <family val="2"/>
        <scheme val="minor"/>
      </rPr>
      <t xml:space="preserve"> * r55)</t>
    </r>
  </si>
  <si>
    <r>
      <t>i</t>
    </r>
    <r>
      <rPr>
        <vertAlign val="subscript"/>
        <sz val="11"/>
        <rFont val="Calibri"/>
        <family val="2"/>
        <scheme val="minor"/>
      </rPr>
      <t>N,BIO</t>
    </r>
    <r>
      <rPr>
        <sz val="11"/>
        <rFont val="Calibri"/>
        <family val="2"/>
        <scheme val="minor"/>
      </rPr>
      <t xml:space="preserve"> * (r1 + r2 + r3 + r4 + r5 + r6 + r7 + r10 + r13 + r14 + r17 + r18 + r25 + r26 + r33 + r36) - (v30_S</t>
    </r>
    <r>
      <rPr>
        <vertAlign val="subscript"/>
        <sz val="11"/>
        <rFont val="Calibri"/>
        <family val="2"/>
        <scheme val="minor"/>
      </rPr>
      <t>NHx</t>
    </r>
    <r>
      <rPr>
        <sz val="11"/>
        <rFont val="Calibri"/>
        <family val="2"/>
        <scheme val="minor"/>
      </rPr>
      <t xml:space="preserve"> * r30 + v75_S</t>
    </r>
    <r>
      <rPr>
        <vertAlign val="subscript"/>
        <sz val="11"/>
        <rFont val="Calibri"/>
        <family val="2"/>
        <scheme val="minor"/>
      </rPr>
      <t>NHx</t>
    </r>
    <r>
      <rPr>
        <sz val="11"/>
        <rFont val="Calibri"/>
        <family val="2"/>
        <scheme val="minor"/>
      </rPr>
      <t xml:space="preserve"> * r75)</t>
    </r>
  </si>
  <si>
    <r>
      <t>-(v58_S</t>
    </r>
    <r>
      <rPr>
        <vertAlign val="subscript"/>
        <sz val="11"/>
        <rFont val="Calibri"/>
        <family val="2"/>
        <scheme val="minor"/>
      </rPr>
      <t>PO4</t>
    </r>
    <r>
      <rPr>
        <sz val="11"/>
        <rFont val="Calibri"/>
        <family val="2"/>
        <scheme val="minor"/>
      </rPr>
      <t xml:space="preserve"> * r58 + v59_S</t>
    </r>
    <r>
      <rPr>
        <vertAlign val="subscript"/>
        <sz val="11"/>
        <rFont val="Calibri"/>
        <family val="2"/>
        <scheme val="minor"/>
      </rPr>
      <t>PO4</t>
    </r>
    <r>
      <rPr>
        <sz val="11"/>
        <rFont val="Calibri"/>
        <family val="2"/>
        <scheme val="minor"/>
      </rPr>
      <t xml:space="preserve"> * r59 + v67_S</t>
    </r>
    <r>
      <rPr>
        <vertAlign val="subscript"/>
        <sz val="11"/>
        <rFont val="Calibri"/>
        <family val="2"/>
        <scheme val="minor"/>
      </rPr>
      <t>PO4</t>
    </r>
    <r>
      <rPr>
        <sz val="11"/>
        <rFont val="Calibri"/>
        <family val="2"/>
        <scheme val="minor"/>
      </rPr>
      <t xml:space="preserve"> * r67 + v68_S</t>
    </r>
    <r>
      <rPr>
        <vertAlign val="subscript"/>
        <sz val="11"/>
        <rFont val="Calibri"/>
        <family val="2"/>
        <scheme val="minor"/>
      </rPr>
      <t>PO4</t>
    </r>
    <r>
      <rPr>
        <sz val="11"/>
        <rFont val="Calibri"/>
        <family val="2"/>
        <scheme val="minor"/>
      </rPr>
      <t xml:space="preserve"> * r68 + v73_S</t>
    </r>
    <r>
      <rPr>
        <vertAlign val="subscript"/>
        <sz val="11"/>
        <rFont val="Calibri"/>
        <family val="2"/>
        <scheme val="minor"/>
      </rPr>
      <t>PO4</t>
    </r>
    <r>
      <rPr>
        <sz val="11"/>
        <rFont val="Calibri"/>
        <family val="2"/>
        <scheme val="minor"/>
      </rPr>
      <t xml:space="preserve"> * r73 + v74_S</t>
    </r>
    <r>
      <rPr>
        <vertAlign val="subscript"/>
        <sz val="11"/>
        <rFont val="Calibri"/>
        <family val="2"/>
        <scheme val="minor"/>
      </rPr>
      <t>PO4</t>
    </r>
    <r>
      <rPr>
        <sz val="11"/>
        <rFont val="Calibri"/>
        <family val="2"/>
        <scheme val="minor"/>
      </rPr>
      <t xml:space="preserve"> * r74 + v75_S</t>
    </r>
    <r>
      <rPr>
        <vertAlign val="subscript"/>
        <sz val="11"/>
        <rFont val="Calibri"/>
        <family val="2"/>
        <scheme val="minor"/>
      </rPr>
      <t>PO4</t>
    </r>
    <r>
      <rPr>
        <sz val="11"/>
        <rFont val="Calibri"/>
        <family val="2"/>
        <scheme val="minor"/>
      </rPr>
      <t xml:space="preserve"> * r75 + v76_S</t>
    </r>
    <r>
      <rPr>
        <vertAlign val="subscript"/>
        <sz val="11"/>
        <rFont val="Calibri"/>
        <family val="2"/>
        <scheme val="minor"/>
      </rPr>
      <t>PO4</t>
    </r>
    <r>
      <rPr>
        <sz val="11"/>
        <rFont val="Calibri"/>
        <family val="2"/>
        <scheme val="minor"/>
      </rPr>
      <t xml:space="preserve"> * r76)</t>
    </r>
  </si>
  <si>
    <r>
      <t>v19_S</t>
    </r>
    <r>
      <rPr>
        <vertAlign val="subscript"/>
        <sz val="11"/>
        <rFont val="Calibri"/>
        <family val="2"/>
        <scheme val="minor"/>
      </rPr>
      <t>PO4</t>
    </r>
    <r>
      <rPr>
        <sz val="11"/>
        <rFont val="Calibri"/>
        <family val="2"/>
        <scheme val="minor"/>
      </rPr>
      <t xml:space="preserve"> * r19 + v24_S</t>
    </r>
    <r>
      <rPr>
        <vertAlign val="subscript"/>
        <sz val="11"/>
        <rFont val="Calibri"/>
        <family val="2"/>
        <charset val="238"/>
        <scheme val="minor"/>
      </rPr>
      <t>PO4</t>
    </r>
    <r>
      <rPr>
        <sz val="11"/>
        <rFont val="Calibri"/>
        <family val="2"/>
        <scheme val="minor"/>
      </rPr>
      <t xml:space="preserve"> * r24 + v27_S</t>
    </r>
    <r>
      <rPr>
        <vertAlign val="subscript"/>
        <sz val="11"/>
        <rFont val="Calibri"/>
        <family val="2"/>
        <scheme val="minor"/>
      </rPr>
      <t>PO4</t>
    </r>
    <r>
      <rPr>
        <sz val="11"/>
        <rFont val="Calibri"/>
        <family val="2"/>
        <scheme val="minor"/>
      </rPr>
      <t xml:space="preserve"> * r27 + v28_S</t>
    </r>
    <r>
      <rPr>
        <vertAlign val="subscript"/>
        <sz val="11"/>
        <rFont val="Calibri"/>
        <family val="2"/>
        <scheme val="minor"/>
      </rPr>
      <t>PO4</t>
    </r>
    <r>
      <rPr>
        <sz val="11"/>
        <rFont val="Calibri"/>
        <family val="2"/>
        <scheme val="minor"/>
      </rPr>
      <t xml:space="preserve"> * r28 + v50_S</t>
    </r>
    <r>
      <rPr>
        <vertAlign val="subscript"/>
        <sz val="11"/>
        <rFont val="Calibri"/>
        <family val="2"/>
        <scheme val="minor"/>
      </rPr>
      <t>PO4</t>
    </r>
    <r>
      <rPr>
        <sz val="11"/>
        <rFont val="Calibri"/>
        <family val="2"/>
        <scheme val="minor"/>
      </rPr>
      <t xml:space="preserve"> * r50 + v55_S</t>
    </r>
    <r>
      <rPr>
        <vertAlign val="subscript"/>
        <sz val="11"/>
        <rFont val="Calibri"/>
        <family val="2"/>
        <scheme val="minor"/>
      </rPr>
      <t>PO4</t>
    </r>
    <r>
      <rPr>
        <sz val="11"/>
        <rFont val="Calibri"/>
        <family val="2"/>
        <scheme val="minor"/>
      </rPr>
      <t xml:space="preserve"> * r55 + v60_S</t>
    </r>
    <r>
      <rPr>
        <vertAlign val="subscript"/>
        <sz val="11"/>
        <rFont val="Calibri"/>
        <family val="2"/>
        <scheme val="minor"/>
      </rPr>
      <t>PO4</t>
    </r>
    <r>
      <rPr>
        <sz val="11"/>
        <rFont val="Calibri"/>
        <family val="2"/>
        <scheme val="minor"/>
      </rPr>
      <t xml:space="preserve"> * r60 + v61_S</t>
    </r>
    <r>
      <rPr>
        <vertAlign val="subscript"/>
        <sz val="11"/>
        <rFont val="Calibri"/>
        <family val="2"/>
        <scheme val="minor"/>
      </rPr>
      <t>PO4</t>
    </r>
    <r>
      <rPr>
        <sz val="11"/>
        <rFont val="Calibri"/>
        <family val="2"/>
        <scheme val="minor"/>
      </rPr>
      <t xml:space="preserve"> * r61 + v62_S</t>
    </r>
    <r>
      <rPr>
        <vertAlign val="subscript"/>
        <sz val="11"/>
        <rFont val="Calibri"/>
        <family val="2"/>
        <scheme val="minor"/>
      </rPr>
      <t>PO4</t>
    </r>
    <r>
      <rPr>
        <sz val="11"/>
        <rFont val="Calibri"/>
        <family val="2"/>
        <scheme val="minor"/>
      </rPr>
      <t xml:space="preserve"> * r62 + v63_S</t>
    </r>
    <r>
      <rPr>
        <vertAlign val="subscript"/>
        <sz val="11"/>
        <rFont val="Calibri"/>
        <family val="2"/>
        <charset val="238"/>
        <scheme val="minor"/>
      </rPr>
      <t>PO4</t>
    </r>
    <r>
      <rPr>
        <sz val="11"/>
        <rFont val="Calibri"/>
        <family val="2"/>
        <scheme val="minor"/>
      </rPr>
      <t xml:space="preserve"> * r63 + v69_S</t>
    </r>
    <r>
      <rPr>
        <vertAlign val="subscript"/>
        <sz val="11"/>
        <rFont val="Calibri"/>
        <family val="2"/>
        <scheme val="minor"/>
      </rPr>
      <t>PO4</t>
    </r>
    <r>
      <rPr>
        <sz val="11"/>
        <rFont val="Calibri"/>
        <family val="2"/>
        <scheme val="minor"/>
      </rPr>
      <t xml:space="preserve"> * r69 + v70_S</t>
    </r>
    <r>
      <rPr>
        <vertAlign val="subscript"/>
        <sz val="11"/>
        <rFont val="Calibri"/>
        <family val="2"/>
        <charset val="238"/>
        <scheme val="minor"/>
      </rPr>
      <t>PO4</t>
    </r>
    <r>
      <rPr>
        <sz val="11"/>
        <rFont val="Calibri"/>
        <family val="2"/>
        <scheme val="minor"/>
      </rPr>
      <t xml:space="preserve"> * r70 + v71_S</t>
    </r>
    <r>
      <rPr>
        <vertAlign val="subscript"/>
        <sz val="11"/>
        <rFont val="Calibri"/>
        <family val="2"/>
        <charset val="238"/>
        <scheme val="minor"/>
      </rPr>
      <t>PO4</t>
    </r>
    <r>
      <rPr>
        <sz val="11"/>
        <rFont val="Calibri"/>
        <family val="2"/>
        <scheme val="minor"/>
      </rPr>
      <t xml:space="preserve"> * r71</t>
    </r>
  </si>
  <si>
    <t>(v83_SO2 * r83)</t>
  </si>
  <si>
    <t>(v89_SO2 * r89)</t>
  </si>
  <si>
    <t>((v55_SCO2 * r55) + (v63_SCO2 * r63) + (v72_SCO2 * r72))</t>
  </si>
  <si>
    <t>((v51_SCO2 * r51) + (v52_SCO2 * r52) + (v54_SCO2 * r54) + (v55_SCO2 * r55))</t>
  </si>
  <si>
    <t>((v86_SCO2 * r86))</t>
  </si>
  <si>
    <t>((v55_SPO4 * r55) + (v58_SPO4 * r58) + (v59_SPO4 * r59) + (v60_SPO4 * r60) + (v61_SPO4 * r61) + (v62_SPO4 * r62) + (v63_SPO4 * r63) + (v67_SPO4 * r67) + (v68_SPO4 * r68) + (v69_SPO4 * r69) + (v70_SPO4 * r70) + (v71_SPO4 * r71) + (v73_SPO4 * r73) + (v74_SPO4 * r74) + (v75_SPO4 * r75))</t>
  </si>
  <si>
    <t>((v50_SPO4 * r50) + (v55_SPO4 * r55))</t>
  </si>
  <si>
    <t>((v49_SNHx * r49) + (v55_SNHx * r55))</t>
  </si>
  <si>
    <t>((v64_SO2 * r64))</t>
  </si>
  <si>
    <t>((v89_SO2 * r89)) * SOTRsur,min/SOTRsur</t>
  </si>
  <si>
    <t>((v89_SO2 * r89)) * SOTRaerator/SOTRsur</t>
  </si>
  <si>
    <t>((v90_SNHx * r90))</t>
  </si>
  <si>
    <r>
      <t xml:space="preserve"> - ((v2_SNOx * r2 * -EEQ</t>
    </r>
    <r>
      <rPr>
        <vertAlign val="subscript"/>
        <sz val="11"/>
        <rFont val="Calibri"/>
        <family val="2"/>
        <charset val="238"/>
        <scheme val="minor"/>
      </rPr>
      <t>NO3</t>
    </r>
    <r>
      <rPr>
        <sz val="11"/>
        <rFont val="Calibri"/>
        <family val="2"/>
        <scheme val="minor"/>
      </rPr>
      <t>) + (v4_SNOx * r4 * -EEQ</t>
    </r>
    <r>
      <rPr>
        <vertAlign val="subscript"/>
        <sz val="11"/>
        <rFont val="Calibri"/>
        <family val="2"/>
        <charset val="238"/>
        <scheme val="minor"/>
      </rPr>
      <t>NO3</t>
    </r>
    <r>
      <rPr>
        <sz val="11"/>
        <rFont val="Calibri"/>
        <family val="2"/>
        <scheme val="minor"/>
      </rPr>
      <t>) + (v10_SNOx * r10 * -EEQ</t>
    </r>
    <r>
      <rPr>
        <vertAlign val="subscript"/>
        <sz val="11"/>
        <rFont val="Calibri"/>
        <family val="2"/>
        <charset val="238"/>
        <scheme val="minor"/>
      </rPr>
      <t>NO3</t>
    </r>
    <r>
      <rPr>
        <sz val="11"/>
        <rFont val="Calibri"/>
        <family val="2"/>
        <scheme val="minor"/>
      </rPr>
      <t>) + (v14_SNOx * r14 * -EEQ</t>
    </r>
    <r>
      <rPr>
        <vertAlign val="subscript"/>
        <sz val="11"/>
        <rFont val="Calibri"/>
        <family val="2"/>
        <charset val="238"/>
        <scheme val="minor"/>
      </rPr>
      <t>NO3</t>
    </r>
    <r>
      <rPr>
        <sz val="11"/>
        <rFont val="Calibri"/>
        <family val="2"/>
        <scheme val="minor"/>
      </rPr>
      <t>) + (v16_SNOx * r16 * -EEQ</t>
    </r>
    <r>
      <rPr>
        <vertAlign val="subscript"/>
        <sz val="11"/>
        <rFont val="Calibri"/>
        <family val="2"/>
        <charset val="238"/>
        <scheme val="minor"/>
      </rPr>
      <t>NO3</t>
    </r>
    <r>
      <rPr>
        <sz val="11"/>
        <rFont val="Calibri"/>
        <family val="2"/>
        <scheme val="minor"/>
      </rPr>
      <t>) + (v18_SNOx * r18 * -EEQ</t>
    </r>
    <r>
      <rPr>
        <vertAlign val="subscript"/>
        <sz val="11"/>
        <rFont val="Calibri"/>
        <family val="2"/>
        <charset val="238"/>
        <scheme val="minor"/>
      </rPr>
      <t>NO3</t>
    </r>
    <r>
      <rPr>
        <sz val="11"/>
        <rFont val="Calibri"/>
        <family val="2"/>
        <scheme val="minor"/>
      </rPr>
      <t>) + (v22_SNOx * r22 * -EEQ</t>
    </r>
    <r>
      <rPr>
        <vertAlign val="subscript"/>
        <sz val="11"/>
        <rFont val="Calibri"/>
        <family val="2"/>
        <charset val="238"/>
        <scheme val="minor"/>
      </rPr>
      <t>NO3</t>
    </r>
    <r>
      <rPr>
        <sz val="11"/>
        <rFont val="Calibri"/>
        <family val="2"/>
        <scheme val="minor"/>
      </rPr>
      <t>) + (v55_SNOx * r55 * -EEQ</t>
    </r>
    <r>
      <rPr>
        <vertAlign val="subscript"/>
        <sz val="11"/>
        <rFont val="Calibri"/>
        <family val="2"/>
        <charset val="238"/>
        <scheme val="minor"/>
      </rPr>
      <t>NO3</t>
    </r>
    <r>
      <rPr>
        <sz val="11"/>
        <rFont val="Calibri"/>
        <family val="2"/>
        <scheme val="minor"/>
      </rPr>
      <t>) + (v2_SN2 * r2 * -EEQ</t>
    </r>
    <r>
      <rPr>
        <vertAlign val="subscript"/>
        <sz val="11"/>
        <rFont val="Calibri"/>
        <family val="2"/>
        <charset val="238"/>
        <scheme val="minor"/>
      </rPr>
      <t>N2</t>
    </r>
    <r>
      <rPr>
        <sz val="11"/>
        <rFont val="Calibri"/>
        <family val="2"/>
        <scheme val="minor"/>
      </rPr>
      <t>) + (v4_SN2 * r4 * -EEQ</t>
    </r>
    <r>
      <rPr>
        <vertAlign val="subscript"/>
        <sz val="11"/>
        <rFont val="Calibri"/>
        <family val="2"/>
        <charset val="238"/>
        <scheme val="minor"/>
      </rPr>
      <t>N2</t>
    </r>
    <r>
      <rPr>
        <sz val="11"/>
        <rFont val="Calibri"/>
        <family val="2"/>
        <scheme val="minor"/>
      </rPr>
      <t>) + (v10_SN2 * r10 * -EEQ</t>
    </r>
    <r>
      <rPr>
        <vertAlign val="subscript"/>
        <sz val="11"/>
        <rFont val="Calibri"/>
        <family val="2"/>
        <charset val="238"/>
        <scheme val="minor"/>
      </rPr>
      <t>N2</t>
    </r>
    <r>
      <rPr>
        <sz val="11"/>
        <rFont val="Calibri"/>
        <family val="2"/>
        <scheme val="minor"/>
      </rPr>
      <t>) + (v14_SN2 * r14 * -EEQ</t>
    </r>
    <r>
      <rPr>
        <vertAlign val="subscript"/>
        <sz val="11"/>
        <rFont val="Calibri"/>
        <family val="2"/>
        <charset val="238"/>
        <scheme val="minor"/>
      </rPr>
      <t>N2</t>
    </r>
    <r>
      <rPr>
        <sz val="11"/>
        <rFont val="Calibri"/>
        <family val="2"/>
        <scheme val="minor"/>
      </rPr>
      <t>) + (v16_SN2 * r16 * -EEQ</t>
    </r>
    <r>
      <rPr>
        <vertAlign val="subscript"/>
        <sz val="11"/>
        <rFont val="Calibri"/>
        <family val="2"/>
        <charset val="238"/>
        <scheme val="minor"/>
      </rPr>
      <t>N2</t>
    </r>
    <r>
      <rPr>
        <sz val="11"/>
        <rFont val="Calibri"/>
        <family val="2"/>
        <scheme val="minor"/>
      </rPr>
      <t>) + (v18_SN2 * r18 * -EEQ</t>
    </r>
    <r>
      <rPr>
        <vertAlign val="subscript"/>
        <sz val="11"/>
        <rFont val="Calibri"/>
        <family val="2"/>
        <charset val="238"/>
        <scheme val="minor"/>
      </rPr>
      <t>N2</t>
    </r>
    <r>
      <rPr>
        <sz val="11"/>
        <rFont val="Calibri"/>
        <family val="2"/>
        <scheme val="minor"/>
      </rPr>
      <t>) + (v22_SN2 * r22 * -EEQ</t>
    </r>
    <r>
      <rPr>
        <vertAlign val="subscript"/>
        <sz val="11"/>
        <rFont val="Calibri"/>
        <family val="2"/>
        <charset val="238"/>
        <scheme val="minor"/>
      </rPr>
      <t>N2</t>
    </r>
    <r>
      <rPr>
        <sz val="11"/>
        <rFont val="Calibri"/>
        <family val="2"/>
        <scheme val="minor"/>
      </rPr>
      <t>))</t>
    </r>
  </si>
  <si>
    <r>
      <t>(+(-v1_SO2*r1)+(-v3_SO2*r3)+(-v7_SO2*r7)+(-v13_SO2*r13)+(-v15_SO2*r15)+(-v17_SO2*r17)+(-v21_SO2*r21)+(-v30_SO2*r30)+(-v39_SO2*r39)+(-v40_SO2*r40)+(-v41_SO2*r41)+(-v64_SO2*r64)+(+EEQ</t>
    </r>
    <r>
      <rPr>
        <vertAlign val="subscript"/>
        <sz val="11"/>
        <rFont val="Calibri"/>
        <family val="2"/>
        <charset val="238"/>
        <scheme val="minor"/>
      </rPr>
      <t>N2,NO3</t>
    </r>
    <r>
      <rPr>
        <sz val="11"/>
        <rFont val="Calibri"/>
        <family val="2"/>
        <scheme val="minor"/>
      </rPr>
      <t xml:space="preserve"> * v2_SN2*r2)+(+EEQ</t>
    </r>
    <r>
      <rPr>
        <vertAlign val="subscript"/>
        <sz val="11"/>
        <rFont val="Calibri"/>
        <family val="2"/>
        <charset val="238"/>
        <scheme val="minor"/>
      </rPr>
      <t>N2,NO3</t>
    </r>
    <r>
      <rPr>
        <sz val="11"/>
        <rFont val="Calibri"/>
        <family val="2"/>
        <scheme val="minor"/>
      </rPr>
      <t xml:space="preserve"> * v4_SN2*r4)+(+EEQ</t>
    </r>
    <r>
      <rPr>
        <vertAlign val="subscript"/>
        <sz val="11"/>
        <rFont val="Calibri"/>
        <family val="2"/>
        <charset val="238"/>
        <scheme val="minor"/>
      </rPr>
      <t>N2,NO3</t>
    </r>
    <r>
      <rPr>
        <sz val="11"/>
        <rFont val="Calibri"/>
        <family val="2"/>
        <scheme val="minor"/>
      </rPr>
      <t xml:space="preserve"> * v10_SN2*r10)+(+EEQ</t>
    </r>
    <r>
      <rPr>
        <vertAlign val="subscript"/>
        <sz val="11"/>
        <rFont val="Calibri"/>
        <family val="2"/>
        <charset val="238"/>
        <scheme val="minor"/>
      </rPr>
      <t>N2,NO3</t>
    </r>
    <r>
      <rPr>
        <sz val="11"/>
        <rFont val="Calibri"/>
        <family val="2"/>
        <scheme val="minor"/>
      </rPr>
      <t xml:space="preserve"> * v14_SN2*r14)+(+EEQ</t>
    </r>
    <r>
      <rPr>
        <vertAlign val="subscript"/>
        <sz val="11"/>
        <rFont val="Calibri"/>
        <family val="2"/>
        <charset val="238"/>
        <scheme val="minor"/>
      </rPr>
      <t>N2,NO3</t>
    </r>
    <r>
      <rPr>
        <sz val="11"/>
        <rFont val="Calibri"/>
        <family val="2"/>
        <scheme val="minor"/>
      </rPr>
      <t xml:space="preserve"> * v16_SN2*r16)+(+EEQ</t>
    </r>
    <r>
      <rPr>
        <vertAlign val="subscript"/>
        <sz val="11"/>
        <rFont val="Calibri"/>
        <family val="2"/>
        <charset val="238"/>
        <scheme val="minor"/>
      </rPr>
      <t>N2,NO3</t>
    </r>
    <r>
      <rPr>
        <sz val="11"/>
        <rFont val="Calibri"/>
        <family val="2"/>
        <scheme val="minor"/>
      </rPr>
      <t xml:space="preserve"> * v18_SN2*r18)+(+EEQ</t>
    </r>
    <r>
      <rPr>
        <vertAlign val="subscript"/>
        <sz val="11"/>
        <rFont val="Calibri"/>
        <family val="2"/>
        <charset val="238"/>
        <scheme val="minor"/>
      </rPr>
      <t>N2,NO3</t>
    </r>
    <r>
      <rPr>
        <sz val="11"/>
        <rFont val="Calibri"/>
        <family val="2"/>
        <scheme val="minor"/>
      </rPr>
      <t xml:space="preserve"> * v22_SN2*r22)) * DeltaHbio</t>
    </r>
  </si>
  <si>
    <t>((v87_SCH4 * r87) + (v88_SH2 * r88))</t>
  </si>
  <si>
    <t>Assuming 80% of biomass cytoplasm is water(wet mass0.8/ dry mass0.2)</t>
  </si>
  <si>
    <r>
      <t>%v.v</t>
    </r>
    <r>
      <rPr>
        <vertAlign val="superscript"/>
        <sz val="11"/>
        <rFont val="Calibri"/>
        <family val="2"/>
        <scheme val="minor"/>
      </rPr>
      <t>-1</t>
    </r>
  </si>
  <si>
    <t>CASTO with Phosphorus accumulating metabolism (PAM)</t>
  </si>
  <si>
    <t>CASTO with Glycogen accumulating metabolism (GAM)</t>
  </si>
  <si>
    <r>
      <t>(i</t>
    </r>
    <r>
      <rPr>
        <vertAlign val="subscript"/>
        <sz val="11"/>
        <rFont val="Calibri"/>
        <family val="2"/>
      </rPr>
      <t>CIT,SB</t>
    </r>
    <r>
      <rPr>
        <sz val="11"/>
        <rFont val="Calibri"/>
        <family val="2"/>
      </rPr>
      <t>-i</t>
    </r>
    <r>
      <rPr>
        <vertAlign val="subscript"/>
        <sz val="11"/>
        <rFont val="Calibri"/>
        <family val="2"/>
      </rPr>
      <t>CIT,VFA</t>
    </r>
    <r>
      <rPr>
        <sz val="11"/>
        <rFont val="Calibri"/>
        <family val="2"/>
      </rPr>
      <t>*(1-Y</t>
    </r>
    <r>
      <rPr>
        <vertAlign val="subscript"/>
        <sz val="11"/>
        <rFont val="Calibri"/>
        <family val="2"/>
      </rPr>
      <t>CASTO,SB,ana</t>
    </r>
    <r>
      <rPr>
        <sz val="11"/>
        <rFont val="Calibri"/>
        <family val="2"/>
      </rPr>
      <t>-Y</t>
    </r>
    <r>
      <rPr>
        <vertAlign val="subscript"/>
        <sz val="11"/>
        <rFont val="Calibri"/>
        <family val="2"/>
      </rPr>
      <t>CASTO,H2,ana,high</t>
    </r>
    <r>
      <rPr>
        <sz val="11"/>
        <rFont val="Calibri"/>
        <family val="2"/>
      </rPr>
      <t>)-i</t>
    </r>
    <r>
      <rPr>
        <vertAlign val="subscript"/>
        <sz val="11"/>
        <rFont val="Calibri"/>
        <family val="2"/>
      </rPr>
      <t>CIT,PHA</t>
    </r>
    <r>
      <rPr>
        <sz val="11"/>
        <rFont val="Calibri"/>
        <family val="2"/>
      </rPr>
      <t>*Y</t>
    </r>
    <r>
      <rPr>
        <vertAlign val="subscript"/>
        <sz val="11"/>
        <rFont val="Calibri"/>
        <family val="2"/>
      </rPr>
      <t>CASTO,SB,ana</t>
    </r>
    <r>
      <rPr>
        <sz val="11"/>
        <rFont val="Calibri"/>
        <family val="2"/>
      </rPr>
      <t>)/Y</t>
    </r>
    <r>
      <rPr>
        <vertAlign val="subscript"/>
        <sz val="11"/>
        <rFont val="Calibri"/>
        <family val="2"/>
      </rPr>
      <t>CASTO,SB,ana</t>
    </r>
  </si>
  <si>
    <r>
      <t>(i</t>
    </r>
    <r>
      <rPr>
        <vertAlign val="subscript"/>
        <sz val="11"/>
        <rFont val="Calibri"/>
        <family val="2"/>
      </rPr>
      <t>CIT,SB</t>
    </r>
    <r>
      <rPr>
        <sz val="11"/>
        <rFont val="Calibri"/>
        <family val="2"/>
      </rPr>
      <t>-i</t>
    </r>
    <r>
      <rPr>
        <vertAlign val="subscript"/>
        <sz val="11"/>
        <rFont val="Calibri"/>
        <family val="2"/>
      </rPr>
      <t>CIT,VFA</t>
    </r>
    <r>
      <rPr>
        <sz val="11"/>
        <rFont val="Calibri"/>
        <family val="2"/>
      </rPr>
      <t>*(1-Y</t>
    </r>
    <r>
      <rPr>
        <vertAlign val="subscript"/>
        <sz val="11"/>
        <rFont val="Calibri"/>
        <family val="2"/>
      </rPr>
      <t>CASTO,SB,ana</t>
    </r>
    <r>
      <rPr>
        <sz val="11"/>
        <rFont val="Calibri"/>
        <family val="2"/>
      </rPr>
      <t>-Y</t>
    </r>
    <r>
      <rPr>
        <vertAlign val="subscript"/>
        <sz val="11"/>
        <rFont val="Calibri"/>
        <family val="2"/>
      </rPr>
      <t>CASTO,H2,ana,low</t>
    </r>
    <r>
      <rPr>
        <sz val="11"/>
        <rFont val="Calibri"/>
        <family val="2"/>
      </rPr>
      <t>)-i</t>
    </r>
    <r>
      <rPr>
        <vertAlign val="subscript"/>
        <sz val="11"/>
        <rFont val="Calibri"/>
        <family val="2"/>
      </rPr>
      <t>CIT,PHA</t>
    </r>
    <r>
      <rPr>
        <sz val="11"/>
        <rFont val="Calibri"/>
        <family val="2"/>
      </rPr>
      <t>*Y</t>
    </r>
    <r>
      <rPr>
        <vertAlign val="subscript"/>
        <sz val="11"/>
        <rFont val="Calibri"/>
        <family val="2"/>
      </rPr>
      <t>CASTO,SB,ana</t>
    </r>
    <r>
      <rPr>
        <sz val="11"/>
        <rFont val="Calibri"/>
        <family val="2"/>
      </rPr>
      <t>)/Y</t>
    </r>
    <r>
      <rPr>
        <vertAlign val="subscript"/>
        <sz val="11"/>
        <rFont val="Calibri"/>
        <family val="2"/>
      </rPr>
      <t>CASTO,SB,ana</t>
    </r>
  </si>
  <si>
    <r>
      <t>(i</t>
    </r>
    <r>
      <rPr>
        <vertAlign val="subscript"/>
        <sz val="11"/>
        <rFont val="Calibri"/>
        <family val="2"/>
        <scheme val="minor"/>
      </rPr>
      <t>CV,BIO</t>
    </r>
    <r>
      <rPr>
        <sz val="11"/>
        <rFont val="Calibri"/>
        <family val="2"/>
        <scheme val="minor"/>
      </rPr>
      <t>-i</t>
    </r>
    <r>
      <rPr>
        <vertAlign val="subscript"/>
        <sz val="11"/>
        <rFont val="Calibri"/>
        <family val="2"/>
        <scheme val="minor"/>
      </rPr>
      <t>CV,XE</t>
    </r>
    <r>
      <rPr>
        <sz val="11"/>
        <rFont val="Calibri"/>
        <family val="2"/>
        <scheme val="minor"/>
      </rPr>
      <t>*f</t>
    </r>
    <r>
      <rPr>
        <vertAlign val="subscript"/>
        <sz val="11"/>
        <rFont val="Calibri"/>
        <family val="2"/>
        <scheme val="minor"/>
      </rPr>
      <t>E</t>
    </r>
    <r>
      <rPr>
        <sz val="11"/>
        <rFont val="Calibri"/>
        <family val="2"/>
        <scheme val="minor"/>
      </rPr>
      <t>)/(1-f</t>
    </r>
    <r>
      <rPr>
        <vertAlign val="subscript"/>
        <sz val="11"/>
        <rFont val="Calibri"/>
        <family val="2"/>
        <scheme val="minor"/>
      </rPr>
      <t>E</t>
    </r>
    <r>
      <rPr>
        <sz val="11"/>
        <rFont val="Calibri"/>
        <family val="2"/>
        <scheme val="minor"/>
      </rPr>
      <t>)</t>
    </r>
  </si>
  <si>
    <t>previously 0,30</t>
  </si>
  <si>
    <t>Rate of CH4 and H2 stripping (F)</t>
  </si>
  <si>
    <t>Rate of TCOD oxidized using oxygen (G)</t>
  </si>
  <si>
    <t>Rate of TCOD oxidized using nitrite and nitrate (H)</t>
  </si>
  <si>
    <t>Rate of TCOD produced by photosynthesis (I)</t>
  </si>
  <si>
    <t>Rate of TCOD in nitrifier growth (J)</t>
  </si>
  <si>
    <t>Rate of SNHx stripping (F)</t>
  </si>
  <si>
    <t>Rate of TN denitrified (G)</t>
  </si>
  <si>
    <t>Rate of SO2 transferred by mechanical aeration (D)</t>
  </si>
  <si>
    <t>Rate of SO2 transferred by natural aeration (E)</t>
  </si>
  <si>
    <t>Rate of SO2 consumed by carbon oxidation (F)</t>
  </si>
  <si>
    <t>Rate of SO2 consumed by nitrification (G)</t>
  </si>
  <si>
    <t>Rate of SO2 consumed by iron oxidation (H)</t>
  </si>
  <si>
    <t>Rate of SO2 produced by photosynthesis (I)</t>
  </si>
  <si>
    <t>Rate of SO2 produced by ALGAE respiration (J)</t>
  </si>
  <si>
    <t xml:space="preserve">Rate of ammonia from ordinary heterotrophic organisms </t>
  </si>
  <si>
    <t>Rate of ammonia from nitrification</t>
  </si>
  <si>
    <t>Rate of ammonia from algae</t>
  </si>
  <si>
    <t>Rate of ammonia from hydrolysis</t>
  </si>
  <si>
    <t>Rate of nitrate from ordinary heterotrophic organisms</t>
  </si>
  <si>
    <t>Rate of nitrate from nitrification</t>
  </si>
  <si>
    <t>Rate of nitrate from algae</t>
  </si>
  <si>
    <t>Rate of exchange of phosphate with sediments</t>
  </si>
  <si>
    <t>Rate of phosphate from ordinary heterotrophic organisms</t>
  </si>
  <si>
    <t>Rate of phosphate from nitrification</t>
  </si>
  <si>
    <t>Rate of phosphate from algae</t>
  </si>
  <si>
    <t>Rate of phosphate from precipitation reactions</t>
  </si>
  <si>
    <t>Rate of CO2 stripping</t>
  </si>
  <si>
    <t>Rate of CO2 from ordinary heterotrophic organisms</t>
  </si>
  <si>
    <t>Rate of CO2 consumed by nitrifying organisms</t>
  </si>
  <si>
    <t>Rate of CO2 from algae</t>
  </si>
  <si>
    <t>Rate of CO2 from hydrolysis processes</t>
  </si>
  <si>
    <t>Rate of CO2 from precipitation processes</t>
  </si>
  <si>
    <t>AAR</t>
  </si>
  <si>
    <t>Anaerobic activity rate (AAR)</t>
  </si>
  <si>
    <r>
      <t>g COD.m</t>
    </r>
    <r>
      <rPr>
        <vertAlign val="superscript"/>
        <sz val="11"/>
        <rFont val="Calibri"/>
        <family val="2"/>
        <scheme val="minor"/>
      </rPr>
      <t>-3</t>
    </r>
    <r>
      <rPr>
        <sz val="11"/>
        <rFont val="Calibri"/>
        <family val="2"/>
        <scheme val="minor"/>
      </rPr>
      <t>.d</t>
    </r>
    <r>
      <rPr>
        <vertAlign val="superscript"/>
        <sz val="11"/>
        <rFont val="Calibri"/>
        <family val="2"/>
        <scheme val="minor"/>
      </rPr>
      <t>-1</t>
    </r>
  </si>
  <si>
    <t>rbCODDR</t>
  </si>
  <si>
    <t>rbCODDR to AAR ratio</t>
  </si>
  <si>
    <r>
      <t>v5_S</t>
    </r>
    <r>
      <rPr>
        <vertAlign val="subscript"/>
        <sz val="11"/>
        <rFont val="Calibri"/>
        <family val="2"/>
        <scheme val="minor"/>
      </rPr>
      <t>H2</t>
    </r>
    <r>
      <rPr>
        <sz val="11"/>
        <rFont val="Calibri"/>
        <family val="2"/>
        <scheme val="minor"/>
      </rPr>
      <t xml:space="preserve"> * r5 + v6_S</t>
    </r>
    <r>
      <rPr>
        <vertAlign val="subscript"/>
        <sz val="11"/>
        <rFont val="Calibri"/>
        <family val="2"/>
        <scheme val="minor"/>
      </rPr>
      <t>H2</t>
    </r>
    <r>
      <rPr>
        <sz val="11"/>
        <rFont val="Calibri"/>
        <family val="2"/>
        <scheme val="minor"/>
      </rPr>
      <t xml:space="preserve"> * r6 + v25_S</t>
    </r>
    <r>
      <rPr>
        <vertAlign val="subscript"/>
        <sz val="11"/>
        <rFont val="Calibri"/>
        <family val="2"/>
        <scheme val="minor"/>
      </rPr>
      <t>H2</t>
    </r>
    <r>
      <rPr>
        <sz val="11"/>
        <rFont val="Calibri"/>
        <family val="2"/>
        <scheme val="minor"/>
      </rPr>
      <t xml:space="preserve"> * r25 + v26_S</t>
    </r>
    <r>
      <rPr>
        <vertAlign val="subscript"/>
        <sz val="11"/>
        <rFont val="Calibri"/>
        <family val="2"/>
        <scheme val="minor"/>
      </rPr>
      <t>H2</t>
    </r>
    <r>
      <rPr>
        <sz val="11"/>
        <rFont val="Calibri"/>
        <family val="2"/>
        <scheme val="minor"/>
      </rPr>
      <t xml:space="preserve"> * r26 + v33_S</t>
    </r>
    <r>
      <rPr>
        <vertAlign val="subscript"/>
        <sz val="11"/>
        <rFont val="Calibri"/>
        <family val="2"/>
        <scheme val="minor"/>
      </rPr>
      <t>CH4</t>
    </r>
    <r>
      <rPr>
        <sz val="11"/>
        <rFont val="Calibri"/>
        <family val="2"/>
        <scheme val="minor"/>
      </rPr>
      <t xml:space="preserve"> * r33 + v36_S</t>
    </r>
    <r>
      <rPr>
        <vertAlign val="subscript"/>
        <sz val="11"/>
        <rFont val="Calibri"/>
        <family val="2"/>
        <scheme val="minor"/>
      </rPr>
      <t>CH4</t>
    </r>
    <r>
      <rPr>
        <sz val="11"/>
        <rFont val="Calibri"/>
        <family val="2"/>
        <scheme val="minor"/>
      </rPr>
      <t xml:space="preserve"> * r36</t>
    </r>
  </si>
  <si>
    <t>AAR/rbCODDR</t>
  </si>
  <si>
    <r>
      <t>ORP</t>
    </r>
    <r>
      <rPr>
        <vertAlign val="subscript"/>
        <sz val="11"/>
        <rFont val="Calibri"/>
        <family val="2"/>
      </rPr>
      <t>ana</t>
    </r>
  </si>
  <si>
    <r>
      <t>Max(ORP</t>
    </r>
    <r>
      <rPr>
        <vertAlign val="subscript"/>
        <sz val="11"/>
        <rFont val="Calibri"/>
        <family val="2"/>
        <scheme val="minor"/>
      </rPr>
      <t>O2;</t>
    </r>
    <r>
      <rPr>
        <sz val="11"/>
        <rFont val="Calibri"/>
        <family val="2"/>
        <scheme val="minor"/>
      </rPr>
      <t>ORP</t>
    </r>
    <r>
      <rPr>
        <vertAlign val="subscript"/>
        <sz val="11"/>
        <rFont val="Calibri"/>
        <family val="2"/>
        <scheme val="minor"/>
      </rPr>
      <t>NOx;</t>
    </r>
    <r>
      <rPr>
        <sz val="11"/>
        <rFont val="Calibri"/>
        <family val="2"/>
        <scheme val="minor"/>
      </rPr>
      <t>ORP</t>
    </r>
    <r>
      <rPr>
        <vertAlign val="subscript"/>
        <sz val="11"/>
        <rFont val="Calibri"/>
        <family val="2"/>
        <scheme val="minor"/>
      </rPr>
      <t>ana</t>
    </r>
    <r>
      <rPr>
        <sz val="11"/>
        <rFont val="Calibri"/>
        <family val="2"/>
        <scheme val="minor"/>
      </rPr>
      <t>)</t>
    </r>
  </si>
  <si>
    <t>Oxidation-reduction potential due to anaerobic activity</t>
  </si>
  <si>
    <r>
      <t>K</t>
    </r>
    <r>
      <rPr>
        <vertAlign val="subscript"/>
        <sz val="11"/>
        <rFont val="Calibri"/>
        <family val="2"/>
        <scheme val="minor"/>
      </rPr>
      <t>ORP,ana</t>
    </r>
  </si>
  <si>
    <t>Half-saturation of anaerobic activity for anaerobic ORP</t>
  </si>
  <si>
    <t>rbCOD degradation rate (rbCODDR)</t>
  </si>
  <si>
    <r>
      <t>ORP</t>
    </r>
    <r>
      <rPr>
        <vertAlign val="subscript"/>
        <sz val="11"/>
        <rFont val="Calibri"/>
        <family val="2"/>
        <scheme val="minor"/>
      </rPr>
      <t xml:space="preserve">base </t>
    </r>
    <r>
      <rPr>
        <sz val="11"/>
        <rFont val="Calibri"/>
        <family val="2"/>
        <scheme val="minor"/>
      </rPr>
      <t>* (ratio</t>
    </r>
    <r>
      <rPr>
        <vertAlign val="subscript"/>
        <sz val="11"/>
        <rFont val="Calibri"/>
        <family val="2"/>
        <scheme val="minor"/>
      </rPr>
      <t>AAR,rbCODDR</t>
    </r>
    <r>
      <rPr>
        <sz val="11"/>
        <rFont val="Calibri"/>
        <family val="2"/>
        <scheme val="minor"/>
      </rPr>
      <t>)/(K</t>
    </r>
    <r>
      <rPr>
        <vertAlign val="subscript"/>
        <sz val="11"/>
        <rFont val="Calibri"/>
        <family val="2"/>
        <scheme val="minor"/>
      </rPr>
      <t xml:space="preserve">ORP,ana </t>
    </r>
    <r>
      <rPr>
        <sz val="11"/>
        <rFont val="Calibri"/>
        <family val="2"/>
        <scheme val="minor"/>
      </rPr>
      <t>+ ratio</t>
    </r>
    <r>
      <rPr>
        <vertAlign val="subscript"/>
        <sz val="11"/>
        <rFont val="Calibri"/>
        <family val="2"/>
        <scheme val="minor"/>
      </rPr>
      <t>AAR,rbCODDR</t>
    </r>
    <r>
      <rPr>
        <sz val="11"/>
        <rFont val="Calibri"/>
        <family val="2"/>
        <scheme val="minor"/>
      </rPr>
      <t>)</t>
    </r>
  </si>
  <si>
    <r>
      <t>-(v1_S</t>
    </r>
    <r>
      <rPr>
        <vertAlign val="subscript"/>
        <sz val="11"/>
        <rFont val="Calibri"/>
        <family val="2"/>
        <scheme val="minor"/>
      </rPr>
      <t>VFA</t>
    </r>
    <r>
      <rPr>
        <sz val="11"/>
        <rFont val="Calibri"/>
        <family val="2"/>
        <scheme val="minor"/>
      </rPr>
      <t xml:space="preserve"> * r1 + v2_S</t>
    </r>
    <r>
      <rPr>
        <vertAlign val="subscript"/>
        <sz val="11"/>
        <rFont val="Calibri"/>
        <family val="2"/>
        <scheme val="minor"/>
      </rPr>
      <t>VFA</t>
    </r>
    <r>
      <rPr>
        <sz val="11"/>
        <rFont val="Calibri"/>
        <family val="2"/>
        <scheme val="minor"/>
      </rPr>
      <t xml:space="preserve"> * r2 + v19_S</t>
    </r>
    <r>
      <rPr>
        <vertAlign val="subscript"/>
        <sz val="11"/>
        <rFont val="Calibri"/>
        <family val="2"/>
        <scheme val="minor"/>
      </rPr>
      <t>VFA</t>
    </r>
    <r>
      <rPr>
        <sz val="11"/>
        <rFont val="Calibri"/>
        <family val="2"/>
        <scheme val="minor"/>
      </rPr>
      <t xml:space="preserve"> * r19 + v20_S</t>
    </r>
    <r>
      <rPr>
        <vertAlign val="subscript"/>
        <sz val="11"/>
        <rFont val="Calibri"/>
        <family val="2"/>
        <scheme val="minor"/>
      </rPr>
      <t>VFA</t>
    </r>
    <r>
      <rPr>
        <sz val="11"/>
        <rFont val="Calibri"/>
        <family val="2"/>
        <scheme val="minor"/>
      </rPr>
      <t xml:space="preserve"> * r20 +  v33_S</t>
    </r>
    <r>
      <rPr>
        <vertAlign val="subscript"/>
        <sz val="11"/>
        <rFont val="Calibri"/>
        <family val="2"/>
        <scheme val="minor"/>
      </rPr>
      <t>VFA</t>
    </r>
    <r>
      <rPr>
        <sz val="11"/>
        <rFont val="Calibri"/>
        <family val="2"/>
        <scheme val="minor"/>
      </rPr>
      <t xml:space="preserve"> * r33 + v3_S</t>
    </r>
    <r>
      <rPr>
        <vertAlign val="subscript"/>
        <sz val="11"/>
        <rFont val="Calibri"/>
        <family val="2"/>
        <scheme val="minor"/>
      </rPr>
      <t>B</t>
    </r>
    <r>
      <rPr>
        <sz val="11"/>
        <rFont val="Calibri"/>
        <family val="2"/>
        <scheme val="minor"/>
      </rPr>
      <t xml:space="preserve"> * r3 + v4_S</t>
    </r>
    <r>
      <rPr>
        <vertAlign val="subscript"/>
        <sz val="11"/>
        <rFont val="Calibri"/>
        <family val="2"/>
        <scheme val="minor"/>
      </rPr>
      <t>B</t>
    </r>
    <r>
      <rPr>
        <sz val="11"/>
        <rFont val="Calibri"/>
        <family val="2"/>
        <scheme val="minor"/>
      </rPr>
      <t xml:space="preserve"> * r4 + v5_S</t>
    </r>
    <r>
      <rPr>
        <vertAlign val="subscript"/>
        <sz val="11"/>
        <rFont val="Calibri"/>
        <family val="2"/>
        <scheme val="minor"/>
      </rPr>
      <t>B</t>
    </r>
    <r>
      <rPr>
        <sz val="11"/>
        <rFont val="Calibri"/>
        <family val="2"/>
        <scheme val="minor"/>
      </rPr>
      <t xml:space="preserve"> * r5 + v6_S</t>
    </r>
    <r>
      <rPr>
        <vertAlign val="subscript"/>
        <sz val="11"/>
        <rFont val="Calibri"/>
        <family val="2"/>
        <scheme val="minor"/>
      </rPr>
      <t>B</t>
    </r>
    <r>
      <rPr>
        <sz val="11"/>
        <rFont val="Calibri"/>
        <family val="2"/>
        <scheme val="minor"/>
      </rPr>
      <t xml:space="preserve"> * r6 + v25_S</t>
    </r>
    <r>
      <rPr>
        <vertAlign val="subscript"/>
        <sz val="11"/>
        <rFont val="Calibri"/>
        <family val="2"/>
        <scheme val="minor"/>
      </rPr>
      <t>B</t>
    </r>
    <r>
      <rPr>
        <sz val="11"/>
        <rFont val="Calibri"/>
        <family val="2"/>
        <scheme val="minor"/>
      </rPr>
      <t xml:space="preserve"> * r25 + v26_S</t>
    </r>
    <r>
      <rPr>
        <vertAlign val="subscript"/>
        <sz val="11"/>
        <rFont val="Calibri"/>
        <family val="2"/>
        <scheme val="minor"/>
      </rPr>
      <t>B</t>
    </r>
    <r>
      <rPr>
        <sz val="11"/>
        <rFont val="Calibri"/>
        <family val="2"/>
        <scheme val="minor"/>
      </rPr>
      <t xml:space="preserve"> * r26 + v7_S</t>
    </r>
    <r>
      <rPr>
        <vertAlign val="subscript"/>
        <sz val="11"/>
        <rFont val="Calibri"/>
        <family val="2"/>
        <scheme val="minor"/>
      </rPr>
      <t>MEOL</t>
    </r>
    <r>
      <rPr>
        <sz val="11"/>
        <rFont val="Calibri"/>
        <family val="2"/>
        <scheme val="minor"/>
      </rPr>
      <t xml:space="preserve"> * r7 + v10_S</t>
    </r>
    <r>
      <rPr>
        <vertAlign val="subscript"/>
        <sz val="11"/>
        <rFont val="Calibri"/>
        <family val="2"/>
        <scheme val="minor"/>
      </rPr>
      <t>MEOL</t>
    </r>
    <r>
      <rPr>
        <sz val="11"/>
        <rFont val="Calibri"/>
        <family val="2"/>
        <scheme val="minor"/>
      </rPr>
      <t xml:space="preserve"> * r10 )</t>
    </r>
  </si>
  <si>
    <r>
      <t>X</t>
    </r>
    <r>
      <rPr>
        <vertAlign val="subscript"/>
        <sz val="11"/>
        <rFont val="Calibri"/>
        <family val="2"/>
      </rPr>
      <t>B</t>
    </r>
    <r>
      <rPr>
        <sz val="11"/>
        <rFont val="Calibri"/>
        <family val="2"/>
      </rPr>
      <t xml:space="preserve"> + X</t>
    </r>
    <r>
      <rPr>
        <vertAlign val="subscript"/>
        <sz val="11"/>
        <rFont val="Calibri"/>
        <family val="2"/>
      </rPr>
      <t>B,e</t>
    </r>
    <r>
      <rPr>
        <sz val="11"/>
        <rFont val="Calibri"/>
        <family val="2"/>
      </rPr>
      <t xml:space="preserve"> + C</t>
    </r>
    <r>
      <rPr>
        <vertAlign val="subscript"/>
        <sz val="11"/>
        <rFont val="Calibri"/>
        <family val="2"/>
      </rPr>
      <t>B</t>
    </r>
  </si>
  <si>
    <r>
      <t>ratio</t>
    </r>
    <r>
      <rPr>
        <vertAlign val="subscript"/>
        <sz val="11"/>
        <rFont val="Calibri"/>
        <family val="2"/>
      </rPr>
      <t>AAR,rbCODDR</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</si>
</sst>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8" formatCode="#,##0.00\ &quot;€&quot;;[Red]\-#,##0.00\ &quot;€&quot;"/>
    <numFmt numFmtId="164" formatCode="0.0"/>
    <numFmt numFmtId="165" formatCode="0.0000"/>
    <numFmt numFmtId="166" formatCode="0.000"/>
    <numFmt numFmtId="167" formatCode="0.000E+00"/>
    <numFmt numFmtId="168" formatCode="0.00000"/>
    <numFmt numFmtId="169" formatCode="0.000000"/>
  </numFmts>
  <fonts count="108" x14ac:knownFonts="1">
    <font>
      <sz val="11"/>
      <color indexed="8"/>
      <name val="Calibri"/>
      <family val="2"/>
    </font>
    <font>
      <sz val="11"/>
      <color theme="1"/>
      <name val="Calibri"/>
      <family val="2"/>
      <scheme val="minor"/>
    </font>
    <font>
      <sz val="11"/>
      <color theme="1"/>
      <name val="Calibri"/>
      <family val="2"/>
      <charset val="238"/>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1"/>
      <color indexed="8"/>
      <name val="Calibri"/>
      <family val="2"/>
    </font>
    <font>
      <b/>
      <i/>
      <sz val="11"/>
      <color indexed="8"/>
      <name val="Calibri"/>
      <family val="2"/>
    </font>
    <font>
      <sz val="8"/>
      <name val="Calibri"/>
      <family val="2"/>
    </font>
    <font>
      <sz val="11"/>
      <color indexed="8"/>
      <name val="Arial"/>
      <family val="2"/>
      <charset val="238"/>
    </font>
    <font>
      <b/>
      <sz val="11"/>
      <color indexed="8"/>
      <name val="Arial"/>
      <family val="2"/>
    </font>
    <font>
      <sz val="11"/>
      <color rgb="FFFF0000"/>
      <name val="Calibri"/>
      <family val="2"/>
    </font>
    <font>
      <b/>
      <sz val="11"/>
      <color theme="1"/>
      <name val="Calibri"/>
      <family val="2"/>
      <scheme val="minor"/>
    </font>
    <font>
      <vertAlign val="subscript"/>
      <sz val="11"/>
      <color indexed="8"/>
      <name val="Calibri"/>
      <family val="2"/>
      <charset val="238"/>
    </font>
    <font>
      <b/>
      <sz val="11"/>
      <color indexed="8"/>
      <name val="Calibri"/>
      <family val="2"/>
      <charset val="238"/>
    </font>
    <font>
      <sz val="11"/>
      <color indexed="8"/>
      <name val="Calibri"/>
      <family val="2"/>
      <charset val="238"/>
    </font>
    <font>
      <b/>
      <sz val="14"/>
      <color indexed="8"/>
      <name val="Calibri"/>
      <family val="2"/>
      <charset val="238"/>
    </font>
    <font>
      <b/>
      <sz val="11"/>
      <color rgb="FF002060"/>
      <name val="Calibri"/>
      <family val="2"/>
    </font>
    <font>
      <sz val="11"/>
      <color rgb="FFC00000"/>
      <name val="Calibri"/>
      <family val="2"/>
    </font>
    <font>
      <sz val="11"/>
      <color theme="1"/>
      <name val="Calibri"/>
      <family val="2"/>
    </font>
    <font>
      <sz val="11"/>
      <color indexed="8"/>
      <name val="Calibri"/>
      <family val="2"/>
    </font>
    <font>
      <b/>
      <sz val="11"/>
      <color rgb="FFFF0000"/>
      <name val="Calibri"/>
      <family val="2"/>
      <scheme val="minor"/>
    </font>
    <font>
      <sz val="10"/>
      <name val="Arial"/>
      <family val="2"/>
    </font>
    <font>
      <sz val="11"/>
      <name val="Calibri"/>
      <family val="2"/>
    </font>
    <font>
      <sz val="11"/>
      <color indexed="8"/>
      <name val="Arial"/>
      <family val="2"/>
    </font>
    <font>
      <b/>
      <sz val="11"/>
      <name val="Calibri"/>
      <family val="2"/>
    </font>
    <font>
      <sz val="11"/>
      <name val="Calibri"/>
      <family val="2"/>
      <scheme val="minor"/>
    </font>
    <font>
      <vertAlign val="subscript"/>
      <sz val="11"/>
      <color indexed="8"/>
      <name val="Calibri"/>
      <family val="2"/>
    </font>
    <font>
      <vertAlign val="subscript"/>
      <sz val="11"/>
      <color indexed="8"/>
      <name val="Calibri"/>
      <family val="2"/>
      <scheme val="minor"/>
    </font>
    <font>
      <u/>
      <sz val="11"/>
      <color theme="10"/>
      <name val="Calibri"/>
      <family val="2"/>
    </font>
    <font>
      <sz val="11"/>
      <color indexed="8"/>
      <name val="Calibri"/>
      <family val="2"/>
      <scheme val="minor"/>
    </font>
    <font>
      <vertAlign val="subscript"/>
      <sz val="11"/>
      <name val="Calibri"/>
      <family val="2"/>
    </font>
    <font>
      <sz val="11"/>
      <color rgb="FF00B050"/>
      <name val="Calibri"/>
      <family val="2"/>
    </font>
    <font>
      <b/>
      <sz val="11"/>
      <color indexed="8"/>
      <name val="Calibri"/>
      <family val="2"/>
      <scheme val="minor"/>
    </font>
    <font>
      <b/>
      <sz val="11"/>
      <name val="Calibri"/>
      <family val="2"/>
      <scheme val="minor"/>
    </font>
    <font>
      <vertAlign val="subscript"/>
      <sz val="11"/>
      <name val="Calibri"/>
      <family val="2"/>
      <scheme val="minor"/>
    </font>
    <font>
      <vertAlign val="superscript"/>
      <sz val="11"/>
      <name val="Calibri"/>
      <family val="2"/>
    </font>
    <font>
      <vertAlign val="superscript"/>
      <sz val="11"/>
      <name val="Calibri"/>
      <family val="2"/>
      <scheme val="minor"/>
    </font>
    <font>
      <b/>
      <sz val="12"/>
      <name val="Calibri"/>
      <family val="2"/>
      <scheme val="minor"/>
    </font>
    <font>
      <b/>
      <vertAlign val="subscript"/>
      <sz val="12"/>
      <name val="Calibri"/>
      <family val="2"/>
      <scheme val="minor"/>
    </font>
    <font>
      <vertAlign val="subscript"/>
      <sz val="11"/>
      <name val="Calibri"/>
      <family val="2"/>
      <charset val="238"/>
      <scheme val="minor"/>
    </font>
    <font>
      <b/>
      <i/>
      <sz val="11"/>
      <name val="Calibri"/>
      <family val="2"/>
      <scheme val="minor"/>
    </font>
    <font>
      <b/>
      <vertAlign val="superscript"/>
      <sz val="11"/>
      <name val="Calibri"/>
      <family val="2"/>
    </font>
    <font>
      <b/>
      <vertAlign val="subscript"/>
      <sz val="11"/>
      <name val="Calibri"/>
      <family val="2"/>
    </font>
    <font>
      <vertAlign val="subscript"/>
      <sz val="11"/>
      <name val="Calibri"/>
      <family val="2"/>
      <charset val="238"/>
    </font>
    <font>
      <vertAlign val="superscript"/>
      <sz val="8"/>
      <name val="Arial"/>
      <family val="2"/>
    </font>
    <font>
      <b/>
      <vertAlign val="subscript"/>
      <sz val="11"/>
      <name val="Calibri"/>
      <family val="2"/>
      <scheme val="minor"/>
    </font>
    <font>
      <vertAlign val="superscript"/>
      <sz val="11"/>
      <color indexed="8"/>
      <name val="Calibri"/>
      <family val="2"/>
      <scheme val="minor"/>
    </font>
    <font>
      <sz val="11"/>
      <color rgb="FF0082C8"/>
      <name val="Calibri"/>
      <family val="2"/>
      <scheme val="minor"/>
    </font>
    <font>
      <sz val="11"/>
      <color rgb="FFFF0000"/>
      <name val="Calibri"/>
      <family val="2"/>
      <scheme val="minor"/>
    </font>
    <font>
      <vertAlign val="subscript"/>
      <sz val="11"/>
      <color theme="1"/>
      <name val="Calibri"/>
      <family val="2"/>
      <scheme val="minor"/>
    </font>
    <font>
      <vertAlign val="superscript"/>
      <sz val="11"/>
      <color theme="1"/>
      <name val="Calibri"/>
      <family val="2"/>
      <scheme val="minor"/>
    </font>
    <font>
      <i/>
      <vertAlign val="subscript"/>
      <sz val="11"/>
      <name val="Calibri"/>
      <family val="2"/>
    </font>
    <font>
      <b/>
      <sz val="11"/>
      <color indexed="9"/>
      <name val="Calibri"/>
      <family val="2"/>
      <scheme val="minor"/>
    </font>
    <font>
      <sz val="11"/>
      <color rgb="FF00B050"/>
      <name val="Calibri"/>
      <family val="2"/>
      <scheme val="minor"/>
    </font>
    <font>
      <i/>
      <sz val="11"/>
      <name val="Calibri"/>
      <family val="2"/>
      <scheme val="minor"/>
    </font>
    <font>
      <i/>
      <vertAlign val="subscript"/>
      <sz val="11"/>
      <name val="Calibri"/>
      <family val="2"/>
      <scheme val="minor"/>
    </font>
    <font>
      <vertAlign val="superscript"/>
      <sz val="11"/>
      <name val="Calibri"/>
      <family val="2"/>
      <charset val="238"/>
      <scheme val="minor"/>
    </font>
    <font>
      <vertAlign val="superscript"/>
      <sz val="11"/>
      <color theme="1"/>
      <name val="Calibri"/>
      <family val="2"/>
      <charset val="238"/>
      <scheme val="minor"/>
    </font>
    <font>
      <vertAlign val="superscript"/>
      <sz val="11"/>
      <name val="Calibri"/>
      <family val="2"/>
      <charset val="238"/>
    </font>
    <font>
      <sz val="20"/>
      <color theme="0" tint="-0.499984740745262"/>
      <name val="Calibri"/>
      <family val="2"/>
      <scheme val="minor"/>
    </font>
    <font>
      <vertAlign val="subscript"/>
      <sz val="12.65"/>
      <name val="Calibri"/>
      <family val="2"/>
    </font>
    <font>
      <vertAlign val="subscript"/>
      <sz val="11"/>
      <color rgb="FF000000"/>
      <name val="Calibri"/>
      <family val="2"/>
      <scheme val="minor"/>
    </font>
    <font>
      <sz val="11"/>
      <color rgb="FF000000"/>
      <name val="Calibri"/>
      <family val="2"/>
      <charset val="238"/>
      <scheme val="minor"/>
    </font>
    <font>
      <vertAlign val="superscript"/>
      <sz val="11"/>
      <color rgb="FF000000"/>
      <name val="Calibri"/>
      <family val="2"/>
      <scheme val="minor"/>
    </font>
    <font>
      <sz val="11"/>
      <name val="Calibri"/>
      <family val="2"/>
      <charset val="238"/>
      <scheme val="minor"/>
    </font>
    <font>
      <vertAlign val="subscript"/>
      <sz val="11"/>
      <color rgb="FF000000"/>
      <name val="Calibri"/>
      <family val="2"/>
    </font>
    <font>
      <sz val="11"/>
      <name val="Calibri"/>
      <family val="2"/>
      <charset val="238"/>
    </font>
    <font>
      <vertAlign val="subscript"/>
      <sz val="11"/>
      <color rgb="FF000000"/>
      <name val="Calibri"/>
      <family val="2"/>
      <charset val="238"/>
      <scheme val="minor"/>
    </font>
    <font>
      <b/>
      <vertAlign val="subscript"/>
      <sz val="12"/>
      <name val="Calibri"/>
      <family val="2"/>
      <charset val="238"/>
      <scheme val="minor"/>
    </font>
    <font>
      <vertAlign val="subscript"/>
      <sz val="11"/>
      <color rgb="FF000000"/>
      <name val="Calibri"/>
      <family val="2"/>
      <charset val="238"/>
    </font>
    <font>
      <sz val="11"/>
      <color rgb="FF000000"/>
      <name val="Calibri"/>
      <family val="2"/>
      <charset val="238"/>
    </font>
    <font>
      <vertAlign val="subscript"/>
      <sz val="9.35"/>
      <name val="Calibri"/>
      <family val="2"/>
      <charset val="238"/>
    </font>
    <font>
      <vertAlign val="subscript"/>
      <sz val="11"/>
      <color indexed="8"/>
      <name val="Calibri"/>
      <family val="2"/>
      <charset val="238"/>
      <scheme val="minor"/>
    </font>
    <font>
      <sz val="11"/>
      <color indexed="8"/>
      <name val="Calibri"/>
      <family val="2"/>
      <charset val="238"/>
      <scheme val="minor"/>
    </font>
    <font>
      <b/>
      <sz val="11"/>
      <name val="Calibri"/>
      <family val="2"/>
      <charset val="238"/>
      <scheme val="minor"/>
    </font>
    <font>
      <b/>
      <vertAlign val="subscript"/>
      <sz val="11"/>
      <name val="Calibri"/>
      <family val="2"/>
      <charset val="238"/>
      <scheme val="minor"/>
    </font>
    <font>
      <b/>
      <vertAlign val="subscript"/>
      <sz val="11"/>
      <name val="Calibri"/>
      <family val="2"/>
      <charset val="238"/>
    </font>
    <font>
      <b/>
      <sz val="11"/>
      <name val="Calibri"/>
      <family val="2"/>
      <charset val="238"/>
    </font>
    <font>
      <b/>
      <sz val="12"/>
      <name val="Calibri"/>
      <family val="2"/>
      <charset val="238"/>
      <scheme val="minor"/>
    </font>
    <font>
      <vertAlign val="superscript"/>
      <sz val="11"/>
      <color indexed="8"/>
      <name val="Calibri"/>
      <family val="2"/>
      <charset val="238"/>
      <scheme val="minor"/>
    </font>
    <font>
      <vertAlign val="superscript"/>
      <sz val="11"/>
      <color indexed="8"/>
      <name val="Calibri"/>
      <family val="2"/>
      <charset val="238"/>
    </font>
    <font>
      <vertAlign val="superscript"/>
      <sz val="11"/>
      <color indexed="8"/>
      <name val="Calibri"/>
      <family val="2"/>
    </font>
    <font>
      <b/>
      <i/>
      <sz val="11"/>
      <color theme="0" tint="-0.499984740745262"/>
      <name val="Calibri"/>
      <family val="2"/>
      <scheme val="minor"/>
    </font>
    <font>
      <sz val="11"/>
      <color rgb="FF000000"/>
      <name val="Calibri"/>
      <family val="2"/>
      <scheme val="minor"/>
    </font>
    <font>
      <sz val="11"/>
      <color rgb="FF000000"/>
      <name val="Calibri"/>
      <family val="2"/>
    </font>
    <font>
      <sz val="11"/>
      <color rgb="FF9C5700"/>
      <name val="Calibri"/>
      <family val="2"/>
      <scheme val="minor"/>
    </font>
  </fonts>
  <fills count="48">
    <fill>
      <patternFill patternType="none"/>
    </fill>
    <fill>
      <patternFill patternType="gray125"/>
    </fill>
    <fill>
      <patternFill patternType="solid">
        <fgColor theme="0"/>
        <bgColor indexed="64"/>
      </patternFill>
    </fill>
    <fill>
      <patternFill patternType="solid">
        <fgColor rgb="FF498F87"/>
        <bgColor indexed="64"/>
      </patternFill>
    </fill>
    <fill>
      <patternFill patternType="solid">
        <fgColor theme="8" tint="0.59999389629810485"/>
        <bgColor indexed="64"/>
      </patternFill>
    </fill>
    <fill>
      <patternFill patternType="solid">
        <fgColor rgb="FFFFFF00"/>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rgb="FFFFFFCC"/>
        <bgColor indexed="64"/>
      </patternFill>
    </fill>
    <fill>
      <patternFill patternType="solid">
        <fgColor theme="0" tint="-4.9989318521683403E-2"/>
        <bgColor indexed="64"/>
      </patternFill>
    </fill>
    <fill>
      <patternFill patternType="solid">
        <fgColor theme="2" tint="-9.9978637043366805E-2"/>
        <bgColor indexed="64"/>
      </patternFill>
    </fill>
    <fill>
      <patternFill patternType="solid">
        <fgColor theme="9" tint="0.79995117038483843"/>
        <bgColor indexed="64"/>
      </patternFill>
    </fill>
    <fill>
      <patternFill patternType="solid">
        <fgColor theme="8" tint="0.39997558519241921"/>
        <bgColor indexed="64"/>
      </patternFill>
    </fill>
    <fill>
      <patternFill patternType="solid">
        <fgColor theme="6" tint="0.39997558519241921"/>
        <bgColor indexed="64"/>
      </patternFill>
    </fill>
    <fill>
      <patternFill patternType="solid">
        <fgColor theme="9" tint="0.59999389629810485"/>
        <bgColor indexed="64"/>
      </patternFill>
    </fill>
    <fill>
      <patternFill patternType="solid">
        <fgColor rgb="FFFFFFFF"/>
        <bgColor indexed="64"/>
      </patternFill>
    </fill>
    <fill>
      <patternFill patternType="solid">
        <fgColor theme="2" tint="-0.249977111117893"/>
        <bgColor indexed="64"/>
      </patternFill>
    </fill>
    <fill>
      <patternFill patternType="solid">
        <fgColor theme="0" tint="-0.14999847407452621"/>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6" tint="0.59999389629810485"/>
        <bgColor indexed="64"/>
      </patternFill>
    </fill>
    <fill>
      <patternFill patternType="solid">
        <fgColor theme="3" tint="0.79998168889431442"/>
        <bgColor indexed="64"/>
      </patternFill>
    </fill>
    <fill>
      <patternFill patternType="solid">
        <fgColor rgb="FF2B8DD5"/>
        <bgColor indexed="64"/>
      </patternFill>
    </fill>
    <fill>
      <patternFill patternType="solid">
        <fgColor indexed="9"/>
        <bgColor indexed="64"/>
      </patternFill>
    </fill>
    <fill>
      <patternFill patternType="solid">
        <fgColor rgb="FFC0C0C0"/>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theme="6" tint="-0.249977111117893"/>
        <bgColor indexed="64"/>
      </patternFill>
    </fill>
    <fill>
      <patternFill patternType="solid">
        <fgColor rgb="FF2B8DD5"/>
        <bgColor indexed="9"/>
      </patternFill>
    </fill>
    <fill>
      <patternFill patternType="solid">
        <fgColor theme="7" tint="0.79998168889431442"/>
        <bgColor indexed="64"/>
      </patternFill>
    </fill>
    <fill>
      <patternFill patternType="solid">
        <fgColor theme="9"/>
        <bgColor indexed="64"/>
      </patternFill>
    </fill>
    <fill>
      <patternFill patternType="solid">
        <fgColor indexed="13"/>
        <bgColor indexed="64"/>
      </patternFill>
    </fill>
    <fill>
      <patternFill patternType="solid">
        <fgColor rgb="FFDCE6F1"/>
        <bgColor indexed="64"/>
      </patternFill>
    </fill>
    <fill>
      <patternFill patternType="solid">
        <fgColor rgb="FFB8CCE4"/>
        <bgColor indexed="64"/>
      </patternFill>
    </fill>
    <fill>
      <patternFill patternType="solid">
        <fgColor rgb="FFF2F2F2"/>
        <bgColor indexed="64"/>
      </patternFill>
    </fill>
    <fill>
      <patternFill patternType="solid">
        <fgColor rgb="FFDDD9C4"/>
        <bgColor indexed="64"/>
      </patternFill>
    </fill>
    <fill>
      <patternFill patternType="solid">
        <fgColor rgb="FFC4BD97"/>
        <bgColor indexed="64"/>
      </patternFill>
    </fill>
    <fill>
      <patternFill patternType="solid">
        <fgColor rgb="FF76933C"/>
        <bgColor indexed="64"/>
      </patternFill>
    </fill>
    <fill>
      <patternFill patternType="solid">
        <fgColor rgb="FFEBF1DE"/>
        <bgColor indexed="64"/>
      </patternFill>
    </fill>
    <fill>
      <patternFill patternType="solid">
        <fgColor rgb="FFFDE9D9"/>
        <bgColor indexed="64"/>
      </patternFill>
    </fill>
    <fill>
      <patternFill patternType="solid">
        <fgColor rgb="FFFCD5B4"/>
        <bgColor indexed="64"/>
      </patternFill>
    </fill>
    <fill>
      <patternFill patternType="solid">
        <fgColor rgb="FFC4D79B"/>
        <bgColor indexed="64"/>
      </patternFill>
    </fill>
    <fill>
      <patternFill patternType="solid">
        <fgColor rgb="FFE4DFEC"/>
        <bgColor indexed="64"/>
      </patternFill>
    </fill>
    <fill>
      <patternFill patternType="solid">
        <fgColor rgb="FFB7DEE8"/>
        <bgColor indexed="64"/>
      </patternFill>
    </fill>
    <fill>
      <patternFill patternType="solid">
        <fgColor indexed="11"/>
        <bgColor indexed="64"/>
      </patternFill>
    </fill>
    <fill>
      <patternFill patternType="solid">
        <fgColor rgb="FFFFEB9C"/>
      </patternFill>
    </fill>
  </fills>
  <borders count="214">
    <border>
      <left/>
      <right/>
      <top/>
      <bottom/>
      <diagonal/>
    </border>
    <border>
      <left style="medium">
        <color indexed="64"/>
      </left>
      <right style="medium">
        <color indexed="8"/>
      </right>
      <top style="medium">
        <color indexed="64"/>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8"/>
      </left>
      <right style="medium">
        <color indexed="8"/>
      </right>
      <top style="medium">
        <color indexed="8"/>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rgb="FF000000"/>
      </left>
      <right style="medium">
        <color rgb="FF000000"/>
      </right>
      <top style="medium">
        <color rgb="FF000000"/>
      </top>
      <bottom/>
      <diagonal/>
    </border>
    <border>
      <left style="medium">
        <color indexed="64"/>
      </left>
      <right/>
      <top style="medium">
        <color indexed="64"/>
      </top>
      <bottom style="medium">
        <color indexed="64"/>
      </bottom>
      <diagonal/>
    </border>
    <border>
      <left/>
      <right style="medium">
        <color indexed="8"/>
      </right>
      <top style="medium">
        <color indexed="64"/>
      </top>
      <bottom/>
      <diagonal/>
    </border>
    <border>
      <left/>
      <right style="medium">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bottom style="medium">
        <color indexed="64"/>
      </bottom>
      <diagonal/>
    </border>
    <border>
      <left style="medium">
        <color indexed="64"/>
      </left>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8"/>
      </left>
      <right style="medium">
        <color indexed="8"/>
      </right>
      <top style="medium">
        <color indexed="8"/>
      </top>
      <bottom/>
      <diagonal/>
    </border>
    <border>
      <left/>
      <right/>
      <top style="medium">
        <color indexed="64"/>
      </top>
      <bottom/>
      <diagonal/>
    </border>
    <border>
      <left style="thin">
        <color indexed="64"/>
      </left>
      <right style="thin">
        <color indexed="64"/>
      </right>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bottom style="medium">
        <color indexed="64"/>
      </bottom>
      <diagonal/>
    </border>
    <border>
      <left style="medium">
        <color indexed="8"/>
      </left>
      <right style="medium">
        <color indexed="8"/>
      </right>
      <top style="medium">
        <color indexed="8"/>
      </top>
      <bottom/>
      <diagonal/>
    </border>
    <border>
      <left style="medium">
        <color indexed="64"/>
      </left>
      <right style="medium">
        <color indexed="64"/>
      </right>
      <top style="medium">
        <color indexed="64"/>
      </top>
      <bottom/>
      <diagonal/>
    </border>
    <border>
      <left style="medium">
        <color indexed="8"/>
      </left>
      <right style="medium">
        <color indexed="8"/>
      </right>
      <top style="medium">
        <color indexed="8"/>
      </top>
      <bottom/>
      <diagonal/>
    </border>
    <border>
      <left style="medium">
        <color indexed="64"/>
      </left>
      <right style="thin">
        <color indexed="64"/>
      </right>
      <top style="medium">
        <color auto="1"/>
      </top>
      <bottom style="medium">
        <color indexed="64"/>
      </bottom>
      <diagonal/>
    </border>
    <border>
      <left style="thin">
        <color indexed="64"/>
      </left>
      <right style="thin">
        <color indexed="64"/>
      </right>
      <top style="medium">
        <color auto="1"/>
      </top>
      <bottom style="medium">
        <color indexed="64"/>
      </bottom>
      <diagonal/>
    </border>
    <border>
      <left style="thin">
        <color indexed="64"/>
      </left>
      <right style="medium">
        <color indexed="64"/>
      </right>
      <top style="medium">
        <color auto="1"/>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auto="1"/>
      </top>
      <bottom style="medium">
        <color indexed="64"/>
      </bottom>
      <diagonal/>
    </border>
    <border>
      <left style="thin">
        <color indexed="64"/>
      </left>
      <right style="thin">
        <color indexed="64"/>
      </right>
      <top style="medium">
        <color auto="1"/>
      </top>
      <bottom style="medium">
        <color indexed="64"/>
      </bottom>
      <diagonal/>
    </border>
    <border>
      <left style="thin">
        <color indexed="64"/>
      </left>
      <right style="medium">
        <color indexed="64"/>
      </right>
      <top style="medium">
        <color auto="1"/>
      </top>
      <bottom style="medium">
        <color indexed="64"/>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style="thin">
        <color indexed="64"/>
      </right>
      <top style="medium">
        <color auto="1"/>
      </top>
      <bottom/>
      <diagonal/>
    </border>
    <border>
      <left style="thin">
        <color indexed="64"/>
      </left>
      <right style="thin">
        <color indexed="64"/>
      </right>
      <top style="medium">
        <color auto="1"/>
      </top>
      <bottom/>
      <diagonal/>
    </border>
    <border>
      <left style="thin">
        <color indexed="64"/>
      </left>
      <right style="medium">
        <color indexed="64"/>
      </right>
      <top style="medium">
        <color auto="1"/>
      </top>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indexed="8"/>
      </left>
      <right style="medium">
        <color indexed="8"/>
      </right>
      <top style="medium">
        <color indexed="8"/>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auto="1"/>
      </left>
      <right style="thin">
        <color auto="1"/>
      </right>
      <top style="medium">
        <color auto="1"/>
      </top>
      <bottom style="medium">
        <color auto="1"/>
      </bottom>
      <diagonal/>
    </border>
    <border>
      <left style="medium">
        <color indexed="64"/>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style="medium">
        <color indexed="9"/>
      </left>
      <right style="medium">
        <color indexed="9"/>
      </right>
      <top/>
      <bottom style="medium">
        <color indexed="9"/>
      </bottom>
      <diagonal/>
    </border>
    <border>
      <left style="thin">
        <color auto="1"/>
      </left>
      <right style="thin">
        <color auto="1"/>
      </right>
      <top/>
      <bottom style="medium">
        <color auto="1"/>
      </bottom>
      <diagonal/>
    </border>
    <border>
      <left style="medium">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medium">
        <color indexed="64"/>
      </right>
      <top style="thin">
        <color auto="1"/>
      </top>
      <bottom style="thin">
        <color auto="1"/>
      </bottom>
      <diagonal/>
    </border>
    <border>
      <left/>
      <right style="medium">
        <color indexed="64"/>
      </right>
      <top style="thin">
        <color auto="1"/>
      </top>
      <bottom/>
      <diagonal/>
    </border>
    <border>
      <left style="thin">
        <color indexed="64"/>
      </left>
      <right/>
      <top style="thin">
        <color indexed="64"/>
      </top>
      <bottom style="thin">
        <color indexed="64"/>
      </bottom>
      <diagonal/>
    </border>
    <border>
      <left style="medium">
        <color auto="1"/>
      </left>
      <right style="thin">
        <color auto="1"/>
      </right>
      <top/>
      <bottom style="thin">
        <color auto="1"/>
      </bottom>
      <diagonal/>
    </border>
    <border>
      <left style="thin">
        <color indexed="64"/>
      </left>
      <right style="medium">
        <color indexed="64"/>
      </right>
      <top/>
      <bottom style="thin">
        <color indexed="64"/>
      </bottom>
      <diagonal/>
    </border>
    <border>
      <left style="thin">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auto="1"/>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auto="1"/>
      </right>
      <top style="thin">
        <color auto="1"/>
      </top>
      <bottom style="thin">
        <color auto="1"/>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style="thin">
        <color indexed="64"/>
      </right>
      <top/>
      <bottom/>
      <diagonal/>
    </border>
    <border>
      <left style="medium">
        <color auto="1"/>
      </left>
      <right style="thin">
        <color auto="1"/>
      </right>
      <top/>
      <bottom style="medium">
        <color auto="1"/>
      </bottom>
      <diagonal/>
    </border>
    <border>
      <left style="thin">
        <color auto="1"/>
      </left>
      <right style="medium">
        <color auto="1"/>
      </right>
      <top/>
      <bottom style="medium">
        <color auto="1"/>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auto="1"/>
      </left>
      <right style="thin">
        <color auto="1"/>
      </right>
      <top style="thin">
        <color auto="1"/>
      </top>
      <bottom style="medium">
        <color auto="1"/>
      </bottom>
      <diagonal/>
    </border>
    <border>
      <left/>
      <right/>
      <top style="thin">
        <color indexed="64"/>
      </top>
      <bottom style="thin">
        <color indexed="64"/>
      </bottom>
      <diagonal/>
    </border>
    <border>
      <left style="thin">
        <color auto="1"/>
      </left>
      <right/>
      <top style="medium">
        <color auto="1"/>
      </top>
      <bottom style="thin">
        <color indexed="64"/>
      </bottom>
      <diagonal/>
    </border>
    <border>
      <left/>
      <right/>
      <top style="medium">
        <color auto="1"/>
      </top>
      <bottom style="thin">
        <color indexed="64"/>
      </bottom>
      <diagonal/>
    </border>
    <border>
      <left style="thin">
        <color auto="1"/>
      </left>
      <right/>
      <top style="medium">
        <color auto="1"/>
      </top>
      <bottom style="medium">
        <color indexed="64"/>
      </bottom>
      <diagonal/>
    </border>
    <border>
      <left style="thin">
        <color auto="1"/>
      </left>
      <right/>
      <top style="thin">
        <color auto="1"/>
      </top>
      <bottom style="medium">
        <color indexed="64"/>
      </bottom>
      <diagonal/>
    </border>
    <border>
      <left/>
      <right/>
      <top style="thin">
        <color auto="1"/>
      </top>
      <bottom style="medium">
        <color indexed="64"/>
      </bottom>
      <diagonal/>
    </border>
    <border>
      <left style="thin">
        <color indexed="64"/>
      </left>
      <right style="thin">
        <color indexed="64"/>
      </right>
      <top style="thin">
        <color indexed="64"/>
      </top>
      <bottom style="thin">
        <color indexed="64"/>
      </bottom>
      <diagonal/>
    </border>
    <border>
      <left style="medium">
        <color indexed="8"/>
      </left>
      <right style="medium">
        <color indexed="8"/>
      </right>
      <top style="medium">
        <color indexed="8"/>
      </top>
      <bottom/>
      <diagonal/>
    </border>
    <border>
      <left style="medium">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auto="1"/>
      </left>
      <right style="medium">
        <color auto="1"/>
      </right>
      <top style="medium">
        <color auto="1"/>
      </top>
      <bottom style="thin">
        <color auto="1"/>
      </bottom>
      <diagonal/>
    </border>
    <border>
      <left style="medium">
        <color indexed="8"/>
      </left>
      <right style="medium">
        <color indexed="8"/>
      </right>
      <top style="medium">
        <color indexed="8"/>
      </top>
      <bottom/>
      <diagonal/>
    </border>
    <border>
      <left style="thin">
        <color indexed="64"/>
      </left>
      <right style="thin">
        <color indexed="64"/>
      </right>
      <top style="medium">
        <color indexed="64"/>
      </top>
      <bottom style="thin">
        <color indexed="64"/>
      </bottom>
      <diagonal/>
    </border>
    <border>
      <left style="thin">
        <color auto="1"/>
      </left>
      <right style="medium">
        <color auto="1"/>
      </right>
      <top style="medium">
        <color auto="1"/>
      </top>
      <bottom style="thin">
        <color auto="1"/>
      </bottom>
      <diagonal/>
    </border>
    <border>
      <left style="thin">
        <color indexed="23"/>
      </left>
      <right style="thin">
        <color indexed="23"/>
      </right>
      <top/>
      <bottom style="thin">
        <color indexed="23"/>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thin">
        <color indexed="23"/>
      </left>
      <right style="medium">
        <color indexed="9"/>
      </right>
      <top style="thin">
        <color indexed="9"/>
      </top>
      <bottom/>
      <diagonal/>
    </border>
    <border>
      <left style="medium">
        <color indexed="9"/>
      </left>
      <right style="medium">
        <color indexed="9"/>
      </right>
      <top/>
      <bottom/>
      <diagonal/>
    </border>
    <border>
      <left style="medium">
        <color indexed="9"/>
      </left>
      <right style="medium">
        <color indexed="9"/>
      </right>
      <top style="thin">
        <color indexed="9"/>
      </top>
      <bottom/>
      <diagonal/>
    </border>
    <border>
      <left style="medium">
        <color indexed="9"/>
      </left>
      <right style="thin">
        <color indexed="23"/>
      </right>
      <top style="thin">
        <color indexed="9"/>
      </top>
      <bottom/>
      <diagonal/>
    </border>
    <border>
      <left style="thin">
        <color indexed="64"/>
      </left>
      <right style="thin">
        <color indexed="64"/>
      </right>
      <top/>
      <bottom style="thin">
        <color indexed="64"/>
      </bottom>
      <diagonal/>
    </border>
    <border>
      <left style="thin">
        <color auto="1"/>
      </left>
      <right style="thin">
        <color auto="1"/>
      </right>
      <top style="thin">
        <color auto="1"/>
      </top>
      <bottom style="thin">
        <color auto="1"/>
      </bottom>
      <diagonal/>
    </border>
    <border>
      <left style="medium">
        <color auto="1"/>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23"/>
      </left>
      <right style="thin">
        <color indexed="23"/>
      </right>
      <top style="thin">
        <color indexed="9"/>
      </top>
      <bottom style="medium">
        <color indexed="9"/>
      </bottom>
      <diagonal/>
    </border>
    <border>
      <left style="thin">
        <color indexed="23"/>
      </left>
      <right style="medium">
        <color indexed="9"/>
      </right>
      <top style="thin">
        <color indexed="9"/>
      </top>
      <bottom style="medium">
        <color indexed="9"/>
      </bottom>
      <diagonal/>
    </border>
    <border>
      <left style="medium">
        <color indexed="9"/>
      </left>
      <right style="medium">
        <color indexed="9"/>
      </right>
      <top style="thin">
        <color indexed="9"/>
      </top>
      <bottom style="medium">
        <color indexed="9"/>
      </bottom>
      <diagonal/>
    </border>
    <border>
      <left style="medium">
        <color indexed="9"/>
      </left>
      <right style="thin">
        <color indexed="23"/>
      </right>
      <top style="thin">
        <color indexed="9"/>
      </top>
      <bottom style="medium">
        <color indexed="9"/>
      </bottom>
      <diagonal/>
    </border>
    <border>
      <left style="thin">
        <color indexed="23"/>
      </left>
      <right style="thin">
        <color indexed="23"/>
      </right>
      <top style="thin">
        <color indexed="23"/>
      </top>
      <bottom style="thin">
        <color indexed="23"/>
      </bottom>
      <diagonal/>
    </border>
    <border>
      <left style="thin">
        <color auto="1"/>
      </left>
      <right style="thin">
        <color auto="1"/>
      </right>
      <top style="thin">
        <color auto="1"/>
      </top>
      <bottom style="thin">
        <color auto="1"/>
      </bottom>
      <diagonal/>
    </border>
    <border>
      <left style="thin">
        <color auto="1"/>
      </left>
      <right style="medium">
        <color indexed="64"/>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medium">
        <color indexed="64"/>
      </top>
      <bottom/>
      <diagonal/>
    </border>
    <border>
      <left style="medium">
        <color auto="1"/>
      </left>
      <right style="thin">
        <color auto="1"/>
      </right>
      <top style="medium">
        <color auto="1"/>
      </top>
      <bottom style="thin">
        <color auto="1"/>
      </bottom>
      <diagonal/>
    </border>
    <border>
      <left style="thin">
        <color indexed="64"/>
      </left>
      <right style="thin">
        <color indexed="64"/>
      </right>
      <top style="medium">
        <color indexed="64"/>
      </top>
      <bottom style="thin">
        <color indexed="64"/>
      </bottom>
      <diagonal/>
    </border>
    <border>
      <left style="thin">
        <color auto="1"/>
      </left>
      <right style="medium">
        <color auto="1"/>
      </right>
      <top style="medium">
        <color auto="1"/>
      </top>
      <bottom style="thin">
        <color auto="1"/>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9"/>
      </left>
      <right style="medium">
        <color indexed="9"/>
      </right>
      <top style="thin">
        <color indexed="9"/>
      </top>
      <bottom style="medium">
        <color indexed="9"/>
      </bottom>
      <diagonal/>
    </border>
    <border>
      <left style="thin">
        <color indexed="23"/>
      </left>
      <right style="medium">
        <color indexed="9"/>
      </right>
      <top style="thin">
        <color indexed="9"/>
      </top>
      <bottom style="medium">
        <color indexed="9"/>
      </bottom>
      <diagonal/>
    </border>
    <border>
      <left style="medium">
        <color indexed="64"/>
      </left>
      <right/>
      <top/>
      <bottom/>
      <diagonal/>
    </border>
    <border>
      <left/>
      <right style="thin">
        <color auto="1"/>
      </right>
      <top style="medium">
        <color auto="1"/>
      </top>
      <bottom style="thin">
        <color auto="1"/>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auto="1"/>
      </left>
      <right style="thin">
        <color auto="1"/>
      </right>
      <top style="thin">
        <color auto="1"/>
      </top>
      <bottom style="thin">
        <color auto="1"/>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auto="1"/>
      </left>
      <right style="thin">
        <color auto="1"/>
      </right>
      <top style="thin">
        <color auto="1"/>
      </top>
      <bottom style="thin">
        <color auto="1"/>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8"/>
      </left>
      <right style="medium">
        <color indexed="8"/>
      </right>
      <top style="medium">
        <color indexed="8"/>
      </top>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auto="1"/>
      </left>
      <right style="medium">
        <color auto="1"/>
      </right>
      <top style="medium">
        <color auto="1"/>
      </top>
      <bottom style="thin">
        <color auto="1"/>
      </bottom>
      <diagonal/>
    </border>
    <border>
      <left style="medium">
        <color indexed="8"/>
      </left>
      <right style="medium">
        <color indexed="8"/>
      </right>
      <top style="medium">
        <color indexed="8"/>
      </top>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indexed="64"/>
      </left>
      <right style="medium">
        <color indexed="64"/>
      </right>
      <top style="medium">
        <color indexed="64"/>
      </top>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auto="1"/>
      </left>
      <right style="medium">
        <color indexed="64"/>
      </right>
      <top style="thin">
        <color auto="1"/>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s>
  <cellStyleXfs count="247">
    <xf numFmtId="0" fontId="0" fillId="0" borderId="0"/>
    <xf numFmtId="0" fontId="26" fillId="0" borderId="0"/>
    <xf numFmtId="0" fontId="43" fillId="0" borderId="0"/>
    <xf numFmtId="0" fontId="25" fillId="0" borderId="0"/>
    <xf numFmtId="0" fontId="50" fillId="0" borderId="0" applyNumberFormat="0" applyFill="0" applyBorder="0" applyAlignment="0" applyProtection="0">
      <alignment vertical="top"/>
      <protection locked="0"/>
    </xf>
    <xf numFmtId="0" fontId="24" fillId="0" borderId="0"/>
    <xf numFmtId="0" fontId="41" fillId="0" borderId="0"/>
    <xf numFmtId="0" fontId="23" fillId="0" borderId="0"/>
    <xf numFmtId="0" fontId="23" fillId="0" borderId="0"/>
    <xf numFmtId="0" fontId="23" fillId="0" borderId="0"/>
    <xf numFmtId="0" fontId="22" fillId="0" borderId="0"/>
    <xf numFmtId="0" fontId="21" fillId="0" borderId="0"/>
    <xf numFmtId="0" fontId="20" fillId="0" borderId="0"/>
    <xf numFmtId="0" fontId="20" fillId="0" borderId="0"/>
    <xf numFmtId="0" fontId="20" fillId="0" borderId="0"/>
    <xf numFmtId="0" fontId="19" fillId="0" borderId="0"/>
    <xf numFmtId="0" fontId="18" fillId="0" borderId="0"/>
    <xf numFmtId="0" fontId="18" fillId="0" borderId="0"/>
    <xf numFmtId="0" fontId="18" fillId="0" borderId="0"/>
    <xf numFmtId="0" fontId="17" fillId="0" borderId="0"/>
    <xf numFmtId="0" fontId="17" fillId="0" borderId="0"/>
    <xf numFmtId="0" fontId="17" fillId="0" borderId="0"/>
    <xf numFmtId="0" fontId="41" fillId="0" borderId="0"/>
    <xf numFmtId="0" fontId="16" fillId="0" borderId="0"/>
    <xf numFmtId="0" fontId="16" fillId="0" borderId="0"/>
    <xf numFmtId="0" fontId="16" fillId="0" borderId="0"/>
    <xf numFmtId="0" fontId="16" fillId="0" borderId="0"/>
    <xf numFmtId="0" fontId="15" fillId="0" borderId="0"/>
    <xf numFmtId="0" fontId="15" fillId="0" borderId="0"/>
    <xf numFmtId="0" fontId="13" fillId="0" borderId="0"/>
    <xf numFmtId="0" fontId="13" fillId="0" borderId="0"/>
    <xf numFmtId="0" fontId="13" fillId="0" borderId="0"/>
    <xf numFmtId="0" fontId="13" fillId="0" borderId="0"/>
    <xf numFmtId="0" fontId="13" fillId="0" borderId="0"/>
    <xf numFmtId="0" fontId="41"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8" fillId="0" borderId="0"/>
    <xf numFmtId="0" fontId="8" fillId="0" borderId="0"/>
    <xf numFmtId="0" fontId="7" fillId="0" borderId="0"/>
    <xf numFmtId="0" fontId="7" fillId="0" borderId="0"/>
    <xf numFmtId="0" fontId="7" fillId="0" borderId="0"/>
    <xf numFmtId="0" fontId="7" fillId="0" borderId="0"/>
    <xf numFmtId="0" fontId="107" fillId="47" borderId="0" applyNumberFormat="0" applyBorder="0" applyAlignment="0" applyProtection="0"/>
  </cellStyleXfs>
  <cellXfs count="2153">
    <xf numFmtId="0" fontId="0" fillId="0" borderId="0" xfId="0"/>
    <xf numFmtId="0" fontId="27" fillId="0" borderId="0" xfId="0" applyFont="1"/>
    <xf numFmtId="0" fontId="27" fillId="0" borderId="5" xfId="0" applyFont="1" applyBorder="1" applyAlignment="1">
      <alignment vertical="top" wrapText="1"/>
    </xf>
    <xf numFmtId="0" fontId="0" fillId="0" borderId="0" xfId="0" applyAlignment="1">
      <alignment horizontal="center" vertical="center"/>
    </xf>
    <xf numFmtId="0" fontId="0" fillId="0" borderId="0" xfId="0" applyAlignment="1">
      <alignment horizontal="left" vertical="center"/>
    </xf>
    <xf numFmtId="0" fontId="0" fillId="0" borderId="6" xfId="0" applyBorder="1"/>
    <xf numFmtId="0" fontId="0" fillId="0" borderId="0" xfId="0" applyAlignment="1">
      <alignment horizontal="center" vertical="center" wrapText="1"/>
    </xf>
    <xf numFmtId="0" fontId="35" fillId="0" borderId="0" xfId="0" applyFont="1"/>
    <xf numFmtId="0" fontId="0" fillId="0" borderId="0" xfId="0" applyAlignment="1">
      <alignment vertical="top"/>
    </xf>
    <xf numFmtId="0" fontId="0" fillId="2" borderId="0" xfId="0" applyFill="1"/>
    <xf numFmtId="0" fontId="32" fillId="3" borderId="21" xfId="0" applyFont="1" applyFill="1" applyBorder="1"/>
    <xf numFmtId="0" fontId="32" fillId="3" borderId="22" xfId="0" applyFont="1" applyFill="1" applyBorder="1"/>
    <xf numFmtId="0" fontId="32" fillId="3" borderId="23" xfId="0" applyFont="1" applyFill="1" applyBorder="1"/>
    <xf numFmtId="0" fontId="33" fillId="0" borderId="0" xfId="0" applyFont="1" applyAlignment="1">
      <alignment horizontal="left" vertical="center"/>
    </xf>
    <xf numFmtId="0" fontId="33" fillId="0" borderId="35" xfId="0" applyFont="1" applyBorder="1" applyAlignment="1">
      <alignment horizontal="left" vertical="center"/>
    </xf>
    <xf numFmtId="0" fontId="33" fillId="0" borderId="4" xfId="0" applyFont="1" applyBorder="1" applyAlignment="1">
      <alignment horizontal="left" vertical="center"/>
    </xf>
    <xf numFmtId="0" fontId="33" fillId="0" borderId="22" xfId="0" applyFont="1" applyBorder="1" applyAlignment="1">
      <alignment horizontal="left" vertical="center"/>
    </xf>
    <xf numFmtId="0" fontId="33" fillId="0" borderId="33" xfId="0" applyFont="1" applyBorder="1" applyAlignment="1">
      <alignment horizontal="left" vertical="center"/>
    </xf>
    <xf numFmtId="0" fontId="33" fillId="0" borderId="32" xfId="0" applyFont="1" applyBorder="1" applyAlignment="1">
      <alignment horizontal="left" vertical="center"/>
    </xf>
    <xf numFmtId="0" fontId="33" fillId="0" borderId="0" xfId="1" applyFont="1"/>
    <xf numFmtId="0" fontId="26" fillId="0" borderId="0" xfId="1"/>
    <xf numFmtId="0" fontId="42" fillId="4" borderId="2" xfId="1" applyFont="1" applyFill="1" applyBorder="1"/>
    <xf numFmtId="0" fontId="33" fillId="4" borderId="15" xfId="1" applyFont="1" applyFill="1" applyBorder="1" applyAlignment="1">
      <alignment horizontal="center" vertical="center"/>
    </xf>
    <xf numFmtId="0" fontId="33" fillId="4" borderId="3" xfId="1" applyFont="1" applyFill="1" applyBorder="1" applyAlignment="1">
      <alignment horizontal="center" vertical="center"/>
    </xf>
    <xf numFmtId="0" fontId="33" fillId="4" borderId="2" xfId="1" applyFont="1" applyFill="1" applyBorder="1"/>
    <xf numFmtId="0" fontId="26" fillId="4" borderId="15" xfId="1" applyFill="1" applyBorder="1" applyAlignment="1">
      <alignment horizontal="center" vertical="center"/>
    </xf>
    <xf numFmtId="0" fontId="26" fillId="4" borderId="3" xfId="1" applyFill="1" applyBorder="1" applyAlignment="1">
      <alignment horizontal="center" vertical="center"/>
    </xf>
    <xf numFmtId="0" fontId="26" fillId="0" borderId="0" xfId="1" applyAlignment="1">
      <alignment horizontal="center" vertical="center"/>
    </xf>
    <xf numFmtId="0" fontId="33" fillId="4" borderId="36" xfId="1" applyFont="1" applyFill="1" applyBorder="1"/>
    <xf numFmtId="0" fontId="26" fillId="4" borderId="0" xfId="1" applyFill="1" applyAlignment="1">
      <alignment horizontal="center" vertical="center"/>
    </xf>
    <xf numFmtId="0" fontId="26" fillId="4" borderId="25" xfId="1" applyFill="1" applyBorder="1" applyAlignment="1">
      <alignment horizontal="center" vertical="center"/>
    </xf>
    <xf numFmtId="0" fontId="33" fillId="4" borderId="37" xfId="1" applyFont="1" applyFill="1" applyBorder="1"/>
    <xf numFmtId="0" fontId="26" fillId="4" borderId="27" xfId="1" applyFill="1" applyBorder="1" applyAlignment="1">
      <alignment horizontal="center" vertical="center"/>
    </xf>
    <xf numFmtId="0" fontId="26" fillId="4" borderId="28" xfId="1" applyFill="1" applyBorder="1" applyAlignment="1">
      <alignment horizontal="center" vertical="center"/>
    </xf>
    <xf numFmtId="0" fontId="26" fillId="4" borderId="4" xfId="1" applyFill="1" applyBorder="1" applyAlignment="1">
      <alignment horizontal="center" vertical="center"/>
    </xf>
    <xf numFmtId="0" fontId="26" fillId="4" borderId="37" xfId="1" applyFill="1" applyBorder="1" applyAlignment="1">
      <alignment horizontal="center" vertical="center"/>
    </xf>
    <xf numFmtId="0" fontId="33" fillId="4" borderId="4" xfId="1" applyFont="1" applyFill="1" applyBorder="1"/>
    <xf numFmtId="0" fontId="26" fillId="4" borderId="32" xfId="1" applyFill="1" applyBorder="1" applyAlignment="1">
      <alignment horizontal="center" vertical="center"/>
    </xf>
    <xf numFmtId="11" fontId="26" fillId="4" borderId="27" xfId="1" applyNumberFormat="1" applyFill="1" applyBorder="1" applyAlignment="1">
      <alignment horizontal="center" vertical="center"/>
    </xf>
    <xf numFmtId="0" fontId="26" fillId="4" borderId="39" xfId="1" applyFill="1" applyBorder="1" applyAlignment="1">
      <alignment horizontal="center" vertical="center"/>
    </xf>
    <xf numFmtId="0" fontId="45" fillId="0" borderId="19" xfId="2" applyFont="1" applyBorder="1" applyAlignment="1">
      <alignment horizontal="left" vertical="center" wrapText="1"/>
    </xf>
    <xf numFmtId="0" fontId="45" fillId="0" borderId="19" xfId="2" applyFont="1" applyBorder="1" applyAlignment="1">
      <alignment horizontal="center" vertical="center" wrapText="1"/>
    </xf>
    <xf numFmtId="0" fontId="0" fillId="0" borderId="19" xfId="0" applyBorder="1" applyAlignment="1">
      <alignment horizontal="center" vertical="center" wrapText="1"/>
    </xf>
    <xf numFmtId="0" fontId="41" fillId="0" borderId="19" xfId="0" applyFont="1" applyBorder="1" applyAlignment="1">
      <alignment horizontal="center" vertical="center"/>
    </xf>
    <xf numFmtId="0" fontId="47" fillId="0" borderId="0" xfId="0" applyFont="1" applyAlignment="1">
      <alignment vertical="center"/>
    </xf>
    <xf numFmtId="0" fontId="47" fillId="0" borderId="0" xfId="0" applyFont="1"/>
    <xf numFmtId="0" fontId="0" fillId="6" borderId="0" xfId="0" applyFill="1"/>
    <xf numFmtId="0" fontId="37" fillId="6" borderId="0" xfId="0" applyFont="1" applyFill="1" applyAlignment="1">
      <alignment horizontal="center" vertical="center" wrapText="1"/>
    </xf>
    <xf numFmtId="0" fontId="38" fillId="7" borderId="0" xfId="0" applyFont="1" applyFill="1"/>
    <xf numFmtId="0" fontId="0" fillId="7" borderId="0" xfId="0" applyFill="1"/>
    <xf numFmtId="0" fontId="27" fillId="7" borderId="4" xfId="0" applyFont="1" applyFill="1" applyBorder="1" applyAlignment="1">
      <alignment horizontal="center" vertical="center"/>
    </xf>
    <xf numFmtId="0" fontId="27" fillId="7" borderId="38" xfId="0" applyFont="1" applyFill="1" applyBorder="1" applyAlignment="1">
      <alignment horizontal="center" vertical="center" wrapText="1"/>
    </xf>
    <xf numFmtId="0" fontId="33" fillId="7" borderId="35" xfId="0" applyFont="1" applyFill="1" applyBorder="1" applyAlignment="1">
      <alignment horizontal="left" vertical="center"/>
    </xf>
    <xf numFmtId="0" fontId="33" fillId="7" borderId="4" xfId="0" applyFont="1" applyFill="1" applyBorder="1" applyAlignment="1">
      <alignment horizontal="left" vertical="center"/>
    </xf>
    <xf numFmtId="0" fontId="33" fillId="7" borderId="22" xfId="0" applyFont="1" applyFill="1" applyBorder="1" applyAlignment="1">
      <alignment horizontal="left" vertical="center"/>
    </xf>
    <xf numFmtId="0" fontId="33" fillId="7" borderId="33" xfId="0" applyFont="1" applyFill="1" applyBorder="1" applyAlignment="1">
      <alignment horizontal="left" vertical="center"/>
    </xf>
    <xf numFmtId="0" fontId="33" fillId="7" borderId="32" xfId="0" applyFont="1" applyFill="1" applyBorder="1" applyAlignment="1">
      <alignment horizontal="left" vertical="center"/>
    </xf>
    <xf numFmtId="0" fontId="33" fillId="7" borderId="29" xfId="0" applyFont="1" applyFill="1" applyBorder="1" applyAlignment="1">
      <alignment horizontal="left" vertical="center" wrapText="1"/>
    </xf>
    <xf numFmtId="0" fontId="33" fillId="7" borderId="0" xfId="0" applyFont="1" applyFill="1" applyAlignment="1">
      <alignment horizontal="left" vertical="center"/>
    </xf>
    <xf numFmtId="0" fontId="27" fillId="7" borderId="5" xfId="0" applyFont="1" applyFill="1" applyBorder="1" applyAlignment="1">
      <alignment vertical="top" wrapText="1"/>
    </xf>
    <xf numFmtId="0" fontId="33" fillId="7" borderId="30" xfId="0" applyFont="1" applyFill="1" applyBorder="1" applyAlignment="1">
      <alignment horizontal="left" vertical="center"/>
    </xf>
    <xf numFmtId="0" fontId="33" fillId="7" borderId="2" xfId="0" applyFont="1" applyFill="1" applyBorder="1" applyAlignment="1">
      <alignment horizontal="left" vertical="center"/>
    </xf>
    <xf numFmtId="0" fontId="33" fillId="7" borderId="3" xfId="0" applyFont="1" applyFill="1" applyBorder="1" applyAlignment="1">
      <alignment horizontal="left" vertical="center"/>
    </xf>
    <xf numFmtId="0" fontId="33" fillId="7" borderId="15" xfId="0" applyFont="1" applyFill="1" applyBorder="1" applyAlignment="1">
      <alignment horizontal="left" vertical="center"/>
    </xf>
    <xf numFmtId="0" fontId="33" fillId="7" borderId="20" xfId="0" applyFont="1" applyFill="1" applyBorder="1" applyAlignment="1">
      <alignment horizontal="left" vertical="center"/>
    </xf>
    <xf numFmtId="0" fontId="0" fillId="0" borderId="0" xfId="0" applyAlignment="1">
      <alignment horizontal="left"/>
    </xf>
    <xf numFmtId="0" fontId="27" fillId="7" borderId="32" xfId="0" applyFont="1" applyFill="1" applyBorder="1" applyAlignment="1">
      <alignment horizontal="center" vertical="center" wrapText="1"/>
    </xf>
    <xf numFmtId="0" fontId="27" fillId="0" borderId="0" xfId="0" applyFont="1" applyAlignment="1">
      <alignment horizontal="center" vertical="center"/>
    </xf>
    <xf numFmtId="0" fontId="0" fillId="6" borderId="0" xfId="0" applyFill="1" applyAlignment="1">
      <alignment horizontal="left"/>
    </xf>
    <xf numFmtId="0" fontId="47" fillId="0" borderId="6" xfId="0" applyFont="1" applyBorder="1"/>
    <xf numFmtId="0" fontId="47" fillId="0" borderId="6" xfId="0" applyFont="1" applyBorder="1" applyAlignment="1">
      <alignment wrapText="1"/>
    </xf>
    <xf numFmtId="0" fontId="27" fillId="7" borderId="31" xfId="0" applyFont="1" applyFill="1" applyBorder="1" applyAlignment="1">
      <alignment horizontal="center" vertical="center" wrapText="1"/>
    </xf>
    <xf numFmtId="0" fontId="47" fillId="0" borderId="6" xfId="0" applyFont="1" applyBorder="1" applyAlignment="1">
      <alignment vertical="center"/>
    </xf>
    <xf numFmtId="0" fontId="47" fillId="0" borderId="6" xfId="0" applyFont="1" applyBorder="1" applyAlignment="1">
      <alignment horizontal="left" vertical="center"/>
    </xf>
    <xf numFmtId="0" fontId="44" fillId="0" borderId="6" xfId="0" applyFont="1" applyBorder="1" applyAlignment="1">
      <alignment horizontal="left" vertical="center"/>
    </xf>
    <xf numFmtId="11" fontId="47" fillId="0" borderId="19" xfId="0" applyNumberFormat="1" applyFont="1" applyBorder="1" applyAlignment="1">
      <alignment horizontal="center" vertical="center"/>
    </xf>
    <xf numFmtId="0" fontId="44" fillId="0" borderId="6" xfId="0" applyFont="1" applyBorder="1"/>
    <xf numFmtId="0" fontId="44" fillId="0" borderId="11" xfId="0" applyFont="1" applyBorder="1"/>
    <xf numFmtId="0" fontId="44" fillId="0" borderId="14" xfId="0" applyFont="1" applyBorder="1"/>
    <xf numFmtId="0" fontId="47" fillId="0" borderId="19" xfId="0" applyFont="1" applyBorder="1" applyAlignment="1">
      <alignment horizontal="center" vertical="center"/>
    </xf>
    <xf numFmtId="0" fontId="47" fillId="0" borderId="19" xfId="0" applyFont="1" applyBorder="1" applyAlignment="1">
      <alignment horizontal="left" vertical="center"/>
    </xf>
    <xf numFmtId="0" fontId="47" fillId="0" borderId="42" xfId="0" applyFont="1" applyBorder="1" applyAlignment="1">
      <alignment horizontal="center" vertical="center"/>
    </xf>
    <xf numFmtId="0" fontId="46" fillId="0" borderId="10" xfId="0" applyFont="1" applyBorder="1" applyAlignment="1">
      <alignment horizontal="center" vertical="center"/>
    </xf>
    <xf numFmtId="0" fontId="47" fillId="0" borderId="6" xfId="0" applyFont="1" applyBorder="1" applyAlignment="1">
      <alignment horizontal="center" vertical="center"/>
    </xf>
    <xf numFmtId="0" fontId="47" fillId="0" borderId="11" xfId="0" applyFont="1" applyBorder="1" applyAlignment="1">
      <alignment horizontal="center" vertical="center"/>
    </xf>
    <xf numFmtId="0" fontId="46" fillId="0" borderId="10" xfId="0" applyFont="1" applyBorder="1" applyAlignment="1">
      <alignment horizontal="center" vertical="center" wrapText="1"/>
    </xf>
    <xf numFmtId="0" fontId="46" fillId="0" borderId="12" xfId="0" applyFont="1" applyBorder="1" applyAlignment="1">
      <alignment horizontal="center" vertical="center" wrapText="1"/>
    </xf>
    <xf numFmtId="0" fontId="44" fillId="0" borderId="13" xfId="0" applyFont="1" applyBorder="1"/>
    <xf numFmtId="0" fontId="47" fillId="0" borderId="13" xfId="0" applyFont="1" applyBorder="1" applyAlignment="1">
      <alignment horizontal="center" vertical="center"/>
    </xf>
    <xf numFmtId="0" fontId="44" fillId="0" borderId="6" xfId="0" applyFont="1" applyBorder="1" applyAlignment="1">
      <alignment horizontal="center"/>
    </xf>
    <xf numFmtId="0" fontId="44" fillId="0" borderId="13" xfId="0" applyFont="1" applyBorder="1" applyAlignment="1">
      <alignment horizontal="center"/>
    </xf>
    <xf numFmtId="0" fontId="54" fillId="6" borderId="0" xfId="0" applyFont="1" applyFill="1" applyAlignment="1">
      <alignment horizontal="center" vertical="center" wrapText="1"/>
    </xf>
    <xf numFmtId="0" fontId="51" fillId="6" borderId="0" xfId="0" applyFont="1" applyFill="1" applyAlignment="1">
      <alignment horizontal="center" vertical="center"/>
    </xf>
    <xf numFmtId="0" fontId="54" fillId="0" borderId="0" xfId="0" applyFont="1" applyAlignment="1">
      <alignment horizontal="center" vertical="center"/>
    </xf>
    <xf numFmtId="0" fontId="51" fillId="0" borderId="0" xfId="0" applyFont="1" applyAlignment="1">
      <alignment horizontal="center" vertical="center"/>
    </xf>
    <xf numFmtId="0" fontId="51" fillId="9" borderId="6" xfId="0" applyFont="1" applyFill="1" applyBorder="1" applyAlignment="1">
      <alignment horizontal="center" vertical="center" wrapText="1"/>
    </xf>
    <xf numFmtId="0" fontId="51" fillId="9" borderId="6" xfId="0" applyFont="1" applyFill="1" applyBorder="1" applyAlignment="1">
      <alignment horizontal="left" vertical="center" wrapText="1"/>
    </xf>
    <xf numFmtId="164" fontId="51" fillId="9" borderId="6" xfId="0" applyNumberFormat="1" applyFont="1" applyFill="1" applyBorder="1" applyAlignment="1">
      <alignment horizontal="center" vertical="center" wrapText="1"/>
    </xf>
    <xf numFmtId="166" fontId="51" fillId="9" borderId="6" xfId="0" applyNumberFormat="1" applyFont="1" applyFill="1" applyBorder="1" applyAlignment="1">
      <alignment horizontal="center" vertical="center" wrapText="1"/>
    </xf>
    <xf numFmtId="2" fontId="51" fillId="9" borderId="6" xfId="0" applyNumberFormat="1" applyFont="1" applyFill="1" applyBorder="1" applyAlignment="1">
      <alignment horizontal="center" vertical="center" wrapText="1"/>
    </xf>
    <xf numFmtId="0" fontId="51" fillId="9" borderId="6" xfId="0" quotePrefix="1" applyFont="1" applyFill="1" applyBorder="1" applyAlignment="1">
      <alignment horizontal="center" vertical="center" wrapText="1"/>
    </xf>
    <xf numFmtId="165" fontId="51" fillId="9" borderId="6" xfId="0" applyNumberFormat="1" applyFont="1" applyFill="1" applyBorder="1" applyAlignment="1">
      <alignment horizontal="center" vertical="center" wrapText="1"/>
    </xf>
    <xf numFmtId="0" fontId="51" fillId="0" borderId="0" xfId="0" applyFont="1" applyAlignment="1">
      <alignment horizontal="left" vertical="center"/>
    </xf>
    <xf numFmtId="0" fontId="47" fillId="0" borderId="6" xfId="0" applyFont="1" applyBorder="1" applyAlignment="1">
      <alignment horizontal="center" vertical="center" wrapText="1"/>
    </xf>
    <xf numFmtId="0" fontId="47" fillId="0" borderId="11" xfId="0" applyFont="1" applyBorder="1" applyAlignment="1">
      <alignment horizontal="center" vertical="center" wrapText="1"/>
    </xf>
    <xf numFmtId="0" fontId="47" fillId="0" borderId="13" xfId="0" applyFont="1" applyBorder="1" applyAlignment="1">
      <alignment horizontal="center" vertical="center" wrapText="1"/>
    </xf>
    <xf numFmtId="0" fontId="47" fillId="0" borderId="14" xfId="0" applyFont="1" applyBorder="1" applyAlignment="1">
      <alignment horizontal="center" vertical="center" wrapText="1"/>
    </xf>
    <xf numFmtId="0" fontId="54" fillId="7" borderId="48" xfId="0" applyFont="1" applyFill="1" applyBorder="1" applyAlignment="1">
      <alignment horizontal="center" vertical="center" wrapText="1"/>
    </xf>
    <xf numFmtId="0" fontId="44" fillId="0" borderId="0" xfId="0" applyFont="1" applyAlignment="1">
      <alignment horizontal="center" vertical="center"/>
    </xf>
    <xf numFmtId="0" fontId="44" fillId="0" borderId="0" xfId="0" applyFont="1"/>
    <xf numFmtId="0" fontId="51" fillId="0" borderId="0" xfId="0" applyFont="1"/>
    <xf numFmtId="0" fontId="54" fillId="7" borderId="45" xfId="0" applyFont="1" applyFill="1" applyBorder="1" applyAlignment="1">
      <alignment horizontal="center" vertical="center" wrapText="1"/>
    </xf>
    <xf numFmtId="0" fontId="0" fillId="6" borderId="0" xfId="0" applyFill="1" applyAlignment="1">
      <alignment horizontal="left" vertical="center"/>
    </xf>
    <xf numFmtId="0" fontId="38" fillId="0" borderId="0" xfId="0" applyFont="1"/>
    <xf numFmtId="0" fontId="0" fillId="0" borderId="0" xfId="0" quotePrefix="1" applyAlignment="1">
      <alignment horizontal="right"/>
    </xf>
    <xf numFmtId="0" fontId="39" fillId="0" borderId="0" xfId="0" quotePrefix="1" applyFont="1"/>
    <xf numFmtId="0" fontId="28" fillId="0" borderId="0" xfId="0" applyFont="1"/>
    <xf numFmtId="0" fontId="0" fillId="0" borderId="16" xfId="0" applyBorder="1"/>
    <xf numFmtId="0" fontId="0" fillId="0" borderId="17" xfId="0" applyBorder="1"/>
    <xf numFmtId="0" fontId="0" fillId="0" borderId="18" xfId="0" applyBorder="1"/>
    <xf numFmtId="0" fontId="0" fillId="0" borderId="19" xfId="0" applyBorder="1"/>
    <xf numFmtId="0" fontId="32" fillId="0" borderId="0" xfId="0" applyFont="1"/>
    <xf numFmtId="0" fontId="36" fillId="0" borderId="0" xfId="0" applyFont="1"/>
    <xf numFmtId="0" fontId="0" fillId="14" borderId="7" xfId="0" applyFill="1" applyBorder="1"/>
    <xf numFmtId="0" fontId="0" fillId="14" borderId="8" xfId="0" applyFill="1" applyBorder="1"/>
    <xf numFmtId="2" fontId="0" fillId="14" borderId="9" xfId="0" applyNumberFormat="1" applyFill="1" applyBorder="1"/>
    <xf numFmtId="0" fontId="0" fillId="14" borderId="10" xfId="0" applyFill="1" applyBorder="1"/>
    <xf numFmtId="0" fontId="0" fillId="14" borderId="6" xfId="0" applyFill="1" applyBorder="1"/>
    <xf numFmtId="2" fontId="0" fillId="14" borderId="11" xfId="0" applyNumberFormat="1" applyFill="1" applyBorder="1"/>
    <xf numFmtId="0" fontId="0" fillId="14" borderId="12" xfId="0" applyFill="1" applyBorder="1"/>
    <xf numFmtId="0" fontId="0" fillId="14" borderId="13" xfId="0" applyFill="1" applyBorder="1"/>
    <xf numFmtId="2" fontId="0" fillId="14" borderId="14" xfId="0" applyNumberFormat="1" applyFill="1" applyBorder="1"/>
    <xf numFmtId="0" fontId="55" fillId="7" borderId="51" xfId="0" applyFont="1" applyFill="1" applyBorder="1" applyAlignment="1">
      <alignment horizontal="center" vertical="center" wrapText="1"/>
    </xf>
    <xf numFmtId="0" fontId="27" fillId="0" borderId="0" xfId="0" applyFont="1" applyAlignment="1">
      <alignment vertical="top" wrapText="1"/>
    </xf>
    <xf numFmtId="0" fontId="55" fillId="7" borderId="51" xfId="0" applyFont="1" applyFill="1" applyBorder="1" applyAlignment="1">
      <alignment horizontal="center" vertical="center"/>
    </xf>
    <xf numFmtId="0" fontId="41" fillId="0" borderId="0" xfId="22"/>
    <xf numFmtId="0" fontId="44" fillId="0" borderId="0" xfId="0" applyFont="1" applyAlignment="1">
      <alignment horizontal="center" vertical="center" wrapText="1"/>
    </xf>
    <xf numFmtId="0" fontId="46" fillId="7" borderId="35" xfId="0" applyFont="1" applyFill="1" applyBorder="1" applyAlignment="1">
      <alignment horizontal="center" vertical="center" wrapText="1"/>
    </xf>
    <xf numFmtId="0" fontId="47" fillId="11" borderId="6" xfId="0" applyFont="1" applyFill="1" applyBorder="1" applyAlignment="1">
      <alignment horizontal="left" vertical="center" wrapText="1"/>
    </xf>
    <xf numFmtId="0" fontId="47" fillId="11" borderId="6" xfId="0" applyFont="1" applyFill="1" applyBorder="1" applyAlignment="1">
      <alignment horizontal="center" vertical="center" wrapText="1"/>
    </xf>
    <xf numFmtId="0" fontId="47" fillId="0" borderId="0" xfId="0" applyFont="1" applyAlignment="1">
      <alignment horizontal="left" vertical="center"/>
    </xf>
    <xf numFmtId="0" fontId="44" fillId="0" borderId="6" xfId="22" applyFont="1" applyBorder="1"/>
    <xf numFmtId="164" fontId="47" fillId="0" borderId="0" xfId="0" applyNumberFormat="1" applyFont="1" applyAlignment="1">
      <alignment horizontal="center" vertical="center" wrapText="1"/>
    </xf>
    <xf numFmtId="0" fontId="47" fillId="0" borderId="0" xfId="0" applyFont="1" applyAlignment="1">
      <alignment horizontal="center" vertical="center" wrapText="1"/>
    </xf>
    <xf numFmtId="0" fontId="51" fillId="6" borderId="0" xfId="0" applyFont="1" applyFill="1" applyAlignment="1">
      <alignment horizontal="left" vertical="center"/>
    </xf>
    <xf numFmtId="0" fontId="54" fillId="7" borderId="38" xfId="0" applyFont="1" applyFill="1" applyBorder="1" applyAlignment="1">
      <alignment horizontal="left" vertical="center" wrapText="1"/>
    </xf>
    <xf numFmtId="0" fontId="47" fillId="0" borderId="0" xfId="0" applyFont="1" applyAlignment="1">
      <alignment horizontal="left" vertical="center" wrapText="1"/>
    </xf>
    <xf numFmtId="0" fontId="54" fillId="7" borderId="48" xfId="0" applyFont="1" applyFill="1" applyBorder="1" applyAlignment="1">
      <alignment horizontal="left" vertical="center" wrapText="1"/>
    </xf>
    <xf numFmtId="0" fontId="55" fillId="7" borderId="51" xfId="0" applyFont="1" applyFill="1" applyBorder="1" applyAlignment="1">
      <alignment horizontal="left" vertical="center" wrapText="1"/>
    </xf>
    <xf numFmtId="0" fontId="54" fillId="7" borderId="44" xfId="0" applyFont="1" applyFill="1" applyBorder="1" applyAlignment="1">
      <alignment horizontal="left" vertical="center" wrapText="1"/>
    </xf>
    <xf numFmtId="0" fontId="54" fillId="7" borderId="46" xfId="0" applyFont="1" applyFill="1" applyBorder="1" applyAlignment="1">
      <alignment horizontal="left" vertical="center" wrapText="1"/>
    </xf>
    <xf numFmtId="0" fontId="54" fillId="7" borderId="47" xfId="0" applyFont="1" applyFill="1" applyBorder="1" applyAlignment="1">
      <alignment horizontal="left" vertical="center"/>
    </xf>
    <xf numFmtId="0" fontId="51" fillId="10" borderId="10" xfId="0" applyFont="1" applyFill="1" applyBorder="1" applyAlignment="1">
      <alignment horizontal="left" vertical="center"/>
    </xf>
    <xf numFmtId="0" fontId="51" fillId="8" borderId="10" xfId="0" applyFont="1" applyFill="1" applyBorder="1" applyAlignment="1">
      <alignment horizontal="left" vertical="center"/>
    </xf>
    <xf numFmtId="0" fontId="51" fillId="12" borderId="10" xfId="0" applyFont="1" applyFill="1" applyBorder="1" applyAlignment="1">
      <alignment horizontal="left" vertical="center"/>
    </xf>
    <xf numFmtId="0" fontId="55" fillId="7" borderId="50" xfId="0" applyFont="1" applyFill="1" applyBorder="1" applyAlignment="1">
      <alignment horizontal="left" vertical="center"/>
    </xf>
    <xf numFmtId="0" fontId="51" fillId="9" borderId="10" xfId="0" applyFont="1" applyFill="1" applyBorder="1" applyAlignment="1">
      <alignment horizontal="left" vertical="center" wrapText="1"/>
    </xf>
    <xf numFmtId="0" fontId="47" fillId="11" borderId="10" xfId="0" applyFont="1" applyFill="1" applyBorder="1" applyAlignment="1">
      <alignment horizontal="left" vertical="center"/>
    </xf>
    <xf numFmtId="0" fontId="0" fillId="6" borderId="0" xfId="0" applyFill="1" applyAlignment="1">
      <alignment horizontal="center"/>
    </xf>
    <xf numFmtId="0" fontId="51" fillId="0" borderId="0" xfId="0" applyFont="1" applyAlignment="1">
      <alignment horizontal="center"/>
    </xf>
    <xf numFmtId="0" fontId="0" fillId="0" borderId="0" xfId="0" applyAlignment="1">
      <alignment horizontal="center"/>
    </xf>
    <xf numFmtId="0" fontId="46" fillId="0" borderId="41" xfId="0" applyFont="1" applyBorder="1" applyAlignment="1">
      <alignment horizontal="center" vertical="center"/>
    </xf>
    <xf numFmtId="0" fontId="20" fillId="0" borderId="0" xfId="12"/>
    <xf numFmtId="0" fontId="55" fillId="13" borderId="45" xfId="12" applyFont="1" applyFill="1" applyBorder="1"/>
    <xf numFmtId="0" fontId="55" fillId="13" borderId="50" xfId="12" applyFont="1" applyFill="1" applyBorder="1" applyAlignment="1">
      <alignment horizontal="center"/>
    </xf>
    <xf numFmtId="0" fontId="55" fillId="13" borderId="51" xfId="12" applyFont="1" applyFill="1" applyBorder="1" applyAlignment="1">
      <alignment horizontal="center" vertical="top" wrapText="1"/>
    </xf>
    <xf numFmtId="0" fontId="55" fillId="13" borderId="51" xfId="12" applyFont="1" applyFill="1" applyBorder="1" applyAlignment="1">
      <alignment horizontal="center" vertical="center" wrapText="1"/>
    </xf>
    <xf numFmtId="0" fontId="55" fillId="13" borderId="52" xfId="12" applyFont="1" applyFill="1" applyBorder="1" applyAlignment="1">
      <alignment horizontal="center" vertical="top" wrapText="1"/>
    </xf>
    <xf numFmtId="0" fontId="47" fillId="0" borderId="0" xfId="0" applyFont="1" applyAlignment="1">
      <alignment horizontal="left"/>
    </xf>
    <xf numFmtId="0" fontId="47" fillId="0" borderId="0" xfId="0" applyFont="1" applyAlignment="1">
      <alignment horizontal="center"/>
    </xf>
    <xf numFmtId="0" fontId="47" fillId="0" borderId="0" xfId="0" quotePrefix="1" applyFont="1" applyAlignment="1">
      <alignment horizontal="center"/>
    </xf>
    <xf numFmtId="11" fontId="47" fillId="0" borderId="0" xfId="0" applyNumberFormat="1" applyFont="1" applyAlignment="1">
      <alignment horizontal="center"/>
    </xf>
    <xf numFmtId="0" fontId="44" fillId="0" borderId="0" xfId="22" applyFont="1"/>
    <xf numFmtId="0" fontId="41" fillId="0" borderId="0" xfId="6"/>
    <xf numFmtId="0" fontId="44" fillId="0" borderId="34" xfId="6" applyFont="1" applyBorder="1"/>
    <xf numFmtId="0" fontId="44" fillId="0" borderId="40" xfId="6" applyFont="1" applyBorder="1"/>
    <xf numFmtId="0" fontId="44" fillId="0" borderId="40" xfId="6" applyFont="1" applyBorder="1" applyAlignment="1">
      <alignment horizontal="center"/>
    </xf>
    <xf numFmtId="0" fontId="44" fillId="0" borderId="43" xfId="6" applyFont="1" applyBorder="1"/>
    <xf numFmtId="0" fontId="14" fillId="0" borderId="0" xfId="12" applyFont="1"/>
    <xf numFmtId="0" fontId="51" fillId="8" borderId="13" xfId="0" applyFont="1" applyFill="1" applyBorder="1" applyAlignment="1">
      <alignment horizontal="left" vertical="center" wrapText="1"/>
    </xf>
    <xf numFmtId="164" fontId="51" fillId="8" borderId="13" xfId="0" applyNumberFormat="1" applyFont="1" applyFill="1" applyBorder="1" applyAlignment="1">
      <alignment horizontal="center" vertical="center" wrapText="1"/>
    </xf>
    <xf numFmtId="0" fontId="51" fillId="8" borderId="13" xfId="0" applyFont="1" applyFill="1" applyBorder="1" applyAlignment="1">
      <alignment horizontal="center" vertical="center" wrapText="1"/>
    </xf>
    <xf numFmtId="0" fontId="47" fillId="8" borderId="10" xfId="0" applyFont="1" applyFill="1" applyBorder="1" applyAlignment="1">
      <alignment horizontal="left" vertical="center"/>
    </xf>
    <xf numFmtId="0" fontId="47" fillId="8" borderId="6" xfId="0" applyFont="1" applyFill="1" applyBorder="1" applyAlignment="1">
      <alignment horizontal="left" vertical="center" wrapText="1"/>
    </xf>
    <xf numFmtId="164" fontId="47" fillId="8" borderId="6" xfId="0" applyNumberFormat="1" applyFont="1" applyFill="1" applyBorder="1" applyAlignment="1">
      <alignment horizontal="center" vertical="center" wrapText="1"/>
    </xf>
    <xf numFmtId="0" fontId="47" fillId="8" borderId="6" xfId="0" applyFont="1" applyFill="1" applyBorder="1" applyAlignment="1">
      <alignment horizontal="center" vertical="center" wrapText="1"/>
    </xf>
    <xf numFmtId="2" fontId="47" fillId="8" borderId="6" xfId="0" applyNumberFormat="1" applyFont="1" applyFill="1" applyBorder="1" applyAlignment="1">
      <alignment horizontal="center" vertical="center" wrapText="1"/>
    </xf>
    <xf numFmtId="0" fontId="47" fillId="10" borderId="10" xfId="0" applyFont="1" applyFill="1" applyBorder="1" applyAlignment="1">
      <alignment horizontal="left" vertical="center"/>
    </xf>
    <xf numFmtId="0" fontId="47" fillId="10" borderId="6" xfId="0" applyFont="1" applyFill="1" applyBorder="1" applyAlignment="1">
      <alignment horizontal="left" vertical="center" wrapText="1"/>
    </xf>
    <xf numFmtId="0" fontId="47" fillId="10" borderId="6" xfId="0" applyFont="1" applyFill="1" applyBorder="1" applyAlignment="1">
      <alignment horizontal="center" vertical="center" wrapText="1"/>
    </xf>
    <xf numFmtId="0" fontId="47" fillId="12" borderId="10" xfId="0" applyFont="1" applyFill="1" applyBorder="1" applyAlignment="1">
      <alignment horizontal="left" vertical="center"/>
    </xf>
    <xf numFmtId="0" fontId="47" fillId="12" borderId="12" xfId="0" applyFont="1" applyFill="1" applyBorder="1" applyAlignment="1">
      <alignment horizontal="left" vertical="center"/>
    </xf>
    <xf numFmtId="0" fontId="47" fillId="12" borderId="6" xfId="0" applyFont="1" applyFill="1" applyBorder="1" applyAlignment="1">
      <alignment horizontal="left" vertical="center"/>
    </xf>
    <xf numFmtId="0" fontId="47" fillId="12" borderId="6" xfId="0" applyFont="1" applyFill="1" applyBorder="1" applyAlignment="1">
      <alignment horizontal="center" vertical="center"/>
    </xf>
    <xf numFmtId="0" fontId="47" fillId="12" borderId="13" xfId="0" applyFont="1" applyFill="1" applyBorder="1" applyAlignment="1">
      <alignment horizontal="left" vertical="center"/>
    </xf>
    <xf numFmtId="0" fontId="47" fillId="12" borderId="13" xfId="0" applyFont="1" applyFill="1" applyBorder="1" applyAlignment="1">
      <alignment horizontal="center" vertical="center"/>
    </xf>
    <xf numFmtId="0" fontId="47" fillId="0" borderId="40" xfId="0" applyFont="1" applyBorder="1" applyAlignment="1">
      <alignment horizontal="center" vertical="center" wrapText="1"/>
    </xf>
    <xf numFmtId="0" fontId="47" fillId="0" borderId="40" xfId="0" applyFont="1" applyBorder="1" applyAlignment="1">
      <alignment horizontal="left" vertical="center" wrapText="1"/>
    </xf>
    <xf numFmtId="0" fontId="47" fillId="0" borderId="40" xfId="0" quotePrefix="1" applyFont="1" applyBorder="1" applyAlignment="1">
      <alignment horizontal="center" vertical="center" wrapText="1"/>
    </xf>
    <xf numFmtId="0" fontId="55" fillId="0" borderId="43" xfId="0" applyFont="1" applyBorder="1" applyAlignment="1">
      <alignment horizontal="center" vertical="center"/>
    </xf>
    <xf numFmtId="0" fontId="42" fillId="0" borderId="0" xfId="0" applyFont="1" applyAlignment="1">
      <alignment horizontal="center" vertical="center"/>
    </xf>
    <xf numFmtId="0" fontId="47" fillId="15" borderId="6" xfId="0" applyFont="1" applyFill="1" applyBorder="1" applyAlignment="1">
      <alignment horizontal="center" vertical="center" wrapText="1"/>
    </xf>
    <xf numFmtId="0" fontId="47" fillId="15" borderId="10" xfId="0" applyFont="1" applyFill="1" applyBorder="1" applyAlignment="1">
      <alignment horizontal="left" vertical="center"/>
    </xf>
    <xf numFmtId="0" fontId="47" fillId="12" borderId="11" xfId="0" applyFont="1" applyFill="1" applyBorder="1" applyAlignment="1">
      <alignment horizontal="left" vertical="center"/>
    </xf>
    <xf numFmtId="0" fontId="47" fillId="12" borderId="14" xfId="0" applyFont="1" applyFill="1" applyBorder="1" applyAlignment="1">
      <alignment horizontal="left" vertical="center"/>
    </xf>
    <xf numFmtId="0" fontId="54" fillId="0" borderId="0" xfId="0" applyFont="1"/>
    <xf numFmtId="0" fontId="51" fillId="10" borderId="6" xfId="0" applyFont="1" applyFill="1" applyBorder="1" applyAlignment="1">
      <alignment horizontal="left" vertical="center" wrapText="1"/>
    </xf>
    <xf numFmtId="0" fontId="47" fillId="12" borderId="59" xfId="0" applyFont="1" applyFill="1" applyBorder="1" applyAlignment="1">
      <alignment horizontal="left" vertical="center"/>
    </xf>
    <xf numFmtId="0" fontId="47" fillId="12" borderId="60" xfId="0" applyFont="1" applyFill="1" applyBorder="1" applyAlignment="1">
      <alignment horizontal="center" vertical="center"/>
    </xf>
    <xf numFmtId="0" fontId="47" fillId="15" borderId="60" xfId="0" applyFont="1" applyFill="1" applyBorder="1" applyAlignment="1">
      <alignment horizontal="center" vertical="center" wrapText="1"/>
    </xf>
    <xf numFmtId="0" fontId="47" fillId="15" borderId="59" xfId="0" applyFont="1" applyFill="1" applyBorder="1" applyAlignment="1">
      <alignment horizontal="left" vertical="center"/>
    </xf>
    <xf numFmtId="0" fontId="47" fillId="15" borderId="6" xfId="0" applyFont="1" applyFill="1" applyBorder="1" applyAlignment="1">
      <alignment horizontal="center" vertical="center"/>
    </xf>
    <xf numFmtId="0" fontId="47" fillId="15" borderId="13" xfId="0" applyFont="1" applyFill="1" applyBorder="1" applyAlignment="1">
      <alignment horizontal="center" vertical="center"/>
    </xf>
    <xf numFmtId="0" fontId="51" fillId="16" borderId="6" xfId="0" applyFont="1" applyFill="1" applyBorder="1" applyAlignment="1">
      <alignment horizontal="left" vertical="center" wrapText="1"/>
    </xf>
    <xf numFmtId="0" fontId="47" fillId="7" borderId="10" xfId="0" applyFont="1" applyFill="1" applyBorder="1" applyAlignment="1">
      <alignment horizontal="left" vertical="center"/>
    </xf>
    <xf numFmtId="0" fontId="47" fillId="7" borderId="6" xfId="0" applyFont="1" applyFill="1" applyBorder="1" applyAlignment="1">
      <alignment horizontal="center" vertical="center" wrapText="1"/>
    </xf>
    <xf numFmtId="0" fontId="51" fillId="7" borderId="6" xfId="0" applyFont="1" applyFill="1" applyBorder="1" applyAlignment="1">
      <alignment horizontal="center" vertical="center" wrapText="1"/>
    </xf>
    <xf numFmtId="0" fontId="47" fillId="7" borderId="6" xfId="0" applyFont="1" applyFill="1" applyBorder="1" applyAlignment="1">
      <alignment horizontal="center" vertical="center"/>
    </xf>
    <xf numFmtId="2" fontId="47" fillId="7" borderId="6" xfId="0" applyNumberFormat="1" applyFont="1" applyFill="1" applyBorder="1" applyAlignment="1">
      <alignment horizontal="center" vertical="center" wrapText="1"/>
    </xf>
    <xf numFmtId="0" fontId="49" fillId="7" borderId="10" xfId="0" applyFont="1" applyFill="1" applyBorder="1" applyAlignment="1">
      <alignment horizontal="left" vertical="center" wrapText="1"/>
    </xf>
    <xf numFmtId="164" fontId="51" fillId="7" borderId="6" xfId="0" applyNumberFormat="1" applyFont="1" applyFill="1" applyBorder="1" applyAlignment="1">
      <alignment horizontal="center" vertical="center" wrapText="1"/>
    </xf>
    <xf numFmtId="0" fontId="51" fillId="7" borderId="10" xfId="0" applyFont="1" applyFill="1" applyBorder="1" applyAlignment="1">
      <alignment horizontal="left" vertical="center" wrapText="1"/>
    </xf>
    <xf numFmtId="0" fontId="49" fillId="8" borderId="59" xfId="0" applyFont="1" applyFill="1" applyBorder="1" applyAlignment="1">
      <alignment horizontal="left" vertical="center"/>
    </xf>
    <xf numFmtId="166" fontId="51" fillId="8" borderId="6" xfId="0" applyNumberFormat="1" applyFont="1" applyFill="1" applyBorder="1" applyAlignment="1">
      <alignment horizontal="center" vertical="center" wrapText="1"/>
    </xf>
    <xf numFmtId="0" fontId="51" fillId="8" borderId="6" xfId="0" quotePrefix="1" applyFont="1" applyFill="1" applyBorder="1" applyAlignment="1">
      <alignment horizontal="center" vertical="center" wrapText="1"/>
    </xf>
    <xf numFmtId="0" fontId="51" fillId="8" borderId="6" xfId="0" applyFont="1" applyFill="1" applyBorder="1" applyAlignment="1">
      <alignment horizontal="left" vertical="center" wrapText="1"/>
    </xf>
    <xf numFmtId="0" fontId="51" fillId="9" borderId="10" xfId="0" applyFont="1" applyFill="1" applyBorder="1" applyAlignment="1">
      <alignment horizontal="left" vertical="center"/>
    </xf>
    <xf numFmtId="166" fontId="51" fillId="9" borderId="6" xfId="0" applyNumberFormat="1" applyFont="1" applyFill="1" applyBorder="1" applyAlignment="1">
      <alignment horizontal="center" vertical="center"/>
    </xf>
    <xf numFmtId="0" fontId="51" fillId="16" borderId="10" xfId="0" applyFont="1" applyFill="1" applyBorder="1" applyAlignment="1">
      <alignment horizontal="left" vertical="center"/>
    </xf>
    <xf numFmtId="166" fontId="51" fillId="16" borderId="6" xfId="0" applyNumberFormat="1" applyFont="1" applyFill="1" applyBorder="1" applyAlignment="1">
      <alignment horizontal="center" vertical="center" wrapText="1"/>
    </xf>
    <xf numFmtId="0" fontId="51" fillId="16" borderId="6" xfId="0" quotePrefix="1" applyFont="1" applyFill="1" applyBorder="1" applyAlignment="1">
      <alignment horizontal="center" vertical="center" wrapText="1"/>
    </xf>
    <xf numFmtId="166" fontId="51" fillId="10" borderId="6" xfId="0" applyNumberFormat="1" applyFont="1" applyFill="1" applyBorder="1" applyAlignment="1">
      <alignment horizontal="center" vertical="center" wrapText="1"/>
    </xf>
    <xf numFmtId="0" fontId="51" fillId="10" borderId="6" xfId="0" quotePrefix="1" applyFont="1" applyFill="1" applyBorder="1" applyAlignment="1">
      <alignment horizontal="center" vertical="center" wrapText="1"/>
    </xf>
    <xf numFmtId="0" fontId="51" fillId="19" borderId="10" xfId="0" applyFont="1" applyFill="1" applyBorder="1" applyAlignment="1">
      <alignment horizontal="left" vertical="center"/>
    </xf>
    <xf numFmtId="0" fontId="51" fillId="19" borderId="6" xfId="0" applyFont="1" applyFill="1" applyBorder="1" applyAlignment="1">
      <alignment horizontal="left" vertical="center" wrapText="1"/>
    </xf>
    <xf numFmtId="166" fontId="51" fillId="19" borderId="6" xfId="0" applyNumberFormat="1" applyFont="1" applyFill="1" applyBorder="1" applyAlignment="1">
      <alignment horizontal="center" vertical="center" wrapText="1"/>
    </xf>
    <xf numFmtId="0" fontId="51" fillId="19" borderId="6" xfId="0" quotePrefix="1" applyFont="1" applyFill="1" applyBorder="1" applyAlignment="1">
      <alignment horizontal="center" vertical="center" wrapText="1"/>
    </xf>
    <xf numFmtId="0" fontId="51" fillId="8" borderId="60" xfId="0" applyFont="1" applyFill="1" applyBorder="1" applyAlignment="1">
      <alignment horizontal="left" vertical="center" wrapText="1"/>
    </xf>
    <xf numFmtId="166" fontId="51" fillId="8" borderId="60" xfId="0" applyNumberFormat="1" applyFont="1" applyFill="1" applyBorder="1" applyAlignment="1">
      <alignment horizontal="center" vertical="center" wrapText="1"/>
    </xf>
    <xf numFmtId="0" fontId="51" fillId="8" borderId="60" xfId="0" quotePrefix="1" applyFont="1" applyFill="1" applyBorder="1" applyAlignment="1">
      <alignment horizontal="center" vertical="center" wrapText="1"/>
    </xf>
    <xf numFmtId="0" fontId="47" fillId="15" borderId="61" xfId="0" applyFont="1" applyFill="1" applyBorder="1" applyAlignment="1">
      <alignment horizontal="left" vertical="center"/>
    </xf>
    <xf numFmtId="0" fontId="47" fillId="15" borderId="11" xfId="0" applyFont="1" applyFill="1" applyBorder="1" applyAlignment="1">
      <alignment horizontal="left" vertical="center"/>
    </xf>
    <xf numFmtId="0" fontId="51" fillId="15" borderId="6" xfId="0" applyFont="1" applyFill="1" applyBorder="1" applyAlignment="1">
      <alignment horizontal="center" vertical="center" wrapText="1"/>
    </xf>
    <xf numFmtId="0" fontId="51" fillId="15" borderId="10" xfId="0" applyFont="1" applyFill="1" applyBorder="1" applyAlignment="1">
      <alignment horizontal="left" vertical="center" wrapText="1"/>
    </xf>
    <xf numFmtId="0" fontId="51" fillId="15" borderId="11" xfId="0" applyFont="1" applyFill="1" applyBorder="1" applyAlignment="1">
      <alignment horizontal="left" vertical="center" wrapText="1"/>
    </xf>
    <xf numFmtId="0" fontId="51" fillId="15" borderId="12" xfId="0" applyFont="1" applyFill="1" applyBorder="1" applyAlignment="1">
      <alignment horizontal="left" vertical="center" wrapText="1"/>
    </xf>
    <xf numFmtId="0" fontId="51" fillId="15" borderId="13" xfId="0" applyFont="1" applyFill="1" applyBorder="1" applyAlignment="1">
      <alignment horizontal="left" vertical="center" wrapText="1"/>
    </xf>
    <xf numFmtId="0" fontId="51" fillId="15" borderId="13" xfId="0" applyFont="1" applyFill="1" applyBorder="1" applyAlignment="1">
      <alignment horizontal="center" vertical="center" wrapText="1"/>
    </xf>
    <xf numFmtId="0" fontId="51" fillId="15" borderId="14" xfId="0" applyFont="1" applyFill="1" applyBorder="1" applyAlignment="1">
      <alignment horizontal="left" vertical="center" wrapText="1"/>
    </xf>
    <xf numFmtId="0" fontId="47" fillId="11" borderId="12" xfId="0" applyFont="1" applyFill="1" applyBorder="1" applyAlignment="1">
      <alignment horizontal="left" vertical="center"/>
    </xf>
    <xf numFmtId="0" fontId="47" fillId="11" borderId="13" xfId="0" applyFont="1" applyFill="1" applyBorder="1" applyAlignment="1">
      <alignment horizontal="left" vertical="center"/>
    </xf>
    <xf numFmtId="0" fontId="47" fillId="12" borderId="6" xfId="0" applyFont="1" applyFill="1" applyBorder="1" applyAlignment="1">
      <alignment horizontal="center" vertical="center" wrapText="1"/>
    </xf>
    <xf numFmtId="0" fontId="51" fillId="11" borderId="10" xfId="0" applyFont="1" applyFill="1" applyBorder="1" applyAlignment="1">
      <alignment horizontal="left" vertical="center"/>
    </xf>
    <xf numFmtId="0" fontId="51" fillId="9" borderId="6" xfId="0" applyFont="1" applyFill="1" applyBorder="1" applyAlignment="1">
      <alignment horizontal="left" vertical="center"/>
    </xf>
    <xf numFmtId="0" fontId="51" fillId="16" borderId="6" xfId="0" applyFont="1" applyFill="1" applyBorder="1" applyAlignment="1">
      <alignment horizontal="left" vertical="center"/>
    </xf>
    <xf numFmtId="164" fontId="51" fillId="0" borderId="0" xfId="0" applyNumberFormat="1" applyFont="1" applyAlignment="1">
      <alignment horizontal="left" vertical="center"/>
    </xf>
    <xf numFmtId="0" fontId="44" fillId="20" borderId="6" xfId="0" applyFont="1" applyFill="1" applyBorder="1" applyAlignment="1">
      <alignment horizontal="center" vertical="center"/>
    </xf>
    <xf numFmtId="0" fontId="44" fillId="20" borderId="6" xfId="0" applyFont="1" applyFill="1" applyBorder="1" applyAlignment="1">
      <alignment horizontal="center" vertical="center" wrapText="1"/>
    </xf>
    <xf numFmtId="0" fontId="44" fillId="20" borderId="6" xfId="0" applyFont="1" applyFill="1" applyBorder="1"/>
    <xf numFmtId="0" fontId="0" fillId="20" borderId="6" xfId="0" applyFill="1" applyBorder="1"/>
    <xf numFmtId="0" fontId="44" fillId="20" borderId="19" xfId="0" applyFont="1" applyFill="1" applyBorder="1" applyAlignment="1">
      <alignment horizontal="center" vertical="center"/>
    </xf>
    <xf numFmtId="0" fontId="44" fillId="20" borderId="19" xfId="0" applyFont="1" applyFill="1" applyBorder="1" applyAlignment="1">
      <alignment horizontal="center" vertical="center" wrapText="1"/>
    </xf>
    <xf numFmtId="0" fontId="44" fillId="20" borderId="19" xfId="0" applyFont="1" applyFill="1" applyBorder="1"/>
    <xf numFmtId="0" fontId="44" fillId="20" borderId="41" xfId="0" applyFont="1" applyFill="1" applyBorder="1" applyAlignment="1">
      <alignment horizontal="center" vertical="center"/>
    </xf>
    <xf numFmtId="0" fontId="44" fillId="20" borderId="42" xfId="0" applyFont="1" applyFill="1" applyBorder="1"/>
    <xf numFmtId="0" fontId="44" fillId="20" borderId="12" xfId="0" applyFont="1" applyFill="1" applyBorder="1" applyAlignment="1">
      <alignment horizontal="center" vertical="center"/>
    </xf>
    <xf numFmtId="0" fontId="44" fillId="20" borderId="13" xfId="0" applyFont="1" applyFill="1" applyBorder="1" applyAlignment="1">
      <alignment horizontal="center" vertical="center" wrapText="1"/>
    </xf>
    <xf numFmtId="0" fontId="44" fillId="20" borderId="13" xfId="0" applyFont="1" applyFill="1" applyBorder="1"/>
    <xf numFmtId="0" fontId="44" fillId="20" borderId="14" xfId="0" applyFont="1" applyFill="1" applyBorder="1"/>
    <xf numFmtId="0" fontId="55" fillId="13" borderId="70" xfId="0" applyFont="1" applyFill="1" applyBorder="1" applyAlignment="1">
      <alignment horizontal="center" vertical="center"/>
    </xf>
    <xf numFmtId="0" fontId="55" fillId="13" borderId="67" xfId="12" applyFont="1" applyFill="1" applyBorder="1" applyAlignment="1">
      <alignment horizontal="center"/>
    </xf>
    <xf numFmtId="0" fontId="55" fillId="13" borderId="68" xfId="12" applyFont="1" applyFill="1" applyBorder="1" applyAlignment="1">
      <alignment horizontal="center" vertical="top" wrapText="1"/>
    </xf>
    <xf numFmtId="0" fontId="55" fillId="13" borderId="68" xfId="12" applyFont="1" applyFill="1" applyBorder="1" applyAlignment="1">
      <alignment horizontal="center" vertical="center" wrapText="1"/>
    </xf>
    <xf numFmtId="0" fontId="55" fillId="13" borderId="69" xfId="12" applyFont="1" applyFill="1" applyBorder="1" applyAlignment="1">
      <alignment horizontal="center" vertical="top" wrapText="1"/>
    </xf>
    <xf numFmtId="0" fontId="44" fillId="0" borderId="13" xfId="0" applyFont="1" applyBorder="1" applyAlignment="1">
      <alignment horizontal="left" vertical="center"/>
    </xf>
    <xf numFmtId="0" fontId="55" fillId="7" borderId="70" xfId="0" applyFont="1" applyFill="1" applyBorder="1" applyAlignment="1">
      <alignment horizontal="center" vertical="center"/>
    </xf>
    <xf numFmtId="0" fontId="55" fillId="7" borderId="70" xfId="0" applyFont="1" applyFill="1" applyBorder="1" applyAlignment="1">
      <alignment horizontal="center"/>
    </xf>
    <xf numFmtId="0" fontId="55" fillId="7" borderId="53" xfId="0" applyFont="1" applyFill="1" applyBorder="1" applyAlignment="1">
      <alignment horizontal="left" vertical="center"/>
    </xf>
    <xf numFmtId="0" fontId="55" fillId="7" borderId="64" xfId="0" applyFont="1" applyFill="1" applyBorder="1" applyAlignment="1">
      <alignment horizontal="left" vertical="center"/>
    </xf>
    <xf numFmtId="0" fontId="55" fillId="7" borderId="53" xfId="0" applyFont="1" applyFill="1" applyBorder="1" applyAlignment="1">
      <alignment horizontal="center" vertical="center"/>
    </xf>
    <xf numFmtId="0" fontId="47" fillId="7" borderId="70" xfId="0" applyFont="1" applyFill="1" applyBorder="1" applyAlignment="1">
      <alignment horizontal="left" vertical="center" wrapText="1"/>
    </xf>
    <xf numFmtId="0" fontId="55" fillId="7" borderId="54" xfId="0" applyFont="1" applyFill="1" applyBorder="1" applyAlignment="1">
      <alignment horizontal="left" vertical="center" wrapText="1"/>
    </xf>
    <xf numFmtId="0" fontId="55" fillId="7" borderId="65" xfId="0" applyFont="1" applyFill="1" applyBorder="1" applyAlignment="1">
      <alignment horizontal="left" vertical="center" wrapText="1"/>
    </xf>
    <xf numFmtId="0" fontId="55" fillId="7" borderId="54" xfId="0" applyFont="1" applyFill="1" applyBorder="1" applyAlignment="1">
      <alignment horizontal="center" vertical="center" wrapText="1"/>
    </xf>
    <xf numFmtId="0" fontId="55" fillId="7" borderId="57" xfId="0" applyFont="1" applyFill="1" applyBorder="1" applyAlignment="1">
      <alignment horizontal="center" vertical="center" wrapText="1"/>
    </xf>
    <xf numFmtId="164" fontId="47" fillId="7" borderId="70" xfId="0" applyNumberFormat="1" applyFont="1" applyFill="1" applyBorder="1" applyAlignment="1">
      <alignment horizontal="center" vertical="center" wrapText="1"/>
    </xf>
    <xf numFmtId="0" fontId="47" fillId="7" borderId="70" xfId="0" applyFont="1" applyFill="1" applyBorder="1" applyAlignment="1">
      <alignment horizontal="center" vertical="center" wrapText="1"/>
    </xf>
    <xf numFmtId="0" fontId="55" fillId="7" borderId="55" xfId="0" applyFont="1" applyFill="1" applyBorder="1" applyAlignment="1">
      <alignment horizontal="center" vertical="center" wrapText="1"/>
    </xf>
    <xf numFmtId="0" fontId="55" fillId="7" borderId="55" xfId="0" applyFont="1" applyFill="1" applyBorder="1" applyAlignment="1">
      <alignment horizontal="left" vertical="center"/>
    </xf>
    <xf numFmtId="0" fontId="51" fillId="18" borderId="41" xfId="0" applyFont="1" applyFill="1" applyBorder="1" applyAlignment="1">
      <alignment horizontal="left" vertical="center"/>
    </xf>
    <xf numFmtId="164" fontId="51" fillId="18" borderId="6" xfId="0" applyNumberFormat="1" applyFont="1" applyFill="1" applyBorder="1" applyAlignment="1">
      <alignment horizontal="center" vertical="center"/>
    </xf>
    <xf numFmtId="0" fontId="51" fillId="18" borderId="19" xfId="0" applyFont="1" applyFill="1" applyBorder="1" applyAlignment="1">
      <alignment horizontal="center" vertical="center"/>
    </xf>
    <xf numFmtId="0" fontId="51" fillId="18" borderId="10" xfId="0" applyFont="1" applyFill="1" applyBorder="1" applyAlignment="1">
      <alignment horizontal="left" vertical="center"/>
    </xf>
    <xf numFmtId="0" fontId="51" fillId="18" borderId="6" xfId="0" applyFont="1" applyFill="1" applyBorder="1" applyAlignment="1">
      <alignment horizontal="center" vertical="center"/>
    </xf>
    <xf numFmtId="0" fontId="47" fillId="18" borderId="12" xfId="0" applyFont="1" applyFill="1" applyBorder="1" applyAlignment="1">
      <alignment horizontal="left" vertical="center"/>
    </xf>
    <xf numFmtId="0" fontId="47" fillId="18" borderId="13" xfId="0" applyFont="1" applyFill="1" applyBorder="1" applyAlignment="1">
      <alignment horizontal="left" vertical="center"/>
    </xf>
    <xf numFmtId="0" fontId="47" fillId="18" borderId="13" xfId="0" applyFont="1" applyFill="1" applyBorder="1" applyAlignment="1">
      <alignment horizontal="center" vertical="center"/>
    </xf>
    <xf numFmtId="0" fontId="44" fillId="0" borderId="0" xfId="0" applyFont="1" applyAlignment="1">
      <alignment horizontal="left"/>
    </xf>
    <xf numFmtId="0" fontId="47" fillId="9" borderId="10" xfId="0" applyFont="1" applyFill="1" applyBorder="1" applyAlignment="1">
      <alignment horizontal="left" vertical="center"/>
    </xf>
    <xf numFmtId="0" fontId="47" fillId="7" borderId="6" xfId="0" applyFont="1" applyFill="1" applyBorder="1" applyAlignment="1">
      <alignment horizontal="left" vertical="center"/>
    </xf>
    <xf numFmtId="166" fontId="47" fillId="7" borderId="6" xfId="0" applyNumberFormat="1" applyFont="1" applyFill="1" applyBorder="1" applyAlignment="1">
      <alignment horizontal="center" vertical="center" wrapText="1"/>
    </xf>
    <xf numFmtId="0" fontId="47" fillId="7" borderId="75" xfId="0" applyFont="1" applyFill="1" applyBorder="1" applyAlignment="1">
      <alignment horizontal="left" vertical="center"/>
    </xf>
    <xf numFmtId="0" fontId="47" fillId="7" borderId="72" xfId="0" applyFont="1" applyFill="1" applyBorder="1" applyAlignment="1">
      <alignment horizontal="center" vertical="center" wrapText="1"/>
    </xf>
    <xf numFmtId="0" fontId="51" fillId="7" borderId="72" xfId="0" applyFont="1" applyFill="1" applyBorder="1" applyAlignment="1">
      <alignment horizontal="center" vertical="center" wrapText="1"/>
    </xf>
    <xf numFmtId="0" fontId="47" fillId="7" borderId="73" xfId="0" applyFont="1" applyFill="1" applyBorder="1" applyAlignment="1">
      <alignment horizontal="left" vertical="center"/>
    </xf>
    <xf numFmtId="0" fontId="47" fillId="7" borderId="11" xfId="0" applyFont="1" applyFill="1" applyBorder="1" applyAlignment="1">
      <alignment horizontal="left" vertical="center"/>
    </xf>
    <xf numFmtId="0" fontId="49" fillId="7" borderId="11" xfId="0" applyFont="1" applyFill="1" applyBorder="1" applyAlignment="1">
      <alignment horizontal="left" vertical="center" wrapText="1"/>
    </xf>
    <xf numFmtId="0" fontId="51" fillId="7" borderId="11" xfId="0" applyFont="1" applyFill="1" applyBorder="1" applyAlignment="1">
      <alignment horizontal="left" vertical="center" wrapText="1"/>
    </xf>
    <xf numFmtId="0" fontId="47" fillId="7" borderId="12" xfId="0" applyFont="1" applyFill="1" applyBorder="1" applyAlignment="1">
      <alignment horizontal="left" vertical="center"/>
    </xf>
    <xf numFmtId="0" fontId="47" fillId="7" borderId="13" xfId="0" applyFont="1" applyFill="1" applyBorder="1" applyAlignment="1">
      <alignment horizontal="center" vertical="center"/>
    </xf>
    <xf numFmtId="0" fontId="47" fillId="7" borderId="14" xfId="0" applyFont="1" applyFill="1" applyBorder="1" applyAlignment="1">
      <alignment horizontal="left" vertical="center"/>
    </xf>
    <xf numFmtId="2" fontId="47" fillId="7" borderId="13" xfId="0" applyNumberFormat="1" applyFont="1" applyFill="1" applyBorder="1" applyAlignment="1">
      <alignment horizontal="center" vertical="center" wrapText="1"/>
    </xf>
    <xf numFmtId="0" fontId="46" fillId="17" borderId="0" xfId="0" applyFont="1" applyFill="1" applyAlignment="1">
      <alignment horizontal="center" vertical="center"/>
    </xf>
    <xf numFmtId="0" fontId="55" fillId="17" borderId="0" xfId="0" applyFont="1" applyFill="1" applyAlignment="1">
      <alignment horizontal="center" vertical="center"/>
    </xf>
    <xf numFmtId="0" fontId="62" fillId="7" borderId="50" xfId="0" applyFont="1" applyFill="1" applyBorder="1" applyAlignment="1">
      <alignment horizontal="center" vertical="center" wrapText="1"/>
    </xf>
    <xf numFmtId="0" fontId="62" fillId="7" borderId="51" xfId="0" applyFont="1" applyFill="1" applyBorder="1" applyAlignment="1">
      <alignment horizontal="center" vertical="center" wrapText="1"/>
    </xf>
    <xf numFmtId="0" fontId="62" fillId="7" borderId="52" xfId="0" applyFont="1" applyFill="1" applyBorder="1" applyAlignment="1">
      <alignment horizontal="center" vertical="center" wrapText="1"/>
    </xf>
    <xf numFmtId="0" fontId="46" fillId="7" borderId="78" xfId="0" applyFont="1" applyFill="1" applyBorder="1" applyAlignment="1">
      <alignment horizontal="center" vertical="center"/>
    </xf>
    <xf numFmtId="0" fontId="46" fillId="7" borderId="79" xfId="0" applyFont="1" applyFill="1" applyBorder="1" applyAlignment="1">
      <alignment horizontal="left" vertical="center" wrapText="1"/>
    </xf>
    <xf numFmtId="0" fontId="46" fillId="7" borderId="79" xfId="0" applyFont="1" applyFill="1" applyBorder="1" applyAlignment="1">
      <alignment horizontal="center" vertical="center"/>
    </xf>
    <xf numFmtId="0" fontId="55" fillId="7" borderId="78" xfId="0" applyFont="1" applyFill="1" applyBorder="1" applyAlignment="1">
      <alignment horizontal="center" vertical="center"/>
    </xf>
    <xf numFmtId="0" fontId="55" fillId="7" borderId="80" xfId="0" applyFont="1" applyFill="1" applyBorder="1" applyAlignment="1">
      <alignment horizontal="center" vertical="center"/>
    </xf>
    <xf numFmtId="0" fontId="44" fillId="20" borderId="10" xfId="0" applyFont="1" applyFill="1" applyBorder="1" applyAlignment="1">
      <alignment horizontal="center" vertical="center"/>
    </xf>
    <xf numFmtId="0" fontId="44" fillId="20" borderId="11" xfId="0" applyFont="1" applyFill="1" applyBorder="1"/>
    <xf numFmtId="0" fontId="44" fillId="20" borderId="13" xfId="0" applyFont="1" applyFill="1" applyBorder="1" applyAlignment="1">
      <alignment horizontal="center" vertical="center"/>
    </xf>
    <xf numFmtId="0" fontId="44" fillId="20" borderId="40" xfId="0" applyFont="1" applyFill="1" applyBorder="1"/>
    <xf numFmtId="0" fontId="44" fillId="20" borderId="75" xfId="0" applyFont="1" applyFill="1" applyBorder="1" applyAlignment="1">
      <alignment horizontal="center" vertical="center"/>
    </xf>
    <xf numFmtId="0" fontId="44" fillId="20" borderId="76" xfId="0" applyFont="1" applyFill="1" applyBorder="1" applyAlignment="1">
      <alignment horizontal="center" vertical="center" wrapText="1"/>
    </xf>
    <xf numFmtId="0" fontId="44" fillId="20" borderId="76" xfId="0" applyFont="1" applyFill="1" applyBorder="1"/>
    <xf numFmtId="0" fontId="44" fillId="20" borderId="77" xfId="0" applyFont="1" applyFill="1" applyBorder="1"/>
    <xf numFmtId="0" fontId="51" fillId="18" borderId="6" xfId="0" applyFont="1" applyFill="1" applyBorder="1" applyAlignment="1">
      <alignment horizontal="left" vertical="center" wrapText="1"/>
    </xf>
    <xf numFmtId="166" fontId="51" fillId="18" borderId="6" xfId="0" applyNumberFormat="1" applyFont="1" applyFill="1" applyBorder="1" applyAlignment="1">
      <alignment horizontal="center" vertical="center" wrapText="1"/>
    </xf>
    <xf numFmtId="0" fontId="51" fillId="18" borderId="6" xfId="0" quotePrefix="1" applyFont="1" applyFill="1" applyBorder="1" applyAlignment="1">
      <alignment horizontal="center" vertical="center" wrapText="1"/>
    </xf>
    <xf numFmtId="0" fontId="51" fillId="12" borderId="6" xfId="0" applyFont="1" applyFill="1" applyBorder="1" applyAlignment="1">
      <alignment horizontal="left" vertical="center" wrapText="1"/>
    </xf>
    <xf numFmtId="166" fontId="51" fillId="12" borderId="6" xfId="0" applyNumberFormat="1" applyFont="1" applyFill="1" applyBorder="1" applyAlignment="1">
      <alignment horizontal="center" vertical="center" wrapText="1"/>
    </xf>
    <xf numFmtId="0" fontId="51" fillId="12" borderId="6" xfId="0" quotePrefix="1" applyFont="1" applyFill="1" applyBorder="1" applyAlignment="1">
      <alignment horizontal="center" vertical="center" wrapText="1"/>
    </xf>
    <xf numFmtId="0" fontId="47" fillId="12" borderId="6" xfId="0" applyFont="1" applyFill="1" applyBorder="1" applyAlignment="1">
      <alignment horizontal="left" vertical="center" wrapText="1"/>
    </xf>
    <xf numFmtId="2" fontId="47" fillId="12" borderId="6" xfId="0" applyNumberFormat="1" applyFont="1" applyFill="1" applyBorder="1" applyAlignment="1">
      <alignment horizontal="center" vertical="center" wrapText="1"/>
    </xf>
    <xf numFmtId="0" fontId="47" fillId="8" borderId="71" xfId="0" applyFont="1" applyFill="1" applyBorder="1" applyAlignment="1">
      <alignment horizontal="left" vertical="center"/>
    </xf>
    <xf numFmtId="0" fontId="47" fillId="8" borderId="72" xfId="0" applyFont="1" applyFill="1" applyBorder="1" applyAlignment="1">
      <alignment horizontal="left" vertical="center" wrapText="1"/>
    </xf>
    <xf numFmtId="2" fontId="47" fillId="8" borderId="72" xfId="0" applyNumberFormat="1" applyFont="1" applyFill="1" applyBorder="1" applyAlignment="1">
      <alignment horizontal="center" vertical="center" wrapText="1"/>
    </xf>
    <xf numFmtId="0" fontId="47" fillId="8" borderId="72" xfId="0" applyFont="1" applyFill="1" applyBorder="1" applyAlignment="1">
      <alignment horizontal="center" vertical="center" wrapText="1"/>
    </xf>
    <xf numFmtId="0" fontId="51" fillId="9" borderId="41" xfId="0" applyFont="1" applyFill="1" applyBorder="1" applyAlignment="1">
      <alignment horizontal="left" vertical="center" wrapText="1"/>
    </xf>
    <xf numFmtId="164" fontId="51" fillId="9" borderId="19" xfId="0" applyNumberFormat="1" applyFont="1" applyFill="1" applyBorder="1" applyAlignment="1">
      <alignment horizontal="center" vertical="center" wrapText="1"/>
    </xf>
    <xf numFmtId="0" fontId="51" fillId="9" borderId="19" xfId="0" applyFont="1" applyFill="1" applyBorder="1" applyAlignment="1">
      <alignment horizontal="center" vertical="center" wrapText="1"/>
    </xf>
    <xf numFmtId="164" fontId="51" fillId="6" borderId="0" xfId="0" applyNumberFormat="1" applyFont="1" applyFill="1" applyAlignment="1">
      <alignment horizontal="left" vertical="center"/>
    </xf>
    <xf numFmtId="0" fontId="47" fillId="8" borderId="6" xfId="0" quotePrefix="1" applyFont="1" applyFill="1" applyBorder="1" applyAlignment="1">
      <alignment horizontal="center" vertical="center" wrapText="1"/>
    </xf>
    <xf numFmtId="0" fontId="47" fillId="18" borderId="13" xfId="0" applyFont="1" applyFill="1" applyBorder="1" applyAlignment="1">
      <alignment horizontal="center" vertical="center" wrapText="1"/>
    </xf>
    <xf numFmtId="0" fontId="47" fillId="18" borderId="13" xfId="0" applyFont="1" applyFill="1" applyBorder="1" applyAlignment="1">
      <alignment horizontal="left" vertical="center" wrapText="1"/>
    </xf>
    <xf numFmtId="2" fontId="47" fillId="18" borderId="13" xfId="0" applyNumberFormat="1" applyFont="1" applyFill="1" applyBorder="1" applyAlignment="1">
      <alignment horizontal="center" vertical="center" wrapText="1"/>
    </xf>
    <xf numFmtId="0" fontId="47" fillId="11" borderId="10" xfId="0" applyFont="1" applyFill="1" applyBorder="1" applyAlignment="1">
      <alignment horizontal="left" vertical="center" wrapText="1"/>
    </xf>
    <xf numFmtId="0" fontId="46" fillId="7" borderId="78" xfId="0" applyFont="1" applyFill="1" applyBorder="1" applyAlignment="1">
      <alignment horizontal="left" vertical="center" wrapText="1"/>
    </xf>
    <xf numFmtId="0" fontId="48" fillId="6" borderId="0" xfId="0" applyFont="1" applyFill="1" applyAlignment="1">
      <alignment horizontal="left"/>
    </xf>
    <xf numFmtId="0" fontId="27" fillId="0" borderId="0" xfId="0" applyFont="1" applyAlignment="1">
      <alignment horizontal="left" vertical="center"/>
    </xf>
    <xf numFmtId="0" fontId="47" fillId="0" borderId="85" xfId="0" applyFont="1" applyBorder="1" applyAlignment="1">
      <alignment horizontal="left" vertical="center"/>
    </xf>
    <xf numFmtId="0" fontId="54" fillId="7" borderId="74" xfId="0" applyFont="1" applyFill="1" applyBorder="1" applyAlignment="1">
      <alignment horizontal="left" vertical="center" wrapText="1"/>
    </xf>
    <xf numFmtId="0" fontId="55" fillId="7" borderId="79" xfId="0" applyFont="1" applyFill="1" applyBorder="1" applyAlignment="1">
      <alignment horizontal="left" vertical="center"/>
    </xf>
    <xf numFmtId="0" fontId="47" fillId="19" borderId="84" xfId="0" applyFont="1" applyFill="1" applyBorder="1" applyAlignment="1">
      <alignment horizontal="center" vertical="center" wrapText="1"/>
    </xf>
    <xf numFmtId="0" fontId="47" fillId="19" borderId="83" xfId="0" applyFont="1" applyFill="1" applyBorder="1" applyAlignment="1">
      <alignment horizontal="left" vertical="center"/>
    </xf>
    <xf numFmtId="0" fontId="47" fillId="19" borderId="12" xfId="0" applyFont="1" applyFill="1" applyBorder="1" applyAlignment="1">
      <alignment horizontal="left" vertical="center"/>
    </xf>
    <xf numFmtId="0" fontId="47" fillId="19" borderId="13" xfId="0" applyFont="1" applyFill="1" applyBorder="1" applyAlignment="1">
      <alignment horizontal="center" vertical="center" wrapText="1"/>
    </xf>
    <xf numFmtId="0" fontId="51" fillId="11" borderId="6" xfId="0" applyFont="1" applyFill="1" applyBorder="1" applyAlignment="1">
      <alignment horizontal="left" vertical="center" wrapText="1"/>
    </xf>
    <xf numFmtId="166" fontId="51" fillId="11" borderId="6" xfId="0" applyNumberFormat="1" applyFont="1" applyFill="1" applyBorder="1" applyAlignment="1">
      <alignment horizontal="center" vertical="center" wrapText="1"/>
    </xf>
    <xf numFmtId="0" fontId="51" fillId="11" borderId="6" xfId="0" quotePrefix="1" applyFont="1" applyFill="1" applyBorder="1" applyAlignment="1">
      <alignment horizontal="center" vertical="center" wrapText="1"/>
    </xf>
    <xf numFmtId="0" fontId="47" fillId="19" borderId="63" xfId="0" applyFont="1" applyFill="1" applyBorder="1" applyAlignment="1">
      <alignment horizontal="left" vertical="center"/>
    </xf>
    <xf numFmtId="0" fontId="47" fillId="11" borderId="84" xfId="0" applyFont="1" applyFill="1" applyBorder="1" applyAlignment="1">
      <alignment horizontal="center" vertical="center"/>
    </xf>
    <xf numFmtId="0" fontId="47" fillId="11" borderId="84" xfId="0" applyFont="1" applyFill="1" applyBorder="1" applyAlignment="1">
      <alignment horizontal="left" vertical="center"/>
    </xf>
    <xf numFmtId="0" fontId="54" fillId="7" borderId="5" xfId="0" applyFont="1" applyFill="1" applyBorder="1" applyAlignment="1">
      <alignment horizontal="left" vertical="center" wrapText="1"/>
    </xf>
    <xf numFmtId="0" fontId="47" fillId="19" borderId="84" xfId="0" quotePrefix="1" applyFont="1" applyFill="1" applyBorder="1" applyAlignment="1">
      <alignment horizontal="center" vertical="center" wrapText="1"/>
    </xf>
    <xf numFmtId="0" fontId="47" fillId="10" borderId="84" xfId="0" applyFont="1" applyFill="1" applyBorder="1" applyAlignment="1">
      <alignment horizontal="center" vertical="center" wrapText="1"/>
    </xf>
    <xf numFmtId="0" fontId="47" fillId="11" borderId="84" xfId="0" applyFont="1" applyFill="1" applyBorder="1" applyAlignment="1">
      <alignment horizontal="center" vertical="center" wrapText="1"/>
    </xf>
    <xf numFmtId="0" fontId="76" fillId="0" borderId="10" xfId="34" applyFont="1" applyBorder="1" applyAlignment="1">
      <alignment horizontal="left" vertical="center" wrapText="1"/>
    </xf>
    <xf numFmtId="0" fontId="76" fillId="0" borderId="12" xfId="34" applyFont="1" applyBorder="1" applyAlignment="1">
      <alignment horizontal="left" vertical="center" wrapText="1"/>
    </xf>
    <xf numFmtId="0" fontId="47" fillId="0" borderId="13" xfId="0" applyFont="1" applyBorder="1" applyAlignment="1">
      <alignment vertical="center"/>
    </xf>
    <xf numFmtId="0" fontId="47" fillId="8" borderId="84" xfId="0" applyFont="1" applyFill="1" applyBorder="1" applyAlignment="1">
      <alignment horizontal="left" vertical="center" wrapText="1"/>
    </xf>
    <xf numFmtId="0" fontId="47" fillId="21" borderId="76" xfId="0" applyFont="1" applyFill="1" applyBorder="1" applyAlignment="1">
      <alignment horizontal="left" vertical="center" wrapText="1"/>
    </xf>
    <xf numFmtId="0" fontId="47" fillId="21" borderId="84" xfId="0" applyFont="1" applyFill="1" applyBorder="1" applyAlignment="1">
      <alignment horizontal="left" vertical="center" wrapText="1"/>
    </xf>
    <xf numFmtId="0" fontId="51" fillId="21" borderId="84" xfId="0" applyFont="1" applyFill="1" applyBorder="1" applyAlignment="1">
      <alignment horizontal="left" vertical="center"/>
    </xf>
    <xf numFmtId="0" fontId="47" fillId="21" borderId="13" xfId="0" applyFont="1" applyFill="1" applyBorder="1" applyAlignment="1">
      <alignment horizontal="left" vertical="center" wrapText="1"/>
    </xf>
    <xf numFmtId="0" fontId="47" fillId="21" borderId="75" xfId="0" applyFont="1" applyFill="1" applyBorder="1" applyAlignment="1">
      <alignment horizontal="left" vertical="center"/>
    </xf>
    <xf numFmtId="164" fontId="47" fillId="21" borderId="76" xfId="0" applyNumberFormat="1" applyFont="1" applyFill="1" applyBorder="1" applyAlignment="1">
      <alignment horizontal="center" vertical="center" wrapText="1"/>
    </xf>
    <xf numFmtId="0" fontId="47" fillId="21" borderId="76" xfId="0" applyFont="1" applyFill="1" applyBorder="1" applyAlignment="1">
      <alignment horizontal="center" vertical="center" wrapText="1"/>
    </xf>
    <xf numFmtId="0" fontId="47" fillId="21" borderId="83" xfId="0" applyFont="1" applyFill="1" applyBorder="1" applyAlignment="1">
      <alignment horizontal="left" vertical="center"/>
    </xf>
    <xf numFmtId="2" fontId="47" fillId="21" borderId="84" xfId="0" applyNumberFormat="1" applyFont="1" applyFill="1" applyBorder="1" applyAlignment="1">
      <alignment horizontal="center" vertical="center" wrapText="1"/>
    </xf>
    <xf numFmtId="0" fontId="47" fillId="21" borderId="84" xfId="0" applyFont="1" applyFill="1" applyBorder="1" applyAlignment="1">
      <alignment horizontal="center" vertical="center" wrapText="1"/>
    </xf>
    <xf numFmtId="0" fontId="51" fillId="21" borderId="83" xfId="0" applyFont="1" applyFill="1" applyBorder="1" applyAlignment="1">
      <alignment horizontal="left" vertical="center"/>
    </xf>
    <xf numFmtId="164" fontId="51" fillId="21" borderId="84" xfId="0" applyNumberFormat="1" applyFont="1" applyFill="1" applyBorder="1" applyAlignment="1">
      <alignment horizontal="center" vertical="center"/>
    </xf>
    <xf numFmtId="0" fontId="51" fillId="21" borderId="84" xfId="0" applyFont="1" applyFill="1" applyBorder="1" applyAlignment="1">
      <alignment horizontal="center" vertical="center"/>
    </xf>
    <xf numFmtId="164" fontId="47" fillId="21" borderId="84" xfId="0" applyNumberFormat="1" applyFont="1" applyFill="1" applyBorder="1" applyAlignment="1">
      <alignment horizontal="center" vertical="center" wrapText="1"/>
    </xf>
    <xf numFmtId="0" fontId="47" fillId="21" borderId="12" xfId="0" applyFont="1" applyFill="1" applyBorder="1" applyAlignment="1">
      <alignment horizontal="left" vertical="center"/>
    </xf>
    <xf numFmtId="2" fontId="47" fillId="21" borderId="13" xfId="0" applyNumberFormat="1" applyFont="1" applyFill="1" applyBorder="1" applyAlignment="1">
      <alignment horizontal="center" vertical="center" wrapText="1"/>
    </xf>
    <xf numFmtId="0" fontId="47" fillId="21" borderId="13" xfId="0" applyFont="1" applyFill="1" applyBorder="1" applyAlignment="1">
      <alignment horizontal="center" vertical="center" wrapText="1"/>
    </xf>
    <xf numFmtId="0" fontId="47" fillId="11" borderId="84" xfId="0" applyFont="1" applyFill="1" applyBorder="1" applyAlignment="1">
      <alignment horizontal="left" vertical="center" wrapText="1"/>
    </xf>
    <xf numFmtId="2" fontId="47" fillId="11" borderId="84" xfId="0" applyNumberFormat="1" applyFont="1" applyFill="1" applyBorder="1" applyAlignment="1">
      <alignment horizontal="left" vertical="center"/>
    </xf>
    <xf numFmtId="2" fontId="47" fillId="11" borderId="84" xfId="0" applyNumberFormat="1" applyFont="1" applyFill="1" applyBorder="1" applyAlignment="1">
      <alignment horizontal="left" vertical="center" wrapText="1"/>
    </xf>
    <xf numFmtId="164" fontId="47" fillId="11" borderId="84" xfId="0" applyNumberFormat="1" applyFont="1" applyFill="1" applyBorder="1" applyAlignment="1">
      <alignment horizontal="left" vertical="center"/>
    </xf>
    <xf numFmtId="0" fontId="47" fillId="11" borderId="85" xfId="0" applyFont="1" applyFill="1" applyBorder="1" applyAlignment="1">
      <alignment horizontal="left" vertical="center"/>
    </xf>
    <xf numFmtId="164" fontId="47" fillId="11" borderId="84" xfId="0" applyNumberFormat="1" applyFont="1" applyFill="1" applyBorder="1" applyAlignment="1">
      <alignment horizontal="center" vertical="center" wrapText="1"/>
    </xf>
    <xf numFmtId="2" fontId="47" fillId="11" borderId="84" xfId="0" applyNumberFormat="1" applyFont="1" applyFill="1" applyBorder="1" applyAlignment="1">
      <alignment horizontal="center" vertical="center"/>
    </xf>
    <xf numFmtId="0" fontId="47" fillId="11" borderId="86" xfId="0" applyFont="1" applyFill="1" applyBorder="1" applyAlignment="1">
      <alignment horizontal="left" vertical="center"/>
    </xf>
    <xf numFmtId="2" fontId="47" fillId="11" borderId="84" xfId="0" applyNumberFormat="1" applyFont="1" applyFill="1" applyBorder="1" applyAlignment="1">
      <alignment horizontal="center" vertical="center" wrapText="1"/>
    </xf>
    <xf numFmtId="164" fontId="47" fillId="11" borderId="84" xfId="0" applyNumberFormat="1" applyFont="1" applyFill="1" applyBorder="1" applyAlignment="1">
      <alignment horizontal="center" vertical="center"/>
    </xf>
    <xf numFmtId="0" fontId="47" fillId="11" borderId="84" xfId="0" quotePrefix="1" applyFont="1" applyFill="1" applyBorder="1" applyAlignment="1">
      <alignment horizontal="center" vertical="center" wrapText="1"/>
    </xf>
    <xf numFmtId="164" fontId="47" fillId="11" borderId="13" xfId="0" applyNumberFormat="1" applyFont="1" applyFill="1" applyBorder="1" applyAlignment="1">
      <alignment horizontal="center" vertical="center"/>
    </xf>
    <xf numFmtId="0" fontId="47" fillId="11" borderId="13" xfId="0" applyFont="1" applyFill="1" applyBorder="1" applyAlignment="1">
      <alignment horizontal="center" vertical="center" wrapText="1"/>
    </xf>
    <xf numFmtId="0" fontId="47" fillId="11" borderId="14" xfId="0" applyFont="1" applyFill="1" applyBorder="1" applyAlignment="1">
      <alignment horizontal="left" vertical="center"/>
    </xf>
    <xf numFmtId="0" fontId="47" fillId="12" borderId="83" xfId="0" applyFont="1" applyFill="1" applyBorder="1" applyAlignment="1">
      <alignment horizontal="left" vertical="center"/>
    </xf>
    <xf numFmtId="0" fontId="47" fillId="12" borderId="72" xfId="0" applyFont="1" applyFill="1" applyBorder="1" applyAlignment="1">
      <alignment horizontal="left" vertical="center"/>
    </xf>
    <xf numFmtId="0" fontId="47" fillId="12" borderId="84" xfId="0" applyFont="1" applyFill="1" applyBorder="1" applyAlignment="1">
      <alignment horizontal="left" vertical="center"/>
    </xf>
    <xf numFmtId="0" fontId="51" fillId="18" borderId="85" xfId="0" applyFont="1" applyFill="1" applyBorder="1" applyAlignment="1">
      <alignment horizontal="left" vertical="center"/>
    </xf>
    <xf numFmtId="0" fontId="51" fillId="18" borderId="84" xfId="0" applyFont="1" applyFill="1" applyBorder="1" applyAlignment="1">
      <alignment horizontal="left" vertical="center"/>
    </xf>
    <xf numFmtId="0" fontId="47" fillId="15" borderId="72" xfId="0" applyFont="1" applyFill="1" applyBorder="1" applyAlignment="1">
      <alignment horizontal="left" vertical="center" wrapText="1"/>
    </xf>
    <xf numFmtId="0" fontId="47" fillId="15" borderId="84" xfId="0" applyFont="1" applyFill="1" applyBorder="1" applyAlignment="1">
      <alignment horizontal="left" vertical="center" wrapText="1"/>
    </xf>
    <xf numFmtId="0" fontId="51" fillId="15" borderId="84" xfId="0" applyFont="1" applyFill="1" applyBorder="1" applyAlignment="1">
      <alignment horizontal="left" vertical="center" wrapText="1"/>
    </xf>
    <xf numFmtId="0" fontId="47" fillId="7" borderId="72" xfId="0" applyFont="1" applyFill="1" applyBorder="1" applyAlignment="1">
      <alignment horizontal="left" vertical="center" wrapText="1"/>
    </xf>
    <xf numFmtId="2" fontId="47" fillId="7" borderId="84" xfId="0" applyNumberFormat="1" applyFont="1" applyFill="1" applyBorder="1" applyAlignment="1">
      <alignment horizontal="left" vertical="center" wrapText="1"/>
    </xf>
    <xf numFmtId="0" fontId="47" fillId="7" borderId="84" xfId="0" applyFont="1" applyFill="1" applyBorder="1" applyAlignment="1">
      <alignment horizontal="left" vertical="center" wrapText="1"/>
    </xf>
    <xf numFmtId="164" fontId="51" fillId="7" borderId="84" xfId="0" applyNumberFormat="1" applyFont="1" applyFill="1" applyBorder="1" applyAlignment="1">
      <alignment horizontal="left" vertical="center" wrapText="1"/>
    </xf>
    <xf numFmtId="166" fontId="47" fillId="7" borderId="84" xfId="0" applyNumberFormat="1" applyFont="1" applyFill="1" applyBorder="1" applyAlignment="1">
      <alignment horizontal="left" vertical="center" wrapText="1"/>
    </xf>
    <xf numFmtId="2" fontId="47" fillId="7" borderId="13" xfId="0" applyNumberFormat="1" applyFont="1" applyFill="1" applyBorder="1" applyAlignment="1">
      <alignment horizontal="left" vertical="center" wrapText="1"/>
    </xf>
    <xf numFmtId="0" fontId="51" fillId="9" borderId="83" xfId="0" applyFont="1" applyFill="1" applyBorder="1" applyAlignment="1">
      <alignment horizontal="left" vertical="center" wrapText="1"/>
    </xf>
    <xf numFmtId="164" fontId="51" fillId="9" borderId="85" xfId="0" applyNumberFormat="1" applyFont="1" applyFill="1" applyBorder="1" applyAlignment="1">
      <alignment horizontal="left" vertical="center" wrapText="1"/>
    </xf>
    <xf numFmtId="165" fontId="51" fillId="9" borderId="84" xfId="0" applyNumberFormat="1" applyFont="1" applyFill="1" applyBorder="1" applyAlignment="1">
      <alignment horizontal="left" vertical="center" wrapText="1"/>
    </xf>
    <xf numFmtId="2" fontId="51" fillId="9" borderId="84" xfId="0" applyNumberFormat="1" applyFont="1" applyFill="1" applyBorder="1" applyAlignment="1">
      <alignment horizontal="left" vertical="center" wrapText="1"/>
    </xf>
    <xf numFmtId="166" fontId="51" fillId="9" borderId="84" xfId="0" applyNumberFormat="1" applyFont="1" applyFill="1" applyBorder="1" applyAlignment="1">
      <alignment horizontal="left" vertical="center" wrapText="1"/>
    </xf>
    <xf numFmtId="164" fontId="51" fillId="9" borderId="84" xfId="0" applyNumberFormat="1" applyFont="1" applyFill="1" applyBorder="1" applyAlignment="1">
      <alignment horizontal="left" vertical="center" wrapText="1"/>
    </xf>
    <xf numFmtId="0" fontId="47" fillId="10" borderId="84" xfId="0" applyFont="1" applyFill="1" applyBorder="1" applyAlignment="1">
      <alignment horizontal="left" vertical="center" wrapText="1"/>
    </xf>
    <xf numFmtId="0" fontId="47" fillId="12" borderId="84" xfId="0" applyFont="1" applyFill="1" applyBorder="1" applyAlignment="1">
      <alignment horizontal="left" vertical="center" wrapText="1"/>
    </xf>
    <xf numFmtId="166" fontId="47" fillId="9" borderId="84" xfId="0" applyNumberFormat="1" applyFont="1" applyFill="1" applyBorder="1" applyAlignment="1">
      <alignment horizontal="left" vertical="center" wrapText="1"/>
    </xf>
    <xf numFmtId="2" fontId="47" fillId="9" borderId="84" xfId="0" applyNumberFormat="1" applyFont="1" applyFill="1" applyBorder="1" applyAlignment="1">
      <alignment horizontal="left" vertical="center" wrapText="1"/>
    </xf>
    <xf numFmtId="166" fontId="47" fillId="22" borderId="84" xfId="0" applyNumberFormat="1" applyFont="1" applyFill="1" applyBorder="1" applyAlignment="1">
      <alignment horizontal="left" vertical="center" wrapText="1"/>
    </xf>
    <xf numFmtId="2" fontId="47" fillId="22" borderId="84" xfId="0" applyNumberFormat="1" applyFont="1" applyFill="1" applyBorder="1" applyAlignment="1">
      <alignment horizontal="left" vertical="center" wrapText="1"/>
    </xf>
    <xf numFmtId="166" fontId="47" fillId="22" borderId="84" xfId="0" applyNumberFormat="1" applyFont="1" applyFill="1" applyBorder="1" applyAlignment="1">
      <alignment horizontal="left" vertical="center"/>
    </xf>
    <xf numFmtId="166" fontId="47" fillId="9" borderId="6" xfId="0" applyNumberFormat="1" applyFont="1" applyFill="1" applyBorder="1" applyAlignment="1">
      <alignment horizontal="center" vertical="center" wrapText="1"/>
    </xf>
    <xf numFmtId="0" fontId="47" fillId="9" borderId="6" xfId="0" applyFont="1" applyFill="1" applyBorder="1" applyAlignment="1">
      <alignment horizontal="center" vertical="center" wrapText="1"/>
    </xf>
    <xf numFmtId="2" fontId="47" fillId="9" borderId="6" xfId="0" applyNumberFormat="1" applyFont="1" applyFill="1" applyBorder="1" applyAlignment="1">
      <alignment horizontal="center" vertical="center" wrapText="1"/>
    </xf>
    <xf numFmtId="0" fontId="47" fillId="22" borderId="10" xfId="0" applyFont="1" applyFill="1" applyBorder="1" applyAlignment="1">
      <alignment horizontal="left" vertical="center"/>
    </xf>
    <xf numFmtId="166" fontId="47" fillId="22" borderId="6" xfId="0" applyNumberFormat="1" applyFont="1" applyFill="1" applyBorder="1" applyAlignment="1">
      <alignment horizontal="center" vertical="center" wrapText="1"/>
    </xf>
    <xf numFmtId="0" fontId="47" fillId="22" borderId="6" xfId="0" applyFont="1" applyFill="1" applyBorder="1" applyAlignment="1">
      <alignment horizontal="center" vertical="center" wrapText="1"/>
    </xf>
    <xf numFmtId="2" fontId="47" fillId="22" borderId="6" xfId="0" applyNumberFormat="1" applyFont="1" applyFill="1" applyBorder="1" applyAlignment="1">
      <alignment horizontal="center" vertical="center" wrapText="1"/>
    </xf>
    <xf numFmtId="0" fontId="47" fillId="22" borderId="10" xfId="0" applyFont="1" applyFill="1" applyBorder="1" applyAlignment="1">
      <alignment horizontal="left" vertical="center" wrapText="1"/>
    </xf>
    <xf numFmtId="0" fontId="44" fillId="22" borderId="6" xfId="0" applyFont="1" applyFill="1" applyBorder="1" applyAlignment="1">
      <alignment horizontal="center"/>
    </xf>
    <xf numFmtId="165" fontId="47" fillId="22" borderId="6" xfId="0" applyNumberFormat="1" applyFont="1" applyFill="1" applyBorder="1" applyAlignment="1">
      <alignment horizontal="center" vertical="center"/>
    </xf>
    <xf numFmtId="0" fontId="47" fillId="9" borderId="10" xfId="0" applyFont="1" applyFill="1" applyBorder="1" applyAlignment="1">
      <alignment horizontal="left" vertical="center" wrapText="1"/>
    </xf>
    <xf numFmtId="0" fontId="0" fillId="11" borderId="84" xfId="0" applyFill="1" applyBorder="1" applyAlignment="1">
      <alignment horizontal="left"/>
    </xf>
    <xf numFmtId="0" fontId="47" fillId="8" borderId="84" xfId="0" applyFont="1" applyFill="1" applyBorder="1" applyAlignment="1">
      <alignment horizontal="center" vertical="center" wrapText="1"/>
    </xf>
    <xf numFmtId="0" fontId="55" fillId="7" borderId="78" xfId="0" applyFont="1" applyFill="1" applyBorder="1" applyAlignment="1">
      <alignment horizontal="left" vertical="center" wrapText="1"/>
    </xf>
    <xf numFmtId="0" fontId="55" fillId="7" borderId="78" xfId="0" applyFont="1" applyFill="1" applyBorder="1" applyAlignment="1">
      <alignment horizontal="center" vertical="center" wrapText="1"/>
    </xf>
    <xf numFmtId="0" fontId="47" fillId="0" borderId="89" xfId="0" applyFont="1" applyBorder="1" applyAlignment="1">
      <alignment horizontal="left" vertical="center"/>
    </xf>
    <xf numFmtId="0" fontId="54" fillId="2" borderId="0" xfId="0" applyFont="1" applyFill="1" applyAlignment="1">
      <alignment horizontal="center" vertical="center"/>
    </xf>
    <xf numFmtId="0" fontId="54" fillId="2" borderId="0" xfId="0" applyFont="1" applyFill="1" applyAlignment="1">
      <alignment horizontal="left" vertical="center"/>
    </xf>
    <xf numFmtId="165" fontId="54" fillId="2" borderId="0" xfId="0" applyNumberFormat="1" applyFont="1" applyFill="1" applyAlignment="1">
      <alignment horizontal="center" vertical="center"/>
    </xf>
    <xf numFmtId="0" fontId="31" fillId="6" borderId="0" xfId="0" applyFont="1" applyFill="1" applyAlignment="1">
      <alignment horizontal="left" vertical="center"/>
    </xf>
    <xf numFmtId="0" fontId="30" fillId="6" borderId="0" xfId="0" applyFont="1" applyFill="1" applyAlignment="1">
      <alignment horizontal="left" vertical="center"/>
    </xf>
    <xf numFmtId="0" fontId="27" fillId="7" borderId="4" xfId="0" applyFont="1" applyFill="1" applyBorder="1" applyAlignment="1">
      <alignment horizontal="left" vertical="center"/>
    </xf>
    <xf numFmtId="0" fontId="31" fillId="0" borderId="0" xfId="0" applyFont="1" applyAlignment="1">
      <alignment horizontal="left" vertical="center"/>
    </xf>
    <xf numFmtId="0" fontId="33" fillId="0" borderId="0" xfId="3" applyFont="1" applyAlignment="1">
      <alignment horizontal="left" vertical="center" wrapText="1"/>
    </xf>
    <xf numFmtId="166" fontId="0" fillId="0" borderId="0" xfId="0" applyNumberFormat="1" applyAlignment="1">
      <alignment horizontal="left"/>
    </xf>
    <xf numFmtId="166" fontId="0" fillId="0" borderId="0" xfId="0" applyNumberFormat="1" applyAlignment="1">
      <alignment horizontal="left" vertical="center"/>
    </xf>
    <xf numFmtId="0" fontId="47" fillId="11" borderId="89" xfId="0" applyFont="1" applyFill="1" applyBorder="1" applyAlignment="1">
      <alignment horizontal="left" vertical="center"/>
    </xf>
    <xf numFmtId="0" fontId="47" fillId="11" borderId="85" xfId="0" applyFont="1" applyFill="1" applyBorder="1" applyAlignment="1">
      <alignment horizontal="left" vertical="center" wrapText="1"/>
    </xf>
    <xf numFmtId="0" fontId="47" fillId="11" borderId="85" xfId="0" applyFont="1" applyFill="1" applyBorder="1" applyAlignment="1">
      <alignment horizontal="center" vertical="center" wrapText="1"/>
    </xf>
    <xf numFmtId="0" fontId="47" fillId="11" borderId="89" xfId="0" quotePrefix="1" applyFont="1" applyFill="1" applyBorder="1" applyAlignment="1">
      <alignment horizontal="left" vertical="center"/>
    </xf>
    <xf numFmtId="0" fontId="44" fillId="0" borderId="89" xfId="0" applyFont="1" applyBorder="1"/>
    <xf numFmtId="0" fontId="44" fillId="0" borderId="85" xfId="0" applyFont="1" applyBorder="1"/>
    <xf numFmtId="0" fontId="44" fillId="0" borderId="85" xfId="0" applyFont="1" applyBorder="1" applyAlignment="1">
      <alignment horizontal="center"/>
    </xf>
    <xf numFmtId="0" fontId="44" fillId="0" borderId="90" xfId="0" applyFont="1" applyBorder="1"/>
    <xf numFmtId="0" fontId="44" fillId="0" borderId="10" xfId="0" applyFont="1" applyBorder="1"/>
    <xf numFmtId="0" fontId="31" fillId="6" borderId="0" xfId="0" applyFont="1" applyFill="1" applyAlignment="1">
      <alignment horizontal="left" vertical="center" wrapText="1"/>
    </xf>
    <xf numFmtId="0" fontId="27" fillId="6" borderId="0" xfId="0" applyFont="1" applyFill="1" applyAlignment="1">
      <alignment horizontal="left" vertical="center" wrapText="1"/>
    </xf>
    <xf numFmtId="0" fontId="44" fillId="6" borderId="0" xfId="0" applyFont="1" applyFill="1" applyAlignment="1">
      <alignment horizontal="left"/>
    </xf>
    <xf numFmtId="0" fontId="27" fillId="7" borderId="1" xfId="0" applyFont="1" applyFill="1" applyBorder="1" applyAlignment="1">
      <alignment horizontal="left" vertical="center" wrapText="1"/>
    </xf>
    <xf numFmtId="0" fontId="27" fillId="0" borderId="0" xfId="0" applyFont="1" applyAlignment="1">
      <alignment horizontal="left"/>
    </xf>
    <xf numFmtId="0" fontId="46" fillId="5" borderId="75" xfId="0" applyFont="1" applyFill="1" applyBorder="1" applyAlignment="1">
      <alignment horizontal="left" vertical="center"/>
    </xf>
    <xf numFmtId="0" fontId="81" fillId="0" borderId="0" xfId="0" applyFont="1"/>
    <xf numFmtId="0" fontId="46" fillId="5" borderId="95" xfId="0" applyFont="1" applyFill="1" applyBorder="1" applyAlignment="1">
      <alignment horizontal="left" vertical="center"/>
    </xf>
    <xf numFmtId="0" fontId="46" fillId="5" borderId="96" xfId="0" applyFont="1" applyFill="1" applyBorder="1" applyAlignment="1">
      <alignment horizontal="left" vertical="center"/>
    </xf>
    <xf numFmtId="0" fontId="44" fillId="0" borderId="75" xfId="0" applyFont="1" applyBorder="1"/>
    <xf numFmtId="0" fontId="44" fillId="0" borderId="76" xfId="0" applyFont="1" applyBorder="1"/>
    <xf numFmtId="0" fontId="44" fillId="0" borderId="76" xfId="0" applyFont="1" applyBorder="1" applyAlignment="1">
      <alignment horizontal="center"/>
    </xf>
    <xf numFmtId="0" fontId="44" fillId="0" borderId="77" xfId="0" applyFont="1" applyBorder="1"/>
    <xf numFmtId="0" fontId="44" fillId="0" borderId="95" xfId="22" applyFont="1" applyBorder="1"/>
    <xf numFmtId="0" fontId="44" fillId="0" borderId="84" xfId="22" applyFont="1" applyBorder="1"/>
    <xf numFmtId="0" fontId="44" fillId="0" borderId="84" xfId="22" applyFont="1" applyBorder="1" applyAlignment="1">
      <alignment horizontal="center"/>
    </xf>
    <xf numFmtId="0" fontId="44" fillId="0" borderId="84" xfId="22" applyFont="1" applyBorder="1" applyAlignment="1">
      <alignment horizontal="left" vertical="center"/>
    </xf>
    <xf numFmtId="0" fontId="44" fillId="0" borderId="86" xfId="22" applyFont="1" applyBorder="1"/>
    <xf numFmtId="0" fontId="44" fillId="0" borderId="95" xfId="22" applyFont="1" applyBorder="1" applyAlignment="1">
      <alignment horizontal="left" vertical="center"/>
    </xf>
    <xf numFmtId="0" fontId="44" fillId="0" borderId="84" xfId="22" applyFont="1" applyBorder="1" applyAlignment="1">
      <alignment horizontal="center" vertical="center"/>
    </xf>
    <xf numFmtId="0" fontId="44" fillId="0" borderId="86" xfId="22" applyFont="1" applyBorder="1" applyAlignment="1">
      <alignment horizontal="left" vertical="center"/>
    </xf>
    <xf numFmtId="0" fontId="44" fillId="0" borderId="12" xfId="22" applyFont="1" applyBorder="1"/>
    <xf numFmtId="0" fontId="44" fillId="0" borderId="97" xfId="22" applyFont="1" applyBorder="1"/>
    <xf numFmtId="0" fontId="44" fillId="0" borderId="97" xfId="22" applyFont="1" applyBorder="1" applyAlignment="1">
      <alignment horizontal="center"/>
    </xf>
    <xf numFmtId="0" fontId="44" fillId="0" borderId="98" xfId="22" applyFont="1" applyBorder="1"/>
    <xf numFmtId="0" fontId="56" fillId="0" borderId="34" xfId="0" applyFont="1" applyBorder="1" applyAlignment="1">
      <alignment horizontal="left" vertical="center"/>
    </xf>
    <xf numFmtId="0" fontId="47" fillId="7" borderId="15" xfId="0" applyFont="1" applyFill="1" applyBorder="1" applyAlignment="1">
      <alignment horizontal="center" vertical="center" wrapText="1"/>
    </xf>
    <xf numFmtId="0" fontId="47" fillId="12" borderId="84" xfId="0" applyFont="1" applyFill="1" applyBorder="1" applyAlignment="1">
      <alignment horizontal="center" vertical="center"/>
    </xf>
    <xf numFmtId="0" fontId="47" fillId="12" borderId="100" xfId="0" applyFont="1" applyFill="1" applyBorder="1" applyAlignment="1">
      <alignment horizontal="center" vertical="center"/>
    </xf>
    <xf numFmtId="0" fontId="54" fillId="7" borderId="78" xfId="0" applyFont="1" applyFill="1" applyBorder="1" applyAlignment="1">
      <alignment horizontal="center" vertical="center" wrapText="1"/>
    </xf>
    <xf numFmtId="0" fontId="51" fillId="18" borderId="85" xfId="0" applyFont="1" applyFill="1" applyBorder="1" applyAlignment="1">
      <alignment horizontal="center" vertical="center"/>
    </xf>
    <xf numFmtId="0" fontId="51" fillId="18" borderId="84" xfId="0" applyFont="1" applyFill="1" applyBorder="1" applyAlignment="1">
      <alignment horizontal="center" vertical="center"/>
    </xf>
    <xf numFmtId="0" fontId="47" fillId="18" borderId="100" xfId="0" applyFont="1" applyFill="1" applyBorder="1" applyAlignment="1">
      <alignment horizontal="center" vertical="center"/>
    </xf>
    <xf numFmtId="1" fontId="47" fillId="15" borderId="72" xfId="0" applyNumberFormat="1" applyFont="1" applyFill="1" applyBorder="1" applyAlignment="1">
      <alignment horizontal="center" vertical="center" wrapText="1"/>
    </xf>
    <xf numFmtId="1" fontId="47" fillId="15" borderId="84" xfId="0" applyNumberFormat="1" applyFont="1" applyFill="1" applyBorder="1" applyAlignment="1">
      <alignment horizontal="center" vertical="center" wrapText="1"/>
    </xf>
    <xf numFmtId="0" fontId="51" fillId="15" borderId="84" xfId="0" applyFont="1" applyFill="1" applyBorder="1" applyAlignment="1">
      <alignment horizontal="center" vertical="center" wrapText="1"/>
    </xf>
    <xf numFmtId="0" fontId="51" fillId="15" borderId="100" xfId="0" applyFont="1" applyFill="1" applyBorder="1" applyAlignment="1">
      <alignment horizontal="center" vertical="center" wrapText="1"/>
    </xf>
    <xf numFmtId="0" fontId="47" fillId="7" borderId="84" xfId="0" applyFont="1" applyFill="1" applyBorder="1" applyAlignment="1">
      <alignment horizontal="center" vertical="center"/>
    </xf>
    <xf numFmtId="0" fontId="51" fillId="7" borderId="84" xfId="0" applyFont="1" applyFill="1" applyBorder="1" applyAlignment="1">
      <alignment horizontal="center" vertical="center" wrapText="1"/>
    </xf>
    <xf numFmtId="0" fontId="51" fillId="7" borderId="100" xfId="0" applyFont="1" applyFill="1" applyBorder="1" applyAlignment="1">
      <alignment horizontal="center" vertical="center" wrapText="1"/>
    </xf>
    <xf numFmtId="0" fontId="51" fillId="9" borderId="85" xfId="0" applyFont="1" applyFill="1" applyBorder="1" applyAlignment="1">
      <alignment horizontal="center" vertical="center" wrapText="1"/>
    </xf>
    <xf numFmtId="0" fontId="51" fillId="9" borderId="84" xfId="0" applyFont="1" applyFill="1" applyBorder="1" applyAlignment="1">
      <alignment horizontal="center" vertical="center" wrapText="1"/>
    </xf>
    <xf numFmtId="0" fontId="47" fillId="0" borderId="82" xfId="0" applyFont="1" applyBorder="1" applyAlignment="1">
      <alignment horizontal="center" vertical="center" wrapText="1"/>
    </xf>
    <xf numFmtId="166" fontId="51" fillId="8" borderId="72" xfId="0" applyNumberFormat="1" applyFont="1" applyFill="1" applyBorder="1" applyAlignment="1">
      <alignment horizontal="center" vertical="center" wrapText="1"/>
    </xf>
    <xf numFmtId="166" fontId="51" fillId="8" borderId="84" xfId="0" applyNumberFormat="1" applyFont="1" applyFill="1" applyBorder="1" applyAlignment="1">
      <alignment horizontal="center" vertical="center" wrapText="1"/>
    </xf>
    <xf numFmtId="166" fontId="51" fillId="11" borderId="84" xfId="0" applyNumberFormat="1" applyFont="1" applyFill="1" applyBorder="1" applyAlignment="1">
      <alignment horizontal="center" vertical="center" wrapText="1"/>
    </xf>
    <xf numFmtId="166" fontId="51" fillId="19" borderId="84" xfId="0" applyNumberFormat="1" applyFont="1" applyFill="1" applyBorder="1" applyAlignment="1">
      <alignment horizontal="center" vertical="center" wrapText="1"/>
    </xf>
    <xf numFmtId="166" fontId="51" fillId="10" borderId="84" xfId="0" applyNumberFormat="1" applyFont="1" applyFill="1" applyBorder="1" applyAlignment="1">
      <alignment horizontal="center" vertical="center" wrapText="1"/>
    </xf>
    <xf numFmtId="166" fontId="51" fillId="12" borderId="84" xfId="0" applyNumberFormat="1" applyFont="1" applyFill="1" applyBorder="1" applyAlignment="1">
      <alignment horizontal="center" vertical="center" wrapText="1"/>
    </xf>
    <xf numFmtId="166" fontId="51" fillId="18" borderId="84" xfId="0" applyNumberFormat="1" applyFont="1" applyFill="1" applyBorder="1" applyAlignment="1">
      <alignment horizontal="center" vertical="center" wrapText="1"/>
    </xf>
    <xf numFmtId="166" fontId="51" fillId="9" borderId="84" xfId="0" applyNumberFormat="1" applyFont="1" applyFill="1" applyBorder="1" applyAlignment="1">
      <alignment horizontal="center" vertical="center"/>
    </xf>
    <xf numFmtId="166" fontId="51" fillId="16" borderId="84" xfId="0" applyNumberFormat="1" applyFont="1" applyFill="1" applyBorder="1" applyAlignment="1">
      <alignment horizontal="center" vertical="center" wrapText="1"/>
    </xf>
    <xf numFmtId="2" fontId="47" fillId="8" borderId="84" xfId="0" applyNumberFormat="1" applyFont="1" applyFill="1" applyBorder="1" applyAlignment="1">
      <alignment horizontal="center" vertical="center" wrapText="1"/>
    </xf>
    <xf numFmtId="2" fontId="47" fillId="12" borderId="84" xfId="0" applyNumberFormat="1" applyFont="1" applyFill="1" applyBorder="1" applyAlignment="1">
      <alignment horizontal="center" vertical="center" wrapText="1"/>
    </xf>
    <xf numFmtId="2" fontId="47" fillId="18" borderId="100" xfId="0" applyNumberFormat="1" applyFont="1" applyFill="1" applyBorder="1" applyAlignment="1">
      <alignment horizontal="center" vertical="center" wrapText="1"/>
    </xf>
    <xf numFmtId="0" fontId="47" fillId="9" borderId="84" xfId="0" applyFont="1" applyFill="1" applyBorder="1" applyAlignment="1">
      <alignment horizontal="center" vertical="center" wrapText="1"/>
    </xf>
    <xf numFmtId="0" fontId="47" fillId="22" borderId="84" xfId="0" applyFont="1" applyFill="1" applyBorder="1" applyAlignment="1">
      <alignment horizontal="center" vertical="center" wrapText="1"/>
    </xf>
    <xf numFmtId="0" fontId="47" fillId="8" borderId="100" xfId="0" applyFont="1" applyFill="1" applyBorder="1" applyAlignment="1">
      <alignment horizontal="center" vertical="center" wrapText="1"/>
    </xf>
    <xf numFmtId="0" fontId="47" fillId="21" borderId="72" xfId="0" applyFont="1" applyFill="1" applyBorder="1" applyAlignment="1">
      <alignment horizontal="center" vertical="center" wrapText="1"/>
    </xf>
    <xf numFmtId="0" fontId="47" fillId="21" borderId="100" xfId="0" applyFont="1" applyFill="1" applyBorder="1" applyAlignment="1">
      <alignment horizontal="center" vertical="center" wrapText="1"/>
    </xf>
    <xf numFmtId="0" fontId="47" fillId="11" borderId="100" xfId="0" applyFont="1" applyFill="1" applyBorder="1" applyAlignment="1">
      <alignment horizontal="center" vertical="center" wrapText="1"/>
    </xf>
    <xf numFmtId="0" fontId="47" fillId="19" borderId="100" xfId="0" applyFont="1" applyFill="1" applyBorder="1" applyAlignment="1">
      <alignment horizontal="center" vertical="center" wrapText="1"/>
    </xf>
    <xf numFmtId="0" fontId="47" fillId="12" borderId="72" xfId="0" applyFont="1" applyFill="1" applyBorder="1" applyAlignment="1">
      <alignment horizontal="center" vertical="center"/>
    </xf>
    <xf numFmtId="0" fontId="46" fillId="7" borderId="78" xfId="0" applyFont="1" applyFill="1" applyBorder="1" applyAlignment="1">
      <alignment horizontal="center" vertical="center" wrapText="1"/>
    </xf>
    <xf numFmtId="0" fontId="47" fillId="20" borderId="89" xfId="0" applyFont="1" applyFill="1" applyBorder="1" applyAlignment="1">
      <alignment horizontal="left" vertical="center" wrapText="1"/>
    </xf>
    <xf numFmtId="0" fontId="47" fillId="20" borderId="90" xfId="0" applyFont="1" applyFill="1" applyBorder="1" applyAlignment="1">
      <alignment horizontal="left" vertical="center"/>
    </xf>
    <xf numFmtId="0" fontId="47" fillId="20" borderId="106" xfId="0" applyFont="1" applyFill="1" applyBorder="1" applyAlignment="1">
      <alignment horizontal="left" vertical="center" wrapText="1"/>
    </xf>
    <xf numFmtId="0" fontId="47" fillId="20" borderId="108" xfId="0" applyFont="1" applyFill="1" applyBorder="1" applyAlignment="1">
      <alignment horizontal="left" vertical="center"/>
    </xf>
    <xf numFmtId="0" fontId="44" fillId="9" borderId="110" xfId="0" applyFont="1" applyFill="1" applyBorder="1" applyAlignment="1">
      <alignment horizontal="left" vertical="center"/>
    </xf>
    <xf numFmtId="0" fontId="44" fillId="18" borderId="108" xfId="0" applyFont="1" applyFill="1" applyBorder="1" applyAlignment="1">
      <alignment horizontal="left" vertical="center"/>
    </xf>
    <xf numFmtId="165" fontId="51" fillId="9" borderId="105" xfId="0" applyNumberFormat="1" applyFont="1" applyFill="1" applyBorder="1" applyAlignment="1">
      <alignment horizontal="center" vertical="center" wrapText="1"/>
    </xf>
    <xf numFmtId="0" fontId="51" fillId="9" borderId="105" xfId="0" applyFont="1" applyFill="1" applyBorder="1" applyAlignment="1">
      <alignment horizontal="center" vertical="center" wrapText="1"/>
    </xf>
    <xf numFmtId="0" fontId="44" fillId="9" borderId="109" xfId="0" applyFont="1" applyFill="1" applyBorder="1" applyAlignment="1">
      <alignment horizontal="left" vertical="center"/>
    </xf>
    <xf numFmtId="165" fontId="51" fillId="9" borderId="105" xfId="0" applyNumberFormat="1" applyFont="1" applyFill="1" applyBorder="1" applyAlignment="1">
      <alignment vertical="center" wrapText="1"/>
    </xf>
    <xf numFmtId="0" fontId="44" fillId="9" borderId="105" xfId="0" applyFont="1" applyFill="1" applyBorder="1" applyAlignment="1">
      <alignment horizontal="center" vertical="center"/>
    </xf>
    <xf numFmtId="0" fontId="47" fillId="7" borderId="109" xfId="0" applyFont="1" applyFill="1" applyBorder="1" applyAlignment="1">
      <alignment horizontal="left" vertical="center"/>
    </xf>
    <xf numFmtId="0" fontId="47" fillId="7" borderId="105" xfId="0" applyFont="1" applyFill="1" applyBorder="1" applyAlignment="1">
      <alignment horizontal="center" vertical="center"/>
    </xf>
    <xf numFmtId="0" fontId="47" fillId="7" borderId="110" xfId="0" applyFont="1" applyFill="1" applyBorder="1" applyAlignment="1">
      <alignment horizontal="left" vertical="center"/>
    </xf>
    <xf numFmtId="166" fontId="47" fillId="7" borderId="105" xfId="0" applyNumberFormat="1" applyFont="1" applyFill="1" applyBorder="1" applyAlignment="1">
      <alignment horizontal="left" vertical="center" wrapText="1"/>
    </xf>
    <xf numFmtId="166" fontId="47" fillId="7" borderId="105" xfId="0" applyNumberFormat="1" applyFont="1" applyFill="1" applyBorder="1" applyAlignment="1">
      <alignment horizontal="center" vertical="center" wrapText="1"/>
    </xf>
    <xf numFmtId="0" fontId="51" fillId="7" borderId="105" xfId="0" applyFont="1" applyFill="1" applyBorder="1" applyAlignment="1">
      <alignment horizontal="center" vertical="center" wrapText="1"/>
    </xf>
    <xf numFmtId="0" fontId="47" fillId="4" borderId="89" xfId="0" applyFont="1" applyFill="1" applyBorder="1" applyAlignment="1">
      <alignment horizontal="left" vertical="center"/>
    </xf>
    <xf numFmtId="0" fontId="47" fillId="4" borderId="103" xfId="0" applyFont="1" applyFill="1" applyBorder="1" applyAlignment="1">
      <alignment horizontal="left" vertical="center"/>
    </xf>
    <xf numFmtId="0" fontId="47" fillId="4" borderId="82" xfId="0" applyFont="1" applyFill="1" applyBorder="1" applyAlignment="1">
      <alignment horizontal="left" vertical="center"/>
    </xf>
    <xf numFmtId="0" fontId="47" fillId="4" borderId="106" xfId="0" applyFont="1" applyFill="1" applyBorder="1" applyAlignment="1">
      <alignment horizontal="left" vertical="center"/>
    </xf>
    <xf numFmtId="0" fontId="47" fillId="4" borderId="108" xfId="0" applyFont="1" applyFill="1" applyBorder="1" applyAlignment="1">
      <alignment horizontal="left" vertical="center"/>
    </xf>
    <xf numFmtId="11" fontId="47" fillId="4" borderId="82" xfId="0" applyNumberFormat="1" applyFont="1" applyFill="1" applyBorder="1" applyAlignment="1">
      <alignment horizontal="left" vertical="center"/>
    </xf>
    <xf numFmtId="164" fontId="47" fillId="19" borderId="16" xfId="0" applyNumberFormat="1" applyFont="1" applyFill="1" applyBorder="1" applyAlignment="1">
      <alignment horizontal="center" vertical="center"/>
    </xf>
    <xf numFmtId="2" fontId="47" fillId="11" borderId="85" xfId="0" applyNumberFormat="1" applyFont="1" applyFill="1" applyBorder="1" applyAlignment="1">
      <alignment horizontal="center" vertical="center" wrapText="1"/>
    </xf>
    <xf numFmtId="0" fontId="75" fillId="12" borderId="6" xfId="0" applyFont="1" applyFill="1" applyBorder="1" applyAlignment="1">
      <alignment horizontal="center" vertical="center"/>
    </xf>
    <xf numFmtId="166" fontId="47" fillId="11" borderId="6" xfId="0" applyNumberFormat="1" applyFont="1" applyFill="1" applyBorder="1" applyAlignment="1">
      <alignment horizontal="center" vertical="center" wrapText="1"/>
    </xf>
    <xf numFmtId="166" fontId="47" fillId="19" borderId="6" xfId="0" applyNumberFormat="1" applyFont="1" applyFill="1" applyBorder="1" applyAlignment="1">
      <alignment horizontal="center" vertical="center" wrapText="1"/>
    </xf>
    <xf numFmtId="2" fontId="47" fillId="11" borderId="105" xfId="0" applyNumberFormat="1" applyFont="1" applyFill="1" applyBorder="1" applyAlignment="1">
      <alignment horizontal="center" vertical="center"/>
    </xf>
    <xf numFmtId="0" fontId="47" fillId="20" borderId="103" xfId="0" applyFont="1" applyFill="1" applyBorder="1" applyAlignment="1">
      <alignment horizontal="left" vertical="center"/>
    </xf>
    <xf numFmtId="11" fontId="47" fillId="20" borderId="82" xfId="0" applyNumberFormat="1" applyFont="1" applyFill="1" applyBorder="1" applyAlignment="1">
      <alignment horizontal="left" vertical="center"/>
    </xf>
    <xf numFmtId="0" fontId="47" fillId="20" borderId="82" xfId="0" quotePrefix="1" applyFont="1" applyFill="1" applyBorder="1" applyAlignment="1">
      <alignment horizontal="left" vertical="center"/>
    </xf>
    <xf numFmtId="0" fontId="47" fillId="20" borderId="104" xfId="0" applyFont="1" applyFill="1" applyBorder="1" applyAlignment="1">
      <alignment horizontal="left" vertical="center"/>
    </xf>
    <xf numFmtId="0" fontId="47" fillId="20" borderId="106" xfId="0" applyFont="1" applyFill="1" applyBorder="1" applyAlignment="1">
      <alignment horizontal="left" vertical="center"/>
    </xf>
    <xf numFmtId="0" fontId="46" fillId="25" borderId="78" xfId="0" applyFont="1" applyFill="1" applyBorder="1" applyAlignment="1">
      <alignment horizontal="center" vertical="center"/>
    </xf>
    <xf numFmtId="0" fontId="55" fillId="25" borderId="78" xfId="0" applyFont="1" applyFill="1" applyBorder="1" applyAlignment="1">
      <alignment horizontal="center" vertical="center"/>
    </xf>
    <xf numFmtId="0" fontId="47" fillId="20" borderId="89" xfId="0" applyFont="1" applyFill="1" applyBorder="1" applyAlignment="1">
      <alignment horizontal="left" vertical="center"/>
    </xf>
    <xf numFmtId="0" fontId="47" fillId="12" borderId="106" xfId="0" quotePrefix="1" applyFont="1" applyFill="1" applyBorder="1" applyAlignment="1">
      <alignment horizontal="left" vertical="center"/>
    </xf>
    <xf numFmtId="0" fontId="47" fillId="20" borderId="89" xfId="2" applyFont="1" applyFill="1" applyBorder="1" applyAlignment="1">
      <alignment horizontal="left" vertical="center" wrapText="1"/>
    </xf>
    <xf numFmtId="0" fontId="28" fillId="0" borderId="0" xfId="0" applyFont="1" applyAlignment="1">
      <alignment horizontal="right"/>
    </xf>
    <xf numFmtId="0" fontId="47" fillId="0" borderId="112" xfId="0" applyFont="1" applyBorder="1" applyAlignment="1">
      <alignment horizontal="left" vertical="center"/>
    </xf>
    <xf numFmtId="0" fontId="47" fillId="0" borderId="111" xfId="0" applyFont="1" applyBorder="1" applyAlignment="1">
      <alignment horizontal="left" vertical="center"/>
    </xf>
    <xf numFmtId="0" fontId="47" fillId="0" borderId="106" xfId="0" applyFont="1" applyBorder="1" applyAlignment="1">
      <alignment horizontal="left" vertical="center"/>
    </xf>
    <xf numFmtId="0" fontId="47" fillId="0" borderId="114" xfId="0" applyFont="1" applyBorder="1" applyAlignment="1">
      <alignment horizontal="left" vertical="center"/>
    </xf>
    <xf numFmtId="0" fontId="47" fillId="0" borderId="112" xfId="0" applyFont="1" applyBorder="1" applyAlignment="1">
      <alignment vertical="center"/>
    </xf>
    <xf numFmtId="0" fontId="47" fillId="0" borderId="112" xfId="0" applyFont="1" applyBorder="1"/>
    <xf numFmtId="0" fontId="47" fillId="0" borderId="75" xfId="0" applyFont="1" applyBorder="1" applyAlignment="1">
      <alignment vertical="center"/>
    </xf>
    <xf numFmtId="0" fontId="47" fillId="0" borderId="76" xfId="0" applyFont="1" applyBorder="1"/>
    <xf numFmtId="0" fontId="47" fillId="0" borderId="111" xfId="0" applyFont="1" applyBorder="1" applyAlignment="1">
      <alignment vertical="center"/>
    </xf>
    <xf numFmtId="0" fontId="47" fillId="0" borderId="106" xfId="0" applyFont="1" applyBorder="1" applyAlignment="1">
      <alignment vertical="center"/>
    </xf>
    <xf numFmtId="0" fontId="47" fillId="0" borderId="114" xfId="0" applyFont="1" applyBorder="1" applyAlignment="1">
      <alignment vertical="center"/>
    </xf>
    <xf numFmtId="0" fontId="55" fillId="7" borderId="66" xfId="0" applyFont="1" applyFill="1" applyBorder="1" applyAlignment="1">
      <alignment vertical="center" wrapText="1"/>
    </xf>
    <xf numFmtId="0" fontId="47" fillId="0" borderId="77" xfId="0" applyFont="1" applyBorder="1"/>
    <xf numFmtId="0" fontId="47" fillId="0" borderId="113" xfId="0" applyFont="1" applyBorder="1"/>
    <xf numFmtId="0" fontId="47" fillId="0" borderId="113" xfId="0" applyFont="1" applyBorder="1" applyAlignment="1">
      <alignment vertical="center"/>
    </xf>
    <xf numFmtId="0" fontId="47" fillId="0" borderId="108" xfId="0" applyFont="1" applyBorder="1" applyAlignment="1">
      <alignment vertical="center"/>
    </xf>
    <xf numFmtId="2" fontId="47" fillId="8" borderId="112" xfId="0" applyNumberFormat="1" applyFont="1" applyFill="1" applyBorder="1" applyAlignment="1">
      <alignment horizontal="center" vertical="center" wrapText="1"/>
    </xf>
    <xf numFmtId="0" fontId="47" fillId="15" borderId="76" xfId="0" applyFont="1" applyFill="1" applyBorder="1" applyAlignment="1">
      <alignment horizontal="center" vertical="center" wrapText="1"/>
    </xf>
    <xf numFmtId="0" fontId="47" fillId="15" borderId="121" xfId="0" applyFont="1" applyFill="1" applyBorder="1" applyAlignment="1">
      <alignment horizontal="center" vertical="center" wrapText="1"/>
    </xf>
    <xf numFmtId="0" fontId="51" fillId="15" borderId="121" xfId="0" applyFont="1" applyFill="1" applyBorder="1" applyAlignment="1">
      <alignment horizontal="center" vertical="center" wrapText="1"/>
    </xf>
    <xf numFmtId="0" fontId="51" fillId="15" borderId="114" xfId="0" applyFont="1" applyFill="1" applyBorder="1" applyAlignment="1">
      <alignment horizontal="center" vertical="center" wrapText="1"/>
    </xf>
    <xf numFmtId="0" fontId="51" fillId="0" borderId="0" xfId="6" applyFont="1" applyAlignment="1">
      <alignment horizontal="center" vertical="center"/>
    </xf>
    <xf numFmtId="0" fontId="54" fillId="7" borderId="122" xfId="6" applyFont="1" applyFill="1" applyBorder="1" applyAlignment="1">
      <alignment horizontal="left" vertical="center" wrapText="1"/>
    </xf>
    <xf numFmtId="0" fontId="54" fillId="0" borderId="0" xfId="6" applyFont="1" applyAlignment="1">
      <alignment horizontal="center" vertical="center"/>
    </xf>
    <xf numFmtId="0" fontId="54" fillId="7" borderId="122" xfId="0" applyFont="1" applyFill="1" applyBorder="1" applyAlignment="1">
      <alignment horizontal="left" vertical="center" wrapText="1"/>
    </xf>
    <xf numFmtId="0" fontId="47" fillId="9" borderId="125" xfId="0" applyFont="1" applyFill="1" applyBorder="1" applyAlignment="1">
      <alignment horizontal="left" vertical="center"/>
    </xf>
    <xf numFmtId="0" fontId="47" fillId="9" borderId="126" xfId="0" applyFont="1" applyFill="1" applyBorder="1" applyAlignment="1">
      <alignment horizontal="left" vertical="center" wrapText="1"/>
    </xf>
    <xf numFmtId="0" fontId="47" fillId="9" borderId="126" xfId="0" applyFont="1" applyFill="1" applyBorder="1" applyAlignment="1">
      <alignment horizontal="center" vertical="center" wrapText="1"/>
    </xf>
    <xf numFmtId="0" fontId="51" fillId="9" borderId="126" xfId="0" applyFont="1" applyFill="1" applyBorder="1" applyAlignment="1">
      <alignment horizontal="center" vertical="center" wrapText="1"/>
    </xf>
    <xf numFmtId="0" fontId="47" fillId="9" borderId="127" xfId="0" applyFont="1" applyFill="1" applyBorder="1" applyAlignment="1">
      <alignment horizontal="left" vertical="center"/>
    </xf>
    <xf numFmtId="0" fontId="47" fillId="9" borderId="111" xfId="0" applyFont="1" applyFill="1" applyBorder="1" applyAlignment="1">
      <alignment horizontal="left" vertical="center"/>
    </xf>
    <xf numFmtId="2" fontId="47" fillId="9" borderId="121" xfId="0" applyNumberFormat="1" applyFont="1" applyFill="1" applyBorder="1" applyAlignment="1">
      <alignment horizontal="left" vertical="center" wrapText="1"/>
    </xf>
    <xf numFmtId="2" fontId="47" fillId="9" borderId="121" xfId="0" applyNumberFormat="1" applyFont="1" applyFill="1" applyBorder="1" applyAlignment="1">
      <alignment horizontal="center" vertical="center" wrapText="1"/>
    </xf>
    <xf numFmtId="0" fontId="47" fillId="9" borderId="121" xfId="0" applyFont="1" applyFill="1" applyBorder="1" applyAlignment="1">
      <alignment horizontal="center" vertical="center"/>
    </xf>
    <xf numFmtId="0" fontId="47" fillId="9" borderId="121" xfId="0" applyFont="1" applyFill="1" applyBorder="1" applyAlignment="1">
      <alignment horizontal="center" vertical="center" wrapText="1"/>
    </xf>
    <xf numFmtId="0" fontId="51" fillId="9" borderId="121" xfId="0" applyFont="1" applyFill="1" applyBorder="1" applyAlignment="1">
      <alignment horizontal="center" vertical="center" wrapText="1"/>
    </xf>
    <xf numFmtId="0" fontId="47" fillId="9" borderId="113" xfId="0" applyFont="1" applyFill="1" applyBorder="1" applyAlignment="1">
      <alignment horizontal="left" vertical="center"/>
    </xf>
    <xf numFmtId="0" fontId="47" fillId="9" borderId="121" xfId="0" applyFont="1" applyFill="1" applyBorder="1" applyAlignment="1">
      <alignment horizontal="left" vertical="center" wrapText="1"/>
    </xf>
    <xf numFmtId="166" fontId="47" fillId="9" borderId="121" xfId="0" applyNumberFormat="1" applyFont="1" applyFill="1" applyBorder="1" applyAlignment="1">
      <alignment horizontal="left" vertical="center" wrapText="1"/>
    </xf>
    <xf numFmtId="166" fontId="47" fillId="9" borderId="121" xfId="0" applyNumberFormat="1" applyFont="1" applyFill="1" applyBorder="1" applyAlignment="1">
      <alignment horizontal="center" vertical="center" wrapText="1"/>
    </xf>
    <xf numFmtId="0" fontId="47" fillId="9" borderId="106" xfId="0" applyFont="1" applyFill="1" applyBorder="1" applyAlignment="1">
      <alignment horizontal="left" vertical="center"/>
    </xf>
    <xf numFmtId="166" fontId="47" fillId="9" borderId="114" xfId="0" applyNumberFormat="1" applyFont="1" applyFill="1" applyBorder="1" applyAlignment="1">
      <alignment horizontal="left" vertical="center" wrapText="1"/>
    </xf>
    <xf numFmtId="166" fontId="47" fillId="9" borderId="114" xfId="0" applyNumberFormat="1" applyFont="1" applyFill="1" applyBorder="1" applyAlignment="1">
      <alignment horizontal="center" vertical="center" wrapText="1"/>
    </xf>
    <xf numFmtId="0" fontId="51" fillId="9" borderId="114" xfId="0" applyFont="1" applyFill="1" applyBorder="1" applyAlignment="1">
      <alignment horizontal="center" vertical="center" wrapText="1"/>
    </xf>
    <xf numFmtId="0" fontId="47" fillId="9" borderId="114" xfId="0" applyFont="1" applyFill="1" applyBorder="1" applyAlignment="1">
      <alignment horizontal="center" vertical="center"/>
    </xf>
    <xf numFmtId="0" fontId="47" fillId="9" borderId="108" xfId="0" applyFont="1" applyFill="1" applyBorder="1" applyAlignment="1">
      <alignment horizontal="left" vertical="center"/>
    </xf>
    <xf numFmtId="0" fontId="54" fillId="7" borderId="128" xfId="0" applyFont="1" applyFill="1" applyBorder="1" applyAlignment="1">
      <alignment horizontal="left" vertical="center" wrapText="1"/>
    </xf>
    <xf numFmtId="0" fontId="47" fillId="9" borderId="129" xfId="0" applyFont="1" applyFill="1" applyBorder="1" applyAlignment="1">
      <alignment horizontal="left" vertical="center"/>
    </xf>
    <xf numFmtId="0" fontId="47" fillId="9" borderId="129" xfId="0" applyFont="1" applyFill="1" applyBorder="1" applyAlignment="1">
      <alignment horizontal="center" vertical="center"/>
    </xf>
    <xf numFmtId="0" fontId="47" fillId="9" borderId="121" xfId="0" applyFont="1" applyFill="1" applyBorder="1" applyAlignment="1">
      <alignment horizontal="left" vertical="center"/>
    </xf>
    <xf numFmtId="0" fontId="47" fillId="9" borderId="89" xfId="0" applyFont="1" applyFill="1" applyBorder="1" applyAlignment="1">
      <alignment horizontal="left" vertical="center"/>
    </xf>
    <xf numFmtId="0" fontId="47" fillId="9" borderId="85" xfId="0" applyFont="1" applyFill="1" applyBorder="1" applyAlignment="1">
      <alignment horizontal="left" vertical="center"/>
    </xf>
    <xf numFmtId="0" fontId="47" fillId="9" borderId="85" xfId="0" applyFont="1" applyFill="1" applyBorder="1" applyAlignment="1">
      <alignment horizontal="center" vertical="center"/>
    </xf>
    <xf numFmtId="0" fontId="47" fillId="9" borderId="114" xfId="0" applyFont="1" applyFill="1" applyBorder="1" applyAlignment="1">
      <alignment horizontal="left" vertical="center"/>
    </xf>
    <xf numFmtId="0" fontId="47" fillId="15" borderId="121" xfId="0" applyFont="1" applyFill="1" applyBorder="1" applyAlignment="1">
      <alignment horizontal="left" vertical="center" wrapText="1"/>
    </xf>
    <xf numFmtId="1" fontId="47" fillId="15" borderId="121" xfId="0" applyNumberFormat="1" applyFont="1" applyFill="1" applyBorder="1" applyAlignment="1">
      <alignment horizontal="center" vertical="center" wrapText="1"/>
    </xf>
    <xf numFmtId="0" fontId="51" fillId="15" borderId="111" xfId="0" applyFont="1" applyFill="1" applyBorder="1" applyAlignment="1">
      <alignment horizontal="left" vertical="center" wrapText="1"/>
    </xf>
    <xf numFmtId="0" fontId="51" fillId="15" borderId="121" xfId="0" applyFont="1" applyFill="1" applyBorder="1" applyAlignment="1">
      <alignment horizontal="left" vertical="center" wrapText="1"/>
    </xf>
    <xf numFmtId="0" fontId="47" fillId="15" borderId="121" xfId="0" applyFont="1" applyFill="1" applyBorder="1" applyAlignment="1">
      <alignment horizontal="center" vertical="center"/>
    </xf>
    <xf numFmtId="0" fontId="51" fillId="15" borderId="113" xfId="0" applyFont="1" applyFill="1" applyBorder="1" applyAlignment="1">
      <alignment horizontal="left" vertical="center" wrapText="1"/>
    </xf>
    <xf numFmtId="0" fontId="47" fillId="20" borderId="106" xfId="24" applyFont="1" applyFill="1" applyBorder="1" applyAlignment="1">
      <alignment horizontal="left" vertical="center"/>
    </xf>
    <xf numFmtId="0" fontId="47" fillId="20" borderId="114" xfId="0" applyFont="1" applyFill="1" applyBorder="1" applyAlignment="1">
      <alignment horizontal="left" vertical="center"/>
    </xf>
    <xf numFmtId="0" fontId="47" fillId="22" borderId="111" xfId="0" applyFont="1" applyFill="1" applyBorder="1" applyAlignment="1">
      <alignment horizontal="left" vertical="center"/>
    </xf>
    <xf numFmtId="2" fontId="47" fillId="22" borderId="121" xfId="0" applyNumberFormat="1" applyFont="1" applyFill="1" applyBorder="1" applyAlignment="1">
      <alignment horizontal="left" vertical="center" wrapText="1"/>
    </xf>
    <xf numFmtId="2" fontId="47" fillId="22" borderId="121" xfId="0" applyNumberFormat="1" applyFont="1" applyFill="1" applyBorder="1" applyAlignment="1">
      <alignment horizontal="center" vertical="center" wrapText="1"/>
    </xf>
    <xf numFmtId="0" fontId="47" fillId="22" borderId="121" xfId="0" applyFont="1" applyFill="1" applyBorder="1" applyAlignment="1">
      <alignment horizontal="center" vertical="center" wrapText="1"/>
    </xf>
    <xf numFmtId="0" fontId="47" fillId="20" borderId="125" xfId="0" applyFont="1" applyFill="1" applyBorder="1" applyAlignment="1">
      <alignment horizontal="left" vertical="center" wrapText="1"/>
    </xf>
    <xf numFmtId="0" fontId="47" fillId="20" borderId="129" xfId="0" applyFont="1" applyFill="1" applyBorder="1" applyAlignment="1">
      <alignment horizontal="left" vertical="center"/>
    </xf>
    <xf numFmtId="0" fontId="47" fillId="20" borderId="129" xfId="0" applyFont="1" applyFill="1" applyBorder="1" applyAlignment="1">
      <alignment horizontal="center" vertical="center"/>
    </xf>
    <xf numFmtId="166" fontId="47" fillId="20" borderId="129" xfId="0" applyNumberFormat="1" applyFont="1" applyFill="1" applyBorder="1" applyAlignment="1">
      <alignment horizontal="center" vertical="center"/>
    </xf>
    <xf numFmtId="0" fontId="47" fillId="20" borderId="129" xfId="0" quotePrefix="1" applyFont="1" applyFill="1" applyBorder="1" applyAlignment="1">
      <alignment horizontal="center" vertical="center"/>
    </xf>
    <xf numFmtId="0" fontId="47" fillId="20" borderId="130" xfId="0" applyFont="1" applyFill="1" applyBorder="1" applyAlignment="1">
      <alignment horizontal="left" vertical="center"/>
    </xf>
    <xf numFmtId="0" fontId="47" fillId="20" borderId="114" xfId="0" applyFont="1" applyFill="1" applyBorder="1" applyAlignment="1">
      <alignment horizontal="center" vertical="center"/>
    </xf>
    <xf numFmtId="166" fontId="47" fillId="20" borderId="114" xfId="0" applyNumberFormat="1" applyFont="1" applyFill="1" applyBorder="1" applyAlignment="1">
      <alignment horizontal="center" vertical="center"/>
    </xf>
    <xf numFmtId="0" fontId="47" fillId="20" borderId="114" xfId="0" quotePrefix="1" applyFont="1" applyFill="1" applyBorder="1" applyAlignment="1">
      <alignment horizontal="center" vertical="center"/>
    </xf>
    <xf numFmtId="0" fontId="47" fillId="8" borderId="106" xfId="0" quotePrefix="1" applyFont="1" applyFill="1" applyBorder="1" applyAlignment="1">
      <alignment horizontal="left" vertical="center"/>
    </xf>
    <xf numFmtId="0" fontId="55" fillId="7" borderId="132" xfId="0" applyFont="1" applyFill="1" applyBorder="1" applyAlignment="1">
      <alignment horizontal="left" vertical="center"/>
    </xf>
    <xf numFmtId="0" fontId="55" fillId="7" borderId="133" xfId="0" applyFont="1" applyFill="1" applyBorder="1" applyAlignment="1">
      <alignment horizontal="left" vertical="center" wrapText="1"/>
    </xf>
    <xf numFmtId="0" fontId="55" fillId="7" borderId="133" xfId="0" applyFont="1" applyFill="1" applyBorder="1" applyAlignment="1">
      <alignment horizontal="center" vertical="center" wrapText="1"/>
    </xf>
    <xf numFmtId="0" fontId="51" fillId="0" borderId="0" xfId="0" applyFont="1" applyAlignment="1">
      <alignment horizontal="left" vertical="center" wrapText="1"/>
    </xf>
    <xf numFmtId="0" fontId="44" fillId="0" borderId="75" xfId="6" applyFont="1" applyBorder="1" applyAlignment="1">
      <alignment horizontal="left"/>
    </xf>
    <xf numFmtId="0" fontId="47" fillId="0" borderId="76" xfId="6" applyFont="1" applyBorder="1" applyAlignment="1">
      <alignment horizontal="left" vertical="center" wrapText="1"/>
    </xf>
    <xf numFmtId="0" fontId="47" fillId="0" borderId="76" xfId="6" applyFont="1" applyBorder="1" applyAlignment="1">
      <alignment horizontal="center" vertical="center" wrapText="1"/>
    </xf>
    <xf numFmtId="0" fontId="44" fillId="0" borderId="76" xfId="6" applyFont="1" applyBorder="1" applyAlignment="1">
      <alignment horizontal="center"/>
    </xf>
    <xf numFmtId="0" fontId="44" fillId="0" borderId="121" xfId="6" applyFont="1" applyBorder="1" applyAlignment="1">
      <alignment horizontal="center"/>
    </xf>
    <xf numFmtId="0" fontId="47" fillId="0" borderId="77" xfId="6" applyFont="1" applyBorder="1" applyAlignment="1">
      <alignment horizontal="center" vertical="center" wrapText="1"/>
    </xf>
    <xf numFmtId="0" fontId="44" fillId="0" borderId="111" xfId="6" applyFont="1" applyBorder="1" applyAlignment="1">
      <alignment horizontal="left"/>
    </xf>
    <xf numFmtId="0" fontId="47" fillId="0" borderId="121" xfId="6" applyFont="1" applyBorder="1" applyAlignment="1">
      <alignment horizontal="left" vertical="center" wrapText="1"/>
    </xf>
    <xf numFmtId="0" fontId="47" fillId="0" borderId="121" xfId="6" applyFont="1" applyBorder="1" applyAlignment="1">
      <alignment horizontal="center" vertical="center" wrapText="1"/>
    </xf>
    <xf numFmtId="0" fontId="47" fillId="0" borderId="113" xfId="6" applyFont="1" applyBorder="1" applyAlignment="1">
      <alignment horizontal="center" vertical="center" wrapText="1"/>
    </xf>
    <xf numFmtId="0" fontId="44" fillId="0" borderId="121" xfId="6" applyFont="1" applyBorder="1" applyAlignment="1">
      <alignment horizontal="center" vertical="center" wrapText="1"/>
    </xf>
    <xf numFmtId="0" fontId="44" fillId="0" borderId="106" xfId="6" applyFont="1" applyBorder="1" applyAlignment="1">
      <alignment horizontal="left"/>
    </xf>
    <xf numFmtId="0" fontId="47" fillId="0" borderId="114" xfId="6" applyFont="1" applyBorder="1" applyAlignment="1">
      <alignment horizontal="left" vertical="center" wrapText="1"/>
    </xf>
    <xf numFmtId="0" fontId="47" fillId="0" borderId="114" xfId="6" applyFont="1" applyBorder="1" applyAlignment="1">
      <alignment horizontal="center" vertical="center" wrapText="1"/>
    </xf>
    <xf numFmtId="0" fontId="44" fillId="0" borderId="114" xfId="6" applyFont="1" applyBorder="1" applyAlignment="1">
      <alignment horizontal="center"/>
    </xf>
    <xf numFmtId="0" fontId="47" fillId="0" borderId="108" xfId="6" applyFont="1" applyBorder="1" applyAlignment="1">
      <alignment horizontal="center" vertical="center" wrapText="1"/>
    </xf>
    <xf numFmtId="0" fontId="55" fillId="7" borderId="123" xfId="6" applyFont="1" applyFill="1" applyBorder="1" applyAlignment="1">
      <alignment horizontal="center" vertical="center"/>
    </xf>
    <xf numFmtId="0" fontId="55" fillId="7" borderId="78" xfId="6" applyFont="1" applyFill="1" applyBorder="1" applyAlignment="1">
      <alignment horizontal="left" vertical="center" wrapText="1"/>
    </xf>
    <xf numFmtId="0" fontId="55" fillId="7" borderId="78" xfId="6" applyFont="1" applyFill="1" applyBorder="1" applyAlignment="1">
      <alignment horizontal="center" vertical="center" wrapText="1"/>
    </xf>
    <xf numFmtId="0" fontId="55" fillId="7" borderId="133" xfId="6" applyFont="1" applyFill="1" applyBorder="1" applyAlignment="1">
      <alignment horizontal="center" vertical="center" wrapText="1"/>
    </xf>
    <xf numFmtId="0" fontId="55" fillId="7" borderId="124" xfId="6" applyFont="1" applyFill="1" applyBorder="1" applyAlignment="1">
      <alignment vertical="center"/>
    </xf>
    <xf numFmtId="0" fontId="47" fillId="9" borderId="111" xfId="0" applyFont="1" applyFill="1" applyBorder="1" applyAlignment="1">
      <alignment horizontal="left" vertical="center" wrapText="1"/>
    </xf>
    <xf numFmtId="0" fontId="44" fillId="0" borderId="19" xfId="6" applyFont="1" applyBorder="1" applyAlignment="1">
      <alignment horizontal="center"/>
    </xf>
    <xf numFmtId="2" fontId="47" fillId="8" borderId="126" xfId="0" applyNumberFormat="1" applyFont="1" applyFill="1" applyBorder="1" applyAlignment="1">
      <alignment horizontal="center" vertical="center" wrapText="1"/>
    </xf>
    <xf numFmtId="0" fontId="47" fillId="8" borderId="121" xfId="0" applyFont="1" applyFill="1" applyBorder="1" applyAlignment="1">
      <alignment horizontal="center" vertical="center" wrapText="1"/>
    </xf>
    <xf numFmtId="2" fontId="47" fillId="8" borderId="121" xfId="0" applyNumberFormat="1" applyFont="1" applyFill="1" applyBorder="1" applyAlignment="1">
      <alignment horizontal="center" vertical="center" wrapText="1"/>
    </xf>
    <xf numFmtId="0" fontId="47" fillId="11" borderId="121" xfId="0" applyFont="1" applyFill="1" applyBorder="1" applyAlignment="1">
      <alignment horizontal="center" vertical="center" wrapText="1"/>
    </xf>
    <xf numFmtId="2" fontId="47" fillId="11" borderId="121" xfId="0" applyNumberFormat="1" applyFont="1" applyFill="1" applyBorder="1" applyAlignment="1">
      <alignment horizontal="center" vertical="center" wrapText="1"/>
    </xf>
    <xf numFmtId="164" fontId="47" fillId="11" borderId="121" xfId="0" applyNumberFormat="1" applyFont="1" applyFill="1" applyBorder="1" applyAlignment="1">
      <alignment horizontal="center" vertical="center" wrapText="1"/>
    </xf>
    <xf numFmtId="0" fontId="47" fillId="10" borderId="121" xfId="0" applyFont="1" applyFill="1" applyBorder="1" applyAlignment="1">
      <alignment horizontal="center" vertical="center" wrapText="1"/>
    </xf>
    <xf numFmtId="2" fontId="47" fillId="12" borderId="121" xfId="0" applyNumberFormat="1" applyFont="1" applyFill="1" applyBorder="1" applyAlignment="1">
      <alignment horizontal="center" vertical="center" wrapText="1"/>
    </xf>
    <xf numFmtId="2" fontId="47" fillId="18" borderId="114" xfId="0" applyNumberFormat="1" applyFont="1" applyFill="1" applyBorder="1" applyAlignment="1">
      <alignment horizontal="center" vertical="center" wrapText="1"/>
    </xf>
    <xf numFmtId="0" fontId="47" fillId="5" borderId="121" xfId="0" applyFont="1" applyFill="1" applyBorder="1" applyAlignment="1">
      <alignment horizontal="center" vertical="center"/>
    </xf>
    <xf numFmtId="0" fontId="47" fillId="19" borderId="111" xfId="0" applyFont="1" applyFill="1" applyBorder="1" applyAlignment="1">
      <alignment horizontal="left" vertical="center" wrapText="1"/>
    </xf>
    <xf numFmtId="0" fontId="47" fillId="19" borderId="121" xfId="0" applyFont="1" applyFill="1" applyBorder="1" applyAlignment="1">
      <alignment horizontal="left" vertical="center" wrapText="1"/>
    </xf>
    <xf numFmtId="0" fontId="47" fillId="19" borderId="121" xfId="0" applyFont="1" applyFill="1" applyBorder="1" applyAlignment="1">
      <alignment horizontal="center" vertical="center" wrapText="1"/>
    </xf>
    <xf numFmtId="2" fontId="47" fillId="19" borderId="121" xfId="0" applyNumberFormat="1" applyFont="1" applyFill="1" applyBorder="1" applyAlignment="1">
      <alignment horizontal="center" vertical="center" wrapText="1"/>
    </xf>
    <xf numFmtId="0" fontId="48" fillId="6" borderId="0" xfId="0" applyFont="1" applyFill="1" applyAlignment="1">
      <alignment horizontal="left" wrapText="1"/>
    </xf>
    <xf numFmtId="0" fontId="0" fillId="0" borderId="0" xfId="0" applyAlignment="1">
      <alignment horizontal="left" wrapText="1"/>
    </xf>
    <xf numFmtId="0" fontId="47" fillId="19" borderId="140" xfId="0" applyFont="1" applyFill="1" applyBorder="1" applyAlignment="1">
      <alignment horizontal="center" vertical="center" wrapText="1"/>
    </xf>
    <xf numFmtId="0" fontId="47" fillId="19" borderId="141" xfId="0" applyFont="1" applyFill="1" applyBorder="1" applyAlignment="1">
      <alignment horizontal="left" vertical="center"/>
    </xf>
    <xf numFmtId="2" fontId="47" fillId="19" borderId="140" xfId="0" applyNumberFormat="1" applyFont="1" applyFill="1" applyBorder="1" applyAlignment="1">
      <alignment horizontal="center" vertical="center" wrapText="1"/>
    </xf>
    <xf numFmtId="0" fontId="0" fillId="19" borderId="140" xfId="0" applyFill="1" applyBorder="1" applyAlignment="1">
      <alignment horizontal="left"/>
    </xf>
    <xf numFmtId="0" fontId="51" fillId="11" borderId="142" xfId="0" applyFont="1" applyFill="1" applyBorder="1" applyAlignment="1">
      <alignment horizontal="left" vertical="center"/>
    </xf>
    <xf numFmtId="0" fontId="47" fillId="27" borderId="89" xfId="2" applyFont="1" applyFill="1" applyBorder="1" applyAlignment="1">
      <alignment horizontal="left" vertical="center" wrapText="1"/>
    </xf>
    <xf numFmtId="0" fontId="88" fillId="27" borderId="106" xfId="2" applyFont="1" applyFill="1" applyBorder="1" applyAlignment="1">
      <alignment horizontal="left" vertical="center" wrapText="1"/>
    </xf>
    <xf numFmtId="1" fontId="47" fillId="19" borderId="16" xfId="0" applyNumberFormat="1" applyFont="1" applyFill="1" applyBorder="1" applyAlignment="1">
      <alignment horizontal="center" vertical="center"/>
    </xf>
    <xf numFmtId="0" fontId="95" fillId="19" borderId="11" xfId="0" applyFont="1" applyFill="1" applyBorder="1" applyAlignment="1">
      <alignment horizontal="left" vertical="center"/>
    </xf>
    <xf numFmtId="0" fontId="47" fillId="11" borderId="139" xfId="0" applyFont="1" applyFill="1" applyBorder="1" applyAlignment="1">
      <alignment horizontal="left" vertical="center" wrapText="1"/>
    </xf>
    <xf numFmtId="164" fontId="47" fillId="11" borderId="140" xfId="0" applyNumberFormat="1" applyFont="1" applyFill="1" applyBorder="1" applyAlignment="1">
      <alignment horizontal="center" vertical="center"/>
    </xf>
    <xf numFmtId="0" fontId="86" fillId="19" borderId="111" xfId="0" applyFont="1" applyFill="1" applyBorder="1" applyAlignment="1">
      <alignment horizontal="left" vertical="center"/>
    </xf>
    <xf numFmtId="166" fontId="47" fillId="19" borderId="13" xfId="0" applyNumberFormat="1" applyFont="1" applyFill="1" applyBorder="1" applyAlignment="1">
      <alignment horizontal="center" vertical="center"/>
    </xf>
    <xf numFmtId="0" fontId="7" fillId="0" borderId="0" xfId="242" applyAlignment="1">
      <alignment horizontal="left" vertical="center"/>
    </xf>
    <xf numFmtId="0" fontId="7" fillId="0" borderId="0" xfId="242" applyAlignment="1">
      <alignment horizontal="left" vertical="center" wrapText="1"/>
    </xf>
    <xf numFmtId="0" fontId="74" fillId="24" borderId="146" xfId="242" applyFont="1" applyFill="1" applyBorder="1" applyAlignment="1">
      <alignment horizontal="left" vertical="center"/>
    </xf>
    <xf numFmtId="0" fontId="74" fillId="24" borderId="147" xfId="242" applyFont="1" applyFill="1" applyBorder="1" applyAlignment="1">
      <alignment horizontal="left" vertical="center"/>
    </xf>
    <xf numFmtId="0" fontId="74" fillId="24" borderId="81" xfId="242" applyFont="1" applyFill="1" applyBorder="1" applyAlignment="1">
      <alignment horizontal="left" vertical="center"/>
    </xf>
    <xf numFmtId="0" fontId="74" fillId="24" borderId="148" xfId="242" applyFont="1" applyFill="1" applyBorder="1" applyAlignment="1">
      <alignment horizontal="left" vertical="center" wrapText="1"/>
    </xf>
    <xf numFmtId="0" fontId="74" fillId="24" borderId="148" xfId="242" applyFont="1" applyFill="1" applyBorder="1" applyAlignment="1">
      <alignment horizontal="left" vertical="center"/>
    </xf>
    <xf numFmtId="0" fontId="44" fillId="0" borderId="131" xfId="243" applyFont="1" applyBorder="1" applyAlignment="1">
      <alignment horizontal="left" vertical="center"/>
    </xf>
    <xf numFmtId="0" fontId="47" fillId="0" borderId="131" xfId="243" applyFont="1" applyBorder="1" applyAlignment="1">
      <alignment horizontal="left" vertical="center"/>
    </xf>
    <xf numFmtId="0" fontId="47" fillId="0" borderId="131" xfId="243" applyFont="1" applyBorder="1" applyAlignment="1">
      <alignment horizontal="left" vertical="center" wrapText="1"/>
    </xf>
    <xf numFmtId="0" fontId="47" fillId="0" borderId="131" xfId="243" applyFont="1" applyBorder="1" applyAlignment="1">
      <alignment horizontal="left"/>
    </xf>
    <xf numFmtId="0" fontId="47" fillId="0" borderId="131" xfId="243" applyFont="1" applyBorder="1" applyAlignment="1">
      <alignment horizontal="center" vertical="center"/>
    </xf>
    <xf numFmtId="0" fontId="7" fillId="0" borderId="0" xfId="243"/>
    <xf numFmtId="0" fontId="7" fillId="0" borderId="0" xfId="243" applyAlignment="1">
      <alignment wrapText="1"/>
    </xf>
    <xf numFmtId="0" fontId="33" fillId="0" borderId="0" xfId="243" applyFont="1" applyAlignment="1">
      <alignment horizontal="left" vertical="center"/>
    </xf>
    <xf numFmtId="0" fontId="74" fillId="24" borderId="149" xfId="242" applyFont="1" applyFill="1" applyBorder="1" applyAlignment="1">
      <alignment horizontal="left" vertical="center"/>
    </xf>
    <xf numFmtId="0" fontId="7" fillId="2" borderId="0" xfId="242" applyFill="1" applyAlignment="1">
      <alignment horizontal="left" vertical="center"/>
    </xf>
    <xf numFmtId="0" fontId="7" fillId="0" borderId="0" xfId="244" applyAlignment="1">
      <alignment horizontal="left" vertical="center"/>
    </xf>
    <xf numFmtId="0" fontId="47" fillId="0" borderId="131" xfId="244" applyFont="1" applyBorder="1" applyAlignment="1">
      <alignment horizontal="center" vertical="center"/>
    </xf>
    <xf numFmtId="0" fontId="47" fillId="0" borderId="131" xfId="244" applyFont="1" applyBorder="1" applyAlignment="1">
      <alignment horizontal="left" vertical="center"/>
    </xf>
    <xf numFmtId="0" fontId="44" fillId="0" borderId="131" xfId="244" applyFont="1" applyBorder="1" applyAlignment="1">
      <alignment horizontal="left" vertical="center"/>
    </xf>
    <xf numFmtId="0" fontId="47" fillId="0" borderId="131" xfId="244" applyFont="1" applyBorder="1" applyAlignment="1">
      <alignment horizontal="left"/>
    </xf>
    <xf numFmtId="0" fontId="74" fillId="24" borderId="135" xfId="242" applyFont="1" applyFill="1" applyBorder="1" applyAlignment="1">
      <alignment horizontal="left" vertical="center"/>
    </xf>
    <xf numFmtId="0" fontId="74" fillId="24" borderId="136" xfId="242" applyFont="1" applyFill="1" applyBorder="1" applyAlignment="1">
      <alignment horizontal="left" vertical="center"/>
    </xf>
    <xf numFmtId="0" fontId="74" fillId="24" borderId="137" xfId="242" applyFont="1" applyFill="1" applyBorder="1" applyAlignment="1">
      <alignment horizontal="left" vertical="center"/>
    </xf>
    <xf numFmtId="0" fontId="74" fillId="24" borderId="138" xfId="242" applyFont="1" applyFill="1" applyBorder="1" applyAlignment="1">
      <alignment horizontal="left" vertical="center"/>
    </xf>
    <xf numFmtId="11" fontId="47" fillId="0" borderId="131" xfId="243" applyNumberFormat="1" applyFont="1" applyBorder="1" applyAlignment="1">
      <alignment horizontal="left" vertical="center"/>
    </xf>
    <xf numFmtId="0" fontId="47" fillId="0" borderId="150" xfId="242" applyFont="1" applyBorder="1" applyAlignment="1">
      <alignment horizontal="left" vertical="center"/>
    </xf>
    <xf numFmtId="0" fontId="47" fillId="0" borderId="150" xfId="245" applyFont="1" applyBorder="1" applyAlignment="1">
      <alignment horizontal="left" vertical="center"/>
    </xf>
    <xf numFmtId="167" fontId="47" fillId="0" borderId="150" xfId="245" applyNumberFormat="1" applyFont="1" applyBorder="1" applyAlignment="1">
      <alignment horizontal="left" vertical="center"/>
    </xf>
    <xf numFmtId="0" fontId="47" fillId="0" borderId="131" xfId="245" applyFont="1" applyBorder="1" applyAlignment="1">
      <alignment horizontal="left" vertical="center"/>
    </xf>
    <xf numFmtId="0" fontId="47" fillId="0" borderId="150" xfId="245" quotePrefix="1" applyFont="1" applyBorder="1" applyAlignment="1">
      <alignment horizontal="center" vertical="center"/>
    </xf>
    <xf numFmtId="0" fontId="47" fillId="11" borderId="139" xfId="0" applyFont="1" applyFill="1" applyBorder="1" applyAlignment="1">
      <alignment horizontal="center" vertical="center"/>
    </xf>
    <xf numFmtId="0" fontId="47" fillId="11" borderId="151" xfId="0" applyFont="1" applyFill="1" applyBorder="1" applyAlignment="1">
      <alignment horizontal="center" vertical="center" wrapText="1"/>
    </xf>
    <xf numFmtId="0" fontId="47" fillId="11" borderId="151" xfId="0" applyFont="1" applyFill="1" applyBorder="1" applyAlignment="1">
      <alignment horizontal="center" vertical="center"/>
    </xf>
    <xf numFmtId="0" fontId="47" fillId="11" borderId="151" xfId="0" quotePrefix="1" applyFont="1" applyFill="1" applyBorder="1" applyAlignment="1">
      <alignment horizontal="center" vertical="center" wrapText="1"/>
    </xf>
    <xf numFmtId="0" fontId="47" fillId="11" borderId="114" xfId="0" applyFont="1" applyFill="1" applyBorder="1" applyAlignment="1">
      <alignment horizontal="center" vertical="center" wrapText="1"/>
    </xf>
    <xf numFmtId="0" fontId="47" fillId="19" borderId="151" xfId="0" applyFont="1" applyFill="1" applyBorder="1" applyAlignment="1">
      <alignment horizontal="center" vertical="center"/>
    </xf>
    <xf numFmtId="0" fontId="47" fillId="19" borderId="114" xfId="0" applyFont="1" applyFill="1" applyBorder="1" applyAlignment="1">
      <alignment horizontal="center" vertical="center"/>
    </xf>
    <xf numFmtId="0" fontId="46" fillId="7" borderId="80" xfId="0" applyFont="1" applyFill="1" applyBorder="1" applyAlignment="1">
      <alignment horizontal="center" vertical="center" wrapText="1"/>
    </xf>
    <xf numFmtId="0" fontId="47" fillId="7" borderId="105" xfId="0" applyFont="1" applyFill="1" applyBorder="1" applyAlignment="1">
      <alignment horizontal="left" vertical="center"/>
    </xf>
    <xf numFmtId="0" fontId="46" fillId="7" borderId="80" xfId="0" applyFont="1" applyFill="1" applyBorder="1" applyAlignment="1">
      <alignment vertical="center" wrapText="1"/>
    </xf>
    <xf numFmtId="0" fontId="47" fillId="5" borderId="76" xfId="0" applyFont="1" applyFill="1" applyBorder="1" applyAlignment="1">
      <alignment horizontal="center" vertical="center"/>
    </xf>
    <xf numFmtId="0" fontId="47" fillId="5" borderId="76" xfId="0" quotePrefix="1" applyFont="1" applyFill="1" applyBorder="1" applyAlignment="1">
      <alignment horizontal="center" vertical="center"/>
    </xf>
    <xf numFmtId="0" fontId="47" fillId="5" borderId="129" xfId="0" applyFont="1" applyFill="1" applyBorder="1" applyAlignment="1">
      <alignment horizontal="center" vertical="center"/>
    </xf>
    <xf numFmtId="0" fontId="44" fillId="5" borderId="76" xfId="0" applyFont="1" applyFill="1" applyBorder="1" applyAlignment="1">
      <alignment horizontal="center" vertical="center"/>
    </xf>
    <xf numFmtId="0" fontId="44" fillId="5" borderId="126" xfId="0" applyFont="1" applyFill="1" applyBorder="1" applyAlignment="1">
      <alignment horizontal="center" vertical="center"/>
    </xf>
    <xf numFmtId="0" fontId="47" fillId="5" borderId="77" xfId="0" quotePrefix="1" applyFont="1" applyFill="1" applyBorder="1" applyAlignment="1">
      <alignment horizontal="center" vertical="center"/>
    </xf>
    <xf numFmtId="0" fontId="47" fillId="5" borderId="93" xfId="0" quotePrefix="1" applyFont="1" applyFill="1" applyBorder="1" applyAlignment="1">
      <alignment horizontal="center" vertical="center" wrapText="1"/>
    </xf>
    <xf numFmtId="0" fontId="47" fillId="5" borderId="91" xfId="0" applyFont="1" applyFill="1" applyBorder="1" applyAlignment="1">
      <alignment horizontal="center" vertical="center"/>
    </xf>
    <xf numFmtId="0" fontId="47" fillId="5" borderId="91" xfId="0" quotePrefix="1" applyFont="1" applyFill="1" applyBorder="1" applyAlignment="1">
      <alignment horizontal="center" vertical="center"/>
    </xf>
    <xf numFmtId="0" fontId="44" fillId="5" borderId="91" xfId="0" applyFont="1" applyFill="1" applyBorder="1" applyAlignment="1">
      <alignment horizontal="center" vertical="center"/>
    </xf>
    <xf numFmtId="0" fontId="44" fillId="5" borderId="140" xfId="0" applyFont="1" applyFill="1" applyBorder="1" applyAlignment="1">
      <alignment horizontal="center" vertical="center"/>
    </xf>
    <xf numFmtId="0" fontId="47" fillId="5" borderId="92" xfId="0" applyFont="1" applyFill="1" applyBorder="1" applyAlignment="1">
      <alignment horizontal="center" vertical="center"/>
    </xf>
    <xf numFmtId="0" fontId="47" fillId="5" borderId="94" xfId="0" quotePrefix="1" applyFont="1" applyFill="1" applyBorder="1" applyAlignment="1">
      <alignment horizontal="center" vertical="center" wrapText="1"/>
    </xf>
    <xf numFmtId="0" fontId="47" fillId="5" borderId="140" xfId="0" applyFont="1" applyFill="1" applyBorder="1" applyAlignment="1">
      <alignment horizontal="center" vertical="center"/>
    </xf>
    <xf numFmtId="0" fontId="47" fillId="5" borderId="94" xfId="0" applyFont="1" applyFill="1" applyBorder="1" applyAlignment="1">
      <alignment horizontal="center" vertical="center" wrapText="1"/>
    </xf>
    <xf numFmtId="0" fontId="44" fillId="5" borderId="121" xfId="0" applyFont="1" applyFill="1" applyBorder="1" applyAlignment="1">
      <alignment horizontal="center" vertical="center"/>
    </xf>
    <xf numFmtId="0" fontId="47" fillId="5" borderId="97" xfId="0" applyFont="1" applyFill="1" applyBorder="1" applyAlignment="1">
      <alignment horizontal="center" vertical="center"/>
    </xf>
    <xf numFmtId="0" fontId="44" fillId="5" borderId="97" xfId="0" applyFont="1" applyFill="1" applyBorder="1" applyAlignment="1">
      <alignment horizontal="center" vertical="center"/>
    </xf>
    <xf numFmtId="0" fontId="44" fillId="5" borderId="114" xfId="0" applyFont="1" applyFill="1" applyBorder="1" applyAlignment="1">
      <alignment horizontal="center" vertical="center"/>
    </xf>
    <xf numFmtId="0" fontId="47" fillId="5" borderId="98" xfId="0" applyFont="1" applyFill="1" applyBorder="1" applyAlignment="1">
      <alignment horizontal="center" vertical="center"/>
    </xf>
    <xf numFmtId="0" fontId="47" fillId="5" borderId="63" xfId="0" applyFont="1" applyFill="1" applyBorder="1" applyAlignment="1">
      <alignment horizontal="center" vertical="center" wrapText="1"/>
    </xf>
    <xf numFmtId="0" fontId="55" fillId="7" borderId="56" xfId="0" applyFont="1" applyFill="1" applyBorder="1" applyAlignment="1">
      <alignment horizontal="left" vertical="center"/>
    </xf>
    <xf numFmtId="0" fontId="46" fillId="18" borderId="106" xfId="0" applyFont="1" applyFill="1" applyBorder="1" applyAlignment="1">
      <alignment horizontal="center" vertical="center"/>
    </xf>
    <xf numFmtId="0" fontId="47" fillId="11" borderId="111" xfId="0" applyFont="1" applyFill="1" applyBorder="1" applyAlignment="1">
      <alignment horizontal="left" vertical="center"/>
    </xf>
    <xf numFmtId="0" fontId="50" fillId="0" borderId="0" xfId="4" applyAlignment="1" applyProtection="1">
      <alignment horizontal="left"/>
    </xf>
    <xf numFmtId="0" fontId="46" fillId="7" borderId="133" xfId="0" applyFont="1" applyFill="1" applyBorder="1" applyAlignment="1">
      <alignment horizontal="center" vertical="center" wrapText="1"/>
    </xf>
    <xf numFmtId="0" fontId="55" fillId="7" borderId="70" xfId="0" applyFont="1" applyFill="1" applyBorder="1" applyAlignment="1">
      <alignment horizontal="left"/>
    </xf>
    <xf numFmtId="0" fontId="54" fillId="7" borderId="2" xfId="0" applyFont="1" applyFill="1" applyBorder="1" applyAlignment="1">
      <alignment horizontal="left" vertical="center" wrapText="1"/>
    </xf>
    <xf numFmtId="0" fontId="51" fillId="8" borderId="12" xfId="0" applyFont="1" applyFill="1" applyBorder="1" applyAlignment="1">
      <alignment horizontal="left"/>
    </xf>
    <xf numFmtId="0" fontId="0" fillId="19" borderId="84" xfId="0" applyFill="1" applyBorder="1" applyAlignment="1">
      <alignment horizontal="left"/>
    </xf>
    <xf numFmtId="0" fontId="0" fillId="19" borderId="13" xfId="0" applyFill="1" applyBorder="1" applyAlignment="1">
      <alignment horizontal="left"/>
    </xf>
    <xf numFmtId="0" fontId="47" fillId="15" borderId="111" xfId="0" applyFont="1" applyFill="1" applyBorder="1" applyAlignment="1">
      <alignment horizontal="left" vertical="center"/>
    </xf>
    <xf numFmtId="0" fontId="55" fillId="7" borderId="57" xfId="0" applyFont="1" applyFill="1" applyBorder="1" applyAlignment="1">
      <alignment horizontal="left" vertical="center" wrapText="1"/>
    </xf>
    <xf numFmtId="0" fontId="47" fillId="8" borderId="11" xfId="0" applyFont="1" applyFill="1" applyBorder="1" applyAlignment="1">
      <alignment horizontal="left" vertical="center" wrapText="1"/>
    </xf>
    <xf numFmtId="0" fontId="47" fillId="8" borderId="62" xfId="0" applyFont="1" applyFill="1" applyBorder="1" applyAlignment="1">
      <alignment horizontal="left" vertical="center" wrapText="1"/>
    </xf>
    <xf numFmtId="0" fontId="51" fillId="8" borderId="63" xfId="0" applyFont="1" applyFill="1" applyBorder="1" applyAlignment="1">
      <alignment horizontal="left"/>
    </xf>
    <xf numFmtId="0" fontId="55" fillId="7" borderId="55" xfId="0" applyFont="1" applyFill="1" applyBorder="1" applyAlignment="1">
      <alignment horizontal="left" vertical="center" wrapText="1"/>
    </xf>
    <xf numFmtId="0" fontId="47" fillId="21" borderId="77" xfId="0" applyFont="1" applyFill="1" applyBorder="1" applyAlignment="1">
      <alignment horizontal="left" vertical="center" wrapText="1"/>
    </xf>
    <xf numFmtId="0" fontId="47" fillId="21" borderId="86" xfId="0" applyFont="1" applyFill="1" applyBorder="1" applyAlignment="1">
      <alignment horizontal="left" vertical="center" wrapText="1"/>
    </xf>
    <xf numFmtId="0" fontId="51" fillId="21" borderId="84" xfId="0" applyFont="1" applyFill="1" applyBorder="1" applyAlignment="1">
      <alignment horizontal="left" vertical="center" wrapText="1"/>
    </xf>
    <xf numFmtId="0" fontId="51" fillId="21" borderId="86" xfId="0" applyFont="1" applyFill="1" applyBorder="1" applyAlignment="1">
      <alignment horizontal="left" vertical="center" wrapText="1"/>
    </xf>
    <xf numFmtId="0" fontId="47" fillId="21" borderId="14" xfId="0" applyFont="1" applyFill="1" applyBorder="1" applyAlignment="1">
      <alignment horizontal="left" vertical="center" wrapText="1"/>
    </xf>
    <xf numFmtId="0" fontId="55" fillId="7" borderId="80" xfId="0" applyFont="1" applyFill="1" applyBorder="1" applyAlignment="1">
      <alignment horizontal="left" vertical="center" wrapText="1"/>
    </xf>
    <xf numFmtId="0" fontId="47" fillId="11" borderId="90" xfId="0" applyFont="1" applyFill="1" applyBorder="1" applyAlignment="1">
      <alignment horizontal="left" vertical="center" wrapText="1"/>
    </xf>
    <xf numFmtId="0" fontId="47" fillId="11" borderId="86" xfId="0" applyFont="1" applyFill="1" applyBorder="1" applyAlignment="1">
      <alignment horizontal="left" vertical="center" wrapText="1"/>
    </xf>
    <xf numFmtId="0" fontId="47" fillId="11" borderId="142" xfId="0" applyFont="1" applyFill="1" applyBorder="1" applyAlignment="1">
      <alignment horizontal="left" vertical="center" wrapText="1"/>
    </xf>
    <xf numFmtId="0" fontId="47" fillId="11" borderId="140" xfId="0" applyFont="1" applyFill="1" applyBorder="1" applyAlignment="1">
      <alignment horizontal="left" vertical="center" wrapText="1"/>
    </xf>
    <xf numFmtId="0" fontId="47" fillId="11" borderId="13" xfId="0" applyFont="1" applyFill="1" applyBorder="1" applyAlignment="1">
      <alignment horizontal="left" vertical="center" wrapText="1"/>
    </xf>
    <xf numFmtId="0" fontId="47" fillId="19" borderId="140" xfId="0" applyFont="1" applyFill="1" applyBorder="1" applyAlignment="1">
      <alignment horizontal="left" vertical="center" wrapText="1"/>
    </xf>
    <xf numFmtId="0" fontId="47" fillId="19" borderId="142" xfId="0" applyFont="1" applyFill="1" applyBorder="1" applyAlignment="1">
      <alignment horizontal="left" vertical="center" wrapText="1"/>
    </xf>
    <xf numFmtId="0" fontId="47" fillId="19" borderId="16" xfId="0" applyFont="1" applyFill="1" applyBorder="1" applyAlignment="1">
      <alignment horizontal="left" vertical="center" wrapText="1"/>
    </xf>
    <xf numFmtId="0" fontId="47" fillId="19" borderId="87" xfId="0" applyFont="1" applyFill="1" applyBorder="1" applyAlignment="1">
      <alignment horizontal="left" vertical="center" wrapText="1"/>
    </xf>
    <xf numFmtId="0" fontId="47" fillId="19" borderId="13" xfId="0" applyFont="1" applyFill="1" applyBorder="1" applyAlignment="1">
      <alignment horizontal="left" vertical="center" wrapText="1"/>
    </xf>
    <xf numFmtId="0" fontId="47" fillId="10" borderId="11" xfId="0" applyFont="1" applyFill="1" applyBorder="1" applyAlignment="1">
      <alignment horizontal="left" vertical="center" wrapText="1"/>
    </xf>
    <xf numFmtId="0" fontId="47" fillId="12" borderId="60" xfId="0" applyFont="1" applyFill="1" applyBorder="1" applyAlignment="1">
      <alignment horizontal="left" vertical="center"/>
    </xf>
    <xf numFmtId="0" fontId="47" fillId="12" borderId="61" xfId="0" applyFont="1" applyFill="1" applyBorder="1" applyAlignment="1">
      <alignment horizontal="left" vertical="center"/>
    </xf>
    <xf numFmtId="0" fontId="33" fillId="7" borderId="48" xfId="0" applyFont="1" applyFill="1" applyBorder="1" applyAlignment="1">
      <alignment horizontal="left" vertical="center" wrapText="1"/>
    </xf>
    <xf numFmtId="0" fontId="33" fillId="7" borderId="49" xfId="0" applyFont="1" applyFill="1" applyBorder="1" applyAlignment="1">
      <alignment horizontal="left" vertical="center" wrapText="1"/>
    </xf>
    <xf numFmtId="0" fontId="51" fillId="18" borderId="19" xfId="0" applyFont="1" applyFill="1" applyBorder="1" applyAlignment="1">
      <alignment horizontal="left" vertical="center"/>
    </xf>
    <xf numFmtId="0" fontId="51" fillId="18" borderId="42" xfId="0" applyFont="1" applyFill="1" applyBorder="1" applyAlignment="1">
      <alignment horizontal="left" vertical="center"/>
    </xf>
    <xf numFmtId="0" fontId="51" fillId="18" borderId="6" xfId="0" applyFont="1" applyFill="1" applyBorder="1" applyAlignment="1">
      <alignment horizontal="left" vertical="center"/>
    </xf>
    <xf numFmtId="0" fontId="51" fillId="18" borderId="11" xfId="0" applyFont="1" applyFill="1" applyBorder="1" applyAlignment="1">
      <alignment horizontal="left" vertical="center"/>
    </xf>
    <xf numFmtId="0" fontId="47" fillId="18" borderId="14" xfId="0" applyFont="1" applyFill="1" applyBorder="1" applyAlignment="1">
      <alignment horizontal="left" vertical="center"/>
    </xf>
    <xf numFmtId="0" fontId="47" fillId="15" borderId="60" xfId="0" applyFont="1" applyFill="1" applyBorder="1" applyAlignment="1">
      <alignment horizontal="left" vertical="center"/>
    </xf>
    <xf numFmtId="0" fontId="47" fillId="15" borderId="6" xfId="0" applyFont="1" applyFill="1" applyBorder="1" applyAlignment="1">
      <alignment horizontal="left" vertical="center"/>
    </xf>
    <xf numFmtId="0" fontId="47" fillId="15" borderId="6" xfId="0" applyFont="1" applyFill="1" applyBorder="1" applyAlignment="1">
      <alignment horizontal="left"/>
    </xf>
    <xf numFmtId="0" fontId="47" fillId="15" borderId="121" xfId="0" applyFont="1" applyFill="1" applyBorder="1" applyAlignment="1">
      <alignment horizontal="left"/>
    </xf>
    <xf numFmtId="0" fontId="47" fillId="15" borderId="113" xfId="0" applyFont="1" applyFill="1" applyBorder="1" applyAlignment="1">
      <alignment horizontal="left" vertical="center"/>
    </xf>
    <xf numFmtId="0" fontId="51" fillId="15" borderId="6" xfId="0" applyFont="1" applyFill="1" applyBorder="1" applyAlignment="1">
      <alignment horizontal="left" vertical="center" wrapText="1"/>
    </xf>
    <xf numFmtId="0" fontId="47" fillId="7" borderId="72" xfId="0" applyFont="1" applyFill="1" applyBorder="1" applyAlignment="1">
      <alignment horizontal="left" vertical="center"/>
    </xf>
    <xf numFmtId="0" fontId="51" fillId="7" borderId="6" xfId="0" applyFont="1" applyFill="1" applyBorder="1" applyAlignment="1">
      <alignment horizontal="left" vertical="center" wrapText="1"/>
    </xf>
    <xf numFmtId="0" fontId="47" fillId="7" borderId="13" xfId="0" applyFont="1" applyFill="1" applyBorder="1" applyAlignment="1">
      <alignment horizontal="left" vertical="center"/>
    </xf>
    <xf numFmtId="0" fontId="47" fillId="9" borderId="126" xfId="0" applyFont="1" applyFill="1" applyBorder="1" applyAlignment="1">
      <alignment horizontal="left" vertical="center"/>
    </xf>
    <xf numFmtId="0" fontId="51" fillId="9" borderId="19" xfId="0" applyFont="1" applyFill="1" applyBorder="1" applyAlignment="1">
      <alignment horizontal="left" vertical="center" wrapText="1"/>
    </xf>
    <xf numFmtId="0" fontId="51" fillId="9" borderId="42" xfId="0" applyFont="1" applyFill="1" applyBorder="1" applyAlignment="1">
      <alignment horizontal="left" vertical="center" wrapText="1"/>
    </xf>
    <xf numFmtId="0" fontId="51" fillId="9" borderId="11" xfId="0" applyFont="1" applyFill="1" applyBorder="1" applyAlignment="1">
      <alignment horizontal="left" vertical="center" wrapText="1"/>
    </xf>
    <xf numFmtId="0" fontId="54" fillId="8" borderId="61" xfId="0" applyFont="1" applyFill="1" applyBorder="1" applyAlignment="1">
      <alignment horizontal="left" vertical="center"/>
    </xf>
    <xf numFmtId="0" fontId="54" fillId="8" borderId="11" xfId="0" applyFont="1" applyFill="1" applyBorder="1" applyAlignment="1">
      <alignment horizontal="left" vertical="center"/>
    </xf>
    <xf numFmtId="0" fontId="54" fillId="11" borderId="11" xfId="0" applyFont="1" applyFill="1" applyBorder="1" applyAlignment="1">
      <alignment horizontal="left" vertical="center"/>
    </xf>
    <xf numFmtId="0" fontId="51" fillId="11" borderId="140" xfId="0" applyFont="1" applyFill="1" applyBorder="1" applyAlignment="1">
      <alignment horizontal="left" vertical="center" wrapText="1"/>
    </xf>
    <xf numFmtId="0" fontId="54" fillId="10" borderId="11" xfId="0" applyFont="1" applyFill="1" applyBorder="1" applyAlignment="1">
      <alignment horizontal="left" vertical="center"/>
    </xf>
    <xf numFmtId="0" fontId="54" fillId="12" borderId="11" xfId="0" applyFont="1" applyFill="1" applyBorder="1" applyAlignment="1">
      <alignment horizontal="left" vertical="center"/>
    </xf>
    <xf numFmtId="0" fontId="54" fillId="18" borderId="11" xfId="0" applyFont="1" applyFill="1" applyBorder="1" applyAlignment="1">
      <alignment horizontal="left" vertical="center"/>
    </xf>
    <xf numFmtId="0" fontId="54" fillId="9" borderId="11" xfId="0" applyFont="1" applyFill="1" applyBorder="1" applyAlignment="1">
      <alignment horizontal="left" vertical="center"/>
    </xf>
    <xf numFmtId="0" fontId="54" fillId="16" borderId="11" xfId="0" applyFont="1" applyFill="1" applyBorder="1" applyAlignment="1">
      <alignment horizontal="left" vertical="center"/>
    </xf>
    <xf numFmtId="0" fontId="47" fillId="8" borderId="73" xfId="0" applyFont="1" applyFill="1" applyBorder="1" applyAlignment="1">
      <alignment horizontal="left" vertical="center" wrapText="1"/>
    </xf>
    <xf numFmtId="0" fontId="47" fillId="11" borderId="11" xfId="0" applyFont="1" applyFill="1" applyBorder="1" applyAlignment="1">
      <alignment horizontal="left" vertical="center" wrapText="1"/>
    </xf>
    <xf numFmtId="0" fontId="47" fillId="19" borderId="113" xfId="0" applyFont="1" applyFill="1" applyBorder="1" applyAlignment="1">
      <alignment horizontal="left" vertical="center" wrapText="1"/>
    </xf>
    <xf numFmtId="0" fontId="47" fillId="12" borderId="11" xfId="0" applyFont="1" applyFill="1" applyBorder="1" applyAlignment="1">
      <alignment horizontal="left" vertical="center" wrapText="1"/>
    </xf>
    <xf numFmtId="0" fontId="47" fillId="18" borderId="14" xfId="0" applyFont="1" applyFill="1" applyBorder="1" applyAlignment="1">
      <alignment horizontal="left" vertical="center" wrapText="1"/>
    </xf>
    <xf numFmtId="0" fontId="55" fillId="7" borderId="52" xfId="0" applyFont="1" applyFill="1" applyBorder="1" applyAlignment="1">
      <alignment horizontal="left" vertical="center" wrapText="1"/>
    </xf>
    <xf numFmtId="0" fontId="47" fillId="9" borderId="6" xfId="0" applyFont="1" applyFill="1" applyBorder="1" applyAlignment="1">
      <alignment horizontal="left" vertical="center" wrapText="1"/>
    </xf>
    <xf numFmtId="0" fontId="47" fillId="9" borderId="11" xfId="0" applyFont="1" applyFill="1" applyBorder="1" applyAlignment="1">
      <alignment horizontal="left" vertical="center" wrapText="1"/>
    </xf>
    <xf numFmtId="2" fontId="47" fillId="9" borderId="6" xfId="0" quotePrefix="1" applyNumberFormat="1" applyFont="1" applyFill="1" applyBorder="1" applyAlignment="1">
      <alignment horizontal="left" vertical="center" wrapText="1"/>
    </xf>
    <xf numFmtId="0" fontId="47" fillId="22" borderId="6" xfId="0" applyFont="1" applyFill="1" applyBorder="1" applyAlignment="1">
      <alignment horizontal="left" vertical="center" wrapText="1"/>
    </xf>
    <xf numFmtId="0" fontId="47" fillId="22" borderId="11" xfId="0" applyFont="1" applyFill="1" applyBorder="1" applyAlignment="1">
      <alignment horizontal="left" vertical="center" wrapText="1"/>
    </xf>
    <xf numFmtId="2" fontId="47" fillId="22" borderId="6" xfId="0" quotePrefix="1" applyNumberFormat="1" applyFont="1" applyFill="1" applyBorder="1" applyAlignment="1">
      <alignment horizontal="left" vertical="center" wrapText="1"/>
    </xf>
    <xf numFmtId="0" fontId="47" fillId="22" borderId="121" xfId="0" applyFont="1" applyFill="1" applyBorder="1" applyAlignment="1">
      <alignment horizontal="left" vertical="center" wrapText="1"/>
    </xf>
    <xf numFmtId="2" fontId="47" fillId="22" borderId="121" xfId="0" quotePrefix="1" applyNumberFormat="1" applyFont="1" applyFill="1" applyBorder="1" applyAlignment="1">
      <alignment horizontal="left" vertical="center" wrapText="1"/>
    </xf>
    <xf numFmtId="0" fontId="70" fillId="22" borderId="6" xfId="0" applyFont="1" applyFill="1" applyBorder="1" applyAlignment="1">
      <alignment horizontal="left" vertical="center" wrapText="1"/>
    </xf>
    <xf numFmtId="0" fontId="47" fillId="9" borderId="130" xfId="0" applyFont="1" applyFill="1" applyBorder="1" applyAlignment="1">
      <alignment horizontal="left" vertical="center"/>
    </xf>
    <xf numFmtId="0" fontId="47" fillId="9" borderId="90" xfId="0" applyFont="1" applyFill="1" applyBorder="1" applyAlignment="1">
      <alignment horizontal="left" vertical="center"/>
    </xf>
    <xf numFmtId="0" fontId="55" fillId="7" borderId="58" xfId="0" applyFont="1" applyFill="1" applyBorder="1" applyAlignment="1">
      <alignment horizontal="left" vertical="center" wrapText="1"/>
    </xf>
    <xf numFmtId="0" fontId="55" fillId="7" borderId="134" xfId="0" applyFont="1" applyFill="1" applyBorder="1" applyAlignment="1">
      <alignment horizontal="left" vertical="center" wrapText="1"/>
    </xf>
    <xf numFmtId="0" fontId="47" fillId="9" borderId="113" xfId="0" applyFont="1" applyFill="1" applyBorder="1" applyAlignment="1">
      <alignment horizontal="left" vertical="center" wrapText="1"/>
    </xf>
    <xf numFmtId="0" fontId="47" fillId="9" borderId="125" xfId="0" applyFont="1" applyFill="1" applyBorder="1" applyAlignment="1">
      <alignment horizontal="left" vertical="center" wrapText="1"/>
    </xf>
    <xf numFmtId="2" fontId="47" fillId="9" borderId="129" xfId="0" applyNumberFormat="1" applyFont="1" applyFill="1" applyBorder="1" applyAlignment="1">
      <alignment horizontal="left" vertical="center" wrapText="1"/>
    </xf>
    <xf numFmtId="2" fontId="47" fillId="9" borderId="129" xfId="0" applyNumberFormat="1" applyFont="1" applyFill="1" applyBorder="1" applyAlignment="1">
      <alignment horizontal="center" vertical="center" wrapText="1"/>
    </xf>
    <xf numFmtId="0" fontId="47" fillId="9" borderId="129" xfId="0" applyFont="1" applyFill="1" applyBorder="1" applyAlignment="1">
      <alignment horizontal="center" vertical="center" wrapText="1"/>
    </xf>
    <xf numFmtId="0" fontId="47" fillId="9" borderId="129" xfId="0" applyFont="1" applyFill="1" applyBorder="1" applyAlignment="1">
      <alignment horizontal="left" vertical="center" wrapText="1"/>
    </xf>
    <xf numFmtId="0" fontId="47" fillId="9" borderId="130" xfId="0" applyFont="1" applyFill="1" applyBorder="1" applyAlignment="1">
      <alignment horizontal="left" vertical="center" wrapText="1"/>
    </xf>
    <xf numFmtId="0" fontId="47" fillId="9" borderId="106" xfId="0" applyFont="1" applyFill="1" applyBorder="1" applyAlignment="1">
      <alignment horizontal="left" vertical="center" wrapText="1"/>
    </xf>
    <xf numFmtId="2" fontId="47" fillId="9" borderId="114" xfId="0" applyNumberFormat="1" applyFont="1" applyFill="1" applyBorder="1" applyAlignment="1">
      <alignment horizontal="left" vertical="center" wrapText="1"/>
    </xf>
    <xf numFmtId="2" fontId="47" fillId="9" borderId="114" xfId="0" applyNumberFormat="1" applyFont="1" applyFill="1" applyBorder="1" applyAlignment="1">
      <alignment horizontal="center" vertical="center" wrapText="1"/>
    </xf>
    <xf numFmtId="0" fontId="47" fillId="9" borderId="114" xfId="0" applyFont="1" applyFill="1" applyBorder="1" applyAlignment="1">
      <alignment horizontal="center" vertical="center" wrapText="1"/>
    </xf>
    <xf numFmtId="0" fontId="47" fillId="9" borderId="114" xfId="0" applyFont="1" applyFill="1" applyBorder="1" applyAlignment="1">
      <alignment horizontal="left" vertical="center" wrapText="1"/>
    </xf>
    <xf numFmtId="0" fontId="47" fillId="9" borderId="108" xfId="0" applyFont="1" applyFill="1" applyBorder="1" applyAlignment="1">
      <alignment horizontal="left" vertical="center" wrapText="1"/>
    </xf>
    <xf numFmtId="0" fontId="47" fillId="20" borderId="139" xfId="0" applyFont="1" applyFill="1" applyBorder="1" applyAlignment="1">
      <alignment horizontal="left" vertical="center"/>
    </xf>
    <xf numFmtId="0" fontId="47" fillId="14" borderId="106" xfId="0" applyFont="1" applyFill="1" applyBorder="1" applyAlignment="1">
      <alignment horizontal="left" vertical="center" wrapText="1"/>
    </xf>
    <xf numFmtId="166" fontId="47" fillId="9" borderId="151" xfId="0" applyNumberFormat="1" applyFont="1" applyFill="1" applyBorder="1" applyAlignment="1">
      <alignment horizontal="center" vertical="center" wrapText="1"/>
    </xf>
    <xf numFmtId="0" fontId="47" fillId="9" borderId="154" xfId="0" applyFont="1" applyFill="1" applyBorder="1" applyAlignment="1">
      <alignment horizontal="left" vertical="center" wrapText="1"/>
    </xf>
    <xf numFmtId="166" fontId="47" fillId="22" borderId="151" xfId="0" applyNumberFormat="1" applyFont="1" applyFill="1" applyBorder="1" applyAlignment="1">
      <alignment horizontal="center" vertical="center" wrapText="1"/>
    </xf>
    <xf numFmtId="0" fontId="47" fillId="22" borderId="154" xfId="0" applyFont="1" applyFill="1" applyBorder="1" applyAlignment="1">
      <alignment horizontal="left" vertical="center" wrapText="1"/>
    </xf>
    <xf numFmtId="0" fontId="44" fillId="0" borderId="131" xfId="0" applyFont="1" applyBorder="1" applyAlignment="1">
      <alignment horizontal="left" vertical="center"/>
    </xf>
    <xf numFmtId="0" fontId="47" fillId="0" borderId="131" xfId="0" applyFont="1" applyBorder="1" applyAlignment="1">
      <alignment horizontal="left" vertical="center"/>
    </xf>
    <xf numFmtId="0" fontId="47" fillId="0" borderId="131" xfId="0" applyFont="1" applyBorder="1" applyAlignment="1">
      <alignment horizontal="left" vertical="center" wrapText="1"/>
    </xf>
    <xf numFmtId="0" fontId="47" fillId="0" borderId="131" xfId="0" applyFont="1" applyBorder="1" applyAlignment="1">
      <alignment horizontal="left"/>
    </xf>
    <xf numFmtId="0" fontId="16" fillId="0" borderId="0" xfId="24" applyAlignment="1">
      <alignment horizontal="left" vertical="center"/>
    </xf>
    <xf numFmtId="0" fontId="47" fillId="0" borderId="131" xfId="0" applyFont="1" applyBorder="1" applyAlignment="1">
      <alignment horizontal="center" vertical="center"/>
    </xf>
    <xf numFmtId="0" fontId="47" fillId="8" borderId="155" xfId="0" applyFont="1" applyFill="1" applyBorder="1" applyAlignment="1">
      <alignment horizontal="left" vertical="center"/>
    </xf>
    <xf numFmtId="0" fontId="47" fillId="8" borderId="151" xfId="0" applyFont="1" applyFill="1" applyBorder="1" applyAlignment="1">
      <alignment horizontal="left" vertical="center" wrapText="1"/>
    </xf>
    <xf numFmtId="0" fontId="47" fillId="8" borderId="151" xfId="0" applyFont="1" applyFill="1" applyBorder="1" applyAlignment="1">
      <alignment horizontal="center" vertical="center" wrapText="1"/>
    </xf>
    <xf numFmtId="0" fontId="47" fillId="8" borderId="154" xfId="0" applyFont="1" applyFill="1" applyBorder="1" applyAlignment="1">
      <alignment horizontal="left" vertical="center" wrapText="1"/>
    </xf>
    <xf numFmtId="0" fontId="47" fillId="9" borderId="156" xfId="0" applyFont="1" applyFill="1" applyBorder="1" applyAlignment="1">
      <alignment horizontal="left" vertical="center"/>
    </xf>
    <xf numFmtId="166" fontId="47" fillId="9" borderId="157" xfId="0" applyNumberFormat="1" applyFont="1" applyFill="1" applyBorder="1" applyAlignment="1">
      <alignment horizontal="left" vertical="center" wrapText="1"/>
    </xf>
    <xf numFmtId="2" fontId="47" fillId="19" borderId="16" xfId="0" applyNumberFormat="1" applyFont="1" applyFill="1" applyBorder="1" applyAlignment="1">
      <alignment horizontal="center" vertical="center"/>
    </xf>
    <xf numFmtId="0" fontId="47" fillId="10" borderId="155" xfId="0" applyFont="1" applyFill="1" applyBorder="1" applyAlignment="1">
      <alignment horizontal="left" vertical="center"/>
    </xf>
    <xf numFmtId="1" fontId="47" fillId="10" borderId="151" xfId="0" applyNumberFormat="1" applyFont="1" applyFill="1" applyBorder="1" applyAlignment="1">
      <alignment horizontal="left" vertical="center" wrapText="1"/>
    </xf>
    <xf numFmtId="0" fontId="47" fillId="10" borderId="151" xfId="0" applyFont="1" applyFill="1" applyBorder="1" applyAlignment="1">
      <alignment horizontal="center" vertical="center" wrapText="1"/>
    </xf>
    <xf numFmtId="0" fontId="47" fillId="10" borderId="151" xfId="0" applyFont="1" applyFill="1" applyBorder="1" applyAlignment="1">
      <alignment horizontal="left" vertical="center" wrapText="1"/>
    </xf>
    <xf numFmtId="0" fontId="47" fillId="10" borderId="154" xfId="0" applyFont="1" applyFill="1" applyBorder="1" applyAlignment="1">
      <alignment horizontal="left" vertical="center" wrapText="1"/>
    </xf>
    <xf numFmtId="2" fontId="47" fillId="10" borderId="151" xfId="0" applyNumberFormat="1" applyFont="1" applyFill="1" applyBorder="1" applyAlignment="1">
      <alignment horizontal="center" vertical="center" wrapText="1"/>
    </xf>
    <xf numFmtId="166" fontId="47" fillId="9" borderId="106" xfId="0" applyNumberFormat="1" applyFont="1" applyFill="1" applyBorder="1" applyAlignment="1">
      <alignment horizontal="left" vertical="center" wrapText="1"/>
    </xf>
    <xf numFmtId="166" fontId="47" fillId="8" borderId="151" xfId="0" applyNumberFormat="1" applyFont="1" applyFill="1" applyBorder="1" applyAlignment="1">
      <alignment horizontal="center" vertical="center" wrapText="1"/>
    </xf>
    <xf numFmtId="0" fontId="70" fillId="0" borderId="0" xfId="0" applyFont="1" applyAlignment="1">
      <alignment horizontal="left" vertical="center"/>
    </xf>
    <xf numFmtId="0" fontId="47" fillId="8" borderId="108" xfId="0" applyFont="1" applyFill="1" applyBorder="1" applyAlignment="1">
      <alignment horizontal="left" vertical="center"/>
    </xf>
    <xf numFmtId="0" fontId="47" fillId="11" borderId="90" xfId="0" applyFont="1" applyFill="1" applyBorder="1" applyAlignment="1">
      <alignment horizontal="left" vertical="center"/>
    </xf>
    <xf numFmtId="0" fontId="47" fillId="12" borderId="108" xfId="0" applyFont="1" applyFill="1" applyBorder="1" applyAlignment="1">
      <alignment horizontal="left" vertical="center"/>
    </xf>
    <xf numFmtId="2" fontId="47" fillId="20" borderId="139" xfId="0" applyNumberFormat="1" applyFont="1" applyFill="1" applyBorder="1" applyAlignment="1">
      <alignment horizontal="left" vertical="center"/>
    </xf>
    <xf numFmtId="0" fontId="47" fillId="20" borderId="139" xfId="0" applyFont="1" applyFill="1" applyBorder="1" applyAlignment="1">
      <alignment horizontal="left" vertical="center" wrapText="1"/>
    </xf>
    <xf numFmtId="0" fontId="47" fillId="20" borderId="82" xfId="0" applyFont="1" applyFill="1" applyBorder="1" applyAlignment="1">
      <alignment horizontal="left" vertical="center" wrapText="1"/>
    </xf>
    <xf numFmtId="0" fontId="47" fillId="4" borderId="82" xfId="0" applyFont="1" applyFill="1" applyBorder="1" applyAlignment="1">
      <alignment horizontal="left" vertical="center" wrapText="1"/>
    </xf>
    <xf numFmtId="0" fontId="47" fillId="12" borderId="155" xfId="0" applyFont="1" applyFill="1" applyBorder="1" applyAlignment="1">
      <alignment horizontal="left" vertical="center"/>
    </xf>
    <xf numFmtId="0" fontId="47" fillId="12" borderId="151" xfId="0" applyFont="1" applyFill="1" applyBorder="1" applyAlignment="1">
      <alignment horizontal="center" vertical="center"/>
    </xf>
    <xf numFmtId="0" fontId="47" fillId="12" borderId="154" xfId="0" applyFont="1" applyFill="1" applyBorder="1" applyAlignment="1">
      <alignment horizontal="left" vertical="center"/>
    </xf>
    <xf numFmtId="0" fontId="51" fillId="10" borderId="125" xfId="0" applyFont="1" applyFill="1" applyBorder="1" applyAlignment="1">
      <alignment horizontal="left" vertical="center"/>
    </xf>
    <xf numFmtId="0" fontId="51" fillId="10" borderId="129" xfId="0" applyFont="1" applyFill="1" applyBorder="1" applyAlignment="1">
      <alignment horizontal="left" vertical="center" wrapText="1"/>
    </xf>
    <xf numFmtId="2" fontId="51" fillId="10" borderId="129" xfId="0" applyNumberFormat="1" applyFont="1" applyFill="1" applyBorder="1" applyAlignment="1">
      <alignment horizontal="center" vertical="center" wrapText="1"/>
    </xf>
    <xf numFmtId="0" fontId="47" fillId="10" borderId="129" xfId="0" applyFont="1" applyFill="1" applyBorder="1" applyAlignment="1">
      <alignment horizontal="center" vertical="center" wrapText="1"/>
    </xf>
    <xf numFmtId="0" fontId="51" fillId="10" borderId="129" xfId="0" applyFont="1" applyFill="1" applyBorder="1" applyAlignment="1">
      <alignment horizontal="center" vertical="center" wrapText="1"/>
    </xf>
    <xf numFmtId="0" fontId="51" fillId="10" borderId="130" xfId="0" applyFont="1" applyFill="1" applyBorder="1" applyAlignment="1">
      <alignment horizontal="left" vertical="center" wrapText="1"/>
    </xf>
    <xf numFmtId="2" fontId="47" fillId="10" borderId="151" xfId="0" applyNumberFormat="1" applyFont="1" applyFill="1" applyBorder="1" applyAlignment="1">
      <alignment horizontal="left" vertical="center" wrapText="1"/>
    </xf>
    <xf numFmtId="164" fontId="47" fillId="10" borderId="151" xfId="0" applyNumberFormat="1" applyFont="1" applyFill="1" applyBorder="1" applyAlignment="1">
      <alignment horizontal="left" vertical="center" wrapText="1"/>
    </xf>
    <xf numFmtId="164" fontId="47" fillId="10" borderId="151" xfId="0" applyNumberFormat="1" applyFont="1" applyFill="1" applyBorder="1" applyAlignment="1">
      <alignment horizontal="center" vertical="center" wrapText="1"/>
    </xf>
    <xf numFmtId="0" fontId="51" fillId="10" borderId="155" xfId="0" applyFont="1" applyFill="1" applyBorder="1" applyAlignment="1">
      <alignment horizontal="left"/>
    </xf>
    <xf numFmtId="0" fontId="51" fillId="10" borderId="151" xfId="0" applyFont="1" applyFill="1" applyBorder="1" applyAlignment="1">
      <alignment horizontal="center" vertical="center" wrapText="1"/>
    </xf>
    <xf numFmtId="166" fontId="47" fillId="10" borderId="151" xfId="0" applyNumberFormat="1" applyFont="1" applyFill="1" applyBorder="1" applyAlignment="1">
      <alignment horizontal="left" vertical="center" wrapText="1"/>
    </xf>
    <xf numFmtId="166" fontId="47" fillId="10" borderId="151" xfId="0" applyNumberFormat="1" applyFont="1" applyFill="1" applyBorder="1" applyAlignment="1">
      <alignment horizontal="center" vertical="center" wrapText="1"/>
    </xf>
    <xf numFmtId="165" fontId="51" fillId="10" borderId="151" xfId="0" applyNumberFormat="1" applyFont="1" applyFill="1" applyBorder="1" applyAlignment="1">
      <alignment horizontal="left" vertical="center" wrapText="1"/>
    </xf>
    <xf numFmtId="166" fontId="51" fillId="10" borderId="151" xfId="0" applyNumberFormat="1" applyFont="1" applyFill="1" applyBorder="1" applyAlignment="1">
      <alignment horizontal="center" vertical="center" wrapText="1"/>
    </xf>
    <xf numFmtId="0" fontId="51" fillId="10" borderId="151" xfId="0" applyFont="1" applyFill="1" applyBorder="1" applyAlignment="1">
      <alignment horizontal="left" vertical="center" wrapText="1"/>
    </xf>
    <xf numFmtId="2" fontId="51" fillId="10" borderId="151" xfId="0" applyNumberFormat="1" applyFont="1" applyFill="1" applyBorder="1" applyAlignment="1">
      <alignment horizontal="left" vertical="center" wrapText="1"/>
    </xf>
    <xf numFmtId="2" fontId="51" fillId="10" borderId="151" xfId="0" applyNumberFormat="1" applyFont="1" applyFill="1" applyBorder="1" applyAlignment="1">
      <alignment horizontal="center" vertical="center" wrapText="1"/>
    </xf>
    <xf numFmtId="0" fontId="51" fillId="10" borderId="154" xfId="0" applyFont="1" applyFill="1" applyBorder="1" applyAlignment="1">
      <alignment horizontal="left" vertical="center" wrapText="1"/>
    </xf>
    <xf numFmtId="0" fontId="47" fillId="10" borderId="153" xfId="0" applyFont="1" applyFill="1" applyBorder="1" applyAlignment="1">
      <alignment horizontal="center" vertical="center" wrapText="1"/>
    </xf>
    <xf numFmtId="0" fontId="44" fillId="0" borderId="155" xfId="6" applyFont="1" applyBorder="1"/>
    <xf numFmtId="0" fontId="44" fillId="0" borderId="151" xfId="6" applyFont="1" applyBorder="1"/>
    <xf numFmtId="0" fontId="44" fillId="0" borderId="154" xfId="6" applyFont="1" applyBorder="1"/>
    <xf numFmtId="0" fontId="44" fillId="0" borderId="125" xfId="6" applyFont="1" applyBorder="1"/>
    <xf numFmtId="0" fontId="44" fillId="0" borderId="129" xfId="6" applyFont="1" applyBorder="1"/>
    <xf numFmtId="0" fontId="44" fillId="0" borderId="130" xfId="6" applyFont="1" applyBorder="1"/>
    <xf numFmtId="0" fontId="44" fillId="0" borderId="151" xfId="0" applyFont="1" applyBorder="1"/>
    <xf numFmtId="0" fontId="44" fillId="0" borderId="152" xfId="6" applyFont="1" applyBorder="1"/>
    <xf numFmtId="0" fontId="44" fillId="0" borderId="106" xfId="6" applyFont="1" applyBorder="1"/>
    <xf numFmtId="0" fontId="44" fillId="0" borderId="153" xfId="6" applyFont="1" applyBorder="1"/>
    <xf numFmtId="0" fontId="51" fillId="10" borderId="106" xfId="0" applyFont="1" applyFill="1" applyBorder="1" applyAlignment="1">
      <alignment horizontal="left"/>
    </xf>
    <xf numFmtId="164" fontId="51" fillId="10" borderId="153" xfId="0" applyNumberFormat="1" applyFont="1" applyFill="1" applyBorder="1" applyAlignment="1">
      <alignment horizontal="left" vertical="center" wrapText="1"/>
    </xf>
    <xf numFmtId="0" fontId="51" fillId="10" borderId="153" xfId="0" applyFont="1" applyFill="1" applyBorder="1" applyAlignment="1">
      <alignment horizontal="center" vertical="center" wrapText="1"/>
    </xf>
    <xf numFmtId="0" fontId="51" fillId="10" borderId="153" xfId="0" applyFont="1" applyFill="1" applyBorder="1" applyAlignment="1">
      <alignment horizontal="left" vertical="center" wrapText="1"/>
    </xf>
    <xf numFmtId="0" fontId="51" fillId="10" borderId="152" xfId="0" applyFont="1" applyFill="1" applyBorder="1" applyAlignment="1">
      <alignment horizontal="left" vertical="center" wrapText="1"/>
    </xf>
    <xf numFmtId="0" fontId="47" fillId="27" borderId="90" xfId="0" applyFont="1" applyFill="1" applyBorder="1" applyAlignment="1">
      <alignment horizontal="center" vertical="center"/>
    </xf>
    <xf numFmtId="0" fontId="44" fillId="0" borderId="125" xfId="0" applyFont="1" applyBorder="1"/>
    <xf numFmtId="0" fontId="44" fillId="0" borderId="129" xfId="0" applyFont="1" applyBorder="1"/>
    <xf numFmtId="0" fontId="44" fillId="0" borderId="129" xfId="0" applyFont="1" applyBorder="1" applyAlignment="1">
      <alignment horizontal="center"/>
    </xf>
    <xf numFmtId="0" fontId="44" fillId="0" borderId="130" xfId="0" applyFont="1" applyBorder="1"/>
    <xf numFmtId="0" fontId="44" fillId="0" borderId="139" xfId="0" applyFont="1" applyBorder="1"/>
    <xf numFmtId="0" fontId="44" fillId="0" borderId="139" xfId="0" applyFont="1" applyBorder="1" applyAlignment="1">
      <alignment horizontal="center"/>
    </xf>
    <xf numFmtId="0" fontId="44" fillId="5" borderId="129" xfId="0" applyFont="1" applyFill="1" applyBorder="1" applyAlignment="1">
      <alignment horizontal="center" vertical="center"/>
    </xf>
    <xf numFmtId="0" fontId="44" fillId="5" borderId="151" xfId="0" applyFont="1" applyFill="1" applyBorder="1" applyAlignment="1">
      <alignment horizontal="center" vertical="center"/>
    </xf>
    <xf numFmtId="0" fontId="47" fillId="5" borderId="151" xfId="0" applyFont="1" applyFill="1" applyBorder="1" applyAlignment="1">
      <alignment horizontal="center" vertical="center"/>
    </xf>
    <xf numFmtId="0" fontId="44" fillId="5" borderId="153" xfId="0" applyFont="1" applyFill="1" applyBorder="1" applyAlignment="1">
      <alignment horizontal="center" vertical="center"/>
    </xf>
    <xf numFmtId="0" fontId="47" fillId="28" borderId="125" xfId="0" applyFont="1" applyFill="1" applyBorder="1" applyAlignment="1">
      <alignment horizontal="left" vertical="center"/>
    </xf>
    <xf numFmtId="0" fontId="0" fillId="28" borderId="129" xfId="0" applyFill="1" applyBorder="1" applyAlignment="1">
      <alignment horizontal="left"/>
    </xf>
    <xf numFmtId="164" fontId="47" fillId="28" borderId="129" xfId="0" applyNumberFormat="1" applyFont="1" applyFill="1" applyBorder="1" applyAlignment="1">
      <alignment horizontal="center" vertical="center"/>
    </xf>
    <xf numFmtId="0" fontId="47" fillId="28" borderId="129" xfId="0" applyFont="1" applyFill="1" applyBorder="1" applyAlignment="1">
      <alignment horizontal="center" vertical="center" wrapText="1"/>
    </xf>
    <xf numFmtId="0" fontId="51" fillId="28" borderId="129" xfId="0" applyFont="1" applyFill="1" applyBorder="1" applyAlignment="1">
      <alignment horizontal="center" vertical="center" wrapText="1"/>
    </xf>
    <xf numFmtId="0" fontId="47" fillId="28" borderId="129" xfId="0" applyFont="1" applyFill="1" applyBorder="1" applyAlignment="1">
      <alignment horizontal="left" vertical="center" wrapText="1"/>
    </xf>
    <xf numFmtId="0" fontId="47" fillId="28" borderId="130" xfId="0" applyFont="1" applyFill="1" applyBorder="1" applyAlignment="1">
      <alignment horizontal="left" vertical="center"/>
    </xf>
    <xf numFmtId="0" fontId="47" fillId="28" borderId="106" xfId="0" applyFont="1" applyFill="1" applyBorder="1" applyAlignment="1">
      <alignment horizontal="left" vertical="center"/>
    </xf>
    <xf numFmtId="0" fontId="0" fillId="28" borderId="153" xfId="0" applyFill="1" applyBorder="1" applyAlignment="1">
      <alignment horizontal="left"/>
    </xf>
    <xf numFmtId="0" fontId="47" fillId="28" borderId="153" xfId="0" applyFont="1" applyFill="1" applyBorder="1" applyAlignment="1">
      <alignment horizontal="center" vertical="center" wrapText="1"/>
    </xf>
    <xf numFmtId="0" fontId="51" fillId="28" borderId="153" xfId="0" applyFont="1" applyFill="1" applyBorder="1" applyAlignment="1">
      <alignment horizontal="center" vertical="center" wrapText="1"/>
    </xf>
    <xf numFmtId="0" fontId="47" fillId="28" borderId="153" xfId="0" applyFont="1" applyFill="1" applyBorder="1" applyAlignment="1">
      <alignment horizontal="left" vertical="center" wrapText="1"/>
    </xf>
    <xf numFmtId="0" fontId="47" fillId="28" borderId="152" xfId="0" applyFont="1" applyFill="1" applyBorder="1" applyAlignment="1">
      <alignment horizontal="left" vertical="center"/>
    </xf>
    <xf numFmtId="1" fontId="47" fillId="28" borderId="153" xfId="0" applyNumberFormat="1" applyFont="1" applyFill="1" applyBorder="1" applyAlignment="1">
      <alignment horizontal="center" vertical="center"/>
    </xf>
    <xf numFmtId="165" fontId="47" fillId="9" borderId="85" xfId="0" applyNumberFormat="1" applyFont="1" applyFill="1" applyBorder="1" applyAlignment="1">
      <alignment horizontal="center" vertical="center"/>
    </xf>
    <xf numFmtId="165" fontId="47" fillId="9" borderId="114" xfId="0" applyNumberFormat="1" applyFont="1" applyFill="1" applyBorder="1" applyAlignment="1">
      <alignment horizontal="center" vertical="center"/>
    </xf>
    <xf numFmtId="11" fontId="47" fillId="4" borderId="139" xfId="0" applyNumberFormat="1" applyFont="1" applyFill="1" applyBorder="1" applyAlignment="1">
      <alignment horizontal="left" vertical="center"/>
    </xf>
    <xf numFmtId="0" fontId="51" fillId="9" borderId="158" xfId="0" applyFont="1" applyFill="1" applyBorder="1" applyAlignment="1">
      <alignment horizontal="left" vertical="center" wrapText="1"/>
    </xf>
    <xf numFmtId="0" fontId="51" fillId="9" borderId="159" xfId="0" applyFont="1" applyFill="1" applyBorder="1" applyAlignment="1">
      <alignment horizontal="left" vertical="center" wrapText="1"/>
    </xf>
    <xf numFmtId="166" fontId="51" fillId="9" borderId="160" xfId="0" applyNumberFormat="1" applyFont="1" applyFill="1" applyBorder="1" applyAlignment="1">
      <alignment vertical="center" wrapText="1"/>
    </xf>
    <xf numFmtId="169" fontId="51" fillId="9" borderId="160" xfId="0" applyNumberFormat="1" applyFont="1" applyFill="1" applyBorder="1" applyAlignment="1">
      <alignment horizontal="center" vertical="center" wrapText="1"/>
    </xf>
    <xf numFmtId="0" fontId="51" fillId="9" borderId="160" xfId="0" applyFont="1" applyFill="1" applyBorder="1" applyAlignment="1">
      <alignment horizontal="center" vertical="center" wrapText="1"/>
    </xf>
    <xf numFmtId="0" fontId="51" fillId="9" borderId="160" xfId="0" applyFont="1" applyFill="1" applyBorder="1" applyAlignment="1">
      <alignment horizontal="left" vertical="center" wrapText="1"/>
    </xf>
    <xf numFmtId="166" fontId="51" fillId="9" borderId="160" xfId="0" applyNumberFormat="1" applyFont="1" applyFill="1" applyBorder="1" applyAlignment="1">
      <alignment horizontal="center" vertical="center"/>
    </xf>
    <xf numFmtId="0" fontId="51" fillId="9" borderId="160" xfId="0" quotePrefix="1" applyFont="1" applyFill="1" applyBorder="1" applyAlignment="1">
      <alignment horizontal="center" vertical="center" wrapText="1"/>
    </xf>
    <xf numFmtId="0" fontId="51" fillId="9" borderId="160" xfId="0" applyFont="1" applyFill="1" applyBorder="1" applyAlignment="1">
      <alignment horizontal="left" vertical="center"/>
    </xf>
    <xf numFmtId="0" fontId="54" fillId="9" borderId="159" xfId="0" applyFont="1" applyFill="1" applyBorder="1" applyAlignment="1">
      <alignment horizontal="left" vertical="center"/>
    </xf>
    <xf numFmtId="0" fontId="51" fillId="9" borderId="158" xfId="0" applyFont="1" applyFill="1" applyBorder="1" applyAlignment="1">
      <alignment vertical="center"/>
    </xf>
    <xf numFmtId="0" fontId="51" fillId="9" borderId="160" xfId="0" applyFont="1" applyFill="1" applyBorder="1" applyAlignment="1">
      <alignment vertical="center" wrapText="1"/>
    </xf>
    <xf numFmtId="0" fontId="51" fillId="9" borderId="161" xfId="0" applyFont="1" applyFill="1" applyBorder="1" applyAlignment="1">
      <alignment horizontal="left" vertical="center" wrapText="1"/>
    </xf>
    <xf numFmtId="166" fontId="51" fillId="9" borderId="162" xfId="0" applyNumberFormat="1" applyFont="1" applyFill="1" applyBorder="1" applyAlignment="1">
      <alignment vertical="center" wrapText="1"/>
    </xf>
    <xf numFmtId="0" fontId="51" fillId="9" borderId="162" xfId="0" applyFont="1" applyFill="1" applyBorder="1" applyAlignment="1">
      <alignment horizontal="center" vertical="center" wrapText="1"/>
    </xf>
    <xf numFmtId="0" fontId="51" fillId="9" borderId="162" xfId="0" applyFont="1" applyFill="1" applyBorder="1" applyAlignment="1">
      <alignment horizontal="left" vertical="center" wrapText="1"/>
    </xf>
    <xf numFmtId="0" fontId="51" fillId="9" borderId="163" xfId="0" applyFont="1" applyFill="1" applyBorder="1" applyAlignment="1">
      <alignment horizontal="left" vertical="center" wrapText="1"/>
    </xf>
    <xf numFmtId="1" fontId="51" fillId="9" borderId="162" xfId="0" applyNumberFormat="1" applyFont="1" applyFill="1" applyBorder="1" applyAlignment="1">
      <alignment horizontal="center" vertical="center" wrapText="1"/>
    </xf>
    <xf numFmtId="0" fontId="55" fillId="7" borderId="133" xfId="3" applyFont="1" applyFill="1" applyBorder="1" applyAlignment="1">
      <alignment vertical="center" wrapText="1"/>
    </xf>
    <xf numFmtId="0" fontId="47" fillId="5" borderId="167" xfId="0" applyFont="1" applyFill="1" applyBorder="1" applyAlignment="1">
      <alignment horizontal="center" vertical="center"/>
    </xf>
    <xf numFmtId="0" fontId="47" fillId="5" borderId="168" xfId="0" applyFont="1" applyFill="1" applyBorder="1" applyAlignment="1">
      <alignment horizontal="center" vertical="center"/>
    </xf>
    <xf numFmtId="0" fontId="51" fillId="29" borderId="170" xfId="0" applyFont="1" applyFill="1" applyBorder="1" applyAlignment="1">
      <alignment horizontal="left"/>
    </xf>
    <xf numFmtId="0" fontId="51" fillId="29" borderId="171" xfId="0" applyFont="1" applyFill="1" applyBorder="1" applyAlignment="1">
      <alignment horizontal="left" vertical="center" wrapText="1"/>
    </xf>
    <xf numFmtId="2" fontId="51" fillId="29" borderId="171" xfId="0" applyNumberFormat="1" applyFont="1" applyFill="1" applyBorder="1" applyAlignment="1">
      <alignment horizontal="center" vertical="center" wrapText="1"/>
    </xf>
    <xf numFmtId="0" fontId="51" fillId="29" borderId="171" xfId="0" applyFont="1" applyFill="1" applyBorder="1" applyAlignment="1">
      <alignment horizontal="center" vertical="center" wrapText="1"/>
    </xf>
    <xf numFmtId="0" fontId="47" fillId="29" borderId="171" xfId="0" applyFont="1" applyFill="1" applyBorder="1" applyAlignment="1">
      <alignment horizontal="left" vertical="center" wrapText="1"/>
    </xf>
    <xf numFmtId="0" fontId="47" fillId="29" borderId="172" xfId="0" applyFont="1" applyFill="1" applyBorder="1" applyAlignment="1">
      <alignment horizontal="left" vertical="center" wrapText="1"/>
    </xf>
    <xf numFmtId="0" fontId="51" fillId="29" borderId="106" xfId="0" applyFont="1" applyFill="1" applyBorder="1" applyAlignment="1">
      <alignment horizontal="left"/>
    </xf>
    <xf numFmtId="0" fontId="51" fillId="29" borderId="173" xfId="0" applyFont="1" applyFill="1" applyBorder="1" applyAlignment="1">
      <alignment horizontal="left" vertical="center" wrapText="1"/>
    </xf>
    <xf numFmtId="2" fontId="51" fillId="29" borderId="173" xfId="0" applyNumberFormat="1" applyFont="1" applyFill="1" applyBorder="1" applyAlignment="1">
      <alignment horizontal="center" vertical="center" wrapText="1"/>
    </xf>
    <xf numFmtId="0" fontId="51" fillId="29" borderId="173" xfId="0" applyFont="1" applyFill="1" applyBorder="1" applyAlignment="1">
      <alignment horizontal="center" vertical="center" wrapText="1"/>
    </xf>
    <xf numFmtId="0" fontId="47" fillId="29" borderId="173" xfId="0" applyFont="1" applyFill="1" applyBorder="1" applyAlignment="1">
      <alignment horizontal="left" vertical="center" wrapText="1"/>
    </xf>
    <xf numFmtId="0" fontId="47" fillId="27" borderId="139" xfId="0" applyFont="1" applyFill="1" applyBorder="1" applyAlignment="1">
      <alignment horizontal="left" vertical="center"/>
    </xf>
    <xf numFmtId="0" fontId="47" fillId="27" borderId="102" xfId="0" applyFont="1" applyFill="1" applyBorder="1" applyAlignment="1">
      <alignment horizontal="left" vertical="center"/>
    </xf>
    <xf numFmtId="0" fontId="6" fillId="0" borderId="0" xfId="0" applyFont="1" applyAlignment="1">
      <alignment wrapText="1"/>
    </xf>
    <xf numFmtId="0" fontId="33" fillId="0" borderId="0" xfId="0" applyFont="1" applyAlignment="1">
      <alignment horizontal="left" vertical="center" wrapText="1"/>
    </xf>
    <xf numFmtId="0" fontId="74" fillId="30" borderId="176" xfId="0" applyFont="1" applyFill="1" applyBorder="1" applyAlignment="1">
      <alignment horizontal="left" vertical="center" wrapText="1"/>
    </xf>
    <xf numFmtId="0" fontId="0" fillId="0" borderId="0" xfId="0" applyAlignment="1">
      <alignment horizontal="left" vertical="center" wrapText="1"/>
    </xf>
    <xf numFmtId="0" fontId="74" fillId="30" borderId="177" xfId="0" applyFont="1" applyFill="1" applyBorder="1" applyAlignment="1">
      <alignment horizontal="left" vertical="center" wrapText="1"/>
    </xf>
    <xf numFmtId="0" fontId="74" fillId="30" borderId="81" xfId="0" applyFont="1" applyFill="1" applyBorder="1" applyAlignment="1">
      <alignment horizontal="left" vertical="center" wrapText="1"/>
    </xf>
    <xf numFmtId="0" fontId="47" fillId="0" borderId="0" xfId="0" applyFont="1" applyAlignment="1">
      <alignment wrapText="1"/>
    </xf>
    <xf numFmtId="0" fontId="104" fillId="0" borderId="178" xfId="0" applyFont="1" applyBorder="1"/>
    <xf numFmtId="0" fontId="47" fillId="0" borderId="131" xfId="0" quotePrefix="1" applyFont="1" applyBorder="1" applyAlignment="1">
      <alignment horizontal="left" vertical="center"/>
    </xf>
    <xf numFmtId="0" fontId="6" fillId="0" borderId="0" xfId="0" applyFont="1"/>
    <xf numFmtId="0" fontId="44" fillId="8" borderId="179" xfId="0" applyFont="1" applyFill="1" applyBorder="1" applyAlignment="1">
      <alignment horizontal="center" vertical="center"/>
    </xf>
    <xf numFmtId="0" fontId="44" fillId="8" borderId="180" xfId="0" applyFont="1" applyFill="1" applyBorder="1" applyAlignment="1">
      <alignment horizontal="center" vertical="center"/>
    </xf>
    <xf numFmtId="0" fontId="44" fillId="21" borderId="180" xfId="0" applyFont="1" applyFill="1" applyBorder="1" applyAlignment="1">
      <alignment horizontal="center" vertical="center"/>
    </xf>
    <xf numFmtId="0" fontId="44" fillId="11" borderId="180" xfId="0" applyFont="1" applyFill="1" applyBorder="1" applyAlignment="1">
      <alignment horizontal="center" vertical="center"/>
    </xf>
    <xf numFmtId="0" fontId="0" fillId="11" borderId="180" xfId="0" applyFill="1" applyBorder="1" applyAlignment="1">
      <alignment horizontal="center" vertical="center"/>
    </xf>
    <xf numFmtId="0" fontId="44" fillId="10" borderId="180" xfId="0" applyFont="1" applyFill="1" applyBorder="1" applyAlignment="1">
      <alignment horizontal="center" vertical="center"/>
    </xf>
    <xf numFmtId="0" fontId="44" fillId="12" borderId="180" xfId="0" applyFont="1" applyFill="1" applyBorder="1" applyAlignment="1">
      <alignment horizontal="center" vertical="center"/>
    </xf>
    <xf numFmtId="0" fontId="44" fillId="18" borderId="180" xfId="0" applyFont="1" applyFill="1" applyBorder="1" applyAlignment="1">
      <alignment horizontal="center" vertical="center"/>
    </xf>
    <xf numFmtId="0" fontId="44" fillId="9" borderId="180" xfId="0" applyFont="1" applyFill="1" applyBorder="1" applyAlignment="1">
      <alignment horizontal="center" vertical="center"/>
    </xf>
    <xf numFmtId="0" fontId="44" fillId="7" borderId="180" xfId="0" applyFont="1" applyFill="1" applyBorder="1" applyAlignment="1">
      <alignment horizontal="center" vertical="center"/>
    </xf>
    <xf numFmtId="0" fontId="44" fillId="16" borderId="180" xfId="0" applyFont="1" applyFill="1" applyBorder="1" applyAlignment="1">
      <alignment horizontal="center" vertical="center"/>
    </xf>
    <xf numFmtId="0" fontId="0" fillId="9" borderId="180" xfId="0" applyFill="1" applyBorder="1" applyAlignment="1">
      <alignment horizontal="center" vertical="center"/>
    </xf>
    <xf numFmtId="0" fontId="44" fillId="15" borderId="180" xfId="0" applyFont="1" applyFill="1" applyBorder="1" applyAlignment="1">
      <alignment horizontal="center" vertical="center"/>
    </xf>
    <xf numFmtId="0" fontId="0" fillId="26" borderId="180" xfId="0" applyFill="1" applyBorder="1" applyAlignment="1">
      <alignment horizontal="center" vertical="center"/>
    </xf>
    <xf numFmtId="0" fontId="44" fillId="4" borderId="180" xfId="0" applyFont="1" applyFill="1" applyBorder="1" applyAlignment="1">
      <alignment horizontal="center" vertical="center"/>
    </xf>
    <xf numFmtId="0" fontId="46" fillId="8" borderId="170" xfId="0" applyFont="1" applyFill="1" applyBorder="1" applyAlignment="1">
      <alignment horizontal="center" vertical="center"/>
    </xf>
    <xf numFmtId="0" fontId="46" fillId="8" borderId="171" xfId="0" applyFont="1" applyFill="1" applyBorder="1" applyAlignment="1">
      <alignment horizontal="center" vertical="center"/>
    </xf>
    <xf numFmtId="0" fontId="44" fillId="8" borderId="171" xfId="0" applyFont="1" applyFill="1" applyBorder="1" applyAlignment="1">
      <alignment horizontal="left" vertical="center"/>
    </xf>
    <xf numFmtId="0" fontId="44" fillId="8" borderId="171" xfId="0" quotePrefix="1" applyFont="1" applyFill="1" applyBorder="1" applyAlignment="1">
      <alignment horizontal="center" vertical="center"/>
    </xf>
    <xf numFmtId="0" fontId="44" fillId="8" borderId="171" xfId="0" applyFont="1" applyFill="1" applyBorder="1" applyAlignment="1">
      <alignment horizontal="center" vertical="center"/>
    </xf>
    <xf numFmtId="0" fontId="44" fillId="8" borderId="172" xfId="0" quotePrefix="1" applyFont="1" applyFill="1" applyBorder="1" applyAlignment="1">
      <alignment horizontal="left" vertical="center"/>
    </xf>
    <xf numFmtId="0" fontId="46" fillId="8" borderId="174" xfId="0" applyFont="1" applyFill="1" applyBorder="1" applyAlignment="1">
      <alignment horizontal="center" vertical="center"/>
    </xf>
    <xf numFmtId="0" fontId="44" fillId="8" borderId="175" xfId="0" quotePrefix="1" applyFont="1" applyFill="1" applyBorder="1" applyAlignment="1">
      <alignment horizontal="left" vertical="center"/>
    </xf>
    <xf numFmtId="0" fontId="46" fillId="21" borderId="174" xfId="0" applyFont="1" applyFill="1" applyBorder="1" applyAlignment="1">
      <alignment horizontal="center" vertical="center"/>
    </xf>
    <xf numFmtId="0" fontId="44" fillId="21" borderId="175" xfId="0" quotePrefix="1" applyFont="1" applyFill="1" applyBorder="1" applyAlignment="1">
      <alignment horizontal="left" vertical="center"/>
    </xf>
    <xf numFmtId="0" fontId="46" fillId="11" borderId="174" xfId="0" applyFont="1" applyFill="1" applyBorder="1" applyAlignment="1">
      <alignment horizontal="center" vertical="center"/>
    </xf>
    <xf numFmtId="0" fontId="44" fillId="11" borderId="175" xfId="0" quotePrefix="1" applyFont="1" applyFill="1" applyBorder="1" applyAlignment="1">
      <alignment horizontal="left" vertical="center"/>
    </xf>
    <xf numFmtId="0" fontId="44" fillId="11" borderId="175" xfId="0" applyFont="1" applyFill="1" applyBorder="1" applyAlignment="1">
      <alignment horizontal="left" vertical="center"/>
    </xf>
    <xf numFmtId="0" fontId="55" fillId="11" borderId="174" xfId="0" applyFont="1" applyFill="1" applyBorder="1" applyAlignment="1">
      <alignment horizontal="center" vertical="center"/>
    </xf>
    <xf numFmtId="0" fontId="46" fillId="10" borderId="174" xfId="0" applyFont="1" applyFill="1" applyBorder="1" applyAlignment="1">
      <alignment horizontal="center" vertical="center"/>
    </xf>
    <xf numFmtId="0" fontId="44" fillId="10" borderId="175" xfId="0" quotePrefix="1" applyFont="1" applyFill="1" applyBorder="1" applyAlignment="1">
      <alignment horizontal="left" vertical="center"/>
    </xf>
    <xf numFmtId="0" fontId="44" fillId="10" borderId="175" xfId="0" applyFont="1" applyFill="1" applyBorder="1" applyAlignment="1">
      <alignment horizontal="left" vertical="center"/>
    </xf>
    <xf numFmtId="0" fontId="46" fillId="12" borderId="174" xfId="0" applyFont="1" applyFill="1" applyBorder="1" applyAlignment="1">
      <alignment horizontal="center" vertical="center"/>
    </xf>
    <xf numFmtId="0" fontId="44" fillId="12" borderId="175" xfId="0" quotePrefix="1" applyFont="1" applyFill="1" applyBorder="1" applyAlignment="1">
      <alignment horizontal="left" vertical="center"/>
    </xf>
    <xf numFmtId="0" fontId="44" fillId="12" borderId="175" xfId="0" applyFont="1" applyFill="1" applyBorder="1" applyAlignment="1">
      <alignment horizontal="left" vertical="center"/>
    </xf>
    <xf numFmtId="0" fontId="46" fillId="18" borderId="174" xfId="0" applyFont="1" applyFill="1" applyBorder="1" applyAlignment="1">
      <alignment horizontal="center" vertical="center"/>
    </xf>
    <xf numFmtId="0" fontId="44" fillId="18" borderId="175" xfId="0" quotePrefix="1" applyFont="1" applyFill="1" applyBorder="1" applyAlignment="1">
      <alignment horizontal="left" vertical="center"/>
    </xf>
    <xf numFmtId="0" fontId="44" fillId="18" borderId="175" xfId="0" applyFont="1" applyFill="1" applyBorder="1" applyAlignment="1">
      <alignment horizontal="left" vertical="center"/>
    </xf>
    <xf numFmtId="0" fontId="46" fillId="9" borderId="174" xfId="0" applyFont="1" applyFill="1" applyBorder="1" applyAlignment="1">
      <alignment horizontal="center" vertical="center"/>
    </xf>
    <xf numFmtId="0" fontId="44" fillId="9" borderId="175" xfId="0" applyFont="1" applyFill="1" applyBorder="1" applyAlignment="1">
      <alignment horizontal="left" vertical="center"/>
    </xf>
    <xf numFmtId="0" fontId="55" fillId="7" borderId="174" xfId="0" applyFont="1" applyFill="1" applyBorder="1" applyAlignment="1">
      <alignment horizontal="center" vertical="center"/>
    </xf>
    <xf numFmtId="0" fontId="44" fillId="7" borderId="175" xfId="0" quotePrefix="1" applyFont="1" applyFill="1" applyBorder="1" applyAlignment="1">
      <alignment horizontal="left" vertical="center"/>
    </xf>
    <xf numFmtId="0" fontId="46" fillId="16" borderId="174" xfId="0" applyFont="1" applyFill="1" applyBorder="1" applyAlignment="1">
      <alignment horizontal="center" vertical="center"/>
    </xf>
    <xf numFmtId="0" fontId="44" fillId="16" borderId="175" xfId="0" quotePrefix="1" applyFont="1" applyFill="1" applyBorder="1" applyAlignment="1">
      <alignment horizontal="left" vertical="center"/>
    </xf>
    <xf numFmtId="0" fontId="55" fillId="16" borderId="174" xfId="0" applyFont="1" applyFill="1" applyBorder="1" applyAlignment="1">
      <alignment horizontal="center" vertical="center"/>
    </xf>
    <xf numFmtId="0" fontId="27" fillId="9" borderId="174" xfId="0" applyFont="1" applyFill="1" applyBorder="1" applyAlignment="1">
      <alignment horizontal="center" vertical="center"/>
    </xf>
    <xf numFmtId="0" fontId="44" fillId="9" borderId="175" xfId="0" quotePrefix="1" applyFont="1" applyFill="1" applyBorder="1" applyAlignment="1">
      <alignment horizontal="left" vertical="center"/>
    </xf>
    <xf numFmtId="0" fontId="55" fillId="15" borderId="174" xfId="0" applyFont="1" applyFill="1" applyBorder="1" applyAlignment="1">
      <alignment horizontal="center" vertical="center"/>
    </xf>
    <xf numFmtId="0" fontId="44" fillId="15" borderId="175" xfId="0" quotePrefix="1" applyFont="1" applyFill="1" applyBorder="1" applyAlignment="1">
      <alignment horizontal="left" vertical="center"/>
    </xf>
    <xf numFmtId="0" fontId="44" fillId="26" borderId="175" xfId="0" applyFont="1" applyFill="1" applyBorder="1" applyAlignment="1">
      <alignment horizontal="left" vertical="center"/>
    </xf>
    <xf numFmtId="0" fontId="46" fillId="4" borderId="174" xfId="0" applyFont="1" applyFill="1" applyBorder="1" applyAlignment="1">
      <alignment horizontal="center" vertical="center"/>
    </xf>
    <xf numFmtId="0" fontId="44" fillId="4" borderId="175" xfId="0" applyFont="1" applyFill="1" applyBorder="1" applyAlignment="1">
      <alignment horizontal="left" vertical="center"/>
    </xf>
    <xf numFmtId="0" fontId="46" fillId="29" borderId="174" xfId="0" applyFont="1" applyFill="1" applyBorder="1" applyAlignment="1">
      <alignment horizontal="center" vertical="center"/>
    </xf>
    <xf numFmtId="0" fontId="44" fillId="29" borderId="175" xfId="0" applyFont="1" applyFill="1" applyBorder="1" applyAlignment="1">
      <alignment horizontal="left"/>
    </xf>
    <xf numFmtId="0" fontId="44" fillId="29" borderId="180" xfId="0" applyFont="1" applyFill="1" applyBorder="1" applyAlignment="1">
      <alignment horizontal="center" vertical="center"/>
    </xf>
    <xf numFmtId="0" fontId="0" fillId="29" borderId="175" xfId="0" applyFill="1" applyBorder="1" applyAlignment="1">
      <alignment horizontal="left"/>
    </xf>
    <xf numFmtId="0" fontId="51" fillId="29" borderId="10" xfId="0" applyFont="1" applyFill="1" applyBorder="1" applyAlignment="1">
      <alignment horizontal="left" vertical="center"/>
    </xf>
    <xf numFmtId="0" fontId="51" fillId="29" borderId="6" xfId="0" applyFont="1" applyFill="1" applyBorder="1" applyAlignment="1">
      <alignment horizontal="left" vertical="center" wrapText="1"/>
    </xf>
    <xf numFmtId="0" fontId="46" fillId="7" borderId="133" xfId="0" applyFont="1" applyFill="1" applyBorder="1" applyAlignment="1">
      <alignment horizontal="center" vertical="center"/>
    </xf>
    <xf numFmtId="0" fontId="46" fillId="7" borderId="133" xfId="0" applyFont="1" applyFill="1" applyBorder="1" applyAlignment="1">
      <alignment vertical="center"/>
    </xf>
    <xf numFmtId="0" fontId="59" fillId="7" borderId="133" xfId="3" applyFont="1" applyFill="1" applyBorder="1" applyAlignment="1">
      <alignment vertical="center" wrapText="1"/>
    </xf>
    <xf numFmtId="0" fontId="59" fillId="7" borderId="169" xfId="3" applyFont="1" applyFill="1" applyBorder="1" applyAlignment="1">
      <alignment vertical="center" wrapText="1"/>
    </xf>
    <xf numFmtId="0" fontId="46" fillId="7" borderId="133" xfId="0" applyFont="1" applyFill="1" applyBorder="1" applyAlignment="1">
      <alignment vertical="center" wrapText="1"/>
    </xf>
    <xf numFmtId="0" fontId="44" fillId="8" borderId="172" xfId="0" applyFont="1" applyFill="1" applyBorder="1" applyAlignment="1">
      <alignment horizontal="left" vertical="center"/>
    </xf>
    <xf numFmtId="0" fontId="44" fillId="8" borderId="175" xfId="0" applyFont="1" applyFill="1" applyBorder="1" applyAlignment="1">
      <alignment horizontal="left" vertical="center"/>
    </xf>
    <xf numFmtId="0" fontId="44" fillId="21" borderId="175" xfId="0" applyFont="1" applyFill="1" applyBorder="1" applyAlignment="1">
      <alignment horizontal="left" vertical="center"/>
    </xf>
    <xf numFmtId="0" fontId="44" fillId="29" borderId="175" xfId="0" applyFont="1" applyFill="1" applyBorder="1" applyAlignment="1">
      <alignment horizontal="left" vertical="center"/>
    </xf>
    <xf numFmtId="0" fontId="44" fillId="7" borderId="175" xfId="0" applyFont="1" applyFill="1" applyBorder="1" applyAlignment="1">
      <alignment horizontal="left" vertical="center"/>
    </xf>
    <xf numFmtId="0" fontId="44" fillId="16" borderId="175" xfId="0" applyFont="1" applyFill="1" applyBorder="1" applyAlignment="1">
      <alignment horizontal="left" vertical="center"/>
    </xf>
    <xf numFmtId="0" fontId="44" fillId="15" borderId="175" xfId="0" applyFont="1" applyFill="1" applyBorder="1" applyAlignment="1">
      <alignment horizontal="left" vertical="center"/>
    </xf>
    <xf numFmtId="0" fontId="46" fillId="18" borderId="173" xfId="0" applyFont="1" applyFill="1" applyBorder="1" applyAlignment="1">
      <alignment horizontal="center" vertical="center"/>
    </xf>
    <xf numFmtId="0" fontId="44" fillId="18" borderId="173" xfId="0" applyFont="1" applyFill="1" applyBorder="1" applyAlignment="1">
      <alignment horizontal="left" vertical="center"/>
    </xf>
    <xf numFmtId="0" fontId="44" fillId="18" borderId="173" xfId="0" applyFont="1" applyFill="1" applyBorder="1" applyAlignment="1">
      <alignment horizontal="center" vertical="center"/>
    </xf>
    <xf numFmtId="0" fontId="44" fillId="18" borderId="173" xfId="0" quotePrefix="1" applyFont="1" applyFill="1" applyBorder="1" applyAlignment="1">
      <alignment horizontal="center" vertical="center"/>
    </xf>
    <xf numFmtId="0" fontId="44" fillId="18" borderId="181" xfId="0" applyFont="1" applyFill="1" applyBorder="1" applyAlignment="1">
      <alignment horizontal="center" vertical="center"/>
    </xf>
    <xf numFmtId="0" fontId="51" fillId="29" borderId="167" xfId="0" applyFont="1" applyFill="1" applyBorder="1" applyAlignment="1">
      <alignment horizontal="left" vertical="center" wrapText="1"/>
    </xf>
    <xf numFmtId="2" fontId="51" fillId="29" borderId="167" xfId="0" applyNumberFormat="1" applyFont="1" applyFill="1" applyBorder="1" applyAlignment="1">
      <alignment horizontal="center" vertical="center" wrapText="1"/>
    </xf>
    <xf numFmtId="0" fontId="51" fillId="29" borderId="167" xfId="0" applyFont="1" applyFill="1" applyBorder="1" applyAlignment="1">
      <alignment horizontal="center" vertical="center" wrapText="1"/>
    </xf>
    <xf numFmtId="0" fontId="47" fillId="29" borderId="167" xfId="0" applyFont="1" applyFill="1" applyBorder="1" applyAlignment="1">
      <alignment horizontal="left" vertical="center" wrapText="1"/>
    </xf>
    <xf numFmtId="0" fontId="51" fillId="29" borderId="174" xfId="0" applyFont="1" applyFill="1" applyBorder="1" applyAlignment="1">
      <alignment horizontal="left"/>
    </xf>
    <xf numFmtId="0" fontId="47" fillId="29" borderId="175" xfId="0" applyFont="1" applyFill="1" applyBorder="1" applyAlignment="1">
      <alignment horizontal="left" vertical="center" wrapText="1"/>
    </xf>
    <xf numFmtId="0" fontId="47" fillId="29" borderId="108" xfId="0" applyFont="1" applyFill="1" applyBorder="1" applyAlignment="1">
      <alignment horizontal="left" vertical="center" wrapText="1"/>
    </xf>
    <xf numFmtId="0" fontId="46" fillId="8" borderId="182" xfId="0" applyFont="1" applyFill="1" applyBorder="1" applyAlignment="1">
      <alignment horizontal="center" vertical="center"/>
    </xf>
    <xf numFmtId="0" fontId="44" fillId="8" borderId="182" xfId="0" applyFont="1" applyFill="1" applyBorder="1" applyAlignment="1">
      <alignment horizontal="left" vertical="center"/>
    </xf>
    <xf numFmtId="0" fontId="44" fillId="8" borderId="182" xfId="0" quotePrefix="1" applyFont="1" applyFill="1" applyBorder="1" applyAlignment="1">
      <alignment horizontal="center" vertical="center"/>
    </xf>
    <xf numFmtId="0" fontId="44" fillId="8" borderId="182" xfId="0" applyFont="1" applyFill="1" applyBorder="1" applyAlignment="1">
      <alignment horizontal="center" vertical="center"/>
    </xf>
    <xf numFmtId="0" fontId="46" fillId="21" borderId="182" xfId="0" applyFont="1" applyFill="1" applyBorder="1" applyAlignment="1">
      <alignment horizontal="center" vertical="center"/>
    </xf>
    <xf numFmtId="0" fontId="44" fillId="21" borderId="182" xfId="0" applyFont="1" applyFill="1" applyBorder="1" applyAlignment="1">
      <alignment horizontal="left" vertical="center"/>
    </xf>
    <xf numFmtId="0" fontId="44" fillId="21" borderId="182" xfId="0" applyFont="1" applyFill="1" applyBorder="1" applyAlignment="1">
      <alignment horizontal="center" vertical="center"/>
    </xf>
    <xf numFmtId="0" fontId="44" fillId="21" borderId="182" xfId="0" quotePrefix="1" applyFont="1" applyFill="1" applyBorder="1" applyAlignment="1">
      <alignment horizontal="center" vertical="center"/>
    </xf>
    <xf numFmtId="0" fontId="46" fillId="11" borderId="182" xfId="0" applyFont="1" applyFill="1" applyBorder="1" applyAlignment="1">
      <alignment horizontal="center" vertical="center"/>
    </xf>
    <xf numFmtId="0" fontId="44" fillId="11" borderId="182" xfId="0" applyFont="1" applyFill="1" applyBorder="1" applyAlignment="1">
      <alignment horizontal="left" vertical="center"/>
    </xf>
    <xf numFmtId="0" fontId="44" fillId="11" borderId="182" xfId="0" applyFont="1" applyFill="1" applyBorder="1" applyAlignment="1">
      <alignment horizontal="center" vertical="center"/>
    </xf>
    <xf numFmtId="0" fontId="44" fillId="11" borderId="182" xfId="0" quotePrefix="1" applyFont="1" applyFill="1" applyBorder="1" applyAlignment="1">
      <alignment horizontal="center" vertical="center"/>
    </xf>
    <xf numFmtId="0" fontId="55" fillId="11" borderId="182" xfId="0" applyFont="1" applyFill="1" applyBorder="1" applyAlignment="1">
      <alignment horizontal="center" vertical="center"/>
    </xf>
    <xf numFmtId="0" fontId="0" fillId="11" borderId="182" xfId="0" applyFill="1" applyBorder="1" applyAlignment="1">
      <alignment horizontal="left" vertical="center"/>
    </xf>
    <xf numFmtId="0" fontId="46" fillId="10" borderId="182" xfId="0" applyFont="1" applyFill="1" applyBorder="1" applyAlignment="1">
      <alignment horizontal="center" vertical="center"/>
    </xf>
    <xf numFmtId="0" fontId="44" fillId="10" borderId="182" xfId="0" applyFont="1" applyFill="1" applyBorder="1" applyAlignment="1">
      <alignment horizontal="left" vertical="center"/>
    </xf>
    <xf numFmtId="0" fontId="44" fillId="10" borderId="182" xfId="0" applyFont="1" applyFill="1" applyBorder="1" applyAlignment="1">
      <alignment horizontal="center" vertical="center"/>
    </xf>
    <xf numFmtId="0" fontId="44" fillId="10" borderId="182" xfId="0" quotePrefix="1" applyFont="1" applyFill="1" applyBorder="1" applyAlignment="1">
      <alignment horizontal="center" vertical="center"/>
    </xf>
    <xf numFmtId="0" fontId="46" fillId="12" borderId="182" xfId="0" applyFont="1" applyFill="1" applyBorder="1" applyAlignment="1">
      <alignment horizontal="center" vertical="center"/>
    </xf>
    <xf numFmtId="0" fontId="44" fillId="12" borderId="182" xfId="0" applyFont="1" applyFill="1" applyBorder="1" applyAlignment="1">
      <alignment horizontal="left" vertical="center"/>
    </xf>
    <xf numFmtId="0" fontId="44" fillId="12" borderId="182" xfId="0" quotePrefix="1" applyFont="1" applyFill="1" applyBorder="1" applyAlignment="1">
      <alignment horizontal="center" vertical="center"/>
    </xf>
    <xf numFmtId="0" fontId="44" fillId="12" borderId="182" xfId="0" applyFont="1" applyFill="1" applyBorder="1" applyAlignment="1">
      <alignment horizontal="center" vertical="center"/>
    </xf>
    <xf numFmtId="0" fontId="46" fillId="18" borderId="182" xfId="0" applyFont="1" applyFill="1" applyBorder="1" applyAlignment="1">
      <alignment horizontal="center" vertical="center"/>
    </xf>
    <xf numFmtId="0" fontId="44" fillId="18" borderId="182" xfId="0" applyFont="1" applyFill="1" applyBorder="1" applyAlignment="1">
      <alignment horizontal="left" vertical="center"/>
    </xf>
    <xf numFmtId="0" fontId="44" fillId="18" borderId="182" xfId="0" applyFont="1" applyFill="1" applyBorder="1" applyAlignment="1">
      <alignment horizontal="center" vertical="center"/>
    </xf>
    <xf numFmtId="0" fontId="44" fillId="18" borderId="182" xfId="0" quotePrefix="1" applyFont="1" applyFill="1" applyBorder="1" applyAlignment="1">
      <alignment horizontal="center" vertical="center"/>
    </xf>
    <xf numFmtId="0" fontId="46" fillId="29" borderId="182" xfId="0" applyFont="1" applyFill="1" applyBorder="1" applyAlignment="1">
      <alignment horizontal="center" vertical="center"/>
    </xf>
    <xf numFmtId="0" fontId="44" fillId="29" borderId="182" xfId="0" applyFont="1" applyFill="1" applyBorder="1" applyAlignment="1">
      <alignment horizontal="left" vertical="center"/>
    </xf>
    <xf numFmtId="0" fontId="44" fillId="29" borderId="182" xfId="0" applyFont="1" applyFill="1" applyBorder="1" applyAlignment="1">
      <alignment horizontal="center" vertical="center"/>
    </xf>
    <xf numFmtId="0" fontId="0" fillId="29" borderId="182" xfId="0" quotePrefix="1" applyFill="1" applyBorder="1" applyAlignment="1">
      <alignment horizontal="center" vertical="center"/>
    </xf>
    <xf numFmtId="0" fontId="47" fillId="29" borderId="182" xfId="0" quotePrefix="1" applyFont="1" applyFill="1" applyBorder="1" applyAlignment="1">
      <alignment horizontal="center" vertical="center"/>
    </xf>
    <xf numFmtId="0" fontId="44" fillId="29" borderId="182" xfId="0" quotePrefix="1" applyFont="1" applyFill="1" applyBorder="1" applyAlignment="1">
      <alignment horizontal="center" vertical="center"/>
    </xf>
    <xf numFmtId="0" fontId="44" fillId="29" borderId="182" xfId="0" applyFont="1" applyFill="1" applyBorder="1" applyAlignment="1">
      <alignment horizontal="left"/>
    </xf>
    <xf numFmtId="0" fontId="0" fillId="29" borderId="182" xfId="0" applyFill="1" applyBorder="1" applyAlignment="1">
      <alignment horizontal="left"/>
    </xf>
    <xf numFmtId="0" fontId="46" fillId="9" borderId="182" xfId="0" applyFont="1" applyFill="1" applyBorder="1" applyAlignment="1">
      <alignment horizontal="center" vertical="center"/>
    </xf>
    <xf numFmtId="0" fontId="44" fillId="9" borderId="182" xfId="0" applyFont="1" applyFill="1" applyBorder="1" applyAlignment="1">
      <alignment horizontal="left" vertical="center"/>
    </xf>
    <xf numFmtId="0" fontId="44" fillId="9" borderId="182" xfId="0" applyFont="1" applyFill="1" applyBorder="1" applyAlignment="1">
      <alignment horizontal="center" vertical="center"/>
    </xf>
    <xf numFmtId="0" fontId="44" fillId="9" borderId="182" xfId="0" quotePrefix="1" applyFont="1" applyFill="1" applyBorder="1" applyAlignment="1">
      <alignment horizontal="center" vertical="center"/>
    </xf>
    <xf numFmtId="16" fontId="44" fillId="9" borderId="182" xfId="0" quotePrefix="1" applyNumberFormat="1" applyFont="1" applyFill="1" applyBorder="1" applyAlignment="1">
      <alignment horizontal="center" vertical="center"/>
    </xf>
    <xf numFmtId="0" fontId="55" fillId="7" borderId="182" xfId="0" applyFont="1" applyFill="1" applyBorder="1" applyAlignment="1">
      <alignment horizontal="center" vertical="center"/>
    </xf>
    <xf numFmtId="0" fontId="47" fillId="7" borderId="182" xfId="0" applyFont="1" applyFill="1" applyBorder="1" applyAlignment="1">
      <alignment horizontal="left" vertical="center"/>
    </xf>
    <xf numFmtId="0" fontId="44" fillId="7" borderId="182" xfId="0" applyFont="1" applyFill="1" applyBorder="1" applyAlignment="1">
      <alignment horizontal="center" vertical="center"/>
    </xf>
    <xf numFmtId="0" fontId="44" fillId="7" borderId="182" xfId="0" quotePrefix="1" applyFont="1" applyFill="1" applyBorder="1" applyAlignment="1">
      <alignment horizontal="center" vertical="center"/>
    </xf>
    <xf numFmtId="0" fontId="47" fillId="7" borderId="182" xfId="3" quotePrefix="1" applyFont="1" applyFill="1" applyBorder="1" applyAlignment="1">
      <alignment horizontal="center" vertical="center"/>
    </xf>
    <xf numFmtId="0" fontId="44" fillId="7" borderId="182" xfId="0" applyFont="1" applyFill="1" applyBorder="1" applyAlignment="1">
      <alignment horizontal="left" vertical="center"/>
    </xf>
    <xf numFmtId="0" fontId="46" fillId="16" borderId="182" xfId="0" applyFont="1" applyFill="1" applyBorder="1" applyAlignment="1">
      <alignment horizontal="center" vertical="center"/>
    </xf>
    <xf numFmtId="0" fontId="44" fillId="16" borderId="182" xfId="0" applyFont="1" applyFill="1" applyBorder="1" applyAlignment="1">
      <alignment horizontal="left" vertical="center"/>
    </xf>
    <xf numFmtId="0" fontId="44" fillId="16" borderId="182" xfId="0" quotePrefix="1" applyFont="1" applyFill="1" applyBorder="1" applyAlignment="1">
      <alignment horizontal="center" vertical="center"/>
    </xf>
    <xf numFmtId="0" fontId="44" fillId="16" borderId="182" xfId="0" applyFont="1" applyFill="1" applyBorder="1" applyAlignment="1">
      <alignment horizontal="center" vertical="center"/>
    </xf>
    <xf numFmtId="0" fontId="47" fillId="16" borderId="182" xfId="3" quotePrefix="1" applyFont="1" applyFill="1" applyBorder="1" applyAlignment="1">
      <alignment horizontal="center" vertical="center"/>
    </xf>
    <xf numFmtId="0" fontId="55" fillId="16" borderId="182" xfId="0" applyFont="1" applyFill="1" applyBorder="1" applyAlignment="1">
      <alignment horizontal="center" vertical="center"/>
    </xf>
    <xf numFmtId="0" fontId="47" fillId="16" borderId="182" xfId="0" applyFont="1" applyFill="1" applyBorder="1" applyAlignment="1">
      <alignment horizontal="left" vertical="center"/>
    </xf>
    <xf numFmtId="0" fontId="27" fillId="9" borderId="182" xfId="0" applyFont="1" applyFill="1" applyBorder="1" applyAlignment="1">
      <alignment horizontal="center" vertical="center"/>
    </xf>
    <xf numFmtId="0" fontId="0" fillId="9" borderId="182" xfId="0" applyFill="1" applyBorder="1" applyAlignment="1">
      <alignment horizontal="left" vertical="center"/>
    </xf>
    <xf numFmtId="0" fontId="0" fillId="9" borderId="182" xfId="0" quotePrefix="1" applyFill="1" applyBorder="1" applyAlignment="1">
      <alignment horizontal="center" vertical="center"/>
    </xf>
    <xf numFmtId="0" fontId="47" fillId="9" borderId="182" xfId="3" quotePrefix="1" applyFont="1" applyFill="1" applyBorder="1" applyAlignment="1">
      <alignment horizontal="center" vertical="center"/>
    </xf>
    <xf numFmtId="0" fontId="0" fillId="9" borderId="182" xfId="0" applyFill="1" applyBorder="1" applyAlignment="1">
      <alignment horizontal="center" vertical="center"/>
    </xf>
    <xf numFmtId="0" fontId="55" fillId="15" borderId="182" xfId="0" applyFont="1" applyFill="1" applyBorder="1" applyAlignment="1">
      <alignment horizontal="center" vertical="center"/>
    </xf>
    <xf numFmtId="0" fontId="47" fillId="15" borderId="182" xfId="0" applyFont="1" applyFill="1" applyBorder="1" applyAlignment="1">
      <alignment horizontal="left" vertical="center"/>
    </xf>
    <xf numFmtId="0" fontId="44" fillId="15" borderId="182" xfId="0" applyFont="1" applyFill="1" applyBorder="1" applyAlignment="1">
      <alignment horizontal="center" vertical="center"/>
    </xf>
    <xf numFmtId="0" fontId="44" fillId="15" borderId="182" xfId="0" quotePrefix="1" applyFont="1" applyFill="1" applyBorder="1" applyAlignment="1">
      <alignment horizontal="center" vertical="center"/>
    </xf>
    <xf numFmtId="0" fontId="44" fillId="15" borderId="182" xfId="0" applyFont="1" applyFill="1" applyBorder="1" applyAlignment="1">
      <alignment horizontal="left" vertical="center"/>
    </xf>
    <xf numFmtId="0" fontId="27" fillId="26" borderId="174" xfId="0" applyFont="1" applyFill="1" applyBorder="1" applyAlignment="1">
      <alignment horizontal="center" vertical="center"/>
    </xf>
    <xf numFmtId="0" fontId="27" fillId="26" borderId="182" xfId="0" applyFont="1" applyFill="1" applyBorder="1" applyAlignment="1">
      <alignment horizontal="center" vertical="center"/>
    </xf>
    <xf numFmtId="0" fontId="0" fillId="26" borderId="182" xfId="0" applyFill="1" applyBorder="1" applyAlignment="1">
      <alignment horizontal="left" vertical="center"/>
    </xf>
    <xf numFmtId="0" fontId="44" fillId="26" borderId="182" xfId="0" applyFont="1" applyFill="1" applyBorder="1" applyAlignment="1">
      <alignment horizontal="center" vertical="center"/>
    </xf>
    <xf numFmtId="0" fontId="44" fillId="26" borderId="182" xfId="0" quotePrefix="1" applyFont="1" applyFill="1" applyBorder="1" applyAlignment="1">
      <alignment horizontal="center" vertical="center"/>
    </xf>
    <xf numFmtId="0" fontId="44" fillId="26" borderId="182" xfId="0" applyFont="1" applyFill="1" applyBorder="1" applyAlignment="1">
      <alignment horizontal="left" vertical="center"/>
    </xf>
    <xf numFmtId="0" fontId="46" fillId="4" borderId="182" xfId="0" applyFont="1" applyFill="1" applyBorder="1" applyAlignment="1">
      <alignment horizontal="center" vertical="center"/>
    </xf>
    <xf numFmtId="0" fontId="44" fillId="4" borderId="182" xfId="0" applyFont="1" applyFill="1" applyBorder="1" applyAlignment="1">
      <alignment horizontal="left" vertical="center"/>
    </xf>
    <xf numFmtId="0" fontId="44" fillId="4" borderId="182" xfId="0" applyFont="1" applyFill="1" applyBorder="1" applyAlignment="1">
      <alignment horizontal="center" vertical="center"/>
    </xf>
    <xf numFmtId="166" fontId="51" fillId="29" borderId="6" xfId="0" applyNumberFormat="1" applyFont="1" applyFill="1" applyBorder="1" applyAlignment="1">
      <alignment horizontal="center" vertical="center" wrapText="1"/>
    </xf>
    <xf numFmtId="166" fontId="51" fillId="29" borderId="84" xfId="0" applyNumberFormat="1" applyFont="1" applyFill="1" applyBorder="1" applyAlignment="1">
      <alignment horizontal="center" vertical="center" wrapText="1"/>
    </xf>
    <xf numFmtId="0" fontId="51" fillId="29" borderId="6" xfId="0" quotePrefix="1" applyFont="1" applyFill="1" applyBorder="1" applyAlignment="1">
      <alignment horizontal="center" vertical="center" wrapText="1"/>
    </xf>
    <xf numFmtId="0" fontId="54" fillId="29" borderId="11" xfId="0" applyFont="1" applyFill="1" applyBorder="1" applyAlignment="1">
      <alignment horizontal="left" vertical="center"/>
    </xf>
    <xf numFmtId="2" fontId="51" fillId="10" borderId="183" xfId="0" applyNumberFormat="1" applyFont="1" applyFill="1" applyBorder="1" applyAlignment="1">
      <alignment horizontal="center" vertical="center" wrapText="1"/>
    </xf>
    <xf numFmtId="0" fontId="44" fillId="27" borderId="139" xfId="0" applyFont="1" applyFill="1" applyBorder="1" applyAlignment="1">
      <alignment horizontal="left" vertical="center" wrapText="1"/>
    </xf>
    <xf numFmtId="0" fontId="47" fillId="27" borderId="139" xfId="0" applyFont="1" applyFill="1" applyBorder="1" applyAlignment="1">
      <alignment horizontal="left" vertical="center" wrapText="1"/>
    </xf>
    <xf numFmtId="0" fontId="0" fillId="0" borderId="0" xfId="0" applyAlignment="1">
      <alignment vertical="center"/>
    </xf>
    <xf numFmtId="165" fontId="47" fillId="27" borderId="139" xfId="0" applyNumberFormat="1" applyFont="1" applyFill="1" applyBorder="1" applyAlignment="1">
      <alignment horizontal="left" vertical="center"/>
    </xf>
    <xf numFmtId="2" fontId="47" fillId="27" borderId="139" xfId="0" applyNumberFormat="1" applyFont="1" applyFill="1" applyBorder="1" applyAlignment="1">
      <alignment horizontal="left" vertical="center"/>
    </xf>
    <xf numFmtId="0" fontId="86" fillId="27" borderId="139" xfId="0" applyFont="1" applyFill="1" applyBorder="1" applyAlignment="1">
      <alignment horizontal="left" vertical="center"/>
    </xf>
    <xf numFmtId="0" fontId="51" fillId="9" borderId="185" xfId="0" applyFont="1" applyFill="1" applyBorder="1" applyAlignment="1">
      <alignment horizontal="left" vertical="center" wrapText="1"/>
    </xf>
    <xf numFmtId="166" fontId="51" fillId="9" borderId="186" xfId="0" applyNumberFormat="1" applyFont="1" applyFill="1" applyBorder="1" applyAlignment="1">
      <alignment horizontal="left" vertical="center" wrapText="1"/>
    </xf>
    <xf numFmtId="166" fontId="51" fillId="9" borderId="186" xfId="0" applyNumberFormat="1" applyFont="1" applyFill="1" applyBorder="1" applyAlignment="1">
      <alignment horizontal="center" vertical="center" wrapText="1"/>
    </xf>
    <xf numFmtId="0" fontId="51" fillId="9" borderId="186" xfId="0" applyFont="1" applyFill="1" applyBorder="1" applyAlignment="1">
      <alignment horizontal="center" vertical="center" wrapText="1"/>
    </xf>
    <xf numFmtId="0" fontId="51" fillId="9" borderId="186" xfId="0" applyFont="1" applyFill="1" applyBorder="1" applyAlignment="1">
      <alignment horizontal="left" vertical="center" wrapText="1"/>
    </xf>
    <xf numFmtId="0" fontId="51" fillId="9" borderId="187" xfId="0" applyFont="1" applyFill="1" applyBorder="1" applyAlignment="1">
      <alignment horizontal="left" vertical="center" wrapText="1"/>
    </xf>
    <xf numFmtId="0" fontId="44" fillId="5" borderId="189" xfId="0" applyFont="1" applyFill="1" applyBorder="1" applyAlignment="1">
      <alignment horizontal="center" vertical="center"/>
    </xf>
    <xf numFmtId="0" fontId="44" fillId="8" borderId="189" xfId="0" quotePrefix="1" applyFont="1" applyFill="1" applyBorder="1" applyAlignment="1">
      <alignment horizontal="center" vertical="center"/>
    </xf>
    <xf numFmtId="0" fontId="44" fillId="21" borderId="189" xfId="0" quotePrefix="1" applyFont="1" applyFill="1" applyBorder="1" applyAlignment="1">
      <alignment horizontal="center" vertical="center"/>
    </xf>
    <xf numFmtId="0" fontId="44" fillId="11" borderId="189" xfId="0" quotePrefix="1" applyFont="1" applyFill="1" applyBorder="1" applyAlignment="1">
      <alignment horizontal="center" vertical="center"/>
    </xf>
    <xf numFmtId="0" fontId="44" fillId="11" borderId="189" xfId="0" applyFont="1" applyFill="1" applyBorder="1" applyAlignment="1">
      <alignment horizontal="center" vertical="center"/>
    </xf>
    <xf numFmtId="0" fontId="44" fillId="10" borderId="189" xfId="0" quotePrefix="1" applyFont="1" applyFill="1" applyBorder="1" applyAlignment="1">
      <alignment horizontal="center" vertical="center"/>
    </xf>
    <xf numFmtId="0" fontId="44" fillId="10" borderId="189" xfId="0" applyFont="1" applyFill="1" applyBorder="1" applyAlignment="1">
      <alignment horizontal="center" vertical="center"/>
    </xf>
    <xf numFmtId="0" fontId="44" fillId="12" borderId="189" xfId="0" quotePrefix="1" applyFont="1" applyFill="1" applyBorder="1" applyAlignment="1">
      <alignment horizontal="center" vertical="center"/>
    </xf>
    <xf numFmtId="0" fontId="44" fillId="12" borderId="189" xfId="0" applyFont="1" applyFill="1" applyBorder="1" applyAlignment="1">
      <alignment horizontal="center" vertical="center"/>
    </xf>
    <xf numFmtId="0" fontId="44" fillId="18" borderId="189" xfId="0" quotePrefix="1" applyFont="1" applyFill="1" applyBorder="1" applyAlignment="1">
      <alignment horizontal="center" vertical="center"/>
    </xf>
    <xf numFmtId="0" fontId="44" fillId="18" borderId="189" xfId="0" applyFont="1" applyFill="1" applyBorder="1" applyAlignment="1">
      <alignment horizontal="center" vertical="center"/>
    </xf>
    <xf numFmtId="0" fontId="44" fillId="29" borderId="189" xfId="0" applyFont="1" applyFill="1" applyBorder="1" applyAlignment="1">
      <alignment horizontal="center" vertical="center"/>
    </xf>
    <xf numFmtId="0" fontId="44" fillId="9" borderId="189" xfId="0" applyFont="1" applyFill="1" applyBorder="1" applyAlignment="1">
      <alignment horizontal="center" vertical="center"/>
    </xf>
    <xf numFmtId="0" fontId="44" fillId="7" borderId="189" xfId="0" applyFont="1" applyFill="1" applyBorder="1" applyAlignment="1">
      <alignment horizontal="center" vertical="center"/>
    </xf>
    <xf numFmtId="0" fontId="44" fillId="7" borderId="189" xfId="0" quotePrefix="1" applyFont="1" applyFill="1" applyBorder="1" applyAlignment="1">
      <alignment horizontal="center" vertical="center"/>
    </xf>
    <xf numFmtId="0" fontId="44" fillId="16" borderId="189" xfId="0" quotePrefix="1" applyFont="1" applyFill="1" applyBorder="1" applyAlignment="1">
      <alignment horizontal="center" vertical="center"/>
    </xf>
    <xf numFmtId="0" fontId="44" fillId="9" borderId="189" xfId="0" quotePrefix="1" applyFont="1" applyFill="1" applyBorder="1" applyAlignment="1">
      <alignment horizontal="center" vertical="center"/>
    </xf>
    <xf numFmtId="0" fontId="44" fillId="15" borderId="189" xfId="0" quotePrefix="1" applyFont="1" applyFill="1" applyBorder="1" applyAlignment="1">
      <alignment horizontal="center" vertical="center"/>
    </xf>
    <xf numFmtId="0" fontId="44" fillId="26" borderId="189" xfId="0" quotePrefix="1" applyFont="1" applyFill="1" applyBorder="1" applyAlignment="1">
      <alignment horizontal="center" vertical="center"/>
    </xf>
    <xf numFmtId="0" fontId="44" fillId="4" borderId="189" xfId="0" applyFont="1" applyFill="1" applyBorder="1" applyAlignment="1">
      <alignment horizontal="center" vertical="center"/>
    </xf>
    <xf numFmtId="0" fontId="44" fillId="18" borderId="188" xfId="0" applyFont="1" applyFill="1" applyBorder="1" applyAlignment="1">
      <alignment horizontal="center" vertical="center"/>
    </xf>
    <xf numFmtId="0" fontId="44" fillId="5" borderId="171" xfId="0" applyFont="1" applyFill="1" applyBorder="1" applyAlignment="1">
      <alignment horizontal="center" vertical="center"/>
    </xf>
    <xf numFmtId="0" fontId="47" fillId="5" borderId="189" xfId="0" applyFont="1" applyFill="1" applyBorder="1" applyAlignment="1">
      <alignment horizontal="center" vertical="center"/>
    </xf>
    <xf numFmtId="0" fontId="44" fillId="5" borderId="188" xfId="0" applyFont="1" applyFill="1" applyBorder="1" applyAlignment="1">
      <alignment horizontal="center" vertical="center"/>
    </xf>
    <xf numFmtId="0" fontId="27" fillId="7" borderId="122" xfId="0" applyFont="1" applyFill="1" applyBorder="1" applyAlignment="1">
      <alignment horizontal="left" vertical="center" wrapText="1"/>
    </xf>
    <xf numFmtId="0" fontId="27" fillId="7" borderId="194" xfId="0" applyFont="1" applyFill="1" applyBorder="1" applyAlignment="1">
      <alignment horizontal="left" vertical="center" wrapText="1"/>
    </xf>
    <xf numFmtId="0" fontId="27" fillId="7" borderId="201" xfId="0" applyFont="1" applyFill="1" applyBorder="1" applyAlignment="1">
      <alignment horizontal="left" vertical="center" wrapText="1"/>
    </xf>
    <xf numFmtId="0" fontId="47" fillId="10" borderId="89" xfId="0" quotePrefix="1" applyFont="1" applyFill="1" applyBorder="1" applyAlignment="1">
      <alignment horizontal="left" vertical="center"/>
    </xf>
    <xf numFmtId="0" fontId="47" fillId="10" borderId="139" xfId="0" quotePrefix="1" applyFont="1" applyFill="1" applyBorder="1" applyAlignment="1">
      <alignment horizontal="left" vertical="center" wrapText="1"/>
    </xf>
    <xf numFmtId="2" fontId="47" fillId="10" borderId="139" xfId="0" applyNumberFormat="1" applyFont="1" applyFill="1" applyBorder="1" applyAlignment="1">
      <alignment horizontal="left" vertical="center"/>
    </xf>
    <xf numFmtId="0" fontId="47" fillId="10" borderId="139" xfId="0" quotePrefix="1" applyFont="1" applyFill="1" applyBorder="1" applyAlignment="1">
      <alignment horizontal="left" vertical="center"/>
    </xf>
    <xf numFmtId="0" fontId="47" fillId="10" borderId="139" xfId="0" applyFont="1" applyFill="1" applyBorder="1" applyAlignment="1">
      <alignment horizontal="left" vertical="center"/>
    </xf>
    <xf numFmtId="0" fontId="47" fillId="10" borderId="90" xfId="0" applyFont="1" applyFill="1" applyBorder="1" applyAlignment="1">
      <alignment horizontal="left" vertical="center"/>
    </xf>
    <xf numFmtId="0" fontId="47" fillId="10" borderId="190" xfId="0" quotePrefix="1" applyFont="1" applyFill="1" applyBorder="1" applyAlignment="1">
      <alignment horizontal="left" vertical="center"/>
    </xf>
    <xf numFmtId="0" fontId="47" fillId="10" borderId="191" xfId="0" quotePrefix="1" applyFont="1" applyFill="1" applyBorder="1" applyAlignment="1">
      <alignment horizontal="left" vertical="center" wrapText="1"/>
    </xf>
    <xf numFmtId="166" fontId="47" fillId="10" borderId="191" xfId="0" applyNumberFormat="1" applyFont="1" applyFill="1" applyBorder="1" applyAlignment="1">
      <alignment horizontal="left" vertical="center"/>
    </xf>
    <xf numFmtId="0" fontId="47" fillId="10" borderId="191" xfId="0" quotePrefix="1" applyFont="1" applyFill="1" applyBorder="1" applyAlignment="1">
      <alignment horizontal="left" vertical="center"/>
    </xf>
    <xf numFmtId="0" fontId="47" fillId="10" borderId="191" xfId="0" applyFont="1" applyFill="1" applyBorder="1" applyAlignment="1">
      <alignment horizontal="left" vertical="center"/>
    </xf>
    <xf numFmtId="0" fontId="47" fillId="10" borderId="192" xfId="0" applyFont="1" applyFill="1" applyBorder="1" applyAlignment="1">
      <alignment horizontal="left" vertical="center"/>
    </xf>
    <xf numFmtId="0" fontId="47" fillId="10" borderId="191" xfId="0" applyFont="1" applyFill="1" applyBorder="1" applyAlignment="1">
      <alignment horizontal="left" vertical="center" wrapText="1"/>
    </xf>
    <xf numFmtId="0" fontId="47" fillId="10" borderId="190" xfId="0" applyFont="1" applyFill="1" applyBorder="1" applyAlignment="1">
      <alignment horizontal="left" vertical="center"/>
    </xf>
    <xf numFmtId="164" fontId="47" fillId="10" borderId="191" xfId="0" applyNumberFormat="1" applyFont="1" applyFill="1" applyBorder="1" applyAlignment="1">
      <alignment horizontal="left" vertical="center"/>
    </xf>
    <xf numFmtId="165" fontId="47" fillId="10" borderId="191" xfId="0" applyNumberFormat="1" applyFont="1" applyFill="1" applyBorder="1" applyAlignment="1">
      <alignment horizontal="left" vertical="center"/>
    </xf>
    <xf numFmtId="2" fontId="47" fillId="10" borderId="191" xfId="0" applyNumberFormat="1" applyFont="1" applyFill="1" applyBorder="1" applyAlignment="1">
      <alignment horizontal="left" vertical="center"/>
    </xf>
    <xf numFmtId="0" fontId="47" fillId="10" borderId="106" xfId="0" quotePrefix="1" applyFont="1" applyFill="1" applyBorder="1" applyAlignment="1">
      <alignment horizontal="left" vertical="center"/>
    </xf>
    <xf numFmtId="0" fontId="47" fillId="10" borderId="193" xfId="0" quotePrefix="1" applyFont="1" applyFill="1" applyBorder="1" applyAlignment="1">
      <alignment horizontal="left" vertical="center" wrapText="1"/>
    </xf>
    <xf numFmtId="164" fontId="47" fillId="10" borderId="193" xfId="0" applyNumberFormat="1" applyFont="1" applyFill="1" applyBorder="1" applyAlignment="1">
      <alignment horizontal="left" vertical="center"/>
    </xf>
    <xf numFmtId="0" fontId="51" fillId="10" borderId="193" xfId="0" applyFont="1" applyFill="1" applyBorder="1" applyAlignment="1">
      <alignment horizontal="left" vertical="center" wrapText="1"/>
    </xf>
    <xf numFmtId="0" fontId="47" fillId="10" borderId="193" xfId="0" quotePrefix="1" applyFont="1" applyFill="1" applyBorder="1" applyAlignment="1">
      <alignment horizontal="left" vertical="center"/>
    </xf>
    <xf numFmtId="0" fontId="47" fillId="10" borderId="193" xfId="0" applyFont="1" applyFill="1" applyBorder="1" applyAlignment="1">
      <alignment horizontal="left" vertical="center"/>
    </xf>
    <xf numFmtId="0" fontId="47" fillId="10" borderId="108" xfId="0" applyFont="1" applyFill="1" applyBorder="1" applyAlignment="1">
      <alignment horizontal="left" vertical="center"/>
    </xf>
    <xf numFmtId="0" fontId="47" fillId="8" borderId="205" xfId="0" quotePrefix="1" applyFont="1" applyFill="1" applyBorder="1" applyAlignment="1">
      <alignment horizontal="left" vertical="center"/>
    </xf>
    <xf numFmtId="0" fontId="47" fillId="8" borderId="206" xfId="0" quotePrefix="1" applyFont="1" applyFill="1" applyBorder="1" applyAlignment="1">
      <alignment horizontal="left" vertical="center" wrapText="1"/>
    </xf>
    <xf numFmtId="164" fontId="47" fillId="8" borderId="206" xfId="0" applyNumberFormat="1" applyFont="1" applyFill="1" applyBorder="1" applyAlignment="1">
      <alignment horizontal="left" vertical="center"/>
    </xf>
    <xf numFmtId="0" fontId="47" fillId="8" borderId="206" xfId="0" quotePrefix="1" applyFont="1" applyFill="1" applyBorder="1" applyAlignment="1">
      <alignment horizontal="left" vertical="center"/>
    </xf>
    <xf numFmtId="0" fontId="47" fillId="8" borderId="206" xfId="0" applyFont="1" applyFill="1" applyBorder="1" applyAlignment="1">
      <alignment horizontal="left" vertical="center"/>
    </xf>
    <xf numFmtId="0" fontId="47" fillId="8" borderId="207" xfId="0" applyFont="1" applyFill="1" applyBorder="1" applyAlignment="1">
      <alignment horizontal="left" vertical="center"/>
    </xf>
    <xf numFmtId="0" fontId="47" fillId="8" borderId="190" xfId="0" quotePrefix="1" applyFont="1" applyFill="1" applyBorder="1" applyAlignment="1">
      <alignment horizontal="left" vertical="center"/>
    </xf>
    <xf numFmtId="0" fontId="47" fillId="8" borderId="191" xfId="0" quotePrefix="1" applyFont="1" applyFill="1" applyBorder="1" applyAlignment="1">
      <alignment horizontal="left" vertical="center" wrapText="1"/>
    </xf>
    <xf numFmtId="2" fontId="47" fillId="8" borderId="191" xfId="0" applyNumberFormat="1" applyFont="1" applyFill="1" applyBorder="1" applyAlignment="1">
      <alignment horizontal="left" vertical="center"/>
    </xf>
    <xf numFmtId="0" fontId="47" fillId="8" borderId="191" xfId="0" quotePrefix="1" applyFont="1" applyFill="1" applyBorder="1" applyAlignment="1">
      <alignment horizontal="left" vertical="center"/>
    </xf>
    <xf numFmtId="0" fontId="47" fillId="8" borderId="191" xfId="0" applyFont="1" applyFill="1" applyBorder="1" applyAlignment="1">
      <alignment horizontal="left" vertical="center"/>
    </xf>
    <xf numFmtId="0" fontId="47" fillId="8" borderId="192" xfId="0" applyFont="1" applyFill="1" applyBorder="1" applyAlignment="1">
      <alignment horizontal="left" vertical="center"/>
    </xf>
    <xf numFmtId="166" fontId="47" fillId="8" borderId="191" xfId="0" applyNumberFormat="1" applyFont="1" applyFill="1" applyBorder="1" applyAlignment="1">
      <alignment horizontal="left" vertical="center"/>
    </xf>
    <xf numFmtId="165" fontId="47" fillId="8" borderId="191" xfId="0" applyNumberFormat="1" applyFont="1" applyFill="1" applyBorder="1" applyAlignment="1">
      <alignment horizontal="left" vertical="center"/>
    </xf>
    <xf numFmtId="0" fontId="47" fillId="8" borderId="190" xfId="0" applyFont="1" applyFill="1" applyBorder="1" applyAlignment="1">
      <alignment horizontal="left" vertical="center"/>
    </xf>
    <xf numFmtId="0" fontId="47" fillId="8" borderId="191" xfId="0" applyFont="1" applyFill="1" applyBorder="1" applyAlignment="1">
      <alignment horizontal="left" vertical="center" wrapText="1"/>
    </xf>
    <xf numFmtId="1" fontId="47" fillId="8" borderId="191" xfId="0" applyNumberFormat="1" applyFont="1" applyFill="1" applyBorder="1" applyAlignment="1">
      <alignment horizontal="left" vertical="center"/>
    </xf>
    <xf numFmtId="0" fontId="47" fillId="8" borderId="193" xfId="0" quotePrefix="1" applyFont="1" applyFill="1" applyBorder="1" applyAlignment="1">
      <alignment horizontal="left" vertical="center" wrapText="1"/>
    </xf>
    <xf numFmtId="1" fontId="47" fillId="8" borderId="193" xfId="0" applyNumberFormat="1" applyFont="1" applyFill="1" applyBorder="1" applyAlignment="1">
      <alignment horizontal="left" vertical="center"/>
    </xf>
    <xf numFmtId="0" fontId="47" fillId="8" borderId="193" xfId="0" quotePrefix="1" applyFont="1" applyFill="1" applyBorder="1" applyAlignment="1">
      <alignment horizontal="left" vertical="center"/>
    </xf>
    <xf numFmtId="0" fontId="47" fillId="8" borderId="193" xfId="0" applyFont="1" applyFill="1" applyBorder="1" applyAlignment="1">
      <alignment horizontal="left" vertical="center"/>
    </xf>
    <xf numFmtId="0" fontId="47" fillId="23" borderId="89" xfId="0" quotePrefix="1" applyFont="1" applyFill="1" applyBorder="1" applyAlignment="1">
      <alignment horizontal="left" vertical="center"/>
    </xf>
    <xf numFmtId="0" fontId="47" fillId="23" borderId="139" xfId="0" quotePrefix="1" applyFont="1" applyFill="1" applyBorder="1" applyAlignment="1">
      <alignment horizontal="left" vertical="center" wrapText="1"/>
    </xf>
    <xf numFmtId="2" fontId="47" fillId="23" borderId="139" xfId="0" applyNumberFormat="1" applyFont="1" applyFill="1" applyBorder="1" applyAlignment="1">
      <alignment horizontal="left" vertical="center"/>
    </xf>
    <xf numFmtId="0" fontId="47" fillId="23" borderId="139" xfId="0" applyFont="1" applyFill="1" applyBorder="1" applyAlignment="1">
      <alignment horizontal="left" vertical="center" wrapText="1"/>
    </xf>
    <xf numFmtId="0" fontId="47" fillId="23" borderId="139" xfId="0" quotePrefix="1" applyFont="1" applyFill="1" applyBorder="1" applyAlignment="1">
      <alignment horizontal="left" vertical="center"/>
    </xf>
    <xf numFmtId="0" fontId="47" fillId="23" borderId="139" xfId="0" applyFont="1" applyFill="1" applyBorder="1" applyAlignment="1">
      <alignment horizontal="left" vertical="center"/>
    </xf>
    <xf numFmtId="0" fontId="47" fillId="23" borderId="90" xfId="0" applyFont="1" applyFill="1" applyBorder="1" applyAlignment="1">
      <alignment horizontal="left" vertical="center"/>
    </xf>
    <xf numFmtId="0" fontId="47" fillId="23" borderId="190" xfId="0" quotePrefix="1" applyFont="1" applyFill="1" applyBorder="1" applyAlignment="1">
      <alignment horizontal="left" vertical="center"/>
    </xf>
    <xf numFmtId="0" fontId="47" fillId="23" borderId="191" xfId="0" quotePrefix="1" applyFont="1" applyFill="1" applyBorder="1" applyAlignment="1">
      <alignment horizontal="left" vertical="center" wrapText="1"/>
    </xf>
    <xf numFmtId="166" fontId="47" fillId="23" borderId="191" xfId="0" applyNumberFormat="1" applyFont="1" applyFill="1" applyBorder="1" applyAlignment="1">
      <alignment horizontal="left" vertical="center"/>
    </xf>
    <xf numFmtId="0" fontId="47" fillId="23" borderId="191" xfId="0" applyFont="1" applyFill="1" applyBorder="1" applyAlignment="1">
      <alignment horizontal="left" vertical="center" wrapText="1"/>
    </xf>
    <xf numFmtId="0" fontId="47" fillId="23" borderId="191" xfId="0" quotePrefix="1" applyFont="1" applyFill="1" applyBorder="1" applyAlignment="1">
      <alignment horizontal="left" vertical="center"/>
    </xf>
    <xf numFmtId="0" fontId="47" fillId="23" borderId="191" xfId="0" applyFont="1" applyFill="1" applyBorder="1" applyAlignment="1">
      <alignment horizontal="left" vertical="center"/>
    </xf>
    <xf numFmtId="0" fontId="47" fillId="23" borderId="192" xfId="0" applyFont="1" applyFill="1" applyBorder="1" applyAlignment="1">
      <alignment horizontal="left" vertical="center"/>
    </xf>
    <xf numFmtId="165" fontId="47" fillId="23" borderId="191" xfId="0" applyNumberFormat="1" applyFont="1" applyFill="1" applyBorder="1" applyAlignment="1">
      <alignment horizontal="left" vertical="center"/>
    </xf>
    <xf numFmtId="0" fontId="47" fillId="23" borderId="106" xfId="0" quotePrefix="1" applyFont="1" applyFill="1" applyBorder="1" applyAlignment="1">
      <alignment horizontal="left" vertical="center"/>
    </xf>
    <xf numFmtId="0" fontId="47" fillId="23" borderId="193" xfId="0" quotePrefix="1" applyFont="1" applyFill="1" applyBorder="1" applyAlignment="1">
      <alignment horizontal="left" vertical="center" wrapText="1"/>
    </xf>
    <xf numFmtId="165" fontId="47" fillId="23" borderId="193" xfId="0" applyNumberFormat="1" applyFont="1" applyFill="1" applyBorder="1" applyAlignment="1">
      <alignment horizontal="left" vertical="center"/>
    </xf>
    <xf numFmtId="0" fontId="47" fillId="23" borderId="193" xfId="0" applyFont="1" applyFill="1" applyBorder="1" applyAlignment="1">
      <alignment horizontal="left" vertical="center" wrapText="1"/>
    </xf>
    <xf numFmtId="0" fontId="47" fillId="23" borderId="193" xfId="0" quotePrefix="1" applyFont="1" applyFill="1" applyBorder="1" applyAlignment="1">
      <alignment horizontal="left" vertical="center"/>
    </xf>
    <xf numFmtId="0" fontId="47" fillId="23" borderId="193" xfId="0" applyFont="1" applyFill="1" applyBorder="1" applyAlignment="1">
      <alignment horizontal="left" vertical="center"/>
    </xf>
    <xf numFmtId="0" fontId="47" fillId="23" borderId="108" xfId="0" applyFont="1" applyFill="1" applyBorder="1" applyAlignment="1">
      <alignment horizontal="left" vertical="center"/>
    </xf>
    <xf numFmtId="0" fontId="47" fillId="11" borderId="139" xfId="0" quotePrefix="1" applyFont="1" applyFill="1" applyBorder="1" applyAlignment="1">
      <alignment horizontal="left" vertical="center" wrapText="1"/>
    </xf>
    <xf numFmtId="0" fontId="47" fillId="11" borderId="139" xfId="0" applyFont="1" applyFill="1" applyBorder="1" applyAlignment="1">
      <alignment horizontal="left" vertical="center"/>
    </xf>
    <xf numFmtId="0" fontId="47" fillId="11" borderId="139" xfId="0" quotePrefix="1" applyFont="1" applyFill="1" applyBorder="1" applyAlignment="1">
      <alignment horizontal="left" vertical="center"/>
    </xf>
    <xf numFmtId="0" fontId="47" fillId="11" borderId="190" xfId="0" quotePrefix="1" applyFont="1" applyFill="1" applyBorder="1" applyAlignment="1">
      <alignment horizontal="left" vertical="center"/>
    </xf>
    <xf numFmtId="0" fontId="47" fillId="11" borderId="191" xfId="0" quotePrefix="1" applyFont="1" applyFill="1" applyBorder="1" applyAlignment="1">
      <alignment horizontal="left" vertical="center" wrapText="1"/>
    </xf>
    <xf numFmtId="0" fontId="47" fillId="11" borderId="191" xfId="0" applyFont="1" applyFill="1" applyBorder="1" applyAlignment="1">
      <alignment horizontal="left" vertical="center"/>
    </xf>
    <xf numFmtId="0" fontId="47" fillId="11" borderId="191" xfId="0" quotePrefix="1" applyFont="1" applyFill="1" applyBorder="1" applyAlignment="1">
      <alignment horizontal="left" vertical="center"/>
    </xf>
    <xf numFmtId="0" fontId="47" fillId="11" borderId="192" xfId="0" applyFont="1" applyFill="1" applyBorder="1" applyAlignment="1">
      <alignment horizontal="left" vertical="center"/>
    </xf>
    <xf numFmtId="164" fontId="47" fillId="11" borderId="191" xfId="0" applyNumberFormat="1" applyFont="1" applyFill="1" applyBorder="1" applyAlignment="1">
      <alignment horizontal="left" vertical="center"/>
    </xf>
    <xf numFmtId="2" fontId="47" fillId="11" borderId="191" xfId="0" applyNumberFormat="1" applyFont="1" applyFill="1" applyBorder="1" applyAlignment="1">
      <alignment horizontal="left" vertical="center"/>
    </xf>
    <xf numFmtId="0" fontId="47" fillId="11" borderId="190" xfId="0" applyFont="1" applyFill="1" applyBorder="1" applyAlignment="1">
      <alignment horizontal="left" vertical="center"/>
    </xf>
    <xf numFmtId="166" fontId="47" fillId="11" borderId="191" xfId="0" applyNumberFormat="1" applyFont="1" applyFill="1" applyBorder="1" applyAlignment="1">
      <alignment horizontal="left" vertical="center"/>
    </xf>
    <xf numFmtId="0" fontId="47" fillId="11" borderId="191" xfId="0" applyFont="1" applyFill="1" applyBorder="1" applyAlignment="1">
      <alignment horizontal="left" vertical="center" wrapText="1"/>
    </xf>
    <xf numFmtId="0" fontId="47" fillId="11" borderId="106" xfId="0" applyFont="1" applyFill="1" applyBorder="1" applyAlignment="1">
      <alignment horizontal="left" vertical="center"/>
    </xf>
    <xf numFmtId="0" fontId="47" fillId="11" borderId="193" xfId="0" quotePrefix="1" applyFont="1" applyFill="1" applyBorder="1" applyAlignment="1">
      <alignment horizontal="left" vertical="center" wrapText="1"/>
    </xf>
    <xf numFmtId="0" fontId="47" fillId="11" borderId="193" xfId="0" applyFont="1" applyFill="1" applyBorder="1" applyAlignment="1">
      <alignment horizontal="left" vertical="center"/>
    </xf>
    <xf numFmtId="0" fontId="47" fillId="11" borderId="193" xfId="0" quotePrefix="1" applyFont="1" applyFill="1" applyBorder="1" applyAlignment="1">
      <alignment horizontal="left" vertical="center"/>
    </xf>
    <xf numFmtId="0" fontId="47" fillId="11" borderId="108" xfId="0" applyFont="1" applyFill="1" applyBorder="1" applyAlignment="1">
      <alignment horizontal="left" vertical="center"/>
    </xf>
    <xf numFmtId="0" fontId="47" fillId="12" borderId="205" xfId="0" quotePrefix="1" applyFont="1" applyFill="1" applyBorder="1" applyAlignment="1">
      <alignment horizontal="left" vertical="center"/>
    </xf>
    <xf numFmtId="0" fontId="47" fillId="12" borderId="206" xfId="0" quotePrefix="1" applyFont="1" applyFill="1" applyBorder="1" applyAlignment="1">
      <alignment horizontal="left" vertical="center" wrapText="1"/>
    </xf>
    <xf numFmtId="164" fontId="47" fillId="12" borderId="206" xfId="0" applyNumberFormat="1" applyFont="1" applyFill="1" applyBorder="1" applyAlignment="1">
      <alignment horizontal="left" vertical="center"/>
    </xf>
    <xf numFmtId="0" fontId="47" fillId="12" borderId="206" xfId="0" applyFont="1" applyFill="1" applyBorder="1" applyAlignment="1">
      <alignment horizontal="left" vertical="center" wrapText="1"/>
    </xf>
    <xf numFmtId="0" fontId="47" fillId="12" borderId="206" xfId="0" quotePrefix="1" applyFont="1" applyFill="1" applyBorder="1" applyAlignment="1">
      <alignment horizontal="left" vertical="center"/>
    </xf>
    <xf numFmtId="0" fontId="47" fillId="12" borderId="206" xfId="0" applyFont="1" applyFill="1" applyBorder="1" applyAlignment="1">
      <alignment horizontal="left" vertical="center"/>
    </xf>
    <xf numFmtId="0" fontId="47" fillId="12" borderId="207" xfId="0" applyFont="1" applyFill="1" applyBorder="1" applyAlignment="1">
      <alignment horizontal="left" vertical="center"/>
    </xf>
    <xf numFmtId="0" fontId="47" fillId="12" borderId="190" xfId="0" quotePrefix="1" applyFont="1" applyFill="1" applyBorder="1" applyAlignment="1">
      <alignment horizontal="left" vertical="center"/>
    </xf>
    <xf numFmtId="0" fontId="47" fillId="12" borderId="191" xfId="0" quotePrefix="1" applyFont="1" applyFill="1" applyBorder="1" applyAlignment="1">
      <alignment horizontal="left" vertical="center" wrapText="1"/>
    </xf>
    <xf numFmtId="164" fontId="47" fillId="12" borderId="191" xfId="0" applyNumberFormat="1" applyFont="1" applyFill="1" applyBorder="1" applyAlignment="1">
      <alignment horizontal="left" vertical="center"/>
    </xf>
    <xf numFmtId="0" fontId="47" fillId="12" borderId="191" xfId="0" applyFont="1" applyFill="1" applyBorder="1" applyAlignment="1">
      <alignment horizontal="left" vertical="center" wrapText="1"/>
    </xf>
    <xf numFmtId="0" fontId="47" fillId="12" borderId="191" xfId="0" quotePrefix="1" applyFont="1" applyFill="1" applyBorder="1" applyAlignment="1">
      <alignment horizontal="left" vertical="center"/>
    </xf>
    <xf numFmtId="0" fontId="47" fillId="12" borderId="191" xfId="0" applyFont="1" applyFill="1" applyBorder="1" applyAlignment="1">
      <alignment horizontal="left" vertical="center"/>
    </xf>
    <xf numFmtId="0" fontId="47" fillId="12" borderId="192" xfId="0" applyFont="1" applyFill="1" applyBorder="1" applyAlignment="1">
      <alignment horizontal="left" vertical="center"/>
    </xf>
    <xf numFmtId="0" fontId="47" fillId="12" borderId="193" xfId="0" quotePrefix="1" applyFont="1" applyFill="1" applyBorder="1" applyAlignment="1">
      <alignment horizontal="left" vertical="center" wrapText="1"/>
    </xf>
    <xf numFmtId="0" fontId="47" fillId="12" borderId="193" xfId="0" applyFont="1" applyFill="1" applyBorder="1" applyAlignment="1">
      <alignment horizontal="left" vertical="center"/>
    </xf>
    <xf numFmtId="0" fontId="47" fillId="12" borderId="193" xfId="0" applyFont="1" applyFill="1" applyBorder="1" applyAlignment="1">
      <alignment horizontal="left" vertical="center" wrapText="1"/>
    </xf>
    <xf numFmtId="0" fontId="47" fillId="12" borderId="193" xfId="0" quotePrefix="1" applyFont="1" applyFill="1" applyBorder="1" applyAlignment="1">
      <alignment horizontal="left" vertical="center"/>
    </xf>
    <xf numFmtId="0" fontId="47" fillId="12" borderId="89" xfId="0" quotePrefix="1" applyFont="1" applyFill="1" applyBorder="1" applyAlignment="1">
      <alignment horizontal="left" vertical="center"/>
    </xf>
    <xf numFmtId="0" fontId="47" fillId="12" borderId="139" xfId="0" quotePrefix="1" applyFont="1" applyFill="1" applyBorder="1" applyAlignment="1">
      <alignment horizontal="left" vertical="center" wrapText="1"/>
    </xf>
    <xf numFmtId="2" fontId="47" fillId="12" borderId="139" xfId="0" applyNumberFormat="1" applyFont="1" applyFill="1" applyBorder="1" applyAlignment="1">
      <alignment horizontal="left" vertical="center"/>
    </xf>
    <xf numFmtId="0" fontId="47" fillId="12" borderId="139" xfId="0" applyFont="1" applyFill="1" applyBorder="1" applyAlignment="1">
      <alignment horizontal="left" vertical="center" wrapText="1"/>
    </xf>
    <xf numFmtId="0" fontId="47" fillId="12" borderId="139" xfId="0" quotePrefix="1" applyFont="1" applyFill="1" applyBorder="1" applyAlignment="1">
      <alignment horizontal="left" vertical="center"/>
    </xf>
    <xf numFmtId="0" fontId="47" fillId="12" borderId="139" xfId="0" applyFont="1" applyFill="1" applyBorder="1" applyAlignment="1">
      <alignment horizontal="left" vertical="center"/>
    </xf>
    <xf numFmtId="0" fontId="47" fillId="12" borderId="90" xfId="0" applyFont="1" applyFill="1" applyBorder="1" applyAlignment="1">
      <alignment horizontal="left" vertical="center"/>
    </xf>
    <xf numFmtId="166" fontId="47" fillId="12" borderId="191" xfId="0" applyNumberFormat="1" applyFont="1" applyFill="1" applyBorder="1" applyAlignment="1">
      <alignment horizontal="left" vertical="center"/>
    </xf>
    <xf numFmtId="165" fontId="47" fillId="12" borderId="191" xfId="0" applyNumberFormat="1" applyFont="1" applyFill="1" applyBorder="1" applyAlignment="1">
      <alignment horizontal="left" vertical="center"/>
    </xf>
    <xf numFmtId="165" fontId="47" fillId="12" borderId="193" xfId="0" applyNumberFormat="1" applyFont="1" applyFill="1" applyBorder="1" applyAlignment="1">
      <alignment horizontal="left" vertical="center"/>
    </xf>
    <xf numFmtId="0" fontId="47" fillId="10" borderId="192" xfId="0" applyFont="1" applyFill="1" applyBorder="1" applyAlignment="1">
      <alignment horizontal="left" vertical="center" wrapText="1"/>
    </xf>
    <xf numFmtId="164" fontId="47" fillId="8" borderId="191" xfId="0" applyNumberFormat="1" applyFont="1" applyFill="1" applyBorder="1" applyAlignment="1">
      <alignment horizontal="left" vertical="center"/>
    </xf>
    <xf numFmtId="0" fontId="47" fillId="8" borderId="192" xfId="0" applyFont="1" applyFill="1" applyBorder="1" applyAlignment="1">
      <alignment horizontal="left" vertical="center" wrapText="1"/>
    </xf>
    <xf numFmtId="0" fontId="47" fillId="11" borderId="190" xfId="0" applyFont="1" applyFill="1" applyBorder="1" applyAlignment="1">
      <alignment horizontal="left" vertical="center" wrapText="1"/>
    </xf>
    <xf numFmtId="164" fontId="47" fillId="11" borderId="191" xfId="0" applyNumberFormat="1" applyFont="1" applyFill="1" applyBorder="1" applyAlignment="1">
      <alignment horizontal="left" vertical="center" wrapText="1"/>
    </xf>
    <xf numFmtId="0" fontId="47" fillId="11" borderId="192" xfId="0" applyFont="1" applyFill="1" applyBorder="1" applyAlignment="1">
      <alignment horizontal="left" vertical="center" wrapText="1"/>
    </xf>
    <xf numFmtId="0" fontId="47" fillId="19" borderId="190" xfId="0" applyFont="1" applyFill="1" applyBorder="1" applyAlignment="1">
      <alignment horizontal="left" vertical="center"/>
    </xf>
    <xf numFmtId="0" fontId="47" fillId="19" borderId="191" xfId="0" quotePrefix="1" applyFont="1" applyFill="1" applyBorder="1" applyAlignment="1">
      <alignment horizontal="left" vertical="center" wrapText="1"/>
    </xf>
    <xf numFmtId="164" fontId="47" fillId="19" borderId="191" xfId="0" applyNumberFormat="1" applyFont="1" applyFill="1" applyBorder="1" applyAlignment="1">
      <alignment horizontal="left" vertical="center"/>
    </xf>
    <xf numFmtId="0" fontId="47" fillId="19" borderId="191" xfId="0" quotePrefix="1" applyFont="1" applyFill="1" applyBorder="1" applyAlignment="1">
      <alignment horizontal="left" vertical="center"/>
    </xf>
    <xf numFmtId="0" fontId="47" fillId="19" borderId="191" xfId="0" applyFont="1" applyFill="1" applyBorder="1" applyAlignment="1">
      <alignment horizontal="left" vertical="center"/>
    </xf>
    <xf numFmtId="0" fontId="47" fillId="19" borderId="192" xfId="0" applyFont="1" applyFill="1" applyBorder="1" applyAlignment="1">
      <alignment horizontal="left" vertical="center" wrapText="1"/>
    </xf>
    <xf numFmtId="166" fontId="47" fillId="9" borderId="190" xfId="0" applyNumberFormat="1" applyFont="1" applyFill="1" applyBorder="1" applyAlignment="1">
      <alignment horizontal="left" vertical="center" wrapText="1"/>
    </xf>
    <xf numFmtId="166" fontId="47" fillId="9" borderId="191" xfId="0" applyNumberFormat="1" applyFont="1" applyFill="1" applyBorder="1" applyAlignment="1">
      <alignment horizontal="left" vertical="center" wrapText="1"/>
    </xf>
    <xf numFmtId="164" fontId="47" fillId="9" borderId="191" xfId="0" applyNumberFormat="1" applyFont="1" applyFill="1" applyBorder="1" applyAlignment="1">
      <alignment horizontal="left" vertical="center" wrapText="1"/>
    </xf>
    <xf numFmtId="1" fontId="47" fillId="9" borderId="191" xfId="0" applyNumberFormat="1" applyFont="1" applyFill="1" applyBorder="1" applyAlignment="1">
      <alignment horizontal="left" vertical="center" wrapText="1"/>
    </xf>
    <xf numFmtId="166" fontId="47" fillId="9" borderId="192" xfId="0" applyNumberFormat="1" applyFont="1" applyFill="1" applyBorder="1" applyAlignment="1">
      <alignment horizontal="left" vertical="center" wrapText="1"/>
    </xf>
    <xf numFmtId="166" fontId="47" fillId="9" borderId="193" xfId="0" applyNumberFormat="1" applyFont="1" applyFill="1" applyBorder="1" applyAlignment="1">
      <alignment horizontal="left" vertical="center" wrapText="1"/>
    </xf>
    <xf numFmtId="164" fontId="47" fillId="9" borderId="193" xfId="0" applyNumberFormat="1" applyFont="1" applyFill="1" applyBorder="1" applyAlignment="1">
      <alignment horizontal="left" vertical="center" wrapText="1"/>
    </xf>
    <xf numFmtId="1" fontId="47" fillId="9" borderId="193" xfId="0" applyNumberFormat="1" applyFont="1" applyFill="1" applyBorder="1" applyAlignment="1">
      <alignment horizontal="left" vertical="center" wrapText="1"/>
    </xf>
    <xf numFmtId="166" fontId="47" fillId="9" borderId="108" xfId="0" applyNumberFormat="1" applyFont="1" applyFill="1" applyBorder="1" applyAlignment="1">
      <alignment horizontal="left" vertical="center" wrapText="1"/>
    </xf>
    <xf numFmtId="166" fontId="47" fillId="12" borderId="193" xfId="0" applyNumberFormat="1" applyFont="1" applyFill="1" applyBorder="1" applyAlignment="1">
      <alignment horizontal="left" vertical="center"/>
    </xf>
    <xf numFmtId="0" fontId="47" fillId="8" borderId="89" xfId="0" applyFont="1" applyFill="1" applyBorder="1" applyAlignment="1">
      <alignment horizontal="left" vertical="center"/>
    </xf>
    <xf numFmtId="0" fontId="47" fillId="8" borderId="139" xfId="0" quotePrefix="1" applyFont="1" applyFill="1" applyBorder="1" applyAlignment="1">
      <alignment horizontal="left" vertical="center" wrapText="1"/>
    </xf>
    <xf numFmtId="0" fontId="47" fillId="8" borderId="139" xfId="0" quotePrefix="1" applyFont="1" applyFill="1" applyBorder="1" applyAlignment="1">
      <alignment horizontal="left" vertical="center"/>
    </xf>
    <xf numFmtId="0" fontId="47" fillId="8" borderId="139" xfId="0" applyFont="1" applyFill="1" applyBorder="1" applyAlignment="1">
      <alignment horizontal="left" vertical="center"/>
    </xf>
    <xf numFmtId="0" fontId="47" fillId="8" borderId="90" xfId="0" applyFont="1" applyFill="1" applyBorder="1" applyAlignment="1">
      <alignment horizontal="left" vertical="center"/>
    </xf>
    <xf numFmtId="0" fontId="47" fillId="21" borderId="190" xfId="0" applyFont="1" applyFill="1" applyBorder="1" applyAlignment="1">
      <alignment horizontal="left" vertical="center"/>
    </xf>
    <xf numFmtId="0" fontId="47" fillId="21" borderId="191" xfId="0" quotePrefix="1" applyFont="1" applyFill="1" applyBorder="1" applyAlignment="1">
      <alignment horizontal="left" vertical="center" wrapText="1"/>
    </xf>
    <xf numFmtId="0" fontId="47" fillId="21" borderId="191" xfId="0" quotePrefix="1" applyFont="1" applyFill="1" applyBorder="1" applyAlignment="1">
      <alignment horizontal="left" vertical="center"/>
    </xf>
    <xf numFmtId="0" fontId="47" fillId="21" borderId="191" xfId="0" applyFont="1" applyFill="1" applyBorder="1" applyAlignment="1">
      <alignment horizontal="left" vertical="center"/>
    </xf>
    <xf numFmtId="0" fontId="47" fillId="21" borderId="192" xfId="0" applyFont="1" applyFill="1" applyBorder="1" applyAlignment="1">
      <alignment horizontal="left" vertical="center"/>
    </xf>
    <xf numFmtId="2" fontId="47" fillId="19" borderId="191" xfId="0" applyNumberFormat="1" applyFont="1" applyFill="1" applyBorder="1" applyAlignment="1">
      <alignment horizontal="left" vertical="center"/>
    </xf>
    <xf numFmtId="0" fontId="47" fillId="19" borderId="192" xfId="0" applyFont="1" applyFill="1" applyBorder="1" applyAlignment="1">
      <alignment horizontal="left" vertical="center"/>
    </xf>
    <xf numFmtId="0" fontId="47" fillId="12" borderId="190" xfId="0" applyFont="1" applyFill="1" applyBorder="1" applyAlignment="1">
      <alignment horizontal="left" vertical="center"/>
    </xf>
    <xf numFmtId="0" fontId="47" fillId="18" borderId="190" xfId="0" applyFont="1" applyFill="1" applyBorder="1" applyAlignment="1">
      <alignment horizontal="left" vertical="center"/>
    </xf>
    <xf numFmtId="0" fontId="47" fillId="18" borderId="191" xfId="0" quotePrefix="1" applyFont="1" applyFill="1" applyBorder="1" applyAlignment="1">
      <alignment horizontal="left" vertical="center" wrapText="1"/>
    </xf>
    <xf numFmtId="0" fontId="47" fillId="18" borderId="191" xfId="0" quotePrefix="1" applyFont="1" applyFill="1" applyBorder="1" applyAlignment="1">
      <alignment horizontal="left" vertical="center"/>
    </xf>
    <xf numFmtId="0" fontId="47" fillId="18" borderId="191" xfId="0" applyFont="1" applyFill="1" applyBorder="1" applyAlignment="1">
      <alignment horizontal="left" vertical="center"/>
    </xf>
    <xf numFmtId="0" fontId="47" fillId="18" borderId="192" xfId="0" applyFont="1" applyFill="1" applyBorder="1" applyAlignment="1">
      <alignment horizontal="left" vertical="center"/>
    </xf>
    <xf numFmtId="0" fontId="47" fillId="29" borderId="190" xfId="0" applyFont="1" applyFill="1" applyBorder="1" applyAlignment="1">
      <alignment horizontal="left" vertical="center"/>
    </xf>
    <xf numFmtId="0" fontId="47" fillId="29" borderId="191" xfId="0" quotePrefix="1" applyFont="1" applyFill="1" applyBorder="1" applyAlignment="1">
      <alignment horizontal="left" vertical="center" wrapText="1"/>
    </xf>
    <xf numFmtId="0" fontId="47" fillId="29" borderId="191" xfId="0" quotePrefix="1" applyFont="1" applyFill="1" applyBorder="1" applyAlignment="1">
      <alignment horizontal="left" vertical="center"/>
    </xf>
    <xf numFmtId="0" fontId="47" fillId="29" borderId="191" xfId="0" applyFont="1" applyFill="1" applyBorder="1" applyAlignment="1">
      <alignment horizontal="left" vertical="center"/>
    </xf>
    <xf numFmtId="0" fontId="47" fillId="29" borderId="192" xfId="0" applyFont="1" applyFill="1" applyBorder="1" applyAlignment="1">
      <alignment horizontal="left" vertical="center"/>
    </xf>
    <xf numFmtId="0" fontId="47" fillId="7" borderId="190" xfId="0" applyFont="1" applyFill="1" applyBorder="1" applyAlignment="1">
      <alignment horizontal="left" vertical="center"/>
    </xf>
    <xf numFmtId="0" fontId="47" fillId="7" borderId="191" xfId="0" quotePrefix="1" applyFont="1" applyFill="1" applyBorder="1" applyAlignment="1">
      <alignment horizontal="left" vertical="center" wrapText="1"/>
    </xf>
    <xf numFmtId="0" fontId="47" fillId="7" borderId="191" xfId="0" quotePrefix="1" applyFont="1" applyFill="1" applyBorder="1" applyAlignment="1">
      <alignment horizontal="left" vertical="center"/>
    </xf>
    <xf numFmtId="0" fontId="47" fillId="7" borderId="191" xfId="0" applyFont="1" applyFill="1" applyBorder="1" applyAlignment="1">
      <alignment horizontal="left" vertical="center"/>
    </xf>
    <xf numFmtId="0" fontId="47" fillId="7" borderId="192" xfId="0" applyFont="1" applyFill="1" applyBorder="1" applyAlignment="1">
      <alignment horizontal="left" vertical="center"/>
    </xf>
    <xf numFmtId="0" fontId="56" fillId="7" borderId="190" xfId="0" applyFont="1" applyFill="1" applyBorder="1" applyAlignment="1">
      <alignment horizontal="left" vertical="center"/>
    </xf>
    <xf numFmtId="0" fontId="44" fillId="9" borderId="190" xfId="0" applyFont="1" applyFill="1" applyBorder="1" applyAlignment="1">
      <alignment horizontal="left" vertical="center" wrapText="1"/>
    </xf>
    <xf numFmtId="0" fontId="44" fillId="9" borderId="191" xfId="0" applyFont="1" applyFill="1" applyBorder="1" applyAlignment="1">
      <alignment horizontal="left" vertical="center" wrapText="1"/>
    </xf>
    <xf numFmtId="0" fontId="44" fillId="9" borderId="191" xfId="0" quotePrefix="1" applyFont="1" applyFill="1" applyBorder="1" applyAlignment="1">
      <alignment horizontal="left" vertical="center" wrapText="1"/>
    </xf>
    <xf numFmtId="164" fontId="44" fillId="9" borderId="191" xfId="0" applyNumberFormat="1" applyFont="1" applyFill="1" applyBorder="1" applyAlignment="1">
      <alignment horizontal="left" vertical="center" wrapText="1"/>
    </xf>
    <xf numFmtId="0" fontId="47" fillId="9" borderId="191" xfId="0" applyFont="1" applyFill="1" applyBorder="1" applyAlignment="1">
      <alignment horizontal="left" vertical="center" wrapText="1"/>
    </xf>
    <xf numFmtId="0" fontId="44" fillId="9" borderId="192" xfId="0" applyFont="1" applyFill="1" applyBorder="1" applyAlignment="1">
      <alignment horizontal="left" vertical="center" wrapText="1"/>
    </xf>
    <xf numFmtId="0" fontId="47" fillId="9" borderId="190" xfId="0" applyFont="1" applyFill="1" applyBorder="1" applyAlignment="1">
      <alignment horizontal="left" vertical="center"/>
    </xf>
    <xf numFmtId="0" fontId="47" fillId="9" borderId="191" xfId="0" quotePrefix="1" applyFont="1" applyFill="1" applyBorder="1" applyAlignment="1">
      <alignment horizontal="left" vertical="center"/>
    </xf>
    <xf numFmtId="0" fontId="47" fillId="9" borderId="191" xfId="0" applyFont="1" applyFill="1" applyBorder="1" applyAlignment="1">
      <alignment horizontal="left" vertical="center"/>
    </xf>
    <xf numFmtId="0" fontId="47" fillId="9" borderId="192" xfId="0" quotePrefix="1" applyFont="1" applyFill="1" applyBorder="1" applyAlignment="1">
      <alignment horizontal="left" vertical="center"/>
    </xf>
    <xf numFmtId="0" fontId="47" fillId="9" borderId="191" xfId="0" quotePrefix="1" applyFont="1" applyFill="1" applyBorder="1" applyAlignment="1">
      <alignment horizontal="left" vertical="center" wrapText="1"/>
    </xf>
    <xf numFmtId="0" fontId="47" fillId="9" borderId="192" xfId="0" applyFont="1" applyFill="1" applyBorder="1" applyAlignment="1">
      <alignment horizontal="left" vertical="center"/>
    </xf>
    <xf numFmtId="2" fontId="47" fillId="9" borderId="191" xfId="0" applyNumberFormat="1" applyFont="1" applyFill="1" applyBorder="1" applyAlignment="1">
      <alignment horizontal="left" vertical="center"/>
    </xf>
    <xf numFmtId="0" fontId="47" fillId="9" borderId="193" xfId="0" applyFont="1" applyFill="1" applyBorder="1" applyAlignment="1">
      <alignment horizontal="left" vertical="center" wrapText="1"/>
    </xf>
    <xf numFmtId="2" fontId="47" fillId="9" borderId="193" xfId="0" applyNumberFormat="1" applyFont="1" applyFill="1" applyBorder="1" applyAlignment="1">
      <alignment horizontal="left" vertical="center"/>
    </xf>
    <xf numFmtId="0" fontId="47" fillId="9" borderId="193" xfId="0" quotePrefix="1" applyFont="1" applyFill="1" applyBorder="1" applyAlignment="1">
      <alignment horizontal="left" vertical="center"/>
    </xf>
    <xf numFmtId="0" fontId="47" fillId="9" borderId="193" xfId="0" applyFont="1" applyFill="1" applyBorder="1" applyAlignment="1">
      <alignment horizontal="left" vertical="center"/>
    </xf>
    <xf numFmtId="0" fontId="47" fillId="9" borderId="108" xfId="0" quotePrefix="1" applyFont="1" applyFill="1" applyBorder="1" applyAlignment="1">
      <alignment horizontal="left" vertical="center"/>
    </xf>
    <xf numFmtId="0" fontId="51" fillId="8" borderId="205" xfId="0" applyFont="1" applyFill="1" applyBorder="1" applyAlignment="1">
      <alignment horizontal="left" vertical="center"/>
    </xf>
    <xf numFmtId="0" fontId="51" fillId="8" borderId="206" xfId="0" applyFont="1" applyFill="1" applyBorder="1" applyAlignment="1">
      <alignment horizontal="left" vertical="center" wrapText="1"/>
    </xf>
    <xf numFmtId="0" fontId="51" fillId="8" borderId="206" xfId="0" applyFont="1" applyFill="1" applyBorder="1" applyAlignment="1">
      <alignment horizontal="left" vertical="center"/>
    </xf>
    <xf numFmtId="0" fontId="51" fillId="8" borderId="207" xfId="0" applyFont="1" applyFill="1" applyBorder="1" applyAlignment="1">
      <alignment horizontal="left" vertical="center"/>
    </xf>
    <xf numFmtId="0" fontId="51" fillId="8" borderId="190" xfId="0" applyFont="1" applyFill="1" applyBorder="1" applyAlignment="1">
      <alignment horizontal="left" vertical="center"/>
    </xf>
    <xf numFmtId="0" fontId="51" fillId="8" borderId="191" xfId="0" applyFont="1" applyFill="1" applyBorder="1" applyAlignment="1">
      <alignment horizontal="left" vertical="center" wrapText="1"/>
    </xf>
    <xf numFmtId="0" fontId="51" fillId="8" borderId="191" xfId="0" applyFont="1" applyFill="1" applyBorder="1" applyAlignment="1">
      <alignment horizontal="left" vertical="center"/>
    </xf>
    <xf numFmtId="0" fontId="51" fillId="8" borderId="192" xfId="0" applyFont="1" applyFill="1" applyBorder="1" applyAlignment="1">
      <alignment horizontal="left" vertical="center"/>
    </xf>
    <xf numFmtId="0" fontId="51" fillId="11" borderId="190" xfId="0" applyFont="1" applyFill="1" applyBorder="1" applyAlignment="1">
      <alignment horizontal="left" vertical="center"/>
    </xf>
    <xf numFmtId="0" fontId="51" fillId="11" borderId="191" xfId="0" applyFont="1" applyFill="1" applyBorder="1" applyAlignment="1">
      <alignment horizontal="left" vertical="center" wrapText="1"/>
    </xf>
    <xf numFmtId="0" fontId="51" fillId="11" borderId="191" xfId="0" applyFont="1" applyFill="1" applyBorder="1" applyAlignment="1">
      <alignment horizontal="left" vertical="center"/>
    </xf>
    <xf numFmtId="0" fontId="51" fillId="11" borderId="192" xfId="0" applyFont="1" applyFill="1" applyBorder="1" applyAlignment="1">
      <alignment horizontal="left" vertical="center"/>
    </xf>
    <xf numFmtId="0" fontId="51" fillId="19" borderId="190" xfId="0" applyFont="1" applyFill="1" applyBorder="1" applyAlignment="1">
      <alignment horizontal="left" vertical="center"/>
    </xf>
    <xf numFmtId="0" fontId="51" fillId="19" borderId="191" xfId="0" applyFont="1" applyFill="1" applyBorder="1" applyAlignment="1">
      <alignment horizontal="left" vertical="center" wrapText="1"/>
    </xf>
    <xf numFmtId="0" fontId="51" fillId="19" borderId="191" xfId="0" applyFont="1" applyFill="1" applyBorder="1" applyAlignment="1">
      <alignment horizontal="left" vertical="center"/>
    </xf>
    <xf numFmtId="0" fontId="51" fillId="19" borderId="192" xfId="0" applyFont="1" applyFill="1" applyBorder="1" applyAlignment="1">
      <alignment horizontal="left" vertical="center"/>
    </xf>
    <xf numFmtId="0" fontId="51" fillId="10" borderId="190" xfId="0" applyFont="1" applyFill="1" applyBorder="1" applyAlignment="1">
      <alignment horizontal="left" vertical="center"/>
    </xf>
    <xf numFmtId="0" fontId="51" fillId="10" borderId="191" xfId="0" applyFont="1" applyFill="1" applyBorder="1" applyAlignment="1">
      <alignment horizontal="left" vertical="center" wrapText="1"/>
    </xf>
    <xf numFmtId="0" fontId="51" fillId="10" borderId="191" xfId="0" applyFont="1" applyFill="1" applyBorder="1" applyAlignment="1">
      <alignment horizontal="left" vertical="center"/>
    </xf>
    <xf numFmtId="0" fontId="51" fillId="10" borderId="192" xfId="0" applyFont="1" applyFill="1" applyBorder="1" applyAlignment="1">
      <alignment horizontal="left" vertical="center"/>
    </xf>
    <xf numFmtId="0" fontId="51" fillId="12" borderId="190" xfId="0" applyFont="1" applyFill="1" applyBorder="1" applyAlignment="1">
      <alignment horizontal="left" vertical="center"/>
    </xf>
    <xf numFmtId="0" fontId="51" fillId="12" borderId="191" xfId="0" applyFont="1" applyFill="1" applyBorder="1" applyAlignment="1">
      <alignment horizontal="left" vertical="center" wrapText="1"/>
    </xf>
    <xf numFmtId="0" fontId="51" fillId="12" borderId="191" xfId="0" applyFont="1" applyFill="1" applyBorder="1" applyAlignment="1">
      <alignment horizontal="left" vertical="center"/>
    </xf>
    <xf numFmtId="0" fontId="51" fillId="12" borderId="192" xfId="0" applyFont="1" applyFill="1" applyBorder="1" applyAlignment="1">
      <alignment horizontal="left" vertical="center"/>
    </xf>
    <xf numFmtId="0" fontId="51" fillId="29" borderId="190" xfId="0" applyFont="1" applyFill="1" applyBorder="1" applyAlignment="1">
      <alignment horizontal="left" vertical="center"/>
    </xf>
    <xf numFmtId="0" fontId="51" fillId="29" borderId="191" xfId="0" applyFont="1" applyFill="1" applyBorder="1" applyAlignment="1">
      <alignment horizontal="left" vertical="center" wrapText="1"/>
    </xf>
    <xf numFmtId="0" fontId="51" fillId="29" borderId="191" xfId="0" applyFont="1" applyFill="1" applyBorder="1" applyAlignment="1">
      <alignment horizontal="left" vertical="center"/>
    </xf>
    <xf numFmtId="0" fontId="51" fillId="29" borderId="192" xfId="0" applyFont="1" applyFill="1" applyBorder="1" applyAlignment="1">
      <alignment horizontal="left" vertical="center"/>
    </xf>
    <xf numFmtId="0" fontId="51" fillId="9" borderId="190" xfId="0" applyFont="1" applyFill="1" applyBorder="1" applyAlignment="1">
      <alignment horizontal="left" vertical="center"/>
    </xf>
    <xf numFmtId="0" fontId="51" fillId="9" borderId="191" xfId="0" applyFont="1" applyFill="1" applyBorder="1" applyAlignment="1">
      <alignment horizontal="left" vertical="center" wrapText="1"/>
    </xf>
    <xf numFmtId="0" fontId="51" fillId="9" borderId="191" xfId="0" applyFont="1" applyFill="1" applyBorder="1" applyAlignment="1">
      <alignment horizontal="left" vertical="center"/>
    </xf>
    <xf numFmtId="0" fontId="51" fillId="9" borderId="192" xfId="0" applyFont="1" applyFill="1" applyBorder="1" applyAlignment="1">
      <alignment horizontal="left" vertical="center"/>
    </xf>
    <xf numFmtId="0" fontId="51" fillId="16" borderId="190" xfId="0" applyFont="1" applyFill="1" applyBorder="1" applyAlignment="1">
      <alignment horizontal="left" vertical="center"/>
    </xf>
    <xf numFmtId="0" fontId="51" fillId="16" borderId="191" xfId="0" applyFont="1" applyFill="1" applyBorder="1" applyAlignment="1">
      <alignment horizontal="left" vertical="center" wrapText="1"/>
    </xf>
    <xf numFmtId="0" fontId="47" fillId="16" borderId="191" xfId="0" applyFont="1" applyFill="1" applyBorder="1" applyAlignment="1">
      <alignment horizontal="left" vertical="center"/>
    </xf>
    <xf numFmtId="0" fontId="51" fillId="16" borderId="191" xfId="0" applyFont="1" applyFill="1" applyBorder="1" applyAlignment="1">
      <alignment horizontal="left" vertical="center"/>
    </xf>
    <xf numFmtId="0" fontId="51" fillId="16" borderId="192" xfId="0" applyFont="1" applyFill="1" applyBorder="1" applyAlignment="1">
      <alignment horizontal="left" vertical="center"/>
    </xf>
    <xf numFmtId="0" fontId="51" fillId="16" borderId="106" xfId="0" applyFont="1" applyFill="1" applyBorder="1" applyAlignment="1">
      <alignment horizontal="left" vertical="center"/>
    </xf>
    <xf numFmtId="0" fontId="51" fillId="16" borderId="193" xfId="0" applyFont="1" applyFill="1" applyBorder="1" applyAlignment="1">
      <alignment horizontal="left" vertical="center" wrapText="1"/>
    </xf>
    <xf numFmtId="0" fontId="47" fillId="16" borderId="193" xfId="0" applyFont="1" applyFill="1" applyBorder="1" applyAlignment="1">
      <alignment horizontal="left" vertical="center"/>
    </xf>
    <xf numFmtId="0" fontId="51" fillId="16" borderId="193" xfId="0" applyFont="1" applyFill="1" applyBorder="1" applyAlignment="1">
      <alignment horizontal="left" vertical="center"/>
    </xf>
    <xf numFmtId="0" fontId="51" fillId="16" borderId="108" xfId="0" applyFont="1" applyFill="1" applyBorder="1" applyAlignment="1">
      <alignment horizontal="left" vertical="center"/>
    </xf>
    <xf numFmtId="166" fontId="47" fillId="20" borderId="139" xfId="0" applyNumberFormat="1" applyFont="1" applyFill="1" applyBorder="1" applyAlignment="1">
      <alignment horizontal="left" vertical="center"/>
    </xf>
    <xf numFmtId="0" fontId="47" fillId="20" borderId="191" xfId="0" applyFont="1" applyFill="1" applyBorder="1" applyAlignment="1">
      <alignment horizontal="left" vertical="center" wrapText="1"/>
    </xf>
    <xf numFmtId="0" fontId="47" fillId="20" borderId="190" xfId="0" applyFont="1" applyFill="1" applyBorder="1" applyAlignment="1">
      <alignment horizontal="left" vertical="center" wrapText="1"/>
    </xf>
    <xf numFmtId="166" fontId="47" fillId="20" borderId="191" xfId="0" applyNumberFormat="1" applyFont="1" applyFill="1" applyBorder="1" applyAlignment="1">
      <alignment horizontal="left" vertical="center"/>
    </xf>
    <xf numFmtId="167" fontId="47" fillId="20" borderId="191" xfId="0" applyNumberFormat="1" applyFont="1" applyFill="1" applyBorder="1" applyAlignment="1">
      <alignment horizontal="left" vertical="center"/>
    </xf>
    <xf numFmtId="0" fontId="47" fillId="20" borderId="191" xfId="0" quotePrefix="1" applyFont="1" applyFill="1" applyBorder="1" applyAlignment="1">
      <alignment horizontal="left" vertical="center"/>
    </xf>
    <xf numFmtId="0" fontId="47" fillId="20" borderId="191" xfId="0" applyFont="1" applyFill="1" applyBorder="1" applyAlignment="1">
      <alignment horizontal="left" vertical="center"/>
    </xf>
    <xf numFmtId="0" fontId="47" fillId="20" borderId="192" xfId="0" applyFont="1" applyFill="1" applyBorder="1" applyAlignment="1">
      <alignment horizontal="left" vertical="center"/>
    </xf>
    <xf numFmtId="0" fontId="47" fillId="20" borderId="139" xfId="0" quotePrefix="1" applyFont="1" applyFill="1" applyBorder="1" applyAlignment="1">
      <alignment horizontal="left" vertical="center"/>
    </xf>
    <xf numFmtId="0" fontId="47" fillId="20" borderId="193" xfId="0" applyFont="1" applyFill="1" applyBorder="1" applyAlignment="1">
      <alignment horizontal="left" vertical="center" wrapText="1"/>
    </xf>
    <xf numFmtId="166" fontId="47" fillId="20" borderId="193" xfId="0" applyNumberFormat="1" applyFont="1" applyFill="1" applyBorder="1" applyAlignment="1">
      <alignment horizontal="left" vertical="center"/>
    </xf>
    <xf numFmtId="0" fontId="47" fillId="20" borderId="193" xfId="0" quotePrefix="1" applyFont="1" applyFill="1" applyBorder="1" applyAlignment="1">
      <alignment horizontal="left" vertical="center"/>
    </xf>
    <xf numFmtId="0" fontId="47" fillId="20" borderId="193" xfId="0" applyFont="1" applyFill="1" applyBorder="1" applyAlignment="1">
      <alignment horizontal="left" vertical="center"/>
    </xf>
    <xf numFmtId="0" fontId="47" fillId="20" borderId="205" xfId="0" applyFont="1" applyFill="1" applyBorder="1" applyAlignment="1">
      <alignment horizontal="left" vertical="center" wrapText="1"/>
    </xf>
    <xf numFmtId="0" fontId="47" fillId="20" borderId="206" xfId="0" applyFont="1" applyFill="1" applyBorder="1" applyAlignment="1">
      <alignment horizontal="left" vertical="center" wrapText="1"/>
    </xf>
    <xf numFmtId="167" fontId="47" fillId="20" borderId="206" xfId="0" applyNumberFormat="1" applyFont="1" applyFill="1" applyBorder="1" applyAlignment="1">
      <alignment horizontal="left" vertical="center"/>
    </xf>
    <xf numFmtId="0" fontId="47" fillId="20" borderId="206" xfId="0" quotePrefix="1" applyFont="1" applyFill="1" applyBorder="1" applyAlignment="1">
      <alignment horizontal="left" vertical="center"/>
    </xf>
    <xf numFmtId="0" fontId="47" fillId="20" borderId="206" xfId="0" applyFont="1" applyFill="1" applyBorder="1" applyAlignment="1">
      <alignment horizontal="left" vertical="center"/>
    </xf>
    <xf numFmtId="0" fontId="47" fillId="20" borderId="207" xfId="0" applyFont="1" applyFill="1" applyBorder="1" applyAlignment="1">
      <alignment horizontal="left" vertical="center"/>
    </xf>
    <xf numFmtId="0" fontId="47" fillId="20" borderId="190" xfId="0" applyFont="1" applyFill="1" applyBorder="1" applyAlignment="1">
      <alignment horizontal="left" vertical="center"/>
    </xf>
    <xf numFmtId="167" fontId="47" fillId="20" borderId="193" xfId="0" applyNumberFormat="1" applyFont="1" applyFill="1" applyBorder="1" applyAlignment="1">
      <alignment horizontal="left" vertical="center"/>
    </xf>
    <xf numFmtId="0" fontId="47" fillId="20" borderId="205" xfId="24" applyFont="1" applyFill="1" applyBorder="1" applyAlignment="1">
      <alignment horizontal="left" vertical="center"/>
    </xf>
    <xf numFmtId="0" fontId="47" fillId="20" borderId="206" xfId="24" applyFont="1" applyFill="1" applyBorder="1" applyAlignment="1">
      <alignment horizontal="left" vertical="center" wrapText="1"/>
    </xf>
    <xf numFmtId="0" fontId="47" fillId="20" borderId="190" xfId="24" applyFont="1" applyFill="1" applyBorder="1" applyAlignment="1">
      <alignment horizontal="left" vertical="center"/>
    </xf>
    <xf numFmtId="0" fontId="47" fillId="20" borderId="191" xfId="24" applyFont="1" applyFill="1" applyBorder="1" applyAlignment="1">
      <alignment horizontal="left" vertical="center" wrapText="1"/>
    </xf>
    <xf numFmtId="0" fontId="47" fillId="20" borderId="193" xfId="24" applyFont="1" applyFill="1" applyBorder="1" applyAlignment="1">
      <alignment horizontal="left" vertical="center" wrapText="1"/>
    </xf>
    <xf numFmtId="167" fontId="47" fillId="20" borderId="139" xfId="0" applyNumberFormat="1" applyFont="1" applyFill="1" applyBorder="1" applyAlignment="1">
      <alignment horizontal="left" vertical="center"/>
    </xf>
    <xf numFmtId="165" fontId="47" fillId="20" borderId="193" xfId="0" applyNumberFormat="1" applyFont="1" applyFill="1" applyBorder="1" applyAlignment="1">
      <alignment horizontal="left" vertical="center"/>
    </xf>
    <xf numFmtId="2" fontId="47" fillId="20" borderId="191" xfId="0" applyNumberFormat="1" applyFont="1" applyFill="1" applyBorder="1" applyAlignment="1">
      <alignment horizontal="left" vertical="center"/>
    </xf>
    <xf numFmtId="2" fontId="47" fillId="20" borderId="193" xfId="0" applyNumberFormat="1" applyFont="1" applyFill="1" applyBorder="1" applyAlignment="1">
      <alignment horizontal="left" vertical="center"/>
    </xf>
    <xf numFmtId="0" fontId="47" fillId="20" borderId="205" xfId="0" applyFont="1" applyFill="1" applyBorder="1" applyAlignment="1">
      <alignment horizontal="left" vertical="center"/>
    </xf>
    <xf numFmtId="2" fontId="47" fillId="20" borderId="206" xfId="0" quotePrefix="1" applyNumberFormat="1" applyFont="1" applyFill="1" applyBorder="1" applyAlignment="1">
      <alignment horizontal="left" vertical="center"/>
    </xf>
    <xf numFmtId="2" fontId="47" fillId="20" borderId="191" xfId="0" quotePrefix="1" applyNumberFormat="1" applyFont="1" applyFill="1" applyBorder="1" applyAlignment="1">
      <alignment horizontal="left" vertical="center"/>
    </xf>
    <xf numFmtId="2" fontId="47" fillId="20" borderId="193" xfId="0" quotePrefix="1" applyNumberFormat="1" applyFont="1" applyFill="1" applyBorder="1" applyAlignment="1">
      <alignment horizontal="left" vertical="center"/>
    </xf>
    <xf numFmtId="0" fontId="0" fillId="20" borderId="139" xfId="0" applyFill="1" applyBorder="1" applyAlignment="1">
      <alignment horizontal="left" vertical="center" wrapText="1"/>
    </xf>
    <xf numFmtId="164" fontId="47" fillId="20" borderId="139" xfId="0" quotePrefix="1" applyNumberFormat="1" applyFont="1" applyFill="1" applyBorder="1" applyAlignment="1">
      <alignment horizontal="left" vertical="center"/>
    </xf>
    <xf numFmtId="0" fontId="0" fillId="20" borderId="191" xfId="0" applyFill="1" applyBorder="1" applyAlignment="1">
      <alignment horizontal="left" vertical="center" wrapText="1"/>
    </xf>
    <xf numFmtId="164" fontId="47" fillId="20" borderId="191" xfId="0" quotePrefix="1" applyNumberFormat="1" applyFont="1" applyFill="1" applyBorder="1" applyAlignment="1">
      <alignment horizontal="left" vertical="center"/>
    </xf>
    <xf numFmtId="0" fontId="0" fillId="20" borderId="193" xfId="0" applyFill="1" applyBorder="1" applyAlignment="1">
      <alignment horizontal="left" vertical="center" wrapText="1"/>
    </xf>
    <xf numFmtId="164" fontId="47" fillId="20" borderId="193" xfId="0" applyNumberFormat="1" applyFont="1" applyFill="1" applyBorder="1" applyAlignment="1">
      <alignment horizontal="left" vertical="center"/>
    </xf>
    <xf numFmtId="0" fontId="4" fillId="20" borderId="191" xfId="0" applyFont="1" applyFill="1" applyBorder="1" applyAlignment="1">
      <alignment horizontal="left" vertical="center" wrapText="1"/>
    </xf>
    <xf numFmtId="0" fontId="47" fillId="20" borderId="206" xfId="0" quotePrefix="1" applyFont="1" applyFill="1" applyBorder="1" applyAlignment="1">
      <alignment horizontal="left" vertical="center" wrapText="1"/>
    </xf>
    <xf numFmtId="11" fontId="47" fillId="20" borderId="206" xfId="0" applyNumberFormat="1" applyFont="1" applyFill="1" applyBorder="1" applyAlignment="1">
      <alignment horizontal="left" vertical="center"/>
    </xf>
    <xf numFmtId="11" fontId="47" fillId="20" borderId="191" xfId="0" applyNumberFormat="1" applyFont="1" applyFill="1" applyBorder="1" applyAlignment="1">
      <alignment horizontal="left" vertical="center"/>
    </xf>
    <xf numFmtId="0" fontId="47" fillId="4" borderId="205" xfId="0" applyFont="1" applyFill="1" applyBorder="1" applyAlignment="1">
      <alignment horizontal="left" vertical="center"/>
    </xf>
    <xf numFmtId="0" fontId="47" fillId="4" borderId="206" xfId="0" applyFont="1" applyFill="1" applyBorder="1" applyAlignment="1">
      <alignment horizontal="left" vertical="center" wrapText="1"/>
    </xf>
    <xf numFmtId="11" fontId="47" fillId="4" borderId="206" xfId="0" applyNumberFormat="1" applyFont="1" applyFill="1" applyBorder="1" applyAlignment="1">
      <alignment horizontal="left" vertical="center"/>
    </xf>
    <xf numFmtId="0" fontId="47" fillId="4" borderId="206" xfId="0" applyFont="1" applyFill="1" applyBorder="1" applyAlignment="1">
      <alignment horizontal="left" vertical="center"/>
    </xf>
    <xf numFmtId="0" fontId="47" fillId="4" borderId="207" xfId="0" applyFont="1" applyFill="1" applyBorder="1" applyAlignment="1">
      <alignment horizontal="left" vertical="center"/>
    </xf>
    <xf numFmtId="0" fontId="47" fillId="4" borderId="139" xfId="0" applyFont="1" applyFill="1" applyBorder="1" applyAlignment="1">
      <alignment horizontal="left" vertical="center" wrapText="1"/>
    </xf>
    <xf numFmtId="0" fontId="47" fillId="4" borderId="139" xfId="0" applyFont="1" applyFill="1" applyBorder="1" applyAlignment="1">
      <alignment horizontal="left" vertical="center"/>
    </xf>
    <xf numFmtId="0" fontId="47" fillId="4" borderId="191" xfId="0" applyFont="1" applyFill="1" applyBorder="1" applyAlignment="1">
      <alignment horizontal="left" vertical="center"/>
    </xf>
    <xf numFmtId="0" fontId="47" fillId="4" borderId="192" xfId="0" applyFont="1" applyFill="1" applyBorder="1" applyAlignment="1">
      <alignment horizontal="left" vertical="center"/>
    </xf>
    <xf numFmtId="0" fontId="47" fillId="4" borderId="193" xfId="0" applyFont="1" applyFill="1" applyBorder="1" applyAlignment="1">
      <alignment horizontal="left" vertical="center"/>
    </xf>
    <xf numFmtId="0" fontId="54" fillId="7" borderId="208" xfId="0" applyFont="1" applyFill="1" applyBorder="1" applyAlignment="1">
      <alignment horizontal="center" vertical="center" wrapText="1"/>
    </xf>
    <xf numFmtId="0" fontId="47" fillId="4" borderId="193" xfId="0" applyFont="1" applyFill="1" applyBorder="1" applyAlignment="1">
      <alignment horizontal="left" vertical="center" wrapText="1"/>
    </xf>
    <xf numFmtId="0" fontId="44" fillId="4" borderId="193" xfId="0" quotePrefix="1" applyFont="1" applyFill="1" applyBorder="1" applyAlignment="1">
      <alignment horizontal="left" vertical="center" wrapText="1"/>
    </xf>
    <xf numFmtId="164" fontId="47" fillId="4" borderId="193" xfId="0" applyNumberFormat="1" applyFont="1" applyFill="1" applyBorder="1" applyAlignment="1">
      <alignment horizontal="left" vertical="center"/>
    </xf>
    <xf numFmtId="0" fontId="44" fillId="4" borderId="206" xfId="0" quotePrefix="1" applyFont="1" applyFill="1" applyBorder="1" applyAlignment="1">
      <alignment horizontal="left" vertical="center" wrapText="1"/>
    </xf>
    <xf numFmtId="164" fontId="47" fillId="4" borderId="206" xfId="0" applyNumberFormat="1" applyFont="1" applyFill="1" applyBorder="1" applyAlignment="1">
      <alignment horizontal="left" vertical="center"/>
    </xf>
    <xf numFmtId="0" fontId="47" fillId="4" borderId="190" xfId="0" applyFont="1" applyFill="1" applyBorder="1" applyAlignment="1">
      <alignment horizontal="left" vertical="center"/>
    </xf>
    <xf numFmtId="0" fontId="47" fillId="4" borderId="191" xfId="0" applyFont="1" applyFill="1" applyBorder="1" applyAlignment="1">
      <alignment horizontal="left" vertical="center" wrapText="1"/>
    </xf>
    <xf numFmtId="0" fontId="44" fillId="4" borderId="191" xfId="0" quotePrefix="1" applyFont="1" applyFill="1" applyBorder="1" applyAlignment="1">
      <alignment horizontal="left" vertical="center" wrapText="1"/>
    </xf>
    <xf numFmtId="164" fontId="47" fillId="4" borderId="191" xfId="0" applyNumberFormat="1" applyFont="1" applyFill="1" applyBorder="1" applyAlignment="1">
      <alignment horizontal="left" vertical="center"/>
    </xf>
    <xf numFmtId="0" fontId="47" fillId="20" borderId="205" xfId="2" applyFont="1" applyFill="1" applyBorder="1" applyAlignment="1">
      <alignment horizontal="left" vertical="center" wrapText="1"/>
    </xf>
    <xf numFmtId="2" fontId="47" fillId="20" borderId="206" xfId="0" applyNumberFormat="1" applyFont="1" applyFill="1" applyBorder="1" applyAlignment="1">
      <alignment horizontal="left" vertical="center"/>
    </xf>
    <xf numFmtId="0" fontId="47" fillId="20" borderId="190" xfId="2" applyFont="1" applyFill="1" applyBorder="1" applyAlignment="1">
      <alignment horizontal="left" vertical="center" wrapText="1"/>
    </xf>
    <xf numFmtId="0" fontId="47" fillId="20" borderId="103" xfId="2" applyFont="1" applyFill="1" applyBorder="1" applyAlignment="1">
      <alignment horizontal="left" vertical="center" wrapText="1"/>
    </xf>
    <xf numFmtId="2" fontId="47" fillId="20" borderId="82" xfId="0" applyNumberFormat="1" applyFont="1" applyFill="1" applyBorder="1" applyAlignment="1">
      <alignment horizontal="left" vertical="center"/>
    </xf>
    <xf numFmtId="0" fontId="47" fillId="20" borderId="82" xfId="0" applyFont="1" applyFill="1" applyBorder="1" applyAlignment="1">
      <alignment horizontal="left" vertical="center"/>
    </xf>
    <xf numFmtId="0" fontId="47" fillId="27" borderId="191" xfId="0" applyFont="1" applyFill="1" applyBorder="1" applyAlignment="1">
      <alignment horizontal="left" vertical="center"/>
    </xf>
    <xf numFmtId="0" fontId="88" fillId="27" borderId="209" xfId="2" applyFont="1" applyFill="1" applyBorder="1" applyAlignment="1">
      <alignment horizontal="left" vertical="center" wrapText="1"/>
    </xf>
    <xf numFmtId="0" fontId="47" fillId="27" borderId="210" xfId="0" applyFont="1" applyFill="1" applyBorder="1" applyAlignment="1">
      <alignment horizontal="left" vertical="center"/>
    </xf>
    <xf numFmtId="0" fontId="86" fillId="27" borderId="210" xfId="0" applyFont="1" applyFill="1" applyBorder="1" applyAlignment="1">
      <alignment horizontal="left" vertical="center"/>
    </xf>
    <xf numFmtId="2" fontId="47" fillId="27" borderId="210" xfId="0" applyNumberFormat="1" applyFont="1" applyFill="1" applyBorder="1" applyAlignment="1">
      <alignment horizontal="left" vertical="center"/>
    </xf>
    <xf numFmtId="0" fontId="44" fillId="27" borderId="210" xfId="0" applyFont="1" applyFill="1" applyBorder="1" applyAlignment="1">
      <alignment horizontal="left" vertical="center" wrapText="1"/>
    </xf>
    <xf numFmtId="0" fontId="47" fillId="27" borderId="210" xfId="0" applyFont="1" applyFill="1" applyBorder="1" applyAlignment="1">
      <alignment horizontal="left" vertical="center" wrapText="1"/>
    </xf>
    <xf numFmtId="0" fontId="47" fillId="27" borderId="211" xfId="0" applyFont="1" applyFill="1" applyBorder="1" applyAlignment="1">
      <alignment horizontal="center" vertical="center"/>
    </xf>
    <xf numFmtId="0" fontId="47" fillId="27" borderId="193" xfId="0" applyFont="1" applyFill="1" applyBorder="1" applyAlignment="1">
      <alignment horizontal="left" vertical="center"/>
    </xf>
    <xf numFmtId="0" fontId="86" fillId="27" borderId="193" xfId="0" applyFont="1" applyFill="1" applyBorder="1" applyAlignment="1">
      <alignment horizontal="left" vertical="center"/>
    </xf>
    <xf numFmtId="2" fontId="47" fillId="27" borderId="193" xfId="0" applyNumberFormat="1" applyFont="1" applyFill="1" applyBorder="1" applyAlignment="1">
      <alignment horizontal="left" vertical="center"/>
    </xf>
    <xf numFmtId="0" fontId="44" fillId="27" borderId="193" xfId="0" applyFont="1" applyFill="1" applyBorder="1" applyAlignment="1">
      <alignment horizontal="left" vertical="center" wrapText="1"/>
    </xf>
    <xf numFmtId="0" fontId="47" fillId="27" borderId="193" xfId="0" applyFont="1" applyFill="1" applyBorder="1" applyAlignment="1">
      <alignment horizontal="left" vertical="center" wrapText="1"/>
    </xf>
    <xf numFmtId="0" fontId="47" fillId="27" borderId="108" xfId="0" applyFont="1" applyFill="1" applyBorder="1" applyAlignment="1">
      <alignment horizontal="center" vertical="center"/>
    </xf>
    <xf numFmtId="0" fontId="54" fillId="7" borderId="201" xfId="0" applyFont="1" applyFill="1" applyBorder="1" applyAlignment="1">
      <alignment horizontal="left" vertical="center" wrapText="1"/>
    </xf>
    <xf numFmtId="0" fontId="55" fillId="7" borderId="202" xfId="0" applyFont="1" applyFill="1" applyBorder="1" applyAlignment="1">
      <alignment horizontal="left" vertical="center"/>
    </xf>
    <xf numFmtId="0" fontId="96" fillId="7" borderId="203" xfId="0" applyFont="1" applyFill="1" applyBorder="1" applyAlignment="1">
      <alignment horizontal="left" vertical="center"/>
    </xf>
    <xf numFmtId="0" fontId="55" fillId="7" borderId="203" xfId="0" applyFont="1" applyFill="1" applyBorder="1" applyAlignment="1">
      <alignment horizontal="left" vertical="center"/>
    </xf>
    <xf numFmtId="0" fontId="55" fillId="7" borderId="204" xfId="0" applyFont="1" applyFill="1" applyBorder="1" applyAlignment="1">
      <alignment horizontal="left" vertical="center"/>
    </xf>
    <xf numFmtId="164" fontId="47" fillId="20" borderId="139" xfId="0" applyNumberFormat="1" applyFont="1" applyFill="1" applyBorder="1" applyAlignment="1">
      <alignment horizontal="left" vertical="center"/>
    </xf>
    <xf numFmtId="0" fontId="44" fillId="9" borderId="192" xfId="0" applyFont="1" applyFill="1" applyBorder="1" applyAlignment="1">
      <alignment horizontal="left" vertical="center"/>
    </xf>
    <xf numFmtId="0" fontId="51" fillId="9" borderId="190" xfId="0" applyFont="1" applyFill="1" applyBorder="1" applyAlignment="1">
      <alignment horizontal="left" vertical="center" wrapText="1"/>
    </xf>
    <xf numFmtId="2" fontId="51" fillId="9" borderId="191" xfId="0" applyNumberFormat="1" applyFont="1" applyFill="1" applyBorder="1" applyAlignment="1">
      <alignment horizontal="left" vertical="center" wrapText="1"/>
    </xf>
    <xf numFmtId="2" fontId="51" fillId="9" borderId="191" xfId="0" applyNumberFormat="1" applyFont="1" applyFill="1" applyBorder="1" applyAlignment="1">
      <alignment horizontal="center" vertical="center" wrapText="1"/>
    </xf>
    <xf numFmtId="0" fontId="51" fillId="9" borderId="191" xfId="0" applyFont="1" applyFill="1" applyBorder="1" applyAlignment="1">
      <alignment horizontal="center" vertical="center" wrapText="1"/>
    </xf>
    <xf numFmtId="0" fontId="51" fillId="9" borderId="192" xfId="0" applyFont="1" applyFill="1" applyBorder="1" applyAlignment="1">
      <alignment horizontal="left" vertical="center" wrapText="1"/>
    </xf>
    <xf numFmtId="165" fontId="51" fillId="9" borderId="191" xfId="0" applyNumberFormat="1" applyFont="1" applyFill="1" applyBorder="1" applyAlignment="1">
      <alignment horizontal="left" vertical="center" wrapText="1"/>
    </xf>
    <xf numFmtId="165" fontId="51" fillId="9" borderId="191" xfId="0" applyNumberFormat="1" applyFont="1" applyFill="1" applyBorder="1" applyAlignment="1">
      <alignment horizontal="center" vertical="center" wrapText="1"/>
    </xf>
    <xf numFmtId="0" fontId="55" fillId="7" borderId="203" xfId="0" applyFont="1" applyFill="1" applyBorder="1" applyAlignment="1">
      <alignment horizontal="left" vertical="center" wrapText="1"/>
    </xf>
    <xf numFmtId="0" fontId="55" fillId="7" borderId="203" xfId="0" applyFont="1" applyFill="1" applyBorder="1" applyAlignment="1">
      <alignment horizontal="center" vertical="center" wrapText="1"/>
    </xf>
    <xf numFmtId="0" fontId="55" fillId="7" borderId="204" xfId="0" applyFont="1" applyFill="1" applyBorder="1" applyAlignment="1">
      <alignment horizontal="left" vertical="center" wrapText="1"/>
    </xf>
    <xf numFmtId="0" fontId="47" fillId="14" borderId="205" xfId="0" applyFont="1" applyFill="1" applyBorder="1" applyAlignment="1">
      <alignment horizontal="left" vertical="center" wrapText="1"/>
    </xf>
    <xf numFmtId="0" fontId="47" fillId="14" borderId="206" xfId="0" applyFont="1" applyFill="1" applyBorder="1" applyAlignment="1">
      <alignment horizontal="left" vertical="center"/>
    </xf>
    <xf numFmtId="0" fontId="47" fillId="14" borderId="206" xfId="0" applyFont="1" applyFill="1" applyBorder="1" applyAlignment="1">
      <alignment horizontal="center" vertical="center"/>
    </xf>
    <xf numFmtId="166" fontId="47" fillId="14" borderId="206" xfId="0" applyNumberFormat="1" applyFont="1" applyFill="1" applyBorder="1" applyAlignment="1">
      <alignment horizontal="center" vertical="center"/>
    </xf>
    <xf numFmtId="0" fontId="47" fillId="14" borderId="206" xfId="0" quotePrefix="1" applyFont="1" applyFill="1" applyBorder="1" applyAlignment="1">
      <alignment horizontal="center" vertical="center"/>
    </xf>
    <xf numFmtId="0" fontId="47" fillId="14" borderId="207" xfId="0" applyFont="1" applyFill="1" applyBorder="1" applyAlignment="1">
      <alignment horizontal="left" vertical="center"/>
    </xf>
    <xf numFmtId="0" fontId="47" fillId="14" borderId="190" xfId="0" applyFont="1" applyFill="1" applyBorder="1" applyAlignment="1">
      <alignment horizontal="left" vertical="center" wrapText="1"/>
    </xf>
    <xf numFmtId="0" fontId="47" fillId="14" borderId="191" xfId="0" applyFont="1" applyFill="1" applyBorder="1" applyAlignment="1">
      <alignment horizontal="left" vertical="center"/>
    </xf>
    <xf numFmtId="0" fontId="47" fillId="14" borderId="191" xfId="0" applyFont="1" applyFill="1" applyBorder="1" applyAlignment="1">
      <alignment horizontal="center" vertical="center"/>
    </xf>
    <xf numFmtId="166" fontId="47" fillId="14" borderId="191" xfId="0" applyNumberFormat="1" applyFont="1" applyFill="1" applyBorder="1" applyAlignment="1">
      <alignment horizontal="center" vertical="center"/>
    </xf>
    <xf numFmtId="0" fontId="47" fillId="14" borderId="191" xfId="0" quotePrefix="1" applyFont="1" applyFill="1" applyBorder="1" applyAlignment="1">
      <alignment horizontal="center" vertical="center"/>
    </xf>
    <xf numFmtId="0" fontId="47" fillId="14" borderId="192" xfId="0" applyFont="1" applyFill="1" applyBorder="1" applyAlignment="1">
      <alignment horizontal="left" vertical="center"/>
    </xf>
    <xf numFmtId="0" fontId="47" fillId="14" borderId="193" xfId="0" applyFont="1" applyFill="1" applyBorder="1" applyAlignment="1">
      <alignment horizontal="left" vertical="center"/>
    </xf>
    <xf numFmtId="0" fontId="47" fillId="14" borderId="193" xfId="0" applyFont="1" applyFill="1" applyBorder="1" applyAlignment="1">
      <alignment horizontal="center" vertical="center"/>
    </xf>
    <xf numFmtId="166" fontId="47" fillId="14" borderId="193" xfId="0" applyNumberFormat="1" applyFont="1" applyFill="1" applyBorder="1" applyAlignment="1">
      <alignment horizontal="center" vertical="center"/>
    </xf>
    <xf numFmtId="0" fontId="47" fillId="14" borderId="193" xfId="0" quotePrefix="1" applyFont="1" applyFill="1" applyBorder="1" applyAlignment="1">
      <alignment horizontal="center" vertical="center"/>
    </xf>
    <xf numFmtId="0" fontId="47" fillId="14" borderId="108" xfId="0" applyFont="1" applyFill="1" applyBorder="1" applyAlignment="1">
      <alignment horizontal="left" vertical="center"/>
    </xf>
    <xf numFmtId="0" fontId="47" fillId="20" borderId="206" xfId="0" applyFont="1" applyFill="1" applyBorder="1" applyAlignment="1">
      <alignment horizontal="center" vertical="center"/>
    </xf>
    <xf numFmtId="166" fontId="47" fillId="20" borderId="206" xfId="0" applyNumberFormat="1" applyFont="1" applyFill="1" applyBorder="1" applyAlignment="1">
      <alignment horizontal="center" vertical="center"/>
    </xf>
    <xf numFmtId="0" fontId="47" fillId="20" borderId="206" xfId="0" quotePrefix="1" applyFont="1" applyFill="1" applyBorder="1" applyAlignment="1">
      <alignment horizontal="center" vertical="center"/>
    </xf>
    <xf numFmtId="0" fontId="47" fillId="20" borderId="193" xfId="0" applyFont="1" applyFill="1" applyBorder="1" applyAlignment="1">
      <alignment horizontal="center" vertical="center"/>
    </xf>
    <xf numFmtId="166" fontId="47" fillId="20" borderId="193" xfId="0" applyNumberFormat="1" applyFont="1" applyFill="1" applyBorder="1" applyAlignment="1">
      <alignment horizontal="center" vertical="center"/>
    </xf>
    <xf numFmtId="0" fontId="47" fillId="20" borderId="193" xfId="0" quotePrefix="1" applyFont="1" applyFill="1" applyBorder="1" applyAlignment="1">
      <alignment horizontal="center" vertical="center"/>
    </xf>
    <xf numFmtId="0" fontId="51" fillId="10" borderId="190" xfId="0" applyFont="1" applyFill="1" applyBorder="1" applyAlignment="1">
      <alignment horizontal="left"/>
    </xf>
    <xf numFmtId="0" fontId="27" fillId="31" borderId="185" xfId="0" applyFont="1" applyFill="1" applyBorder="1" applyAlignment="1">
      <alignment horizontal="center" vertical="center"/>
    </xf>
    <xf numFmtId="0" fontId="27" fillId="31" borderId="189" xfId="0" applyFont="1" applyFill="1" applyBorder="1" applyAlignment="1">
      <alignment horizontal="center" vertical="center"/>
    </xf>
    <xf numFmtId="0" fontId="0" fillId="31" borderId="189" xfId="0" applyFill="1" applyBorder="1" applyAlignment="1">
      <alignment horizontal="left" vertical="center"/>
    </xf>
    <xf numFmtId="0" fontId="0" fillId="31" borderId="189" xfId="0" applyFill="1" applyBorder="1" applyAlignment="1">
      <alignment horizontal="center" vertical="center"/>
    </xf>
    <xf numFmtId="0" fontId="0" fillId="31" borderId="189" xfId="0" quotePrefix="1" applyFill="1" applyBorder="1" applyAlignment="1">
      <alignment horizontal="center" vertical="center"/>
    </xf>
    <xf numFmtId="0" fontId="0" fillId="31" borderId="192" xfId="0" applyFill="1" applyBorder="1"/>
    <xf numFmtId="0" fontId="47" fillId="31" borderId="185" xfId="0" applyFont="1" applyFill="1" applyBorder="1" applyAlignment="1">
      <alignment horizontal="left" vertical="center" wrapText="1"/>
    </xf>
    <xf numFmtId="2" fontId="47" fillId="31" borderId="186" xfId="0" applyNumberFormat="1" applyFont="1" applyFill="1" applyBorder="1" applyAlignment="1">
      <alignment horizontal="left" vertical="center" wrapText="1"/>
    </xf>
    <xf numFmtId="2" fontId="47" fillId="31" borderId="186" xfId="0" applyNumberFormat="1" applyFont="1" applyFill="1" applyBorder="1" applyAlignment="1">
      <alignment horizontal="center" vertical="center" wrapText="1"/>
    </xf>
    <xf numFmtId="0" fontId="47" fillId="31" borderId="186" xfId="0" applyFont="1" applyFill="1" applyBorder="1" applyAlignment="1">
      <alignment horizontal="center" vertical="center" wrapText="1"/>
    </xf>
    <xf numFmtId="0" fontId="47" fillId="31" borderId="191" xfId="0" applyFont="1" applyFill="1" applyBorder="1" applyAlignment="1">
      <alignment horizontal="center" vertical="center" wrapText="1"/>
    </xf>
    <xf numFmtId="0" fontId="47" fillId="31" borderId="187" xfId="0" applyFont="1" applyFill="1" applyBorder="1" applyAlignment="1">
      <alignment horizontal="left" vertical="center"/>
    </xf>
    <xf numFmtId="0" fontId="47" fillId="31" borderId="106" xfId="0" applyFont="1" applyFill="1" applyBorder="1" applyAlignment="1">
      <alignment horizontal="left" vertical="center" wrapText="1"/>
    </xf>
    <xf numFmtId="2" fontId="47" fillId="31" borderId="188" xfId="0" applyNumberFormat="1" applyFont="1" applyFill="1" applyBorder="1" applyAlignment="1">
      <alignment horizontal="left" vertical="center" wrapText="1"/>
    </xf>
    <xf numFmtId="2" fontId="47" fillId="31" borderId="188" xfId="0" applyNumberFormat="1" applyFont="1" applyFill="1" applyBorder="1" applyAlignment="1">
      <alignment horizontal="center" vertical="center" wrapText="1"/>
    </xf>
    <xf numFmtId="0" fontId="47" fillId="31" borderId="188" xfId="0" applyFont="1" applyFill="1" applyBorder="1" applyAlignment="1">
      <alignment horizontal="center" vertical="center" wrapText="1"/>
    </xf>
    <xf numFmtId="0" fontId="47" fillId="31" borderId="193" xfId="0" applyFont="1" applyFill="1" applyBorder="1" applyAlignment="1">
      <alignment horizontal="center" vertical="center" wrapText="1"/>
    </xf>
    <xf numFmtId="0" fontId="47" fillId="31" borderId="108" xfId="0" applyFont="1" applyFill="1" applyBorder="1" applyAlignment="1">
      <alignment horizontal="left" vertical="center"/>
    </xf>
    <xf numFmtId="0" fontId="55" fillId="7" borderId="195" xfId="0" applyFont="1" applyFill="1" applyBorder="1" applyAlignment="1">
      <alignment horizontal="left" vertical="center"/>
    </xf>
    <xf numFmtId="0" fontId="96" fillId="7" borderId="133" xfId="0" applyFont="1" applyFill="1" applyBorder="1" applyAlignment="1">
      <alignment horizontal="left" vertical="center"/>
    </xf>
    <xf numFmtId="0" fontId="96" fillId="7" borderId="196" xfId="0" applyFont="1" applyFill="1" applyBorder="1" applyAlignment="1">
      <alignment horizontal="left" vertical="center"/>
    </xf>
    <xf numFmtId="0" fontId="96" fillId="7" borderId="169" xfId="0" applyFont="1" applyFill="1" applyBorder="1" applyAlignment="1">
      <alignment horizontal="left" vertical="center"/>
    </xf>
    <xf numFmtId="0" fontId="55" fillId="7" borderId="133" xfId="0" applyFont="1" applyFill="1" applyBorder="1" applyAlignment="1">
      <alignment horizontal="left" vertical="center"/>
    </xf>
    <xf numFmtId="0" fontId="55" fillId="7" borderId="196" xfId="0" applyFont="1" applyFill="1" applyBorder="1" applyAlignment="1">
      <alignment horizontal="left" vertical="center"/>
    </xf>
    <xf numFmtId="0" fontId="55" fillId="7" borderId="169" xfId="0" applyFont="1" applyFill="1" applyBorder="1" applyAlignment="1">
      <alignment horizontal="left" vertical="center"/>
    </xf>
    <xf numFmtId="0" fontId="55" fillId="7" borderId="134" xfId="0" applyFont="1" applyFill="1" applyBorder="1" applyAlignment="1">
      <alignment horizontal="left" vertical="center"/>
    </xf>
    <xf numFmtId="0" fontId="55" fillId="7" borderId="197" xfId="0" applyFont="1" applyFill="1" applyBorder="1" applyAlignment="1">
      <alignment horizontal="left" vertical="center"/>
    </xf>
    <xf numFmtId="0" fontId="55" fillId="7" borderId="66" xfId="0" applyFont="1" applyFill="1" applyBorder="1" applyAlignment="1">
      <alignment horizontal="left" vertical="center"/>
    </xf>
    <xf numFmtId="0" fontId="51" fillId="9" borderId="212" xfId="0" applyFont="1" applyFill="1" applyBorder="1" applyAlignment="1">
      <alignment horizontal="left" vertical="center" wrapText="1"/>
    </xf>
    <xf numFmtId="164" fontId="51" fillId="9" borderId="139" xfId="0" applyNumberFormat="1" applyFont="1" applyFill="1" applyBorder="1" applyAlignment="1">
      <alignment horizontal="left" vertical="center" wrapText="1"/>
    </xf>
    <xf numFmtId="164" fontId="51" fillId="9" borderId="139" xfId="0" applyNumberFormat="1" applyFont="1" applyFill="1" applyBorder="1" applyAlignment="1">
      <alignment horizontal="center" vertical="center" wrapText="1"/>
    </xf>
    <xf numFmtId="0" fontId="51" fillId="9" borderId="139" xfId="0" applyFont="1" applyFill="1" applyBorder="1" applyAlignment="1">
      <alignment horizontal="center" vertical="center" wrapText="1"/>
    </xf>
    <xf numFmtId="0" fontId="51" fillId="9" borderId="139" xfId="0" applyFont="1" applyFill="1" applyBorder="1" applyAlignment="1">
      <alignment horizontal="left" vertical="center" wrapText="1"/>
    </xf>
    <xf numFmtId="0" fontId="51" fillId="9" borderId="213" xfId="0" applyFont="1" applyFill="1" applyBorder="1" applyAlignment="1">
      <alignment horizontal="left" vertical="center" wrapText="1"/>
    </xf>
    <xf numFmtId="0" fontId="54" fillId="32" borderId="0" xfId="0" applyFont="1" applyFill="1" applyAlignment="1">
      <alignment horizontal="center" vertical="center"/>
    </xf>
    <xf numFmtId="0" fontId="46" fillId="9" borderId="190" xfId="0" applyFont="1" applyFill="1" applyBorder="1" applyAlignment="1">
      <alignment horizontal="center" vertical="center"/>
    </xf>
    <xf numFmtId="0" fontId="46" fillId="9" borderId="191" xfId="0" applyFont="1" applyFill="1" applyBorder="1" applyAlignment="1">
      <alignment horizontal="center" vertical="center"/>
    </xf>
    <xf numFmtId="0" fontId="44" fillId="9" borderId="191" xfId="0" applyFont="1" applyFill="1" applyBorder="1" applyAlignment="1">
      <alignment horizontal="left" vertical="center"/>
    </xf>
    <xf numFmtId="0" fontId="44" fillId="9" borderId="191" xfId="0" applyFont="1" applyFill="1" applyBorder="1" applyAlignment="1">
      <alignment horizontal="center" vertical="center"/>
    </xf>
    <xf numFmtId="0" fontId="44" fillId="9" borderId="191" xfId="0" quotePrefix="1" applyFont="1" applyFill="1" applyBorder="1" applyAlignment="1">
      <alignment horizontal="center" vertical="center"/>
    </xf>
    <xf numFmtId="0" fontId="44" fillId="8" borderId="206" xfId="0" applyFont="1" applyFill="1" applyBorder="1" applyAlignment="1">
      <alignment horizontal="center" vertical="center"/>
    </xf>
    <xf numFmtId="0" fontId="44" fillId="8" borderId="191" xfId="0" applyFont="1" applyFill="1" applyBorder="1" applyAlignment="1">
      <alignment horizontal="center" vertical="center"/>
    </xf>
    <xf numFmtId="0" fontId="44" fillId="21" borderId="191" xfId="0" applyFont="1" applyFill="1" applyBorder="1" applyAlignment="1">
      <alignment horizontal="center" vertical="center"/>
    </xf>
    <xf numFmtId="0" fontId="44" fillId="11" borderId="191" xfId="0" applyFont="1" applyFill="1" applyBorder="1" applyAlignment="1">
      <alignment horizontal="center" vertical="center"/>
    </xf>
    <xf numFmtId="0" fontId="44" fillId="10" borderId="191" xfId="0" applyFont="1" applyFill="1" applyBorder="1" applyAlignment="1">
      <alignment horizontal="center" vertical="center"/>
    </xf>
    <xf numFmtId="0" fontId="44" fillId="12" borderId="191" xfId="0" applyFont="1" applyFill="1" applyBorder="1" applyAlignment="1">
      <alignment horizontal="center" vertical="center"/>
    </xf>
    <xf numFmtId="0" fontId="44" fillId="18" borderId="191" xfId="0" applyFont="1" applyFill="1" applyBorder="1" applyAlignment="1">
      <alignment horizontal="center" vertical="center"/>
    </xf>
    <xf numFmtId="0" fontId="44" fillId="29" borderId="191" xfId="0" applyFont="1" applyFill="1" applyBorder="1" applyAlignment="1">
      <alignment horizontal="center" vertical="center"/>
    </xf>
    <xf numFmtId="0" fontId="44" fillId="7" borderId="191" xfId="0" applyFont="1" applyFill="1" applyBorder="1" applyAlignment="1">
      <alignment horizontal="center" vertical="center"/>
    </xf>
    <xf numFmtId="0" fontId="44" fillId="16" borderId="191" xfId="0" applyFont="1" applyFill="1" applyBorder="1" applyAlignment="1">
      <alignment horizontal="center" vertical="center"/>
    </xf>
    <xf numFmtId="0" fontId="44" fillId="15" borderId="191" xfId="0" applyFont="1" applyFill="1" applyBorder="1" applyAlignment="1">
      <alignment horizontal="center" vertical="center"/>
    </xf>
    <xf numFmtId="0" fontId="0" fillId="31" borderId="191" xfId="0" applyFill="1" applyBorder="1" applyAlignment="1">
      <alignment horizontal="center" vertical="center"/>
    </xf>
    <xf numFmtId="0" fontId="44" fillId="26" borderId="191" xfId="0" applyFont="1" applyFill="1" applyBorder="1" applyAlignment="1">
      <alignment horizontal="center" vertical="center"/>
    </xf>
    <xf numFmtId="0" fontId="44" fillId="4" borderId="191" xfId="0" applyFont="1" applyFill="1" applyBorder="1" applyAlignment="1">
      <alignment horizontal="center" vertical="center"/>
    </xf>
    <xf numFmtId="0" fontId="44" fillId="18" borderId="193" xfId="0" applyFont="1" applyFill="1" applyBorder="1" applyAlignment="1">
      <alignment horizontal="center" vertical="center"/>
    </xf>
    <xf numFmtId="0" fontId="47" fillId="5" borderId="206" xfId="0" applyFont="1" applyFill="1" applyBorder="1" applyAlignment="1">
      <alignment horizontal="center" vertical="center"/>
    </xf>
    <xf numFmtId="0" fontId="47" fillId="5" borderId="191" xfId="0" applyFont="1" applyFill="1" applyBorder="1" applyAlignment="1">
      <alignment horizontal="center" vertical="center"/>
    </xf>
    <xf numFmtId="0" fontId="47" fillId="5" borderId="193" xfId="0" applyFont="1" applyFill="1" applyBorder="1" applyAlignment="1">
      <alignment horizontal="center" vertical="center"/>
    </xf>
    <xf numFmtId="0" fontId="55" fillId="7" borderId="203" xfId="3" applyFont="1" applyFill="1" applyBorder="1" applyAlignment="1">
      <alignment vertical="center" wrapText="1"/>
    </xf>
    <xf numFmtId="0" fontId="0" fillId="31" borderId="191" xfId="0" quotePrefix="1" applyFill="1" applyBorder="1" applyAlignment="1">
      <alignment horizontal="center" vertical="center"/>
    </xf>
    <xf numFmtId="0" fontId="51" fillId="9" borderId="205" xfId="0" applyFont="1" applyFill="1" applyBorder="1" applyAlignment="1">
      <alignment horizontal="left" vertical="center" wrapText="1"/>
    </xf>
    <xf numFmtId="164" fontId="51" fillId="9" borderId="206" xfId="0" applyNumberFormat="1" applyFont="1" applyFill="1" applyBorder="1" applyAlignment="1">
      <alignment horizontal="center" vertical="center" wrapText="1"/>
    </xf>
    <xf numFmtId="0" fontId="51" fillId="9" borderId="206" xfId="0" applyFont="1" applyFill="1" applyBorder="1" applyAlignment="1">
      <alignment horizontal="center" vertical="center" wrapText="1"/>
    </xf>
    <xf numFmtId="0" fontId="51" fillId="9" borderId="206" xfId="0" applyFont="1" applyFill="1" applyBorder="1" applyAlignment="1">
      <alignment horizontal="left" vertical="center" wrapText="1"/>
    </xf>
    <xf numFmtId="0" fontId="51" fillId="9" borderId="207" xfId="0" applyFont="1" applyFill="1" applyBorder="1" applyAlignment="1">
      <alignment horizontal="left" vertical="center" wrapText="1"/>
    </xf>
    <xf numFmtId="0" fontId="54" fillId="0" borderId="0" xfId="0" applyFont="1" applyAlignment="1">
      <alignment horizontal="left" vertical="center"/>
    </xf>
    <xf numFmtId="0" fontId="47" fillId="0" borderId="59" xfId="0" applyFont="1" applyBorder="1" applyAlignment="1">
      <alignment horizontal="left" vertical="center"/>
    </xf>
    <xf numFmtId="0" fontId="47" fillId="0" borderId="10" xfId="0" applyFont="1" applyBorder="1" applyAlignment="1">
      <alignment horizontal="left" vertical="center"/>
    </xf>
    <xf numFmtId="0" fontId="51" fillId="0" borderId="10" xfId="0" applyFont="1" applyBorder="1" applyAlignment="1">
      <alignment horizontal="left" vertical="center"/>
    </xf>
    <xf numFmtId="0" fontId="47" fillId="0" borderId="12" xfId="0" applyFont="1" applyBorder="1" applyAlignment="1">
      <alignment horizontal="left" vertical="center"/>
    </xf>
    <xf numFmtId="0" fontId="47" fillId="0" borderId="34" xfId="0" applyFont="1" applyBorder="1" applyAlignment="1">
      <alignment horizontal="left" vertical="center"/>
    </xf>
    <xf numFmtId="0" fontId="47" fillId="0" borderId="41" xfId="0" applyFont="1" applyBorder="1" applyAlignment="1">
      <alignment horizontal="left" vertical="center"/>
    </xf>
    <xf numFmtId="0" fontId="47" fillId="0" borderId="103" xfId="0" applyFont="1" applyBorder="1" applyAlignment="1">
      <alignment horizontal="left" vertical="center"/>
    </xf>
    <xf numFmtId="0" fontId="47" fillId="0" borderId="75" xfId="0" applyFont="1" applyBorder="1" applyAlignment="1">
      <alignment horizontal="left" vertical="center" wrapText="1"/>
    </xf>
    <xf numFmtId="0" fontId="47" fillId="0" borderId="89" xfId="0" applyFont="1" applyBorder="1" applyAlignment="1">
      <alignment horizontal="left" vertical="center" wrapText="1"/>
    </xf>
    <xf numFmtId="0" fontId="47" fillId="0" borderId="103" xfId="0" applyFont="1" applyBorder="1" applyAlignment="1">
      <alignment horizontal="left" vertical="center" wrapText="1"/>
    </xf>
    <xf numFmtId="0" fontId="51" fillId="0" borderId="0" xfId="0" applyFont="1" applyAlignment="1">
      <alignment horizontal="left"/>
    </xf>
    <xf numFmtId="0" fontId="44" fillId="0" borderId="75" xfId="0" applyFont="1" applyBorder="1" applyAlignment="1">
      <alignment horizontal="left"/>
    </xf>
    <xf numFmtId="0" fontId="44" fillId="0" borderId="111" xfId="0" applyFont="1" applyBorder="1" applyAlignment="1">
      <alignment horizontal="left"/>
    </xf>
    <xf numFmtId="0" fontId="44" fillId="0" borderId="164" xfId="0" applyFont="1" applyBorder="1" applyAlignment="1">
      <alignment horizontal="left"/>
    </xf>
    <xf numFmtId="0" fontId="47" fillId="0" borderId="41" xfId="2" applyFont="1" applyBorder="1" applyAlignment="1">
      <alignment horizontal="left" vertical="center" wrapText="1"/>
    </xf>
    <xf numFmtId="0" fontId="47" fillId="0" borderId="10" xfId="2" applyFont="1" applyBorder="1" applyAlignment="1">
      <alignment horizontal="left" vertical="center" wrapText="1"/>
    </xf>
    <xf numFmtId="0" fontId="47" fillId="0" borderId="143" xfId="2" applyFont="1" applyBorder="1" applyAlignment="1">
      <alignment horizontal="left" vertical="center" wrapText="1"/>
    </xf>
    <xf numFmtId="0" fontId="47" fillId="0" borderId="155" xfId="2" applyFont="1" applyBorder="1" applyAlignment="1">
      <alignment horizontal="left" vertical="center" wrapText="1"/>
    </xf>
    <xf numFmtId="0" fontId="51" fillId="0" borderId="106" xfId="0" applyFont="1" applyBorder="1" applyAlignment="1">
      <alignment horizontal="left" vertical="center"/>
    </xf>
    <xf numFmtId="0" fontId="47" fillId="0" borderId="75" xfId="0" applyFont="1" applyBorder="1" applyAlignment="1">
      <alignment horizontal="left" vertical="center"/>
    </xf>
    <xf numFmtId="166" fontId="47" fillId="0" borderId="72" xfId="0" applyNumberFormat="1" applyFont="1" applyBorder="1" applyAlignment="1">
      <alignment horizontal="left" vertical="center" wrapText="1"/>
    </xf>
    <xf numFmtId="166" fontId="47" fillId="0" borderId="84" xfId="0" applyNumberFormat="1" applyFont="1" applyBorder="1" applyAlignment="1">
      <alignment horizontal="left" vertical="center" wrapText="1"/>
    </xf>
    <xf numFmtId="164" fontId="51" fillId="0" borderId="84" xfId="0" applyNumberFormat="1" applyFont="1" applyBorder="1" applyAlignment="1">
      <alignment horizontal="left" vertical="center"/>
    </xf>
    <xf numFmtId="0" fontId="47" fillId="0" borderId="84" xfId="0" applyFont="1" applyBorder="1" applyAlignment="1">
      <alignment horizontal="left" vertical="center"/>
    </xf>
    <xf numFmtId="2" fontId="47" fillId="0" borderId="84" xfId="0" applyNumberFormat="1" applyFont="1" applyBorder="1" applyAlignment="1">
      <alignment horizontal="left" vertical="center" wrapText="1"/>
    </xf>
    <xf numFmtId="0" fontId="47" fillId="0" borderId="13" xfId="0" applyFont="1" applyBorder="1" applyAlignment="1">
      <alignment horizontal="left" vertical="center"/>
    </xf>
    <xf numFmtId="0" fontId="47" fillId="0" borderId="85" xfId="0" applyFont="1" applyBorder="1" applyAlignment="1">
      <alignment horizontal="left" vertical="center" wrapText="1"/>
    </xf>
    <xf numFmtId="166" fontId="47" fillId="0" borderId="112" xfId="0" applyNumberFormat="1" applyFont="1" applyBorder="1" applyAlignment="1">
      <alignment horizontal="left" vertical="center"/>
    </xf>
    <xf numFmtId="166" fontId="47" fillId="0" borderId="82" xfId="0" applyNumberFormat="1" applyFont="1" applyBorder="1" applyAlignment="1">
      <alignment horizontal="left" vertical="center"/>
    </xf>
    <xf numFmtId="2" fontId="47" fillId="0" borderId="72" xfId="0" applyNumberFormat="1" applyFont="1" applyBorder="1" applyAlignment="1">
      <alignment horizontal="left" vertical="center" wrapText="1"/>
    </xf>
    <xf numFmtId="0" fontId="47" fillId="0" borderId="82" xfId="0" applyFont="1" applyBorder="1" applyAlignment="1">
      <alignment horizontal="left" vertical="center" wrapText="1"/>
    </xf>
    <xf numFmtId="0" fontId="47" fillId="0" borderId="60" xfId="0" applyFont="1" applyBorder="1" applyAlignment="1">
      <alignment horizontal="left" vertical="center"/>
    </xf>
    <xf numFmtId="0" fontId="47" fillId="0" borderId="76" xfId="0" applyFont="1" applyBorder="1" applyAlignment="1">
      <alignment horizontal="left" vertical="center" wrapText="1"/>
    </xf>
    <xf numFmtId="0" fontId="47" fillId="0" borderId="112" xfId="0" applyFont="1" applyBorder="1" applyAlignment="1">
      <alignment horizontal="left" vertical="center" wrapText="1"/>
    </xf>
    <xf numFmtId="0" fontId="47" fillId="0" borderId="165" xfId="0" applyFont="1" applyBorder="1" applyAlignment="1">
      <alignment horizontal="left" vertical="center" wrapText="1"/>
    </xf>
    <xf numFmtId="0" fontId="47" fillId="0" borderId="84" xfId="0" applyFont="1" applyBorder="1" applyAlignment="1">
      <alignment horizontal="left" vertical="center" wrapText="1"/>
    </xf>
    <xf numFmtId="0" fontId="47" fillId="0" borderId="144" xfId="0" applyFont="1" applyBorder="1" applyAlignment="1">
      <alignment horizontal="left" vertical="center" wrapText="1"/>
    </xf>
    <xf numFmtId="0" fontId="47" fillId="0" borderId="151" xfId="0" applyFont="1" applyBorder="1" applyAlignment="1">
      <alignment horizontal="left" vertical="center" wrapText="1"/>
    </xf>
    <xf numFmtId="0" fontId="47" fillId="0" borderId="153" xfId="0" applyFont="1" applyBorder="1" applyAlignment="1">
      <alignment horizontal="left" vertical="center" wrapText="1"/>
    </xf>
    <xf numFmtId="0" fontId="47" fillId="0" borderId="76" xfId="0" applyFont="1" applyBorder="1" applyAlignment="1">
      <alignment horizontal="left" vertical="center"/>
    </xf>
    <xf numFmtId="2" fontId="51" fillId="0" borderId="0" xfId="0" applyNumberFormat="1" applyFont="1" applyAlignment="1">
      <alignment horizontal="center" vertical="center" wrapText="1"/>
    </xf>
    <xf numFmtId="0" fontId="51" fillId="0" borderId="0" xfId="0" applyFont="1" applyAlignment="1">
      <alignment horizontal="center" vertical="center" wrapText="1"/>
    </xf>
    <xf numFmtId="166" fontId="51" fillId="0" borderId="0" xfId="0" applyNumberFormat="1" applyFont="1" applyAlignment="1">
      <alignment horizontal="center" vertical="center" wrapText="1"/>
    </xf>
    <xf numFmtId="166" fontId="47" fillId="0" borderId="60" xfId="0" applyNumberFormat="1" applyFont="1" applyBorder="1" applyAlignment="1">
      <alignment horizontal="center" vertical="center" wrapText="1"/>
    </xf>
    <xf numFmtId="166" fontId="47" fillId="0" borderId="6" xfId="0" applyNumberFormat="1" applyFont="1" applyBorder="1" applyAlignment="1">
      <alignment horizontal="center" vertical="center" wrapText="1"/>
    </xf>
    <xf numFmtId="164" fontId="51" fillId="0" borderId="6" xfId="0" applyNumberFormat="1" applyFont="1" applyBorder="1" applyAlignment="1">
      <alignment horizontal="center" vertical="center"/>
    </xf>
    <xf numFmtId="2" fontId="47" fillId="0" borderId="6" xfId="0" applyNumberFormat="1" applyFont="1" applyBorder="1" applyAlignment="1">
      <alignment horizontal="center" vertical="center" wrapText="1"/>
    </xf>
    <xf numFmtId="164" fontId="47" fillId="0" borderId="40" xfId="0" applyNumberFormat="1" applyFont="1" applyBorder="1" applyAlignment="1">
      <alignment horizontal="center" vertical="center" wrapText="1"/>
    </xf>
    <xf numFmtId="0" fontId="47" fillId="0" borderId="19" xfId="0" applyFont="1" applyBorder="1" applyAlignment="1">
      <alignment horizontal="center" vertical="center" wrapText="1"/>
    </xf>
    <xf numFmtId="166" fontId="47" fillId="0" borderId="112" xfId="0" applyNumberFormat="1" applyFont="1" applyBorder="1" applyAlignment="1">
      <alignment horizontal="center" vertical="center"/>
    </xf>
    <xf numFmtId="166" fontId="47" fillId="0" borderId="82" xfId="0" applyNumberFormat="1" applyFont="1" applyBorder="1" applyAlignment="1">
      <alignment horizontal="center" vertical="center"/>
    </xf>
    <xf numFmtId="165" fontId="51" fillId="0" borderId="0" xfId="0" applyNumberFormat="1" applyFont="1" applyAlignment="1">
      <alignment horizontal="center" vertical="center" wrapText="1"/>
    </xf>
    <xf numFmtId="2" fontId="47" fillId="0" borderId="72" xfId="0" applyNumberFormat="1" applyFont="1" applyBorder="1" applyAlignment="1">
      <alignment horizontal="center" vertical="center" wrapText="1"/>
    </xf>
    <xf numFmtId="2" fontId="47" fillId="0" borderId="85" xfId="0" applyNumberFormat="1" applyFont="1" applyBorder="1" applyAlignment="1">
      <alignment horizontal="center" vertical="center" wrapText="1"/>
    </xf>
    <xf numFmtId="2" fontId="47" fillId="0" borderId="82" xfId="0" applyNumberFormat="1" applyFont="1" applyBorder="1" applyAlignment="1">
      <alignment horizontal="center" vertical="center" wrapText="1"/>
    </xf>
    <xf numFmtId="0" fontId="47" fillId="0" borderId="60" xfId="0" applyFont="1" applyBorder="1" applyAlignment="1">
      <alignment horizontal="center" vertical="center"/>
    </xf>
    <xf numFmtId="0" fontId="47" fillId="0" borderId="85" xfId="0" applyFont="1" applyBorder="1" applyAlignment="1">
      <alignment horizontal="center" vertical="center"/>
    </xf>
    <xf numFmtId="165" fontId="47" fillId="0" borderId="13" xfId="0" applyNumberFormat="1" applyFont="1" applyBorder="1" applyAlignment="1">
      <alignment horizontal="center" vertical="center"/>
    </xf>
    <xf numFmtId="0" fontId="47" fillId="0" borderId="76" xfId="0" applyFont="1" applyBorder="1" applyAlignment="1">
      <alignment horizontal="center" vertical="center" wrapText="1"/>
    </xf>
    <xf numFmtId="0" fontId="47" fillId="0" borderId="112" xfId="0" applyFont="1" applyBorder="1" applyAlignment="1">
      <alignment horizontal="center" vertical="center" wrapText="1"/>
    </xf>
    <xf numFmtId="0" fontId="47" fillId="0" borderId="165" xfId="0" applyFont="1" applyBorder="1" applyAlignment="1">
      <alignment horizontal="center" vertical="center" wrapText="1"/>
    </xf>
    <xf numFmtId="0" fontId="47" fillId="0" borderId="144" xfId="0" applyFont="1" applyBorder="1" applyAlignment="1">
      <alignment horizontal="center" vertical="center" wrapText="1"/>
    </xf>
    <xf numFmtId="0" fontId="47" fillId="0" borderId="151" xfId="0" applyFont="1" applyBorder="1" applyAlignment="1">
      <alignment horizontal="center" vertical="center" wrapText="1"/>
    </xf>
    <xf numFmtId="0" fontId="51" fillId="0" borderId="153" xfId="0" applyFont="1" applyBorder="1" applyAlignment="1">
      <alignment horizontal="center" vertical="center"/>
    </xf>
    <xf numFmtId="0" fontId="47" fillId="0" borderId="76" xfId="0" applyFont="1" applyBorder="1" applyAlignment="1">
      <alignment horizontal="center" vertical="center"/>
    </xf>
    <xf numFmtId="0" fontId="47" fillId="0" borderId="114" xfId="0" applyFont="1" applyBorder="1" applyAlignment="1">
      <alignment horizontal="center" vertical="center"/>
    </xf>
    <xf numFmtId="0" fontId="47" fillId="0" borderId="72" xfId="0" applyFont="1" applyBorder="1" applyAlignment="1">
      <alignment horizontal="center" vertical="center" wrapText="1"/>
    </xf>
    <xf numFmtId="0" fontId="47" fillId="0" borderId="84" xfId="0" applyFont="1" applyBorder="1" applyAlignment="1">
      <alignment horizontal="center" vertical="center" wrapText="1"/>
    </xf>
    <xf numFmtId="0" fontId="47" fillId="0" borderId="84" xfId="0" applyFont="1" applyBorder="1" applyAlignment="1">
      <alignment horizontal="center" vertical="center"/>
    </xf>
    <xf numFmtId="0" fontId="47" fillId="0" borderId="100" xfId="0" applyFont="1" applyBorder="1" applyAlignment="1">
      <alignment horizontal="center" vertical="center"/>
    </xf>
    <xf numFmtId="164" fontId="47" fillId="0" borderId="82" xfId="0" applyNumberFormat="1" applyFont="1" applyBorder="1" applyAlignment="1">
      <alignment horizontal="center" vertical="center" wrapText="1"/>
    </xf>
    <xf numFmtId="0" fontId="47" fillId="0" borderId="85" xfId="0" applyFont="1" applyBorder="1" applyAlignment="1">
      <alignment horizontal="center" vertical="center" wrapText="1"/>
    </xf>
    <xf numFmtId="0" fontId="47" fillId="0" borderId="91" xfId="0" applyFont="1" applyBorder="1" applyAlignment="1">
      <alignment horizontal="center" vertical="center" wrapText="1"/>
    </xf>
    <xf numFmtId="0" fontId="47" fillId="0" borderId="107" xfId="0" applyFont="1" applyBorder="1" applyAlignment="1">
      <alignment horizontal="center" vertical="center" wrapText="1"/>
    </xf>
    <xf numFmtId="0" fontId="47" fillId="0" borderId="72" xfId="0" applyFont="1" applyBorder="1" applyAlignment="1">
      <alignment horizontal="center" vertical="center"/>
    </xf>
    <xf numFmtId="0" fontId="47" fillId="0" borderId="102" xfId="0" applyFont="1" applyBorder="1" applyAlignment="1">
      <alignment horizontal="center" vertical="center" wrapText="1"/>
    </xf>
    <xf numFmtId="0" fontId="47" fillId="0" borderId="151" xfId="0" quotePrefix="1" applyFont="1" applyBorder="1" applyAlignment="1">
      <alignment horizontal="center" vertical="center" wrapText="1"/>
    </xf>
    <xf numFmtId="0" fontId="47" fillId="0" borderId="60" xfId="0" applyFont="1" applyBorder="1" applyAlignment="1">
      <alignment horizontal="center" vertical="center" wrapText="1"/>
    </xf>
    <xf numFmtId="0" fontId="51" fillId="0" borderId="6" xfId="0" applyFont="1" applyBorder="1" applyAlignment="1">
      <alignment horizontal="center" vertical="center"/>
    </xf>
    <xf numFmtId="0" fontId="47" fillId="0" borderId="112" xfId="0" applyFont="1" applyBorder="1" applyAlignment="1">
      <alignment horizontal="center" vertical="center"/>
    </xf>
    <xf numFmtId="0" fontId="47" fillId="0" borderId="82" xfId="0" applyFont="1" applyBorder="1" applyAlignment="1">
      <alignment horizontal="center" vertical="center"/>
    </xf>
    <xf numFmtId="0" fontId="47" fillId="0" borderId="6" xfId="0" quotePrefix="1" applyFont="1" applyBorder="1" applyAlignment="1">
      <alignment horizontal="center" vertical="center" wrapText="1"/>
    </xf>
    <xf numFmtId="0" fontId="47" fillId="0" borderId="84" xfId="0" quotePrefix="1" applyFont="1" applyBorder="1" applyAlignment="1">
      <alignment horizontal="center" vertical="center" wrapText="1"/>
    </xf>
    <xf numFmtId="0" fontId="0" fillId="0" borderId="22" xfId="0" applyBorder="1" applyAlignment="1">
      <alignment horizontal="center"/>
    </xf>
    <xf numFmtId="0" fontId="47" fillId="0" borderId="91" xfId="0" quotePrefix="1" applyFont="1" applyBorder="1" applyAlignment="1">
      <alignment horizontal="center" vertical="center" wrapText="1"/>
    </xf>
    <xf numFmtId="0" fontId="47" fillId="0" borderId="107" xfId="0" quotePrefix="1" applyFont="1" applyBorder="1" applyAlignment="1">
      <alignment horizontal="center" vertical="center" wrapText="1"/>
    </xf>
    <xf numFmtId="0" fontId="47" fillId="0" borderId="151" xfId="0" applyFont="1" applyBorder="1" applyAlignment="1">
      <alignment horizontal="center" vertical="center"/>
    </xf>
    <xf numFmtId="0" fontId="47" fillId="0" borderId="60" xfId="0" applyFont="1" applyBorder="1" applyAlignment="1">
      <alignment horizontal="left" vertical="center" wrapText="1"/>
    </xf>
    <xf numFmtId="0" fontId="47" fillId="0" borderId="6" xfId="0" applyFont="1" applyBorder="1" applyAlignment="1">
      <alignment horizontal="left" vertical="center" wrapText="1"/>
    </xf>
    <xf numFmtId="0" fontId="51" fillId="0" borderId="6" xfId="0" applyFont="1" applyBorder="1" applyAlignment="1">
      <alignment horizontal="left" vertical="center"/>
    </xf>
    <xf numFmtId="0" fontId="47" fillId="0" borderId="19" xfId="0" applyFont="1" applyBorder="1" applyAlignment="1">
      <alignment horizontal="left" vertical="center" wrapText="1"/>
    </xf>
    <xf numFmtId="0" fontId="47" fillId="0" borderId="82" xfId="0" applyFont="1" applyBorder="1" applyAlignment="1">
      <alignment horizontal="left" vertical="center"/>
    </xf>
    <xf numFmtId="0" fontId="47" fillId="0" borderId="72" xfId="0" applyFont="1" applyBorder="1" applyAlignment="1">
      <alignment horizontal="left" vertical="center" wrapText="1"/>
    </xf>
    <xf numFmtId="0" fontId="47" fillId="0" borderId="91" xfId="0" applyFont="1" applyBorder="1" applyAlignment="1">
      <alignment horizontal="left" vertical="center" wrapText="1"/>
    </xf>
    <xf numFmtId="0" fontId="47" fillId="0" borderId="107" xfId="0" applyFont="1" applyBorder="1" applyAlignment="1">
      <alignment horizontal="left" vertical="center" wrapText="1"/>
    </xf>
    <xf numFmtId="0" fontId="47" fillId="0" borderId="139" xfId="0" applyFont="1" applyBorder="1" applyAlignment="1">
      <alignment horizontal="left" vertical="center" wrapText="1"/>
    </xf>
    <xf numFmtId="0" fontId="47" fillId="0" borderId="61" xfId="0" applyFont="1" applyBorder="1" applyAlignment="1">
      <alignment horizontal="left" vertical="center" wrapText="1"/>
    </xf>
    <xf numFmtId="0" fontId="47" fillId="0" borderId="11" xfId="0" applyFont="1" applyBorder="1" applyAlignment="1">
      <alignment horizontal="left" vertical="center" wrapText="1"/>
    </xf>
    <xf numFmtId="0" fontId="51" fillId="0" borderId="11" xfId="0" applyFont="1" applyBorder="1" applyAlignment="1">
      <alignment horizontal="left" vertical="center"/>
    </xf>
    <xf numFmtId="0" fontId="47" fillId="0" borderId="11" xfId="0" applyFont="1" applyBorder="1" applyAlignment="1">
      <alignment horizontal="left" vertical="center"/>
    </xf>
    <xf numFmtId="0" fontId="47" fillId="0" borderId="14" xfId="0" applyFont="1" applyBorder="1" applyAlignment="1">
      <alignment horizontal="left" vertical="center"/>
    </xf>
    <xf numFmtId="0" fontId="55" fillId="0" borderId="43" xfId="0" applyFont="1" applyBorder="1" applyAlignment="1">
      <alignment horizontal="left" vertical="center"/>
    </xf>
    <xf numFmtId="0" fontId="47" fillId="0" borderId="43" xfId="0" applyFont="1" applyBorder="1" applyAlignment="1">
      <alignment horizontal="left" vertical="center" wrapText="1"/>
    </xf>
    <xf numFmtId="0" fontId="47" fillId="0" borderId="42" xfId="0" applyFont="1" applyBorder="1" applyAlignment="1">
      <alignment horizontal="left" vertical="center" wrapText="1"/>
    </xf>
    <xf numFmtId="0" fontId="47" fillId="0" borderId="113" xfId="0" applyFont="1" applyBorder="1" applyAlignment="1">
      <alignment horizontal="left" vertical="center" wrapText="1"/>
    </xf>
    <xf numFmtId="0" fontId="47" fillId="0" borderId="113" xfId="0" applyFont="1" applyBorder="1" applyAlignment="1">
      <alignment horizontal="left" vertical="center"/>
    </xf>
    <xf numFmtId="0" fontId="47" fillId="0" borderId="104" xfId="0" applyFont="1" applyBorder="1" applyAlignment="1">
      <alignment horizontal="left" vertical="center"/>
    </xf>
    <xf numFmtId="0" fontId="47" fillId="0" borderId="77" xfId="0" applyFont="1" applyBorder="1" applyAlignment="1">
      <alignment horizontal="left" vertical="center" wrapText="1"/>
    </xf>
    <xf numFmtId="0" fontId="47" fillId="0" borderId="92" xfId="0" applyFont="1" applyBorder="1" applyAlignment="1">
      <alignment horizontal="left" vertical="center" wrapText="1"/>
    </xf>
    <xf numFmtId="0" fontId="47" fillId="0" borderId="108" xfId="0" applyFont="1" applyBorder="1" applyAlignment="1">
      <alignment horizontal="left" vertical="center" wrapText="1"/>
    </xf>
    <xf numFmtId="0" fontId="47" fillId="0" borderId="61" xfId="0" applyFont="1" applyBorder="1" applyAlignment="1">
      <alignment horizontal="left" vertical="center"/>
    </xf>
    <xf numFmtId="0" fontId="47" fillId="0" borderId="90" xfId="0" applyFont="1" applyBorder="1" applyAlignment="1">
      <alignment horizontal="left" vertical="center"/>
    </xf>
    <xf numFmtId="0" fontId="47" fillId="0" borderId="90" xfId="0" applyFont="1" applyBorder="1" applyAlignment="1">
      <alignment horizontal="left" vertical="center" wrapText="1"/>
    </xf>
    <xf numFmtId="0" fontId="47" fillId="0" borderId="145" xfId="0" applyFont="1" applyBorder="1" applyAlignment="1">
      <alignment horizontal="left" vertical="center" wrapText="1"/>
    </xf>
    <xf numFmtId="0" fontId="47" fillId="0" borderId="154" xfId="0" applyFont="1" applyBorder="1" applyAlignment="1">
      <alignment horizontal="center" vertical="center" wrapText="1"/>
    </xf>
    <xf numFmtId="0" fontId="51" fillId="0" borderId="152" xfId="0" applyFont="1" applyBorder="1" applyAlignment="1">
      <alignment horizontal="center" vertical="center"/>
    </xf>
    <xf numFmtId="0" fontId="47" fillId="0" borderId="77" xfId="0" applyFont="1" applyBorder="1" applyAlignment="1">
      <alignment horizontal="left" vertical="center"/>
    </xf>
    <xf numFmtId="0" fontId="47" fillId="0" borderId="108" xfId="0" applyFont="1" applyBorder="1" applyAlignment="1">
      <alignment horizontal="left" vertical="center"/>
    </xf>
    <xf numFmtId="165" fontId="51" fillId="0" borderId="0" xfId="0" applyNumberFormat="1" applyFont="1" applyAlignment="1">
      <alignment horizontal="center" vertical="center"/>
    </xf>
    <xf numFmtId="165" fontId="70" fillId="0" borderId="0" xfId="0" applyNumberFormat="1" applyFont="1" applyAlignment="1">
      <alignment horizontal="center" vertical="center"/>
    </xf>
    <xf numFmtId="0" fontId="55" fillId="0" borderId="0" xfId="0" applyFont="1" applyAlignment="1">
      <alignment horizontal="center" vertical="center"/>
    </xf>
    <xf numFmtId="0" fontId="51" fillId="0" borderId="151" xfId="0" applyFont="1" applyBorder="1" applyAlignment="1">
      <alignment horizontal="center" vertical="center" wrapText="1"/>
    </xf>
    <xf numFmtId="165" fontId="51" fillId="0" borderId="151" xfId="0" applyNumberFormat="1" applyFont="1" applyBorder="1" applyAlignment="1">
      <alignment horizontal="center" vertical="center"/>
    </xf>
    <xf numFmtId="165" fontId="54" fillId="0" borderId="0" xfId="0" applyNumberFormat="1" applyFont="1" applyAlignment="1">
      <alignment horizontal="center" vertical="center"/>
    </xf>
    <xf numFmtId="0" fontId="54" fillId="0" borderId="0" xfId="0" applyFont="1" applyAlignment="1">
      <alignment horizontal="left" vertical="center" wrapText="1"/>
    </xf>
    <xf numFmtId="0" fontId="54" fillId="0" borderId="151" xfId="0" applyFont="1" applyBorder="1" applyAlignment="1">
      <alignment horizontal="center" vertical="center"/>
    </xf>
    <xf numFmtId="165" fontId="54" fillId="0" borderId="151" xfId="0" applyNumberFormat="1" applyFont="1" applyBorder="1" applyAlignment="1">
      <alignment horizontal="center" vertical="center"/>
    </xf>
    <xf numFmtId="0" fontId="27" fillId="0" borderId="0" xfId="0" applyFont="1" applyAlignment="1">
      <alignment horizontal="left" vertical="center" wrapText="1"/>
    </xf>
    <xf numFmtId="0" fontId="46" fillId="0" borderId="0" xfId="0" applyFont="1" applyAlignment="1">
      <alignment horizontal="left"/>
    </xf>
    <xf numFmtId="0" fontId="53" fillId="0" borderId="0" xfId="0" applyFont="1" applyAlignment="1">
      <alignment horizontal="left"/>
    </xf>
    <xf numFmtId="0" fontId="44" fillId="11" borderId="191" xfId="0" quotePrefix="1" applyFont="1" applyFill="1" applyBorder="1" applyAlignment="1">
      <alignment horizontal="center" vertical="center"/>
    </xf>
    <xf numFmtId="0" fontId="96" fillId="0" borderId="41" xfId="3" applyFont="1" applyBorder="1" applyAlignment="1">
      <alignment horizontal="left" vertical="center" wrapText="1"/>
    </xf>
    <xf numFmtId="2" fontId="44" fillId="0" borderId="19" xfId="0" applyNumberFormat="1" applyFont="1" applyBorder="1" applyAlignment="1">
      <alignment horizontal="left" vertical="center"/>
    </xf>
    <xf numFmtId="2" fontId="44" fillId="0" borderId="19" xfId="0" applyNumberFormat="1" applyFont="1" applyBorder="1" applyAlignment="1">
      <alignment horizontal="center" vertical="center"/>
    </xf>
    <xf numFmtId="2" fontId="44" fillId="0" borderId="139" xfId="0" applyNumberFormat="1" applyFont="1" applyBorder="1" applyAlignment="1">
      <alignment horizontal="center" vertical="center"/>
    </xf>
    <xf numFmtId="0" fontId="44" fillId="0" borderId="19" xfId="0" applyFont="1" applyBorder="1" applyAlignment="1">
      <alignment horizontal="center" vertical="center"/>
    </xf>
    <xf numFmtId="0" fontId="44" fillId="0" borderId="139" xfId="0" applyFont="1" applyBorder="1" applyAlignment="1">
      <alignment horizontal="center" vertical="center"/>
    </xf>
    <xf numFmtId="0" fontId="44" fillId="0" borderId="19" xfId="0" applyFont="1" applyBorder="1" applyAlignment="1">
      <alignment horizontal="left" vertical="center"/>
    </xf>
    <xf numFmtId="0" fontId="44" fillId="0" borderId="42" xfId="0" applyFont="1" applyBorder="1" applyAlignment="1">
      <alignment horizontal="left" vertical="center"/>
    </xf>
    <xf numFmtId="0" fontId="96" fillId="0" borderId="10" xfId="3" applyFont="1" applyBorder="1" applyAlignment="1">
      <alignment horizontal="left" vertical="center" wrapText="1"/>
    </xf>
    <xf numFmtId="2" fontId="44" fillId="0" borderId="6" xfId="0" applyNumberFormat="1" applyFont="1" applyBorder="1" applyAlignment="1">
      <alignment horizontal="left" vertical="center"/>
    </xf>
    <xf numFmtId="2" fontId="44" fillId="0" borderId="6" xfId="0" applyNumberFormat="1" applyFont="1" applyBorder="1" applyAlignment="1">
      <alignment horizontal="center" vertical="center"/>
    </xf>
    <xf numFmtId="0" fontId="44" fillId="0" borderId="91" xfId="0" applyFont="1" applyBorder="1" applyAlignment="1">
      <alignment horizontal="center" vertical="center"/>
    </xf>
    <xf numFmtId="0" fontId="44" fillId="0" borderId="6" xfId="0" applyFont="1" applyBorder="1" applyAlignment="1">
      <alignment horizontal="center" vertical="center"/>
    </xf>
    <xf numFmtId="0" fontId="44" fillId="0" borderId="11" xfId="0" applyFont="1" applyBorder="1" applyAlignment="1">
      <alignment horizontal="left" vertical="center"/>
    </xf>
    <xf numFmtId="11" fontId="44" fillId="0" borderId="6" xfId="0" applyNumberFormat="1" applyFont="1" applyBorder="1" applyAlignment="1">
      <alignment horizontal="center" vertical="center"/>
    </xf>
    <xf numFmtId="0" fontId="96" fillId="0" borderId="190" xfId="3" applyFont="1" applyBorder="1" applyAlignment="1">
      <alignment horizontal="left" vertical="center" wrapText="1"/>
    </xf>
    <xf numFmtId="2" fontId="44" fillId="0" borderId="191" xfId="0" applyNumberFormat="1" applyFont="1" applyBorder="1" applyAlignment="1">
      <alignment horizontal="left" vertical="center"/>
    </xf>
    <xf numFmtId="2" fontId="44" fillId="0" borderId="191" xfId="0" applyNumberFormat="1" applyFont="1" applyBorder="1" applyAlignment="1">
      <alignment horizontal="center" vertical="center"/>
    </xf>
    <xf numFmtId="0" fontId="44" fillId="0" borderId="191" xfId="0" applyFont="1" applyBorder="1" applyAlignment="1">
      <alignment horizontal="center" vertical="center"/>
    </xf>
    <xf numFmtId="0" fontId="44" fillId="0" borderId="191" xfId="0" applyFont="1" applyBorder="1" applyAlignment="1">
      <alignment horizontal="left" vertical="center"/>
    </xf>
    <xf numFmtId="0" fontId="44" fillId="0" borderId="192" xfId="0" applyFont="1" applyBorder="1" applyAlignment="1">
      <alignment horizontal="left" vertical="center"/>
    </xf>
    <xf numFmtId="164" fontId="12" fillId="0" borderId="91" xfId="43" applyNumberFormat="1" applyBorder="1" applyAlignment="1">
      <alignment horizontal="center" vertical="center"/>
    </xf>
    <xf numFmtId="164" fontId="44" fillId="0" borderId="6" xfId="0" applyNumberFormat="1" applyFont="1" applyBorder="1" applyAlignment="1">
      <alignment horizontal="center" vertical="center"/>
    </xf>
    <xf numFmtId="168" fontId="44" fillId="0" borderId="6" xfId="0" applyNumberFormat="1" applyFont="1" applyBorder="1" applyAlignment="1">
      <alignment horizontal="center" vertical="center"/>
    </xf>
    <xf numFmtId="164" fontId="44" fillId="0" borderId="19" xfId="0" applyNumberFormat="1" applyFont="1" applyBorder="1" applyAlignment="1">
      <alignment horizontal="center" vertical="center"/>
    </xf>
    <xf numFmtId="166" fontId="12" fillId="0" borderId="91" xfId="43" applyNumberFormat="1" applyBorder="1" applyAlignment="1">
      <alignment horizontal="center" vertical="center"/>
    </xf>
    <xf numFmtId="0" fontId="96" fillId="0" borderId="166" xfId="3" applyFont="1" applyBorder="1" applyAlignment="1">
      <alignment horizontal="left" vertical="center" wrapText="1"/>
    </xf>
    <xf numFmtId="2" fontId="44" fillId="0" borderId="167" xfId="0" applyNumberFormat="1" applyFont="1" applyBorder="1" applyAlignment="1">
      <alignment horizontal="left" vertical="center"/>
    </xf>
    <xf numFmtId="2" fontId="44" fillId="0" borderId="167" xfId="0" applyNumberFormat="1" applyFont="1" applyBorder="1" applyAlignment="1">
      <alignment horizontal="center" vertical="center"/>
    </xf>
    <xf numFmtId="0" fontId="44" fillId="0" borderId="167" xfId="0" applyFont="1" applyBorder="1" applyAlignment="1">
      <alignment horizontal="center" vertical="center"/>
    </xf>
    <xf numFmtId="0" fontId="44" fillId="0" borderId="121" xfId="0" applyFont="1" applyBorder="1" applyAlignment="1">
      <alignment horizontal="center" vertical="center"/>
    </xf>
    <xf numFmtId="164" fontId="44" fillId="0" borderId="151" xfId="0" applyNumberFormat="1" applyFont="1" applyBorder="1" applyAlignment="1">
      <alignment horizontal="center" vertical="center"/>
    </xf>
    <xf numFmtId="166" fontId="12" fillId="0" borderId="121" xfId="43" applyNumberFormat="1" applyBorder="1" applyAlignment="1">
      <alignment horizontal="center" vertical="center"/>
    </xf>
    <xf numFmtId="0" fontId="99" fillId="0" borderId="10" xfId="0" applyFont="1" applyBorder="1" applyAlignment="1">
      <alignment horizontal="left" vertical="center"/>
    </xf>
    <xf numFmtId="2" fontId="44" fillId="0" borderId="121" xfId="0" applyNumberFormat="1" applyFont="1" applyBorder="1" applyAlignment="1">
      <alignment horizontal="left" vertical="center"/>
    </xf>
    <xf numFmtId="2" fontId="44" fillId="0" borderId="121" xfId="0" applyNumberFormat="1" applyFont="1" applyBorder="1" applyAlignment="1">
      <alignment horizontal="center" vertical="center"/>
    </xf>
    <xf numFmtId="11" fontId="44" fillId="0" borderId="121" xfId="0" applyNumberFormat="1" applyFont="1" applyBorder="1" applyAlignment="1">
      <alignment horizontal="center" vertical="center"/>
    </xf>
    <xf numFmtId="2" fontId="44" fillId="0" borderId="85" xfId="0" applyNumberFormat="1" applyFont="1" applyBorder="1" applyAlignment="1">
      <alignment horizontal="center" vertical="center"/>
    </xf>
    <xf numFmtId="0" fontId="44" fillId="0" borderId="121" xfId="0" applyFont="1" applyBorder="1" applyAlignment="1">
      <alignment horizontal="left" vertical="center"/>
    </xf>
    <xf numFmtId="0" fontId="44" fillId="0" borderId="113" xfId="0" applyFont="1" applyBorder="1" applyAlignment="1">
      <alignment horizontal="left" vertical="center"/>
    </xf>
    <xf numFmtId="0" fontId="96" fillId="0" borderId="111" xfId="3" applyFont="1" applyBorder="1" applyAlignment="1">
      <alignment horizontal="left" vertical="center" wrapText="1"/>
    </xf>
    <xf numFmtId="0" fontId="100" fillId="0" borderId="10" xfId="3" applyFont="1" applyBorder="1" applyAlignment="1">
      <alignment horizontal="left" vertical="center" wrapText="1"/>
    </xf>
    <xf numFmtId="0" fontId="99" fillId="0" borderId="185" xfId="0" applyFont="1" applyBorder="1" applyAlignment="1">
      <alignment horizontal="left"/>
    </xf>
    <xf numFmtId="0" fontId="0" fillId="0" borderId="189" xfId="0" applyBorder="1" applyAlignment="1">
      <alignment horizontal="left"/>
    </xf>
    <xf numFmtId="11" fontId="12" fillId="0" borderId="189" xfId="43" applyNumberFormat="1" applyBorder="1" applyAlignment="1">
      <alignment horizontal="center"/>
    </xf>
    <xf numFmtId="0" fontId="44" fillId="0" borderId="189" xfId="0" applyFont="1" applyBorder="1" applyAlignment="1">
      <alignment horizontal="center" vertical="center"/>
    </xf>
    <xf numFmtId="0" fontId="5" fillId="0" borderId="189" xfId="38" applyFont="1" applyBorder="1" applyAlignment="1">
      <alignment horizontal="center"/>
    </xf>
    <xf numFmtId="0" fontId="44" fillId="0" borderId="189" xfId="0" applyFont="1" applyBorder="1" applyAlignment="1">
      <alignment horizontal="center"/>
    </xf>
    <xf numFmtId="0" fontId="0" fillId="0" borderId="189" xfId="0" applyBorder="1" applyAlignment="1">
      <alignment horizontal="center"/>
    </xf>
    <xf numFmtId="0" fontId="0" fillId="0" borderId="191" xfId="0" applyBorder="1"/>
    <xf numFmtId="0" fontId="0" fillId="0" borderId="187" xfId="0" applyBorder="1"/>
    <xf numFmtId="2" fontId="44" fillId="0" borderId="151" xfId="0" applyNumberFormat="1" applyFont="1" applyBorder="1" applyAlignment="1">
      <alignment horizontal="center" vertical="center"/>
    </xf>
    <xf numFmtId="0" fontId="44" fillId="0" borderId="184" xfId="0" applyFont="1" applyBorder="1" applyAlignment="1">
      <alignment horizontal="center" vertical="center"/>
    </xf>
    <xf numFmtId="2" fontId="44" fillId="0" borderId="140" xfId="0" applyNumberFormat="1" applyFont="1" applyBorder="1" applyAlignment="1">
      <alignment horizontal="left" vertical="center"/>
    </xf>
    <xf numFmtId="2" fontId="44" fillId="0" borderId="140" xfId="0" applyNumberFormat="1" applyFont="1" applyBorder="1" applyAlignment="1">
      <alignment horizontal="center" vertical="center"/>
    </xf>
    <xf numFmtId="0" fontId="44" fillId="0" borderId="140" xfId="0" applyFont="1" applyBorder="1" applyAlignment="1">
      <alignment horizontal="center" vertical="center"/>
    </xf>
    <xf numFmtId="0" fontId="44" fillId="0" borderId="140" xfId="0" applyFont="1" applyBorder="1" applyAlignment="1">
      <alignment horizontal="left" vertical="center"/>
    </xf>
    <xf numFmtId="1" fontId="44" fillId="0" borderId="140" xfId="0" applyNumberFormat="1" applyFont="1" applyBorder="1" applyAlignment="1">
      <alignment horizontal="center" vertical="center"/>
    </xf>
    <xf numFmtId="0" fontId="44" fillId="0" borderId="84" xfId="0" applyFont="1" applyBorder="1" applyAlignment="1">
      <alignment horizontal="left" vertical="center"/>
    </xf>
    <xf numFmtId="166" fontId="8" fillId="0" borderId="121" xfId="240" applyNumberFormat="1" applyBorder="1" applyAlignment="1">
      <alignment horizontal="center" vertical="center"/>
    </xf>
    <xf numFmtId="0" fontId="11" fillId="0" borderId="6" xfId="38" applyFont="1" applyBorder="1" applyAlignment="1">
      <alignment horizontal="center" vertical="center"/>
    </xf>
    <xf numFmtId="0" fontId="44" fillId="0" borderId="151" xfId="0" applyFont="1" applyBorder="1" applyAlignment="1">
      <alignment horizontal="center" vertical="center"/>
    </xf>
    <xf numFmtId="0" fontId="0" fillId="0" borderId="6" xfId="0" applyBorder="1" applyAlignment="1">
      <alignment horizontal="center" vertical="center"/>
    </xf>
    <xf numFmtId="0" fontId="11" fillId="0" borderId="6" xfId="39" applyFont="1" applyBorder="1" applyAlignment="1">
      <alignment horizontal="center" vertical="center"/>
    </xf>
    <xf numFmtId="166" fontId="8" fillId="0" borderId="121" xfId="241" applyNumberFormat="1" applyBorder="1" applyAlignment="1">
      <alignment horizontal="center" vertical="center"/>
    </xf>
    <xf numFmtId="166" fontId="8" fillId="0" borderId="151" xfId="240" applyNumberFormat="1" applyBorder="1" applyAlignment="1">
      <alignment horizontal="center" vertical="center"/>
    </xf>
    <xf numFmtId="0" fontId="11" fillId="0" borderId="6" xfId="40" applyFont="1" applyBorder="1" applyAlignment="1">
      <alignment horizontal="center" vertical="center"/>
    </xf>
    <xf numFmtId="0" fontId="44" fillId="0" borderId="6" xfId="0" applyFont="1" applyBorder="1" applyAlignment="1">
      <alignment horizontal="center" vertical="center" wrapText="1"/>
    </xf>
    <xf numFmtId="0" fontId="44" fillId="0" borderId="121" xfId="0" applyFont="1" applyBorder="1" applyAlignment="1">
      <alignment horizontal="center" vertical="center" wrapText="1"/>
    </xf>
    <xf numFmtId="0" fontId="44" fillId="0" borderId="6" xfId="0" applyFont="1" applyBorder="1" applyAlignment="1">
      <alignment horizontal="left" vertical="center" wrapText="1"/>
    </xf>
    <xf numFmtId="0" fontId="11" fillId="0" borderId="6" xfId="41" applyFont="1" applyBorder="1" applyAlignment="1">
      <alignment horizontal="center" vertical="center"/>
    </xf>
    <xf numFmtId="0" fontId="99" fillId="0" borderId="12" xfId="0" applyFont="1" applyBorder="1" applyAlignment="1">
      <alignment horizontal="left" vertical="center"/>
    </xf>
    <xf numFmtId="166" fontId="8" fillId="0" borderId="114" xfId="240" applyNumberFormat="1" applyBorder="1" applyAlignment="1">
      <alignment horizontal="center" vertical="center"/>
    </xf>
    <xf numFmtId="166" fontId="8" fillId="0" borderId="153" xfId="240" applyNumberFormat="1" applyBorder="1" applyAlignment="1">
      <alignment horizontal="center" vertical="center"/>
    </xf>
    <xf numFmtId="0" fontId="44" fillId="0" borderId="13" xfId="0" applyFont="1" applyBorder="1" applyAlignment="1">
      <alignment horizontal="center" vertical="center"/>
    </xf>
    <xf numFmtId="0" fontId="11" fillId="0" borderId="13" xfId="42" applyFont="1" applyBorder="1" applyAlignment="1">
      <alignment horizontal="center" vertical="center"/>
    </xf>
    <xf numFmtId="0" fontId="44" fillId="0" borderId="114" xfId="0" applyFont="1" applyBorder="1" applyAlignment="1">
      <alignment horizontal="center" vertical="center"/>
    </xf>
    <xf numFmtId="0" fontId="44" fillId="0" borderId="14" xfId="0" applyFont="1" applyBorder="1" applyAlignment="1">
      <alignment horizontal="left" vertical="center"/>
    </xf>
    <xf numFmtId="0" fontId="99" fillId="0" borderId="75" xfId="0" applyFont="1" applyBorder="1" applyAlignment="1">
      <alignment horizontal="left" vertical="center"/>
    </xf>
    <xf numFmtId="0" fontId="44" fillId="0" borderId="76" xfId="0" applyFont="1" applyBorder="1" applyAlignment="1">
      <alignment horizontal="left" vertical="center"/>
    </xf>
    <xf numFmtId="166" fontId="12" fillId="0" borderId="76" xfId="43" applyNumberFormat="1" applyBorder="1" applyAlignment="1">
      <alignment horizontal="center" vertical="center"/>
    </xf>
    <xf numFmtId="0" fontId="44" fillId="0" borderId="76" xfId="0" applyFont="1" applyBorder="1" applyAlignment="1">
      <alignment horizontal="center" vertical="center"/>
    </xf>
    <xf numFmtId="0" fontId="10" fillId="0" borderId="76" xfId="38" applyFont="1" applyBorder="1" applyAlignment="1">
      <alignment horizontal="center" vertical="center"/>
    </xf>
    <xf numFmtId="0" fontId="44" fillId="0" borderId="129" xfId="0" applyFont="1" applyBorder="1" applyAlignment="1">
      <alignment horizontal="center" vertical="center"/>
    </xf>
    <xf numFmtId="0" fontId="44" fillId="0" borderId="77" xfId="0" applyFont="1" applyBorder="1" applyAlignment="1">
      <alignment horizontal="left" vertical="center"/>
    </xf>
    <xf numFmtId="0" fontId="99" fillId="0" borderId="99" xfId="0" applyFont="1" applyBorder="1" applyAlignment="1">
      <alignment horizontal="left" vertical="center"/>
    </xf>
    <xf numFmtId="2" fontId="44" fillId="0" borderId="91" xfId="0" applyNumberFormat="1" applyFont="1" applyBorder="1" applyAlignment="1">
      <alignment horizontal="left" vertical="center"/>
    </xf>
    <xf numFmtId="166" fontId="12" fillId="0" borderId="151" xfId="43" applyNumberFormat="1" applyBorder="1" applyAlignment="1">
      <alignment horizontal="center" vertical="center"/>
    </xf>
    <xf numFmtId="0" fontId="10" fillId="0" borderId="91" xfId="38" applyFont="1" applyBorder="1" applyAlignment="1">
      <alignment horizontal="center" vertical="center"/>
    </xf>
    <xf numFmtId="0" fontId="44" fillId="0" borderId="91" xfId="0" applyFont="1" applyBorder="1" applyAlignment="1">
      <alignment horizontal="left" vertical="center"/>
    </xf>
    <xf numFmtId="0" fontId="44" fillId="0" borderId="92" xfId="0" applyFont="1" applyBorder="1" applyAlignment="1">
      <alignment horizontal="left" vertical="center"/>
    </xf>
    <xf numFmtId="0" fontId="44" fillId="0" borderId="91" xfId="0" applyFont="1" applyBorder="1" applyAlignment="1">
      <alignment horizontal="center" vertical="center" wrapText="1"/>
    </xf>
    <xf numFmtId="0" fontId="44" fillId="0" borderId="91" xfId="0" applyFont="1" applyBorder="1" applyAlignment="1">
      <alignment horizontal="left" vertical="center" wrapText="1"/>
    </xf>
    <xf numFmtId="0" fontId="44" fillId="0" borderId="100" xfId="0" applyFont="1" applyBorder="1" applyAlignment="1">
      <alignment horizontal="left" vertical="center"/>
    </xf>
    <xf numFmtId="166" fontId="12" fillId="0" borderId="100" xfId="43" applyNumberFormat="1" applyBorder="1" applyAlignment="1">
      <alignment horizontal="center" vertical="center"/>
    </xf>
    <xf numFmtId="166" fontId="12" fillId="0" borderId="153" xfId="43" applyNumberFormat="1" applyBorder="1" applyAlignment="1">
      <alignment horizontal="center" vertical="center"/>
    </xf>
    <xf numFmtId="0" fontId="44" fillId="0" borderId="100" xfId="0" applyFont="1" applyBorder="1" applyAlignment="1">
      <alignment horizontal="center" vertical="center"/>
    </xf>
    <xf numFmtId="0" fontId="10" fillId="0" borderId="100" xfId="38" applyFont="1" applyBorder="1" applyAlignment="1">
      <alignment horizontal="center" vertical="center"/>
    </xf>
    <xf numFmtId="0" fontId="44" fillId="0" borderId="101" xfId="0" applyFont="1" applyBorder="1" applyAlignment="1">
      <alignment horizontal="left" vertical="center"/>
    </xf>
    <xf numFmtId="0" fontId="47" fillId="0" borderId="190" xfId="0" applyFont="1" applyBorder="1" applyAlignment="1">
      <alignment horizontal="left" vertical="center"/>
    </xf>
    <xf numFmtId="0" fontId="44" fillId="0" borderId="190" xfId="0" applyFont="1" applyBorder="1" applyAlignment="1">
      <alignment horizontal="left" vertical="center"/>
    </xf>
    <xf numFmtId="0" fontId="47" fillId="0" borderId="190" xfId="0" applyFont="1" applyBorder="1" applyAlignment="1">
      <alignment horizontal="left" vertical="center" wrapText="1"/>
    </xf>
    <xf numFmtId="0" fontId="44" fillId="0" borderId="190" xfId="0" applyFont="1" applyBorder="1" applyAlignment="1">
      <alignment horizontal="left" vertical="center" wrapText="1"/>
    </xf>
    <xf numFmtId="0" fontId="44" fillId="0" borderId="106" xfId="0" applyFont="1" applyBorder="1" applyAlignment="1">
      <alignment horizontal="left" vertical="center" wrapText="1"/>
    </xf>
    <xf numFmtId="0" fontId="47" fillId="0" borderId="106" xfId="0" applyFont="1" applyBorder="1" applyAlignment="1">
      <alignment horizontal="left" vertical="center" wrapText="1"/>
    </xf>
    <xf numFmtId="0" fontId="44" fillId="0" borderId="106" xfId="0" applyFont="1" applyBorder="1" applyAlignment="1">
      <alignment horizontal="left" vertical="center"/>
    </xf>
    <xf numFmtId="0" fontId="0" fillId="0" borderId="132" xfId="0" applyBorder="1" applyAlignment="1">
      <alignment horizontal="left" vertical="center"/>
    </xf>
    <xf numFmtId="0" fontId="4" fillId="0" borderId="170" xfId="0" applyFont="1" applyBorder="1" applyAlignment="1">
      <alignment horizontal="left" vertical="center"/>
    </xf>
    <xf numFmtId="0" fontId="4" fillId="0" borderId="190" xfId="0" applyFont="1" applyBorder="1" applyAlignment="1">
      <alignment horizontal="left" vertical="center"/>
    </xf>
    <xf numFmtId="0" fontId="4" fillId="0" borderId="89" xfId="0" applyFont="1" applyBorder="1" applyAlignment="1">
      <alignment horizontal="left" vertical="center"/>
    </xf>
    <xf numFmtId="0" fontId="4" fillId="0" borderId="106" xfId="0" applyFont="1" applyBorder="1" applyAlignment="1">
      <alignment horizontal="left" vertical="center"/>
    </xf>
    <xf numFmtId="0" fontId="47" fillId="0" borderId="198" xfId="0" applyFont="1" applyBorder="1" applyAlignment="1">
      <alignment horizontal="left" vertical="center"/>
    </xf>
    <xf numFmtId="0" fontId="47" fillId="0" borderId="205" xfId="0" applyFont="1" applyBorder="1" applyAlignment="1">
      <alignment horizontal="left" vertical="center"/>
    </xf>
    <xf numFmtId="0" fontId="47" fillId="0" borderId="190" xfId="0" quotePrefix="1" applyFont="1" applyBorder="1" applyAlignment="1">
      <alignment horizontal="left" vertical="center"/>
    </xf>
    <xf numFmtId="0" fontId="47" fillId="0" borderId="170" xfId="0" applyFont="1" applyBorder="1" applyAlignment="1">
      <alignment horizontal="left" vertical="center"/>
    </xf>
    <xf numFmtId="0" fontId="88" fillId="0" borderId="0" xfId="2" applyFont="1" applyAlignment="1">
      <alignment horizontal="left" vertical="center" wrapText="1"/>
    </xf>
    <xf numFmtId="0" fontId="47" fillId="0" borderId="191" xfId="0" applyFont="1" applyBorder="1" applyAlignment="1">
      <alignment horizontal="left" vertical="center" wrapText="1"/>
    </xf>
    <xf numFmtId="0" fontId="44" fillId="0" borderId="191" xfId="0" applyFont="1" applyBorder="1" applyAlignment="1">
      <alignment horizontal="left" vertical="center" wrapText="1"/>
    </xf>
    <xf numFmtId="0" fontId="47" fillId="0" borderId="191" xfId="0" applyFont="1" applyBorder="1" applyAlignment="1">
      <alignment horizontal="left" vertical="center"/>
    </xf>
    <xf numFmtId="0" fontId="44" fillId="0" borderId="193" xfId="0" applyFont="1" applyBorder="1" applyAlignment="1">
      <alignment horizontal="left" vertical="center" wrapText="1"/>
    </xf>
    <xf numFmtId="166" fontId="47" fillId="0" borderId="193" xfId="0" applyNumberFormat="1" applyFont="1" applyBorder="1" applyAlignment="1">
      <alignment horizontal="left" vertical="center" wrapText="1"/>
    </xf>
    <xf numFmtId="0" fontId="44" fillId="0" borderId="139" xfId="0" applyFont="1" applyBorder="1" applyAlignment="1">
      <alignment horizontal="left" vertical="center" wrapText="1"/>
    </xf>
    <xf numFmtId="0" fontId="0" fillId="0" borderId="133" xfId="0" applyBorder="1" applyAlignment="1">
      <alignment horizontal="left" vertical="center"/>
    </xf>
    <xf numFmtId="0" fontId="4" fillId="0" borderId="171" xfId="0" applyFont="1" applyBorder="1" applyAlignment="1">
      <alignment horizontal="left" vertical="center" wrapText="1"/>
    </xf>
    <xf numFmtId="0" fontId="4" fillId="0" borderId="191" xfId="0" applyFont="1" applyBorder="1" applyAlignment="1">
      <alignment horizontal="left" vertical="center" wrapText="1"/>
    </xf>
    <xf numFmtId="0" fontId="4" fillId="0" borderId="139" xfId="0" applyFont="1" applyBorder="1" applyAlignment="1">
      <alignment horizontal="left" vertical="center" wrapText="1"/>
    </xf>
    <xf numFmtId="0" fontId="4" fillId="0" borderId="193" xfId="0" applyFont="1" applyBorder="1" applyAlignment="1">
      <alignment horizontal="left" vertical="center" wrapText="1"/>
    </xf>
    <xf numFmtId="0" fontId="47" fillId="0" borderId="199" xfId="0" applyFont="1" applyBorder="1" applyAlignment="1">
      <alignment horizontal="left" vertical="center" wrapText="1"/>
    </xf>
    <xf numFmtId="0" fontId="47" fillId="0" borderId="193" xfId="0" applyFont="1" applyBorder="1" applyAlignment="1">
      <alignment horizontal="left" vertical="center" wrapText="1"/>
    </xf>
    <xf numFmtId="0" fontId="47" fillId="0" borderId="206" xfId="0" applyFont="1" applyBorder="1" applyAlignment="1">
      <alignment horizontal="left" vertical="center" wrapText="1"/>
    </xf>
    <xf numFmtId="0" fontId="47" fillId="0" borderId="191" xfId="0" quotePrefix="1" applyFont="1" applyBorder="1" applyAlignment="1">
      <alignment horizontal="left" vertical="center" wrapText="1"/>
    </xf>
    <xf numFmtId="0" fontId="47" fillId="0" borderId="206" xfId="0" quotePrefix="1" applyFont="1" applyBorder="1" applyAlignment="1">
      <alignment horizontal="left" vertical="center" wrapText="1"/>
    </xf>
    <xf numFmtId="0" fontId="47" fillId="0" borderId="139" xfId="0" quotePrefix="1" applyFont="1" applyBorder="1" applyAlignment="1">
      <alignment horizontal="left" vertical="center" wrapText="1"/>
    </xf>
    <xf numFmtId="8" fontId="47" fillId="0" borderId="191" xfId="0" applyNumberFormat="1" applyFont="1" applyBorder="1" applyAlignment="1">
      <alignment horizontal="left" vertical="center" wrapText="1"/>
    </xf>
    <xf numFmtId="8" fontId="47" fillId="0" borderId="193" xfId="0" applyNumberFormat="1" applyFont="1" applyBorder="1" applyAlignment="1">
      <alignment horizontal="left" vertical="center" wrapText="1"/>
    </xf>
    <xf numFmtId="8" fontId="47" fillId="0" borderId="139" xfId="0" applyNumberFormat="1" applyFont="1" applyBorder="1" applyAlignment="1">
      <alignment horizontal="left" vertical="center" wrapText="1"/>
    </xf>
    <xf numFmtId="8" fontId="0" fillId="0" borderId="139" xfId="0" applyNumberFormat="1" applyBorder="1" applyAlignment="1">
      <alignment horizontal="left" vertical="center" wrapText="1"/>
    </xf>
    <xf numFmtId="0" fontId="44" fillId="0" borderId="191" xfId="0" quotePrefix="1" applyFont="1" applyBorder="1" applyAlignment="1">
      <alignment horizontal="left" vertical="center" wrapText="1"/>
    </xf>
    <xf numFmtId="0" fontId="44" fillId="0" borderId="193" xfId="0" quotePrefix="1" applyFont="1" applyBorder="1" applyAlignment="1">
      <alignment horizontal="left" vertical="center" wrapText="1"/>
    </xf>
    <xf numFmtId="0" fontId="47" fillId="0" borderId="199" xfId="0" quotePrefix="1" applyFont="1" applyBorder="1" applyAlignment="1">
      <alignment horizontal="left" vertical="center" wrapText="1"/>
    </xf>
    <xf numFmtId="0" fontId="47" fillId="0" borderId="193" xfId="0" quotePrefix="1" applyFont="1" applyBorder="1" applyAlignment="1">
      <alignment horizontal="left" vertical="center" wrapText="1"/>
    </xf>
    <xf numFmtId="0" fontId="47" fillId="0" borderId="179" xfId="0" applyFont="1" applyBorder="1" applyAlignment="1">
      <alignment horizontal="left" vertical="center" wrapText="1"/>
    </xf>
    <xf numFmtId="0" fontId="86" fillId="0" borderId="0" xfId="0" applyFont="1" applyAlignment="1">
      <alignment horizontal="left" vertical="center"/>
    </xf>
    <xf numFmtId="164" fontId="47" fillId="0" borderId="191" xfId="0" applyNumberFormat="1" applyFont="1" applyBorder="1" applyAlignment="1">
      <alignment horizontal="left" vertical="center"/>
    </xf>
    <xf numFmtId="164" fontId="44" fillId="0" borderId="191" xfId="0" applyNumberFormat="1" applyFont="1" applyBorder="1" applyAlignment="1">
      <alignment horizontal="left" vertical="center"/>
    </xf>
    <xf numFmtId="2" fontId="47" fillId="0" borderId="191" xfId="0" applyNumberFormat="1" applyFont="1" applyBorder="1" applyAlignment="1">
      <alignment horizontal="left" vertical="center"/>
    </xf>
    <xf numFmtId="164" fontId="44" fillId="0" borderId="191" xfId="0" applyNumberFormat="1" applyFont="1" applyBorder="1" applyAlignment="1">
      <alignment horizontal="left" vertical="center" wrapText="1"/>
    </xf>
    <xf numFmtId="164" fontId="44" fillId="0" borderId="193" xfId="0" applyNumberFormat="1" applyFont="1" applyBorder="1" applyAlignment="1">
      <alignment horizontal="left" vertical="center" wrapText="1"/>
    </xf>
    <xf numFmtId="164" fontId="0" fillId="0" borderId="0" xfId="0" applyNumberFormat="1" applyAlignment="1">
      <alignment horizontal="left" vertical="center"/>
    </xf>
    <xf numFmtId="2" fontId="47" fillId="0" borderId="193" xfId="0" applyNumberFormat="1" applyFont="1" applyBorder="1" applyAlignment="1">
      <alignment horizontal="left" vertical="center"/>
    </xf>
    <xf numFmtId="164" fontId="47" fillId="0" borderId="139" xfId="0" quotePrefix="1" applyNumberFormat="1" applyFont="1" applyBorder="1" applyAlignment="1">
      <alignment horizontal="left" vertical="center"/>
    </xf>
    <xf numFmtId="164" fontId="44" fillId="0" borderId="193" xfId="0" applyNumberFormat="1" applyFont="1" applyBorder="1" applyAlignment="1">
      <alignment horizontal="left" vertical="center"/>
    </xf>
    <xf numFmtId="0" fontId="44" fillId="0" borderId="191" xfId="0" quotePrefix="1" applyFont="1" applyBorder="1" applyAlignment="1">
      <alignment horizontal="left" vertical="center"/>
    </xf>
    <xf numFmtId="2" fontId="44" fillId="0" borderId="193" xfId="0" applyNumberFormat="1" applyFont="1" applyBorder="1" applyAlignment="1">
      <alignment horizontal="left" vertical="center"/>
    </xf>
    <xf numFmtId="164" fontId="33" fillId="0" borderId="0" xfId="0" applyNumberFormat="1" applyFont="1" applyAlignment="1">
      <alignment horizontal="left" vertical="center"/>
    </xf>
    <xf numFmtId="2" fontId="4" fillId="0" borderId="171" xfId="0" applyNumberFormat="1" applyFont="1" applyBorder="1" applyAlignment="1">
      <alignment horizontal="left" vertical="center"/>
    </xf>
    <xf numFmtId="0" fontId="4" fillId="0" borderId="191" xfId="0" applyFont="1" applyBorder="1" applyAlignment="1">
      <alignment horizontal="left" vertical="center"/>
    </xf>
    <xf numFmtId="2" fontId="4" fillId="0" borderId="139" xfId="0" applyNumberFormat="1" applyFont="1" applyBorder="1" applyAlignment="1">
      <alignment horizontal="left" vertical="center" wrapText="1"/>
    </xf>
    <xf numFmtId="2" fontId="4" fillId="0" borderId="139" xfId="0" applyNumberFormat="1" applyFont="1" applyBorder="1" applyAlignment="1">
      <alignment horizontal="left" vertical="center"/>
    </xf>
    <xf numFmtId="164" fontId="47" fillId="0" borderId="199" xfId="0" quotePrefix="1" applyNumberFormat="1" applyFont="1" applyBorder="1" applyAlignment="1">
      <alignment horizontal="left" vertical="center"/>
    </xf>
    <xf numFmtId="164" fontId="47" fillId="0" borderId="191" xfId="0" quotePrefix="1" applyNumberFormat="1" applyFont="1" applyBorder="1" applyAlignment="1">
      <alignment horizontal="left" vertical="center"/>
    </xf>
    <xf numFmtId="0" fontId="47" fillId="0" borderId="139" xfId="0" applyFont="1" applyBorder="1" applyAlignment="1">
      <alignment horizontal="left" vertical="center"/>
    </xf>
    <xf numFmtId="0" fontId="47" fillId="0" borderId="193" xfId="0" applyFont="1" applyBorder="1" applyAlignment="1">
      <alignment horizontal="left" vertical="center"/>
    </xf>
    <xf numFmtId="2" fontId="47" fillId="0" borderId="206" xfId="0" applyNumberFormat="1" applyFont="1" applyBorder="1" applyAlignment="1">
      <alignment horizontal="left" vertical="center"/>
    </xf>
    <xf numFmtId="0" fontId="47" fillId="0" borderId="139" xfId="0" quotePrefix="1" applyFont="1" applyBorder="1" applyAlignment="1">
      <alignment horizontal="left" vertical="center"/>
    </xf>
    <xf numFmtId="0" fontId="47" fillId="0" borderId="191" xfId="0" quotePrefix="1" applyFont="1" applyBorder="1" applyAlignment="1">
      <alignment horizontal="left" vertical="center"/>
    </xf>
    <xf numFmtId="2" fontId="47" fillId="0" borderId="0" xfId="0" applyNumberFormat="1" applyFont="1" applyAlignment="1">
      <alignment horizontal="left" vertical="center"/>
    </xf>
    <xf numFmtId="0" fontId="44" fillId="0" borderId="193" xfId="0" applyFont="1" applyBorder="1" applyAlignment="1">
      <alignment horizontal="left" vertical="center"/>
    </xf>
    <xf numFmtId="0" fontId="44" fillId="0" borderId="193" xfId="0" quotePrefix="1" applyFont="1" applyBorder="1" applyAlignment="1">
      <alignment horizontal="left" vertical="center"/>
    </xf>
    <xf numFmtId="0" fontId="4" fillId="0" borderId="171" xfId="0" applyFont="1" applyBorder="1" applyAlignment="1">
      <alignment horizontal="left" vertical="center"/>
    </xf>
    <xf numFmtId="0" fontId="47" fillId="0" borderId="199" xfId="0" applyFont="1" applyBorder="1" applyAlignment="1">
      <alignment horizontal="left" vertical="center"/>
    </xf>
    <xf numFmtId="0" fontId="47" fillId="0" borderId="206" xfId="0" quotePrefix="1" applyFont="1" applyBorder="1" applyAlignment="1">
      <alignment horizontal="left" vertical="center"/>
    </xf>
    <xf numFmtId="0" fontId="44" fillId="0" borderId="0" xfId="0" applyFont="1" applyAlignment="1">
      <alignment horizontal="left" vertical="center" wrapText="1"/>
    </xf>
    <xf numFmtId="0" fontId="0" fillId="0" borderId="0" xfId="0" quotePrefix="1" applyAlignment="1">
      <alignment horizontal="left" vertical="center"/>
    </xf>
    <xf numFmtId="0" fontId="47" fillId="0" borderId="193" xfId="0" quotePrefix="1" applyFont="1" applyBorder="1" applyAlignment="1">
      <alignment horizontal="left" vertical="center"/>
    </xf>
    <xf numFmtId="0" fontId="47" fillId="0" borderId="0" xfId="0" quotePrefix="1" applyFont="1" applyAlignment="1">
      <alignment horizontal="left" vertical="center"/>
    </xf>
    <xf numFmtId="0" fontId="51" fillId="0" borderId="191" xfId="0" applyFont="1" applyBorder="1" applyAlignment="1">
      <alignment horizontal="left" vertical="center"/>
    </xf>
    <xf numFmtId="0" fontId="47" fillId="0" borderId="133" xfId="0" applyFont="1" applyBorder="1" applyAlignment="1">
      <alignment horizontal="left" vertical="center"/>
    </xf>
    <xf numFmtId="0" fontId="3" fillId="0" borderId="191" xfId="0" applyFont="1" applyBorder="1" applyAlignment="1">
      <alignment horizontal="left" vertical="center"/>
    </xf>
    <xf numFmtId="0" fontId="4" fillId="0" borderId="139" xfId="0" applyFont="1" applyBorder="1" applyAlignment="1">
      <alignment horizontal="left" vertical="center"/>
    </xf>
    <xf numFmtId="0" fontId="4" fillId="0" borderId="193" xfId="0" applyFont="1" applyBorder="1" applyAlignment="1">
      <alignment horizontal="left" vertical="center"/>
    </xf>
    <xf numFmtId="0" fontId="47" fillId="0" borderId="206" xfId="0" applyFont="1" applyBorder="1" applyAlignment="1">
      <alignment horizontal="left" vertical="center"/>
    </xf>
    <xf numFmtId="0" fontId="47" fillId="0" borderId="192" xfId="0" applyFont="1" applyBorder="1" applyAlignment="1">
      <alignment horizontal="left" vertical="center"/>
    </xf>
    <xf numFmtId="0" fontId="47" fillId="0" borderId="192" xfId="0" applyFont="1" applyBorder="1" applyAlignment="1">
      <alignment horizontal="center" vertical="center"/>
    </xf>
    <xf numFmtId="0" fontId="0" fillId="0" borderId="192" xfId="0" applyBorder="1" applyAlignment="1">
      <alignment horizontal="left" vertical="center"/>
    </xf>
    <xf numFmtId="0" fontId="44" fillId="0" borderId="192" xfId="0" applyFont="1" applyBorder="1" applyAlignment="1">
      <alignment horizontal="left" vertical="center" wrapText="1"/>
    </xf>
    <xf numFmtId="0" fontId="44" fillId="0" borderId="108" xfId="0" applyFont="1" applyBorder="1" applyAlignment="1">
      <alignment horizontal="left" vertical="center" wrapText="1"/>
    </xf>
    <xf numFmtId="0" fontId="44" fillId="0" borderId="90" xfId="0" applyFont="1" applyBorder="1" applyAlignment="1">
      <alignment horizontal="left" vertical="center"/>
    </xf>
    <xf numFmtId="0" fontId="44" fillId="0" borderId="108" xfId="0" applyFont="1" applyBorder="1" applyAlignment="1">
      <alignment horizontal="left" vertical="center"/>
    </xf>
    <xf numFmtId="0" fontId="0" fillId="0" borderId="134" xfId="0" applyBorder="1" applyAlignment="1">
      <alignment horizontal="left" vertical="center"/>
    </xf>
    <xf numFmtId="0" fontId="4" fillId="0" borderId="172" xfId="0" applyFont="1" applyBorder="1" applyAlignment="1">
      <alignment horizontal="left" vertical="center"/>
    </xf>
    <xf numFmtId="0" fontId="4" fillId="0" borderId="192" xfId="0" applyFont="1" applyBorder="1" applyAlignment="1">
      <alignment horizontal="left" vertical="center"/>
    </xf>
    <xf numFmtId="0" fontId="4" fillId="0" borderId="90" xfId="0" applyFont="1" applyBorder="1" applyAlignment="1">
      <alignment horizontal="left" vertical="center"/>
    </xf>
    <xf numFmtId="0" fontId="4" fillId="0" borderId="108" xfId="0" applyFont="1" applyBorder="1" applyAlignment="1">
      <alignment horizontal="left" vertical="center"/>
    </xf>
    <xf numFmtId="0" fontId="47" fillId="0" borderId="200" xfId="0" applyFont="1" applyBorder="1" applyAlignment="1">
      <alignment horizontal="left" vertical="center" wrapText="1"/>
    </xf>
    <xf numFmtId="0" fontId="47" fillId="0" borderId="207" xfId="0" applyFont="1" applyBorder="1" applyAlignment="1">
      <alignment horizontal="left" vertical="center" wrapText="1"/>
    </xf>
    <xf numFmtId="0" fontId="47" fillId="0" borderId="207" xfId="0" applyFont="1" applyBorder="1" applyAlignment="1">
      <alignment horizontal="left" vertical="center"/>
    </xf>
    <xf numFmtId="0" fontId="47" fillId="0" borderId="0" xfId="0" applyFont="1" applyAlignment="1">
      <alignment horizontal="center" vertical="center"/>
    </xf>
    <xf numFmtId="0" fontId="86" fillId="0" borderId="193" xfId="0" applyFont="1" applyBorder="1" applyAlignment="1">
      <alignment horizontal="left" vertical="center" wrapText="1"/>
    </xf>
    <xf numFmtId="0" fontId="0" fillId="46" borderId="191" xfId="0" applyFill="1" applyBorder="1" applyAlignment="1">
      <alignment horizontal="left" vertical="center"/>
    </xf>
    <xf numFmtId="0" fontId="44" fillId="46" borderId="191" xfId="0" applyFont="1" applyFill="1" applyBorder="1" applyAlignment="1">
      <alignment horizontal="left"/>
    </xf>
    <xf numFmtId="0" fontId="0" fillId="46" borderId="191" xfId="0" applyFill="1" applyBorder="1" applyAlignment="1">
      <alignment horizontal="left"/>
    </xf>
    <xf numFmtId="0" fontId="51" fillId="0" borderId="0" xfId="0" applyFont="1" applyAlignment="1">
      <alignment vertical="center"/>
    </xf>
    <xf numFmtId="0" fontId="47" fillId="15" borderId="205" xfId="0" applyFont="1" applyFill="1" applyBorder="1" applyAlignment="1">
      <alignment horizontal="left" vertical="center" wrapText="1"/>
    </xf>
    <xf numFmtId="0" fontId="47" fillId="15" borderId="206" xfId="0" applyFont="1" applyFill="1" applyBorder="1" applyAlignment="1">
      <alignment horizontal="left" vertical="center" wrapText="1"/>
    </xf>
    <xf numFmtId="164" fontId="47" fillId="15" borderId="206" xfId="0" applyNumberFormat="1" applyFont="1" applyFill="1" applyBorder="1" applyAlignment="1">
      <alignment horizontal="left" vertical="center"/>
    </xf>
    <xf numFmtId="0" fontId="47" fillId="15" borderId="206" xfId="0" applyFont="1" applyFill="1" applyBorder="1" applyAlignment="1">
      <alignment horizontal="left" vertical="center"/>
    </xf>
    <xf numFmtId="0" fontId="47" fillId="15" borderId="207" xfId="0" applyFont="1" applyFill="1" applyBorder="1" applyAlignment="1">
      <alignment horizontal="left" vertical="center" wrapText="1"/>
    </xf>
    <xf numFmtId="0" fontId="47" fillId="15" borderId="212" xfId="0" applyFont="1" applyFill="1" applyBorder="1" applyAlignment="1">
      <alignment horizontal="left" vertical="center" wrapText="1"/>
    </xf>
    <xf numFmtId="0" fontId="47" fillId="15" borderId="139" xfId="0" applyFont="1" applyFill="1" applyBorder="1" applyAlignment="1">
      <alignment horizontal="left" vertical="center" wrapText="1"/>
    </xf>
    <xf numFmtId="164" fontId="47" fillId="15" borderId="139" xfId="0" applyNumberFormat="1" applyFont="1" applyFill="1" applyBorder="1" applyAlignment="1">
      <alignment horizontal="left" vertical="center"/>
    </xf>
    <xf numFmtId="0" fontId="47" fillId="15" borderId="139" xfId="0" applyFont="1" applyFill="1" applyBorder="1" applyAlignment="1">
      <alignment horizontal="left" vertical="center"/>
    </xf>
    <xf numFmtId="0" fontId="47" fillId="15" borderId="213" xfId="0" applyFont="1" applyFill="1" applyBorder="1" applyAlignment="1">
      <alignment horizontal="left" vertical="center" wrapText="1"/>
    </xf>
    <xf numFmtId="164" fontId="47" fillId="15" borderId="139" xfId="0" quotePrefix="1" applyNumberFormat="1" applyFont="1" applyFill="1" applyBorder="1" applyAlignment="1">
      <alignment horizontal="left" vertical="center"/>
    </xf>
    <xf numFmtId="0" fontId="47" fillId="15" borderId="103" xfId="0" applyFont="1" applyFill="1" applyBorder="1" applyAlignment="1">
      <alignment horizontal="left" vertical="center" wrapText="1"/>
    </xf>
    <xf numFmtId="0" fontId="47" fillId="15" borderId="82" xfId="0" applyFont="1" applyFill="1" applyBorder="1" applyAlignment="1">
      <alignment horizontal="left" vertical="center" wrapText="1"/>
    </xf>
    <xf numFmtId="164" fontId="47" fillId="15" borderId="82" xfId="0" quotePrefix="1" applyNumberFormat="1" applyFont="1" applyFill="1" applyBorder="1" applyAlignment="1">
      <alignment horizontal="left" vertical="center"/>
    </xf>
    <xf numFmtId="0" fontId="47" fillId="15" borderId="82" xfId="0" applyFont="1" applyFill="1" applyBorder="1" applyAlignment="1">
      <alignment horizontal="left" vertical="center"/>
    </xf>
    <xf numFmtId="0" fontId="47" fillId="15" borderId="104" xfId="0" applyFont="1" applyFill="1" applyBorder="1" applyAlignment="1">
      <alignment horizontal="left" vertical="center" wrapText="1"/>
    </xf>
    <xf numFmtId="0" fontId="47" fillId="15" borderId="205" xfId="0" applyFont="1" applyFill="1" applyBorder="1" applyAlignment="1">
      <alignment horizontal="left" vertical="center"/>
    </xf>
    <xf numFmtId="0" fontId="47" fillId="15" borderId="207" xfId="0" applyFont="1" applyFill="1" applyBorder="1" applyAlignment="1">
      <alignment horizontal="left" vertical="center"/>
    </xf>
    <xf numFmtId="0" fontId="47" fillId="15" borderId="212" xfId="0" applyFont="1" applyFill="1" applyBorder="1" applyAlignment="1">
      <alignment horizontal="left" vertical="center"/>
    </xf>
    <xf numFmtId="0" fontId="47" fillId="15" borderId="213" xfId="0" applyFont="1" applyFill="1" applyBorder="1" applyAlignment="1">
      <alignment horizontal="left" vertical="center"/>
    </xf>
    <xf numFmtId="0" fontId="47" fillId="15" borderId="103" xfId="0" applyFont="1" applyFill="1" applyBorder="1" applyAlignment="1">
      <alignment horizontal="left" vertical="center"/>
    </xf>
    <xf numFmtId="164" fontId="47" fillId="15" borderId="82" xfId="0" applyNumberFormat="1" applyFont="1" applyFill="1" applyBorder="1" applyAlignment="1">
      <alignment horizontal="left" vertical="center"/>
    </xf>
    <xf numFmtId="0" fontId="47" fillId="15" borderId="104" xfId="0" applyFont="1" applyFill="1" applyBorder="1" applyAlignment="1">
      <alignment horizontal="left" vertical="center"/>
    </xf>
    <xf numFmtId="0" fontId="55" fillId="13" borderId="208" xfId="12" applyFont="1" applyFill="1" applyBorder="1"/>
    <xf numFmtId="0" fontId="55" fillId="13" borderId="202" xfId="12" applyFont="1" applyFill="1" applyBorder="1" applyAlignment="1">
      <alignment horizontal="center"/>
    </xf>
    <xf numFmtId="0" fontId="55" fillId="13" borderId="203" xfId="12" applyFont="1" applyFill="1" applyBorder="1" applyAlignment="1">
      <alignment horizontal="center" vertical="top" wrapText="1"/>
    </xf>
    <xf numFmtId="0" fontId="55" fillId="13" borderId="203" xfId="12" applyFont="1" applyFill="1" applyBorder="1" applyAlignment="1">
      <alignment horizontal="center" vertical="center" wrapText="1"/>
    </xf>
    <xf numFmtId="0" fontId="55" fillId="13" borderId="204" xfId="12" applyFont="1" applyFill="1" applyBorder="1" applyAlignment="1">
      <alignment horizontal="center" vertical="top" wrapText="1"/>
    </xf>
    <xf numFmtId="0" fontId="44" fillId="0" borderId="205" xfId="0" applyFont="1" applyBorder="1"/>
    <xf numFmtId="0" fontId="44" fillId="0" borderId="206" xfId="0" applyFont="1" applyBorder="1"/>
    <xf numFmtId="0" fontId="44" fillId="0" borderId="206" xfId="0" applyFont="1" applyBorder="1" applyAlignment="1">
      <alignment horizontal="center"/>
    </xf>
    <xf numFmtId="0" fontId="44" fillId="0" borderId="207" xfId="0" applyFont="1" applyBorder="1"/>
    <xf numFmtId="0" fontId="44" fillId="0" borderId="212" xfId="0" applyFont="1" applyBorder="1"/>
    <xf numFmtId="0" fontId="44" fillId="0" borderId="213" xfId="0" applyFont="1" applyBorder="1"/>
    <xf numFmtId="0" fontId="44" fillId="0" borderId="106" xfId="22" applyFont="1" applyBorder="1"/>
    <xf numFmtId="0" fontId="44" fillId="0" borderId="193" xfId="22" applyFont="1" applyBorder="1"/>
    <xf numFmtId="0" fontId="44" fillId="0" borderId="193" xfId="22" applyFont="1" applyBorder="1" applyAlignment="1">
      <alignment horizontal="center"/>
    </xf>
    <xf numFmtId="0" fontId="44" fillId="0" borderId="108" xfId="22" applyFont="1" applyBorder="1"/>
    <xf numFmtId="0" fontId="47" fillId="15" borderId="85" xfId="0" applyFont="1" applyFill="1" applyBorder="1" applyAlignment="1">
      <alignment horizontal="left" vertical="center" wrapText="1"/>
    </xf>
    <xf numFmtId="164" fontId="47" fillId="15" borderId="85" xfId="0" applyNumberFormat="1" applyFont="1" applyFill="1" applyBorder="1" applyAlignment="1">
      <alignment horizontal="left" vertical="center"/>
    </xf>
    <xf numFmtId="0" fontId="47" fillId="15" borderId="85" xfId="0" applyFont="1" applyFill="1" applyBorder="1" applyAlignment="1">
      <alignment horizontal="left" vertical="center"/>
    </xf>
    <xf numFmtId="0" fontId="47" fillId="15" borderId="202" xfId="0" applyFont="1" applyFill="1" applyBorder="1" applyAlignment="1">
      <alignment horizontal="left" vertical="center"/>
    </xf>
    <xf numFmtId="0" fontId="47" fillId="15" borderId="203" xfId="0" applyFont="1" applyFill="1" applyBorder="1" applyAlignment="1">
      <alignment horizontal="left" vertical="center" wrapText="1"/>
    </xf>
    <xf numFmtId="164" fontId="47" fillId="15" borderId="203" xfId="0" applyNumberFormat="1" applyFont="1" applyFill="1" applyBorder="1" applyAlignment="1">
      <alignment horizontal="left" vertical="center"/>
    </xf>
    <xf numFmtId="0" fontId="47" fillId="15" borderId="203" xfId="0" applyFont="1" applyFill="1" applyBorder="1" applyAlignment="1">
      <alignment horizontal="left" vertical="center"/>
    </xf>
    <xf numFmtId="0" fontId="47" fillId="15" borderId="204" xfId="0" quotePrefix="1" applyFont="1" applyFill="1" applyBorder="1" applyAlignment="1">
      <alignment horizontal="left" vertical="center"/>
    </xf>
    <xf numFmtId="0" fontId="47" fillId="15" borderId="202" xfId="0" applyFont="1" applyFill="1" applyBorder="1" applyAlignment="1">
      <alignment horizontal="left" vertical="center" wrapText="1"/>
    </xf>
    <xf numFmtId="2" fontId="47" fillId="15" borderId="203" xfId="0" applyNumberFormat="1" applyFont="1" applyFill="1" applyBorder="1" applyAlignment="1">
      <alignment horizontal="left" vertical="center" wrapText="1"/>
    </xf>
    <xf numFmtId="165" fontId="47" fillId="15" borderId="203" xfId="0" applyNumberFormat="1" applyFont="1" applyFill="1" applyBorder="1" applyAlignment="1">
      <alignment horizontal="center" vertical="center" wrapText="1"/>
    </xf>
    <xf numFmtId="0" fontId="47" fillId="15" borderId="203" xfId="0" applyFont="1" applyFill="1" applyBorder="1" applyAlignment="1">
      <alignment horizontal="center" vertical="center" wrapText="1"/>
    </xf>
    <xf numFmtId="0" fontId="47" fillId="15" borderId="204" xfId="0" applyFont="1" applyFill="1" applyBorder="1" applyAlignment="1">
      <alignment horizontal="left" vertical="center" wrapText="1"/>
    </xf>
    <xf numFmtId="0" fontId="47" fillId="9" borderId="212" xfId="0" applyFont="1" applyFill="1" applyBorder="1" applyAlignment="1">
      <alignment horizontal="left" vertical="center" wrapText="1"/>
    </xf>
    <xf numFmtId="2" fontId="47" fillId="9" borderId="139" xfId="0" applyNumberFormat="1" applyFont="1" applyFill="1" applyBorder="1" applyAlignment="1">
      <alignment horizontal="left" vertical="center" wrapText="1"/>
    </xf>
    <xf numFmtId="2" fontId="47" fillId="9" borderId="139" xfId="0" applyNumberFormat="1" applyFont="1" applyFill="1" applyBorder="1" applyAlignment="1">
      <alignment horizontal="center" vertical="center" wrapText="1"/>
    </xf>
    <xf numFmtId="0" fontId="47" fillId="9" borderId="139" xfId="0" applyFont="1" applyFill="1" applyBorder="1" applyAlignment="1">
      <alignment horizontal="center" vertical="center" wrapText="1"/>
    </xf>
    <xf numFmtId="0" fontId="47" fillId="9" borderId="139" xfId="0" applyFont="1" applyFill="1" applyBorder="1" applyAlignment="1">
      <alignment horizontal="left" vertical="center" wrapText="1"/>
    </xf>
    <xf numFmtId="0" fontId="47" fillId="9" borderId="213" xfId="0" applyFont="1" applyFill="1" applyBorder="1" applyAlignment="1">
      <alignment horizontal="left" vertical="center" wrapText="1"/>
    </xf>
    <xf numFmtId="0" fontId="46" fillId="7" borderId="203" xfId="0" applyFont="1" applyFill="1" applyBorder="1" applyAlignment="1">
      <alignment horizontal="center" vertical="center"/>
    </xf>
    <xf numFmtId="2" fontId="107" fillId="47" borderId="191" xfId="246" applyNumberFormat="1" applyBorder="1" applyAlignment="1">
      <alignment horizontal="center" vertical="center"/>
    </xf>
    <xf numFmtId="164" fontId="107" fillId="47" borderId="191" xfId="246" applyNumberFormat="1" applyBorder="1" applyAlignment="1">
      <alignment horizontal="center" vertical="center"/>
    </xf>
    <xf numFmtId="11" fontId="44" fillId="0" borderId="191" xfId="0" applyNumberFormat="1" applyFont="1" applyBorder="1" applyAlignment="1">
      <alignment horizontal="center" vertical="center"/>
    </xf>
    <xf numFmtId="1" fontId="107" fillId="47" borderId="191" xfId="246" applyNumberFormat="1" applyBorder="1" applyAlignment="1">
      <alignment horizontal="center" vertical="center"/>
    </xf>
    <xf numFmtId="11" fontId="12" fillId="0" borderId="191" xfId="43" applyNumberFormat="1" applyBorder="1" applyAlignment="1">
      <alignment horizontal="center"/>
    </xf>
    <xf numFmtId="0" fontId="107" fillId="47" borderId="191" xfId="246" applyBorder="1" applyAlignment="1">
      <alignment horizontal="center" vertical="center"/>
    </xf>
    <xf numFmtId="166" fontId="8" fillId="0" borderId="191" xfId="241" applyNumberFormat="1" applyBorder="1" applyAlignment="1">
      <alignment horizontal="center" vertical="center"/>
    </xf>
    <xf numFmtId="166" fontId="107" fillId="47" borderId="191" xfId="246" applyNumberFormat="1" applyBorder="1" applyAlignment="1">
      <alignment horizontal="center" vertical="center"/>
    </xf>
    <xf numFmtId="166" fontId="107" fillId="47" borderId="193" xfId="246" applyNumberFormat="1" applyBorder="1" applyAlignment="1">
      <alignment horizontal="center" vertical="center"/>
    </xf>
    <xf numFmtId="166" fontId="12" fillId="0" borderId="206" xfId="43" applyNumberFormat="1" applyBorder="1" applyAlignment="1">
      <alignment horizontal="center" vertical="center"/>
    </xf>
    <xf numFmtId="166" fontId="12" fillId="0" borderId="191" xfId="43" applyNumberFormat="1" applyBorder="1" applyAlignment="1">
      <alignment horizontal="center" vertical="center"/>
    </xf>
    <xf numFmtId="166" fontId="12" fillId="0" borderId="193" xfId="43" applyNumberFormat="1" applyBorder="1" applyAlignment="1">
      <alignment horizontal="center" vertical="center"/>
    </xf>
    <xf numFmtId="2" fontId="107" fillId="47" borderId="6" xfId="246" applyNumberFormat="1" applyBorder="1" applyAlignment="1">
      <alignment horizontal="center" vertical="center"/>
    </xf>
    <xf numFmtId="0" fontId="47" fillId="29" borderId="191" xfId="0" quotePrefix="1" applyFont="1" applyFill="1" applyBorder="1" applyAlignment="1">
      <alignment horizontal="center" vertical="center"/>
    </xf>
    <xf numFmtId="0" fontId="86" fillId="0" borderId="191" xfId="0" applyFont="1" applyBorder="1" applyAlignment="1">
      <alignment horizontal="left" vertical="center" wrapText="1"/>
    </xf>
    <xf numFmtId="2" fontId="47" fillId="9" borderId="193" xfId="0" applyNumberFormat="1" applyFont="1" applyFill="1" applyBorder="1" applyAlignment="1">
      <alignment horizontal="left" vertical="center" wrapText="1"/>
    </xf>
    <xf numFmtId="2" fontId="47" fillId="9" borderId="193" xfId="0" applyNumberFormat="1" applyFont="1" applyFill="1" applyBorder="1" applyAlignment="1">
      <alignment horizontal="center" vertical="center" wrapText="1"/>
    </xf>
    <xf numFmtId="0" fontId="47" fillId="9" borderId="193" xfId="0" applyFont="1" applyFill="1" applyBorder="1" applyAlignment="1">
      <alignment horizontal="center" vertical="center" wrapText="1"/>
    </xf>
    <xf numFmtId="164" fontId="0" fillId="0" borderId="191" xfId="0" applyNumberFormat="1" applyBorder="1" applyAlignment="1">
      <alignment horizontal="left" vertical="center"/>
    </xf>
    <xf numFmtId="0" fontId="44" fillId="31" borderId="192" xfId="0" applyFont="1" applyFill="1" applyBorder="1" applyAlignment="1">
      <alignment horizontal="left" vertical="center"/>
    </xf>
    <xf numFmtId="0" fontId="0" fillId="31" borderId="190" xfId="0" applyFill="1" applyBorder="1" applyAlignment="1">
      <alignment horizontal="center" vertical="center"/>
    </xf>
    <xf numFmtId="0" fontId="47" fillId="0" borderId="131" xfId="0" applyFont="1" applyBorder="1" applyAlignment="1">
      <alignment horizontal="center" vertical="center" wrapText="1"/>
    </xf>
    <xf numFmtId="0" fontId="47" fillId="0" borderId="88" xfId="0" applyFont="1" applyBorder="1" applyAlignment="1">
      <alignment horizontal="left" vertical="center"/>
    </xf>
    <xf numFmtId="0" fontId="47" fillId="0" borderId="115" xfId="0" applyFont="1" applyBorder="1" applyAlignment="1">
      <alignment horizontal="left" vertical="center"/>
    </xf>
    <xf numFmtId="0" fontId="47" fillId="0" borderId="94" xfId="0" applyFont="1" applyBorder="1" applyAlignment="1">
      <alignment horizontal="left" vertical="center"/>
    </xf>
    <xf numFmtId="0" fontId="47" fillId="0" borderId="119" xfId="0" applyFont="1" applyBorder="1" applyAlignment="1">
      <alignment horizontal="left" vertical="center"/>
    </xf>
    <xf numFmtId="0" fontId="47" fillId="0" borderId="120" xfId="0" applyFont="1" applyBorder="1" applyAlignment="1">
      <alignment horizontal="left" vertical="center"/>
    </xf>
    <xf numFmtId="0" fontId="47" fillId="0" borderId="63" xfId="0" applyFont="1" applyBorder="1" applyAlignment="1">
      <alignment horizontal="left" vertical="center"/>
    </xf>
    <xf numFmtId="0" fontId="55" fillId="7" borderId="118" xfId="0" applyFont="1" applyFill="1" applyBorder="1" applyAlignment="1">
      <alignment horizontal="left" vertical="center" wrapText="1"/>
    </xf>
    <xf numFmtId="0" fontId="55" fillId="7" borderId="15" xfId="0" applyFont="1" applyFill="1" applyBorder="1" applyAlignment="1">
      <alignment horizontal="left" vertical="center" wrapText="1"/>
    </xf>
    <xf numFmtId="0" fontId="55" fillId="7" borderId="3" xfId="0" applyFont="1" applyFill="1" applyBorder="1" applyAlignment="1">
      <alignment horizontal="left" vertical="center" wrapText="1"/>
    </xf>
    <xf numFmtId="0" fontId="47" fillId="0" borderId="116" xfId="0" applyFont="1" applyBorder="1" applyAlignment="1">
      <alignment horizontal="left" vertical="center"/>
    </xf>
    <xf numFmtId="0" fontId="47" fillId="0" borderId="117" xfId="0" applyFont="1" applyBorder="1" applyAlignment="1">
      <alignment horizontal="left" vertical="center"/>
    </xf>
    <xf numFmtId="0" fontId="47" fillId="0" borderId="93" xfId="0" applyFont="1" applyBorder="1" applyAlignment="1">
      <alignment horizontal="left" vertical="center"/>
    </xf>
    <xf numFmtId="0" fontId="40" fillId="3" borderId="24" xfId="0" applyFont="1" applyFill="1" applyBorder="1" applyAlignment="1">
      <alignment horizontal="center" vertical="top" wrapText="1"/>
    </xf>
    <xf numFmtId="0" fontId="40" fillId="3" borderId="0" xfId="0" applyFont="1" applyFill="1" applyAlignment="1">
      <alignment horizontal="center" vertical="top" wrapText="1"/>
    </xf>
    <xf numFmtId="0" fontId="40" fillId="3" borderId="25" xfId="0" applyFont="1" applyFill="1" applyBorder="1" applyAlignment="1">
      <alignment horizontal="center" vertical="top" wrapText="1"/>
    </xf>
    <xf numFmtId="0" fontId="40" fillId="3" borderId="26" xfId="0" applyFont="1" applyFill="1" applyBorder="1" applyAlignment="1">
      <alignment wrapText="1"/>
    </xf>
    <xf numFmtId="0" fontId="40" fillId="3" borderId="27" xfId="0" applyFont="1" applyFill="1" applyBorder="1" applyAlignment="1">
      <alignment wrapText="1"/>
    </xf>
    <xf numFmtId="0" fontId="40" fillId="3" borderId="28" xfId="0" applyFont="1" applyFill="1" applyBorder="1" applyAlignment="1">
      <alignment wrapText="1"/>
    </xf>
    <xf numFmtId="0" fontId="0" fillId="2" borderId="0" xfId="0" applyFill="1" applyAlignment="1">
      <alignment wrapText="1"/>
    </xf>
    <xf numFmtId="0" fontId="44" fillId="8" borderId="171" xfId="0" quotePrefix="1" applyNumberFormat="1" applyFont="1" applyFill="1" applyBorder="1" applyAlignment="1">
      <alignment horizontal="center" vertical="center"/>
    </xf>
    <xf numFmtId="0" fontId="44" fillId="8" borderId="182" xfId="0" quotePrefix="1" applyNumberFormat="1" applyFont="1" applyFill="1" applyBorder="1" applyAlignment="1">
      <alignment horizontal="center" vertical="center"/>
    </xf>
    <xf numFmtId="0" fontId="44" fillId="8" borderId="182" xfId="0" applyNumberFormat="1" applyFont="1" applyFill="1" applyBorder="1" applyAlignment="1">
      <alignment horizontal="center" vertical="center"/>
    </xf>
    <xf numFmtId="0" fontId="44" fillId="21" borderId="182" xfId="0" applyNumberFormat="1" applyFont="1" applyFill="1" applyBorder="1" applyAlignment="1">
      <alignment horizontal="center" vertical="center"/>
    </xf>
    <xf numFmtId="0" fontId="44" fillId="11" borderId="182" xfId="0" applyNumberFormat="1" applyFont="1" applyFill="1" applyBorder="1" applyAlignment="1">
      <alignment horizontal="center" vertical="center"/>
    </xf>
    <xf numFmtId="0" fontId="44" fillId="11" borderId="182" xfId="0" quotePrefix="1" applyNumberFormat="1" applyFont="1" applyFill="1" applyBorder="1" applyAlignment="1">
      <alignment horizontal="center" vertical="center"/>
    </xf>
    <xf numFmtId="0" fontId="44" fillId="10" borderId="182" xfId="0" applyNumberFormat="1" applyFont="1" applyFill="1" applyBorder="1" applyAlignment="1">
      <alignment horizontal="center" vertical="center"/>
    </xf>
    <xf numFmtId="0" fontId="44" fillId="12" borderId="182" xfId="0" quotePrefix="1" applyNumberFormat="1" applyFont="1" applyFill="1" applyBorder="1" applyAlignment="1">
      <alignment horizontal="center" vertical="center"/>
    </xf>
    <xf numFmtId="0" fontId="44" fillId="12" borderId="182" xfId="0" applyNumberFormat="1" applyFont="1" applyFill="1" applyBorder="1" applyAlignment="1">
      <alignment horizontal="center" vertical="center"/>
    </xf>
    <xf numFmtId="0" fontId="44" fillId="18" borderId="182" xfId="0" applyNumberFormat="1" applyFont="1" applyFill="1" applyBorder="1" applyAlignment="1">
      <alignment horizontal="center" vertical="center"/>
    </xf>
    <xf numFmtId="0" fontId="44" fillId="29" borderId="182" xfId="0" applyNumberFormat="1" applyFont="1" applyFill="1" applyBorder="1" applyAlignment="1">
      <alignment horizontal="center" vertical="center"/>
    </xf>
    <xf numFmtId="0" fontId="44" fillId="9" borderId="182" xfId="0" applyNumberFormat="1" applyFont="1" applyFill="1" applyBorder="1" applyAlignment="1">
      <alignment horizontal="center" vertical="center"/>
    </xf>
    <xf numFmtId="0" fontId="44" fillId="9" borderId="191" xfId="0" applyNumberFormat="1" applyFont="1" applyFill="1" applyBorder="1" applyAlignment="1">
      <alignment horizontal="center" vertical="center"/>
    </xf>
    <xf numFmtId="0" fontId="44" fillId="9" borderId="182" xfId="0" quotePrefix="1" applyNumberFormat="1" applyFont="1" applyFill="1" applyBorder="1" applyAlignment="1">
      <alignment horizontal="center" vertical="center"/>
    </xf>
    <xf numFmtId="0" fontId="44" fillId="7" borderId="182" xfId="0" applyNumberFormat="1" applyFont="1" applyFill="1" applyBorder="1" applyAlignment="1">
      <alignment horizontal="center" vertical="center"/>
    </xf>
    <xf numFmtId="0" fontId="44" fillId="16" borderId="182" xfId="0" quotePrefix="1" applyNumberFormat="1" applyFont="1" applyFill="1" applyBorder="1" applyAlignment="1">
      <alignment horizontal="center" vertical="center"/>
    </xf>
    <xf numFmtId="0" fontId="44" fillId="16" borderId="182" xfId="0" applyNumberFormat="1" applyFont="1" applyFill="1" applyBorder="1" applyAlignment="1">
      <alignment horizontal="center" vertical="center"/>
    </xf>
    <xf numFmtId="0" fontId="44" fillId="15" borderId="182" xfId="0" applyNumberFormat="1" applyFont="1" applyFill="1" applyBorder="1" applyAlignment="1">
      <alignment horizontal="center" vertical="center"/>
    </xf>
    <xf numFmtId="0" fontId="0" fillId="31" borderId="189" xfId="0" applyNumberFormat="1" applyFill="1" applyBorder="1" applyAlignment="1">
      <alignment horizontal="center" vertical="center"/>
    </xf>
    <xf numFmtId="0" fontId="44" fillId="26" borderId="182" xfId="0" applyNumberFormat="1" applyFont="1" applyFill="1" applyBorder="1" applyAlignment="1">
      <alignment horizontal="center" vertical="center"/>
    </xf>
    <xf numFmtId="0" fontId="44" fillId="4" borderId="182" xfId="0" applyNumberFormat="1" applyFont="1" applyFill="1" applyBorder="1" applyAlignment="1">
      <alignment horizontal="center" vertical="center"/>
    </xf>
    <xf numFmtId="0" fontId="44" fillId="18" borderId="173" xfId="0" applyNumberFormat="1" applyFont="1" applyFill="1" applyBorder="1" applyAlignment="1">
      <alignment horizontal="center" vertical="center"/>
    </xf>
    <xf numFmtId="0" fontId="44" fillId="8" borderId="171" xfId="0" applyNumberFormat="1" applyFont="1" applyFill="1" applyBorder="1" applyAlignment="1">
      <alignment horizontal="center" vertical="center"/>
    </xf>
    <xf numFmtId="0" fontId="44" fillId="21" borderId="182" xfId="0" quotePrefix="1" applyNumberFormat="1" applyFont="1" applyFill="1" applyBorder="1" applyAlignment="1">
      <alignment horizontal="center" vertical="center"/>
    </xf>
    <xf numFmtId="0" fontId="44" fillId="8" borderId="206" xfId="0" applyNumberFormat="1" applyFont="1" applyFill="1" applyBorder="1" applyAlignment="1">
      <alignment horizontal="center" vertical="center"/>
    </xf>
    <xf numFmtId="0" fontId="44" fillId="8" borderId="191" xfId="0" applyNumberFormat="1" applyFont="1" applyFill="1" applyBorder="1" applyAlignment="1">
      <alignment horizontal="center" vertical="center"/>
    </xf>
    <xf numFmtId="0" fontId="44" fillId="21" borderId="191" xfId="0" applyNumberFormat="1" applyFont="1" applyFill="1" applyBorder="1" applyAlignment="1">
      <alignment horizontal="center" vertical="center"/>
    </xf>
    <xf numFmtId="0" fontId="44" fillId="11" borderId="191" xfId="0" applyNumberFormat="1" applyFont="1" applyFill="1" applyBorder="1" applyAlignment="1">
      <alignment horizontal="center" vertical="center"/>
    </xf>
    <xf numFmtId="0" fontId="44" fillId="10" borderId="191" xfId="0" applyNumberFormat="1" applyFont="1" applyFill="1" applyBorder="1" applyAlignment="1">
      <alignment horizontal="center" vertical="center"/>
    </xf>
    <xf numFmtId="0" fontId="44" fillId="12" borderId="191" xfId="0" applyNumberFormat="1" applyFont="1" applyFill="1" applyBorder="1" applyAlignment="1">
      <alignment horizontal="center" vertical="center"/>
    </xf>
    <xf numFmtId="0" fontId="44" fillId="18" borderId="191" xfId="0" applyNumberFormat="1" applyFont="1" applyFill="1" applyBorder="1" applyAlignment="1">
      <alignment horizontal="center" vertical="center"/>
    </xf>
    <xf numFmtId="0" fontId="44" fillId="29" borderId="191" xfId="0" applyNumberFormat="1" applyFont="1" applyFill="1" applyBorder="1" applyAlignment="1">
      <alignment horizontal="center" vertical="center"/>
    </xf>
    <xf numFmtId="0" fontId="44" fillId="7" borderId="191" xfId="0" applyNumberFormat="1" applyFont="1" applyFill="1" applyBorder="1" applyAlignment="1">
      <alignment horizontal="center" vertical="center"/>
    </xf>
    <xf numFmtId="0" fontId="44" fillId="16" borderId="191" xfId="0" applyNumberFormat="1" applyFont="1" applyFill="1" applyBorder="1" applyAlignment="1">
      <alignment horizontal="center" vertical="center"/>
    </xf>
    <xf numFmtId="0" fontId="44" fillId="15" borderId="191" xfId="0" applyNumberFormat="1" applyFont="1" applyFill="1" applyBorder="1" applyAlignment="1">
      <alignment horizontal="center" vertical="center"/>
    </xf>
    <xf numFmtId="0" fontId="0" fillId="31" borderId="191" xfId="0" applyNumberFormat="1" applyFill="1" applyBorder="1" applyAlignment="1">
      <alignment horizontal="center" vertical="center"/>
    </xf>
    <xf numFmtId="0" fontId="44" fillId="26" borderId="191" xfId="0" applyNumberFormat="1" applyFont="1" applyFill="1" applyBorder="1" applyAlignment="1">
      <alignment horizontal="center" vertical="center"/>
    </xf>
    <xf numFmtId="0" fontId="44" fillId="4" borderId="191" xfId="0" applyNumberFormat="1" applyFont="1" applyFill="1" applyBorder="1" applyAlignment="1">
      <alignment horizontal="center" vertical="center"/>
    </xf>
    <xf numFmtId="0" fontId="44" fillId="18" borderId="193" xfId="0" applyNumberFormat="1" applyFont="1" applyFill="1" applyBorder="1" applyAlignment="1">
      <alignment horizontal="center" vertical="center"/>
    </xf>
    <xf numFmtId="0" fontId="0" fillId="31" borderId="189" xfId="0" quotePrefix="1" applyNumberFormat="1" applyFill="1" applyBorder="1" applyAlignment="1">
      <alignment horizontal="center" vertical="center"/>
    </xf>
    <xf numFmtId="0" fontId="44" fillId="7" borderId="182" xfId="0" quotePrefix="1" applyNumberFormat="1" applyFont="1" applyFill="1" applyBorder="1" applyAlignment="1">
      <alignment horizontal="center" vertical="center"/>
    </xf>
    <xf numFmtId="0" fontId="44" fillId="15" borderId="182" xfId="0" quotePrefix="1" applyNumberFormat="1" applyFont="1" applyFill="1" applyBorder="1" applyAlignment="1">
      <alignment horizontal="center" vertical="center"/>
    </xf>
    <xf numFmtId="0" fontId="44" fillId="26" borderId="182" xfId="0" quotePrefix="1" applyNumberFormat="1" applyFont="1" applyFill="1" applyBorder="1" applyAlignment="1">
      <alignment horizontal="center" vertical="center"/>
    </xf>
    <xf numFmtId="0" fontId="0" fillId="29" borderId="182" xfId="0" quotePrefix="1" applyNumberFormat="1" applyFill="1" applyBorder="1" applyAlignment="1">
      <alignment horizontal="center" vertical="center"/>
    </xf>
    <xf numFmtId="0" fontId="44" fillId="10" borderId="182" xfId="0" quotePrefix="1" applyNumberFormat="1" applyFont="1" applyFill="1" applyBorder="1" applyAlignment="1">
      <alignment horizontal="center" vertical="center"/>
    </xf>
    <xf numFmtId="0" fontId="44" fillId="9" borderId="191" xfId="0" quotePrefix="1" applyNumberFormat="1" applyFont="1" applyFill="1" applyBorder="1" applyAlignment="1">
      <alignment horizontal="center" vertical="center"/>
    </xf>
    <xf numFmtId="0" fontId="0" fillId="31" borderId="191" xfId="0" quotePrefix="1" applyNumberFormat="1" applyFill="1" applyBorder="1" applyAlignment="1">
      <alignment horizontal="center" vertical="center"/>
    </xf>
    <xf numFmtId="0" fontId="44" fillId="18" borderId="182" xfId="0" quotePrefix="1" applyNumberFormat="1" applyFont="1" applyFill="1" applyBorder="1" applyAlignment="1">
      <alignment horizontal="center" vertical="center"/>
    </xf>
    <xf numFmtId="0" fontId="47" fillId="16" borderId="182" xfId="3" quotePrefix="1" applyNumberFormat="1" applyFont="1" applyFill="1" applyBorder="1" applyAlignment="1">
      <alignment horizontal="center" vertical="center"/>
    </xf>
    <xf numFmtId="0" fontId="0" fillId="9" borderId="182" xfId="0" quotePrefix="1" applyNumberFormat="1" applyFill="1" applyBorder="1" applyAlignment="1">
      <alignment horizontal="center" vertical="center"/>
    </xf>
    <xf numFmtId="0" fontId="47" fillId="29" borderId="182" xfId="0" quotePrefix="1" applyNumberFormat="1" applyFont="1" applyFill="1" applyBorder="1" applyAlignment="1">
      <alignment horizontal="center" vertical="center"/>
    </xf>
    <xf numFmtId="0" fontId="47" fillId="29" borderId="191" xfId="0" quotePrefix="1" applyNumberFormat="1" applyFont="1" applyFill="1" applyBorder="1" applyAlignment="1">
      <alignment horizontal="center" vertical="center"/>
    </xf>
    <xf numFmtId="0" fontId="44" fillId="29" borderId="182" xfId="0" quotePrefix="1" applyNumberFormat="1" applyFont="1" applyFill="1" applyBorder="1" applyAlignment="1">
      <alignment horizontal="center" vertical="center"/>
    </xf>
    <xf numFmtId="0" fontId="44" fillId="11" borderId="191" xfId="0" quotePrefix="1" applyNumberFormat="1" applyFont="1" applyFill="1" applyBorder="1" applyAlignment="1">
      <alignment horizontal="center" vertical="center"/>
    </xf>
    <xf numFmtId="0" fontId="47" fillId="7" borderId="182" xfId="3" quotePrefix="1" applyNumberFormat="1" applyFont="1" applyFill="1" applyBorder="1" applyAlignment="1">
      <alignment horizontal="center" vertical="center"/>
    </xf>
    <xf numFmtId="0" fontId="47" fillId="9" borderId="182" xfId="3" quotePrefix="1" applyNumberFormat="1" applyFont="1" applyFill="1" applyBorder="1" applyAlignment="1">
      <alignment horizontal="center" vertical="center"/>
    </xf>
    <xf numFmtId="0" fontId="0" fillId="9" borderId="182" xfId="0" applyNumberFormat="1" applyFill="1" applyBorder="1" applyAlignment="1">
      <alignment horizontal="center" vertical="center"/>
    </xf>
    <xf numFmtId="0" fontId="44" fillId="8" borderId="189" xfId="0" quotePrefix="1" applyNumberFormat="1" applyFont="1" applyFill="1" applyBorder="1" applyAlignment="1">
      <alignment horizontal="center" vertical="center"/>
    </xf>
    <xf numFmtId="0" fontId="44" fillId="21" borderId="189" xfId="0" quotePrefix="1" applyNumberFormat="1" applyFont="1" applyFill="1" applyBorder="1" applyAlignment="1">
      <alignment horizontal="center" vertical="center"/>
    </xf>
    <xf numFmtId="0" fontId="44" fillId="11" borderId="189" xfId="0" quotePrefix="1" applyNumberFormat="1" applyFont="1" applyFill="1" applyBorder="1" applyAlignment="1">
      <alignment horizontal="center" vertical="center"/>
    </xf>
    <xf numFmtId="0" fontId="44" fillId="11" borderId="189" xfId="0" applyNumberFormat="1" applyFont="1" applyFill="1" applyBorder="1" applyAlignment="1">
      <alignment horizontal="center" vertical="center"/>
    </xf>
    <xf numFmtId="0" fontId="44" fillId="10" borderId="189" xfId="0" quotePrefix="1" applyNumberFormat="1" applyFont="1" applyFill="1" applyBorder="1" applyAlignment="1">
      <alignment horizontal="center" vertical="center"/>
    </xf>
    <xf numFmtId="0" fontId="44" fillId="10" borderId="189" xfId="0" applyNumberFormat="1" applyFont="1" applyFill="1" applyBorder="1" applyAlignment="1">
      <alignment horizontal="center" vertical="center"/>
    </xf>
    <xf numFmtId="0" fontId="44" fillId="12" borderId="189" xfId="0" quotePrefix="1" applyNumberFormat="1" applyFont="1" applyFill="1" applyBorder="1" applyAlignment="1">
      <alignment horizontal="center" vertical="center"/>
    </xf>
    <xf numFmtId="0" fontId="44" fillId="12" borderId="189" xfId="0" applyNumberFormat="1" applyFont="1" applyFill="1" applyBorder="1" applyAlignment="1">
      <alignment horizontal="center" vertical="center"/>
    </xf>
    <xf numFmtId="0" fontId="44" fillId="18" borderId="189" xfId="0" quotePrefix="1" applyNumberFormat="1" applyFont="1" applyFill="1" applyBorder="1" applyAlignment="1">
      <alignment horizontal="center" vertical="center"/>
    </xf>
    <xf numFmtId="0" fontId="44" fillId="18" borderId="189" xfId="0" applyNumberFormat="1" applyFont="1" applyFill="1" applyBorder="1" applyAlignment="1">
      <alignment horizontal="center" vertical="center"/>
    </xf>
    <xf numFmtId="0" fontId="44" fillId="29" borderId="189" xfId="0" applyNumberFormat="1" applyFont="1" applyFill="1" applyBorder="1" applyAlignment="1">
      <alignment horizontal="center" vertical="center"/>
    </xf>
    <xf numFmtId="0" fontId="44" fillId="9" borderId="189" xfId="0" applyNumberFormat="1" applyFont="1" applyFill="1" applyBorder="1" applyAlignment="1">
      <alignment horizontal="center" vertical="center"/>
    </xf>
    <xf numFmtId="0" fontId="44" fillId="7" borderId="189" xfId="0" applyNumberFormat="1" applyFont="1" applyFill="1" applyBorder="1" applyAlignment="1">
      <alignment horizontal="center" vertical="center"/>
    </xf>
    <xf numFmtId="0" fontId="44" fillId="7" borderId="189" xfId="0" quotePrefix="1" applyNumberFormat="1" applyFont="1" applyFill="1" applyBorder="1" applyAlignment="1">
      <alignment horizontal="center" vertical="center"/>
    </xf>
    <xf numFmtId="0" fontId="44" fillId="16" borderId="189" xfId="0" quotePrefix="1" applyNumberFormat="1" applyFont="1" applyFill="1" applyBorder="1" applyAlignment="1">
      <alignment horizontal="center" vertical="center"/>
    </xf>
    <xf numFmtId="0" fontId="44" fillId="9" borderId="189" xfId="0" quotePrefix="1" applyNumberFormat="1" applyFont="1" applyFill="1" applyBorder="1" applyAlignment="1">
      <alignment horizontal="center" vertical="center"/>
    </xf>
    <xf numFmtId="0" fontId="44" fillId="15" borderId="189" xfId="0" quotePrefix="1" applyNumberFormat="1" applyFont="1" applyFill="1" applyBorder="1" applyAlignment="1">
      <alignment horizontal="center" vertical="center"/>
    </xf>
    <xf numFmtId="0" fontId="44" fillId="26" borderId="189" xfId="0" quotePrefix="1" applyNumberFormat="1" applyFont="1" applyFill="1" applyBorder="1" applyAlignment="1">
      <alignment horizontal="center" vertical="center"/>
    </xf>
    <xf numFmtId="0" fontId="44" fillId="4" borderId="189" xfId="0" applyNumberFormat="1" applyFont="1" applyFill="1" applyBorder="1" applyAlignment="1">
      <alignment horizontal="center" vertical="center"/>
    </xf>
    <xf numFmtId="0" fontId="44" fillId="18" borderId="188" xfId="0" applyNumberFormat="1" applyFont="1" applyFill="1" applyBorder="1" applyAlignment="1">
      <alignment horizontal="center" vertical="center"/>
    </xf>
    <xf numFmtId="0" fontId="44" fillId="18" borderId="173" xfId="0" quotePrefix="1" applyNumberFormat="1" applyFont="1" applyFill="1" applyBorder="1" applyAlignment="1">
      <alignment horizontal="center" vertical="center"/>
    </xf>
    <xf numFmtId="0" fontId="44" fillId="29" borderId="182" xfId="0" applyNumberFormat="1" applyFont="1" applyFill="1" applyBorder="1" applyAlignment="1">
      <alignment horizontal="left"/>
    </xf>
    <xf numFmtId="0" fontId="0" fillId="29" borderId="182" xfId="0" applyNumberFormat="1" applyFill="1" applyBorder="1" applyAlignment="1">
      <alignment horizontal="left"/>
    </xf>
    <xf numFmtId="0" fontId="44" fillId="33" borderId="182" xfId="0" applyNumberFormat="1" applyFont="1" applyFill="1" applyBorder="1" applyAlignment="1">
      <alignment horizontal="center" vertical="center"/>
    </xf>
    <xf numFmtId="0" fontId="44" fillId="10" borderId="175" xfId="0" quotePrefix="1" applyNumberFormat="1" applyFont="1" applyFill="1" applyBorder="1" applyAlignment="1">
      <alignment horizontal="left" vertical="center"/>
    </xf>
    <xf numFmtId="0" fontId="44" fillId="26" borderId="175" xfId="0" quotePrefix="1" applyNumberFormat="1" applyFont="1" applyFill="1" applyBorder="1" applyAlignment="1">
      <alignment horizontal="left" vertical="center"/>
    </xf>
    <xf numFmtId="0" fontId="44" fillId="34" borderId="172" xfId="0" quotePrefix="1" applyNumberFormat="1" applyFont="1" applyFill="1" applyBorder="1" applyAlignment="1">
      <alignment horizontal="left" vertical="center"/>
    </xf>
    <xf numFmtId="0" fontId="44" fillId="34" borderId="175" xfId="0" quotePrefix="1" applyNumberFormat="1" applyFont="1" applyFill="1" applyBorder="1" applyAlignment="1">
      <alignment horizontal="left" vertical="center"/>
    </xf>
    <xf numFmtId="0" fontId="44" fillId="35" borderId="175" xfId="0" quotePrefix="1" applyNumberFormat="1" applyFont="1" applyFill="1" applyBorder="1" applyAlignment="1">
      <alignment horizontal="left" vertical="center"/>
    </xf>
    <xf numFmtId="0" fontId="44" fillId="36" borderId="175" xfId="0" quotePrefix="1" applyNumberFormat="1" applyFont="1" applyFill="1" applyBorder="1" applyAlignment="1">
      <alignment horizontal="left" vertical="center"/>
    </xf>
    <xf numFmtId="0" fontId="44" fillId="37" borderId="175" xfId="0" quotePrefix="1" applyNumberFormat="1" applyFont="1" applyFill="1" applyBorder="1" applyAlignment="1">
      <alignment horizontal="left" vertical="center"/>
    </xf>
    <xf numFmtId="0" fontId="44" fillId="38" borderId="175" xfId="0" quotePrefix="1" applyNumberFormat="1" applyFont="1" applyFill="1" applyBorder="1" applyAlignment="1">
      <alignment horizontal="left" vertical="center"/>
    </xf>
    <xf numFmtId="0" fontId="44" fillId="39" borderId="175" xfId="0" quotePrefix="1" applyNumberFormat="1" applyFont="1" applyFill="1" applyBorder="1" applyAlignment="1">
      <alignment horizontal="left"/>
    </xf>
    <xf numFmtId="0" fontId="0" fillId="39" borderId="175" xfId="0" quotePrefix="1" applyNumberFormat="1" applyFill="1" applyBorder="1" applyAlignment="1">
      <alignment horizontal="left"/>
    </xf>
    <xf numFmtId="0" fontId="44" fillId="40" borderId="192" xfId="0" quotePrefix="1" applyNumberFormat="1" applyFont="1" applyFill="1" applyBorder="1" applyAlignment="1">
      <alignment horizontal="left" vertical="center"/>
    </xf>
    <xf numFmtId="0" fontId="44" fillId="40" borderId="175" xfId="0" quotePrefix="1" applyNumberFormat="1" applyFont="1" applyFill="1" applyBorder="1" applyAlignment="1">
      <alignment horizontal="left" vertical="center"/>
    </xf>
    <xf numFmtId="0" fontId="44" fillId="41" borderId="175" xfId="0" quotePrefix="1" applyNumberFormat="1" applyFont="1" applyFill="1" applyBorder="1" applyAlignment="1">
      <alignment horizontal="left" vertical="center"/>
    </xf>
    <xf numFmtId="0" fontId="44" fillId="42" borderId="175" xfId="0" quotePrefix="1" applyNumberFormat="1" applyFont="1" applyFill="1" applyBorder="1" applyAlignment="1">
      <alignment horizontal="left" vertical="center"/>
    </xf>
    <xf numFmtId="0" fontId="44" fillId="43" borderId="175" xfId="0" quotePrefix="1" applyNumberFormat="1" applyFont="1" applyFill="1" applyBorder="1" applyAlignment="1">
      <alignment horizontal="left" vertical="center"/>
    </xf>
    <xf numFmtId="0" fontId="44" fillId="44" borderId="192" xfId="0" quotePrefix="1" applyNumberFormat="1" applyFont="1" applyFill="1" applyBorder="1" applyAlignment="1">
      <alignment horizontal="left" vertical="center"/>
    </xf>
    <xf numFmtId="0" fontId="44" fillId="45" borderId="175" xfId="0" quotePrefix="1" applyNumberFormat="1" applyFont="1" applyFill="1" applyBorder="1" applyAlignment="1">
      <alignment horizontal="left" vertical="center"/>
    </xf>
    <xf numFmtId="0" fontId="44" fillId="38" borderId="108" xfId="0" quotePrefix="1" applyNumberFormat="1" applyFont="1" applyFill="1" applyBorder="1" applyAlignment="1">
      <alignment horizontal="left" vertical="center"/>
    </xf>
    <xf numFmtId="0" fontId="46" fillId="5" borderId="0" xfId="0" applyFont="1" applyFill="1" applyBorder="1" applyAlignment="1">
      <alignment horizontal="left" vertical="center"/>
    </xf>
  </cellXfs>
  <cellStyles count="247">
    <cellStyle name="Lien hypertexte" xfId="4" builtinId="8"/>
    <cellStyle name="Neutre" xfId="246" builtinId="28"/>
    <cellStyle name="Normal" xfId="0" builtinId="0"/>
    <cellStyle name="Normal 10" xfId="16" xr:uid="{00000000-0005-0000-0000-000002000000}"/>
    <cellStyle name="Normal 10 2" xfId="28" xr:uid="{00000000-0005-0000-0000-000003000000}"/>
    <cellStyle name="Normal 10 2 2" xfId="98" xr:uid="{00000000-0005-0000-0000-000004000000}"/>
    <cellStyle name="Normal 10 2 3" xfId="187" xr:uid="{00000000-0005-0000-0000-000005000000}"/>
    <cellStyle name="Normal 10 2 4" xfId="225" xr:uid="{00000000-0005-0000-0000-000006000000}"/>
    <cellStyle name="Normal 10 2 5" xfId="67" xr:uid="{00000000-0005-0000-0000-000007000000}"/>
    <cellStyle name="Normal 10 3" xfId="30" xr:uid="{00000000-0005-0000-0000-000008000000}"/>
    <cellStyle name="Normal 10 3 2" xfId="100" xr:uid="{00000000-0005-0000-0000-000009000000}"/>
    <cellStyle name="Normal 10 3 3" xfId="189" xr:uid="{00000000-0005-0000-0000-00000A000000}"/>
    <cellStyle name="Normal 10 3 4" xfId="227" xr:uid="{00000000-0005-0000-0000-00000B000000}"/>
    <cellStyle name="Normal 10 3 5" xfId="69" xr:uid="{00000000-0005-0000-0000-00000C000000}"/>
    <cellStyle name="Normal 10 4" xfId="87" xr:uid="{00000000-0005-0000-0000-00000D000000}"/>
    <cellStyle name="Normal 10 5" xfId="176" xr:uid="{00000000-0005-0000-0000-00000E000000}"/>
    <cellStyle name="Normal 10 6" xfId="214" xr:uid="{00000000-0005-0000-0000-00000F000000}"/>
    <cellStyle name="Normal 10 7" xfId="56" xr:uid="{00000000-0005-0000-0000-000010000000}"/>
    <cellStyle name="Normal 11" xfId="19" xr:uid="{00000000-0005-0000-0000-000011000000}"/>
    <cellStyle name="Normal 11 2" xfId="24" xr:uid="{00000000-0005-0000-0000-000012000000}"/>
    <cellStyle name="Normal 11 2 2" xfId="31" xr:uid="{00000000-0005-0000-0000-000013000000}"/>
    <cellStyle name="Normal 11 2 2 2" xfId="101" xr:uid="{00000000-0005-0000-0000-000014000000}"/>
    <cellStyle name="Normal 11 2 2 3" xfId="190" xr:uid="{00000000-0005-0000-0000-000015000000}"/>
    <cellStyle name="Normal 11 2 2 4" xfId="228" xr:uid="{00000000-0005-0000-0000-000016000000}"/>
    <cellStyle name="Normal 11 2 2 5" xfId="70" xr:uid="{00000000-0005-0000-0000-000017000000}"/>
    <cellStyle name="Normal 11 2 3" xfId="94" xr:uid="{00000000-0005-0000-0000-000018000000}"/>
    <cellStyle name="Normal 11 2 3 2" xfId="244" xr:uid="{00000000-0005-0000-0000-000019000000}"/>
    <cellStyle name="Normal 11 2 4" xfId="183" xr:uid="{00000000-0005-0000-0000-00001A000000}"/>
    <cellStyle name="Normal 11 2 5" xfId="221" xr:uid="{00000000-0005-0000-0000-00001B000000}"/>
    <cellStyle name="Normal 11 2 6" xfId="63" xr:uid="{00000000-0005-0000-0000-00001C000000}"/>
    <cellStyle name="Normal 11 2 7" xfId="242" xr:uid="{00000000-0005-0000-0000-00001D000000}"/>
    <cellStyle name="Normal 11 3" xfId="90" xr:uid="{00000000-0005-0000-0000-00001E000000}"/>
    <cellStyle name="Normal 11 4" xfId="179" xr:uid="{00000000-0005-0000-0000-00001F000000}"/>
    <cellStyle name="Normal 11 5" xfId="217" xr:uid="{00000000-0005-0000-0000-000020000000}"/>
    <cellStyle name="Normal 11 6" xfId="59" xr:uid="{00000000-0005-0000-0000-000021000000}"/>
    <cellStyle name="Normal 12" xfId="23" xr:uid="{00000000-0005-0000-0000-000022000000}"/>
    <cellStyle name="Normal 12 2" xfId="93" xr:uid="{00000000-0005-0000-0000-000023000000}"/>
    <cellStyle name="Normal 12 3" xfId="182" xr:uid="{00000000-0005-0000-0000-000024000000}"/>
    <cellStyle name="Normal 12 4" xfId="220" xr:uid="{00000000-0005-0000-0000-000025000000}"/>
    <cellStyle name="Normal 12 5" xfId="62" xr:uid="{00000000-0005-0000-0000-000026000000}"/>
    <cellStyle name="Normal 13" xfId="27" xr:uid="{00000000-0005-0000-0000-000027000000}"/>
    <cellStyle name="Normal 13 2" xfId="97" xr:uid="{00000000-0005-0000-0000-000028000000}"/>
    <cellStyle name="Normal 13 3" xfId="186" xr:uid="{00000000-0005-0000-0000-000029000000}"/>
    <cellStyle name="Normal 13 4" xfId="224" xr:uid="{00000000-0005-0000-0000-00002A000000}"/>
    <cellStyle name="Normal 13 5" xfId="66" xr:uid="{00000000-0005-0000-0000-00002B000000}"/>
    <cellStyle name="Normal 14" xfId="29" xr:uid="{00000000-0005-0000-0000-00002C000000}"/>
    <cellStyle name="Normal 14 2" xfId="99" xr:uid="{00000000-0005-0000-0000-00002D000000}"/>
    <cellStyle name="Normal 14 3" xfId="188" xr:uid="{00000000-0005-0000-0000-00002E000000}"/>
    <cellStyle name="Normal 14 4" xfId="226" xr:uid="{00000000-0005-0000-0000-00002F000000}"/>
    <cellStyle name="Normal 14 5" xfId="68" xr:uid="{00000000-0005-0000-0000-000030000000}"/>
    <cellStyle name="Normal 2" xfId="1" xr:uid="{00000000-0005-0000-0000-000031000000}"/>
    <cellStyle name="Normál 2" xfId="11" xr:uid="{00000000-0005-0000-0000-000032000000}"/>
    <cellStyle name="Normal 2 10" xfId="135" xr:uid="{00000000-0005-0000-0000-000033000000}"/>
    <cellStyle name="Normál 2 10" xfId="126" xr:uid="{00000000-0005-0000-0000-000034000000}"/>
    <cellStyle name="Normal 2 11" xfId="136" xr:uid="{00000000-0005-0000-0000-000035000000}"/>
    <cellStyle name="Normál 2 11" xfId="137" xr:uid="{00000000-0005-0000-0000-000036000000}"/>
    <cellStyle name="Normal 2 12" xfId="108" xr:uid="{00000000-0005-0000-0000-000037000000}"/>
    <cellStyle name="Normál 2 12" xfId="124" xr:uid="{00000000-0005-0000-0000-000038000000}"/>
    <cellStyle name="Normal 2 13" xfId="138" xr:uid="{00000000-0005-0000-0000-000039000000}"/>
    <cellStyle name="Normál 2 13" xfId="129" xr:uid="{00000000-0005-0000-0000-00003A000000}"/>
    <cellStyle name="Normal 2 14" xfId="140" xr:uid="{00000000-0005-0000-0000-00003B000000}"/>
    <cellStyle name="Normál 2 14" xfId="134" xr:uid="{00000000-0005-0000-0000-00003C000000}"/>
    <cellStyle name="Normal 2 15" xfId="141" xr:uid="{00000000-0005-0000-0000-00003D000000}"/>
    <cellStyle name="Normál 2 15" xfId="130" xr:uid="{00000000-0005-0000-0000-00003E000000}"/>
    <cellStyle name="Normal 2 16" xfId="122" xr:uid="{00000000-0005-0000-0000-00003F000000}"/>
    <cellStyle name="Normál 2 16" xfId="146" xr:uid="{00000000-0005-0000-0000-000040000000}"/>
    <cellStyle name="Normal 2 17" xfId="142" xr:uid="{00000000-0005-0000-0000-000041000000}"/>
    <cellStyle name="Normál 2 17" xfId="117" xr:uid="{00000000-0005-0000-0000-000042000000}"/>
    <cellStyle name="Normal 2 18" xfId="148" xr:uid="{00000000-0005-0000-0000-000043000000}"/>
    <cellStyle name="Normál 2 18" xfId="128" xr:uid="{00000000-0005-0000-0000-000044000000}"/>
    <cellStyle name="Normal 2 19" xfId="149" xr:uid="{00000000-0005-0000-0000-000045000000}"/>
    <cellStyle name="Normál 2 19" xfId="127" xr:uid="{00000000-0005-0000-0000-000046000000}"/>
    <cellStyle name="Normal 2 2" xfId="6" xr:uid="{00000000-0005-0000-0000-000047000000}"/>
    <cellStyle name="Normál 2 2" xfId="82" xr:uid="{00000000-0005-0000-0000-000048000000}"/>
    <cellStyle name="Normal 2 20" xfId="150" xr:uid="{00000000-0005-0000-0000-000049000000}"/>
    <cellStyle name="Normál 2 20" xfId="145" xr:uid="{00000000-0005-0000-0000-00004A000000}"/>
    <cellStyle name="Normal 2 21" xfId="118" xr:uid="{00000000-0005-0000-0000-00004B000000}"/>
    <cellStyle name="Normál 2 21" xfId="151" xr:uid="{00000000-0005-0000-0000-00004C000000}"/>
    <cellStyle name="Normal 2 22" xfId="125" xr:uid="{00000000-0005-0000-0000-00004D000000}"/>
    <cellStyle name="Normál 2 22" xfId="112" xr:uid="{00000000-0005-0000-0000-00004E000000}"/>
    <cellStyle name="Normal 2 23" xfId="152" xr:uid="{00000000-0005-0000-0000-00004F000000}"/>
    <cellStyle name="Normál 2 23" xfId="139" xr:uid="{00000000-0005-0000-0000-000050000000}"/>
    <cellStyle name="Normal 2 24" xfId="153" xr:uid="{00000000-0005-0000-0000-000051000000}"/>
    <cellStyle name="Normál 2 24" xfId="74" xr:uid="{00000000-0005-0000-0000-000052000000}"/>
    <cellStyle name="Normal 2 25" xfId="154" xr:uid="{00000000-0005-0000-0000-000053000000}"/>
    <cellStyle name="Normál 2 25" xfId="144" xr:uid="{00000000-0005-0000-0000-000054000000}"/>
    <cellStyle name="Normal 2 26" xfId="155" xr:uid="{00000000-0005-0000-0000-000055000000}"/>
    <cellStyle name="Normál 2 26" xfId="143" xr:uid="{00000000-0005-0000-0000-000056000000}"/>
    <cellStyle name="Normal 2 27" xfId="156" xr:uid="{00000000-0005-0000-0000-000057000000}"/>
    <cellStyle name="Normál 2 27" xfId="147" xr:uid="{00000000-0005-0000-0000-000058000000}"/>
    <cellStyle name="Normal 2 28" xfId="157" xr:uid="{00000000-0005-0000-0000-000059000000}"/>
    <cellStyle name="Normál 2 28" xfId="110" xr:uid="{00000000-0005-0000-0000-00005A000000}"/>
    <cellStyle name="Normal 2 29" xfId="158" xr:uid="{00000000-0005-0000-0000-00005B000000}"/>
    <cellStyle name="Normál 2 29" xfId="105" xr:uid="{00000000-0005-0000-0000-00005C000000}"/>
    <cellStyle name="Normal 2 3" xfId="22" xr:uid="{00000000-0005-0000-0000-00005D000000}"/>
    <cellStyle name="Normál 2 3" xfId="109" xr:uid="{00000000-0005-0000-0000-00005E000000}"/>
    <cellStyle name="Normal 2 30" xfId="160" xr:uid="{00000000-0005-0000-0000-00005F000000}"/>
    <cellStyle name="Normál 2 30" xfId="121" xr:uid="{00000000-0005-0000-0000-000060000000}"/>
    <cellStyle name="Normal 2 31" xfId="161" xr:uid="{00000000-0005-0000-0000-000061000000}"/>
    <cellStyle name="Normál 2 31" xfId="133" xr:uid="{00000000-0005-0000-0000-000062000000}"/>
    <cellStyle name="Normal 2 32" xfId="162" xr:uid="{00000000-0005-0000-0000-000063000000}"/>
    <cellStyle name="Normál 2 32" xfId="159" xr:uid="{00000000-0005-0000-0000-000064000000}"/>
    <cellStyle name="Normal 2 33" xfId="163" xr:uid="{00000000-0005-0000-0000-000065000000}"/>
    <cellStyle name="Normál 2 33" xfId="116" xr:uid="{00000000-0005-0000-0000-000066000000}"/>
    <cellStyle name="Normal 2 34" xfId="119" xr:uid="{00000000-0005-0000-0000-000067000000}"/>
    <cellStyle name="Normál 2 34" xfId="171" xr:uid="{00000000-0005-0000-0000-000068000000}"/>
    <cellStyle name="Normal 2 35" xfId="106" xr:uid="{00000000-0005-0000-0000-000069000000}"/>
    <cellStyle name="Normál 2 35" xfId="209" xr:uid="{00000000-0005-0000-0000-00006A000000}"/>
    <cellStyle name="Normal 2 36" xfId="164" xr:uid="{00000000-0005-0000-0000-00006B000000}"/>
    <cellStyle name="Normál 2 36" xfId="51" xr:uid="{00000000-0005-0000-0000-00006C000000}"/>
    <cellStyle name="Normal 2 37" xfId="202" xr:uid="{00000000-0005-0000-0000-00006D000000}"/>
    <cellStyle name="Normal 2 38" xfId="44" xr:uid="{00000000-0005-0000-0000-00006E000000}"/>
    <cellStyle name="Normal 2 4" xfId="73" xr:uid="{00000000-0005-0000-0000-00006F000000}"/>
    <cellStyle name="Normál 2 4" xfId="113" xr:uid="{00000000-0005-0000-0000-000070000000}"/>
    <cellStyle name="Normal 2 5" xfId="104" xr:uid="{00000000-0005-0000-0000-000071000000}"/>
    <cellStyle name="Normál 2 5" xfId="114" xr:uid="{00000000-0005-0000-0000-000072000000}"/>
    <cellStyle name="Normal 2 6" xfId="107" xr:uid="{00000000-0005-0000-0000-000073000000}"/>
    <cellStyle name="Normál 2 6" xfId="123" xr:uid="{00000000-0005-0000-0000-000074000000}"/>
    <cellStyle name="Normal 2 7" xfId="115" xr:uid="{00000000-0005-0000-0000-000075000000}"/>
    <cellStyle name="Normál 2 7" xfId="131" xr:uid="{00000000-0005-0000-0000-000076000000}"/>
    <cellStyle name="Normal 2 8" xfId="111" xr:uid="{00000000-0005-0000-0000-000077000000}"/>
    <cellStyle name="Normál 2 8" xfId="120" xr:uid="{00000000-0005-0000-0000-000078000000}"/>
    <cellStyle name="Normal 2 9" xfId="132" xr:uid="{00000000-0005-0000-0000-000079000000}"/>
    <cellStyle name="Normál 2 9" xfId="77" xr:uid="{00000000-0005-0000-0000-00007A000000}"/>
    <cellStyle name="Normál 24" xfId="39" xr:uid="{00000000-0005-0000-0000-00007B000000}"/>
    <cellStyle name="Normál 24 2" xfId="235" xr:uid="{00000000-0005-0000-0000-00007C000000}"/>
    <cellStyle name="Normál 24 3" xfId="194" xr:uid="{00000000-0005-0000-0000-00007D000000}"/>
    <cellStyle name="Normál 25" xfId="40" xr:uid="{00000000-0005-0000-0000-00007E000000}"/>
    <cellStyle name="Normál 25 2" xfId="236" xr:uid="{00000000-0005-0000-0000-00007F000000}"/>
    <cellStyle name="Normál 25 3" xfId="195" xr:uid="{00000000-0005-0000-0000-000080000000}"/>
    <cellStyle name="Normál 26" xfId="38" xr:uid="{00000000-0005-0000-0000-000081000000}"/>
    <cellStyle name="Normál 26 2" xfId="234" xr:uid="{00000000-0005-0000-0000-000082000000}"/>
    <cellStyle name="Normál 26 3" xfId="193" xr:uid="{00000000-0005-0000-0000-000083000000}"/>
    <cellStyle name="Normál 27" xfId="42" xr:uid="{00000000-0005-0000-0000-000084000000}"/>
    <cellStyle name="Normál 27 2" xfId="238" xr:uid="{00000000-0005-0000-0000-000085000000}"/>
    <cellStyle name="Normál 27 3" xfId="201" xr:uid="{00000000-0005-0000-0000-000086000000}"/>
    <cellStyle name="Normál 28" xfId="41" xr:uid="{00000000-0005-0000-0000-000087000000}"/>
    <cellStyle name="Normál 28 2" xfId="237" xr:uid="{00000000-0005-0000-0000-000088000000}"/>
    <cellStyle name="Normál 28 3" xfId="196" xr:uid="{00000000-0005-0000-0000-000089000000}"/>
    <cellStyle name="Normal 3" xfId="3" xr:uid="{00000000-0005-0000-0000-00008A000000}"/>
    <cellStyle name="Normál 3" xfId="243" xr:uid="{00000000-0005-0000-0000-00008B000000}"/>
    <cellStyle name="Normal 3 2" xfId="13" xr:uid="{00000000-0005-0000-0000-00008C000000}"/>
    <cellStyle name="Normal 3 2 2" xfId="84" xr:uid="{00000000-0005-0000-0000-00008D000000}"/>
    <cellStyle name="Normal 3 2 3" xfId="173" xr:uid="{00000000-0005-0000-0000-00008E000000}"/>
    <cellStyle name="Normal 3 2 4" xfId="211" xr:uid="{00000000-0005-0000-0000-00008F000000}"/>
    <cellStyle name="Normal 3 2 5" xfId="53" xr:uid="{00000000-0005-0000-0000-000090000000}"/>
    <cellStyle name="Normal 3 3" xfId="17" xr:uid="{00000000-0005-0000-0000-000091000000}"/>
    <cellStyle name="Normal 3 3 2" xfId="88" xr:uid="{00000000-0005-0000-0000-000092000000}"/>
    <cellStyle name="Normal 3 3 3" xfId="177" xr:uid="{00000000-0005-0000-0000-000093000000}"/>
    <cellStyle name="Normal 3 3 4" xfId="215" xr:uid="{00000000-0005-0000-0000-000094000000}"/>
    <cellStyle name="Normal 3 3 5" xfId="57" xr:uid="{00000000-0005-0000-0000-000095000000}"/>
    <cellStyle name="Normal 3 4" xfId="20" xr:uid="{00000000-0005-0000-0000-000096000000}"/>
    <cellStyle name="Normal 3 4 2" xfId="91" xr:uid="{00000000-0005-0000-0000-000097000000}"/>
    <cellStyle name="Normal 3 4 3" xfId="180" xr:uid="{00000000-0005-0000-0000-000098000000}"/>
    <cellStyle name="Normal 3 4 4" xfId="218" xr:uid="{00000000-0005-0000-0000-000099000000}"/>
    <cellStyle name="Normal 3 4 5" xfId="60" xr:uid="{00000000-0005-0000-0000-00009A000000}"/>
    <cellStyle name="Normal 3 5" xfId="25" xr:uid="{00000000-0005-0000-0000-00009B000000}"/>
    <cellStyle name="Normal 3 5 2" xfId="32" xr:uid="{00000000-0005-0000-0000-00009C000000}"/>
    <cellStyle name="Normal 3 5 2 2" xfId="102" xr:uid="{00000000-0005-0000-0000-00009D000000}"/>
    <cellStyle name="Normal 3 5 2 3" xfId="191" xr:uid="{00000000-0005-0000-0000-00009E000000}"/>
    <cellStyle name="Normal 3 5 2 4" xfId="229" xr:uid="{00000000-0005-0000-0000-00009F000000}"/>
    <cellStyle name="Normal 3 5 2 5" xfId="71" xr:uid="{00000000-0005-0000-0000-0000A0000000}"/>
    <cellStyle name="Normal 3 5 3" xfId="95" xr:uid="{00000000-0005-0000-0000-0000A1000000}"/>
    <cellStyle name="Normal 3 5 4" xfId="184" xr:uid="{00000000-0005-0000-0000-0000A2000000}"/>
    <cellStyle name="Normal 3 5 5" xfId="222" xr:uid="{00000000-0005-0000-0000-0000A3000000}"/>
    <cellStyle name="Normal 3 5 6" xfId="64" xr:uid="{00000000-0005-0000-0000-0000A4000000}"/>
    <cellStyle name="Normal 3 6" xfId="75" xr:uid="{00000000-0005-0000-0000-0000A5000000}"/>
    <cellStyle name="Normal 3 7" xfId="165" xr:uid="{00000000-0005-0000-0000-0000A6000000}"/>
    <cellStyle name="Normal 3 8" xfId="203" xr:uid="{00000000-0005-0000-0000-0000A7000000}"/>
    <cellStyle name="Normal 3 9" xfId="45" xr:uid="{00000000-0005-0000-0000-0000A8000000}"/>
    <cellStyle name="Normál 35" xfId="43" xr:uid="{00000000-0005-0000-0000-0000A9000000}"/>
    <cellStyle name="Normál 35 2" xfId="239" xr:uid="{00000000-0005-0000-0000-0000AA000000}"/>
    <cellStyle name="Normál 35 3" xfId="197" xr:uid="{00000000-0005-0000-0000-0000AB000000}"/>
    <cellStyle name="Normal 4" xfId="5" xr:uid="{00000000-0005-0000-0000-0000AC000000}"/>
    <cellStyle name="Normal 4 10" xfId="46" xr:uid="{00000000-0005-0000-0000-0000AD000000}"/>
    <cellStyle name="Normal 4 2" xfId="8" xr:uid="{00000000-0005-0000-0000-0000AE000000}"/>
    <cellStyle name="Normal 4 2 2" xfId="79" xr:uid="{00000000-0005-0000-0000-0000AF000000}"/>
    <cellStyle name="Normal 4 2 3" xfId="168" xr:uid="{00000000-0005-0000-0000-0000B0000000}"/>
    <cellStyle name="Normal 4 2 4" xfId="206" xr:uid="{00000000-0005-0000-0000-0000B1000000}"/>
    <cellStyle name="Normal 4 2 5" xfId="48" xr:uid="{00000000-0005-0000-0000-0000B2000000}"/>
    <cellStyle name="Normal 4 3" xfId="14" xr:uid="{00000000-0005-0000-0000-0000B3000000}"/>
    <cellStyle name="Normal 4 3 2" xfId="85" xr:uid="{00000000-0005-0000-0000-0000B4000000}"/>
    <cellStyle name="Normal 4 3 3" xfId="174" xr:uid="{00000000-0005-0000-0000-0000B5000000}"/>
    <cellStyle name="Normal 4 3 4" xfId="212" xr:uid="{00000000-0005-0000-0000-0000B6000000}"/>
    <cellStyle name="Normal 4 3 5" xfId="54" xr:uid="{00000000-0005-0000-0000-0000B7000000}"/>
    <cellStyle name="Normal 4 4" xfId="18" xr:uid="{00000000-0005-0000-0000-0000B8000000}"/>
    <cellStyle name="Normal 4 4 2" xfId="89" xr:uid="{00000000-0005-0000-0000-0000B9000000}"/>
    <cellStyle name="Normal 4 4 3" xfId="178" xr:uid="{00000000-0005-0000-0000-0000BA000000}"/>
    <cellStyle name="Normal 4 4 4" xfId="216" xr:uid="{00000000-0005-0000-0000-0000BB000000}"/>
    <cellStyle name="Normal 4 4 5" xfId="58" xr:uid="{00000000-0005-0000-0000-0000BC000000}"/>
    <cellStyle name="Normal 4 5" xfId="21" xr:uid="{00000000-0005-0000-0000-0000BD000000}"/>
    <cellStyle name="Normal 4 5 2" xfId="92" xr:uid="{00000000-0005-0000-0000-0000BE000000}"/>
    <cellStyle name="Normal 4 5 3" xfId="181" xr:uid="{00000000-0005-0000-0000-0000BF000000}"/>
    <cellStyle name="Normal 4 5 4" xfId="219" xr:uid="{00000000-0005-0000-0000-0000C0000000}"/>
    <cellStyle name="Normal 4 5 5" xfId="61" xr:uid="{00000000-0005-0000-0000-0000C1000000}"/>
    <cellStyle name="Normal 4 6" xfId="26" xr:uid="{00000000-0005-0000-0000-0000C2000000}"/>
    <cellStyle name="Normal 4 6 2" xfId="33" xr:uid="{00000000-0005-0000-0000-0000C3000000}"/>
    <cellStyle name="Normal 4 6 2 2" xfId="103" xr:uid="{00000000-0005-0000-0000-0000C4000000}"/>
    <cellStyle name="Normal 4 6 2 3" xfId="192" xr:uid="{00000000-0005-0000-0000-0000C5000000}"/>
    <cellStyle name="Normal 4 6 2 4" xfId="230" xr:uid="{00000000-0005-0000-0000-0000C6000000}"/>
    <cellStyle name="Normal 4 6 2 5" xfId="72" xr:uid="{00000000-0005-0000-0000-0000C7000000}"/>
    <cellStyle name="Normal 4 6 3" xfId="96" xr:uid="{00000000-0005-0000-0000-0000C8000000}"/>
    <cellStyle name="Normal 4 6 4" xfId="185" xr:uid="{00000000-0005-0000-0000-0000C9000000}"/>
    <cellStyle name="Normal 4 6 5" xfId="223" xr:uid="{00000000-0005-0000-0000-0000CA000000}"/>
    <cellStyle name="Normal 4 6 6" xfId="65" xr:uid="{00000000-0005-0000-0000-0000CB000000}"/>
    <cellStyle name="Normal 4 7" xfId="76" xr:uid="{00000000-0005-0000-0000-0000CC000000}"/>
    <cellStyle name="Normal 4 8" xfId="166" xr:uid="{00000000-0005-0000-0000-0000CD000000}"/>
    <cellStyle name="Normal 4 9" xfId="204" xr:uid="{00000000-0005-0000-0000-0000CE000000}"/>
    <cellStyle name="Normál 40" xfId="35" xr:uid="{00000000-0005-0000-0000-0000CF000000}"/>
    <cellStyle name="Normál 40 2" xfId="231" xr:uid="{00000000-0005-0000-0000-0000D0000000}"/>
    <cellStyle name="Normál 40 3" xfId="198" xr:uid="{00000000-0005-0000-0000-0000D1000000}"/>
    <cellStyle name="Normál 40 4" xfId="240" xr:uid="{00000000-0005-0000-0000-0000D2000000}"/>
    <cellStyle name="Normál 42" xfId="36" xr:uid="{00000000-0005-0000-0000-0000D3000000}"/>
    <cellStyle name="Normál 42 2" xfId="232" xr:uid="{00000000-0005-0000-0000-0000D4000000}"/>
    <cellStyle name="Normál 42 3" xfId="199" xr:uid="{00000000-0005-0000-0000-0000D5000000}"/>
    <cellStyle name="Normál 46" xfId="37" xr:uid="{00000000-0005-0000-0000-0000D6000000}"/>
    <cellStyle name="Normál 46 2" xfId="233" xr:uid="{00000000-0005-0000-0000-0000D7000000}"/>
    <cellStyle name="Normál 46 3" xfId="200" xr:uid="{00000000-0005-0000-0000-0000D8000000}"/>
    <cellStyle name="Normál 46 4" xfId="241" xr:uid="{00000000-0005-0000-0000-0000D9000000}"/>
    <cellStyle name="Normal 5" xfId="7" xr:uid="{00000000-0005-0000-0000-0000DA000000}"/>
    <cellStyle name="Normal 5 2" xfId="78" xr:uid="{00000000-0005-0000-0000-0000DB000000}"/>
    <cellStyle name="Normal 5 3" xfId="167" xr:uid="{00000000-0005-0000-0000-0000DC000000}"/>
    <cellStyle name="Normal 5 4" xfId="205" xr:uid="{00000000-0005-0000-0000-0000DD000000}"/>
    <cellStyle name="Normal 5 5" xfId="47" xr:uid="{00000000-0005-0000-0000-0000DE000000}"/>
    <cellStyle name="Normal 6" xfId="9" xr:uid="{00000000-0005-0000-0000-0000DF000000}"/>
    <cellStyle name="Normal 6 2" xfId="80" xr:uid="{00000000-0005-0000-0000-0000E0000000}"/>
    <cellStyle name="Normal 6 3" xfId="169" xr:uid="{00000000-0005-0000-0000-0000E1000000}"/>
    <cellStyle name="Normal 6 4" xfId="207" xr:uid="{00000000-0005-0000-0000-0000E2000000}"/>
    <cellStyle name="Normal 6 5" xfId="49" xr:uid="{00000000-0005-0000-0000-0000E3000000}"/>
    <cellStyle name="Normal 7" xfId="10" xr:uid="{00000000-0005-0000-0000-0000E4000000}"/>
    <cellStyle name="Normal 7 2" xfId="81" xr:uid="{00000000-0005-0000-0000-0000E5000000}"/>
    <cellStyle name="Normal 7 3" xfId="170" xr:uid="{00000000-0005-0000-0000-0000E6000000}"/>
    <cellStyle name="Normal 7 4" xfId="208" xr:uid="{00000000-0005-0000-0000-0000E7000000}"/>
    <cellStyle name="Normal 7 5" xfId="50" xr:uid="{00000000-0005-0000-0000-0000E8000000}"/>
    <cellStyle name="Normal 8" xfId="12" xr:uid="{00000000-0005-0000-0000-0000E9000000}"/>
    <cellStyle name="Normal 8 2" xfId="83" xr:uid="{00000000-0005-0000-0000-0000EA000000}"/>
    <cellStyle name="Normal 8 3" xfId="172" xr:uid="{00000000-0005-0000-0000-0000EB000000}"/>
    <cellStyle name="Normal 8 4" xfId="210" xr:uid="{00000000-0005-0000-0000-0000EC000000}"/>
    <cellStyle name="Normal 8 5" xfId="52" xr:uid="{00000000-0005-0000-0000-0000ED000000}"/>
    <cellStyle name="Normal 9" xfId="15" xr:uid="{00000000-0005-0000-0000-0000EE000000}"/>
    <cellStyle name="Normal 9 2" xfId="86" xr:uid="{00000000-0005-0000-0000-0000EF000000}"/>
    <cellStyle name="Normal 9 3" xfId="175" xr:uid="{00000000-0005-0000-0000-0000F0000000}"/>
    <cellStyle name="Normal 9 4" xfId="213" xr:uid="{00000000-0005-0000-0000-0000F1000000}"/>
    <cellStyle name="Normal 9 5" xfId="55" xr:uid="{00000000-0005-0000-0000-0000F2000000}"/>
    <cellStyle name="Normal 9 6" xfId="245" xr:uid="{00000000-0005-0000-0000-0000F3000000}"/>
    <cellStyle name="Normal_ASM1" xfId="34" xr:uid="{00000000-0005-0000-0000-0000F4000000}"/>
    <cellStyle name="Normal_Kinetic matrix" xfId="2" xr:uid="{00000000-0005-0000-0000-0000F5000000}"/>
  </cellStyles>
  <dxfs count="131">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ont>
        <color rgb="FF006100"/>
      </font>
      <fill>
        <patternFill>
          <bgColor rgb="FFC6EFCE"/>
        </patternFill>
      </fill>
    </dxf>
    <dxf>
      <font>
        <color rgb="FF006100"/>
      </font>
      <fill>
        <patternFill>
          <bgColor rgb="FFC6EFCE"/>
        </patternFill>
      </fill>
    </dxf>
  </dxfs>
  <tableStyles count="0" defaultTableStyle="TableStyleMedium9" defaultPivotStyle="PivotStyleLight16"/>
  <colors>
    <mruColors>
      <color rgb="FFC0C0C0"/>
      <color rgb="FFFFFFCC"/>
      <color rgb="FFFFFFFF"/>
      <color rgb="FF333333"/>
      <color rgb="FF498787"/>
      <color rgb="FF499687"/>
      <color rgb="FF498F87"/>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17/10/relationships/person" Target="persons/perso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editAs="absolute">
    <xdr:from>
      <xdr:col>1</xdr:col>
      <xdr:colOff>142875</xdr:colOff>
      <xdr:row>0</xdr:row>
      <xdr:rowOff>104775</xdr:rowOff>
    </xdr:from>
    <xdr:to>
      <xdr:col>2</xdr:col>
      <xdr:colOff>752475</xdr:colOff>
      <xdr:row>0</xdr:row>
      <xdr:rowOff>476250</xdr:rowOff>
    </xdr:to>
    <xdr:sp macro="[0]!Versions" textlink="">
      <xdr:nvSpPr>
        <xdr:cNvPr id="2" name="bt_showver">
          <a:extLst>
            <a:ext uri="{FF2B5EF4-FFF2-40B4-BE49-F238E27FC236}">
              <a16:creationId xmlns:a16="http://schemas.microsoft.com/office/drawing/2014/main" id="{00000000-0008-0000-0000-000002000000}"/>
            </a:ext>
          </a:extLst>
        </xdr:cNvPr>
        <xdr:cNvSpPr/>
      </xdr:nvSpPr>
      <xdr:spPr>
        <a:xfrm>
          <a:off x="400050" y="104775"/>
          <a:ext cx="1485900" cy="371475"/>
        </a:xfrm>
        <a:prstGeom prst="roundRect">
          <a:avLst/>
        </a:prstGeom>
        <a:solidFill>
          <a:schemeClr val="bg1">
            <a:lumMod val="65000"/>
          </a:schemeClr>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Show Macro Versions</a:t>
          </a:r>
        </a:p>
      </xdr:txBody>
    </xdr:sp>
    <xdr:clientData/>
  </xdr:twoCellAnchor>
  <xdr:oneCellAnchor>
    <xdr:from>
      <xdr:col>4</xdr:col>
      <xdr:colOff>986872</xdr:colOff>
      <xdr:row>240</xdr:row>
      <xdr:rowOff>58232</xdr:rowOff>
    </xdr:from>
    <xdr:ext cx="5000625" cy="833438"/>
    <xdr:pic>
      <xdr:nvPicPr>
        <xdr:cNvPr id="3" name="Picture 1">
          <a:extLst>
            <a:ext uri="{FF2B5EF4-FFF2-40B4-BE49-F238E27FC236}">
              <a16:creationId xmlns:a16="http://schemas.microsoft.com/office/drawing/2014/main" id="{00000000-0008-0000-0000-000003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62763" y="44585536"/>
          <a:ext cx="5000625" cy="833438"/>
        </a:xfrm>
        <a:prstGeom prst="rect">
          <a:avLst/>
        </a:prstGeom>
        <a:noFill/>
        <a:ln w="1">
          <a:noFill/>
          <a:miter lim="800000"/>
          <a:headEnd/>
          <a:tailEnd type="none" w="med" len="med"/>
        </a:ln>
        <a:effectLst/>
      </xdr:spPr>
    </xdr:pic>
    <xdr:clientData/>
  </xdr:oneCellAnchor>
  <xdr:oneCellAnchor>
    <xdr:from>
      <xdr:col>4</xdr:col>
      <xdr:colOff>826190</xdr:colOff>
      <xdr:row>236</xdr:row>
      <xdr:rowOff>80341</xdr:rowOff>
    </xdr:from>
    <xdr:ext cx="3455193" cy="622300"/>
    <xdr:pic>
      <xdr:nvPicPr>
        <xdr:cNvPr id="4" name="Picture 2">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3402081" y="43845645"/>
          <a:ext cx="3455193" cy="622300"/>
        </a:xfrm>
        <a:prstGeom prst="rect">
          <a:avLst/>
        </a:prstGeom>
        <a:noFill/>
        <a:ln w="1">
          <a:noFill/>
          <a:miter lim="800000"/>
          <a:headEnd/>
          <a:tailEnd type="none" w="med" len="med"/>
        </a:ln>
        <a:effectLst/>
      </xdr:spPr>
    </xdr:pic>
    <xdr:clientData/>
  </xdr:oneCellAnchor>
  <xdr:twoCellAnchor>
    <xdr:from>
      <xdr:col>3</xdr:col>
      <xdr:colOff>152401</xdr:colOff>
      <xdr:row>148</xdr:row>
      <xdr:rowOff>114300</xdr:rowOff>
    </xdr:from>
    <xdr:to>
      <xdr:col>5</xdr:col>
      <xdr:colOff>476251</xdr:colOff>
      <xdr:row>151</xdr:row>
      <xdr:rowOff>133350</xdr:rowOff>
    </xdr:to>
    <xdr:sp macro="" textlink="">
      <xdr:nvSpPr>
        <xdr:cNvPr id="5" name="Curved Up Arrow 3">
          <a:extLst>
            <a:ext uri="{FF2B5EF4-FFF2-40B4-BE49-F238E27FC236}">
              <a16:creationId xmlns:a16="http://schemas.microsoft.com/office/drawing/2014/main" id="{00000000-0008-0000-0000-000005000000}"/>
            </a:ext>
          </a:extLst>
        </xdr:cNvPr>
        <xdr:cNvSpPr/>
      </xdr:nvSpPr>
      <xdr:spPr>
        <a:xfrm>
          <a:off x="2105026" y="21497925"/>
          <a:ext cx="2428875" cy="590550"/>
        </a:xfrm>
        <a:prstGeom prst="curvedUpArrow">
          <a:avLst>
            <a:gd name="adj1" fmla="val 22228"/>
            <a:gd name="adj2" fmla="val 50000"/>
            <a:gd name="adj3" fmla="val 25000"/>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solidFill>
                <a:schemeClr val="tx1"/>
              </a:solidFill>
            </a:rPr>
            <a:t>Names</a:t>
          </a:r>
          <a:r>
            <a:rPr lang="en-US" sz="1100" baseline="0">
              <a:solidFill>
                <a:schemeClr val="tx1"/>
              </a:solidFill>
            </a:rPr>
            <a:t> assigned</a:t>
          </a:r>
          <a:endParaRPr lang="en-US" sz="1100">
            <a:solidFill>
              <a:schemeClr val="tx1"/>
            </a:solidFill>
          </a:endParaRPr>
        </a:p>
      </xdr:txBody>
    </xdr:sp>
    <xdr:clientData/>
  </xdr:twoCellAnchor>
  <xdr:twoCellAnchor editAs="absolute">
    <xdr:from>
      <xdr:col>3</xdr:col>
      <xdr:colOff>38100</xdr:colOff>
      <xdr:row>0</xdr:row>
      <xdr:rowOff>104775</xdr:rowOff>
    </xdr:from>
    <xdr:to>
      <xdr:col>4</xdr:col>
      <xdr:colOff>1038225</xdr:colOff>
      <xdr:row>0</xdr:row>
      <xdr:rowOff>504825</xdr:rowOff>
    </xdr:to>
    <xdr:sp macro="[0]!GlobalCheck" textlink="">
      <xdr:nvSpPr>
        <xdr:cNvPr id="7" name="bt_globalcheck">
          <a:extLst>
            <a:ext uri="{FF2B5EF4-FFF2-40B4-BE49-F238E27FC236}">
              <a16:creationId xmlns:a16="http://schemas.microsoft.com/office/drawing/2014/main" id="{00000000-0008-0000-0000-000007000000}"/>
            </a:ext>
          </a:extLst>
        </xdr:cNvPr>
        <xdr:cNvSpPr/>
      </xdr:nvSpPr>
      <xdr:spPr>
        <a:xfrm>
          <a:off x="1990725" y="104775"/>
          <a:ext cx="1609725" cy="400050"/>
        </a:xfrm>
        <a:prstGeom prst="roundRect">
          <a:avLst/>
        </a:prstGeom>
        <a:solidFill>
          <a:srgbClr val="FFFF00"/>
        </a:solidFill>
        <a:ln w="25400" cap="flat" cmpd="sng" algn="ctr">
          <a:solidFill>
            <a:sysClr val="windowText" lastClr="000000"/>
          </a:solidFill>
          <a:prstDash val="solid"/>
        </a:ln>
        <a:effectLst>
          <a:outerShdw blurRad="50800" dist="38100" dir="2700000" algn="tl" rotWithShape="0">
            <a:prstClr val="black">
              <a:alpha val="40000"/>
            </a:prstClr>
          </a:outerShdw>
        </a:effectLst>
      </xdr:spPr>
      <xdr:txBody>
        <a:bodyPr vertOverflow="clip" horzOverflow="clip" rtlCol="0" anchor="ctr" anchorCtr="0"/>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hu-HU" sz="1100" b="0" i="0" u="none" strike="noStrike" kern="0" cap="none" spc="0" normalizeH="0" baseline="0" noProof="0">
              <a:ln>
                <a:noFill/>
              </a:ln>
              <a:solidFill>
                <a:sysClr val="windowText" lastClr="000000"/>
              </a:solidFill>
              <a:effectLst/>
              <a:uLnTx/>
              <a:uFillTx/>
              <a:latin typeface="Calibri" panose="020F0502020204030204"/>
            </a:rPr>
            <a:t>Global Check</a:t>
          </a:r>
        </a:p>
      </xdr:txBody>
    </xdr:sp>
    <xdr:clientData/>
  </xdr:twoCellAnchor>
  <xdr:twoCellAnchor editAs="oneCell">
    <xdr:from>
      <xdr:col>7</xdr:col>
      <xdr:colOff>0</xdr:colOff>
      <xdr:row>5</xdr:row>
      <xdr:rowOff>0</xdr:rowOff>
    </xdr:from>
    <xdr:to>
      <xdr:col>15</xdr:col>
      <xdr:colOff>213370</xdr:colOff>
      <xdr:row>13</xdr:row>
      <xdr:rowOff>91443</xdr:rowOff>
    </xdr:to>
    <xdr:pic>
      <xdr:nvPicPr>
        <xdr:cNvPr id="9" name="Kép 8">
          <a:extLst>
            <a:ext uri="{FF2B5EF4-FFF2-40B4-BE49-F238E27FC236}">
              <a16:creationId xmlns:a16="http://schemas.microsoft.com/office/drawing/2014/main" id="{BD578A7A-F835-E478-32AE-C3089EFB84B7}"/>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7002780" y="1325880"/>
          <a:ext cx="4937770" cy="155448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95251</xdr:colOff>
      <xdr:row>2</xdr:row>
      <xdr:rowOff>1</xdr:rowOff>
    </xdr:from>
    <xdr:to>
      <xdr:col>6</xdr:col>
      <xdr:colOff>452439</xdr:colOff>
      <xdr:row>18</xdr:row>
      <xdr:rowOff>58653</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42951" y="647701"/>
          <a:ext cx="3595688" cy="2954252"/>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591927</xdr:colOff>
      <xdr:row>0</xdr:row>
      <xdr:rowOff>58527</xdr:rowOff>
    </xdr:from>
    <xdr:to>
      <xdr:col>1</xdr:col>
      <xdr:colOff>1354588</xdr:colOff>
      <xdr:row>0</xdr:row>
      <xdr:rowOff>590552</xdr:rowOff>
    </xdr:to>
    <xdr:sp macro="[0]!bt_checkusages" textlink="">
      <xdr:nvSpPr>
        <xdr:cNvPr id="2" name="bt_chkunused">
          <a:extLst>
            <a:ext uri="{FF2B5EF4-FFF2-40B4-BE49-F238E27FC236}">
              <a16:creationId xmlns:a16="http://schemas.microsoft.com/office/drawing/2014/main" id="{00000000-0008-0000-0200-000002000000}"/>
            </a:ext>
          </a:extLst>
        </xdr:cNvPr>
        <xdr:cNvSpPr/>
      </xdr:nvSpPr>
      <xdr:spPr>
        <a:xfrm>
          <a:off x="590550" y="57150"/>
          <a:ext cx="1438275" cy="531813"/>
        </a:xfrm>
        <a:prstGeom prst="roundRect">
          <a:avLst/>
        </a:prstGeom>
        <a:solidFill>
          <a:srgbClr val="FFFF00"/>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Check parameters</a:t>
          </a:r>
        </a:p>
      </xdr:txBody>
    </xdr:sp>
    <xdr:clientData/>
  </xdr:twoCellAnchor>
  <xdr:twoCellAnchor editAs="oneCell">
    <xdr:from>
      <xdr:col>10</xdr:col>
      <xdr:colOff>532843</xdr:colOff>
      <xdr:row>321</xdr:row>
      <xdr:rowOff>231913</xdr:rowOff>
    </xdr:from>
    <xdr:to>
      <xdr:col>15</xdr:col>
      <xdr:colOff>1505310</xdr:colOff>
      <xdr:row>346</xdr:row>
      <xdr:rowOff>112725</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a:stretch>
          <a:fillRect/>
        </a:stretch>
      </xdr:blipFill>
      <xdr:spPr>
        <a:xfrm>
          <a:off x="19897582" y="69035543"/>
          <a:ext cx="7217554" cy="5475602"/>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absolute">
    <xdr:from>
      <xdr:col>1</xdr:col>
      <xdr:colOff>136342</xdr:colOff>
      <xdr:row>0</xdr:row>
      <xdr:rowOff>59690</xdr:rowOff>
    </xdr:from>
    <xdr:to>
      <xdr:col>3</xdr:col>
      <xdr:colOff>777417</xdr:colOff>
      <xdr:row>0</xdr:row>
      <xdr:rowOff>591503</xdr:rowOff>
    </xdr:to>
    <xdr:sp macro="[0]!bt_chkcont_click" textlink="">
      <xdr:nvSpPr>
        <xdr:cNvPr id="2" name="bt_chkcont">
          <a:extLst>
            <a:ext uri="{FF2B5EF4-FFF2-40B4-BE49-F238E27FC236}">
              <a16:creationId xmlns:a16="http://schemas.microsoft.com/office/drawing/2014/main" id="{00000000-0008-0000-0400-000002000000}"/>
            </a:ext>
          </a:extLst>
        </xdr:cNvPr>
        <xdr:cNvSpPr/>
      </xdr:nvSpPr>
      <xdr:spPr>
        <a:xfrm>
          <a:off x="339989" y="63500"/>
          <a:ext cx="1430338" cy="531813"/>
        </a:xfrm>
        <a:prstGeom prst="roundRect">
          <a:avLst/>
        </a:prstGeom>
        <a:solidFill>
          <a:srgbClr val="FFFF00"/>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Check Continuity </a:t>
          </a:r>
        </a:p>
        <a:p>
          <a:pPr algn="ctr"/>
          <a:r>
            <a:rPr lang="hu-HU" sz="1100">
              <a:solidFill>
                <a:schemeClr val="tx1"/>
              </a:solidFill>
            </a:rPr>
            <a:t>and Rates</a:t>
          </a:r>
        </a:p>
      </xdr:txBody>
    </xdr:sp>
    <xdr:clientData/>
  </xdr:twoCellAnchor>
  <xdr:twoCellAnchor editAs="absolute">
    <xdr:from>
      <xdr:col>3</xdr:col>
      <xdr:colOff>1044645</xdr:colOff>
      <xdr:row>0</xdr:row>
      <xdr:rowOff>76200</xdr:rowOff>
    </xdr:from>
    <xdr:to>
      <xdr:col>3</xdr:col>
      <xdr:colOff>2457362</xdr:colOff>
      <xdr:row>0</xdr:row>
      <xdr:rowOff>608013</xdr:rowOff>
    </xdr:to>
    <xdr:sp macro="[0]!bt_chkcont_norates_click" textlink="">
      <xdr:nvSpPr>
        <xdr:cNvPr id="3" name="bt_chkcont">
          <a:extLst>
            <a:ext uri="{FF2B5EF4-FFF2-40B4-BE49-F238E27FC236}">
              <a16:creationId xmlns:a16="http://schemas.microsoft.com/office/drawing/2014/main" id="{00000000-0008-0000-0400-000003000000}"/>
            </a:ext>
          </a:extLst>
        </xdr:cNvPr>
        <xdr:cNvSpPr/>
      </xdr:nvSpPr>
      <xdr:spPr>
        <a:xfrm>
          <a:off x="2057400" y="76200"/>
          <a:ext cx="1437482" cy="531813"/>
        </a:xfrm>
        <a:prstGeom prst="roundRect">
          <a:avLst/>
        </a:prstGeom>
        <a:solidFill>
          <a:schemeClr val="bg1">
            <a:lumMod val="85000"/>
          </a:schemeClr>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Check Continuity </a:t>
          </a:r>
        </a:p>
        <a:p>
          <a:pPr algn="ctr"/>
          <a:r>
            <a:rPr lang="hu-HU" sz="1100">
              <a:solidFill>
                <a:schemeClr val="tx1"/>
              </a:solidFill>
            </a:rPr>
            <a:t>without Rates</a:t>
          </a:r>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190500</xdr:colOff>
      <xdr:row>0</xdr:row>
      <xdr:rowOff>99484</xdr:rowOff>
    </xdr:from>
    <xdr:to>
      <xdr:col>2</xdr:col>
      <xdr:colOff>87241</xdr:colOff>
      <xdr:row>0</xdr:row>
      <xdr:rowOff>466725</xdr:rowOff>
    </xdr:to>
    <xdr:sp macro="[0]!bt_pewpph" textlink="">
      <xdr:nvSpPr>
        <xdr:cNvPr id="2" name="bt_prepph">
          <a:extLst>
            <a:ext uri="{FF2B5EF4-FFF2-40B4-BE49-F238E27FC236}">
              <a16:creationId xmlns:a16="http://schemas.microsoft.com/office/drawing/2014/main" id="{00000000-0008-0000-0500-000002000000}"/>
            </a:ext>
          </a:extLst>
        </xdr:cNvPr>
        <xdr:cNvSpPr/>
      </xdr:nvSpPr>
      <xdr:spPr>
        <a:xfrm>
          <a:off x="190500" y="95250"/>
          <a:ext cx="1485900" cy="371475"/>
        </a:xfrm>
        <a:prstGeom prst="roundRect">
          <a:avLst/>
        </a:prstGeom>
        <a:solidFill>
          <a:srgbClr val="00FF00"/>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Prepare pH Check</a:t>
          </a:r>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1</xdr:col>
      <xdr:colOff>0</xdr:colOff>
      <xdr:row>0</xdr:row>
      <xdr:rowOff>0</xdr:rowOff>
    </xdr:from>
    <xdr:to>
      <xdr:col>2</xdr:col>
      <xdr:colOff>1247775</xdr:colOff>
      <xdr:row>0</xdr:row>
      <xdr:rowOff>428625</xdr:rowOff>
    </xdr:to>
    <xdr:sp macro="[0]!bt_creqma_click" textlink="">
      <xdr:nvSpPr>
        <xdr:cNvPr id="2" name="bt_creqma">
          <a:extLst>
            <a:ext uri="{FF2B5EF4-FFF2-40B4-BE49-F238E27FC236}">
              <a16:creationId xmlns:a16="http://schemas.microsoft.com/office/drawing/2014/main" id="{00000000-0008-0000-0600-000002000000}"/>
            </a:ext>
          </a:extLst>
        </xdr:cNvPr>
        <xdr:cNvSpPr/>
      </xdr:nvSpPr>
      <xdr:spPr>
        <a:xfrm>
          <a:off x="609600" y="0"/>
          <a:ext cx="1857375" cy="428625"/>
        </a:xfrm>
        <a:prstGeom prst="roundRect">
          <a:avLst/>
        </a:prstGeom>
        <a:solidFill>
          <a:schemeClr val="bg1">
            <a:lumMod val="65000"/>
          </a:schemeClr>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Create Equilibrium Matrix</a:t>
          </a:r>
        </a:p>
      </xdr:txBody>
    </xdr:sp>
    <xdr:clientData/>
  </xdr:twoCellAnchor>
  <xdr:twoCellAnchor editAs="absolute">
    <xdr:from>
      <xdr:col>3</xdr:col>
      <xdr:colOff>0</xdr:colOff>
      <xdr:row>0</xdr:row>
      <xdr:rowOff>0</xdr:rowOff>
    </xdr:from>
    <xdr:to>
      <xdr:col>5</xdr:col>
      <xdr:colOff>200025</xdr:colOff>
      <xdr:row>0</xdr:row>
      <xdr:rowOff>400050</xdr:rowOff>
    </xdr:to>
    <xdr:sp macro="[0]!bt_chksp_click" textlink="">
      <xdr:nvSpPr>
        <xdr:cNvPr id="3" name="bt_chksp">
          <a:extLst>
            <a:ext uri="{FF2B5EF4-FFF2-40B4-BE49-F238E27FC236}">
              <a16:creationId xmlns:a16="http://schemas.microsoft.com/office/drawing/2014/main" id="{00000000-0008-0000-0600-000003000000}"/>
            </a:ext>
          </a:extLst>
        </xdr:cNvPr>
        <xdr:cNvSpPr/>
      </xdr:nvSpPr>
      <xdr:spPr>
        <a:xfrm>
          <a:off x="2876550" y="0"/>
          <a:ext cx="1609725" cy="400050"/>
        </a:xfrm>
        <a:prstGeom prst="roundRect">
          <a:avLst/>
        </a:prstGeom>
        <a:solidFill>
          <a:srgbClr val="00FF00"/>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Check Species</a:t>
          </a:r>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152400</xdr:colOff>
      <xdr:row>0</xdr:row>
      <xdr:rowOff>95250</xdr:rowOff>
    </xdr:from>
    <xdr:to>
      <xdr:col>1</xdr:col>
      <xdr:colOff>1089183</xdr:colOff>
      <xdr:row>0</xdr:row>
      <xdr:rowOff>516255</xdr:rowOff>
    </xdr:to>
    <xdr:sp macro="[0]!bt_crkinma_click" textlink="">
      <xdr:nvSpPr>
        <xdr:cNvPr id="2" name="bt_crkinma">
          <a:extLst>
            <a:ext uri="{FF2B5EF4-FFF2-40B4-BE49-F238E27FC236}">
              <a16:creationId xmlns:a16="http://schemas.microsoft.com/office/drawing/2014/main" id="{00000000-0008-0000-0800-000002000000}"/>
            </a:ext>
          </a:extLst>
        </xdr:cNvPr>
        <xdr:cNvSpPr/>
      </xdr:nvSpPr>
      <xdr:spPr>
        <a:xfrm>
          <a:off x="152400" y="85725"/>
          <a:ext cx="1485900" cy="438150"/>
        </a:xfrm>
        <a:prstGeom prst="roundRect">
          <a:avLst/>
        </a:prstGeom>
        <a:solidFill>
          <a:schemeClr val="bg1">
            <a:lumMod val="65000"/>
          </a:schemeClr>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Create Kinetic Matrix</a:t>
          </a:r>
        </a:p>
      </xdr:txBody>
    </xdr:sp>
    <xdr:clientData/>
  </xdr:twoCellAnchor>
  <xdr:twoCellAnchor editAs="absolute">
    <xdr:from>
      <xdr:col>2</xdr:col>
      <xdr:colOff>2605</xdr:colOff>
      <xdr:row>0</xdr:row>
      <xdr:rowOff>91440</xdr:rowOff>
    </xdr:from>
    <xdr:to>
      <xdr:col>2</xdr:col>
      <xdr:colOff>1577340</xdr:colOff>
      <xdr:row>0</xdr:row>
      <xdr:rowOff>516255</xdr:rowOff>
    </xdr:to>
    <xdr:sp macro="[0]!bt_chkst_click" textlink="">
      <xdr:nvSpPr>
        <xdr:cNvPr id="3" name="bt_chkst">
          <a:extLst>
            <a:ext uri="{FF2B5EF4-FFF2-40B4-BE49-F238E27FC236}">
              <a16:creationId xmlns:a16="http://schemas.microsoft.com/office/drawing/2014/main" id="{00000000-0008-0000-0800-000003000000}"/>
            </a:ext>
          </a:extLst>
        </xdr:cNvPr>
        <xdr:cNvSpPr/>
      </xdr:nvSpPr>
      <xdr:spPr>
        <a:xfrm>
          <a:off x="1771650" y="95250"/>
          <a:ext cx="1581150" cy="428625"/>
        </a:xfrm>
        <a:prstGeom prst="roundRect">
          <a:avLst/>
        </a:prstGeom>
        <a:solidFill>
          <a:srgbClr val="00FF00"/>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Check Components</a:t>
          </a:r>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104776</xdr:colOff>
      <xdr:row>0</xdr:row>
      <xdr:rowOff>142875</xdr:rowOff>
    </xdr:from>
    <xdr:to>
      <xdr:col>1</xdr:col>
      <xdr:colOff>428626</xdr:colOff>
      <xdr:row>0</xdr:row>
      <xdr:rowOff>600075</xdr:rowOff>
    </xdr:to>
    <xdr:sp macro="[0]!bt_chkalg_click" textlink="">
      <xdr:nvSpPr>
        <xdr:cNvPr id="3" name="bt_chkalg">
          <a:extLst>
            <a:ext uri="{FF2B5EF4-FFF2-40B4-BE49-F238E27FC236}">
              <a16:creationId xmlns:a16="http://schemas.microsoft.com/office/drawing/2014/main" id="{00000000-0008-0000-0900-000003000000}"/>
            </a:ext>
          </a:extLst>
        </xdr:cNvPr>
        <xdr:cNvSpPr/>
      </xdr:nvSpPr>
      <xdr:spPr>
        <a:xfrm>
          <a:off x="104776" y="142875"/>
          <a:ext cx="1447800" cy="457200"/>
        </a:xfrm>
        <a:prstGeom prst="roundRect">
          <a:avLst/>
        </a:prstGeom>
        <a:solidFill>
          <a:srgbClr val="C0C0C0"/>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Check Expressions</a:t>
          </a:r>
        </a:p>
      </xdr:txBody>
    </xdr:sp>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228600</xdr:colOff>
      <xdr:row>0</xdr:row>
      <xdr:rowOff>192088</xdr:rowOff>
    </xdr:from>
    <xdr:to>
      <xdr:col>1</xdr:col>
      <xdr:colOff>1467994</xdr:colOff>
      <xdr:row>0</xdr:row>
      <xdr:rowOff>553826</xdr:rowOff>
    </xdr:to>
    <xdr:sp macro="[0]!bt_calcvar" textlink="">
      <xdr:nvSpPr>
        <xdr:cNvPr id="2" name="bt_calc">
          <a:extLst>
            <a:ext uri="{FF2B5EF4-FFF2-40B4-BE49-F238E27FC236}">
              <a16:creationId xmlns:a16="http://schemas.microsoft.com/office/drawing/2014/main" id="{00000000-0008-0000-0B00-000002000000}"/>
            </a:ext>
          </a:extLst>
        </xdr:cNvPr>
        <xdr:cNvSpPr/>
      </xdr:nvSpPr>
      <xdr:spPr>
        <a:xfrm>
          <a:off x="228600" y="180975"/>
          <a:ext cx="1485900" cy="371475"/>
        </a:xfrm>
        <a:prstGeom prst="roundRect">
          <a:avLst/>
        </a:prstGeom>
        <a:solidFill>
          <a:srgbClr val="00FF00"/>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Calculate</a:t>
          </a:r>
        </a:p>
      </xdr:txBody>
    </xdr:sp>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152400</xdr:colOff>
      <xdr:row>0</xdr:row>
      <xdr:rowOff>123824</xdr:rowOff>
    </xdr:from>
    <xdr:to>
      <xdr:col>1</xdr:col>
      <xdr:colOff>1028700</xdr:colOff>
      <xdr:row>0</xdr:row>
      <xdr:rowOff>628649</xdr:rowOff>
    </xdr:to>
    <xdr:sp macro="[0]!CreateFunctions" textlink="">
      <xdr:nvSpPr>
        <xdr:cNvPr id="2" name="bt_crfunc">
          <a:extLst>
            <a:ext uri="{FF2B5EF4-FFF2-40B4-BE49-F238E27FC236}">
              <a16:creationId xmlns:a16="http://schemas.microsoft.com/office/drawing/2014/main" id="{00000000-0008-0000-0C00-000002000000}"/>
            </a:ext>
          </a:extLst>
        </xdr:cNvPr>
        <xdr:cNvSpPr/>
      </xdr:nvSpPr>
      <xdr:spPr>
        <a:xfrm>
          <a:off x="152400" y="123824"/>
          <a:ext cx="1485900" cy="504825"/>
        </a:xfrm>
        <a:prstGeom prst="roundRect">
          <a:avLst/>
        </a:prstGeom>
        <a:solidFill>
          <a:srgbClr val="00FF00"/>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Check Functions</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647700</xdr:colOff>
      <xdr:row>5</xdr:row>
      <xdr:rowOff>161925</xdr:rowOff>
    </xdr:from>
    <xdr:to>
      <xdr:col>5</xdr:col>
      <xdr:colOff>304800</xdr:colOff>
      <xdr:row>7</xdr:row>
      <xdr:rowOff>142875</xdr:rowOff>
    </xdr:to>
    <xdr:sp macro="[0]!ThisWorkbook.ShowAllSheets" textlink="">
      <xdr:nvSpPr>
        <xdr:cNvPr id="2" name="bt_colchange">
          <a:extLst>
            <a:ext uri="{FF2B5EF4-FFF2-40B4-BE49-F238E27FC236}">
              <a16:creationId xmlns:a16="http://schemas.microsoft.com/office/drawing/2014/main" id="{00000000-0008-0000-0E00-000002000000}"/>
            </a:ext>
          </a:extLst>
        </xdr:cNvPr>
        <xdr:cNvSpPr/>
      </xdr:nvSpPr>
      <xdr:spPr>
        <a:xfrm>
          <a:off x="2352675" y="1123950"/>
          <a:ext cx="2943225" cy="361950"/>
        </a:xfrm>
        <a:prstGeom prst="roundRect">
          <a:avLst/>
        </a:prstGeom>
        <a:gradFill flip="none" rotWithShape="1">
          <a:gsLst>
            <a:gs pos="0">
              <a:srgbClr val="498787"/>
            </a:gs>
            <a:gs pos="100000">
              <a:srgbClr val="499687"/>
            </a:gs>
          </a:gsLst>
          <a:lin ang="0" scaled="1"/>
          <a:tileRect/>
        </a:gra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hu-HU" sz="1100" baseline="0">
              <a:solidFill>
                <a:sysClr val="windowText" lastClr="000000"/>
              </a:solidFill>
            </a:rPr>
            <a:t>Continue</a:t>
          </a:r>
        </a:p>
      </xdr:txBody>
    </xdr:sp>
    <xdr:clientData/>
  </xdr:twoCellAnchor>
</xdr:wsDr>
</file>

<file path=xl/persons/person.xml><?xml version="1.0" encoding="utf-8"?>
<personList xmlns="http://schemas.microsoft.com/office/spreadsheetml/2018/threadedcomments" xmlns:x="http://schemas.openxmlformats.org/spreadsheetml/2006/main">
  <person displayName="Ferenc Házi" id="{89995113-2051-477B-AF58-D40C8228AEC9}" userId="09190b45b532d636" providerId="Windows Live"/>
  <person displayName="3456" id="{52FDB789-FA78-40EE-BB16-FCF71ED591AF}" userId="S::vip3456@d.of365.online::c30cad69-88f5-4530-afdd-3085dae36994" providerId="AD"/>
</personList>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D59" dT="2020-02-03T15:48:49.14" personId="{89995113-2051-477B-AF58-D40C8228AEC9}" id="{D9E18358-C1BE-4D62-A2D7-E14C0D7DCAB5}">
    <text>+ iw,EPS + iwh,EPS to XVSS,BIO and XE: the MEPS calculation is an indicator only, not properly integrated EPS variable. Makes it hard to implement in the calculation of bound water while the provided information wouldn't be not valid. This is simpler estimation for EPS correction of the specific plant, so a correction parameter should be calibrated for the bound water calculation during the calibration.</text>
  </threadedComment>
  <threadedComment ref="D59" dT="2024-07-08T15:12:07.95" personId="{52FDB789-FA78-40EE-BB16-FCF71ED591AF}" id="{D80094F5-AA38-41BA-B37F-19C063DF1493}" parentId="{D9E18358-C1BE-4D62-A2D7-E14C0D7DCAB5}">
    <text>XB,e added</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www.dynamita.com/" TargetMode="Externa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9.xml"/><Relationship Id="rId1" Type="http://schemas.openxmlformats.org/officeDocument/2006/relationships/printerSettings" Target="../printerSettings/printerSettings8.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7.xml.rels><?xml version="1.0" encoding="UTF-8" standalone="yes"?>
<Relationships xmlns="http://schemas.openxmlformats.org/package/2006/relationships"><Relationship Id="rId13" Type="http://schemas.openxmlformats.org/officeDocument/2006/relationships/hyperlink" Target="http://www.cplusplus.com/reference/cmath/log/" TargetMode="External"/><Relationship Id="rId18" Type="http://schemas.openxmlformats.org/officeDocument/2006/relationships/hyperlink" Target="http://www.cplusplus.com/reference/cmath/floor/" TargetMode="External"/><Relationship Id="rId26" Type="http://schemas.openxmlformats.org/officeDocument/2006/relationships/hyperlink" Target="http://www.cplusplus.com/reference/cmath/atan2/" TargetMode="External"/><Relationship Id="rId39" Type="http://schemas.openxmlformats.org/officeDocument/2006/relationships/printerSettings" Target="../printerSettings/printerSettings10.bin"/><Relationship Id="rId21" Type="http://schemas.openxmlformats.org/officeDocument/2006/relationships/hyperlink" Target="http://www.cplusplus.com/reference/cmath/sin/" TargetMode="External"/><Relationship Id="rId34" Type="http://schemas.openxmlformats.org/officeDocument/2006/relationships/hyperlink" Target="http://www.cplusplus.com/reference/cmath/sqrt/" TargetMode="External"/><Relationship Id="rId7" Type="http://schemas.openxmlformats.org/officeDocument/2006/relationships/hyperlink" Target="http://www.cplusplus.com/reference/cmath/atan2/" TargetMode="External"/><Relationship Id="rId12" Type="http://schemas.openxmlformats.org/officeDocument/2006/relationships/hyperlink" Target="http://www.cplusplus.com/reference/cmath/ldexp/" TargetMode="External"/><Relationship Id="rId17" Type="http://schemas.openxmlformats.org/officeDocument/2006/relationships/hyperlink" Target="http://www.cplusplus.com/reference/cmath/fabs/" TargetMode="External"/><Relationship Id="rId25" Type="http://schemas.openxmlformats.org/officeDocument/2006/relationships/hyperlink" Target="http://www.cplusplus.com/reference/cmath/atan/" TargetMode="External"/><Relationship Id="rId33" Type="http://schemas.openxmlformats.org/officeDocument/2006/relationships/hyperlink" Target="http://www.cplusplus.com/reference/cmath/log10/" TargetMode="External"/><Relationship Id="rId38" Type="http://schemas.openxmlformats.org/officeDocument/2006/relationships/hyperlink" Target="http://www.cplusplus.com/reference/cmath/fmod/" TargetMode="External"/><Relationship Id="rId2" Type="http://schemas.openxmlformats.org/officeDocument/2006/relationships/hyperlink" Target="http://www.cplusplus.com/reference/cmath/sin/" TargetMode="External"/><Relationship Id="rId16" Type="http://schemas.openxmlformats.org/officeDocument/2006/relationships/hyperlink" Target="http://www.cplusplus.com/reference/cmath/ceil/" TargetMode="External"/><Relationship Id="rId20" Type="http://schemas.openxmlformats.org/officeDocument/2006/relationships/hyperlink" Target="http://www.cplusplus.com/reference/cmath/cos/" TargetMode="External"/><Relationship Id="rId29" Type="http://schemas.openxmlformats.org/officeDocument/2006/relationships/hyperlink" Target="http://www.cplusplus.com/reference/cmath/tanh/" TargetMode="External"/><Relationship Id="rId1" Type="http://schemas.openxmlformats.org/officeDocument/2006/relationships/hyperlink" Target="http://www.cplusplus.com/reference/cmath/cos/" TargetMode="External"/><Relationship Id="rId6" Type="http://schemas.openxmlformats.org/officeDocument/2006/relationships/hyperlink" Target="http://www.cplusplus.com/reference/cmath/atan/" TargetMode="External"/><Relationship Id="rId11" Type="http://schemas.openxmlformats.org/officeDocument/2006/relationships/hyperlink" Target="http://www.cplusplus.com/reference/cmath/exp/" TargetMode="External"/><Relationship Id="rId24" Type="http://schemas.openxmlformats.org/officeDocument/2006/relationships/hyperlink" Target="http://www.cplusplus.com/reference/cmath/asin/" TargetMode="External"/><Relationship Id="rId32" Type="http://schemas.openxmlformats.org/officeDocument/2006/relationships/hyperlink" Target="http://www.cplusplus.com/reference/cmath/log/" TargetMode="External"/><Relationship Id="rId37" Type="http://schemas.openxmlformats.org/officeDocument/2006/relationships/hyperlink" Target="http://www.cplusplus.com/reference/cmath/floor/" TargetMode="External"/><Relationship Id="rId5" Type="http://schemas.openxmlformats.org/officeDocument/2006/relationships/hyperlink" Target="http://www.cplusplus.com/reference/cmath/asin/" TargetMode="External"/><Relationship Id="rId15" Type="http://schemas.openxmlformats.org/officeDocument/2006/relationships/hyperlink" Target="http://www.cplusplus.com/reference/cmath/sqrt/" TargetMode="External"/><Relationship Id="rId23" Type="http://schemas.openxmlformats.org/officeDocument/2006/relationships/hyperlink" Target="http://www.cplusplus.com/reference/cmath/acos/" TargetMode="External"/><Relationship Id="rId28" Type="http://schemas.openxmlformats.org/officeDocument/2006/relationships/hyperlink" Target="http://www.cplusplus.com/reference/cmath/sinh/" TargetMode="External"/><Relationship Id="rId36" Type="http://schemas.openxmlformats.org/officeDocument/2006/relationships/hyperlink" Target="http://www.cplusplus.com/reference/cmath/fabs/" TargetMode="External"/><Relationship Id="rId10" Type="http://schemas.openxmlformats.org/officeDocument/2006/relationships/hyperlink" Target="http://www.cplusplus.com/reference/cmath/tanh/" TargetMode="External"/><Relationship Id="rId19" Type="http://schemas.openxmlformats.org/officeDocument/2006/relationships/hyperlink" Target="http://www.cplusplus.com/reference/cmath/fmod/" TargetMode="External"/><Relationship Id="rId31" Type="http://schemas.openxmlformats.org/officeDocument/2006/relationships/hyperlink" Target="http://www.cplusplus.com/reference/cmath/ldexp/" TargetMode="External"/><Relationship Id="rId4" Type="http://schemas.openxmlformats.org/officeDocument/2006/relationships/hyperlink" Target="http://www.cplusplus.com/reference/cmath/acos/" TargetMode="External"/><Relationship Id="rId9" Type="http://schemas.openxmlformats.org/officeDocument/2006/relationships/hyperlink" Target="http://www.cplusplus.com/reference/cmath/sinh/" TargetMode="External"/><Relationship Id="rId14" Type="http://schemas.openxmlformats.org/officeDocument/2006/relationships/hyperlink" Target="http://www.cplusplus.com/reference/cmath/log10/" TargetMode="External"/><Relationship Id="rId22" Type="http://schemas.openxmlformats.org/officeDocument/2006/relationships/hyperlink" Target="http://www.cplusplus.com/reference/cmath/tan/" TargetMode="External"/><Relationship Id="rId27" Type="http://schemas.openxmlformats.org/officeDocument/2006/relationships/hyperlink" Target="http://www.cplusplus.com/reference/cmath/cosh/" TargetMode="External"/><Relationship Id="rId30" Type="http://schemas.openxmlformats.org/officeDocument/2006/relationships/hyperlink" Target="http://www.cplusplus.com/reference/cmath/exp/" TargetMode="External"/><Relationship Id="rId35" Type="http://schemas.openxmlformats.org/officeDocument/2006/relationships/hyperlink" Target="http://www.cplusplus.com/reference/cmath/ceil/" TargetMode="External"/><Relationship Id="rId8" Type="http://schemas.openxmlformats.org/officeDocument/2006/relationships/hyperlink" Target="http://www.cplusplus.com/reference/cmath/cosh/" TargetMode="External"/><Relationship Id="rId3" Type="http://schemas.openxmlformats.org/officeDocument/2006/relationships/hyperlink" Target="http://www.cplusplus.com/reference/cmath/tan/" TargetMode="External"/></Relationships>
</file>

<file path=xl/worksheets/_rels/sheet18.xml.rels><?xml version="1.0" encoding="UTF-8" standalone="yes"?>
<Relationships xmlns="http://schemas.openxmlformats.org/package/2006/relationships"><Relationship Id="rId8" Type="http://schemas.openxmlformats.org/officeDocument/2006/relationships/hyperlink" Target="http://webbook.nist.gov/cgi/cbook.cgi?Formula=CH4&amp;NoIon=on&amp;Units=SI&amp;cSO=on" TargetMode="External"/><Relationship Id="rId3" Type="http://schemas.openxmlformats.org/officeDocument/2006/relationships/hyperlink" Target="http://webbook.nist.gov/cgi/cbook.cgi?Formula=H2S&amp;NoIon=on&amp;Units=SI&amp;cSO=on" TargetMode="External"/><Relationship Id="rId7" Type="http://schemas.openxmlformats.org/officeDocument/2006/relationships/hyperlink" Target="http://webbook.nist.gov/cgi/cbook.cgi?Formula=CH4&amp;NoIon=on&amp;Units=SI&amp;cSO=on" TargetMode="External"/><Relationship Id="rId2" Type="http://schemas.openxmlformats.org/officeDocument/2006/relationships/hyperlink" Target="http://webbook.nist.gov/cgi/cbook.cgi?Formula=NH3&amp;NoIon=on&amp;Units=SI&amp;cSO=on" TargetMode="External"/><Relationship Id="rId1" Type="http://schemas.openxmlformats.org/officeDocument/2006/relationships/hyperlink" Target="http://webbook.nist.gov/cgi/cbook.cgi?Formula=NH3&amp;NoIon=on&amp;Units=SI&amp;cSO=on" TargetMode="External"/><Relationship Id="rId6" Type="http://schemas.openxmlformats.org/officeDocument/2006/relationships/hyperlink" Target="http://webbook.nist.gov/cgi/cbook.cgi?Formula=H2&amp;NoIon=on&amp;Units=SI&amp;cSO=on" TargetMode="External"/><Relationship Id="rId11" Type="http://schemas.openxmlformats.org/officeDocument/2006/relationships/printerSettings" Target="../printerSettings/printerSettings11.bin"/><Relationship Id="rId5" Type="http://schemas.openxmlformats.org/officeDocument/2006/relationships/hyperlink" Target="http://webbook.nist.gov/cgi/cbook.cgi?Formula=H2&amp;NoIon=on&amp;Units=SI&amp;cSO=on" TargetMode="External"/><Relationship Id="rId10" Type="http://schemas.openxmlformats.org/officeDocument/2006/relationships/hyperlink" Target="http://webbook.nist.gov/cgi/cbook.cgi?ID=C124389&amp;Mask=10" TargetMode="External"/><Relationship Id="rId4" Type="http://schemas.openxmlformats.org/officeDocument/2006/relationships/hyperlink" Target="http://webbook.nist.gov/cgi/cbook.cgi?Formula=H2S&amp;NoIon=on&amp;Units=SI&amp;cSO=on" TargetMode="External"/><Relationship Id="rId9" Type="http://schemas.openxmlformats.org/officeDocument/2006/relationships/hyperlink" Target="http://www.vias.org/genchem/standard_enthalpies_table.html" TargetMode="Externa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Munka22"/>
  <dimension ref="A1:L260"/>
  <sheetViews>
    <sheetView showGridLines="0" tabSelected="1" zoomScaleNormal="100" workbookViewId="0"/>
  </sheetViews>
  <sheetFormatPr baseColWidth="10" defaultColWidth="9.140625" defaultRowHeight="15" x14ac:dyDescent="0.25"/>
  <cols>
    <col min="1" max="1" width="3.85546875" customWidth="1"/>
    <col min="2" max="2" width="13.140625" customWidth="1"/>
    <col min="3" max="3" width="12.28515625" customWidth="1"/>
    <col min="5" max="5" width="25" customWidth="1"/>
    <col min="6" max="6" width="25.140625" customWidth="1"/>
    <col min="7" max="7" width="13.28515625" customWidth="1"/>
    <col min="14" max="14" width="5.140625" customWidth="1"/>
  </cols>
  <sheetData>
    <row r="1" spans="2:8" s="46" customFormat="1" ht="47.25" customHeight="1" x14ac:dyDescent="0.25"/>
    <row r="3" spans="2:8" x14ac:dyDescent="0.25">
      <c r="B3" s="48" t="s">
        <v>153</v>
      </c>
      <c r="C3" s="1" t="s">
        <v>2804</v>
      </c>
      <c r="D3" t="s">
        <v>3064</v>
      </c>
    </row>
    <row r="4" spans="2:8" x14ac:dyDescent="0.25">
      <c r="B4" s="113"/>
      <c r="C4" s="1"/>
      <c r="D4" s="116" t="s">
        <v>3737</v>
      </c>
    </row>
    <row r="5" spans="2:8" x14ac:dyDescent="0.25">
      <c r="D5" t="s">
        <v>220</v>
      </c>
    </row>
    <row r="6" spans="2:8" x14ac:dyDescent="0.25">
      <c r="D6" t="s">
        <v>221</v>
      </c>
    </row>
    <row r="7" spans="2:8" x14ac:dyDescent="0.25">
      <c r="D7" t="s">
        <v>282</v>
      </c>
    </row>
    <row r="8" spans="2:8" x14ac:dyDescent="0.25">
      <c r="D8" t="s">
        <v>222</v>
      </c>
    </row>
    <row r="9" spans="2:8" x14ac:dyDescent="0.25">
      <c r="D9" t="s">
        <v>283</v>
      </c>
    </row>
    <row r="10" spans="2:8" x14ac:dyDescent="0.25">
      <c r="D10" t="s">
        <v>3966</v>
      </c>
    </row>
    <row r="11" spans="2:8" x14ac:dyDescent="0.25">
      <c r="D11" t="s">
        <v>279</v>
      </c>
    </row>
    <row r="12" spans="2:8" x14ac:dyDescent="0.25">
      <c r="D12" t="s">
        <v>1606</v>
      </c>
    </row>
    <row r="13" spans="2:8" x14ac:dyDescent="0.25">
      <c r="D13" t="s">
        <v>284</v>
      </c>
    </row>
    <row r="14" spans="2:8" x14ac:dyDescent="0.25">
      <c r="D14" t="s">
        <v>285</v>
      </c>
    </row>
    <row r="15" spans="2:8" x14ac:dyDescent="0.25">
      <c r="D15" t="s">
        <v>2111</v>
      </c>
      <c r="H15" s="770" t="s">
        <v>1163</v>
      </c>
    </row>
    <row r="19" spans="1:10" x14ac:dyDescent="0.25">
      <c r="B19" s="48" t="s">
        <v>27</v>
      </c>
      <c r="C19" s="49"/>
      <c r="H19" s="48" t="s">
        <v>212</v>
      </c>
      <c r="I19" s="49"/>
      <c r="J19" s="49"/>
    </row>
    <row r="20" spans="1:10" x14ac:dyDescent="0.25">
      <c r="A20" s="113" t="s">
        <v>1908</v>
      </c>
      <c r="H20">
        <v>1</v>
      </c>
      <c r="I20" t="s">
        <v>213</v>
      </c>
    </row>
    <row r="21" spans="1:10" x14ac:dyDescent="0.25">
      <c r="A21">
        <v>1</v>
      </c>
      <c r="B21" t="s">
        <v>1909</v>
      </c>
      <c r="H21">
        <v>2</v>
      </c>
      <c r="I21" t="s">
        <v>3262</v>
      </c>
    </row>
    <row r="22" spans="1:10" x14ac:dyDescent="0.25">
      <c r="A22">
        <v>2</v>
      </c>
      <c r="B22" t="s">
        <v>1910</v>
      </c>
    </row>
    <row r="23" spans="1:10" x14ac:dyDescent="0.25">
      <c r="B23">
        <v>1</v>
      </c>
      <c r="C23" t="s">
        <v>1911</v>
      </c>
    </row>
    <row r="24" spans="1:10" x14ac:dyDescent="0.25">
      <c r="B24">
        <v>2</v>
      </c>
      <c r="C24" t="s">
        <v>1912</v>
      </c>
    </row>
    <row r="25" spans="1:10" x14ac:dyDescent="0.25">
      <c r="B25">
        <v>3</v>
      </c>
      <c r="C25" t="s">
        <v>1913</v>
      </c>
    </row>
    <row r="26" spans="1:10" x14ac:dyDescent="0.25">
      <c r="B26">
        <v>4</v>
      </c>
      <c r="C26" t="s">
        <v>1914</v>
      </c>
    </row>
    <row r="27" spans="1:10" x14ac:dyDescent="0.25">
      <c r="B27">
        <v>5</v>
      </c>
      <c r="C27" t="s">
        <v>1915</v>
      </c>
    </row>
    <row r="28" spans="1:10" x14ac:dyDescent="0.25">
      <c r="A28">
        <v>3</v>
      </c>
      <c r="B28" t="s">
        <v>1916</v>
      </c>
    </row>
    <row r="29" spans="1:10" x14ac:dyDescent="0.25">
      <c r="C29" t="s">
        <v>1917</v>
      </c>
    </row>
    <row r="31" spans="1:10" x14ac:dyDescent="0.25">
      <c r="A31" s="1" t="s">
        <v>28</v>
      </c>
      <c r="B31" s="1" t="s">
        <v>29</v>
      </c>
    </row>
    <row r="32" spans="1:10" x14ac:dyDescent="0.25">
      <c r="B32">
        <v>1</v>
      </c>
      <c r="C32" t="s">
        <v>792</v>
      </c>
    </row>
    <row r="33" spans="2:5" x14ac:dyDescent="0.25">
      <c r="D33" t="s">
        <v>30</v>
      </c>
    </row>
    <row r="34" spans="2:5" x14ac:dyDescent="0.25">
      <c r="D34">
        <v>1</v>
      </c>
      <c r="E34" t="s">
        <v>31</v>
      </c>
    </row>
    <row r="35" spans="2:5" x14ac:dyDescent="0.25">
      <c r="D35">
        <v>2</v>
      </c>
      <c r="E35" t="s">
        <v>101</v>
      </c>
    </row>
    <row r="36" spans="2:5" x14ac:dyDescent="0.25">
      <c r="D36">
        <v>3</v>
      </c>
      <c r="E36" t="s">
        <v>154</v>
      </c>
    </row>
    <row r="37" spans="2:5" x14ac:dyDescent="0.25">
      <c r="D37">
        <v>4</v>
      </c>
      <c r="E37" t="s">
        <v>33</v>
      </c>
    </row>
    <row r="38" spans="2:5" x14ac:dyDescent="0.25">
      <c r="B38">
        <v>2</v>
      </c>
      <c r="C38" t="s">
        <v>793</v>
      </c>
    </row>
    <row r="39" spans="2:5" x14ac:dyDescent="0.25">
      <c r="D39">
        <v>1</v>
      </c>
      <c r="E39" t="s">
        <v>34</v>
      </c>
    </row>
    <row r="40" spans="2:5" x14ac:dyDescent="0.25">
      <c r="D40">
        <v>2</v>
      </c>
      <c r="E40" t="s">
        <v>155</v>
      </c>
    </row>
    <row r="41" spans="2:5" x14ac:dyDescent="0.25">
      <c r="D41">
        <v>3</v>
      </c>
      <c r="E41" t="s">
        <v>156</v>
      </c>
    </row>
    <row r="42" spans="2:5" x14ac:dyDescent="0.25">
      <c r="D42">
        <v>3</v>
      </c>
      <c r="E42" t="s">
        <v>157</v>
      </c>
    </row>
    <row r="43" spans="2:5" x14ac:dyDescent="0.25">
      <c r="D43">
        <v>4</v>
      </c>
      <c r="E43" t="s">
        <v>158</v>
      </c>
    </row>
    <row r="44" spans="2:5" x14ac:dyDescent="0.25">
      <c r="D44" s="114" t="s">
        <v>159</v>
      </c>
      <c r="E44" t="s">
        <v>36</v>
      </c>
    </row>
    <row r="45" spans="2:5" x14ac:dyDescent="0.25">
      <c r="D45">
        <v>6</v>
      </c>
      <c r="E45" t="s">
        <v>37</v>
      </c>
    </row>
    <row r="46" spans="2:5" x14ac:dyDescent="0.25">
      <c r="B46">
        <v>3</v>
      </c>
      <c r="C46" t="s">
        <v>38</v>
      </c>
    </row>
    <row r="47" spans="2:5" x14ac:dyDescent="0.25">
      <c r="D47">
        <v>1</v>
      </c>
      <c r="E47" t="s">
        <v>39</v>
      </c>
    </row>
    <row r="48" spans="2:5" x14ac:dyDescent="0.25">
      <c r="D48">
        <v>2</v>
      </c>
      <c r="E48" t="s">
        <v>40</v>
      </c>
    </row>
    <row r="49" spans="2:10" x14ac:dyDescent="0.25">
      <c r="D49">
        <v>3</v>
      </c>
      <c r="E49" t="s">
        <v>41</v>
      </c>
    </row>
    <row r="50" spans="2:10" x14ac:dyDescent="0.25">
      <c r="B50">
        <v>4</v>
      </c>
      <c r="C50" t="s">
        <v>160</v>
      </c>
    </row>
    <row r="51" spans="2:10" x14ac:dyDescent="0.25">
      <c r="D51">
        <v>1</v>
      </c>
      <c r="E51" t="s">
        <v>161</v>
      </c>
    </row>
    <row r="52" spans="2:10" x14ac:dyDescent="0.25">
      <c r="B52">
        <v>5</v>
      </c>
      <c r="C52" t="s">
        <v>793</v>
      </c>
    </row>
    <row r="53" spans="2:10" x14ac:dyDescent="0.25">
      <c r="D53">
        <v>1</v>
      </c>
      <c r="E53" t="s">
        <v>42</v>
      </c>
    </row>
    <row r="54" spans="2:10" x14ac:dyDescent="0.25">
      <c r="D54">
        <v>2</v>
      </c>
      <c r="E54" t="s">
        <v>99</v>
      </c>
    </row>
    <row r="55" spans="2:10" x14ac:dyDescent="0.25">
      <c r="D55">
        <v>3</v>
      </c>
      <c r="E55" t="s">
        <v>43</v>
      </c>
    </row>
    <row r="56" spans="2:10" x14ac:dyDescent="0.25">
      <c r="B56">
        <v>6</v>
      </c>
      <c r="C56" t="s">
        <v>1904</v>
      </c>
      <c r="J56" s="115"/>
    </row>
    <row r="57" spans="2:10" x14ac:dyDescent="0.25">
      <c r="D57">
        <v>1</v>
      </c>
      <c r="E57" t="s">
        <v>1903</v>
      </c>
    </row>
    <row r="58" spans="2:10" x14ac:dyDescent="0.25">
      <c r="D58">
        <v>2</v>
      </c>
      <c r="E58" t="s">
        <v>1905</v>
      </c>
    </row>
    <row r="59" spans="2:10" x14ac:dyDescent="0.25">
      <c r="D59">
        <v>3</v>
      </c>
      <c r="E59" t="s">
        <v>1906</v>
      </c>
    </row>
    <row r="60" spans="2:10" x14ac:dyDescent="0.25">
      <c r="D60">
        <v>4</v>
      </c>
      <c r="E60" t="s">
        <v>1907</v>
      </c>
    </row>
    <row r="62" spans="2:10" x14ac:dyDescent="0.25">
      <c r="B62" s="1" t="s">
        <v>794</v>
      </c>
    </row>
    <row r="63" spans="2:10" x14ac:dyDescent="0.25">
      <c r="B63">
        <v>1</v>
      </c>
      <c r="C63" t="s">
        <v>795</v>
      </c>
    </row>
    <row r="64" spans="2:10" x14ac:dyDescent="0.25">
      <c r="D64" t="s">
        <v>44</v>
      </c>
    </row>
    <row r="65" spans="2:5" x14ac:dyDescent="0.25">
      <c r="D65">
        <v>1</v>
      </c>
      <c r="E65" t="s">
        <v>45</v>
      </c>
    </row>
    <row r="66" spans="2:5" x14ac:dyDescent="0.25">
      <c r="D66">
        <v>2</v>
      </c>
      <c r="E66" t="s">
        <v>46</v>
      </c>
    </row>
    <row r="67" spans="2:5" x14ac:dyDescent="0.25">
      <c r="D67">
        <v>3</v>
      </c>
      <c r="E67" t="s">
        <v>119</v>
      </c>
    </row>
    <row r="68" spans="2:5" x14ac:dyDescent="0.25">
      <c r="D68">
        <v>4</v>
      </c>
      <c r="E68" t="s">
        <v>1902</v>
      </c>
    </row>
    <row r="69" spans="2:5" x14ac:dyDescent="0.25">
      <c r="B69">
        <v>2</v>
      </c>
      <c r="C69" t="s">
        <v>796</v>
      </c>
    </row>
    <row r="70" spans="2:5" x14ac:dyDescent="0.25">
      <c r="D70">
        <v>1</v>
      </c>
      <c r="E70" t="s">
        <v>162</v>
      </c>
    </row>
    <row r="71" spans="2:5" x14ac:dyDescent="0.25">
      <c r="D71">
        <v>2</v>
      </c>
      <c r="E71" t="s">
        <v>163</v>
      </c>
    </row>
    <row r="72" spans="2:5" x14ac:dyDescent="0.25">
      <c r="B72">
        <v>3</v>
      </c>
      <c r="C72" t="s">
        <v>3266</v>
      </c>
    </row>
    <row r="73" spans="2:5" x14ac:dyDescent="0.25">
      <c r="D73">
        <v>1</v>
      </c>
      <c r="E73" t="s">
        <v>3267</v>
      </c>
    </row>
    <row r="74" spans="2:5" x14ac:dyDescent="0.25">
      <c r="B74">
        <v>4</v>
      </c>
      <c r="C74" t="s">
        <v>3265</v>
      </c>
    </row>
    <row r="75" spans="2:5" x14ac:dyDescent="0.25">
      <c r="D75">
        <v>1</v>
      </c>
      <c r="E75" t="s">
        <v>3270</v>
      </c>
    </row>
    <row r="76" spans="2:5" x14ac:dyDescent="0.25">
      <c r="D76">
        <v>2</v>
      </c>
      <c r="E76" t="s">
        <v>3268</v>
      </c>
    </row>
    <row r="77" spans="2:5" x14ac:dyDescent="0.25">
      <c r="D77">
        <v>3</v>
      </c>
      <c r="E77" t="s">
        <v>3269</v>
      </c>
    </row>
    <row r="79" spans="2:5" x14ac:dyDescent="0.25">
      <c r="B79">
        <v>5</v>
      </c>
      <c r="C79" t="s">
        <v>796</v>
      </c>
    </row>
    <row r="80" spans="2:5" x14ac:dyDescent="0.25">
      <c r="D80">
        <v>1</v>
      </c>
      <c r="E80" t="s">
        <v>47</v>
      </c>
    </row>
    <row r="81" spans="1:6" x14ac:dyDescent="0.25">
      <c r="D81">
        <v>2</v>
      </c>
      <c r="E81" t="s">
        <v>164</v>
      </c>
    </row>
    <row r="83" spans="1:6" x14ac:dyDescent="0.25">
      <c r="A83" s="1" t="s">
        <v>48</v>
      </c>
      <c r="B83" s="1" t="s">
        <v>49</v>
      </c>
    </row>
    <row r="84" spans="1:6" x14ac:dyDescent="0.25">
      <c r="B84">
        <v>1</v>
      </c>
      <c r="C84" t="s">
        <v>792</v>
      </c>
    </row>
    <row r="85" spans="1:6" x14ac:dyDescent="0.25">
      <c r="D85" t="s">
        <v>30</v>
      </c>
    </row>
    <row r="86" spans="1:6" x14ac:dyDescent="0.25">
      <c r="D86">
        <v>1</v>
      </c>
      <c r="E86" t="s">
        <v>50</v>
      </c>
    </row>
    <row r="87" spans="1:6" x14ac:dyDescent="0.25">
      <c r="D87">
        <v>2</v>
      </c>
      <c r="E87" t="s">
        <v>102</v>
      </c>
    </row>
    <row r="88" spans="1:6" x14ac:dyDescent="0.25">
      <c r="D88">
        <v>3</v>
      </c>
      <c r="E88" t="s">
        <v>32</v>
      </c>
    </row>
    <row r="89" spans="1:6" x14ac:dyDescent="0.25">
      <c r="E89" s="571" t="s">
        <v>51</v>
      </c>
      <c r="F89" t="s">
        <v>52</v>
      </c>
    </row>
    <row r="90" spans="1:6" x14ac:dyDescent="0.25">
      <c r="E90" s="571" t="s">
        <v>53</v>
      </c>
      <c r="F90" t="s">
        <v>3263</v>
      </c>
    </row>
    <row r="91" spans="1:6" x14ac:dyDescent="0.25">
      <c r="F91" t="s">
        <v>54</v>
      </c>
    </row>
    <row r="92" spans="1:6" x14ac:dyDescent="0.25">
      <c r="B92">
        <v>2</v>
      </c>
      <c r="C92" t="s">
        <v>793</v>
      </c>
    </row>
    <row r="93" spans="1:6" x14ac:dyDescent="0.25">
      <c r="D93">
        <v>1</v>
      </c>
      <c r="E93" t="s">
        <v>55</v>
      </c>
    </row>
    <row r="94" spans="1:6" x14ac:dyDescent="0.25">
      <c r="D94">
        <v>2</v>
      </c>
      <c r="E94" t="s">
        <v>155</v>
      </c>
    </row>
    <row r="95" spans="1:6" x14ac:dyDescent="0.25">
      <c r="D95" s="114" t="s">
        <v>35</v>
      </c>
      <c r="E95" t="s">
        <v>36</v>
      </c>
    </row>
    <row r="96" spans="1:6" x14ac:dyDescent="0.25">
      <c r="D96">
        <v>4</v>
      </c>
      <c r="E96" t="s">
        <v>56</v>
      </c>
    </row>
    <row r="97" spans="2:10" x14ac:dyDescent="0.25">
      <c r="B97">
        <v>3</v>
      </c>
      <c r="C97" t="s">
        <v>38</v>
      </c>
    </row>
    <row r="98" spans="2:10" x14ac:dyDescent="0.25">
      <c r="D98">
        <v>1</v>
      </c>
      <c r="E98" t="s">
        <v>57</v>
      </c>
    </row>
    <row r="99" spans="2:10" x14ac:dyDescent="0.25">
      <c r="D99">
        <v>2</v>
      </c>
      <c r="E99" t="s">
        <v>40</v>
      </c>
    </row>
    <row r="100" spans="2:10" x14ac:dyDescent="0.25">
      <c r="D100">
        <v>3</v>
      </c>
      <c r="E100" t="s">
        <v>41</v>
      </c>
    </row>
    <row r="101" spans="2:10" x14ac:dyDescent="0.25">
      <c r="B101">
        <v>4</v>
      </c>
      <c r="C101" t="s">
        <v>160</v>
      </c>
    </row>
    <row r="102" spans="2:10" x14ac:dyDescent="0.25">
      <c r="D102">
        <v>1</v>
      </c>
      <c r="E102" t="s">
        <v>161</v>
      </c>
    </row>
    <row r="103" spans="2:10" x14ac:dyDescent="0.25">
      <c r="B103">
        <v>5</v>
      </c>
      <c r="C103" t="s">
        <v>793</v>
      </c>
    </row>
    <row r="104" spans="2:10" x14ac:dyDescent="0.25">
      <c r="D104">
        <v>1</v>
      </c>
      <c r="E104" t="s">
        <v>42</v>
      </c>
    </row>
    <row r="105" spans="2:10" x14ac:dyDescent="0.25">
      <c r="D105">
        <v>2</v>
      </c>
      <c r="E105" t="s">
        <v>99</v>
      </c>
    </row>
    <row r="106" spans="2:10" x14ac:dyDescent="0.25">
      <c r="D106">
        <v>3</v>
      </c>
      <c r="E106" t="s">
        <v>43</v>
      </c>
      <c r="J106" s="115"/>
    </row>
    <row r="107" spans="2:10" x14ac:dyDescent="0.25">
      <c r="B107">
        <v>6</v>
      </c>
      <c r="C107" t="s">
        <v>1904</v>
      </c>
    </row>
    <row r="108" spans="2:10" x14ac:dyDescent="0.25">
      <c r="D108">
        <v>1</v>
      </c>
      <c r="E108" t="s">
        <v>1903</v>
      </c>
    </row>
    <row r="109" spans="2:10" x14ac:dyDescent="0.25">
      <c r="D109">
        <v>2</v>
      </c>
      <c r="E109" t="s">
        <v>1905</v>
      </c>
    </row>
    <row r="110" spans="2:10" x14ac:dyDescent="0.25">
      <c r="D110">
        <v>3</v>
      </c>
      <c r="E110" t="s">
        <v>1906</v>
      </c>
    </row>
    <row r="111" spans="2:10" x14ac:dyDescent="0.25">
      <c r="D111">
        <v>4</v>
      </c>
      <c r="E111" t="s">
        <v>1907</v>
      </c>
    </row>
    <row r="112" spans="2:10" x14ac:dyDescent="0.25">
      <c r="B112" s="1" t="s">
        <v>58</v>
      </c>
    </row>
    <row r="113" spans="2:6" x14ac:dyDescent="0.25">
      <c r="B113">
        <v>1</v>
      </c>
      <c r="C113" t="s">
        <v>795</v>
      </c>
    </row>
    <row r="114" spans="2:6" x14ac:dyDescent="0.25">
      <c r="D114" t="s">
        <v>44</v>
      </c>
    </row>
    <row r="115" spans="2:6" x14ac:dyDescent="0.25">
      <c r="D115">
        <v>1</v>
      </c>
      <c r="E115" t="s">
        <v>59</v>
      </c>
    </row>
    <row r="116" spans="2:6" x14ac:dyDescent="0.25">
      <c r="D116">
        <v>2</v>
      </c>
      <c r="E116" t="s">
        <v>46</v>
      </c>
    </row>
    <row r="117" spans="2:6" x14ac:dyDescent="0.25">
      <c r="E117" s="571" t="s">
        <v>51</v>
      </c>
      <c r="F117" t="s">
        <v>60</v>
      </c>
    </row>
    <row r="118" spans="2:6" x14ac:dyDescent="0.25">
      <c r="E118" s="571" t="s">
        <v>53</v>
      </c>
      <c r="F118" t="s">
        <v>61</v>
      </c>
    </row>
    <row r="119" spans="2:6" x14ac:dyDescent="0.25">
      <c r="F119" t="s">
        <v>62</v>
      </c>
    </row>
    <row r="120" spans="2:6" x14ac:dyDescent="0.25">
      <c r="D120">
        <v>3</v>
      </c>
      <c r="E120" t="s">
        <v>1902</v>
      </c>
    </row>
    <row r="121" spans="2:6" x14ac:dyDescent="0.25">
      <c r="B121">
        <v>2</v>
      </c>
      <c r="C121" t="s">
        <v>796</v>
      </c>
    </row>
    <row r="122" spans="2:6" x14ac:dyDescent="0.25">
      <c r="D122">
        <v>1</v>
      </c>
      <c r="E122" t="s">
        <v>63</v>
      </c>
    </row>
    <row r="123" spans="2:6" x14ac:dyDescent="0.25">
      <c r="D123">
        <v>2</v>
      </c>
      <c r="E123" t="s">
        <v>163</v>
      </c>
    </row>
    <row r="124" spans="2:6" x14ac:dyDescent="0.25">
      <c r="E124" t="s">
        <v>3264</v>
      </c>
    </row>
    <row r="125" spans="2:6" x14ac:dyDescent="0.25">
      <c r="B125">
        <v>3</v>
      </c>
      <c r="C125" t="s">
        <v>3266</v>
      </c>
    </row>
    <row r="126" spans="2:6" x14ac:dyDescent="0.25">
      <c r="D126">
        <v>1</v>
      </c>
      <c r="E126" t="s">
        <v>3267</v>
      </c>
    </row>
    <row r="127" spans="2:6" x14ac:dyDescent="0.25">
      <c r="B127">
        <v>4</v>
      </c>
      <c r="C127" t="s">
        <v>3265</v>
      </c>
    </row>
    <row r="128" spans="2:6" x14ac:dyDescent="0.25">
      <c r="D128">
        <v>1</v>
      </c>
      <c r="E128" t="s">
        <v>3270</v>
      </c>
    </row>
    <row r="129" spans="2:7" x14ac:dyDescent="0.25">
      <c r="D129">
        <v>2</v>
      </c>
      <c r="E129" t="s">
        <v>3268</v>
      </c>
    </row>
    <row r="130" spans="2:7" x14ac:dyDescent="0.25">
      <c r="D130">
        <v>3</v>
      </c>
      <c r="E130" t="s">
        <v>3271</v>
      </c>
    </row>
    <row r="131" spans="2:7" x14ac:dyDescent="0.25">
      <c r="D131">
        <v>4</v>
      </c>
      <c r="E131" t="s">
        <v>3269</v>
      </c>
    </row>
    <row r="132" spans="2:7" x14ac:dyDescent="0.25">
      <c r="B132">
        <v>5</v>
      </c>
      <c r="C132" t="s">
        <v>796</v>
      </c>
    </row>
    <row r="133" spans="2:7" x14ac:dyDescent="0.25">
      <c r="D133">
        <v>1</v>
      </c>
      <c r="E133" t="s">
        <v>47</v>
      </c>
    </row>
    <row r="138" spans="2:7" x14ac:dyDescent="0.25">
      <c r="B138" s="48" t="s">
        <v>64</v>
      </c>
      <c r="C138" s="48"/>
      <c r="D138" s="48"/>
    </row>
    <row r="140" spans="2:7" x14ac:dyDescent="0.25">
      <c r="B140" s="1" t="s">
        <v>65</v>
      </c>
      <c r="C140" t="s">
        <v>66</v>
      </c>
    </row>
    <row r="141" spans="2:7" x14ac:dyDescent="0.25">
      <c r="C141" t="s">
        <v>67</v>
      </c>
    </row>
    <row r="142" spans="2:7" x14ac:dyDescent="0.25">
      <c r="C142" t="s">
        <v>125</v>
      </c>
    </row>
    <row r="143" spans="2:7" ht="15.75" thickBot="1" x14ac:dyDescent="0.3">
      <c r="C143" s="5"/>
      <c r="D143" s="117"/>
      <c r="E143" s="117"/>
      <c r="F143" s="117"/>
      <c r="G143" s="5"/>
    </row>
    <row r="144" spans="2:7" x14ac:dyDescent="0.25">
      <c r="C144" s="118"/>
      <c r="D144" s="123" t="s">
        <v>26</v>
      </c>
      <c r="E144" s="124"/>
      <c r="F144" s="125">
        <v>3.52</v>
      </c>
      <c r="G144" s="119"/>
    </row>
    <row r="145" spans="2:7" x14ac:dyDescent="0.25">
      <c r="C145" s="118"/>
      <c r="D145" s="126" t="s">
        <v>68</v>
      </c>
      <c r="E145" s="127"/>
      <c r="F145" s="128">
        <v>1.23</v>
      </c>
      <c r="G145" s="119"/>
    </row>
    <row r="146" spans="2:7" x14ac:dyDescent="0.25">
      <c r="C146" s="118"/>
      <c r="D146" s="126" t="s">
        <v>69</v>
      </c>
      <c r="E146" s="127"/>
      <c r="F146" s="128">
        <v>0.02</v>
      </c>
      <c r="G146" s="119"/>
    </row>
    <row r="147" spans="2:7" ht="15.75" thickBot="1" x14ac:dyDescent="0.3">
      <c r="C147" s="118"/>
      <c r="D147" s="129" t="s">
        <v>70</v>
      </c>
      <c r="E147" s="130"/>
      <c r="F147" s="131">
        <v>4.21</v>
      </c>
      <c r="G147" s="119"/>
    </row>
    <row r="148" spans="2:7" x14ac:dyDescent="0.25">
      <c r="C148" s="5"/>
      <c r="D148" s="120"/>
      <c r="E148" s="120"/>
      <c r="F148" s="120"/>
      <c r="G148" s="5"/>
    </row>
    <row r="156" spans="2:7" x14ac:dyDescent="0.25">
      <c r="B156" s="1" t="s">
        <v>792</v>
      </c>
    </row>
    <row r="157" spans="2:7" x14ac:dyDescent="0.25">
      <c r="C157" s="7" t="s">
        <v>71</v>
      </c>
    </row>
    <row r="158" spans="2:7" x14ac:dyDescent="0.25">
      <c r="C158" t="s">
        <v>72</v>
      </c>
    </row>
    <row r="159" spans="2:7" x14ac:dyDescent="0.25">
      <c r="C159" t="s">
        <v>73</v>
      </c>
    </row>
    <row r="160" spans="2:7" x14ac:dyDescent="0.25">
      <c r="C160" t="s">
        <v>74</v>
      </c>
    </row>
    <row r="162" spans="2:4" x14ac:dyDescent="0.25">
      <c r="C162" s="7" t="s">
        <v>75</v>
      </c>
    </row>
    <row r="163" spans="2:4" x14ac:dyDescent="0.25">
      <c r="C163" t="s">
        <v>76</v>
      </c>
    </row>
    <row r="164" spans="2:4" x14ac:dyDescent="0.25">
      <c r="D164" t="s">
        <v>16</v>
      </c>
    </row>
    <row r="165" spans="2:4" x14ac:dyDescent="0.25">
      <c r="C165" t="s">
        <v>103</v>
      </c>
    </row>
    <row r="167" spans="2:4" x14ac:dyDescent="0.25">
      <c r="B167" s="1" t="s">
        <v>795</v>
      </c>
    </row>
    <row r="168" spans="2:4" x14ac:dyDescent="0.25">
      <c r="C168" s="7" t="s">
        <v>77</v>
      </c>
    </row>
    <row r="169" spans="2:4" x14ac:dyDescent="0.25">
      <c r="C169" t="s">
        <v>78</v>
      </c>
    </row>
    <row r="170" spans="2:4" x14ac:dyDescent="0.25">
      <c r="C170" t="s">
        <v>73</v>
      </c>
    </row>
    <row r="172" spans="2:4" x14ac:dyDescent="0.25">
      <c r="C172" s="7" t="s">
        <v>79</v>
      </c>
    </row>
    <row r="173" spans="2:4" x14ac:dyDescent="0.25">
      <c r="C173" s="122" t="s">
        <v>17</v>
      </c>
    </row>
    <row r="174" spans="2:4" x14ac:dyDescent="0.25">
      <c r="C174" s="122"/>
      <c r="D174" t="s">
        <v>16</v>
      </c>
    </row>
    <row r="175" spans="2:4" x14ac:dyDescent="0.25">
      <c r="C175" s="122"/>
    </row>
    <row r="176" spans="2:4" x14ac:dyDescent="0.25">
      <c r="B176" s="1" t="s">
        <v>793</v>
      </c>
      <c r="C176" s="122"/>
    </row>
    <row r="177" spans="3:5" x14ac:dyDescent="0.25">
      <c r="C177" s="7" t="s">
        <v>104</v>
      </c>
    </row>
    <row r="178" spans="3:5" x14ac:dyDescent="0.25">
      <c r="C178" t="s">
        <v>105</v>
      </c>
    </row>
    <row r="179" spans="3:5" x14ac:dyDescent="0.25">
      <c r="D179" t="s">
        <v>80</v>
      </c>
    </row>
    <row r="180" spans="3:5" x14ac:dyDescent="0.25">
      <c r="E180" t="s">
        <v>81</v>
      </c>
    </row>
    <row r="181" spans="3:5" x14ac:dyDescent="0.25">
      <c r="E181" t="s">
        <v>82</v>
      </c>
    </row>
    <row r="182" spans="3:5" x14ac:dyDescent="0.25">
      <c r="D182" t="s">
        <v>18</v>
      </c>
    </row>
    <row r="183" spans="3:5" x14ac:dyDescent="0.25">
      <c r="E183" t="s">
        <v>19</v>
      </c>
    </row>
    <row r="184" spans="3:5" x14ac:dyDescent="0.25">
      <c r="E184" t="s">
        <v>10</v>
      </c>
    </row>
    <row r="185" spans="3:5" x14ac:dyDescent="0.25">
      <c r="E185" t="s">
        <v>83</v>
      </c>
    </row>
    <row r="186" spans="3:5" x14ac:dyDescent="0.25">
      <c r="D186" t="s">
        <v>84</v>
      </c>
    </row>
    <row r="187" spans="3:5" x14ac:dyDescent="0.25">
      <c r="D187" t="s">
        <v>100</v>
      </c>
    </row>
    <row r="188" spans="3:5" x14ac:dyDescent="0.25">
      <c r="D188" t="s">
        <v>20</v>
      </c>
    </row>
    <row r="189" spans="3:5" x14ac:dyDescent="0.25">
      <c r="C189" t="s">
        <v>106</v>
      </c>
    </row>
    <row r="191" spans="3:5" x14ac:dyDescent="0.25">
      <c r="D191" t="s">
        <v>797</v>
      </c>
    </row>
    <row r="192" spans="3:5" ht="15.75" thickBot="1" x14ac:dyDescent="0.3"/>
    <row r="193" spans="4:12" ht="15.75" thickBot="1" x14ac:dyDescent="0.3">
      <c r="E193" s="356" t="s">
        <v>0</v>
      </c>
      <c r="F193" s="446" t="s">
        <v>1</v>
      </c>
      <c r="G193" s="2040" t="s">
        <v>5</v>
      </c>
      <c r="H193" s="2041"/>
      <c r="I193" s="2041"/>
      <c r="J193" s="2041"/>
      <c r="K193" s="2041"/>
      <c r="L193" s="2042"/>
    </row>
    <row r="194" spans="4:12" x14ac:dyDescent="0.25">
      <c r="E194" s="448" t="s">
        <v>165</v>
      </c>
      <c r="F194" s="354" t="s">
        <v>166</v>
      </c>
      <c r="G194" s="2043" t="s">
        <v>167</v>
      </c>
      <c r="H194" s="2044"/>
      <c r="I194" s="2044"/>
      <c r="J194" s="2044"/>
      <c r="K194" s="2044"/>
      <c r="L194" s="2045"/>
    </row>
    <row r="195" spans="4:12" x14ac:dyDescent="0.25">
      <c r="E195" s="573" t="s">
        <v>168</v>
      </c>
      <c r="F195" s="572" t="s">
        <v>169</v>
      </c>
      <c r="G195" s="2034" t="s">
        <v>170</v>
      </c>
      <c r="H195" s="2035"/>
      <c r="I195" s="2035"/>
      <c r="J195" s="2035"/>
      <c r="K195" s="2035"/>
      <c r="L195" s="2036"/>
    </row>
    <row r="196" spans="4:12" x14ac:dyDescent="0.25">
      <c r="E196" s="573" t="s">
        <v>171</v>
      </c>
      <c r="F196" s="572" t="s">
        <v>172</v>
      </c>
      <c r="G196" s="2034" t="s">
        <v>173</v>
      </c>
      <c r="H196" s="2035"/>
      <c r="I196" s="2035"/>
      <c r="J196" s="2035"/>
      <c r="K196" s="2035"/>
      <c r="L196" s="2036"/>
    </row>
    <row r="197" spans="4:12" x14ac:dyDescent="0.25">
      <c r="E197" s="573" t="s">
        <v>174</v>
      </c>
      <c r="F197" s="572" t="s">
        <v>175</v>
      </c>
      <c r="G197" s="2034" t="s">
        <v>176</v>
      </c>
      <c r="H197" s="2035"/>
      <c r="I197" s="2035"/>
      <c r="J197" s="2035"/>
      <c r="K197" s="2035"/>
      <c r="L197" s="2036"/>
    </row>
    <row r="198" spans="4:12" x14ac:dyDescent="0.25">
      <c r="E198" s="573" t="s">
        <v>177</v>
      </c>
      <c r="F198" s="572" t="s">
        <v>178</v>
      </c>
      <c r="G198" s="2034" t="s">
        <v>179</v>
      </c>
      <c r="H198" s="2035"/>
      <c r="I198" s="2035"/>
      <c r="J198" s="2035"/>
      <c r="K198" s="2035"/>
      <c r="L198" s="2036"/>
    </row>
    <row r="199" spans="4:12" x14ac:dyDescent="0.25">
      <c r="E199" s="573" t="s">
        <v>180</v>
      </c>
      <c r="F199" s="572" t="s">
        <v>181</v>
      </c>
      <c r="G199" s="2034" t="s">
        <v>182</v>
      </c>
      <c r="H199" s="2035"/>
      <c r="I199" s="2035"/>
      <c r="J199" s="2035"/>
      <c r="K199" s="2035"/>
      <c r="L199" s="2036"/>
    </row>
    <row r="200" spans="4:12" x14ac:dyDescent="0.25">
      <c r="E200" s="573" t="s">
        <v>183</v>
      </c>
      <c r="F200" s="572" t="s">
        <v>184</v>
      </c>
      <c r="G200" s="2034" t="s">
        <v>185</v>
      </c>
      <c r="H200" s="2035"/>
      <c r="I200" s="2035"/>
      <c r="J200" s="2035"/>
      <c r="K200" s="2035"/>
      <c r="L200" s="2036"/>
    </row>
    <row r="201" spans="4:12" x14ac:dyDescent="0.25">
      <c r="E201" s="573" t="s">
        <v>151</v>
      </c>
      <c r="F201" s="572" t="s">
        <v>149</v>
      </c>
      <c r="G201" s="2034" t="s">
        <v>150</v>
      </c>
      <c r="H201" s="2035"/>
      <c r="I201" s="2035"/>
      <c r="J201" s="2035"/>
      <c r="K201" s="2035"/>
      <c r="L201" s="2036"/>
    </row>
    <row r="202" spans="4:12" ht="15.75" thickBot="1" x14ac:dyDescent="0.3">
      <c r="E202" s="574" t="s">
        <v>186</v>
      </c>
      <c r="F202" s="575" t="s">
        <v>187</v>
      </c>
      <c r="G202" s="2037" t="s">
        <v>188</v>
      </c>
      <c r="H202" s="2038"/>
      <c r="I202" s="2038"/>
      <c r="J202" s="2038"/>
      <c r="K202" s="2038"/>
      <c r="L202" s="2039"/>
    </row>
    <row r="203" spans="4:12" x14ac:dyDescent="0.25">
      <c r="E203" s="44"/>
      <c r="F203" s="45"/>
      <c r="G203" s="45"/>
    </row>
    <row r="204" spans="4:12" ht="15.75" thickBot="1" x14ac:dyDescent="0.3">
      <c r="D204" t="s">
        <v>189</v>
      </c>
    </row>
    <row r="205" spans="4:12" ht="15.75" thickBot="1" x14ac:dyDescent="0.3">
      <c r="E205" s="278" t="s">
        <v>0</v>
      </c>
      <c r="F205" s="282" t="s">
        <v>1</v>
      </c>
      <c r="G205" s="583" t="s">
        <v>5</v>
      </c>
    </row>
    <row r="206" spans="4:12" x14ac:dyDescent="0.25">
      <c r="E206" s="578" t="s">
        <v>190</v>
      </c>
      <c r="F206" s="579" t="s">
        <v>191</v>
      </c>
      <c r="G206" s="584" t="s">
        <v>192</v>
      </c>
    </row>
    <row r="207" spans="4:12" x14ac:dyDescent="0.25">
      <c r="E207" s="580" t="s">
        <v>193</v>
      </c>
      <c r="F207" s="577" t="s">
        <v>194</v>
      </c>
      <c r="G207" s="585" t="s">
        <v>195</v>
      </c>
    </row>
    <row r="208" spans="4:12" x14ac:dyDescent="0.25">
      <c r="E208" s="580" t="s">
        <v>196</v>
      </c>
      <c r="F208" s="576" t="s">
        <v>197</v>
      </c>
      <c r="G208" s="586" t="s">
        <v>198</v>
      </c>
    </row>
    <row r="209" spans="2:7" x14ac:dyDescent="0.25">
      <c r="E209" s="580" t="s">
        <v>199</v>
      </c>
      <c r="F209" s="576" t="s">
        <v>200</v>
      </c>
      <c r="G209" s="586" t="s">
        <v>201</v>
      </c>
    </row>
    <row r="210" spans="2:7" x14ac:dyDescent="0.25">
      <c r="E210" s="580" t="s">
        <v>202</v>
      </c>
      <c r="F210" s="576" t="s">
        <v>203</v>
      </c>
      <c r="G210" s="586" t="s">
        <v>204</v>
      </c>
    </row>
    <row r="211" spans="2:7" ht="15.75" thickBot="1" x14ac:dyDescent="0.3">
      <c r="E211" s="581" t="s">
        <v>205</v>
      </c>
      <c r="F211" s="582" t="s">
        <v>206</v>
      </c>
      <c r="G211" s="587" t="s">
        <v>207</v>
      </c>
    </row>
    <row r="213" spans="2:7" x14ac:dyDescent="0.25">
      <c r="D213" t="s">
        <v>208</v>
      </c>
    </row>
    <row r="215" spans="2:7" x14ac:dyDescent="0.25">
      <c r="C215" t="s">
        <v>3272</v>
      </c>
    </row>
    <row r="216" spans="2:7" x14ac:dyDescent="0.25">
      <c r="C216" t="s">
        <v>111</v>
      </c>
    </row>
    <row r="217" spans="2:7" x14ac:dyDescent="0.25">
      <c r="D217" t="s">
        <v>114</v>
      </c>
    </row>
    <row r="218" spans="2:7" x14ac:dyDescent="0.25">
      <c r="C218" t="s">
        <v>112</v>
      </c>
    </row>
    <row r="219" spans="2:7" x14ac:dyDescent="0.25">
      <c r="C219" t="s">
        <v>209</v>
      </c>
    </row>
    <row r="222" spans="2:7" x14ac:dyDescent="0.25">
      <c r="B222" s="1" t="s">
        <v>796</v>
      </c>
    </row>
    <row r="223" spans="2:7" x14ac:dyDescent="0.25">
      <c r="C223" s="7" t="s">
        <v>85</v>
      </c>
    </row>
    <row r="224" spans="2:7" x14ac:dyDescent="0.25">
      <c r="C224" t="s">
        <v>86</v>
      </c>
    </row>
    <row r="225" spans="3:7" x14ac:dyDescent="0.25">
      <c r="D225" t="s">
        <v>87</v>
      </c>
      <c r="F225" s="121"/>
      <c r="G225" s="121"/>
    </row>
    <row r="226" spans="3:7" x14ac:dyDescent="0.25">
      <c r="E226" t="s">
        <v>21</v>
      </c>
    </row>
    <row r="227" spans="3:7" x14ac:dyDescent="0.25">
      <c r="E227" t="s">
        <v>22</v>
      </c>
    </row>
    <row r="228" spans="3:7" x14ac:dyDescent="0.25">
      <c r="D228" t="s">
        <v>88</v>
      </c>
    </row>
    <row r="229" spans="3:7" ht="18" x14ac:dyDescent="0.35">
      <c r="E229" t="s">
        <v>23</v>
      </c>
    </row>
    <row r="230" spans="3:7" ht="18" x14ac:dyDescent="0.35">
      <c r="E230" t="s">
        <v>89</v>
      </c>
    </row>
    <row r="231" spans="3:7" x14ac:dyDescent="0.25">
      <c r="D231" t="s">
        <v>25</v>
      </c>
    </row>
    <row r="232" spans="3:7" x14ac:dyDescent="0.25">
      <c r="D232" t="s">
        <v>24</v>
      </c>
    </row>
    <row r="233" spans="3:7" x14ac:dyDescent="0.25">
      <c r="D233" t="s">
        <v>90</v>
      </c>
    </row>
    <row r="235" spans="3:7" x14ac:dyDescent="0.25">
      <c r="C235" s="7"/>
    </row>
    <row r="239" spans="3:7" x14ac:dyDescent="0.25">
      <c r="D239" t="s">
        <v>91</v>
      </c>
    </row>
    <row r="243" spans="2:4" x14ac:dyDescent="0.25">
      <c r="D243" t="s">
        <v>92</v>
      </c>
    </row>
    <row r="246" spans="2:4" x14ac:dyDescent="0.25">
      <c r="B246" s="7" t="s">
        <v>121</v>
      </c>
    </row>
    <row r="247" spans="2:4" x14ac:dyDescent="0.25">
      <c r="B247" s="7"/>
      <c r="C247" s="7" t="s">
        <v>122</v>
      </c>
    </row>
    <row r="248" spans="2:4" x14ac:dyDescent="0.25">
      <c r="B248" s="7"/>
      <c r="C248" t="s">
        <v>123</v>
      </c>
    </row>
    <row r="249" spans="2:4" x14ac:dyDescent="0.25">
      <c r="B249" s="7"/>
      <c r="D249" t="s">
        <v>124</v>
      </c>
    </row>
    <row r="250" spans="2:4" x14ac:dyDescent="0.25">
      <c r="B250" s="7"/>
    </row>
    <row r="251" spans="2:4" x14ac:dyDescent="0.25">
      <c r="B251" s="7" t="s">
        <v>160</v>
      </c>
    </row>
    <row r="252" spans="2:4" x14ac:dyDescent="0.25">
      <c r="B252" s="7"/>
      <c r="C252" s="7" t="s">
        <v>210</v>
      </c>
    </row>
    <row r="253" spans="2:4" x14ac:dyDescent="0.25">
      <c r="B253" s="7"/>
      <c r="C253" t="s">
        <v>211</v>
      </c>
    </row>
    <row r="254" spans="2:4" x14ac:dyDescent="0.25">
      <c r="B254" s="7"/>
    </row>
    <row r="255" spans="2:4" x14ac:dyDescent="0.25">
      <c r="B255" s="7" t="s">
        <v>94</v>
      </c>
    </row>
    <row r="256" spans="2:4" x14ac:dyDescent="0.25">
      <c r="C256" t="s">
        <v>798</v>
      </c>
    </row>
    <row r="257" spans="3:4" x14ac:dyDescent="0.25">
      <c r="C257" s="7" t="s">
        <v>98</v>
      </c>
    </row>
    <row r="258" spans="3:4" x14ac:dyDescent="0.25">
      <c r="D258" t="s">
        <v>95</v>
      </c>
    </row>
    <row r="259" spans="3:4" x14ac:dyDescent="0.25">
      <c r="D259" t="s">
        <v>96</v>
      </c>
    </row>
    <row r="260" spans="3:4" x14ac:dyDescent="0.25">
      <c r="D260" t="s">
        <v>97</v>
      </c>
    </row>
  </sheetData>
  <mergeCells count="10">
    <mergeCell ref="G200:L200"/>
    <mergeCell ref="G201:L201"/>
    <mergeCell ref="G202:L202"/>
    <mergeCell ref="G193:L193"/>
    <mergeCell ref="G194:L194"/>
    <mergeCell ref="G195:L195"/>
    <mergeCell ref="G196:L196"/>
    <mergeCell ref="G197:L197"/>
    <mergeCell ref="G198:L198"/>
    <mergeCell ref="G199:L199"/>
  </mergeCells>
  <hyperlinks>
    <hyperlink ref="H15" r:id="rId1" xr:uid="{00000000-0004-0000-0000-000000000000}"/>
  </hyperlinks>
  <pageMargins left="0.7" right="0.7" top="0.75" bottom="0.75" header="0.3" footer="0.3"/>
  <pageSetup paperSize="9" orientation="portrait"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B27"/>
  <sheetViews>
    <sheetView showGridLines="0" zoomScaleNormal="100" workbookViewId="0"/>
  </sheetViews>
  <sheetFormatPr baseColWidth="10" defaultColWidth="9.140625" defaultRowHeight="15" x14ac:dyDescent="0.25"/>
  <sheetData>
    <row r="1" spans="1:1" ht="26.25" x14ac:dyDescent="0.4">
      <c r="A1" s="474" t="s">
        <v>2883</v>
      </c>
    </row>
    <row r="2" spans="1:1" ht="26.25" x14ac:dyDescent="0.4">
      <c r="A2" s="474"/>
    </row>
    <row r="21" spans="2:2" x14ac:dyDescent="0.25">
      <c r="B21" t="s">
        <v>2879</v>
      </c>
    </row>
    <row r="22" spans="2:2" ht="18" x14ac:dyDescent="0.35">
      <c r="B22" t="s">
        <v>2884</v>
      </c>
    </row>
    <row r="23" spans="2:2" x14ac:dyDescent="0.25">
      <c r="B23" t="s">
        <v>2880</v>
      </c>
    </row>
    <row r="24" spans="2:2" x14ac:dyDescent="0.25">
      <c r="B24" t="s">
        <v>2881</v>
      </c>
    </row>
    <row r="26" spans="2:2" ht="18" x14ac:dyDescent="0.35">
      <c r="B26" t="s">
        <v>2885</v>
      </c>
    </row>
    <row r="27" spans="2:2" ht="18" x14ac:dyDescent="0.35">
      <c r="B27" t="s">
        <v>2882</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Munka2"/>
  <dimension ref="A1:P441"/>
  <sheetViews>
    <sheetView showGridLines="0" topLeftCell="B1" zoomScaleNormal="100" workbookViewId="0">
      <pane ySplit="1" topLeftCell="A385" activePane="bottomLeft" state="frozen"/>
      <selection pane="bottomLeft" activeCell="B441" sqref="B441:D441"/>
    </sheetView>
  </sheetViews>
  <sheetFormatPr baseColWidth="10" defaultColWidth="9.140625" defaultRowHeight="15" outlineLevelRow="1" x14ac:dyDescent="0.25"/>
  <cols>
    <col min="1" max="1" width="9.5703125" style="94" customWidth="1"/>
    <col min="2" max="2" width="24" style="102" bestFit="1" customWidth="1"/>
    <col min="3" max="3" width="90.140625" style="102" customWidth="1"/>
    <col min="4" max="4" width="20.140625" style="94" customWidth="1"/>
    <col min="5" max="5" width="11.85546875" style="94" customWidth="1"/>
    <col min="6" max="6" width="13" style="94" customWidth="1"/>
    <col min="7" max="7" width="15.140625" style="94" customWidth="1"/>
    <col min="8" max="8" width="11.140625" style="94" customWidth="1"/>
    <col min="9" max="9" width="15.140625" style="102" bestFit="1" customWidth="1"/>
    <col min="10" max="10" width="102" style="102" customWidth="1"/>
    <col min="11" max="11" width="8.85546875" style="94" customWidth="1"/>
    <col min="12" max="12" width="19.5703125" style="94" customWidth="1"/>
    <col min="13" max="13" width="7.85546875" style="94" customWidth="1"/>
    <col min="14" max="14" width="9.140625" style="94" customWidth="1"/>
    <col min="15" max="15" width="48.140625" style="94" bestFit="1" customWidth="1"/>
    <col min="16" max="16" width="53.85546875" style="94" bestFit="1" customWidth="1"/>
    <col min="17" max="16384" width="9.140625" style="94"/>
  </cols>
  <sheetData>
    <row r="1" spans="1:16" s="92" customFormat="1" ht="57.75" customHeight="1" x14ac:dyDescent="0.25">
      <c r="A1" s="91"/>
      <c r="B1" s="144"/>
      <c r="C1" s="144"/>
      <c r="I1" s="144"/>
      <c r="J1" s="144"/>
    </row>
    <row r="2" spans="1:16" s="93" customFormat="1" ht="15.75" thickBot="1" x14ac:dyDescent="0.3">
      <c r="B2" s="140"/>
      <c r="C2" s="146"/>
      <c r="D2" s="142"/>
      <c r="E2" s="143"/>
      <c r="F2" s="143"/>
      <c r="G2" s="143"/>
      <c r="H2" s="143"/>
      <c r="I2" s="146"/>
      <c r="J2" s="146"/>
    </row>
    <row r="3" spans="1:16" s="269" customFormat="1" ht="15.75" thickBot="1" x14ac:dyDescent="0.3">
      <c r="A3" s="276" t="s">
        <v>1153</v>
      </c>
      <c r="B3" s="772"/>
      <c r="C3" s="280"/>
      <c r="D3" s="285"/>
      <c r="E3" s="494"/>
      <c r="F3" s="286"/>
      <c r="G3" s="286"/>
      <c r="H3" s="286"/>
      <c r="I3" s="280"/>
      <c r="J3" s="280"/>
      <c r="K3" s="275"/>
      <c r="L3" s="275"/>
      <c r="M3" s="275"/>
      <c r="N3" s="275"/>
      <c r="O3" s="275"/>
      <c r="P3" s="275"/>
    </row>
    <row r="4" spans="1:16" s="93" customFormat="1" ht="15.75" thickBot="1" x14ac:dyDescent="0.3">
      <c r="B4" s="102"/>
      <c r="C4" s="651"/>
      <c r="D4" s="1660"/>
      <c r="E4" s="1661"/>
      <c r="F4" s="1661"/>
      <c r="G4" s="1661"/>
      <c r="H4" s="1661"/>
      <c r="I4" s="651"/>
      <c r="J4" s="1619"/>
    </row>
    <row r="5" spans="1:16" ht="15.75" thickBot="1" x14ac:dyDescent="0.3">
      <c r="A5" s="93"/>
      <c r="C5" s="773" t="s">
        <v>2171</v>
      </c>
      <c r="D5" s="94" t="s">
        <v>303</v>
      </c>
    </row>
    <row r="6" spans="1:16" s="93" customFormat="1" ht="15.75" thickBot="1" x14ac:dyDescent="0.3">
      <c r="B6" s="277" t="s">
        <v>0</v>
      </c>
      <c r="C6" s="281" t="s">
        <v>1</v>
      </c>
      <c r="D6" s="283" t="s">
        <v>838</v>
      </c>
      <c r="E6" s="447" t="s">
        <v>471</v>
      </c>
      <c r="F6" s="283" t="s">
        <v>472</v>
      </c>
      <c r="G6" s="283" t="s">
        <v>2</v>
      </c>
      <c r="H6" s="283" t="s">
        <v>302</v>
      </c>
      <c r="I6" s="281" t="s">
        <v>116</v>
      </c>
      <c r="J6" s="288" t="s">
        <v>117</v>
      </c>
    </row>
    <row r="7" spans="1:16" s="93" customFormat="1" ht="18" outlineLevel="1" x14ac:dyDescent="0.25">
      <c r="B7" s="182" t="s">
        <v>1182</v>
      </c>
      <c r="C7" s="374" t="s">
        <v>270</v>
      </c>
      <c r="D7" s="184">
        <v>4</v>
      </c>
      <c r="E7" s="445">
        <v>0</v>
      </c>
      <c r="F7" s="185" t="s">
        <v>1254</v>
      </c>
      <c r="G7" s="185" t="s">
        <v>447</v>
      </c>
      <c r="H7" s="185">
        <v>1</v>
      </c>
      <c r="I7" s="183" t="s">
        <v>2002</v>
      </c>
      <c r="J7" s="779"/>
    </row>
    <row r="8" spans="1:16" s="93" customFormat="1" ht="18" outlineLevel="1" x14ac:dyDescent="0.25">
      <c r="B8" s="182" t="s">
        <v>1184</v>
      </c>
      <c r="C8" s="374" t="s">
        <v>2211</v>
      </c>
      <c r="D8" s="184">
        <v>0.3</v>
      </c>
      <c r="E8" s="445">
        <v>0</v>
      </c>
      <c r="F8" s="185" t="s">
        <v>1254</v>
      </c>
      <c r="G8" s="185" t="s">
        <v>447</v>
      </c>
      <c r="H8" s="185">
        <v>1</v>
      </c>
      <c r="I8" s="183"/>
      <c r="J8" s="780"/>
    </row>
    <row r="9" spans="1:16" s="93" customFormat="1" ht="18" outlineLevel="1" x14ac:dyDescent="0.25">
      <c r="B9" s="182" t="s">
        <v>1183</v>
      </c>
      <c r="C9" s="374" t="s">
        <v>2212</v>
      </c>
      <c r="D9" s="186">
        <v>0.62</v>
      </c>
      <c r="E9" s="445">
        <v>0</v>
      </c>
      <c r="F9" s="185" t="s">
        <v>1254</v>
      </c>
      <c r="G9" s="185" t="s">
        <v>447</v>
      </c>
      <c r="H9" s="185">
        <v>2</v>
      </c>
      <c r="I9" s="183"/>
      <c r="J9" s="780"/>
    </row>
    <row r="10" spans="1:16" s="93" customFormat="1" ht="18" outlineLevel="1" x14ac:dyDescent="0.25">
      <c r="B10" s="182" t="s">
        <v>1712</v>
      </c>
      <c r="C10" s="374" t="s">
        <v>2213</v>
      </c>
      <c r="D10" s="186">
        <v>0.6</v>
      </c>
      <c r="E10" s="445">
        <v>0</v>
      </c>
      <c r="F10" s="185" t="s">
        <v>1254</v>
      </c>
      <c r="G10" s="346" t="s">
        <v>1994</v>
      </c>
      <c r="H10" s="185">
        <v>2</v>
      </c>
      <c r="I10" s="183"/>
      <c r="J10" s="780"/>
    </row>
    <row r="11" spans="1:16" s="93" customFormat="1" ht="18" outlineLevel="1" x14ac:dyDescent="0.25">
      <c r="B11" s="182" t="s">
        <v>1920</v>
      </c>
      <c r="C11" s="374" t="s">
        <v>2214</v>
      </c>
      <c r="D11" s="184">
        <v>5</v>
      </c>
      <c r="E11" s="445">
        <v>0</v>
      </c>
      <c r="F11" s="185" t="s">
        <v>1254</v>
      </c>
      <c r="G11" s="185" t="s">
        <v>1177</v>
      </c>
      <c r="H11" s="185">
        <v>1</v>
      </c>
      <c r="I11" s="183" t="s">
        <v>2001</v>
      </c>
      <c r="J11" s="779"/>
    </row>
    <row r="12" spans="1:16" s="93" customFormat="1" ht="18.75" outlineLevel="1" x14ac:dyDescent="0.25">
      <c r="B12" s="182" t="s">
        <v>1923</v>
      </c>
      <c r="C12" s="374" t="s">
        <v>2215</v>
      </c>
      <c r="D12" s="588">
        <v>0.15</v>
      </c>
      <c r="E12" s="445">
        <v>0</v>
      </c>
      <c r="F12" s="185" t="s">
        <v>1254</v>
      </c>
      <c r="G12" s="185" t="s">
        <v>1176</v>
      </c>
      <c r="H12" s="185">
        <v>2</v>
      </c>
      <c r="I12" s="183" t="s">
        <v>2000</v>
      </c>
      <c r="J12" s="779"/>
    </row>
    <row r="13" spans="1:16" s="93" customFormat="1" ht="18" outlineLevel="1" x14ac:dyDescent="0.25">
      <c r="B13" s="182" t="s">
        <v>1921</v>
      </c>
      <c r="C13" s="374" t="s">
        <v>2216</v>
      </c>
      <c r="D13" s="184">
        <v>0.5</v>
      </c>
      <c r="E13" s="445">
        <v>0</v>
      </c>
      <c r="F13" s="185" t="s">
        <v>1254</v>
      </c>
      <c r="G13" s="185" t="s">
        <v>1177</v>
      </c>
      <c r="H13" s="185">
        <v>1</v>
      </c>
      <c r="I13" s="183"/>
      <c r="J13" s="779"/>
    </row>
    <row r="14" spans="1:16" s="93" customFormat="1" ht="18" outlineLevel="1" x14ac:dyDescent="0.25">
      <c r="B14" s="182" t="s">
        <v>1922</v>
      </c>
      <c r="C14" s="374" t="s">
        <v>2217</v>
      </c>
      <c r="D14" s="184">
        <v>0.1</v>
      </c>
      <c r="E14" s="445">
        <v>0</v>
      </c>
      <c r="F14" s="185" t="s">
        <v>1254</v>
      </c>
      <c r="G14" s="185" t="s">
        <v>1177</v>
      </c>
      <c r="H14" s="185">
        <v>1</v>
      </c>
      <c r="I14" s="183"/>
      <c r="J14" s="779"/>
      <c r="L14" s="1740"/>
    </row>
    <row r="15" spans="1:16" s="93" customFormat="1" ht="18" outlineLevel="1" x14ac:dyDescent="0.25">
      <c r="B15" s="182" t="s">
        <v>2219</v>
      </c>
      <c r="C15" s="374" t="s">
        <v>2218</v>
      </c>
      <c r="D15" s="186">
        <v>0.03</v>
      </c>
      <c r="E15" s="445">
        <v>0</v>
      </c>
      <c r="F15" s="185" t="s">
        <v>1254</v>
      </c>
      <c r="G15" s="185" t="s">
        <v>885</v>
      </c>
      <c r="H15" s="185">
        <v>2</v>
      </c>
      <c r="I15" s="183"/>
      <c r="J15" s="779"/>
    </row>
    <row r="16" spans="1:16" s="93" customFormat="1" ht="18" outlineLevel="1" x14ac:dyDescent="0.25">
      <c r="B16" s="182" t="s">
        <v>2152</v>
      </c>
      <c r="C16" s="183" t="s">
        <v>2579</v>
      </c>
      <c r="D16" s="184">
        <v>50</v>
      </c>
      <c r="E16" s="445">
        <v>0</v>
      </c>
      <c r="F16" s="185" t="s">
        <v>1254</v>
      </c>
      <c r="G16" s="185" t="s">
        <v>1177</v>
      </c>
      <c r="H16" s="185">
        <v>1</v>
      </c>
      <c r="I16" s="183"/>
      <c r="J16" s="779"/>
    </row>
    <row r="17" spans="2:10" s="93" customFormat="1" ht="18" outlineLevel="1" x14ac:dyDescent="0.25">
      <c r="B17" s="875" t="s">
        <v>4112</v>
      </c>
      <c r="C17" s="876" t="s">
        <v>4129</v>
      </c>
      <c r="D17" s="889">
        <v>1.2E-2</v>
      </c>
      <c r="E17" s="877">
        <v>0</v>
      </c>
      <c r="F17" s="877">
        <v>2</v>
      </c>
      <c r="G17" s="877" t="s">
        <v>278</v>
      </c>
      <c r="H17" s="877">
        <v>3</v>
      </c>
      <c r="I17" s="876"/>
      <c r="J17" s="878" t="s">
        <v>4119</v>
      </c>
    </row>
    <row r="18" spans="2:10" s="93" customFormat="1" ht="18" outlineLevel="1" x14ac:dyDescent="0.25">
      <c r="B18" s="182" t="s">
        <v>1924</v>
      </c>
      <c r="C18" s="183" t="s">
        <v>3485</v>
      </c>
      <c r="D18" s="184">
        <v>5</v>
      </c>
      <c r="E18" s="445">
        <v>0</v>
      </c>
      <c r="F18" s="185" t="s">
        <v>1254</v>
      </c>
      <c r="G18" s="185" t="s">
        <v>1177</v>
      </c>
      <c r="H18" s="185">
        <v>1</v>
      </c>
      <c r="I18" s="183"/>
      <c r="J18" s="779"/>
    </row>
    <row r="19" spans="2:10" s="93" customFormat="1" ht="18.75" outlineLevel="1" thickBot="1" x14ac:dyDescent="0.4">
      <c r="B19" s="774" t="s">
        <v>3486</v>
      </c>
      <c r="C19" s="179" t="s">
        <v>4099</v>
      </c>
      <c r="D19" s="180">
        <v>350</v>
      </c>
      <c r="E19" s="525">
        <v>0</v>
      </c>
      <c r="F19" s="181" t="s">
        <v>1254</v>
      </c>
      <c r="G19" s="181" t="s">
        <v>1177</v>
      </c>
      <c r="H19" s="181">
        <v>1</v>
      </c>
      <c r="I19" s="179"/>
      <c r="J19" s="781"/>
    </row>
    <row r="20" spans="2:10" s="93" customFormat="1" ht="15.75" thickBot="1" x14ac:dyDescent="0.3">
      <c r="B20" s="102"/>
      <c r="C20" s="651"/>
      <c r="D20" s="1660"/>
      <c r="E20" s="1661"/>
      <c r="F20" s="1661"/>
      <c r="G20" s="1661"/>
      <c r="H20" s="1661"/>
      <c r="I20" s="651"/>
      <c r="J20" s="1619"/>
    </row>
    <row r="21" spans="2:10" s="93" customFormat="1" ht="15.75" thickBot="1" x14ac:dyDescent="0.3">
      <c r="B21" s="102"/>
      <c r="C21" s="355" t="s">
        <v>2140</v>
      </c>
      <c r="D21" s="94" t="s">
        <v>303</v>
      </c>
      <c r="E21" s="94"/>
      <c r="F21" s="94"/>
      <c r="G21" s="94"/>
      <c r="H21" s="94"/>
      <c r="I21" s="102"/>
      <c r="J21" s="1619"/>
    </row>
    <row r="22" spans="2:10" s="93" customFormat="1" ht="15.75" thickBot="1" x14ac:dyDescent="0.3">
      <c r="B22" s="277" t="s">
        <v>0</v>
      </c>
      <c r="C22" s="281" t="s">
        <v>1</v>
      </c>
      <c r="D22" s="283" t="s">
        <v>838</v>
      </c>
      <c r="E22" s="447" t="s">
        <v>471</v>
      </c>
      <c r="F22" s="283" t="s">
        <v>472</v>
      </c>
      <c r="G22" s="283" t="s">
        <v>2</v>
      </c>
      <c r="H22" s="283" t="s">
        <v>302</v>
      </c>
      <c r="I22" s="281" t="s">
        <v>116</v>
      </c>
      <c r="J22" s="782" t="s">
        <v>117</v>
      </c>
    </row>
    <row r="23" spans="2:10" s="93" customFormat="1" ht="18" outlineLevel="1" x14ac:dyDescent="0.25">
      <c r="B23" s="379" t="s">
        <v>1186</v>
      </c>
      <c r="C23" s="375" t="s">
        <v>2220</v>
      </c>
      <c r="D23" s="380">
        <v>1.3</v>
      </c>
      <c r="E23" s="526">
        <v>0</v>
      </c>
      <c r="F23" s="381" t="s">
        <v>1254</v>
      </c>
      <c r="G23" s="381" t="s">
        <v>447</v>
      </c>
      <c r="H23" s="381">
        <v>1</v>
      </c>
      <c r="I23" s="375"/>
      <c r="J23" s="783"/>
    </row>
    <row r="24" spans="2:10" s="93" customFormat="1" ht="18" outlineLevel="1" x14ac:dyDescent="0.25">
      <c r="B24" s="382" t="s">
        <v>1187</v>
      </c>
      <c r="C24" s="376" t="s">
        <v>2221</v>
      </c>
      <c r="D24" s="383">
        <v>0.05</v>
      </c>
      <c r="E24" s="384">
        <v>0</v>
      </c>
      <c r="F24" s="384" t="s">
        <v>1254</v>
      </c>
      <c r="G24" s="384" t="s">
        <v>447</v>
      </c>
      <c r="H24" s="384">
        <v>2</v>
      </c>
      <c r="I24" s="376"/>
      <c r="J24" s="784"/>
    </row>
    <row r="25" spans="2:10" s="93" customFormat="1" ht="18" outlineLevel="1" x14ac:dyDescent="0.25">
      <c r="B25" s="385" t="s">
        <v>1188</v>
      </c>
      <c r="C25" s="377" t="s">
        <v>2222</v>
      </c>
      <c r="D25" s="386">
        <v>10</v>
      </c>
      <c r="E25" s="387">
        <v>0</v>
      </c>
      <c r="F25" s="387" t="s">
        <v>1254</v>
      </c>
      <c r="G25" s="387" t="s">
        <v>447</v>
      </c>
      <c r="H25" s="387">
        <v>1</v>
      </c>
      <c r="I25" s="785"/>
      <c r="J25" s="786" t="s">
        <v>4154</v>
      </c>
    </row>
    <row r="26" spans="2:10" s="93" customFormat="1" ht="18" outlineLevel="1" x14ac:dyDescent="0.25">
      <c r="B26" s="382" t="s">
        <v>1925</v>
      </c>
      <c r="C26" s="376" t="s">
        <v>2223</v>
      </c>
      <c r="D26" s="388">
        <v>0.5</v>
      </c>
      <c r="E26" s="384">
        <v>0</v>
      </c>
      <c r="F26" s="384" t="s">
        <v>1254</v>
      </c>
      <c r="G26" s="384" t="s">
        <v>1177</v>
      </c>
      <c r="H26" s="384">
        <v>1</v>
      </c>
      <c r="I26" s="376"/>
      <c r="J26" s="784"/>
    </row>
    <row r="27" spans="2:10" s="93" customFormat="1" ht="18.75" outlineLevel="1" x14ac:dyDescent="0.25">
      <c r="B27" s="382" t="s">
        <v>3192</v>
      </c>
      <c r="C27" s="376" t="s">
        <v>3193</v>
      </c>
      <c r="D27" s="383">
        <v>0.05</v>
      </c>
      <c r="E27" s="384">
        <v>0</v>
      </c>
      <c r="F27" s="384" t="s">
        <v>1254</v>
      </c>
      <c r="G27" s="384" t="s">
        <v>1176</v>
      </c>
      <c r="H27" s="384">
        <v>2</v>
      </c>
      <c r="I27" s="376"/>
      <c r="J27" s="784"/>
    </row>
    <row r="28" spans="2:10" s="93" customFormat="1" ht="18.75" outlineLevel="1" thickBot="1" x14ac:dyDescent="0.3">
      <c r="B28" s="389" t="s">
        <v>2225</v>
      </c>
      <c r="C28" s="378" t="s">
        <v>2224</v>
      </c>
      <c r="D28" s="390">
        <v>0.03</v>
      </c>
      <c r="E28" s="527">
        <v>0</v>
      </c>
      <c r="F28" s="391" t="s">
        <v>1254</v>
      </c>
      <c r="G28" s="391" t="s">
        <v>885</v>
      </c>
      <c r="H28" s="391">
        <v>2</v>
      </c>
      <c r="I28" s="378"/>
      <c r="J28" s="787"/>
    </row>
    <row r="29" spans="2:10" s="93" customFormat="1" ht="15.75" thickBot="1" x14ac:dyDescent="0.3">
      <c r="B29" s="1619"/>
      <c r="C29" s="1619"/>
      <c r="I29" s="1619"/>
      <c r="J29" s="1619"/>
    </row>
    <row r="30" spans="2:10" s="93" customFormat="1" ht="15.75" thickBot="1" x14ac:dyDescent="0.3">
      <c r="B30" s="102"/>
      <c r="C30" s="355" t="s">
        <v>3892</v>
      </c>
      <c r="D30" s="94" t="s">
        <v>303</v>
      </c>
      <c r="E30" s="94"/>
      <c r="F30" s="94"/>
      <c r="G30" s="94"/>
      <c r="H30" s="94"/>
      <c r="I30" s="102"/>
      <c r="J30" s="1619"/>
    </row>
    <row r="31" spans="2:10" s="93" customFormat="1" ht="15.75" thickBot="1" x14ac:dyDescent="0.3">
      <c r="B31" s="356" t="s">
        <v>0</v>
      </c>
      <c r="C31" s="446" t="s">
        <v>1</v>
      </c>
      <c r="D31" s="447" t="s">
        <v>838</v>
      </c>
      <c r="E31" s="447" t="s">
        <v>471</v>
      </c>
      <c r="F31" s="447" t="s">
        <v>472</v>
      </c>
      <c r="G31" s="447" t="s">
        <v>2</v>
      </c>
      <c r="H31" s="447" t="s">
        <v>302</v>
      </c>
      <c r="I31" s="446" t="s">
        <v>116</v>
      </c>
      <c r="J31" s="788" t="s">
        <v>117</v>
      </c>
    </row>
    <row r="32" spans="2:10" s="93" customFormat="1" ht="18" outlineLevel="1" x14ac:dyDescent="0.25">
      <c r="B32" s="459" t="s">
        <v>3917</v>
      </c>
      <c r="C32" s="700" t="s">
        <v>3918</v>
      </c>
      <c r="D32" s="556">
        <v>1</v>
      </c>
      <c r="E32" s="461">
        <v>0</v>
      </c>
      <c r="F32" s="461" t="s">
        <v>1254</v>
      </c>
      <c r="G32" s="736" t="s">
        <v>447</v>
      </c>
      <c r="H32" s="461">
        <v>2</v>
      </c>
      <c r="I32" s="460" t="s">
        <v>1999</v>
      </c>
      <c r="J32" s="789"/>
    </row>
    <row r="33" spans="2:10" s="93" customFormat="1" ht="18" outlineLevel="1" x14ac:dyDescent="0.25">
      <c r="B33" s="459" t="s">
        <v>3489</v>
      </c>
      <c r="C33" s="460" t="s">
        <v>3905</v>
      </c>
      <c r="D33" s="556">
        <v>0.1</v>
      </c>
      <c r="E33" s="370">
        <v>0</v>
      </c>
      <c r="F33" s="370" t="s">
        <v>1254</v>
      </c>
      <c r="G33" s="737" t="s">
        <v>447</v>
      </c>
      <c r="H33" s="370">
        <v>1</v>
      </c>
      <c r="I33" s="460" t="s">
        <v>1999</v>
      </c>
      <c r="J33" s="789"/>
    </row>
    <row r="34" spans="2:10" s="93" customFormat="1" ht="18" outlineLevel="1" x14ac:dyDescent="0.25">
      <c r="B34" s="157" t="s">
        <v>2187</v>
      </c>
      <c r="C34" s="392" t="s">
        <v>2236</v>
      </c>
      <c r="D34" s="560">
        <v>0.45</v>
      </c>
      <c r="E34" s="370">
        <v>0</v>
      </c>
      <c r="F34" s="370" t="s">
        <v>1254</v>
      </c>
      <c r="G34" s="737" t="s">
        <v>447</v>
      </c>
      <c r="H34" s="370">
        <v>1</v>
      </c>
      <c r="I34" s="392"/>
      <c r="J34" s="790"/>
    </row>
    <row r="35" spans="2:10" s="93" customFormat="1" ht="18" outlineLevel="1" x14ac:dyDescent="0.25">
      <c r="B35" s="157" t="s">
        <v>1696</v>
      </c>
      <c r="C35" s="393" t="s">
        <v>2226</v>
      </c>
      <c r="D35" s="398">
        <v>0.49</v>
      </c>
      <c r="E35" s="370">
        <v>0</v>
      </c>
      <c r="F35" s="370" t="s">
        <v>1254</v>
      </c>
      <c r="G35" s="738" t="s">
        <v>447</v>
      </c>
      <c r="H35" s="370">
        <v>2</v>
      </c>
      <c r="I35" s="392"/>
      <c r="J35" s="399"/>
    </row>
    <row r="36" spans="2:10" s="93" customFormat="1" ht="18" outlineLevel="1" x14ac:dyDescent="0.25">
      <c r="B36" s="157" t="s">
        <v>3919</v>
      </c>
      <c r="C36" s="394" t="s">
        <v>3920</v>
      </c>
      <c r="D36" s="400">
        <v>0.08</v>
      </c>
      <c r="E36" s="370">
        <v>0</v>
      </c>
      <c r="F36" s="370" t="s">
        <v>1254</v>
      </c>
      <c r="G36" s="738" t="s">
        <v>447</v>
      </c>
      <c r="H36" s="370">
        <v>2</v>
      </c>
      <c r="I36" s="392"/>
      <c r="J36" s="790" t="s">
        <v>3568</v>
      </c>
    </row>
    <row r="37" spans="2:10" s="93" customFormat="1" ht="18" outlineLevel="1" x14ac:dyDescent="0.25">
      <c r="B37" s="157" t="s">
        <v>3921</v>
      </c>
      <c r="C37" s="392" t="s">
        <v>4766</v>
      </c>
      <c r="D37" s="400">
        <v>7.0000000000000007E-2</v>
      </c>
      <c r="E37" s="370">
        <v>0</v>
      </c>
      <c r="F37" s="370" t="s">
        <v>1254</v>
      </c>
      <c r="G37" s="738" t="s">
        <v>447</v>
      </c>
      <c r="H37" s="370">
        <v>2</v>
      </c>
      <c r="I37" s="392"/>
      <c r="J37" s="790"/>
    </row>
    <row r="38" spans="2:10" s="93" customFormat="1" ht="18" outlineLevel="1" x14ac:dyDescent="0.25">
      <c r="B38" s="157" t="s">
        <v>2112</v>
      </c>
      <c r="C38" s="392" t="s">
        <v>2237</v>
      </c>
      <c r="D38" s="400">
        <v>5.0000000000000001E-3</v>
      </c>
      <c r="E38" s="370">
        <v>0</v>
      </c>
      <c r="F38" s="370" t="s">
        <v>1254</v>
      </c>
      <c r="G38" s="738" t="s">
        <v>447</v>
      </c>
      <c r="H38" s="370">
        <v>2</v>
      </c>
      <c r="I38" s="392"/>
      <c r="J38" s="790"/>
    </row>
    <row r="39" spans="2:10" s="93" customFormat="1" ht="18" outlineLevel="1" x14ac:dyDescent="0.25">
      <c r="B39" s="157" t="s">
        <v>3971</v>
      </c>
      <c r="C39" s="395" t="s">
        <v>2227</v>
      </c>
      <c r="D39" s="701">
        <v>7</v>
      </c>
      <c r="E39" s="370">
        <v>0</v>
      </c>
      <c r="F39" s="370" t="s">
        <v>1254</v>
      </c>
      <c r="G39" s="738" t="s">
        <v>447</v>
      </c>
      <c r="H39" s="370">
        <v>1</v>
      </c>
      <c r="I39" s="392"/>
      <c r="J39" s="791"/>
    </row>
    <row r="40" spans="2:10" s="93" customFormat="1" ht="18" outlineLevel="1" x14ac:dyDescent="0.25">
      <c r="B40" s="157" t="s">
        <v>4762</v>
      </c>
      <c r="C40" s="395" t="s">
        <v>4763</v>
      </c>
      <c r="D40" s="701">
        <v>4</v>
      </c>
      <c r="E40" s="370">
        <v>0</v>
      </c>
      <c r="F40" s="370" t="s">
        <v>1254</v>
      </c>
      <c r="G40" s="738" t="s">
        <v>447</v>
      </c>
      <c r="H40" s="370">
        <v>1</v>
      </c>
      <c r="I40" s="792"/>
      <c r="J40" s="791"/>
    </row>
    <row r="41" spans="2:10" s="93" customFormat="1" ht="18" outlineLevel="1" x14ac:dyDescent="0.25">
      <c r="B41" s="157" t="s">
        <v>3863</v>
      </c>
      <c r="C41" s="394" t="s">
        <v>3915</v>
      </c>
      <c r="D41" s="400">
        <v>0.66</v>
      </c>
      <c r="E41" s="370">
        <v>0</v>
      </c>
      <c r="F41" s="370" t="s">
        <v>1254</v>
      </c>
      <c r="G41" s="738" t="s">
        <v>1994</v>
      </c>
      <c r="H41" s="370">
        <v>2</v>
      </c>
      <c r="I41" s="392"/>
      <c r="J41" s="790"/>
    </row>
    <row r="42" spans="2:10" s="93" customFormat="1" ht="18" outlineLevel="1" x14ac:dyDescent="0.25">
      <c r="B42" s="157" t="s">
        <v>3911</v>
      </c>
      <c r="C42" s="444" t="s">
        <v>3913</v>
      </c>
      <c r="D42" s="400">
        <v>0.5</v>
      </c>
      <c r="E42" s="370">
        <v>0</v>
      </c>
      <c r="F42" s="370" t="s">
        <v>1254</v>
      </c>
      <c r="G42" s="739" t="s">
        <v>1994</v>
      </c>
      <c r="H42" s="370">
        <v>2</v>
      </c>
      <c r="I42" s="392"/>
      <c r="J42" s="790"/>
    </row>
    <row r="43" spans="2:10" s="93" customFormat="1" ht="18" outlineLevel="1" x14ac:dyDescent="0.25">
      <c r="B43" s="157" t="s">
        <v>3912</v>
      </c>
      <c r="C43" s="444" t="s">
        <v>3914</v>
      </c>
      <c r="D43" s="400">
        <v>0.25</v>
      </c>
      <c r="E43" s="370">
        <v>0</v>
      </c>
      <c r="F43" s="370" t="s">
        <v>1254</v>
      </c>
      <c r="G43" s="739" t="s">
        <v>1994</v>
      </c>
      <c r="H43" s="370">
        <v>2</v>
      </c>
      <c r="I43" s="392"/>
      <c r="J43" s="790"/>
    </row>
    <row r="44" spans="2:10" s="93" customFormat="1" ht="18" outlineLevel="1" x14ac:dyDescent="0.25">
      <c r="B44" s="157" t="s">
        <v>3899</v>
      </c>
      <c r="C44" s="444" t="s">
        <v>4767</v>
      </c>
      <c r="D44" s="400">
        <v>0.66</v>
      </c>
      <c r="E44" s="370">
        <v>0</v>
      </c>
      <c r="F44" s="370" t="s">
        <v>1254</v>
      </c>
      <c r="G44" s="738" t="s">
        <v>1994</v>
      </c>
      <c r="H44" s="370">
        <v>2</v>
      </c>
      <c r="I44" s="392"/>
      <c r="J44" s="790"/>
    </row>
    <row r="45" spans="2:10" s="93" customFormat="1" ht="18" outlineLevel="1" x14ac:dyDescent="0.25">
      <c r="B45" s="157" t="s">
        <v>2183</v>
      </c>
      <c r="C45" s="392" t="s">
        <v>2238</v>
      </c>
      <c r="D45" s="400">
        <v>0.25</v>
      </c>
      <c r="E45" s="370">
        <v>0</v>
      </c>
      <c r="F45" s="370" t="s">
        <v>1254</v>
      </c>
      <c r="G45" s="739" t="s">
        <v>1994</v>
      </c>
      <c r="H45" s="370">
        <v>2</v>
      </c>
      <c r="I45" s="392"/>
      <c r="J45" s="790"/>
    </row>
    <row r="46" spans="2:10" s="93" customFormat="1" ht="18" outlineLevel="1" x14ac:dyDescent="0.25">
      <c r="B46" s="157" t="s">
        <v>2184</v>
      </c>
      <c r="C46" s="392" t="s">
        <v>2239</v>
      </c>
      <c r="D46" s="400">
        <v>0.5</v>
      </c>
      <c r="E46" s="370">
        <v>0</v>
      </c>
      <c r="F46" s="370" t="s">
        <v>1254</v>
      </c>
      <c r="G46" s="739" t="s">
        <v>1994</v>
      </c>
      <c r="H46" s="370">
        <v>2</v>
      </c>
      <c r="I46" s="392"/>
      <c r="J46" s="790"/>
    </row>
    <row r="47" spans="2:10" s="93" customFormat="1" ht="18" outlineLevel="1" x14ac:dyDescent="0.25">
      <c r="B47" s="157" t="s">
        <v>1926</v>
      </c>
      <c r="C47" s="394" t="s">
        <v>2228</v>
      </c>
      <c r="D47" s="400">
        <v>0.15</v>
      </c>
      <c r="E47" s="370">
        <v>0</v>
      </c>
      <c r="F47" s="370" t="s">
        <v>1254</v>
      </c>
      <c r="G47" s="738" t="s">
        <v>887</v>
      </c>
      <c r="H47" s="370">
        <v>2</v>
      </c>
      <c r="I47" s="392" t="s">
        <v>1998</v>
      </c>
      <c r="J47" s="790" t="s">
        <v>5001</v>
      </c>
    </row>
    <row r="48" spans="2:10" s="93" customFormat="1" ht="18" outlineLevel="1" x14ac:dyDescent="0.25">
      <c r="B48" s="157" t="s">
        <v>4120</v>
      </c>
      <c r="C48" s="392" t="s">
        <v>4130</v>
      </c>
      <c r="D48" s="400">
        <v>0.8</v>
      </c>
      <c r="E48" s="370">
        <v>0</v>
      </c>
      <c r="F48" s="370">
        <v>2</v>
      </c>
      <c r="G48" s="738" t="s">
        <v>278</v>
      </c>
      <c r="H48" s="370">
        <v>2</v>
      </c>
      <c r="I48" s="392"/>
      <c r="J48" s="790" t="s">
        <v>4119</v>
      </c>
    </row>
    <row r="49" spans="2:10" s="93" customFormat="1" ht="18" outlineLevel="1" x14ac:dyDescent="0.25">
      <c r="B49" s="769" t="s">
        <v>4125</v>
      </c>
      <c r="C49" s="392" t="s">
        <v>4126</v>
      </c>
      <c r="D49" s="400">
        <v>0.4</v>
      </c>
      <c r="E49" s="370">
        <v>0</v>
      </c>
      <c r="F49" s="370">
        <v>2</v>
      </c>
      <c r="G49" s="738" t="s">
        <v>278</v>
      </c>
      <c r="H49" s="370">
        <v>2</v>
      </c>
      <c r="I49" s="392"/>
      <c r="J49" s="790" t="s">
        <v>4119</v>
      </c>
    </row>
    <row r="50" spans="2:10" s="93" customFormat="1" ht="18" outlineLevel="1" x14ac:dyDescent="0.25">
      <c r="B50" s="157" t="s">
        <v>3740</v>
      </c>
      <c r="C50" s="394" t="s">
        <v>3741</v>
      </c>
      <c r="D50" s="400">
        <v>0.1</v>
      </c>
      <c r="E50" s="370">
        <v>0</v>
      </c>
      <c r="F50" s="370" t="s">
        <v>1254</v>
      </c>
      <c r="G50" s="738" t="s">
        <v>2129</v>
      </c>
      <c r="H50" s="370">
        <v>2</v>
      </c>
      <c r="I50" s="392"/>
      <c r="J50" s="790"/>
    </row>
    <row r="51" spans="2:10" s="93" customFormat="1" ht="18" outlineLevel="1" x14ac:dyDescent="0.25">
      <c r="B51" s="157" t="s">
        <v>1771</v>
      </c>
      <c r="C51" s="394" t="s">
        <v>2229</v>
      </c>
      <c r="D51" s="400">
        <v>0.01</v>
      </c>
      <c r="E51" s="370">
        <v>0</v>
      </c>
      <c r="F51" s="370" t="s">
        <v>1254</v>
      </c>
      <c r="G51" s="738" t="s">
        <v>2129</v>
      </c>
      <c r="H51" s="370">
        <v>2</v>
      </c>
      <c r="I51" s="392"/>
      <c r="J51" s="790"/>
    </row>
    <row r="52" spans="2:10" s="93" customFormat="1" ht="18" outlineLevel="1" x14ac:dyDescent="0.25">
      <c r="B52" s="157" t="s">
        <v>3829</v>
      </c>
      <c r="C52" s="394" t="s">
        <v>4768</v>
      </c>
      <c r="D52" s="400">
        <v>0.1</v>
      </c>
      <c r="E52" s="370">
        <v>0</v>
      </c>
      <c r="F52" s="370" t="s">
        <v>1254</v>
      </c>
      <c r="G52" s="738" t="s">
        <v>2129</v>
      </c>
      <c r="H52" s="370">
        <v>2</v>
      </c>
      <c r="I52" s="392"/>
      <c r="J52" s="790"/>
    </row>
    <row r="53" spans="2:10" s="93" customFormat="1" ht="18" outlineLevel="1" x14ac:dyDescent="0.25">
      <c r="B53" s="157" t="s">
        <v>3864</v>
      </c>
      <c r="C53" s="366" t="s">
        <v>3865</v>
      </c>
      <c r="D53" s="365">
        <v>0.05</v>
      </c>
      <c r="E53" s="370">
        <v>0</v>
      </c>
      <c r="F53" s="365" t="s">
        <v>1254</v>
      </c>
      <c r="G53" s="738" t="s">
        <v>1176</v>
      </c>
      <c r="H53" s="365">
        <v>2</v>
      </c>
      <c r="I53" s="366"/>
      <c r="J53" s="399"/>
    </row>
    <row r="54" spans="2:10" s="93" customFormat="1" ht="18" outlineLevel="1" x14ac:dyDescent="0.25">
      <c r="B54" s="157" t="s">
        <v>3884</v>
      </c>
      <c r="C54" s="366" t="s">
        <v>3886</v>
      </c>
      <c r="D54" s="365">
        <v>0.03</v>
      </c>
      <c r="E54" s="370">
        <v>0</v>
      </c>
      <c r="F54" s="365" t="s">
        <v>1254</v>
      </c>
      <c r="G54" s="738" t="s">
        <v>885</v>
      </c>
      <c r="H54" s="365">
        <v>2</v>
      </c>
      <c r="I54" s="366"/>
      <c r="J54" s="399"/>
    </row>
    <row r="55" spans="2:10" s="93" customFormat="1" ht="18" outlineLevel="1" x14ac:dyDescent="0.25">
      <c r="B55" s="157" t="s">
        <v>3848</v>
      </c>
      <c r="C55" s="395" t="s">
        <v>3849</v>
      </c>
      <c r="D55" s="401">
        <v>5</v>
      </c>
      <c r="E55" s="370">
        <v>0</v>
      </c>
      <c r="F55" s="370" t="s">
        <v>1254</v>
      </c>
      <c r="G55" s="738" t="s">
        <v>1177</v>
      </c>
      <c r="H55" s="370">
        <v>1</v>
      </c>
      <c r="I55" s="392"/>
      <c r="J55" s="399"/>
    </row>
    <row r="56" spans="2:10" s="93" customFormat="1" ht="18" outlineLevel="1" x14ac:dyDescent="0.25">
      <c r="B56" s="157" t="s">
        <v>2113</v>
      </c>
      <c r="C56" s="444" t="s">
        <v>3132</v>
      </c>
      <c r="D56" s="398">
        <v>0.01</v>
      </c>
      <c r="E56" s="370">
        <v>0</v>
      </c>
      <c r="F56" s="370" t="s">
        <v>1254</v>
      </c>
      <c r="G56" s="738" t="s">
        <v>2129</v>
      </c>
      <c r="H56" s="370">
        <v>2</v>
      </c>
      <c r="I56" s="392"/>
      <c r="J56" s="399"/>
    </row>
    <row r="57" spans="2:10" s="93" customFormat="1" ht="18" outlineLevel="1" x14ac:dyDescent="0.25">
      <c r="B57" s="157" t="s">
        <v>2539</v>
      </c>
      <c r="C57" s="444" t="s">
        <v>2240</v>
      </c>
      <c r="D57" s="398">
        <v>0.35</v>
      </c>
      <c r="E57" s="370">
        <v>0</v>
      </c>
      <c r="F57" s="370" t="s">
        <v>1254</v>
      </c>
      <c r="G57" s="738" t="s">
        <v>1893</v>
      </c>
      <c r="H57" s="370">
        <v>2</v>
      </c>
      <c r="I57" s="392"/>
      <c r="J57" s="399"/>
    </row>
    <row r="58" spans="2:10" s="93" customFormat="1" ht="18" outlineLevel="1" x14ac:dyDescent="0.25">
      <c r="B58" s="157" t="s">
        <v>4148</v>
      </c>
      <c r="C58" s="366" t="s">
        <v>4149</v>
      </c>
      <c r="D58" s="398">
        <v>0.17</v>
      </c>
      <c r="E58" s="370">
        <v>0</v>
      </c>
      <c r="F58" s="365">
        <v>2</v>
      </c>
      <c r="G58" s="738" t="s">
        <v>278</v>
      </c>
      <c r="H58" s="370">
        <v>2</v>
      </c>
      <c r="I58" s="366"/>
      <c r="J58" s="399" t="s">
        <v>4138</v>
      </c>
    </row>
    <row r="59" spans="2:10" s="93" customFormat="1" ht="18" outlineLevel="1" x14ac:dyDescent="0.25">
      <c r="B59" s="157" t="s">
        <v>4053</v>
      </c>
      <c r="C59" s="366" t="s">
        <v>4054</v>
      </c>
      <c r="D59" s="398">
        <v>0.1</v>
      </c>
      <c r="E59" s="370">
        <v>0</v>
      </c>
      <c r="F59" s="365">
        <v>1</v>
      </c>
      <c r="G59" s="738" t="s">
        <v>1177</v>
      </c>
      <c r="H59" s="370">
        <v>2</v>
      </c>
      <c r="I59" s="366"/>
      <c r="J59" s="399"/>
    </row>
    <row r="60" spans="2:10" s="93" customFormat="1" ht="18" outlineLevel="1" x14ac:dyDescent="0.25">
      <c r="B60" s="157" t="s">
        <v>2540</v>
      </c>
      <c r="C60" s="444" t="s">
        <v>2241</v>
      </c>
      <c r="D60" s="398">
        <v>0.6</v>
      </c>
      <c r="E60" s="370">
        <v>0</v>
      </c>
      <c r="F60" s="370" t="s">
        <v>1254</v>
      </c>
      <c r="G60" s="738" t="s">
        <v>2129</v>
      </c>
      <c r="H60" s="370">
        <v>2</v>
      </c>
      <c r="I60" s="392"/>
      <c r="J60" s="399"/>
    </row>
    <row r="61" spans="2:10" s="93" customFormat="1" ht="18" outlineLevel="1" x14ac:dyDescent="0.25">
      <c r="B61" s="157" t="s">
        <v>4152</v>
      </c>
      <c r="C61" s="366" t="s">
        <v>4153</v>
      </c>
      <c r="D61" s="398">
        <v>0.1</v>
      </c>
      <c r="E61" s="370">
        <v>0</v>
      </c>
      <c r="F61" s="365">
        <v>2</v>
      </c>
      <c r="G61" s="738" t="s">
        <v>278</v>
      </c>
      <c r="H61" s="370">
        <v>2</v>
      </c>
      <c r="I61" s="366"/>
      <c r="J61" s="399" t="s">
        <v>4138</v>
      </c>
    </row>
    <row r="62" spans="2:10" s="93" customFormat="1" ht="18" outlineLevel="1" x14ac:dyDescent="0.25">
      <c r="B62" s="157" t="s">
        <v>1927</v>
      </c>
      <c r="C62" s="366" t="s">
        <v>2230</v>
      </c>
      <c r="D62" s="365">
        <v>1E-3</v>
      </c>
      <c r="E62" s="370">
        <v>0</v>
      </c>
      <c r="F62" s="365" t="s">
        <v>1254</v>
      </c>
      <c r="G62" s="738" t="s">
        <v>1600</v>
      </c>
      <c r="H62" s="365">
        <v>4</v>
      </c>
      <c r="I62" s="366"/>
      <c r="J62" s="399"/>
    </row>
    <row r="63" spans="2:10" s="93" customFormat="1" ht="18" outlineLevel="1" x14ac:dyDescent="0.25">
      <c r="B63" s="157" t="s">
        <v>1928</v>
      </c>
      <c r="C63" s="366" t="s">
        <v>2231</v>
      </c>
      <c r="D63" s="365">
        <v>1E-3</v>
      </c>
      <c r="E63" s="370">
        <v>0</v>
      </c>
      <c r="F63" s="365" t="s">
        <v>1254</v>
      </c>
      <c r="G63" s="738" t="s">
        <v>1601</v>
      </c>
      <c r="H63" s="365">
        <v>4</v>
      </c>
      <c r="I63" s="366"/>
      <c r="J63" s="399"/>
    </row>
    <row r="64" spans="2:10" s="93" customFormat="1" ht="18" outlineLevel="1" x14ac:dyDescent="0.25">
      <c r="B64" s="157" t="s">
        <v>1929</v>
      </c>
      <c r="C64" s="366" t="s">
        <v>2232</v>
      </c>
      <c r="D64" s="365">
        <v>1E-3</v>
      </c>
      <c r="E64" s="370">
        <v>0</v>
      </c>
      <c r="F64" s="365" t="s">
        <v>1254</v>
      </c>
      <c r="G64" s="738" t="s">
        <v>1602</v>
      </c>
      <c r="H64" s="365">
        <v>4</v>
      </c>
      <c r="I64" s="366"/>
      <c r="J64" s="399"/>
    </row>
    <row r="65" spans="2:10" s="93" customFormat="1" ht="18" outlineLevel="1" x14ac:dyDescent="0.25">
      <c r="B65" s="157" t="s">
        <v>1179</v>
      </c>
      <c r="C65" s="366" t="s">
        <v>2233</v>
      </c>
      <c r="D65" s="365">
        <v>2E-3</v>
      </c>
      <c r="E65" s="370">
        <v>0</v>
      </c>
      <c r="F65" s="365" t="s">
        <v>1254</v>
      </c>
      <c r="G65" s="738" t="s">
        <v>887</v>
      </c>
      <c r="H65" s="365">
        <v>3</v>
      </c>
      <c r="I65" s="366"/>
      <c r="J65" s="399"/>
    </row>
    <row r="66" spans="2:10" s="93" customFormat="1" ht="18" outlineLevel="1" x14ac:dyDescent="0.25">
      <c r="B66" s="157" t="s">
        <v>2235</v>
      </c>
      <c r="C66" s="366" t="s">
        <v>2234</v>
      </c>
      <c r="D66" s="365">
        <v>5.0000000000000001E-3</v>
      </c>
      <c r="E66" s="370">
        <v>0</v>
      </c>
      <c r="F66" s="365" t="s">
        <v>1254</v>
      </c>
      <c r="G66" s="738" t="s">
        <v>887</v>
      </c>
      <c r="H66" s="365">
        <v>3</v>
      </c>
      <c r="I66" s="366"/>
      <c r="J66" s="399"/>
    </row>
    <row r="67" spans="2:10" s="93" customFormat="1" ht="18" outlineLevel="1" x14ac:dyDescent="0.25">
      <c r="B67" s="157" t="s">
        <v>2192</v>
      </c>
      <c r="C67" s="396" t="s">
        <v>2242</v>
      </c>
      <c r="D67" s="401">
        <v>-200</v>
      </c>
      <c r="E67" s="402" t="s">
        <v>2181</v>
      </c>
      <c r="F67" s="370" t="s">
        <v>1254</v>
      </c>
      <c r="G67" s="738" t="s">
        <v>2144</v>
      </c>
      <c r="H67" s="370">
        <v>0</v>
      </c>
      <c r="I67" s="392"/>
      <c r="J67" s="790" t="s">
        <v>3569</v>
      </c>
    </row>
    <row r="68" spans="2:10" s="93" customFormat="1" ht="18.75" outlineLevel="1" thickBot="1" x14ac:dyDescent="0.3">
      <c r="B68" s="249" t="s">
        <v>2193</v>
      </c>
      <c r="C68" s="250" t="s">
        <v>2243</v>
      </c>
      <c r="D68" s="403">
        <v>0.1</v>
      </c>
      <c r="E68" s="528">
        <v>0</v>
      </c>
      <c r="F68" s="404" t="s">
        <v>1254</v>
      </c>
      <c r="G68" s="740" t="s">
        <v>3198</v>
      </c>
      <c r="H68" s="404">
        <v>2</v>
      </c>
      <c r="I68" s="793"/>
      <c r="J68" s="405"/>
    </row>
    <row r="69" spans="2:10" s="93" customFormat="1" ht="18" outlineLevel="1" x14ac:dyDescent="0.25">
      <c r="B69" s="692" t="s">
        <v>4750</v>
      </c>
      <c r="C69" s="694" t="s">
        <v>4751</v>
      </c>
      <c r="D69" s="693">
        <v>0.1</v>
      </c>
      <c r="E69" s="691">
        <v>0</v>
      </c>
      <c r="F69" s="691" t="s">
        <v>1254</v>
      </c>
      <c r="G69" s="741" t="s">
        <v>1994</v>
      </c>
      <c r="H69" s="691">
        <v>2</v>
      </c>
      <c r="I69" s="794"/>
      <c r="J69" s="795"/>
    </row>
    <row r="70" spans="2:10" s="93" customFormat="1" ht="18" outlineLevel="1" x14ac:dyDescent="0.25">
      <c r="B70" s="692" t="s">
        <v>4744</v>
      </c>
      <c r="C70" s="694" t="s">
        <v>4743</v>
      </c>
      <c r="D70" s="693">
        <v>0.05</v>
      </c>
      <c r="E70" s="691">
        <v>0</v>
      </c>
      <c r="F70" s="691" t="s">
        <v>1254</v>
      </c>
      <c r="G70" s="741" t="s">
        <v>2129</v>
      </c>
      <c r="H70" s="691">
        <v>2</v>
      </c>
      <c r="I70" s="794"/>
      <c r="J70" s="795"/>
    </row>
    <row r="71" spans="2:10" s="93" customFormat="1" ht="18" outlineLevel="1" x14ac:dyDescent="0.25">
      <c r="B71" s="358" t="s">
        <v>4739</v>
      </c>
      <c r="C71" s="775" t="s">
        <v>4740</v>
      </c>
      <c r="D71" s="555">
        <v>0.5</v>
      </c>
      <c r="E71" s="368">
        <v>0</v>
      </c>
      <c r="F71" s="357" t="s">
        <v>1254</v>
      </c>
      <c r="G71" s="741" t="s">
        <v>2129</v>
      </c>
      <c r="H71" s="357">
        <v>2</v>
      </c>
      <c r="I71" s="796"/>
      <c r="J71" s="797"/>
    </row>
    <row r="72" spans="2:10" s="93" customFormat="1" ht="18" outlineLevel="1" x14ac:dyDescent="0.25">
      <c r="B72" s="358" t="s">
        <v>4741</v>
      </c>
      <c r="C72" s="775" t="s">
        <v>4742</v>
      </c>
      <c r="D72" s="881">
        <v>0.12</v>
      </c>
      <c r="E72" s="368">
        <v>0</v>
      </c>
      <c r="F72" s="357">
        <v>2</v>
      </c>
      <c r="G72" s="741" t="s">
        <v>278</v>
      </c>
      <c r="H72" s="687">
        <v>2</v>
      </c>
      <c r="I72" s="796"/>
      <c r="J72" s="797" t="s">
        <v>4138</v>
      </c>
    </row>
    <row r="73" spans="2:10" s="93" customFormat="1" ht="18" outlineLevel="1" x14ac:dyDescent="0.25">
      <c r="B73" s="702" t="s">
        <v>3961</v>
      </c>
      <c r="C73" s="775" t="s">
        <v>4769</v>
      </c>
      <c r="D73" s="698">
        <v>-120</v>
      </c>
      <c r="E73" s="368" t="s">
        <v>2181</v>
      </c>
      <c r="F73" s="357" t="s">
        <v>1254</v>
      </c>
      <c r="G73" s="741" t="s">
        <v>2144</v>
      </c>
      <c r="H73" s="687">
        <v>0</v>
      </c>
      <c r="I73" s="796"/>
      <c r="J73" s="797"/>
    </row>
    <row r="74" spans="2:10" s="93" customFormat="1" ht="18" outlineLevel="1" x14ac:dyDescent="0.25">
      <c r="B74" s="702" t="s">
        <v>3962</v>
      </c>
      <c r="C74" s="775" t="s">
        <v>4770</v>
      </c>
      <c r="D74" s="698">
        <v>-170</v>
      </c>
      <c r="E74" s="368" t="s">
        <v>2181</v>
      </c>
      <c r="F74" s="357" t="s">
        <v>1254</v>
      </c>
      <c r="G74" s="741" t="s">
        <v>2144</v>
      </c>
      <c r="H74" s="687">
        <v>0</v>
      </c>
      <c r="I74" s="796"/>
      <c r="J74" s="797"/>
    </row>
    <row r="75" spans="2:10" s="93" customFormat="1" ht="18.75" outlineLevel="1" thickBot="1" x14ac:dyDescent="0.3">
      <c r="B75" s="359" t="s">
        <v>2194</v>
      </c>
      <c r="C75" s="776" t="s">
        <v>2244</v>
      </c>
      <c r="D75" s="703">
        <v>0.02</v>
      </c>
      <c r="E75" s="529">
        <v>0</v>
      </c>
      <c r="F75" s="360" t="s">
        <v>1254</v>
      </c>
      <c r="G75" s="742" t="s">
        <v>3198</v>
      </c>
      <c r="H75" s="360">
        <v>2</v>
      </c>
      <c r="I75" s="798"/>
      <c r="J75" s="364"/>
    </row>
    <row r="76" spans="2:10" s="93" customFormat="1" ht="18" outlineLevel="1" x14ac:dyDescent="0.25">
      <c r="B76" s="947" t="s">
        <v>4236</v>
      </c>
      <c r="C76" s="948" t="s">
        <v>4303</v>
      </c>
      <c r="D76" s="949">
        <v>24</v>
      </c>
      <c r="E76" s="950">
        <v>0</v>
      </c>
      <c r="F76" s="950" t="s">
        <v>1254</v>
      </c>
      <c r="G76" s="951" t="s">
        <v>844</v>
      </c>
      <c r="H76" s="950">
        <v>1</v>
      </c>
      <c r="I76" s="952"/>
      <c r="J76" s="953" t="s">
        <v>4242</v>
      </c>
    </row>
    <row r="77" spans="2:10" s="93" customFormat="1" ht="18.75" outlineLevel="1" thickBot="1" x14ac:dyDescent="0.3">
      <c r="B77" s="954" t="s">
        <v>4237</v>
      </c>
      <c r="C77" s="955" t="s">
        <v>4304</v>
      </c>
      <c r="D77" s="960">
        <v>1000</v>
      </c>
      <c r="E77" s="956">
        <v>1000</v>
      </c>
      <c r="F77" s="956" t="s">
        <v>1254</v>
      </c>
      <c r="G77" s="957" t="s">
        <v>2144</v>
      </c>
      <c r="H77" s="956">
        <v>0</v>
      </c>
      <c r="I77" s="958"/>
      <c r="J77" s="959" t="s">
        <v>4241</v>
      </c>
    </row>
    <row r="78" spans="2:10" s="93" customFormat="1" ht="15.75" thickBot="1" x14ac:dyDescent="0.3">
      <c r="B78" s="1619"/>
      <c r="C78" s="651"/>
      <c r="D78" s="1661"/>
      <c r="E78" s="1661"/>
      <c r="F78" s="1661"/>
      <c r="G78" s="1661"/>
      <c r="H78" s="1661"/>
      <c r="I78" s="651"/>
      <c r="J78" s="1619"/>
    </row>
    <row r="79" spans="2:10" s="93" customFormat="1" ht="15.75" thickBot="1" x14ac:dyDescent="0.3">
      <c r="B79" s="102"/>
      <c r="C79" s="355" t="s">
        <v>2165</v>
      </c>
      <c r="D79" s="94" t="s">
        <v>303</v>
      </c>
      <c r="E79" s="94"/>
      <c r="F79" s="94"/>
      <c r="G79" s="94"/>
      <c r="H79" s="94"/>
      <c r="I79" s="102"/>
      <c r="J79" s="1619"/>
    </row>
    <row r="80" spans="2:10" s="93" customFormat="1" ht="15.75" thickBot="1" x14ac:dyDescent="0.3">
      <c r="B80" s="277" t="s">
        <v>0</v>
      </c>
      <c r="C80" s="281" t="s">
        <v>1</v>
      </c>
      <c r="D80" s="283" t="s">
        <v>838</v>
      </c>
      <c r="E80" s="447" t="s">
        <v>471</v>
      </c>
      <c r="F80" s="283" t="s">
        <v>472</v>
      </c>
      <c r="G80" s="283" t="s">
        <v>2</v>
      </c>
      <c r="H80" s="283" t="s">
        <v>302</v>
      </c>
      <c r="I80" s="281" t="s">
        <v>116</v>
      </c>
      <c r="J80" s="782" t="s">
        <v>117</v>
      </c>
    </row>
    <row r="81" spans="2:16" s="93" customFormat="1" ht="18" outlineLevel="1" x14ac:dyDescent="0.25">
      <c r="B81" s="901" t="s">
        <v>848</v>
      </c>
      <c r="C81" s="902" t="s">
        <v>2135</v>
      </c>
      <c r="D81" s="903">
        <v>0.9</v>
      </c>
      <c r="E81" s="904">
        <v>0</v>
      </c>
      <c r="F81" s="905">
        <v>2</v>
      </c>
      <c r="G81" s="905" t="s">
        <v>844</v>
      </c>
      <c r="H81" s="905">
        <v>2</v>
      </c>
      <c r="I81" s="902" t="s">
        <v>2003</v>
      </c>
      <c r="J81" s="906"/>
    </row>
    <row r="82" spans="2:16" s="93" customFormat="1" ht="18" outlineLevel="1" x14ac:dyDescent="0.25">
      <c r="B82" s="882" t="s">
        <v>1185</v>
      </c>
      <c r="C82" s="907" t="s">
        <v>2246</v>
      </c>
      <c r="D82" s="887">
        <v>0.17</v>
      </c>
      <c r="E82" s="884">
        <v>0</v>
      </c>
      <c r="F82" s="884" t="s">
        <v>1254</v>
      </c>
      <c r="G82" s="884" t="s">
        <v>447</v>
      </c>
      <c r="H82" s="884">
        <v>2</v>
      </c>
      <c r="I82" s="885"/>
      <c r="J82" s="886"/>
    </row>
    <row r="83" spans="2:16" s="93" customFormat="1" ht="18" outlineLevel="1" x14ac:dyDescent="0.25">
      <c r="B83" s="882" t="s">
        <v>1918</v>
      </c>
      <c r="C83" s="908" t="s">
        <v>2247</v>
      </c>
      <c r="D83" s="909">
        <v>0.7</v>
      </c>
      <c r="E83" s="884">
        <v>0</v>
      </c>
      <c r="F83" s="884" t="s">
        <v>1254</v>
      </c>
      <c r="G83" s="884" t="s">
        <v>885</v>
      </c>
      <c r="H83" s="884">
        <v>1</v>
      </c>
      <c r="I83" s="885" t="s">
        <v>2004</v>
      </c>
      <c r="J83" s="886"/>
    </row>
    <row r="84" spans="2:16" s="93" customFormat="1" ht="18.75" outlineLevel="1" x14ac:dyDescent="0.25">
      <c r="B84" s="1218" t="s">
        <v>4597</v>
      </c>
      <c r="C84" s="912" t="s">
        <v>2248</v>
      </c>
      <c r="D84" s="913">
        <v>1E-3</v>
      </c>
      <c r="E84" s="884">
        <v>0</v>
      </c>
      <c r="F84" s="884" t="s">
        <v>1254</v>
      </c>
      <c r="G84" s="911" t="s">
        <v>4163</v>
      </c>
      <c r="H84" s="884">
        <v>3</v>
      </c>
      <c r="I84" s="885"/>
      <c r="J84" s="886"/>
    </row>
    <row r="85" spans="2:16" s="93" customFormat="1" ht="18" outlineLevel="1" x14ac:dyDescent="0.25">
      <c r="B85" s="1218" t="s">
        <v>4598</v>
      </c>
      <c r="C85" s="883" t="s">
        <v>4155</v>
      </c>
      <c r="D85" s="887">
        <v>1</v>
      </c>
      <c r="E85" s="884">
        <v>0</v>
      </c>
      <c r="F85" s="884">
        <v>2</v>
      </c>
      <c r="G85" s="884" t="s">
        <v>278</v>
      </c>
      <c r="H85" s="884">
        <v>2</v>
      </c>
      <c r="I85" s="885"/>
      <c r="J85" s="886" t="s">
        <v>4119</v>
      </c>
    </row>
    <row r="86" spans="2:16" s="205" customFormat="1" ht="20.25" customHeight="1" outlineLevel="1" x14ac:dyDescent="0.25">
      <c r="B86" s="1403" t="s">
        <v>4599</v>
      </c>
      <c r="C86" s="914" t="s">
        <v>2249</v>
      </c>
      <c r="D86" s="915">
        <v>4.0000000000000001E-3</v>
      </c>
      <c r="E86" s="884">
        <v>0</v>
      </c>
      <c r="F86" s="911" t="s">
        <v>1254</v>
      </c>
      <c r="G86" s="911" t="s">
        <v>4163</v>
      </c>
      <c r="H86" s="911">
        <v>3</v>
      </c>
      <c r="I86" s="916"/>
      <c r="J86" s="886"/>
      <c r="K86" s="93"/>
      <c r="L86" s="93"/>
      <c r="M86" s="93"/>
      <c r="N86" s="93"/>
      <c r="O86" s="93"/>
      <c r="P86" s="93"/>
    </row>
    <row r="87" spans="2:16" s="205" customFormat="1" ht="18" outlineLevel="1" x14ac:dyDescent="0.25">
      <c r="B87" s="1218" t="s">
        <v>4600</v>
      </c>
      <c r="C87" s="883" t="s">
        <v>4156</v>
      </c>
      <c r="D87" s="887">
        <v>0.3</v>
      </c>
      <c r="E87" s="884">
        <v>0</v>
      </c>
      <c r="F87" s="884">
        <v>2</v>
      </c>
      <c r="G87" s="884" t="s">
        <v>278</v>
      </c>
      <c r="H87" s="884">
        <v>2</v>
      </c>
      <c r="I87" s="885"/>
      <c r="J87" s="886" t="s">
        <v>4119</v>
      </c>
      <c r="K87" s="93"/>
      <c r="L87" s="93"/>
      <c r="M87" s="93"/>
      <c r="N87" s="93"/>
      <c r="O87" s="93"/>
      <c r="P87" s="93"/>
    </row>
    <row r="88" spans="2:16" s="93" customFormat="1" ht="18.75" outlineLevel="1" x14ac:dyDescent="0.25">
      <c r="B88" s="882" t="s">
        <v>1919</v>
      </c>
      <c r="C88" s="907" t="s">
        <v>2250</v>
      </c>
      <c r="D88" s="887">
        <v>0.5</v>
      </c>
      <c r="E88" s="884">
        <v>0</v>
      </c>
      <c r="F88" s="884" t="s">
        <v>1254</v>
      </c>
      <c r="G88" s="884" t="s">
        <v>1176</v>
      </c>
      <c r="H88" s="884">
        <v>2</v>
      </c>
      <c r="I88" s="885" t="s">
        <v>2196</v>
      </c>
      <c r="J88" s="886"/>
    </row>
    <row r="89" spans="2:16" s="205" customFormat="1" ht="18.75" outlineLevel="1" x14ac:dyDescent="0.35">
      <c r="B89" s="910" t="s">
        <v>1609</v>
      </c>
      <c r="C89" s="917" t="s">
        <v>2251</v>
      </c>
      <c r="D89" s="918">
        <v>0.5</v>
      </c>
      <c r="E89" s="884">
        <v>0</v>
      </c>
      <c r="F89" s="911" t="s">
        <v>1254</v>
      </c>
      <c r="G89" s="911" t="s">
        <v>846</v>
      </c>
      <c r="H89" s="911">
        <v>2</v>
      </c>
      <c r="I89" s="916"/>
      <c r="J89" s="919"/>
      <c r="K89" s="93"/>
      <c r="L89" s="93"/>
      <c r="M89" s="93"/>
      <c r="N89" s="93"/>
      <c r="O89" s="93"/>
      <c r="P89" s="93"/>
    </row>
    <row r="90" spans="2:16" s="93" customFormat="1" ht="18" outlineLevel="1" x14ac:dyDescent="0.25">
      <c r="B90" s="882" t="s">
        <v>2245</v>
      </c>
      <c r="C90" s="907" t="s">
        <v>2252</v>
      </c>
      <c r="D90" s="887">
        <v>0.03</v>
      </c>
      <c r="E90" s="884">
        <v>0</v>
      </c>
      <c r="F90" s="884" t="s">
        <v>1254</v>
      </c>
      <c r="G90" s="884" t="s">
        <v>885</v>
      </c>
      <c r="H90" s="884">
        <v>2</v>
      </c>
      <c r="I90" s="885"/>
      <c r="J90" s="886"/>
    </row>
    <row r="91" spans="2:16" s="205" customFormat="1" ht="18.75" outlineLevel="1" x14ac:dyDescent="0.35">
      <c r="B91" s="1553" t="s">
        <v>4601</v>
      </c>
      <c r="C91" s="917" t="s">
        <v>2253</v>
      </c>
      <c r="D91" s="918">
        <v>9999</v>
      </c>
      <c r="E91" s="884">
        <v>0</v>
      </c>
      <c r="F91" s="911" t="s">
        <v>1254</v>
      </c>
      <c r="G91" s="911" t="s">
        <v>2172</v>
      </c>
      <c r="H91" s="911">
        <v>1</v>
      </c>
      <c r="I91" s="916"/>
      <c r="J91" s="919"/>
      <c r="K91" s="93"/>
      <c r="L91" s="93"/>
      <c r="M91" s="93"/>
      <c r="N91" s="93"/>
      <c r="O91" s="93"/>
      <c r="P91" s="93"/>
    </row>
    <row r="92" spans="2:16" s="93" customFormat="1" ht="18" outlineLevel="1" x14ac:dyDescent="0.25">
      <c r="B92" s="882" t="s">
        <v>4438</v>
      </c>
      <c r="C92" s="907" t="s">
        <v>4444</v>
      </c>
      <c r="D92" s="887">
        <v>6</v>
      </c>
      <c r="E92" s="884">
        <v>0</v>
      </c>
      <c r="F92" s="884" t="s">
        <v>1254</v>
      </c>
      <c r="G92" s="884" t="s">
        <v>383</v>
      </c>
      <c r="H92" s="884">
        <v>1</v>
      </c>
      <c r="I92" s="885"/>
      <c r="J92" s="886"/>
    </row>
    <row r="93" spans="2:16" s="93" customFormat="1" ht="19.5" customHeight="1" outlineLevel="1" thickBot="1" x14ac:dyDescent="0.4">
      <c r="B93" s="931" t="s">
        <v>4439</v>
      </c>
      <c r="C93" s="932" t="s">
        <v>4445</v>
      </c>
      <c r="D93" s="1165">
        <v>8</v>
      </c>
      <c r="E93" s="920">
        <v>0</v>
      </c>
      <c r="F93" s="933" t="s">
        <v>1254</v>
      </c>
      <c r="G93" s="933" t="s">
        <v>383</v>
      </c>
      <c r="H93" s="933">
        <v>1</v>
      </c>
      <c r="I93" s="934"/>
      <c r="J93" s="935"/>
    </row>
    <row r="94" spans="2:16" s="93" customFormat="1" ht="15.75" thickBot="1" x14ac:dyDescent="0.3">
      <c r="B94" s="102"/>
      <c r="C94" s="651"/>
      <c r="D94" s="1662"/>
      <c r="E94" s="1661"/>
      <c r="F94" s="1661"/>
      <c r="G94" s="1661"/>
      <c r="H94" s="1661"/>
      <c r="I94" s="651"/>
      <c r="J94" s="1619"/>
    </row>
    <row r="95" spans="2:16" s="93" customFormat="1" ht="15.75" thickBot="1" x14ac:dyDescent="0.3">
      <c r="B95" s="102"/>
      <c r="C95" s="355" t="s">
        <v>2166</v>
      </c>
      <c r="D95" s="94" t="s">
        <v>303</v>
      </c>
      <c r="E95" s="94"/>
      <c r="F95" s="94"/>
      <c r="G95" s="94"/>
      <c r="H95" s="94"/>
      <c r="I95" s="102"/>
      <c r="J95" s="1619"/>
    </row>
    <row r="96" spans="2:16" s="93" customFormat="1" ht="15.75" thickBot="1" x14ac:dyDescent="0.3">
      <c r="B96" s="277" t="s">
        <v>0</v>
      </c>
      <c r="C96" s="281" t="s">
        <v>1</v>
      </c>
      <c r="D96" s="283" t="s">
        <v>838</v>
      </c>
      <c r="E96" s="447" t="s">
        <v>471</v>
      </c>
      <c r="F96" s="283" t="s">
        <v>472</v>
      </c>
      <c r="G96" s="283" t="s">
        <v>2</v>
      </c>
      <c r="H96" s="283" t="s">
        <v>302</v>
      </c>
      <c r="I96" s="281" t="s">
        <v>116</v>
      </c>
      <c r="J96" s="782" t="s">
        <v>117</v>
      </c>
    </row>
    <row r="97" spans="2:10" s="93" customFormat="1" ht="18" outlineLevel="1" x14ac:dyDescent="0.25">
      <c r="B97" s="207" t="s">
        <v>1189</v>
      </c>
      <c r="C97" s="407" t="s">
        <v>308</v>
      </c>
      <c r="D97" s="208">
        <v>0.3</v>
      </c>
      <c r="E97" s="530">
        <v>0</v>
      </c>
      <c r="F97" s="208" t="s">
        <v>1254</v>
      </c>
      <c r="G97" s="208" t="s">
        <v>447</v>
      </c>
      <c r="H97" s="208">
        <v>1</v>
      </c>
      <c r="I97" s="800"/>
      <c r="J97" s="801"/>
    </row>
    <row r="98" spans="2:10" s="93" customFormat="1" ht="18" outlineLevel="1" x14ac:dyDescent="0.25">
      <c r="B98" s="190" t="s">
        <v>1190</v>
      </c>
      <c r="C98" s="408" t="s">
        <v>2256</v>
      </c>
      <c r="D98" s="193">
        <v>0.03</v>
      </c>
      <c r="E98" s="495">
        <v>0</v>
      </c>
      <c r="F98" s="193" t="s">
        <v>1254</v>
      </c>
      <c r="G98" s="193" t="s">
        <v>447</v>
      </c>
      <c r="H98" s="193">
        <v>1</v>
      </c>
      <c r="I98" s="192"/>
      <c r="J98" s="203"/>
    </row>
    <row r="99" spans="2:10" s="93" customFormat="1" ht="18" outlineLevel="1" x14ac:dyDescent="0.25">
      <c r="B99" s="190" t="s">
        <v>1930</v>
      </c>
      <c r="C99" s="408" t="s">
        <v>2257</v>
      </c>
      <c r="D99" s="193">
        <v>400</v>
      </c>
      <c r="E99" s="495">
        <v>0</v>
      </c>
      <c r="F99" s="193" t="s">
        <v>1254</v>
      </c>
      <c r="G99" s="193" t="s">
        <v>1177</v>
      </c>
      <c r="H99" s="193">
        <v>0</v>
      </c>
      <c r="I99" s="192"/>
      <c r="J99" s="203"/>
    </row>
    <row r="100" spans="2:10" s="93" customFormat="1" ht="18" outlineLevel="1" x14ac:dyDescent="0.25">
      <c r="B100" s="406" t="s">
        <v>2254</v>
      </c>
      <c r="C100" s="408" t="s">
        <v>2258</v>
      </c>
      <c r="D100" s="557">
        <v>99999</v>
      </c>
      <c r="E100" s="495">
        <v>0</v>
      </c>
      <c r="F100" s="193" t="s">
        <v>1254</v>
      </c>
      <c r="G100" s="193" t="s">
        <v>1177</v>
      </c>
      <c r="H100" s="193">
        <v>0</v>
      </c>
      <c r="I100" s="192"/>
      <c r="J100" s="203"/>
    </row>
    <row r="101" spans="2:10" s="93" customFormat="1" ht="18" outlineLevel="1" x14ac:dyDescent="0.25">
      <c r="B101" s="1352" t="s">
        <v>4602</v>
      </c>
      <c r="C101" s="408" t="s">
        <v>4178</v>
      </c>
      <c r="D101" s="557">
        <v>0.999</v>
      </c>
      <c r="E101" s="899">
        <v>0</v>
      </c>
      <c r="F101" s="899" t="s">
        <v>1254</v>
      </c>
      <c r="G101" s="193" t="s">
        <v>2172</v>
      </c>
      <c r="H101" s="899">
        <v>3</v>
      </c>
      <c r="I101" s="899"/>
      <c r="J101" s="900"/>
    </row>
    <row r="102" spans="2:10" s="93" customFormat="1" ht="18" outlineLevel="1" x14ac:dyDescent="0.25">
      <c r="B102" s="898" t="s">
        <v>4181</v>
      </c>
      <c r="C102" s="408" t="s">
        <v>4179</v>
      </c>
      <c r="D102" s="899">
        <v>0.1</v>
      </c>
      <c r="E102" s="899">
        <v>0</v>
      </c>
      <c r="F102" s="899">
        <v>2</v>
      </c>
      <c r="G102" s="899" t="s">
        <v>278</v>
      </c>
      <c r="H102" s="899">
        <v>2</v>
      </c>
      <c r="I102" s="899"/>
      <c r="J102" s="900" t="s">
        <v>4119</v>
      </c>
    </row>
    <row r="103" spans="2:10" s="93" customFormat="1" ht="18" outlineLevel="1" x14ac:dyDescent="0.25">
      <c r="B103" s="190" t="s">
        <v>3194</v>
      </c>
      <c r="C103" s="408" t="s">
        <v>3195</v>
      </c>
      <c r="D103" s="193">
        <v>0.05</v>
      </c>
      <c r="E103" s="495">
        <v>0</v>
      </c>
      <c r="F103" s="193" t="s">
        <v>1254</v>
      </c>
      <c r="G103" s="193" t="s">
        <v>1176</v>
      </c>
      <c r="H103" s="193">
        <v>2</v>
      </c>
      <c r="I103" s="192"/>
      <c r="J103" s="203"/>
    </row>
    <row r="104" spans="2:10" s="93" customFormat="1" ht="18" outlineLevel="1" x14ac:dyDescent="0.25">
      <c r="B104" s="190" t="s">
        <v>2255</v>
      </c>
      <c r="C104" s="408" t="s">
        <v>2259</v>
      </c>
      <c r="D104" s="193">
        <v>0.05</v>
      </c>
      <c r="E104" s="495">
        <v>0</v>
      </c>
      <c r="F104" s="193" t="s">
        <v>1254</v>
      </c>
      <c r="G104" s="193" t="s">
        <v>885</v>
      </c>
      <c r="H104" s="193">
        <v>2</v>
      </c>
      <c r="I104" s="192"/>
      <c r="J104" s="203"/>
    </row>
    <row r="105" spans="2:10" s="93" customFormat="1" ht="18" outlineLevel="1" x14ac:dyDescent="0.25">
      <c r="B105" s="190" t="s">
        <v>1976</v>
      </c>
      <c r="C105" s="408" t="s">
        <v>2260</v>
      </c>
      <c r="D105" s="193">
        <v>4.5</v>
      </c>
      <c r="E105" s="495">
        <v>0</v>
      </c>
      <c r="F105" s="193" t="s">
        <v>1254</v>
      </c>
      <c r="G105" s="193" t="s">
        <v>383</v>
      </c>
      <c r="H105" s="193">
        <v>1</v>
      </c>
      <c r="I105" s="192"/>
      <c r="J105" s="203"/>
    </row>
    <row r="106" spans="2:10" s="93" customFormat="1" ht="18.75" outlineLevel="1" thickBot="1" x14ac:dyDescent="0.3">
      <c r="B106" s="191" t="s">
        <v>1977</v>
      </c>
      <c r="C106" s="194" t="s">
        <v>2261</v>
      </c>
      <c r="D106" s="195">
        <v>9.5</v>
      </c>
      <c r="E106" s="496">
        <v>0</v>
      </c>
      <c r="F106" s="195" t="s">
        <v>1254</v>
      </c>
      <c r="G106" s="195" t="s">
        <v>383</v>
      </c>
      <c r="H106" s="195">
        <v>1</v>
      </c>
      <c r="I106" s="194"/>
      <c r="J106" s="204"/>
    </row>
    <row r="107" spans="2:10" s="93" customFormat="1" ht="15.75" thickBot="1" x14ac:dyDescent="0.3">
      <c r="B107" s="102"/>
      <c r="C107" s="651"/>
      <c r="D107" s="1662"/>
      <c r="E107" s="1661"/>
      <c r="F107" s="1661"/>
      <c r="G107" s="1661"/>
      <c r="H107" s="1661"/>
      <c r="I107" s="651"/>
      <c r="J107" s="1619"/>
    </row>
    <row r="108" spans="2:10" s="93" customFormat="1" ht="15.75" thickBot="1" x14ac:dyDescent="0.3">
      <c r="B108" s="102"/>
      <c r="C108" s="355" t="s">
        <v>2167</v>
      </c>
      <c r="D108" s="94" t="s">
        <v>303</v>
      </c>
      <c r="E108" s="94"/>
      <c r="F108" s="94"/>
      <c r="G108" s="94"/>
      <c r="H108" s="94"/>
      <c r="I108" s="102"/>
      <c r="J108" s="1619"/>
    </row>
    <row r="109" spans="2:10" s="93" customFormat="1" ht="15.75" thickBot="1" x14ac:dyDescent="0.3">
      <c r="B109" s="151" t="s">
        <v>0</v>
      </c>
      <c r="C109" s="147" t="s">
        <v>1</v>
      </c>
      <c r="D109" s="107" t="s">
        <v>838</v>
      </c>
      <c r="E109" s="497" t="s">
        <v>471</v>
      </c>
      <c r="F109" s="107" t="s">
        <v>472</v>
      </c>
      <c r="G109" s="107" t="s">
        <v>2</v>
      </c>
      <c r="H109" s="107" t="s">
        <v>302</v>
      </c>
      <c r="I109" s="802" t="s">
        <v>116</v>
      </c>
      <c r="J109" s="803" t="s">
        <v>117</v>
      </c>
    </row>
    <row r="110" spans="2:10" s="93" customFormat="1" ht="18" outlineLevel="1" x14ac:dyDescent="0.25">
      <c r="B110" s="289" t="s">
        <v>849</v>
      </c>
      <c r="C110" s="409" t="s">
        <v>1042</v>
      </c>
      <c r="D110" s="290">
        <v>1.3</v>
      </c>
      <c r="E110" s="498">
        <v>0</v>
      </c>
      <c r="F110" s="291" t="s">
        <v>1254</v>
      </c>
      <c r="G110" s="291" t="s">
        <v>844</v>
      </c>
      <c r="H110" s="291">
        <v>1</v>
      </c>
      <c r="I110" s="804"/>
      <c r="J110" s="805"/>
    </row>
    <row r="111" spans="2:10" s="93" customFormat="1" ht="18" outlineLevel="1" x14ac:dyDescent="0.25">
      <c r="B111" s="292" t="s">
        <v>850</v>
      </c>
      <c r="C111" s="410" t="s">
        <v>2263</v>
      </c>
      <c r="D111" s="293">
        <v>0.13</v>
      </c>
      <c r="E111" s="499">
        <v>0</v>
      </c>
      <c r="F111" s="293" t="s">
        <v>1254</v>
      </c>
      <c r="G111" s="293" t="s">
        <v>844</v>
      </c>
      <c r="H111" s="293">
        <v>1</v>
      </c>
      <c r="I111" s="806"/>
      <c r="J111" s="807"/>
    </row>
    <row r="112" spans="2:10" s="93" customFormat="1" ht="18" outlineLevel="1" x14ac:dyDescent="0.25">
      <c r="B112" s="292" t="s">
        <v>1931</v>
      </c>
      <c r="C112" s="410" t="s">
        <v>2264</v>
      </c>
      <c r="D112" s="293">
        <v>0.1</v>
      </c>
      <c r="E112" s="499">
        <v>0</v>
      </c>
      <c r="F112" s="293" t="s">
        <v>1254</v>
      </c>
      <c r="G112" s="293" t="s">
        <v>845</v>
      </c>
      <c r="H112" s="293">
        <v>1</v>
      </c>
      <c r="I112" s="806"/>
      <c r="J112" s="807"/>
    </row>
    <row r="113" spans="1:10" s="93" customFormat="1" ht="18" outlineLevel="1" x14ac:dyDescent="0.25">
      <c r="B113" s="292" t="s">
        <v>3196</v>
      </c>
      <c r="C113" s="410" t="s">
        <v>3197</v>
      </c>
      <c r="D113" s="293">
        <v>0.05</v>
      </c>
      <c r="E113" s="499">
        <v>0</v>
      </c>
      <c r="F113" s="293" t="s">
        <v>1254</v>
      </c>
      <c r="G113" s="293" t="s">
        <v>846</v>
      </c>
      <c r="H113" s="293">
        <v>2</v>
      </c>
      <c r="I113" s="806"/>
      <c r="J113" s="807"/>
    </row>
    <row r="114" spans="1:10" s="93" customFormat="1" ht="18" outlineLevel="1" x14ac:dyDescent="0.25">
      <c r="B114" s="292" t="s">
        <v>2262</v>
      </c>
      <c r="C114" s="410" t="s">
        <v>2265</v>
      </c>
      <c r="D114" s="293">
        <v>0.05</v>
      </c>
      <c r="E114" s="499">
        <v>0</v>
      </c>
      <c r="F114" s="293" t="s">
        <v>1254</v>
      </c>
      <c r="G114" s="293" t="s">
        <v>847</v>
      </c>
      <c r="H114" s="293">
        <v>2</v>
      </c>
      <c r="I114" s="806"/>
      <c r="J114" s="807"/>
    </row>
    <row r="115" spans="1:10" s="93" customFormat="1" ht="18" outlineLevel="1" x14ac:dyDescent="0.25">
      <c r="B115" s="292" t="s">
        <v>1978</v>
      </c>
      <c r="C115" s="410" t="s">
        <v>2266</v>
      </c>
      <c r="D115" s="293">
        <v>4.5</v>
      </c>
      <c r="E115" s="499">
        <v>0</v>
      </c>
      <c r="F115" s="293" t="s">
        <v>1254</v>
      </c>
      <c r="G115" s="293" t="s">
        <v>383</v>
      </c>
      <c r="H115" s="293">
        <v>1</v>
      </c>
      <c r="I115" s="806"/>
      <c r="J115" s="807"/>
    </row>
    <row r="116" spans="1:10" s="93" customFormat="1" ht="18.75" outlineLevel="1" thickBot="1" x14ac:dyDescent="0.3">
      <c r="B116" s="294" t="s">
        <v>1979</v>
      </c>
      <c r="C116" s="295" t="s">
        <v>2267</v>
      </c>
      <c r="D116" s="296">
        <v>9.5</v>
      </c>
      <c r="E116" s="500">
        <v>0</v>
      </c>
      <c r="F116" s="296" t="s">
        <v>1254</v>
      </c>
      <c r="G116" s="296" t="s">
        <v>383</v>
      </c>
      <c r="H116" s="296">
        <v>1</v>
      </c>
      <c r="I116" s="295"/>
      <c r="J116" s="808"/>
    </row>
    <row r="117" spans="1:10" s="93" customFormat="1" ht="15.75" thickBot="1" x14ac:dyDescent="0.3">
      <c r="B117" s="102"/>
      <c r="C117" s="651"/>
      <c r="D117" s="1660"/>
      <c r="E117" s="1661"/>
      <c r="F117" s="1661"/>
      <c r="G117" s="1661"/>
      <c r="H117" s="1661"/>
      <c r="I117" s="651"/>
      <c r="J117" s="1619"/>
    </row>
    <row r="118" spans="1:10" ht="15.75" thickBot="1" x14ac:dyDescent="0.3">
      <c r="A118" s="93"/>
      <c r="C118" s="773" t="s">
        <v>4341</v>
      </c>
      <c r="D118" s="94" t="s">
        <v>303</v>
      </c>
    </row>
    <row r="119" spans="1:10" s="93" customFormat="1" ht="15.75" thickBot="1" x14ac:dyDescent="0.3">
      <c r="B119" s="277" t="s">
        <v>0</v>
      </c>
      <c r="C119" s="281" t="s">
        <v>1</v>
      </c>
      <c r="D119" s="283" t="s">
        <v>838</v>
      </c>
      <c r="E119" s="447" t="s">
        <v>471</v>
      </c>
      <c r="F119" s="283" t="s">
        <v>472</v>
      </c>
      <c r="G119" s="283" t="s">
        <v>2</v>
      </c>
      <c r="H119" s="283" t="s">
        <v>302</v>
      </c>
      <c r="I119" s="281" t="s">
        <v>116</v>
      </c>
      <c r="J119" s="782" t="s">
        <v>117</v>
      </c>
    </row>
    <row r="120" spans="1:10" s="93" customFormat="1" ht="18" outlineLevel="1" x14ac:dyDescent="0.35">
      <c r="B120" s="985" t="s">
        <v>4342</v>
      </c>
      <c r="C120" s="986" t="s">
        <v>4329</v>
      </c>
      <c r="D120" s="987">
        <v>2</v>
      </c>
      <c r="E120" s="988">
        <v>0</v>
      </c>
      <c r="F120" s="988" t="s">
        <v>1254</v>
      </c>
      <c r="G120" s="988" t="s">
        <v>844</v>
      </c>
      <c r="H120" s="988">
        <v>2</v>
      </c>
      <c r="I120" s="989"/>
      <c r="J120" s="990"/>
    </row>
    <row r="121" spans="1:10" s="93" customFormat="1" ht="18" outlineLevel="1" x14ac:dyDescent="0.35">
      <c r="B121" s="1087" t="s">
        <v>4330</v>
      </c>
      <c r="C121" s="1083" t="s">
        <v>4331</v>
      </c>
      <c r="D121" s="1084">
        <v>0.1</v>
      </c>
      <c r="E121" s="1085">
        <v>0</v>
      </c>
      <c r="F121" s="1085" t="s">
        <v>1254</v>
      </c>
      <c r="G121" s="1085" t="s">
        <v>844</v>
      </c>
      <c r="H121" s="1085">
        <v>2</v>
      </c>
      <c r="I121" s="1086"/>
      <c r="J121" s="1088"/>
    </row>
    <row r="122" spans="1:10" s="93" customFormat="1" ht="18" outlineLevel="1" x14ac:dyDescent="0.35">
      <c r="B122" s="1087" t="s">
        <v>4360</v>
      </c>
      <c r="C122" s="1083" t="s">
        <v>4358</v>
      </c>
      <c r="D122" s="1084">
        <v>10</v>
      </c>
      <c r="E122" s="1085">
        <v>0</v>
      </c>
      <c r="F122" s="1085" t="s">
        <v>1254</v>
      </c>
      <c r="G122" s="1085" t="s">
        <v>1596</v>
      </c>
      <c r="H122" s="1085">
        <v>2</v>
      </c>
      <c r="I122" s="1086"/>
      <c r="J122" s="1088"/>
    </row>
    <row r="123" spans="1:10" s="93" customFormat="1" ht="18" outlineLevel="1" x14ac:dyDescent="0.35">
      <c r="B123" s="1087" t="s">
        <v>4361</v>
      </c>
      <c r="C123" s="1083" t="s">
        <v>4359</v>
      </c>
      <c r="D123" s="1084">
        <v>0.5</v>
      </c>
      <c r="E123" s="1085">
        <v>0</v>
      </c>
      <c r="F123" s="1085" t="s">
        <v>1254</v>
      </c>
      <c r="G123" s="1085" t="s">
        <v>847</v>
      </c>
      <c r="H123" s="1085">
        <v>2</v>
      </c>
      <c r="I123" s="1086"/>
      <c r="J123" s="1088"/>
    </row>
    <row r="124" spans="1:10" s="93" customFormat="1" ht="18.75" outlineLevel="1" x14ac:dyDescent="0.35">
      <c r="B124" s="1087" t="s">
        <v>4362</v>
      </c>
      <c r="C124" s="1083" t="s">
        <v>4363</v>
      </c>
      <c r="D124" s="1084">
        <v>0.05</v>
      </c>
      <c r="E124" s="1085">
        <v>0</v>
      </c>
      <c r="F124" s="1085" t="s">
        <v>1254</v>
      </c>
      <c r="G124" s="1085" t="s">
        <v>846</v>
      </c>
      <c r="H124" s="1085">
        <v>2</v>
      </c>
      <c r="I124" s="1086"/>
      <c r="J124" s="1088"/>
    </row>
    <row r="125" spans="1:10" s="93" customFormat="1" ht="18" outlineLevel="1" x14ac:dyDescent="0.35">
      <c r="B125" s="1087" t="s">
        <v>4386</v>
      </c>
      <c r="C125" s="1083" t="s">
        <v>4387</v>
      </c>
      <c r="D125" s="1084">
        <v>0.7</v>
      </c>
      <c r="E125" s="1085">
        <v>0</v>
      </c>
      <c r="F125" s="1085" t="s">
        <v>1254</v>
      </c>
      <c r="G125" s="1085" t="s">
        <v>885</v>
      </c>
      <c r="H125" s="1085">
        <v>1</v>
      </c>
      <c r="I125" s="1086"/>
      <c r="J125" s="1088"/>
    </row>
    <row r="126" spans="1:10" s="93" customFormat="1" ht="18.75" outlineLevel="1" thickBot="1" x14ac:dyDescent="0.4">
      <c r="B126" s="991" t="s">
        <v>4365</v>
      </c>
      <c r="C126" s="992" t="s">
        <v>4364</v>
      </c>
      <c r="D126" s="993">
        <v>0.5</v>
      </c>
      <c r="E126" s="994">
        <v>0</v>
      </c>
      <c r="F126" s="994" t="s">
        <v>1254</v>
      </c>
      <c r="G126" s="994" t="s">
        <v>847</v>
      </c>
      <c r="H126" s="994">
        <v>2</v>
      </c>
      <c r="I126" s="995"/>
      <c r="J126" s="1089"/>
    </row>
    <row r="127" spans="1:10" s="93" customFormat="1" ht="15.75" thickBot="1" x14ac:dyDescent="0.3">
      <c r="B127" s="102"/>
      <c r="C127" s="651"/>
      <c r="D127" s="1662"/>
      <c r="E127" s="1661"/>
      <c r="F127" s="1661"/>
      <c r="G127" s="1661"/>
      <c r="H127" s="1661"/>
      <c r="I127" s="651"/>
      <c r="J127" s="1619"/>
    </row>
    <row r="128" spans="1:10" s="93" customFormat="1" ht="15.75" thickBot="1" x14ac:dyDescent="0.3">
      <c r="B128" s="102"/>
      <c r="C128" s="145" t="s">
        <v>1360</v>
      </c>
      <c r="D128" s="94" t="s">
        <v>303</v>
      </c>
      <c r="E128" s="94"/>
      <c r="F128" s="94"/>
      <c r="G128" s="94"/>
      <c r="H128" s="94"/>
      <c r="I128" s="102"/>
      <c r="J128" s="1619"/>
    </row>
    <row r="129" spans="2:16" s="93" customFormat="1" ht="15.75" thickBot="1" x14ac:dyDescent="0.3">
      <c r="B129" s="277" t="s">
        <v>0</v>
      </c>
      <c r="C129" s="281" t="s">
        <v>1</v>
      </c>
      <c r="D129" s="283" t="s">
        <v>838</v>
      </c>
      <c r="E129" s="447" t="s">
        <v>471</v>
      </c>
      <c r="F129" s="283" t="s">
        <v>472</v>
      </c>
      <c r="G129" s="283" t="s">
        <v>2</v>
      </c>
      <c r="H129" s="283" t="s">
        <v>302</v>
      </c>
      <c r="I129" s="281" t="s">
        <v>116</v>
      </c>
      <c r="J129" s="782" t="s">
        <v>117</v>
      </c>
    </row>
    <row r="130" spans="2:16" s="93" customFormat="1" ht="18" outlineLevel="1" x14ac:dyDescent="0.25">
      <c r="B130" s="210" t="s">
        <v>1697</v>
      </c>
      <c r="C130" s="411" t="s">
        <v>2268</v>
      </c>
      <c r="D130" s="589">
        <v>0.1</v>
      </c>
      <c r="E130" s="501">
        <v>0</v>
      </c>
      <c r="F130" s="209" t="s">
        <v>1254</v>
      </c>
      <c r="G130" s="209" t="s">
        <v>1314</v>
      </c>
      <c r="H130" s="209">
        <v>2</v>
      </c>
      <c r="I130" s="809"/>
      <c r="J130" s="240"/>
    </row>
    <row r="131" spans="2:16" s="93" customFormat="1" ht="18" outlineLevel="1" x14ac:dyDescent="0.25">
      <c r="B131" s="202" t="s">
        <v>1698</v>
      </c>
      <c r="C131" s="412" t="s">
        <v>2269</v>
      </c>
      <c r="D131" s="590">
        <v>0.1</v>
      </c>
      <c r="E131" s="502">
        <v>0</v>
      </c>
      <c r="F131" s="201" t="s">
        <v>1254</v>
      </c>
      <c r="G131" s="201" t="s">
        <v>1314</v>
      </c>
      <c r="H131" s="201">
        <v>2</v>
      </c>
      <c r="I131" s="810"/>
      <c r="J131" s="241"/>
    </row>
    <row r="132" spans="2:16" s="93" customFormat="1" ht="18" outlineLevel="1" x14ac:dyDescent="0.25">
      <c r="B132" s="202" t="s">
        <v>1699</v>
      </c>
      <c r="C132" s="412" t="s">
        <v>2270</v>
      </c>
      <c r="D132" s="590">
        <v>10</v>
      </c>
      <c r="E132" s="502">
        <v>0</v>
      </c>
      <c r="F132" s="201" t="s">
        <v>1254</v>
      </c>
      <c r="G132" s="201" t="s">
        <v>1314</v>
      </c>
      <c r="H132" s="201">
        <v>2</v>
      </c>
      <c r="I132" s="811"/>
      <c r="J132" s="241"/>
    </row>
    <row r="133" spans="2:16" s="93" customFormat="1" ht="18" outlineLevel="1" x14ac:dyDescent="0.25">
      <c r="B133" s="202" t="s">
        <v>1700</v>
      </c>
      <c r="C133" s="412" t="s">
        <v>2271</v>
      </c>
      <c r="D133" s="590">
        <v>10</v>
      </c>
      <c r="E133" s="502">
        <v>0</v>
      </c>
      <c r="F133" s="201" t="s">
        <v>1254</v>
      </c>
      <c r="G133" s="201" t="s">
        <v>1314</v>
      </c>
      <c r="H133" s="201">
        <v>2</v>
      </c>
      <c r="I133" s="811"/>
      <c r="J133" s="241"/>
    </row>
    <row r="134" spans="2:16" s="110" customFormat="1" ht="18" outlineLevel="1" x14ac:dyDescent="0.25">
      <c r="B134" s="202" t="s">
        <v>1701</v>
      </c>
      <c r="C134" s="412" t="s">
        <v>2272</v>
      </c>
      <c r="D134" s="590">
        <v>5</v>
      </c>
      <c r="E134" s="502">
        <v>0</v>
      </c>
      <c r="F134" s="201" t="s">
        <v>1254</v>
      </c>
      <c r="G134" s="201" t="s">
        <v>1314</v>
      </c>
      <c r="H134" s="201">
        <v>2</v>
      </c>
      <c r="I134" s="811"/>
      <c r="J134" s="241"/>
      <c r="K134" s="93"/>
      <c r="L134" s="93"/>
      <c r="M134" s="93"/>
      <c r="N134" s="93"/>
      <c r="O134" s="93"/>
      <c r="P134" s="93"/>
    </row>
    <row r="135" spans="2:16" s="110" customFormat="1" ht="18" outlineLevel="1" x14ac:dyDescent="0.25">
      <c r="B135" s="202" t="s">
        <v>1702</v>
      </c>
      <c r="C135" s="412" t="s">
        <v>2273</v>
      </c>
      <c r="D135" s="590">
        <v>5</v>
      </c>
      <c r="E135" s="502">
        <v>0</v>
      </c>
      <c r="F135" s="201" t="s">
        <v>1254</v>
      </c>
      <c r="G135" s="201" t="s">
        <v>1314</v>
      </c>
      <c r="H135" s="201">
        <v>2</v>
      </c>
      <c r="I135" s="811"/>
      <c r="J135" s="241"/>
      <c r="K135" s="93"/>
      <c r="L135" s="93"/>
      <c r="M135" s="93"/>
      <c r="N135" s="93"/>
      <c r="O135" s="93"/>
      <c r="P135" s="93"/>
    </row>
    <row r="136" spans="2:16" s="110" customFormat="1" ht="18" outlineLevel="1" x14ac:dyDescent="0.25">
      <c r="B136" s="777" t="s">
        <v>3435</v>
      </c>
      <c r="C136" s="626" t="s">
        <v>3436</v>
      </c>
      <c r="D136" s="590">
        <v>500</v>
      </c>
      <c r="E136" s="627">
        <v>0</v>
      </c>
      <c r="F136" s="590" t="s">
        <v>1254</v>
      </c>
      <c r="G136" s="590" t="s">
        <v>1314</v>
      </c>
      <c r="H136" s="590">
        <v>2</v>
      </c>
      <c r="I136" s="812"/>
      <c r="J136" s="813"/>
      <c r="K136" s="93"/>
      <c r="L136" s="93"/>
      <c r="M136" s="93"/>
      <c r="N136" s="93"/>
      <c r="O136" s="93"/>
      <c r="P136" s="93"/>
    </row>
    <row r="137" spans="2:16" s="110" customFormat="1" ht="18" outlineLevel="1" x14ac:dyDescent="0.25">
      <c r="B137" s="777" t="s">
        <v>3437</v>
      </c>
      <c r="C137" s="626" t="s">
        <v>3438</v>
      </c>
      <c r="D137" s="590">
        <v>500</v>
      </c>
      <c r="E137" s="627">
        <v>0</v>
      </c>
      <c r="F137" s="590" t="s">
        <v>1254</v>
      </c>
      <c r="G137" s="590" t="s">
        <v>1314</v>
      </c>
      <c r="H137" s="590">
        <v>2</v>
      </c>
      <c r="I137" s="812"/>
      <c r="J137" s="813"/>
      <c r="K137" s="93"/>
      <c r="L137" s="93"/>
      <c r="M137" s="93"/>
      <c r="N137" s="93"/>
      <c r="O137" s="93"/>
      <c r="P137" s="93"/>
    </row>
    <row r="138" spans="2:16" s="93" customFormat="1" ht="18" outlineLevel="1" x14ac:dyDescent="0.25">
      <c r="B138" s="202" t="s">
        <v>1703</v>
      </c>
      <c r="C138" s="412" t="s">
        <v>2274</v>
      </c>
      <c r="D138" s="590">
        <v>0.01</v>
      </c>
      <c r="E138" s="502">
        <v>0</v>
      </c>
      <c r="F138" s="201" t="s">
        <v>1254</v>
      </c>
      <c r="G138" s="201" t="s">
        <v>1314</v>
      </c>
      <c r="H138" s="201">
        <v>2</v>
      </c>
      <c r="I138" s="810"/>
      <c r="J138" s="241"/>
    </row>
    <row r="139" spans="2:16" s="93" customFormat="1" ht="18" outlineLevel="1" x14ac:dyDescent="0.25">
      <c r="B139" s="202" t="s">
        <v>1704</v>
      </c>
      <c r="C139" s="412" t="s">
        <v>2275</v>
      </c>
      <c r="D139" s="590">
        <v>0.01</v>
      </c>
      <c r="E139" s="502">
        <v>0</v>
      </c>
      <c r="F139" s="201" t="s">
        <v>1254</v>
      </c>
      <c r="G139" s="201" t="s">
        <v>1314</v>
      </c>
      <c r="H139" s="201">
        <v>3</v>
      </c>
      <c r="I139" s="810"/>
      <c r="J139" s="241"/>
    </row>
    <row r="140" spans="2:16" s="93" customFormat="1" ht="18" outlineLevel="1" x14ac:dyDescent="0.25">
      <c r="B140" s="243" t="s">
        <v>2552</v>
      </c>
      <c r="C140" s="413" t="s">
        <v>2553</v>
      </c>
      <c r="D140" s="591">
        <v>0.01</v>
      </c>
      <c r="E140" s="503">
        <v>0</v>
      </c>
      <c r="F140" s="242" t="s">
        <v>1254</v>
      </c>
      <c r="G140" s="211" t="s">
        <v>1746</v>
      </c>
      <c r="H140" s="242">
        <v>3</v>
      </c>
      <c r="I140" s="814"/>
      <c r="J140" s="244"/>
    </row>
    <row r="141" spans="2:16" s="93" customFormat="1" ht="18" outlineLevel="1" x14ac:dyDescent="0.25">
      <c r="B141" s="243" t="s">
        <v>2554</v>
      </c>
      <c r="C141" s="413" t="s">
        <v>2555</v>
      </c>
      <c r="D141" s="591">
        <v>0.01</v>
      </c>
      <c r="E141" s="503">
        <v>0</v>
      </c>
      <c r="F141" s="242" t="s">
        <v>1254</v>
      </c>
      <c r="G141" s="211" t="s">
        <v>1746</v>
      </c>
      <c r="H141" s="242">
        <v>3</v>
      </c>
      <c r="I141" s="814"/>
      <c r="J141" s="244"/>
    </row>
    <row r="142" spans="2:16" s="93" customFormat="1" ht="18" outlineLevel="1" x14ac:dyDescent="0.25">
      <c r="B142" s="628" t="s">
        <v>3439</v>
      </c>
      <c r="C142" s="629" t="s">
        <v>3440</v>
      </c>
      <c r="D142" s="591">
        <v>0.01</v>
      </c>
      <c r="E142" s="591">
        <v>0</v>
      </c>
      <c r="F142" s="591" t="s">
        <v>1254</v>
      </c>
      <c r="G142" s="630" t="s">
        <v>1746</v>
      </c>
      <c r="H142" s="591">
        <v>3</v>
      </c>
      <c r="I142" s="629"/>
      <c r="J142" s="631"/>
    </row>
    <row r="143" spans="2:16" s="93" customFormat="1" ht="18" outlineLevel="1" x14ac:dyDescent="0.25">
      <c r="B143" s="243" t="s">
        <v>2556</v>
      </c>
      <c r="C143" s="413" t="s">
        <v>2557</v>
      </c>
      <c r="D143" s="591">
        <v>0.01</v>
      </c>
      <c r="E143" s="503">
        <v>0</v>
      </c>
      <c r="F143" s="242" t="s">
        <v>1254</v>
      </c>
      <c r="G143" s="211" t="s">
        <v>1746</v>
      </c>
      <c r="H143" s="242">
        <v>3</v>
      </c>
      <c r="I143" s="814"/>
      <c r="J143" s="244"/>
    </row>
    <row r="144" spans="2:16" s="93" customFormat="1" ht="18.75" outlineLevel="1" thickBot="1" x14ac:dyDescent="0.3">
      <c r="B144" s="245" t="s">
        <v>2558</v>
      </c>
      <c r="C144" s="246" t="s">
        <v>2559</v>
      </c>
      <c r="D144" s="592">
        <v>0.01</v>
      </c>
      <c r="E144" s="504">
        <v>0</v>
      </c>
      <c r="F144" s="247" t="s">
        <v>1254</v>
      </c>
      <c r="G144" s="212" t="s">
        <v>1746</v>
      </c>
      <c r="H144" s="247">
        <v>3</v>
      </c>
      <c r="I144" s="246"/>
      <c r="J144" s="248"/>
    </row>
    <row r="145" spans="2:10" s="93" customFormat="1" ht="15.75" thickBot="1" x14ac:dyDescent="0.3">
      <c r="B145" s="102"/>
      <c r="C145" s="651"/>
      <c r="D145" s="1662"/>
      <c r="E145" s="1661"/>
      <c r="F145" s="1661"/>
      <c r="G145" s="1661"/>
      <c r="H145" s="1661"/>
      <c r="I145" s="651"/>
      <c r="J145" s="1619"/>
    </row>
    <row r="146" spans="2:10" s="93" customFormat="1" ht="15.75" thickBot="1" x14ac:dyDescent="0.3">
      <c r="B146" s="102"/>
      <c r="C146" s="145" t="s">
        <v>1986</v>
      </c>
      <c r="D146" s="94" t="s">
        <v>303</v>
      </c>
      <c r="E146" s="94"/>
      <c r="F146" s="94"/>
      <c r="G146" s="94"/>
      <c r="H146" s="94"/>
      <c r="I146" s="102"/>
      <c r="J146" s="1619"/>
    </row>
    <row r="147" spans="2:10" s="93" customFormat="1" ht="15.75" thickBot="1" x14ac:dyDescent="0.3">
      <c r="B147" s="277" t="s">
        <v>0</v>
      </c>
      <c r="C147" s="281" t="s">
        <v>1</v>
      </c>
      <c r="D147" s="283" t="s">
        <v>838</v>
      </c>
      <c r="E147" s="447" t="s">
        <v>471</v>
      </c>
      <c r="F147" s="283" t="s">
        <v>472</v>
      </c>
      <c r="G147" s="283" t="s">
        <v>2</v>
      </c>
      <c r="H147" s="283" t="s">
        <v>302</v>
      </c>
      <c r="I147" s="281" t="s">
        <v>116</v>
      </c>
      <c r="J147" s="782" t="s">
        <v>117</v>
      </c>
    </row>
    <row r="148" spans="2:10" s="93" customFormat="1" ht="18" outlineLevel="1" x14ac:dyDescent="0.25">
      <c r="B148" s="301" t="s">
        <v>1705</v>
      </c>
      <c r="C148" s="414" t="s">
        <v>2276</v>
      </c>
      <c r="D148" s="302">
        <v>250</v>
      </c>
      <c r="E148" s="302">
        <v>0</v>
      </c>
      <c r="F148" s="302" t="s">
        <v>1254</v>
      </c>
      <c r="G148" s="303" t="s">
        <v>844</v>
      </c>
      <c r="H148" s="302">
        <v>0</v>
      </c>
      <c r="I148" s="815"/>
      <c r="J148" s="304"/>
    </row>
    <row r="149" spans="2:10" s="93" customFormat="1" ht="18" outlineLevel="1" x14ac:dyDescent="0.25">
      <c r="B149" s="214" t="s">
        <v>1706</v>
      </c>
      <c r="C149" s="415" t="s">
        <v>2577</v>
      </c>
      <c r="D149" s="218">
        <v>1</v>
      </c>
      <c r="E149" s="505">
        <v>0</v>
      </c>
      <c r="F149" s="215" t="s">
        <v>1254</v>
      </c>
      <c r="G149" s="216" t="s">
        <v>844</v>
      </c>
      <c r="H149" s="215">
        <v>2</v>
      </c>
      <c r="I149" s="299"/>
      <c r="J149" s="305"/>
    </row>
    <row r="150" spans="2:10" s="93" customFormat="1" ht="18" outlineLevel="1" x14ac:dyDescent="0.25">
      <c r="B150" s="214" t="s">
        <v>3520</v>
      </c>
      <c r="C150" s="416" t="s">
        <v>2277</v>
      </c>
      <c r="D150" s="215">
        <v>150</v>
      </c>
      <c r="E150" s="505">
        <v>0</v>
      </c>
      <c r="F150" s="217" t="s">
        <v>1254</v>
      </c>
      <c r="G150" s="216" t="s">
        <v>844</v>
      </c>
      <c r="H150" s="217">
        <v>0</v>
      </c>
      <c r="I150" s="299"/>
      <c r="J150" s="305"/>
    </row>
    <row r="151" spans="2:10" s="93" customFormat="1" ht="18" outlineLevel="1" x14ac:dyDescent="0.25">
      <c r="B151" s="214" t="s">
        <v>3521</v>
      </c>
      <c r="C151" s="415" t="s">
        <v>2278</v>
      </c>
      <c r="D151" s="218">
        <v>1</v>
      </c>
      <c r="E151" s="505">
        <v>0</v>
      </c>
      <c r="F151" s="217" t="s">
        <v>1254</v>
      </c>
      <c r="G151" s="216" t="s">
        <v>844</v>
      </c>
      <c r="H151" s="217">
        <v>2</v>
      </c>
      <c r="I151" s="299"/>
      <c r="J151" s="305"/>
    </row>
    <row r="152" spans="2:10" s="93" customFormat="1" ht="18" outlineLevel="1" x14ac:dyDescent="0.25">
      <c r="B152" s="214" t="s">
        <v>3086</v>
      </c>
      <c r="C152" s="416" t="s">
        <v>3088</v>
      </c>
      <c r="D152" s="215">
        <v>100</v>
      </c>
      <c r="E152" s="505">
        <v>0</v>
      </c>
      <c r="F152" s="217" t="s">
        <v>1254</v>
      </c>
      <c r="G152" s="216" t="s">
        <v>844</v>
      </c>
      <c r="H152" s="217">
        <v>0</v>
      </c>
      <c r="I152" s="299"/>
      <c r="J152" s="305"/>
    </row>
    <row r="153" spans="2:10" s="93" customFormat="1" ht="18" outlineLevel="1" x14ac:dyDescent="0.25">
      <c r="B153" s="214" t="s">
        <v>3087</v>
      </c>
      <c r="C153" s="416" t="s">
        <v>3089</v>
      </c>
      <c r="D153" s="215">
        <v>10</v>
      </c>
      <c r="E153" s="505">
        <v>0</v>
      </c>
      <c r="F153" s="217" t="s">
        <v>1254</v>
      </c>
      <c r="G153" s="216" t="s">
        <v>844</v>
      </c>
      <c r="H153" s="217">
        <v>0</v>
      </c>
      <c r="I153" s="299"/>
      <c r="J153" s="305"/>
    </row>
    <row r="154" spans="2:10" s="93" customFormat="1" ht="18" outlineLevel="1" x14ac:dyDescent="0.25">
      <c r="B154" s="543" t="s">
        <v>3090</v>
      </c>
      <c r="C154" s="416" t="s">
        <v>3081</v>
      </c>
      <c r="D154" s="215">
        <v>100</v>
      </c>
      <c r="E154" s="505">
        <v>0</v>
      </c>
      <c r="F154" s="217" t="s">
        <v>1254</v>
      </c>
      <c r="G154" s="216" t="s">
        <v>844</v>
      </c>
      <c r="H154" s="217">
        <v>0</v>
      </c>
      <c r="I154" s="744"/>
      <c r="J154" s="545"/>
    </row>
    <row r="155" spans="2:10" s="93" customFormat="1" ht="18" outlineLevel="1" x14ac:dyDescent="0.25">
      <c r="B155" s="219" t="s">
        <v>1707</v>
      </c>
      <c r="C155" s="417" t="s">
        <v>2279</v>
      </c>
      <c r="D155" s="220">
        <v>1</v>
      </c>
      <c r="E155" s="506">
        <v>0</v>
      </c>
      <c r="F155" s="216" t="s">
        <v>1254</v>
      </c>
      <c r="G155" s="216" t="s">
        <v>844</v>
      </c>
      <c r="H155" s="216">
        <v>1</v>
      </c>
      <c r="I155" s="816"/>
      <c r="J155" s="306"/>
    </row>
    <row r="156" spans="2:10" s="93" customFormat="1" ht="18" outlineLevel="1" x14ac:dyDescent="0.25">
      <c r="B156" s="214" t="s">
        <v>2796</v>
      </c>
      <c r="C156" s="416" t="s">
        <v>2797</v>
      </c>
      <c r="D156" s="215">
        <v>-100</v>
      </c>
      <c r="E156" s="505" t="s">
        <v>2181</v>
      </c>
      <c r="F156" s="217" t="s">
        <v>1254</v>
      </c>
      <c r="G156" s="216" t="s">
        <v>2144</v>
      </c>
      <c r="H156" s="217">
        <v>0</v>
      </c>
      <c r="I156" s="299"/>
      <c r="J156" s="305"/>
    </row>
    <row r="157" spans="2:10" s="93" customFormat="1" ht="18" outlineLevel="1" x14ac:dyDescent="0.25">
      <c r="B157" s="219" t="s">
        <v>2795</v>
      </c>
      <c r="C157" s="417" t="s">
        <v>2798</v>
      </c>
      <c r="D157" s="220">
        <v>0.1</v>
      </c>
      <c r="E157" s="506">
        <v>0</v>
      </c>
      <c r="F157" s="216" t="s">
        <v>1254</v>
      </c>
      <c r="G157" s="216" t="s">
        <v>1994</v>
      </c>
      <c r="H157" s="216">
        <v>2</v>
      </c>
      <c r="I157" s="816"/>
      <c r="J157" s="306"/>
    </row>
    <row r="158" spans="2:10" s="93" customFormat="1" ht="18" outlineLevel="1" x14ac:dyDescent="0.25">
      <c r="B158" s="221" t="s">
        <v>2548</v>
      </c>
      <c r="C158" s="417" t="s">
        <v>2280</v>
      </c>
      <c r="D158" s="220">
        <v>50</v>
      </c>
      <c r="E158" s="506">
        <v>0</v>
      </c>
      <c r="F158" s="216" t="s">
        <v>1254</v>
      </c>
      <c r="G158" s="216" t="s">
        <v>844</v>
      </c>
      <c r="H158" s="216">
        <v>1</v>
      </c>
      <c r="I158" s="816"/>
      <c r="J158" s="307"/>
    </row>
    <row r="159" spans="2:10" s="93" customFormat="1" ht="18" outlineLevel="1" x14ac:dyDescent="0.25">
      <c r="B159" s="214" t="s">
        <v>3474</v>
      </c>
      <c r="C159" s="418" t="s">
        <v>2281</v>
      </c>
      <c r="D159" s="300">
        <v>0.01</v>
      </c>
      <c r="E159" s="506">
        <v>0</v>
      </c>
      <c r="F159" s="217" t="s">
        <v>1254</v>
      </c>
      <c r="G159" s="217" t="s">
        <v>887</v>
      </c>
      <c r="H159" s="217">
        <v>3</v>
      </c>
      <c r="I159" s="299"/>
      <c r="J159" s="305"/>
    </row>
    <row r="160" spans="2:10" s="93" customFormat="1" ht="18" outlineLevel="1" x14ac:dyDescent="0.25">
      <c r="B160" s="214" t="s">
        <v>4143</v>
      </c>
      <c r="C160" s="418" t="s">
        <v>4144</v>
      </c>
      <c r="D160" s="218">
        <v>1</v>
      </c>
      <c r="E160" s="506">
        <v>0</v>
      </c>
      <c r="F160" s="217">
        <v>2</v>
      </c>
      <c r="G160" s="217" t="s">
        <v>278</v>
      </c>
      <c r="H160" s="217">
        <v>2</v>
      </c>
      <c r="I160" s="299"/>
      <c r="J160" s="305" t="s">
        <v>4138</v>
      </c>
    </row>
    <row r="161" spans="2:10" s="93" customFormat="1" ht="18" outlineLevel="1" x14ac:dyDescent="0.25">
      <c r="B161" s="543" t="s">
        <v>3475</v>
      </c>
      <c r="C161" s="546" t="s">
        <v>3084</v>
      </c>
      <c r="D161" s="547">
        <v>0.1</v>
      </c>
      <c r="E161" s="548">
        <v>0</v>
      </c>
      <c r="F161" s="544" t="s">
        <v>1254</v>
      </c>
      <c r="G161" s="544" t="s">
        <v>887</v>
      </c>
      <c r="H161" s="544">
        <v>3</v>
      </c>
      <c r="I161" s="744"/>
      <c r="J161" s="545"/>
    </row>
    <row r="162" spans="2:10" s="93" customFormat="1" ht="18.75" outlineLevel="1" thickBot="1" x14ac:dyDescent="0.3">
      <c r="B162" s="308" t="s">
        <v>3476</v>
      </c>
      <c r="C162" s="419" t="s">
        <v>2282</v>
      </c>
      <c r="D162" s="311">
        <v>0.1</v>
      </c>
      <c r="E162" s="507">
        <v>0</v>
      </c>
      <c r="F162" s="309" t="s">
        <v>1254</v>
      </c>
      <c r="G162" s="309" t="s">
        <v>887</v>
      </c>
      <c r="H162" s="309">
        <v>2</v>
      </c>
      <c r="I162" s="817"/>
      <c r="J162" s="310"/>
    </row>
    <row r="163" spans="2:10" s="93" customFormat="1" ht="15.75" thickBot="1" x14ac:dyDescent="0.3">
      <c r="B163" s="102"/>
      <c r="C163" s="651"/>
      <c r="D163" s="1662"/>
      <c r="E163" s="1661"/>
      <c r="F163" s="1661"/>
      <c r="G163" s="1661"/>
      <c r="H163" s="1661"/>
      <c r="I163" s="651"/>
      <c r="J163" s="1619"/>
    </row>
    <row r="164" spans="2:10" s="93" customFormat="1" ht="15.75" thickBot="1" x14ac:dyDescent="0.3">
      <c r="B164" s="102"/>
      <c r="C164" s="596" t="s">
        <v>3343</v>
      </c>
      <c r="D164" s="94" t="s">
        <v>303</v>
      </c>
      <c r="E164" s="94"/>
      <c r="F164" s="94"/>
      <c r="G164" s="94"/>
      <c r="H164" s="94"/>
      <c r="I164" s="102"/>
      <c r="J164" s="1619"/>
    </row>
    <row r="165" spans="2:10" s="93" customFormat="1" ht="15.75" thickBot="1" x14ac:dyDescent="0.3">
      <c r="B165" s="277" t="s">
        <v>0</v>
      </c>
      <c r="C165" s="281" t="s">
        <v>1</v>
      </c>
      <c r="D165" s="283" t="s">
        <v>838</v>
      </c>
      <c r="E165" s="447" t="s">
        <v>471</v>
      </c>
      <c r="F165" s="283" t="s">
        <v>472</v>
      </c>
      <c r="G165" s="283" t="s">
        <v>2</v>
      </c>
      <c r="H165" s="283" t="s">
        <v>302</v>
      </c>
      <c r="I165" s="281" t="s">
        <v>116</v>
      </c>
      <c r="J165" s="782" t="s">
        <v>117</v>
      </c>
    </row>
    <row r="166" spans="2:10" s="93" customFormat="1" ht="18" outlineLevel="1" x14ac:dyDescent="0.25">
      <c r="B166" s="597" t="s">
        <v>3344</v>
      </c>
      <c r="C166" s="598" t="s">
        <v>3345</v>
      </c>
      <c r="D166" s="599">
        <v>75</v>
      </c>
      <c r="E166" s="599">
        <v>0</v>
      </c>
      <c r="F166" s="599" t="s">
        <v>1254</v>
      </c>
      <c r="G166" s="600" t="s">
        <v>844</v>
      </c>
      <c r="H166" s="599">
        <v>0</v>
      </c>
      <c r="I166" s="818"/>
      <c r="J166" s="601"/>
    </row>
    <row r="167" spans="2:10" s="93" customFormat="1" ht="18" outlineLevel="1" x14ac:dyDescent="0.25">
      <c r="B167" s="602" t="s">
        <v>3346</v>
      </c>
      <c r="C167" s="603" t="s">
        <v>3347</v>
      </c>
      <c r="D167" s="604">
        <v>1</v>
      </c>
      <c r="E167" s="605">
        <v>0</v>
      </c>
      <c r="F167" s="606" t="s">
        <v>1254</v>
      </c>
      <c r="G167" s="607" t="s">
        <v>844</v>
      </c>
      <c r="H167" s="606">
        <v>2</v>
      </c>
      <c r="I167" s="621"/>
      <c r="J167" s="608"/>
    </row>
    <row r="168" spans="2:10" s="93" customFormat="1" ht="18" outlineLevel="1" x14ac:dyDescent="0.25">
      <c r="B168" s="602" t="s">
        <v>3518</v>
      </c>
      <c r="C168" s="609" t="s">
        <v>3348</v>
      </c>
      <c r="D168" s="606">
        <v>175</v>
      </c>
      <c r="E168" s="605">
        <v>0</v>
      </c>
      <c r="F168" s="605" t="s">
        <v>1254</v>
      </c>
      <c r="G168" s="607" t="s">
        <v>844</v>
      </c>
      <c r="H168" s="605">
        <v>0</v>
      </c>
      <c r="I168" s="621"/>
      <c r="J168" s="608"/>
    </row>
    <row r="169" spans="2:10" s="93" customFormat="1" ht="18" outlineLevel="1" x14ac:dyDescent="0.25">
      <c r="B169" s="602" t="s">
        <v>3519</v>
      </c>
      <c r="C169" s="603" t="s">
        <v>3349</v>
      </c>
      <c r="D169" s="604">
        <v>1</v>
      </c>
      <c r="E169" s="605">
        <v>0</v>
      </c>
      <c r="F169" s="605" t="s">
        <v>1254</v>
      </c>
      <c r="G169" s="607" t="s">
        <v>844</v>
      </c>
      <c r="H169" s="605">
        <v>2</v>
      </c>
      <c r="I169" s="621"/>
      <c r="J169" s="608"/>
    </row>
    <row r="170" spans="2:10" s="93" customFormat="1" ht="18" outlineLevel="1" x14ac:dyDescent="0.25">
      <c r="B170" s="602" t="s">
        <v>3350</v>
      </c>
      <c r="C170" s="609" t="s">
        <v>3351</v>
      </c>
      <c r="D170" s="606">
        <v>100</v>
      </c>
      <c r="E170" s="605">
        <v>0</v>
      </c>
      <c r="F170" s="605" t="s">
        <v>1254</v>
      </c>
      <c r="G170" s="607" t="s">
        <v>844</v>
      </c>
      <c r="H170" s="605">
        <v>0</v>
      </c>
      <c r="I170" s="621"/>
      <c r="J170" s="608"/>
    </row>
    <row r="171" spans="2:10" s="93" customFormat="1" ht="18" outlineLevel="1" x14ac:dyDescent="0.25">
      <c r="B171" s="602" t="s">
        <v>3352</v>
      </c>
      <c r="C171" s="609" t="s">
        <v>3353</v>
      </c>
      <c r="D171" s="606">
        <v>10</v>
      </c>
      <c r="E171" s="605">
        <v>0</v>
      </c>
      <c r="F171" s="605" t="s">
        <v>1254</v>
      </c>
      <c r="G171" s="607" t="s">
        <v>844</v>
      </c>
      <c r="H171" s="605">
        <v>0</v>
      </c>
      <c r="I171" s="621"/>
      <c r="J171" s="608"/>
    </row>
    <row r="172" spans="2:10" s="93" customFormat="1" ht="18" outlineLevel="1" x14ac:dyDescent="0.25">
      <c r="B172" s="602" t="s">
        <v>3354</v>
      </c>
      <c r="C172" s="609" t="s">
        <v>3355</v>
      </c>
      <c r="D172" s="606">
        <v>100</v>
      </c>
      <c r="E172" s="605">
        <v>0</v>
      </c>
      <c r="F172" s="605" t="s">
        <v>1254</v>
      </c>
      <c r="G172" s="607" t="s">
        <v>844</v>
      </c>
      <c r="H172" s="605">
        <v>0</v>
      </c>
      <c r="I172" s="621"/>
      <c r="J172" s="608"/>
    </row>
    <row r="173" spans="2:10" s="93" customFormat="1" ht="18" outlineLevel="1" x14ac:dyDescent="0.25">
      <c r="B173" s="602" t="s">
        <v>3356</v>
      </c>
      <c r="C173" s="603" t="s">
        <v>3357</v>
      </c>
      <c r="D173" s="604">
        <v>0.1</v>
      </c>
      <c r="E173" s="607">
        <v>0</v>
      </c>
      <c r="F173" s="605" t="s">
        <v>1254</v>
      </c>
      <c r="G173" s="605" t="s">
        <v>887</v>
      </c>
      <c r="H173" s="605">
        <v>2</v>
      </c>
      <c r="I173" s="621"/>
      <c r="J173" s="608"/>
    </row>
    <row r="174" spans="2:10" s="93" customFormat="1" ht="18" outlineLevel="1" x14ac:dyDescent="0.25">
      <c r="B174" s="602" t="s">
        <v>3358</v>
      </c>
      <c r="C174" s="610" t="s">
        <v>3359</v>
      </c>
      <c r="D174" s="611">
        <v>1E-3</v>
      </c>
      <c r="E174" s="607">
        <v>0</v>
      </c>
      <c r="F174" s="605" t="s">
        <v>1254</v>
      </c>
      <c r="G174" s="605" t="s">
        <v>887</v>
      </c>
      <c r="H174" s="605">
        <v>3</v>
      </c>
      <c r="I174" s="621"/>
      <c r="J174" s="608"/>
    </row>
    <row r="175" spans="2:10" s="93" customFormat="1" ht="18" outlineLevel="1" x14ac:dyDescent="0.25">
      <c r="B175" s="879" t="s">
        <v>4136</v>
      </c>
      <c r="C175" s="880" t="s">
        <v>4137</v>
      </c>
      <c r="D175" s="604">
        <v>2</v>
      </c>
      <c r="E175" s="607">
        <v>0</v>
      </c>
      <c r="F175" s="605">
        <v>2</v>
      </c>
      <c r="G175" s="605" t="s">
        <v>278</v>
      </c>
      <c r="H175" s="605">
        <v>2</v>
      </c>
      <c r="I175" s="621"/>
      <c r="J175" s="608" t="s">
        <v>4138</v>
      </c>
    </row>
    <row r="176" spans="2:10" s="93" customFormat="1" ht="18.75" outlineLevel="1" thickBot="1" x14ac:dyDescent="0.3">
      <c r="B176" s="612" t="s">
        <v>3360</v>
      </c>
      <c r="C176" s="613" t="s">
        <v>3361</v>
      </c>
      <c r="D176" s="614">
        <v>0.1</v>
      </c>
      <c r="E176" s="615">
        <v>0</v>
      </c>
      <c r="F176" s="616" t="s">
        <v>1254</v>
      </c>
      <c r="G176" s="616" t="s">
        <v>887</v>
      </c>
      <c r="H176" s="616">
        <v>3</v>
      </c>
      <c r="I176" s="625"/>
      <c r="J176" s="617"/>
    </row>
    <row r="177" spans="2:10" s="93" customFormat="1" ht="15.75" thickBot="1" x14ac:dyDescent="0.3">
      <c r="B177" s="102"/>
      <c r="C177" s="102"/>
      <c r="D177" s="94"/>
      <c r="E177" s="94"/>
      <c r="F177" s="94"/>
      <c r="G177" s="94"/>
      <c r="H177" s="94"/>
      <c r="I177" s="102"/>
      <c r="J177" s="1619"/>
    </row>
    <row r="178" spans="2:10" s="93" customFormat="1" ht="15.75" thickBot="1" x14ac:dyDescent="0.3">
      <c r="B178" s="102"/>
      <c r="C178" s="145" t="s">
        <v>305</v>
      </c>
      <c r="D178" s="94" t="s">
        <v>303</v>
      </c>
      <c r="E178" s="94"/>
      <c r="F178" s="94"/>
      <c r="G178" s="94"/>
      <c r="H178" s="94"/>
      <c r="I178" s="102"/>
      <c r="J178" s="1619"/>
    </row>
    <row r="179" spans="2:10" s="93" customFormat="1" ht="15.75" thickBot="1" x14ac:dyDescent="0.3">
      <c r="B179" s="277" t="s">
        <v>0</v>
      </c>
      <c r="C179" s="281" t="s">
        <v>1</v>
      </c>
      <c r="D179" s="283" t="s">
        <v>838</v>
      </c>
      <c r="E179" s="447" t="s">
        <v>471</v>
      </c>
      <c r="F179" s="283" t="s">
        <v>472</v>
      </c>
      <c r="G179" s="283" t="s">
        <v>2</v>
      </c>
      <c r="H179" s="283" t="s">
        <v>302</v>
      </c>
      <c r="I179" s="281" t="s">
        <v>116</v>
      </c>
      <c r="J179" s="782" t="s">
        <v>117</v>
      </c>
    </row>
    <row r="180" spans="2:10" s="93" customFormat="1" ht="18" outlineLevel="1" x14ac:dyDescent="0.25">
      <c r="B180" s="1620" t="s">
        <v>1932</v>
      </c>
      <c r="C180" s="1640" t="s">
        <v>2283</v>
      </c>
      <c r="D180" s="1663">
        <v>5.0000000000000001E-3</v>
      </c>
      <c r="E180" s="1686">
        <v>0</v>
      </c>
      <c r="F180" s="1697" t="s">
        <v>1254</v>
      </c>
      <c r="G180" s="1697" t="s">
        <v>885</v>
      </c>
      <c r="H180" s="1697">
        <v>3</v>
      </c>
      <c r="I180" s="1707"/>
      <c r="J180" s="1716"/>
    </row>
    <row r="181" spans="2:10" s="93" customFormat="1" ht="18" outlineLevel="1" x14ac:dyDescent="0.25">
      <c r="B181" s="1621" t="s">
        <v>1933</v>
      </c>
      <c r="C181" s="1641" t="s">
        <v>2284</v>
      </c>
      <c r="D181" s="1664">
        <v>2E-3</v>
      </c>
      <c r="E181" s="1687">
        <v>0</v>
      </c>
      <c r="F181" s="103" t="s">
        <v>1254</v>
      </c>
      <c r="G181" s="103" t="s">
        <v>887</v>
      </c>
      <c r="H181" s="103">
        <v>3</v>
      </c>
      <c r="I181" s="1708"/>
      <c r="J181" s="1717"/>
    </row>
    <row r="182" spans="2:10" s="93" customFormat="1" ht="18" outlineLevel="1" x14ac:dyDescent="0.25">
      <c r="B182" s="1622" t="s">
        <v>1934</v>
      </c>
      <c r="C182" s="1642" t="s">
        <v>2285</v>
      </c>
      <c r="D182" s="1665">
        <v>1.2</v>
      </c>
      <c r="E182" s="1687">
        <v>0</v>
      </c>
      <c r="F182" s="1698" t="s">
        <v>1254</v>
      </c>
      <c r="G182" s="1698" t="s">
        <v>1596</v>
      </c>
      <c r="H182" s="1698">
        <v>1</v>
      </c>
      <c r="I182" s="1709"/>
      <c r="J182" s="1718"/>
    </row>
    <row r="183" spans="2:10" s="93" customFormat="1" ht="18" outlineLevel="1" x14ac:dyDescent="0.25">
      <c r="B183" s="1621" t="s">
        <v>1935</v>
      </c>
      <c r="C183" s="1643" t="s">
        <v>2286</v>
      </c>
      <c r="D183" s="83">
        <v>0.1</v>
      </c>
      <c r="E183" s="1687">
        <v>0</v>
      </c>
      <c r="F183" s="83" t="s">
        <v>1254</v>
      </c>
      <c r="G183" s="83" t="s">
        <v>2633</v>
      </c>
      <c r="H183" s="83">
        <v>1</v>
      </c>
      <c r="I183" s="73"/>
      <c r="J183" s="1719"/>
    </row>
    <row r="184" spans="2:10" s="93" customFormat="1" ht="18" outlineLevel="1" x14ac:dyDescent="0.25">
      <c r="B184" s="1621" t="s">
        <v>1936</v>
      </c>
      <c r="C184" s="1643" t="s">
        <v>2287</v>
      </c>
      <c r="D184" s="83">
        <v>0.1</v>
      </c>
      <c r="E184" s="1687">
        <v>0</v>
      </c>
      <c r="F184" s="83" t="s">
        <v>1254</v>
      </c>
      <c r="G184" s="83" t="s">
        <v>2634</v>
      </c>
      <c r="H184" s="83">
        <v>1</v>
      </c>
      <c r="I184" s="73"/>
      <c r="J184" s="1719"/>
    </row>
    <row r="185" spans="2:10" s="93" customFormat="1" ht="18" outlineLevel="1" x14ac:dyDescent="0.25">
      <c r="B185" s="157" t="s">
        <v>3294</v>
      </c>
      <c r="C185" s="366" t="s">
        <v>3292</v>
      </c>
      <c r="D185" s="365">
        <v>1E-4</v>
      </c>
      <c r="E185" s="370">
        <v>0</v>
      </c>
      <c r="F185" s="365" t="s">
        <v>1254</v>
      </c>
      <c r="G185" s="365" t="s">
        <v>1600</v>
      </c>
      <c r="H185" s="365">
        <v>4</v>
      </c>
      <c r="I185" s="366"/>
      <c r="J185" s="399"/>
    </row>
    <row r="186" spans="2:10" s="93" customFormat="1" ht="18" outlineLevel="1" x14ac:dyDescent="0.25">
      <c r="B186" s="157" t="s">
        <v>3295</v>
      </c>
      <c r="C186" s="366" t="s">
        <v>3293</v>
      </c>
      <c r="D186" s="365">
        <v>1E-4</v>
      </c>
      <c r="E186" s="370">
        <v>0</v>
      </c>
      <c r="F186" s="365" t="s">
        <v>1254</v>
      </c>
      <c r="G186" s="365" t="s">
        <v>1602</v>
      </c>
      <c r="H186" s="365">
        <v>4</v>
      </c>
      <c r="I186" s="366"/>
      <c r="J186" s="399"/>
    </row>
    <row r="187" spans="2:10" s="93" customFormat="1" ht="18" outlineLevel="1" x14ac:dyDescent="0.25">
      <c r="B187" s="1621" t="s">
        <v>1710</v>
      </c>
      <c r="C187" s="1644" t="s">
        <v>2288</v>
      </c>
      <c r="D187" s="1666">
        <v>0.5</v>
      </c>
      <c r="E187" s="1687">
        <v>0</v>
      </c>
      <c r="F187" s="103" t="s">
        <v>1254</v>
      </c>
      <c r="G187" s="1701" t="s">
        <v>1994</v>
      </c>
      <c r="H187" s="103">
        <v>2</v>
      </c>
      <c r="I187" s="1708"/>
      <c r="J187" s="1717"/>
    </row>
    <row r="188" spans="2:10" s="93" customFormat="1" ht="18" outlineLevel="1" x14ac:dyDescent="0.25">
      <c r="B188" s="1621" t="s">
        <v>1711</v>
      </c>
      <c r="C188" s="1644" t="s">
        <v>2289</v>
      </c>
      <c r="D188" s="1666">
        <v>0.25</v>
      </c>
      <c r="E188" s="1687">
        <v>0</v>
      </c>
      <c r="F188" s="103" t="s">
        <v>1254</v>
      </c>
      <c r="G188" s="1701" t="s">
        <v>1994</v>
      </c>
      <c r="H188" s="103">
        <v>2</v>
      </c>
      <c r="I188" s="1708"/>
      <c r="J188" s="1717"/>
    </row>
    <row r="189" spans="2:10" s="93" customFormat="1" ht="18" outlineLevel="1" x14ac:dyDescent="0.25">
      <c r="B189" s="1621" t="s">
        <v>1955</v>
      </c>
      <c r="C189" s="1644" t="s">
        <v>2292</v>
      </c>
      <c r="D189" s="1666">
        <v>5</v>
      </c>
      <c r="E189" s="1687">
        <v>0</v>
      </c>
      <c r="F189" s="103" t="s">
        <v>1254</v>
      </c>
      <c r="G189" s="1701" t="s">
        <v>1994</v>
      </c>
      <c r="H189" s="103">
        <v>1</v>
      </c>
      <c r="I189" s="1708"/>
      <c r="J189" s="1717"/>
    </row>
    <row r="190" spans="2:10" s="93" customFormat="1" ht="18" outlineLevel="1" x14ac:dyDescent="0.25">
      <c r="B190" s="1621" t="s">
        <v>1956</v>
      </c>
      <c r="C190" s="1644" t="s">
        <v>2293</v>
      </c>
      <c r="D190" s="1666">
        <v>10</v>
      </c>
      <c r="E190" s="1687">
        <v>0</v>
      </c>
      <c r="F190" s="103" t="s">
        <v>1254</v>
      </c>
      <c r="G190" s="1701" t="s">
        <v>1994</v>
      </c>
      <c r="H190" s="103">
        <v>1</v>
      </c>
      <c r="I190" s="1708"/>
      <c r="J190" s="1717"/>
    </row>
    <row r="191" spans="2:10" s="93" customFormat="1" ht="18" outlineLevel="1" x14ac:dyDescent="0.25">
      <c r="B191" s="1621" t="s">
        <v>2108</v>
      </c>
      <c r="C191" s="1644" t="s">
        <v>2294</v>
      </c>
      <c r="D191" s="1666">
        <v>10</v>
      </c>
      <c r="E191" s="1687">
        <v>0</v>
      </c>
      <c r="F191" s="103" t="s">
        <v>1254</v>
      </c>
      <c r="G191" s="1701" t="s">
        <v>1994</v>
      </c>
      <c r="H191" s="103">
        <v>1</v>
      </c>
      <c r="I191" s="1708"/>
      <c r="J191" s="1717"/>
    </row>
    <row r="192" spans="2:10" s="93" customFormat="1" ht="18" outlineLevel="1" x14ac:dyDescent="0.25">
      <c r="B192" s="1621" t="s">
        <v>1161</v>
      </c>
      <c r="C192" s="1643" t="s">
        <v>2295</v>
      </c>
      <c r="D192" s="83">
        <v>3</v>
      </c>
      <c r="E192" s="1688">
        <v>0</v>
      </c>
      <c r="F192" s="83" t="s">
        <v>1254</v>
      </c>
      <c r="G192" s="83" t="s">
        <v>383</v>
      </c>
      <c r="H192" s="83">
        <v>1</v>
      </c>
      <c r="I192" s="73"/>
      <c r="J192" s="1719"/>
    </row>
    <row r="193" spans="1:16" s="93" customFormat="1" ht="18.75" outlineLevel="1" thickBot="1" x14ac:dyDescent="0.3">
      <c r="B193" s="1623" t="s">
        <v>1162</v>
      </c>
      <c r="C193" s="1645" t="s">
        <v>2296</v>
      </c>
      <c r="D193" s="88">
        <v>11</v>
      </c>
      <c r="E193" s="1689">
        <v>0</v>
      </c>
      <c r="F193" s="88" t="s">
        <v>1254</v>
      </c>
      <c r="G193" s="88" t="s">
        <v>383</v>
      </c>
      <c r="H193" s="88">
        <v>1</v>
      </c>
      <c r="I193" s="1645"/>
      <c r="J193" s="1720"/>
    </row>
    <row r="194" spans="1:16" s="93" customFormat="1" ht="15.75" thickBot="1" x14ac:dyDescent="0.3">
      <c r="B194" s="102"/>
      <c r="C194" s="651"/>
      <c r="D194" s="1662"/>
      <c r="E194" s="1661"/>
      <c r="F194" s="1661"/>
      <c r="G194" s="1661"/>
      <c r="H194" s="1661"/>
      <c r="I194" s="651"/>
      <c r="J194" s="1619"/>
    </row>
    <row r="195" spans="1:16" s="93" customFormat="1" ht="15.75" thickBot="1" x14ac:dyDescent="0.3">
      <c r="B195" s="102"/>
      <c r="C195" s="145" t="s">
        <v>304</v>
      </c>
      <c r="D195" s="94" t="s">
        <v>303</v>
      </c>
      <c r="E195" s="94"/>
      <c r="F195" s="94"/>
      <c r="G195" s="94"/>
      <c r="H195" s="94"/>
      <c r="I195" s="102"/>
      <c r="J195" s="1619"/>
    </row>
    <row r="196" spans="1:16" s="93" customFormat="1" ht="15.75" thickBot="1" x14ac:dyDescent="0.3">
      <c r="B196" s="151" t="s">
        <v>0</v>
      </c>
      <c r="C196" s="147" t="s">
        <v>1</v>
      </c>
      <c r="D196" s="107" t="s">
        <v>838</v>
      </c>
      <c r="E196" s="497" t="s">
        <v>471</v>
      </c>
      <c r="F196" s="107" t="s">
        <v>472</v>
      </c>
      <c r="G196" s="107" t="s">
        <v>2</v>
      </c>
      <c r="H196" s="107" t="s">
        <v>302</v>
      </c>
      <c r="I196" s="802" t="s">
        <v>116</v>
      </c>
      <c r="J196" s="803" t="s">
        <v>117</v>
      </c>
    </row>
    <row r="197" spans="1:16" s="1588" customFormat="1" ht="18" outlineLevel="1" x14ac:dyDescent="0.25">
      <c r="A197" s="93"/>
      <c r="B197" s="1614" t="s">
        <v>4670</v>
      </c>
      <c r="C197" s="421" t="s">
        <v>4960</v>
      </c>
      <c r="D197" s="1615">
        <v>3</v>
      </c>
      <c r="E197" s="1616">
        <v>0</v>
      </c>
      <c r="F197" s="1616" t="s">
        <v>1254</v>
      </c>
      <c r="G197" s="1616" t="s">
        <v>844</v>
      </c>
      <c r="H197" s="1616">
        <v>1</v>
      </c>
      <c r="I197" s="1617" t="s">
        <v>4914</v>
      </c>
      <c r="J197" s="1618"/>
      <c r="K197" s="93"/>
      <c r="L197" s="93"/>
      <c r="M197" s="93"/>
      <c r="N197" s="93"/>
      <c r="O197" s="93"/>
      <c r="P197" s="93"/>
    </row>
    <row r="198" spans="1:16" s="1588" customFormat="1" ht="18" outlineLevel="1" x14ac:dyDescent="0.25">
      <c r="A198" s="93"/>
      <c r="B198" s="1582" t="s">
        <v>4669</v>
      </c>
      <c r="C198" s="421" t="s">
        <v>4961</v>
      </c>
      <c r="D198" s="1584">
        <v>1</v>
      </c>
      <c r="E198" s="1585">
        <v>0</v>
      </c>
      <c r="F198" s="1585" t="s">
        <v>1254</v>
      </c>
      <c r="G198" s="1585" t="s">
        <v>844</v>
      </c>
      <c r="H198" s="1585">
        <v>1</v>
      </c>
      <c r="I198" s="1586" t="s">
        <v>4914</v>
      </c>
      <c r="J198" s="1587"/>
      <c r="K198" s="93"/>
      <c r="L198" s="93"/>
      <c r="M198" s="93"/>
      <c r="N198" s="93"/>
      <c r="O198" s="93"/>
      <c r="P198" s="93"/>
    </row>
    <row r="199" spans="1:16" s="93" customFormat="1" ht="18" outlineLevel="1" x14ac:dyDescent="0.25">
      <c r="B199" s="342" t="s">
        <v>1708</v>
      </c>
      <c r="C199" s="421" t="s">
        <v>2290</v>
      </c>
      <c r="D199" s="343">
        <v>0.5</v>
      </c>
      <c r="E199" s="508">
        <v>0</v>
      </c>
      <c r="F199" s="344" t="s">
        <v>1254</v>
      </c>
      <c r="G199" s="344" t="s">
        <v>1994</v>
      </c>
      <c r="H199" s="344">
        <v>2</v>
      </c>
      <c r="I199" s="819"/>
      <c r="J199" s="820"/>
    </row>
    <row r="200" spans="1:16" s="93" customFormat="1" ht="18" outlineLevel="1" x14ac:dyDescent="0.25">
      <c r="B200" s="342" t="s">
        <v>1709</v>
      </c>
      <c r="C200" s="421" t="s">
        <v>2291</v>
      </c>
      <c r="D200" s="343">
        <v>0.2</v>
      </c>
      <c r="E200" s="508">
        <v>0</v>
      </c>
      <c r="F200" s="344" t="s">
        <v>1254</v>
      </c>
      <c r="G200" s="344" t="s">
        <v>1994</v>
      </c>
      <c r="H200" s="344">
        <v>2</v>
      </c>
      <c r="I200" s="819"/>
      <c r="J200" s="820"/>
    </row>
    <row r="201" spans="1:16" s="93" customFormat="1" ht="18" outlineLevel="1" x14ac:dyDescent="0.25">
      <c r="B201" s="342" t="s">
        <v>851</v>
      </c>
      <c r="C201" s="421" t="s">
        <v>2298</v>
      </c>
      <c r="D201" s="343">
        <v>0.5</v>
      </c>
      <c r="E201" s="508">
        <v>0</v>
      </c>
      <c r="F201" s="344" t="s">
        <v>1254</v>
      </c>
      <c r="G201" s="344" t="s">
        <v>844</v>
      </c>
      <c r="H201" s="344">
        <v>1</v>
      </c>
      <c r="I201" s="819"/>
      <c r="J201" s="820"/>
    </row>
    <row r="202" spans="1:16" s="93" customFormat="1" ht="18" outlineLevel="1" x14ac:dyDescent="0.25">
      <c r="B202" s="342" t="s">
        <v>4619</v>
      </c>
      <c r="C202" s="421" t="s">
        <v>4620</v>
      </c>
      <c r="D202" s="343">
        <v>1000</v>
      </c>
      <c r="E202" s="508">
        <v>0</v>
      </c>
      <c r="F202" s="344" t="s">
        <v>1254</v>
      </c>
      <c r="G202" s="344" t="s">
        <v>844</v>
      </c>
      <c r="H202" s="344">
        <v>1</v>
      </c>
      <c r="I202" s="819"/>
      <c r="J202" s="820"/>
    </row>
    <row r="203" spans="1:16" s="93" customFormat="1" ht="18" outlineLevel="1" x14ac:dyDescent="0.25">
      <c r="B203" s="342" t="s">
        <v>4621</v>
      </c>
      <c r="C203" s="421" t="s">
        <v>4622</v>
      </c>
      <c r="D203" s="343">
        <v>1000</v>
      </c>
      <c r="E203" s="508">
        <v>0</v>
      </c>
      <c r="F203" s="344" t="s">
        <v>1254</v>
      </c>
      <c r="G203" s="344" t="s">
        <v>844</v>
      </c>
      <c r="H203" s="344">
        <v>1</v>
      </c>
      <c r="I203" s="819"/>
      <c r="J203" s="820"/>
    </row>
    <row r="204" spans="1:16" s="93" customFormat="1" ht="18" outlineLevel="1" x14ac:dyDescent="0.25">
      <c r="B204" s="1582" t="s">
        <v>4651</v>
      </c>
      <c r="C204" s="1583" t="s">
        <v>4652</v>
      </c>
      <c r="D204" s="1584">
        <v>5</v>
      </c>
      <c r="E204" s="1585">
        <v>0</v>
      </c>
      <c r="F204" s="1585" t="s">
        <v>1254</v>
      </c>
      <c r="G204" s="1585" t="s">
        <v>383</v>
      </c>
      <c r="H204" s="1585">
        <v>1</v>
      </c>
      <c r="I204" s="1586"/>
      <c r="J204" s="1587"/>
    </row>
    <row r="205" spans="1:16" s="93" customFormat="1" ht="18" outlineLevel="1" x14ac:dyDescent="0.25">
      <c r="B205" s="1582" t="s">
        <v>4653</v>
      </c>
      <c r="C205" s="1583" t="s">
        <v>4654</v>
      </c>
      <c r="D205" s="1584">
        <v>9</v>
      </c>
      <c r="E205" s="1585">
        <v>0</v>
      </c>
      <c r="F205" s="1585" t="s">
        <v>1254</v>
      </c>
      <c r="G205" s="1585" t="s">
        <v>383</v>
      </c>
      <c r="H205" s="1585">
        <v>1</v>
      </c>
      <c r="I205" s="1586"/>
      <c r="J205" s="1587"/>
    </row>
    <row r="206" spans="1:16" s="93" customFormat="1" ht="18" outlineLevel="1" x14ac:dyDescent="0.25">
      <c r="B206" s="1582" t="s">
        <v>4655</v>
      </c>
      <c r="C206" s="1583" t="s">
        <v>4656</v>
      </c>
      <c r="D206" s="1584">
        <v>5</v>
      </c>
      <c r="E206" s="1585">
        <v>0</v>
      </c>
      <c r="F206" s="1585" t="s">
        <v>1254</v>
      </c>
      <c r="G206" s="1585" t="s">
        <v>383</v>
      </c>
      <c r="H206" s="1585">
        <v>1</v>
      </c>
      <c r="I206" s="1586"/>
      <c r="J206" s="1587"/>
    </row>
    <row r="207" spans="1:16" s="93" customFormat="1" ht="18" outlineLevel="1" x14ac:dyDescent="0.25">
      <c r="B207" s="1582" t="s">
        <v>4657</v>
      </c>
      <c r="C207" s="1583" t="s">
        <v>4658</v>
      </c>
      <c r="D207" s="1584">
        <v>9</v>
      </c>
      <c r="E207" s="1585">
        <v>0</v>
      </c>
      <c r="F207" s="1585" t="s">
        <v>1254</v>
      </c>
      <c r="G207" s="1585" t="s">
        <v>383</v>
      </c>
      <c r="H207" s="1585">
        <v>1</v>
      </c>
      <c r="I207" s="1586"/>
      <c r="J207" s="1587"/>
    </row>
    <row r="208" spans="1:16" s="93" customFormat="1" ht="18" outlineLevel="1" x14ac:dyDescent="0.25">
      <c r="B208" s="156" t="s">
        <v>1937</v>
      </c>
      <c r="C208" s="423" t="s">
        <v>2299</v>
      </c>
      <c r="D208" s="99">
        <v>0.05</v>
      </c>
      <c r="E208" s="509">
        <v>0</v>
      </c>
      <c r="F208" s="95" t="s">
        <v>1254</v>
      </c>
      <c r="G208" s="95" t="s">
        <v>2173</v>
      </c>
      <c r="H208" s="95">
        <v>2</v>
      </c>
      <c r="I208" s="96"/>
      <c r="J208" s="821"/>
    </row>
    <row r="209" spans="1:16" s="93" customFormat="1" ht="18" outlineLevel="1" x14ac:dyDescent="0.25">
      <c r="B209" s="1520" t="s">
        <v>4574</v>
      </c>
      <c r="C209" s="1521" t="s">
        <v>4575</v>
      </c>
      <c r="D209" s="1522">
        <v>500</v>
      </c>
      <c r="E209" s="1523">
        <v>0</v>
      </c>
      <c r="F209" s="1523" t="s">
        <v>1254</v>
      </c>
      <c r="G209" s="1523" t="s">
        <v>845</v>
      </c>
      <c r="H209" s="1523">
        <v>0</v>
      </c>
      <c r="I209" s="1416"/>
      <c r="J209" s="1524"/>
    </row>
    <row r="210" spans="1:16" s="93" customFormat="1" ht="18" outlineLevel="1" x14ac:dyDescent="0.25">
      <c r="B210" s="1520" t="s">
        <v>4576</v>
      </c>
      <c r="C210" s="1521" t="s">
        <v>4577</v>
      </c>
      <c r="D210" s="1522">
        <v>0.1</v>
      </c>
      <c r="E210" s="1523">
        <v>0</v>
      </c>
      <c r="F210" s="1523">
        <v>2</v>
      </c>
      <c r="G210" s="1523" t="s">
        <v>278</v>
      </c>
      <c r="H210" s="1523">
        <v>2</v>
      </c>
      <c r="I210" s="1416"/>
      <c r="J210" s="1524" t="s">
        <v>4573</v>
      </c>
    </row>
    <row r="211" spans="1:16" s="93" customFormat="1" ht="18" outlineLevel="1" x14ac:dyDescent="0.25">
      <c r="B211" s="1520" t="s">
        <v>4578</v>
      </c>
      <c r="C211" s="1525" t="s">
        <v>4579</v>
      </c>
      <c r="D211" s="1526">
        <v>5</v>
      </c>
      <c r="E211" s="1523">
        <v>0</v>
      </c>
      <c r="F211" s="1523" t="s">
        <v>1254</v>
      </c>
      <c r="G211" s="1523" t="s">
        <v>845</v>
      </c>
      <c r="H211" s="1523">
        <v>4</v>
      </c>
      <c r="I211" s="1416"/>
      <c r="J211" s="1524"/>
    </row>
    <row r="212" spans="1:16" s="93" customFormat="1" ht="18" outlineLevel="1" x14ac:dyDescent="0.25">
      <c r="B212" s="1520" t="s">
        <v>4580</v>
      </c>
      <c r="C212" s="421" t="s">
        <v>4962</v>
      </c>
      <c r="D212" s="1526">
        <v>1</v>
      </c>
      <c r="E212" s="1523">
        <v>0</v>
      </c>
      <c r="F212" s="1523" t="s">
        <v>1254</v>
      </c>
      <c r="G212" s="1523" t="s">
        <v>845</v>
      </c>
      <c r="H212" s="1523">
        <v>4</v>
      </c>
      <c r="I212" s="1416"/>
      <c r="J212" s="1524"/>
    </row>
    <row r="213" spans="1:16" s="93" customFormat="1" ht="18" outlineLevel="1" x14ac:dyDescent="0.25">
      <c r="B213" s="1520" t="s">
        <v>4642</v>
      </c>
      <c r="C213" s="421" t="s">
        <v>4641</v>
      </c>
      <c r="D213" s="1526">
        <v>5</v>
      </c>
      <c r="E213" s="1523">
        <v>0</v>
      </c>
      <c r="F213" s="1523" t="s">
        <v>1254</v>
      </c>
      <c r="G213" s="1523" t="s">
        <v>845</v>
      </c>
      <c r="H213" s="1523">
        <v>4</v>
      </c>
      <c r="I213" s="1416"/>
      <c r="J213" s="1524"/>
    </row>
    <row r="214" spans="1:16" s="93" customFormat="1" ht="18" outlineLevel="1" x14ac:dyDescent="0.25">
      <c r="B214" s="1520" t="s">
        <v>4643</v>
      </c>
      <c r="C214" s="421" t="s">
        <v>4963</v>
      </c>
      <c r="D214" s="1526">
        <v>1</v>
      </c>
      <c r="E214" s="1523">
        <v>0</v>
      </c>
      <c r="F214" s="1523" t="s">
        <v>1254</v>
      </c>
      <c r="G214" s="1523" t="s">
        <v>845</v>
      </c>
      <c r="H214" s="1523">
        <v>4</v>
      </c>
      <c r="I214" s="1416"/>
      <c r="J214" s="1524"/>
    </row>
    <row r="215" spans="1:16" s="93" customFormat="1" ht="18" outlineLevel="1" x14ac:dyDescent="0.25">
      <c r="B215" s="1520" t="s">
        <v>4645</v>
      </c>
      <c r="C215" s="421" t="s">
        <v>4644</v>
      </c>
      <c r="D215" s="1526">
        <v>5</v>
      </c>
      <c r="E215" s="1523">
        <v>0</v>
      </c>
      <c r="F215" s="1523" t="s">
        <v>1254</v>
      </c>
      <c r="G215" s="1523" t="s">
        <v>845</v>
      </c>
      <c r="H215" s="1523">
        <v>4</v>
      </c>
      <c r="I215" s="1416"/>
      <c r="J215" s="1524"/>
    </row>
    <row r="216" spans="1:16" s="93" customFormat="1" ht="18" outlineLevel="1" x14ac:dyDescent="0.25">
      <c r="B216" s="1520" t="s">
        <v>4646</v>
      </c>
      <c r="C216" s="421" t="s">
        <v>4964</v>
      </c>
      <c r="D216" s="1526">
        <v>1</v>
      </c>
      <c r="E216" s="1523">
        <v>0</v>
      </c>
      <c r="F216" s="1523" t="s">
        <v>1254</v>
      </c>
      <c r="G216" s="1523" t="s">
        <v>845</v>
      </c>
      <c r="H216" s="1523">
        <v>4</v>
      </c>
      <c r="I216" s="1416"/>
      <c r="J216" s="1524"/>
    </row>
    <row r="217" spans="1:16" s="93" customFormat="1" ht="18" outlineLevel="1" x14ac:dyDescent="0.25">
      <c r="B217" s="1520" t="s">
        <v>4581</v>
      </c>
      <c r="C217" s="421" t="s">
        <v>4582</v>
      </c>
      <c r="D217" s="1526">
        <v>500</v>
      </c>
      <c r="E217" s="1523">
        <v>0</v>
      </c>
      <c r="F217" s="1523" t="s">
        <v>1254</v>
      </c>
      <c r="G217" s="1523" t="s">
        <v>845</v>
      </c>
      <c r="H217" s="1523">
        <v>4</v>
      </c>
      <c r="I217" s="1416"/>
      <c r="J217" s="1524" t="s">
        <v>4583</v>
      </c>
    </row>
    <row r="218" spans="1:16" s="1588" customFormat="1" ht="30" outlineLevel="1" x14ac:dyDescent="0.25">
      <c r="A218" s="93"/>
      <c r="B218" s="1520" t="s">
        <v>4671</v>
      </c>
      <c r="C218" s="421" t="s">
        <v>4965</v>
      </c>
      <c r="D218" s="1526">
        <v>500</v>
      </c>
      <c r="E218" s="1523">
        <v>0</v>
      </c>
      <c r="F218" s="1523" t="s">
        <v>1254</v>
      </c>
      <c r="G218" s="1523" t="s">
        <v>845</v>
      </c>
      <c r="H218" s="1523">
        <v>4</v>
      </c>
      <c r="I218" s="1416"/>
      <c r="J218" s="1524" t="s">
        <v>4583</v>
      </c>
      <c r="K218" s="93"/>
      <c r="L218" s="93"/>
      <c r="M218" s="93"/>
      <c r="N218" s="93"/>
      <c r="O218" s="93"/>
      <c r="P218" s="93"/>
    </row>
    <row r="219" spans="1:16" s="93" customFormat="1" ht="18" outlineLevel="1" x14ac:dyDescent="0.25">
      <c r="B219" s="1520" t="s">
        <v>4584</v>
      </c>
      <c r="C219" s="1525" t="s">
        <v>4585</v>
      </c>
      <c r="D219" s="1526">
        <v>500</v>
      </c>
      <c r="E219" s="1523">
        <v>0</v>
      </c>
      <c r="F219" s="1523" t="s">
        <v>1254</v>
      </c>
      <c r="G219" s="1523" t="s">
        <v>845</v>
      </c>
      <c r="H219" s="1523">
        <v>4</v>
      </c>
      <c r="I219" s="1416"/>
      <c r="J219" s="1524"/>
    </row>
    <row r="220" spans="1:16" s="93" customFormat="1" ht="18" outlineLevel="1" x14ac:dyDescent="0.25">
      <c r="B220" s="156" t="s">
        <v>852</v>
      </c>
      <c r="C220" s="423" t="s">
        <v>2300</v>
      </c>
      <c r="D220" s="99">
        <v>0.05</v>
      </c>
      <c r="E220" s="509">
        <v>0</v>
      </c>
      <c r="F220" s="95" t="s">
        <v>1254</v>
      </c>
      <c r="G220" s="95" t="s">
        <v>844</v>
      </c>
      <c r="H220" s="95">
        <v>2</v>
      </c>
      <c r="I220" s="96"/>
      <c r="J220" s="821"/>
    </row>
    <row r="221" spans="1:16" s="93" customFormat="1" ht="18" outlineLevel="1" x14ac:dyDescent="0.25">
      <c r="B221" s="156" t="s">
        <v>1738</v>
      </c>
      <c r="C221" s="423" t="s">
        <v>2301</v>
      </c>
      <c r="D221" s="99">
        <v>0.5</v>
      </c>
      <c r="E221" s="509">
        <v>0</v>
      </c>
      <c r="F221" s="95" t="s">
        <v>1254</v>
      </c>
      <c r="G221" s="95" t="s">
        <v>844</v>
      </c>
      <c r="H221" s="95">
        <v>2</v>
      </c>
      <c r="I221" s="96"/>
      <c r="J221" s="821"/>
    </row>
    <row r="222" spans="1:16" s="93" customFormat="1" ht="18" outlineLevel="1" x14ac:dyDescent="0.25">
      <c r="B222" s="156" t="s">
        <v>1739</v>
      </c>
      <c r="C222" s="424" t="s">
        <v>2302</v>
      </c>
      <c r="D222" s="98">
        <v>7.0000000000000001E-3</v>
      </c>
      <c r="E222" s="509">
        <v>0</v>
      </c>
      <c r="F222" s="95" t="s">
        <v>1254</v>
      </c>
      <c r="G222" s="95" t="s">
        <v>844</v>
      </c>
      <c r="H222" s="95">
        <v>3</v>
      </c>
      <c r="I222" s="96"/>
      <c r="J222" s="821"/>
    </row>
    <row r="223" spans="1:16" s="93" customFormat="1" ht="18" outlineLevel="1" x14ac:dyDescent="0.25">
      <c r="B223" s="964" t="s">
        <v>4278</v>
      </c>
      <c r="C223" s="966" t="s">
        <v>4279</v>
      </c>
      <c r="D223" s="967">
        <v>9.9999999999999995E-7</v>
      </c>
      <c r="E223" s="968">
        <v>0</v>
      </c>
      <c r="F223" s="968" t="s">
        <v>1254</v>
      </c>
      <c r="G223" s="968" t="s">
        <v>844</v>
      </c>
      <c r="H223" s="968">
        <v>6</v>
      </c>
      <c r="I223" s="969"/>
      <c r="J223" s="965"/>
    </row>
    <row r="224" spans="1:16" s="93" customFormat="1" ht="18" outlineLevel="1" x14ac:dyDescent="0.25">
      <c r="B224" s="976" t="s">
        <v>4290</v>
      </c>
      <c r="C224" s="977" t="s">
        <v>4306</v>
      </c>
      <c r="D224" s="981">
        <v>10</v>
      </c>
      <c r="E224" s="978">
        <v>0</v>
      </c>
      <c r="F224" s="978" t="s">
        <v>1254</v>
      </c>
      <c r="G224" s="978" t="s">
        <v>845</v>
      </c>
      <c r="H224" s="978">
        <v>0</v>
      </c>
      <c r="I224" s="979"/>
      <c r="J224" s="980"/>
    </row>
    <row r="225" spans="1:10" s="93" customFormat="1" ht="18" outlineLevel="1" x14ac:dyDescent="0.25">
      <c r="B225" s="156" t="s">
        <v>853</v>
      </c>
      <c r="C225" s="425" t="s">
        <v>2303</v>
      </c>
      <c r="D225" s="97">
        <v>1</v>
      </c>
      <c r="E225" s="509">
        <v>0</v>
      </c>
      <c r="F225" s="95" t="s">
        <v>1254</v>
      </c>
      <c r="G225" s="95" t="s">
        <v>844</v>
      </c>
      <c r="H225" s="95">
        <v>1</v>
      </c>
      <c r="I225" s="96"/>
      <c r="J225" s="821"/>
    </row>
    <row r="226" spans="1:10" s="93" customFormat="1" ht="18" outlineLevel="1" x14ac:dyDescent="0.25">
      <c r="B226" s="420" t="s">
        <v>2297</v>
      </c>
      <c r="C226" s="422" t="s">
        <v>2582</v>
      </c>
      <c r="D226" s="101">
        <v>5.0000000000000001E-4</v>
      </c>
      <c r="E226" s="509">
        <v>0</v>
      </c>
      <c r="F226" s="95" t="s">
        <v>1254</v>
      </c>
      <c r="G226" s="95" t="s">
        <v>847</v>
      </c>
      <c r="H226" s="95">
        <v>4</v>
      </c>
      <c r="I226" s="96"/>
      <c r="J226" s="821"/>
    </row>
    <row r="227" spans="1:10" s="93" customFormat="1" ht="18" outlineLevel="1" x14ac:dyDescent="0.25">
      <c r="B227" s="1172" t="s">
        <v>1938</v>
      </c>
      <c r="C227" s="1173" t="s">
        <v>2583</v>
      </c>
      <c r="D227" s="1174">
        <v>1E-3</v>
      </c>
      <c r="E227" s="1175">
        <v>0</v>
      </c>
      <c r="F227" s="1175" t="s">
        <v>1254</v>
      </c>
      <c r="G227" s="1175" t="s">
        <v>847</v>
      </c>
      <c r="H227" s="1175">
        <v>3</v>
      </c>
      <c r="I227" s="1176"/>
      <c r="J227" s="1177"/>
    </row>
    <row r="228" spans="1:10" s="93" customFormat="1" ht="18" outlineLevel="1" x14ac:dyDescent="0.25">
      <c r="B228" s="1560" t="s">
        <v>4457</v>
      </c>
      <c r="C228" s="1561" t="s">
        <v>4458</v>
      </c>
      <c r="D228" s="1562">
        <v>3.36</v>
      </c>
      <c r="E228" s="1563">
        <v>0</v>
      </c>
      <c r="F228" s="1563" t="s">
        <v>1254</v>
      </c>
      <c r="G228" s="1563" t="s">
        <v>447</v>
      </c>
      <c r="H228" s="1563">
        <v>2</v>
      </c>
      <c r="I228" s="1564"/>
      <c r="J228" s="1565" t="s">
        <v>4459</v>
      </c>
    </row>
    <row r="229" spans="1:10" s="93" customFormat="1" ht="18" outlineLevel="1" x14ac:dyDescent="0.25">
      <c r="B229" s="1560" t="s">
        <v>4460</v>
      </c>
      <c r="C229" s="1561" t="s">
        <v>4461</v>
      </c>
      <c r="D229" s="1562">
        <v>3.36</v>
      </c>
      <c r="E229" s="1563">
        <v>0</v>
      </c>
      <c r="F229" s="1563" t="s">
        <v>1254</v>
      </c>
      <c r="G229" s="1563" t="s">
        <v>447</v>
      </c>
      <c r="H229" s="1563">
        <v>2</v>
      </c>
      <c r="I229" s="1564"/>
      <c r="J229" s="1565" t="s">
        <v>4459</v>
      </c>
    </row>
    <row r="230" spans="1:10" s="93" customFormat="1" ht="18" outlineLevel="1" x14ac:dyDescent="0.25">
      <c r="B230" s="1560" t="s">
        <v>4462</v>
      </c>
      <c r="C230" s="1561" t="s">
        <v>4463</v>
      </c>
      <c r="D230" s="1562">
        <v>5000</v>
      </c>
      <c r="E230" s="1563">
        <v>0</v>
      </c>
      <c r="F230" s="1563" t="s">
        <v>1254</v>
      </c>
      <c r="G230" s="1563" t="s">
        <v>4464</v>
      </c>
      <c r="H230" s="1563">
        <v>0</v>
      </c>
      <c r="I230" s="1564"/>
      <c r="J230" s="1565" t="s">
        <v>4465</v>
      </c>
    </row>
    <row r="231" spans="1:10" s="93" customFormat="1" ht="18.75" outlineLevel="1" thickBot="1" x14ac:dyDescent="0.3">
      <c r="B231" s="1566" t="s">
        <v>4466</v>
      </c>
      <c r="C231" s="1567" t="s">
        <v>4467</v>
      </c>
      <c r="D231" s="1568">
        <v>20000</v>
      </c>
      <c r="E231" s="1569">
        <v>0</v>
      </c>
      <c r="F231" s="1569" t="s">
        <v>1254</v>
      </c>
      <c r="G231" s="1569" t="s">
        <v>4464</v>
      </c>
      <c r="H231" s="1569">
        <v>0</v>
      </c>
      <c r="I231" s="1570"/>
      <c r="J231" s="1571" t="s">
        <v>4468</v>
      </c>
    </row>
    <row r="232" spans="1:10" s="93" customFormat="1" ht="15.75" thickBot="1" x14ac:dyDescent="0.3">
      <c r="B232" s="102"/>
      <c r="C232" s="102"/>
      <c r="D232" s="94"/>
      <c r="E232" s="94"/>
      <c r="F232" s="94"/>
      <c r="G232" s="94"/>
      <c r="H232" s="94"/>
      <c r="I232" s="102"/>
      <c r="J232" s="1619"/>
    </row>
    <row r="233" spans="1:10" s="93" customFormat="1" ht="15.75" thickBot="1" x14ac:dyDescent="0.3">
      <c r="B233" s="102"/>
      <c r="C233" s="367" t="s">
        <v>1191</v>
      </c>
      <c r="D233" s="94" t="s">
        <v>303</v>
      </c>
      <c r="E233" s="94"/>
      <c r="F233" s="94"/>
      <c r="G233" s="94"/>
      <c r="H233" s="94"/>
      <c r="I233" s="102"/>
      <c r="J233" s="1619"/>
    </row>
    <row r="234" spans="1:10" s="93" customFormat="1" ht="15.75" thickBot="1" x14ac:dyDescent="0.3">
      <c r="B234" s="277" t="s">
        <v>0</v>
      </c>
      <c r="C234" s="281" t="s">
        <v>1</v>
      </c>
      <c r="D234" s="283" t="s">
        <v>838</v>
      </c>
      <c r="E234" s="447" t="s">
        <v>471</v>
      </c>
      <c r="F234" s="283" t="s">
        <v>472</v>
      </c>
      <c r="G234" s="283" t="s">
        <v>2</v>
      </c>
      <c r="H234" s="283" t="s">
        <v>302</v>
      </c>
      <c r="I234" s="281" t="s">
        <v>116</v>
      </c>
      <c r="J234" s="782" t="s">
        <v>117</v>
      </c>
    </row>
    <row r="235" spans="1:10" s="93" customFormat="1" ht="18.75" outlineLevel="1" thickBot="1" x14ac:dyDescent="0.3">
      <c r="A235" s="93" t="s">
        <v>3225</v>
      </c>
      <c r="B235" s="493" t="s">
        <v>1192</v>
      </c>
      <c r="C235" s="197" t="s">
        <v>2304</v>
      </c>
      <c r="D235" s="196">
        <v>0.4</v>
      </c>
      <c r="E235" s="510">
        <v>0</v>
      </c>
      <c r="F235" s="196">
        <v>1</v>
      </c>
      <c r="G235" s="198" t="s">
        <v>1994</v>
      </c>
      <c r="H235" s="198">
        <v>2</v>
      </c>
      <c r="I235" s="197"/>
      <c r="J235" s="1721"/>
    </row>
    <row r="236" spans="1:10" s="93" customFormat="1" ht="15.75" thickBot="1" x14ac:dyDescent="0.3">
      <c r="B236" s="102"/>
      <c r="C236" s="102"/>
      <c r="D236" s="94"/>
      <c r="E236" s="94"/>
      <c r="F236" s="94"/>
      <c r="G236" s="94"/>
      <c r="H236" s="94"/>
      <c r="I236" s="102"/>
      <c r="J236" s="1619"/>
    </row>
    <row r="237" spans="1:10" s="93" customFormat="1" ht="15.75" thickBot="1" x14ac:dyDescent="0.3">
      <c r="B237" s="102"/>
      <c r="C237" s="145" t="s">
        <v>271</v>
      </c>
      <c r="D237" s="94" t="s">
        <v>303</v>
      </c>
      <c r="E237" s="94"/>
      <c r="F237" s="94"/>
      <c r="G237" s="94"/>
      <c r="H237" s="94"/>
      <c r="I237" s="102"/>
      <c r="J237" s="1619"/>
    </row>
    <row r="238" spans="1:10" s="93" customFormat="1" ht="15.75" thickBot="1" x14ac:dyDescent="0.3">
      <c r="B238" s="277" t="s">
        <v>0</v>
      </c>
      <c r="C238" s="281" t="s">
        <v>1</v>
      </c>
      <c r="D238" s="283" t="s">
        <v>838</v>
      </c>
      <c r="E238" s="447" t="s">
        <v>471</v>
      </c>
      <c r="F238" s="283" t="s">
        <v>472</v>
      </c>
      <c r="G238" s="283" t="s">
        <v>2</v>
      </c>
      <c r="H238" s="283" t="s">
        <v>302</v>
      </c>
      <c r="I238" s="281" t="s">
        <v>116</v>
      </c>
      <c r="J238" s="782" t="s">
        <v>117</v>
      </c>
    </row>
    <row r="239" spans="1:10" s="93" customFormat="1" ht="18" outlineLevel="1" x14ac:dyDescent="0.25">
      <c r="B239" s="222" t="s">
        <v>854</v>
      </c>
      <c r="C239" s="237" t="s">
        <v>1235</v>
      </c>
      <c r="D239" s="238">
        <v>1.04</v>
      </c>
      <c r="E239" s="511">
        <v>0</v>
      </c>
      <c r="F239" s="238" t="s">
        <v>1254</v>
      </c>
      <c r="G239" s="238" t="s">
        <v>1994</v>
      </c>
      <c r="H239" s="239">
        <v>3</v>
      </c>
      <c r="I239" s="237"/>
      <c r="J239" s="822"/>
    </row>
    <row r="240" spans="1:10" s="93" customFormat="1" ht="18" outlineLevel="1" x14ac:dyDescent="0.25">
      <c r="B240" s="153" t="s">
        <v>855</v>
      </c>
      <c r="C240" s="225" t="s">
        <v>1228</v>
      </c>
      <c r="D240" s="223">
        <v>1.04</v>
      </c>
      <c r="E240" s="512">
        <v>0</v>
      </c>
      <c r="F240" s="223" t="s">
        <v>1254</v>
      </c>
      <c r="G240" s="223" t="s">
        <v>1994</v>
      </c>
      <c r="H240" s="224">
        <v>3</v>
      </c>
      <c r="I240" s="225"/>
      <c r="J240" s="823"/>
    </row>
    <row r="241" spans="2:10" s="93" customFormat="1" ht="18" outlineLevel="1" x14ac:dyDescent="0.25">
      <c r="B241" s="153" t="s">
        <v>856</v>
      </c>
      <c r="C241" s="225" t="s">
        <v>1236</v>
      </c>
      <c r="D241" s="223">
        <v>1.03</v>
      </c>
      <c r="E241" s="512">
        <v>0</v>
      </c>
      <c r="F241" s="223" t="s">
        <v>1254</v>
      </c>
      <c r="G241" s="223" t="s">
        <v>1994</v>
      </c>
      <c r="H241" s="224">
        <v>3</v>
      </c>
      <c r="I241" s="225"/>
      <c r="J241" s="823"/>
    </row>
    <row r="242" spans="2:10" s="93" customFormat="1" ht="18" outlineLevel="1" x14ac:dyDescent="0.25">
      <c r="B242" s="153" t="s">
        <v>857</v>
      </c>
      <c r="C242" s="225" t="s">
        <v>1237</v>
      </c>
      <c r="D242" s="223">
        <v>1.06</v>
      </c>
      <c r="E242" s="512">
        <v>0</v>
      </c>
      <c r="F242" s="223" t="s">
        <v>1254</v>
      </c>
      <c r="G242" s="223" t="s">
        <v>1994</v>
      </c>
      <c r="H242" s="224">
        <v>3</v>
      </c>
      <c r="I242" s="225"/>
      <c r="J242" s="823"/>
    </row>
    <row r="243" spans="2:10" s="93" customFormat="1" ht="18" outlineLevel="1" x14ac:dyDescent="0.25">
      <c r="B243" s="153" t="s">
        <v>858</v>
      </c>
      <c r="C243" s="225" t="s">
        <v>1238</v>
      </c>
      <c r="D243" s="223">
        <v>1.03</v>
      </c>
      <c r="E243" s="512">
        <v>0</v>
      </c>
      <c r="F243" s="223" t="s">
        <v>1254</v>
      </c>
      <c r="G243" s="223" t="s">
        <v>1994</v>
      </c>
      <c r="H243" s="224">
        <v>3</v>
      </c>
      <c r="I243" s="225"/>
      <c r="J243" s="823"/>
    </row>
    <row r="244" spans="2:10" s="93" customFormat="1" ht="18" outlineLevel="1" x14ac:dyDescent="0.25">
      <c r="B244" s="252" t="s">
        <v>3860</v>
      </c>
      <c r="C244" s="361" t="s">
        <v>3861</v>
      </c>
      <c r="D244" s="362">
        <v>1.04</v>
      </c>
      <c r="E244" s="513">
        <v>0</v>
      </c>
      <c r="F244" s="362" t="s">
        <v>1254</v>
      </c>
      <c r="G244" s="362" t="s">
        <v>1994</v>
      </c>
      <c r="H244" s="363">
        <v>3</v>
      </c>
      <c r="I244" s="361"/>
      <c r="J244" s="824"/>
    </row>
    <row r="245" spans="2:10" s="93" customFormat="1" ht="18" outlineLevel="1" x14ac:dyDescent="0.25">
      <c r="B245" s="252" t="s">
        <v>1714</v>
      </c>
      <c r="C245" s="361" t="s">
        <v>1239</v>
      </c>
      <c r="D245" s="362">
        <v>1.04</v>
      </c>
      <c r="E245" s="513">
        <v>0</v>
      </c>
      <c r="F245" s="362" t="s">
        <v>1254</v>
      </c>
      <c r="G245" s="362" t="s">
        <v>1994</v>
      </c>
      <c r="H245" s="363">
        <v>3</v>
      </c>
      <c r="I245" s="361"/>
      <c r="J245" s="824"/>
    </row>
    <row r="246" spans="2:10" s="93" customFormat="1" ht="18" outlineLevel="1" x14ac:dyDescent="0.25">
      <c r="B246" s="252" t="s">
        <v>2189</v>
      </c>
      <c r="C246" s="361" t="s">
        <v>2188</v>
      </c>
      <c r="D246" s="558">
        <v>1.04</v>
      </c>
      <c r="E246" s="513">
        <v>0</v>
      </c>
      <c r="F246" s="362" t="s">
        <v>1254</v>
      </c>
      <c r="G246" s="362" t="s">
        <v>1994</v>
      </c>
      <c r="H246" s="363">
        <v>3</v>
      </c>
      <c r="I246" s="361"/>
      <c r="J246" s="824"/>
    </row>
    <row r="247" spans="2:10" s="93" customFormat="1" ht="18" outlineLevel="1" x14ac:dyDescent="0.25">
      <c r="B247" s="252" t="s">
        <v>3496</v>
      </c>
      <c r="C247" s="361" t="s">
        <v>3497</v>
      </c>
      <c r="D247" s="558">
        <v>1.04</v>
      </c>
      <c r="E247" s="513">
        <v>0</v>
      </c>
      <c r="F247" s="362" t="s">
        <v>1254</v>
      </c>
      <c r="G247" s="362" t="s">
        <v>1994</v>
      </c>
      <c r="H247" s="363">
        <v>3</v>
      </c>
      <c r="I247" s="361"/>
      <c r="J247" s="824"/>
    </row>
    <row r="248" spans="2:10" s="93" customFormat="1" ht="18" outlineLevel="1" x14ac:dyDescent="0.25">
      <c r="B248" s="252" t="s">
        <v>859</v>
      </c>
      <c r="C248" s="361" t="s">
        <v>1240</v>
      </c>
      <c r="D248" s="558">
        <v>1.04</v>
      </c>
      <c r="E248" s="513">
        <v>0</v>
      </c>
      <c r="F248" s="362" t="s">
        <v>1254</v>
      </c>
      <c r="G248" s="362" t="s">
        <v>1994</v>
      </c>
      <c r="H248" s="363">
        <v>3</v>
      </c>
      <c r="I248" s="361"/>
      <c r="J248" s="824"/>
    </row>
    <row r="249" spans="2:10" s="93" customFormat="1" ht="18" outlineLevel="1" x14ac:dyDescent="0.25">
      <c r="B249" s="252" t="s">
        <v>3909</v>
      </c>
      <c r="C249" s="361" t="s">
        <v>3910</v>
      </c>
      <c r="D249" s="558">
        <v>1.03</v>
      </c>
      <c r="E249" s="513">
        <v>0</v>
      </c>
      <c r="F249" s="362" t="s">
        <v>1254</v>
      </c>
      <c r="G249" s="362" t="s">
        <v>1994</v>
      </c>
      <c r="H249" s="363">
        <v>3</v>
      </c>
      <c r="I249" s="361"/>
      <c r="J249" s="824"/>
    </row>
    <row r="250" spans="2:10" s="93" customFormat="1" ht="18" outlineLevel="1" x14ac:dyDescent="0.25">
      <c r="B250" s="252" t="s">
        <v>3897</v>
      </c>
      <c r="C250" s="361" t="s">
        <v>4765</v>
      </c>
      <c r="D250" s="558">
        <v>1.0640000000000001</v>
      </c>
      <c r="E250" s="513">
        <v>0</v>
      </c>
      <c r="F250" s="362" t="s">
        <v>1254</v>
      </c>
      <c r="G250" s="362" t="s">
        <v>1994</v>
      </c>
      <c r="H250" s="363">
        <v>3</v>
      </c>
      <c r="I250" s="825"/>
      <c r="J250" s="695" t="s">
        <v>3903</v>
      </c>
    </row>
    <row r="251" spans="2:10" s="93" customFormat="1" ht="18" outlineLevel="1" x14ac:dyDescent="0.25">
      <c r="B251" s="252" t="s">
        <v>2118</v>
      </c>
      <c r="C251" s="361" t="s">
        <v>1241</v>
      </c>
      <c r="D251" s="558">
        <v>1.03</v>
      </c>
      <c r="E251" s="513">
        <v>0</v>
      </c>
      <c r="F251" s="362" t="s">
        <v>1254</v>
      </c>
      <c r="G251" s="362" t="s">
        <v>1994</v>
      </c>
      <c r="H251" s="363">
        <v>3</v>
      </c>
      <c r="I251" s="361"/>
      <c r="J251" s="824"/>
    </row>
    <row r="252" spans="2:10" s="93" customFormat="1" ht="18" outlineLevel="1" x14ac:dyDescent="0.25">
      <c r="B252" s="233" t="s">
        <v>4764</v>
      </c>
      <c r="C252" s="234" t="s">
        <v>1240</v>
      </c>
      <c r="D252" s="559">
        <v>1.0720000000000001</v>
      </c>
      <c r="E252" s="514">
        <v>0</v>
      </c>
      <c r="F252" s="235" t="s">
        <v>1254</v>
      </c>
      <c r="G252" s="235" t="s">
        <v>1994</v>
      </c>
      <c r="H252" s="236">
        <v>3</v>
      </c>
      <c r="I252" s="234"/>
      <c r="J252" s="699"/>
    </row>
    <row r="253" spans="2:10" s="93" customFormat="1" ht="18" outlineLevel="1" x14ac:dyDescent="0.25">
      <c r="B253" s="152" t="s">
        <v>860</v>
      </c>
      <c r="C253" s="206" t="s">
        <v>1243</v>
      </c>
      <c r="D253" s="231">
        <v>1.0720000000000001</v>
      </c>
      <c r="E253" s="515">
        <v>0</v>
      </c>
      <c r="F253" s="231" t="s">
        <v>1254</v>
      </c>
      <c r="G253" s="231" t="s">
        <v>1994</v>
      </c>
      <c r="H253" s="232">
        <v>3</v>
      </c>
      <c r="I253" s="206"/>
      <c r="J253" s="826"/>
    </row>
    <row r="254" spans="2:10" s="93" customFormat="1" ht="18" outlineLevel="1" x14ac:dyDescent="0.25">
      <c r="B254" s="152" t="s">
        <v>861</v>
      </c>
      <c r="C254" s="206" t="s">
        <v>1242</v>
      </c>
      <c r="D254" s="231">
        <v>1.03</v>
      </c>
      <c r="E254" s="515">
        <v>0</v>
      </c>
      <c r="F254" s="231" t="s">
        <v>1254</v>
      </c>
      <c r="G254" s="231" t="s">
        <v>1994</v>
      </c>
      <c r="H254" s="232">
        <v>3</v>
      </c>
      <c r="I254" s="206"/>
      <c r="J254" s="826"/>
    </row>
    <row r="255" spans="2:10" s="93" customFormat="1" ht="18" outlineLevel="1" x14ac:dyDescent="0.25">
      <c r="B255" s="154" t="s">
        <v>862</v>
      </c>
      <c r="C255" s="333" t="s">
        <v>1244</v>
      </c>
      <c r="D255" s="334">
        <v>1.03</v>
      </c>
      <c r="E255" s="516">
        <v>0</v>
      </c>
      <c r="F255" s="334" t="s">
        <v>1254</v>
      </c>
      <c r="G255" s="334" t="s">
        <v>1994</v>
      </c>
      <c r="H255" s="335">
        <v>3</v>
      </c>
      <c r="I255" s="333"/>
      <c r="J255" s="827"/>
    </row>
    <row r="256" spans="2:10" s="93" customFormat="1" ht="18" outlineLevel="1" x14ac:dyDescent="0.25">
      <c r="B256" s="154" t="s">
        <v>863</v>
      </c>
      <c r="C256" s="333" t="s">
        <v>1245</v>
      </c>
      <c r="D256" s="334">
        <v>1.03</v>
      </c>
      <c r="E256" s="516">
        <v>0</v>
      </c>
      <c r="F256" s="334" t="s">
        <v>1254</v>
      </c>
      <c r="G256" s="334" t="s">
        <v>1994</v>
      </c>
      <c r="H256" s="335">
        <v>3</v>
      </c>
      <c r="I256" s="333"/>
      <c r="J256" s="827"/>
    </row>
    <row r="257" spans="2:10" s="93" customFormat="1" ht="18" outlineLevel="1" x14ac:dyDescent="0.25">
      <c r="B257" s="292" t="s">
        <v>864</v>
      </c>
      <c r="C257" s="330" t="s">
        <v>1246</v>
      </c>
      <c r="D257" s="331">
        <v>1.03</v>
      </c>
      <c r="E257" s="517">
        <v>0</v>
      </c>
      <c r="F257" s="331" t="s">
        <v>1254</v>
      </c>
      <c r="G257" s="331" t="s">
        <v>1994</v>
      </c>
      <c r="H257" s="332">
        <v>3</v>
      </c>
      <c r="I257" s="330"/>
      <c r="J257" s="828"/>
    </row>
    <row r="258" spans="2:10" s="93" customFormat="1" ht="18" outlineLevel="1" x14ac:dyDescent="0.25">
      <c r="B258" s="292" t="s">
        <v>865</v>
      </c>
      <c r="C258" s="330" t="s">
        <v>1247</v>
      </c>
      <c r="D258" s="331">
        <v>1.03</v>
      </c>
      <c r="E258" s="517">
        <v>0</v>
      </c>
      <c r="F258" s="331" t="s">
        <v>1254</v>
      </c>
      <c r="G258" s="331" t="s">
        <v>1994</v>
      </c>
      <c r="H258" s="332">
        <v>3</v>
      </c>
      <c r="I258" s="330"/>
      <c r="J258" s="828"/>
    </row>
    <row r="259" spans="2:10" s="93" customFormat="1" ht="18" outlineLevel="1" x14ac:dyDescent="0.25">
      <c r="B259" s="1064" t="s">
        <v>4390</v>
      </c>
      <c r="C259" s="1065" t="s">
        <v>4392</v>
      </c>
      <c r="D259" s="1161">
        <v>1.04</v>
      </c>
      <c r="E259" s="1162">
        <v>0</v>
      </c>
      <c r="F259" s="1161" t="s">
        <v>1254</v>
      </c>
      <c r="G259" s="1161" t="s">
        <v>1994</v>
      </c>
      <c r="H259" s="1163">
        <v>3</v>
      </c>
      <c r="I259" s="1065"/>
      <c r="J259" s="1164"/>
    </row>
    <row r="260" spans="2:10" s="93" customFormat="1" ht="18" outlineLevel="1" x14ac:dyDescent="0.25">
      <c r="B260" s="1064" t="s">
        <v>4391</v>
      </c>
      <c r="C260" s="1065" t="s">
        <v>4393</v>
      </c>
      <c r="D260" s="1161">
        <v>1.03</v>
      </c>
      <c r="E260" s="1162">
        <v>0</v>
      </c>
      <c r="F260" s="1161" t="s">
        <v>1254</v>
      </c>
      <c r="G260" s="1161" t="s">
        <v>1994</v>
      </c>
      <c r="H260" s="1163">
        <v>3</v>
      </c>
      <c r="I260" s="1065"/>
      <c r="J260" s="1164"/>
    </row>
    <row r="261" spans="2:10" s="93" customFormat="1" ht="18" outlineLevel="1" x14ac:dyDescent="0.25">
      <c r="B261" s="226" t="s">
        <v>866</v>
      </c>
      <c r="C261" s="96" t="s">
        <v>1229</v>
      </c>
      <c r="D261" s="227">
        <v>1.03</v>
      </c>
      <c r="E261" s="518">
        <v>0</v>
      </c>
      <c r="F261" s="227" t="s">
        <v>1254</v>
      </c>
      <c r="G261" s="227" t="s">
        <v>1994</v>
      </c>
      <c r="H261" s="100">
        <v>3</v>
      </c>
      <c r="I261" s="253"/>
      <c r="J261" s="829"/>
    </row>
    <row r="262" spans="2:10" s="93" customFormat="1" ht="18" outlineLevel="1" x14ac:dyDescent="0.25">
      <c r="B262" s="226" t="s">
        <v>4647</v>
      </c>
      <c r="C262" s="96" t="s">
        <v>4649</v>
      </c>
      <c r="D262" s="227">
        <v>1.03</v>
      </c>
      <c r="E262" s="518">
        <v>0</v>
      </c>
      <c r="F262" s="227" t="s">
        <v>1254</v>
      </c>
      <c r="G262" s="227" t="s">
        <v>1994</v>
      </c>
      <c r="H262" s="100">
        <v>3</v>
      </c>
      <c r="I262" s="253"/>
      <c r="J262" s="829"/>
    </row>
    <row r="263" spans="2:10" s="93" customFormat="1" ht="18" outlineLevel="1" x14ac:dyDescent="0.25">
      <c r="B263" s="226" t="s">
        <v>4648</v>
      </c>
      <c r="C263" s="96" t="s">
        <v>4650</v>
      </c>
      <c r="D263" s="227">
        <v>1.03</v>
      </c>
      <c r="E263" s="518">
        <v>0</v>
      </c>
      <c r="F263" s="227" t="s">
        <v>1254</v>
      </c>
      <c r="G263" s="227" t="s">
        <v>1994</v>
      </c>
      <c r="H263" s="100">
        <v>3</v>
      </c>
      <c r="I263" s="253"/>
      <c r="J263" s="829"/>
    </row>
    <row r="264" spans="2:10" s="93" customFormat="1" ht="18" outlineLevel="1" x14ac:dyDescent="0.25">
      <c r="B264" s="226" t="s">
        <v>867</v>
      </c>
      <c r="C264" s="96" t="s">
        <v>1230</v>
      </c>
      <c r="D264" s="227">
        <v>1.03</v>
      </c>
      <c r="E264" s="518">
        <v>0</v>
      </c>
      <c r="F264" s="227" t="s">
        <v>1254</v>
      </c>
      <c r="G264" s="227" t="s">
        <v>1994</v>
      </c>
      <c r="H264" s="100">
        <v>3</v>
      </c>
      <c r="I264" s="253"/>
      <c r="J264" s="829"/>
    </row>
    <row r="265" spans="2:10" s="93" customFormat="1" ht="18" outlineLevel="1" x14ac:dyDescent="0.25">
      <c r="B265" s="226" t="s">
        <v>868</v>
      </c>
      <c r="C265" s="96" t="s">
        <v>1231</v>
      </c>
      <c r="D265" s="227">
        <v>1.03</v>
      </c>
      <c r="E265" s="518">
        <v>0</v>
      </c>
      <c r="F265" s="227" t="s">
        <v>1254</v>
      </c>
      <c r="G265" s="227" t="s">
        <v>1994</v>
      </c>
      <c r="H265" s="100">
        <v>3</v>
      </c>
      <c r="I265" s="253"/>
      <c r="J265" s="829"/>
    </row>
    <row r="266" spans="2:10" s="93" customFormat="1" ht="18" outlineLevel="1" x14ac:dyDescent="0.25">
      <c r="B266" s="226" t="s">
        <v>1737</v>
      </c>
      <c r="C266" s="96" t="s">
        <v>1232</v>
      </c>
      <c r="D266" s="227">
        <v>1.03</v>
      </c>
      <c r="E266" s="518">
        <v>0</v>
      </c>
      <c r="F266" s="227" t="s">
        <v>1254</v>
      </c>
      <c r="G266" s="227" t="s">
        <v>1994</v>
      </c>
      <c r="H266" s="100">
        <v>3</v>
      </c>
      <c r="I266" s="253"/>
      <c r="J266" s="829"/>
    </row>
    <row r="267" spans="2:10" s="93" customFormat="1" ht="18" outlineLevel="1" x14ac:dyDescent="0.25">
      <c r="B267" s="226" t="s">
        <v>1736</v>
      </c>
      <c r="C267" s="96" t="s">
        <v>1233</v>
      </c>
      <c r="D267" s="227">
        <v>1.03</v>
      </c>
      <c r="E267" s="518">
        <v>0</v>
      </c>
      <c r="F267" s="227" t="s">
        <v>1254</v>
      </c>
      <c r="G267" s="227" t="s">
        <v>1994</v>
      </c>
      <c r="H267" s="100">
        <v>3</v>
      </c>
      <c r="I267" s="253"/>
      <c r="J267" s="829"/>
    </row>
    <row r="268" spans="2:10" s="93" customFormat="1" ht="18" outlineLevel="1" x14ac:dyDescent="0.25">
      <c r="B268" s="974" t="s">
        <v>4280</v>
      </c>
      <c r="C268" s="975" t="s">
        <v>4281</v>
      </c>
      <c r="D268" s="970">
        <v>1.03</v>
      </c>
      <c r="E268" s="970">
        <v>0</v>
      </c>
      <c r="F268" s="970" t="s">
        <v>1254</v>
      </c>
      <c r="G268" s="970" t="s">
        <v>1994</v>
      </c>
      <c r="H268" s="971">
        <v>3</v>
      </c>
      <c r="I268" s="972"/>
      <c r="J268" s="973"/>
    </row>
    <row r="269" spans="2:10" s="93" customFormat="1" ht="18" outlineLevel="1" x14ac:dyDescent="0.25">
      <c r="B269" s="226" t="s">
        <v>869</v>
      </c>
      <c r="C269" s="96" t="s">
        <v>1234</v>
      </c>
      <c r="D269" s="227">
        <v>1.03</v>
      </c>
      <c r="E269" s="518">
        <v>0</v>
      </c>
      <c r="F269" s="227" t="s">
        <v>1254</v>
      </c>
      <c r="G269" s="227" t="s">
        <v>1994</v>
      </c>
      <c r="H269" s="100">
        <v>3</v>
      </c>
      <c r="I269" s="253"/>
      <c r="J269" s="829"/>
    </row>
    <row r="270" spans="2:10" s="93" customFormat="1" ht="18" outlineLevel="1" x14ac:dyDescent="0.25">
      <c r="B270" s="228" t="s">
        <v>2549</v>
      </c>
      <c r="C270" s="213" t="s">
        <v>1361</v>
      </c>
      <c r="D270" s="229">
        <v>1.04</v>
      </c>
      <c r="E270" s="519">
        <v>0</v>
      </c>
      <c r="F270" s="229" t="s">
        <v>1254</v>
      </c>
      <c r="G270" s="229" t="s">
        <v>1994</v>
      </c>
      <c r="H270" s="230">
        <v>3</v>
      </c>
      <c r="I270" s="254"/>
      <c r="J270" s="830"/>
    </row>
    <row r="271" spans="2:10" s="93" customFormat="1" ht="18" outlineLevel="1" x14ac:dyDescent="0.25">
      <c r="B271" s="228" t="s">
        <v>1713</v>
      </c>
      <c r="C271" s="213" t="s">
        <v>1362</v>
      </c>
      <c r="D271" s="229">
        <v>1.04</v>
      </c>
      <c r="E271" s="519">
        <v>0</v>
      </c>
      <c r="F271" s="229" t="s">
        <v>1254</v>
      </c>
      <c r="G271" s="229" t="s">
        <v>1994</v>
      </c>
      <c r="H271" s="230">
        <v>3</v>
      </c>
      <c r="I271" s="254"/>
      <c r="J271" s="830"/>
    </row>
    <row r="272" spans="2:10" s="93" customFormat="1" ht="18.75" outlineLevel="1" thickBot="1" x14ac:dyDescent="0.3">
      <c r="B272" s="1624" t="s">
        <v>891</v>
      </c>
      <c r="C272" s="197" t="s">
        <v>276</v>
      </c>
      <c r="D272" s="1667">
        <v>20</v>
      </c>
      <c r="E272" s="1690">
        <v>1</v>
      </c>
      <c r="F272" s="1667">
        <v>60</v>
      </c>
      <c r="G272" s="1667" t="s">
        <v>890</v>
      </c>
      <c r="H272" s="196">
        <v>1</v>
      </c>
      <c r="I272" s="197"/>
      <c r="J272" s="1722"/>
    </row>
    <row r="273" spans="2:14" s="93" customFormat="1" ht="15.75" thickBot="1" x14ac:dyDescent="0.3">
      <c r="B273" s="102"/>
      <c r="C273" s="1619"/>
      <c r="E273" s="1661"/>
      <c r="F273" s="1661"/>
      <c r="G273" s="1661"/>
      <c r="H273" s="1661"/>
      <c r="I273" s="651"/>
      <c r="J273" s="1619"/>
    </row>
    <row r="274" spans="2:14" s="93" customFormat="1" ht="15.75" thickBot="1" x14ac:dyDescent="0.3">
      <c r="B274" s="102"/>
      <c r="C274" s="145" t="s">
        <v>983</v>
      </c>
      <c r="D274" s="94" t="s">
        <v>319</v>
      </c>
      <c r="E274" s="94"/>
      <c r="F274" s="94"/>
      <c r="G274" s="94"/>
      <c r="H274" s="94"/>
      <c r="I274" s="102"/>
      <c r="J274" s="1619"/>
    </row>
    <row r="275" spans="2:14" s="93" customFormat="1" ht="15.75" thickBot="1" x14ac:dyDescent="0.3">
      <c r="B275" s="277" t="s">
        <v>0</v>
      </c>
      <c r="C275" s="281" t="s">
        <v>1</v>
      </c>
      <c r="D275" s="283" t="s">
        <v>838</v>
      </c>
      <c r="E275" s="447" t="s">
        <v>471</v>
      </c>
      <c r="F275" s="283" t="s">
        <v>472</v>
      </c>
      <c r="G275" s="283" t="s">
        <v>2</v>
      </c>
      <c r="H275" s="283" t="s">
        <v>302</v>
      </c>
      <c r="I275" s="281" t="s">
        <v>116</v>
      </c>
      <c r="J275" s="782" t="s">
        <v>117</v>
      </c>
    </row>
    <row r="276" spans="2:14" s="93" customFormat="1" ht="18" outlineLevel="1" x14ac:dyDescent="0.25">
      <c r="B276" s="338" t="s">
        <v>1715</v>
      </c>
      <c r="C276" s="339" t="s">
        <v>2305</v>
      </c>
      <c r="D276" s="675">
        <v>0.6</v>
      </c>
      <c r="E276" s="340">
        <v>0</v>
      </c>
      <c r="F276" s="340">
        <v>1</v>
      </c>
      <c r="G276" s="341" t="s">
        <v>2129</v>
      </c>
      <c r="H276" s="341">
        <v>2</v>
      </c>
      <c r="I276" s="339"/>
      <c r="J276" s="831"/>
      <c r="M276" s="94"/>
      <c r="N276" s="94"/>
    </row>
    <row r="277" spans="2:14" s="93" customFormat="1" ht="18" outlineLevel="1" x14ac:dyDescent="0.25">
      <c r="B277" s="182" t="s">
        <v>1716</v>
      </c>
      <c r="C277" s="374" t="s">
        <v>2306</v>
      </c>
      <c r="D277" s="676">
        <v>0.45</v>
      </c>
      <c r="E277" s="445">
        <v>0</v>
      </c>
      <c r="F277" s="185">
        <v>1</v>
      </c>
      <c r="G277" s="185" t="s">
        <v>2129</v>
      </c>
      <c r="H277" s="185">
        <v>2</v>
      </c>
      <c r="I277" s="183"/>
      <c r="J277" s="779"/>
      <c r="M277" s="1738"/>
      <c r="N277" s="1738"/>
    </row>
    <row r="278" spans="2:14" s="93" customFormat="1" ht="18" outlineLevel="1" x14ac:dyDescent="0.25">
      <c r="B278" s="182" t="s">
        <v>1717</v>
      </c>
      <c r="C278" s="374" t="s">
        <v>2307</v>
      </c>
      <c r="D278" s="676">
        <v>0.67</v>
      </c>
      <c r="E278" s="445">
        <v>0</v>
      </c>
      <c r="F278" s="185">
        <v>1</v>
      </c>
      <c r="G278" s="185" t="s">
        <v>2129</v>
      </c>
      <c r="H278" s="185">
        <v>2</v>
      </c>
      <c r="I278" s="183"/>
      <c r="J278" s="779"/>
      <c r="M278" s="1738"/>
      <c r="N278" s="1738"/>
    </row>
    <row r="279" spans="2:14" s="93" customFormat="1" ht="18" outlineLevel="1" x14ac:dyDescent="0.25">
      <c r="B279" s="182" t="s">
        <v>1718</v>
      </c>
      <c r="C279" s="374" t="s">
        <v>2308</v>
      </c>
      <c r="D279" s="676">
        <v>0.54</v>
      </c>
      <c r="E279" s="445">
        <v>0</v>
      </c>
      <c r="F279" s="185">
        <v>1</v>
      </c>
      <c r="G279" s="185" t="s">
        <v>2129</v>
      </c>
      <c r="H279" s="185">
        <v>2</v>
      </c>
      <c r="I279" s="183"/>
      <c r="J279" s="779"/>
      <c r="M279" s="1738"/>
      <c r="N279" s="1738"/>
    </row>
    <row r="280" spans="2:14" s="93" customFormat="1" ht="18" outlineLevel="1" x14ac:dyDescent="0.25">
      <c r="B280" s="182" t="s">
        <v>1719</v>
      </c>
      <c r="C280" s="374" t="s">
        <v>2309</v>
      </c>
      <c r="D280" s="677">
        <v>0.1</v>
      </c>
      <c r="E280" s="520">
        <v>0</v>
      </c>
      <c r="F280" s="185">
        <v>1</v>
      </c>
      <c r="G280" s="185" t="s">
        <v>2129</v>
      </c>
      <c r="H280" s="185">
        <v>2</v>
      </c>
      <c r="I280" s="183"/>
      <c r="J280" s="779"/>
      <c r="M280" s="1738"/>
      <c r="N280" s="1738"/>
    </row>
    <row r="281" spans="2:14" s="93" customFormat="1" ht="18" outlineLevel="1" x14ac:dyDescent="0.25">
      <c r="B281" s="182" t="s">
        <v>2150</v>
      </c>
      <c r="C281" s="183" t="s">
        <v>2310</v>
      </c>
      <c r="D281" s="676">
        <v>0.35</v>
      </c>
      <c r="E281" s="445">
        <v>0</v>
      </c>
      <c r="F281" s="185">
        <v>1</v>
      </c>
      <c r="G281" s="185" t="s">
        <v>2129</v>
      </c>
      <c r="H281" s="185">
        <v>2</v>
      </c>
      <c r="I281" s="183"/>
      <c r="J281" s="779"/>
      <c r="M281" s="1738"/>
      <c r="N281" s="1738"/>
    </row>
    <row r="282" spans="2:14" s="93" customFormat="1" ht="18" outlineLevel="1" x14ac:dyDescent="0.25">
      <c r="B282" s="182" t="s">
        <v>2151</v>
      </c>
      <c r="C282" s="183" t="s">
        <v>2311</v>
      </c>
      <c r="D282" s="676">
        <v>0.1</v>
      </c>
      <c r="E282" s="445">
        <v>0</v>
      </c>
      <c r="F282" s="185">
        <v>1</v>
      </c>
      <c r="G282" s="185" t="s">
        <v>2129</v>
      </c>
      <c r="H282" s="185">
        <v>2</v>
      </c>
      <c r="I282" s="183"/>
      <c r="J282" s="779"/>
      <c r="M282" s="1738"/>
      <c r="N282" s="1738"/>
    </row>
    <row r="283" spans="2:14" s="93" customFormat="1" ht="18" outlineLevel="1" x14ac:dyDescent="0.25">
      <c r="B283" s="182" t="s">
        <v>1720</v>
      </c>
      <c r="C283" s="374" t="s">
        <v>2312</v>
      </c>
      <c r="D283" s="677">
        <v>0.4</v>
      </c>
      <c r="E283" s="520">
        <v>0</v>
      </c>
      <c r="F283" s="185">
        <v>1</v>
      </c>
      <c r="G283" s="185" t="s">
        <v>2129</v>
      </c>
      <c r="H283" s="185">
        <v>2</v>
      </c>
      <c r="I283" s="183"/>
      <c r="J283" s="779"/>
    </row>
    <row r="284" spans="2:14" s="93" customFormat="1" ht="18" outlineLevel="1" x14ac:dyDescent="0.25">
      <c r="B284" s="182" t="s">
        <v>871</v>
      </c>
      <c r="C284" s="374" t="s">
        <v>2313</v>
      </c>
      <c r="D284" s="677">
        <v>0.4</v>
      </c>
      <c r="E284" s="520">
        <v>0</v>
      </c>
      <c r="F284" s="185">
        <v>1</v>
      </c>
      <c r="G284" s="185" t="s">
        <v>2129</v>
      </c>
      <c r="H284" s="185">
        <v>2</v>
      </c>
      <c r="I284" s="183"/>
      <c r="J284" s="779"/>
    </row>
    <row r="285" spans="2:14" s="93" customFormat="1" ht="18" outlineLevel="1" x14ac:dyDescent="0.25">
      <c r="B285" s="350" t="s">
        <v>4791</v>
      </c>
      <c r="C285" s="392" t="s">
        <v>4946</v>
      </c>
      <c r="D285" s="678">
        <v>0.63900000000000001</v>
      </c>
      <c r="E285" s="370">
        <v>0</v>
      </c>
      <c r="F285" s="139">
        <v>1</v>
      </c>
      <c r="G285" s="139" t="s">
        <v>4272</v>
      </c>
      <c r="H285" s="139">
        <v>3</v>
      </c>
      <c r="I285" s="138"/>
      <c r="J285" s="832"/>
    </row>
    <row r="286" spans="2:14" s="93" customFormat="1" ht="18" outlineLevel="1" x14ac:dyDescent="0.25">
      <c r="B286" s="350" t="s">
        <v>4781</v>
      </c>
      <c r="C286" s="392" t="s">
        <v>4782</v>
      </c>
      <c r="D286" s="678">
        <v>0.52</v>
      </c>
      <c r="E286" s="370">
        <v>0</v>
      </c>
      <c r="F286" s="139">
        <v>1</v>
      </c>
      <c r="G286" s="139" t="s">
        <v>4272</v>
      </c>
      <c r="H286" s="139">
        <v>2</v>
      </c>
      <c r="I286" s="138"/>
      <c r="J286" s="832"/>
    </row>
    <row r="287" spans="2:14" s="93" customFormat="1" ht="18" outlineLevel="1" x14ac:dyDescent="0.25">
      <c r="B287" s="157" t="s">
        <v>3774</v>
      </c>
      <c r="C287" s="392" t="s">
        <v>3775</v>
      </c>
      <c r="D287" s="679">
        <v>0.1</v>
      </c>
      <c r="E287" s="400">
        <v>0</v>
      </c>
      <c r="F287" s="139">
        <v>1</v>
      </c>
      <c r="G287" s="139" t="s">
        <v>4272</v>
      </c>
      <c r="H287" s="139">
        <v>2</v>
      </c>
      <c r="I287" s="138"/>
      <c r="J287" s="832"/>
      <c r="M287" s="1738"/>
      <c r="N287" s="1738"/>
    </row>
    <row r="288" spans="2:14" s="93" customFormat="1" ht="18" outlineLevel="1" x14ac:dyDescent="0.25">
      <c r="B288" s="157" t="s">
        <v>3777</v>
      </c>
      <c r="C288" s="138" t="s">
        <v>3778</v>
      </c>
      <c r="D288" s="678">
        <v>0.35</v>
      </c>
      <c r="E288" s="370">
        <v>0</v>
      </c>
      <c r="F288" s="139">
        <v>1</v>
      </c>
      <c r="G288" s="139" t="s">
        <v>4272</v>
      </c>
      <c r="H288" s="139">
        <v>2</v>
      </c>
      <c r="I288" s="138"/>
      <c r="J288" s="832"/>
      <c r="M288" s="1738"/>
      <c r="N288" s="1738"/>
    </row>
    <row r="289" spans="2:16" s="93" customFormat="1" ht="18" outlineLevel="1" x14ac:dyDescent="0.25">
      <c r="B289" s="157" t="s">
        <v>3781</v>
      </c>
      <c r="C289" s="138" t="s">
        <v>3782</v>
      </c>
      <c r="D289" s="678">
        <v>0.1</v>
      </c>
      <c r="E289" s="370">
        <v>0</v>
      </c>
      <c r="F289" s="139">
        <v>1</v>
      </c>
      <c r="G289" s="139" t="s">
        <v>4272</v>
      </c>
      <c r="H289" s="139">
        <v>2</v>
      </c>
      <c r="I289" s="138"/>
      <c r="J289" s="832"/>
      <c r="M289" s="1738"/>
      <c r="N289" s="1738"/>
    </row>
    <row r="290" spans="2:16" s="93" customFormat="1" ht="18" outlineLevel="1" x14ac:dyDescent="0.25">
      <c r="B290" s="350" t="s">
        <v>3785</v>
      </c>
      <c r="C290" s="392" t="s">
        <v>3786</v>
      </c>
      <c r="D290" s="678">
        <v>0.33</v>
      </c>
      <c r="E290" s="370">
        <v>0</v>
      </c>
      <c r="F290" s="139">
        <v>1</v>
      </c>
      <c r="G290" s="139" t="s">
        <v>4274</v>
      </c>
      <c r="H290" s="139">
        <v>2</v>
      </c>
      <c r="I290" s="138"/>
      <c r="J290" s="832"/>
    </row>
    <row r="291" spans="2:16" s="93" customFormat="1" ht="18" outlineLevel="1" x14ac:dyDescent="0.25">
      <c r="B291" s="350" t="s">
        <v>3797</v>
      </c>
      <c r="C291" s="392" t="s">
        <v>3796</v>
      </c>
      <c r="D291" s="678">
        <v>0.23</v>
      </c>
      <c r="E291" s="370">
        <v>0</v>
      </c>
      <c r="F291" s="139">
        <v>1</v>
      </c>
      <c r="G291" s="139" t="s">
        <v>4274</v>
      </c>
      <c r="H291" s="139">
        <v>2</v>
      </c>
      <c r="I291" s="138"/>
      <c r="J291" s="832"/>
    </row>
    <row r="292" spans="2:16" s="93" customFormat="1" ht="18" outlineLevel="1" x14ac:dyDescent="0.25">
      <c r="B292" s="157" t="s">
        <v>880</v>
      </c>
      <c r="C292" s="392" t="s">
        <v>2314</v>
      </c>
      <c r="D292" s="678">
        <v>0.65</v>
      </c>
      <c r="E292" s="370">
        <v>0</v>
      </c>
      <c r="F292" s="139">
        <v>1</v>
      </c>
      <c r="G292" s="139" t="s">
        <v>4275</v>
      </c>
      <c r="H292" s="139">
        <v>2</v>
      </c>
      <c r="I292" s="138"/>
      <c r="J292" s="832"/>
    </row>
    <row r="293" spans="2:16" s="93" customFormat="1" ht="18" outlineLevel="1" x14ac:dyDescent="0.25">
      <c r="B293" s="157" t="s">
        <v>881</v>
      </c>
      <c r="C293" s="392" t="s">
        <v>268</v>
      </c>
      <c r="D293" s="680">
        <f>(30+31+3*16)/31</f>
        <v>3.5161290322580645</v>
      </c>
      <c r="E293" s="397">
        <v>0</v>
      </c>
      <c r="F293" s="139">
        <v>10</v>
      </c>
      <c r="G293" s="139" t="s">
        <v>4276</v>
      </c>
      <c r="H293" s="139">
        <v>1</v>
      </c>
      <c r="I293" s="138"/>
      <c r="J293" s="832"/>
    </row>
    <row r="294" spans="2:16" s="93" customFormat="1" ht="18" outlineLevel="1" x14ac:dyDescent="0.25">
      <c r="B294" s="685" t="s">
        <v>4776</v>
      </c>
      <c r="C294" s="686" t="s">
        <v>4777</v>
      </c>
      <c r="D294" s="687">
        <v>0.6</v>
      </c>
      <c r="E294" s="687">
        <v>0</v>
      </c>
      <c r="F294" s="687">
        <v>1</v>
      </c>
      <c r="G294" s="687" t="s">
        <v>2129</v>
      </c>
      <c r="H294" s="687">
        <v>3</v>
      </c>
      <c r="I294" s="686"/>
      <c r="J294" s="833"/>
    </row>
    <row r="295" spans="2:16" s="93" customFormat="1" ht="18" outlineLevel="1" x14ac:dyDescent="0.25">
      <c r="B295" s="685" t="s">
        <v>4779</v>
      </c>
      <c r="C295" s="686" t="s">
        <v>4778</v>
      </c>
      <c r="D295" s="688">
        <v>0.5</v>
      </c>
      <c r="E295" s="687">
        <v>0</v>
      </c>
      <c r="F295" s="687">
        <v>1</v>
      </c>
      <c r="G295" s="687" t="s">
        <v>2129</v>
      </c>
      <c r="H295" s="687">
        <v>2</v>
      </c>
      <c r="I295" s="686"/>
      <c r="J295" s="833"/>
    </row>
    <row r="296" spans="2:16" s="93" customFormat="1" ht="18" outlineLevel="1" x14ac:dyDescent="0.25">
      <c r="B296" s="187" t="s">
        <v>870</v>
      </c>
      <c r="C296" s="426" t="s">
        <v>2315</v>
      </c>
      <c r="D296" s="681">
        <v>0.24</v>
      </c>
      <c r="E296" s="369">
        <v>0</v>
      </c>
      <c r="F296" s="189">
        <v>1</v>
      </c>
      <c r="G296" s="189" t="s">
        <v>4273</v>
      </c>
      <c r="H296" s="189">
        <v>2</v>
      </c>
      <c r="I296" s="188"/>
      <c r="J296" s="799"/>
    </row>
    <row r="297" spans="2:16" s="93" customFormat="1" ht="18" outlineLevel="1" x14ac:dyDescent="0.25">
      <c r="B297" s="190" t="s">
        <v>873</v>
      </c>
      <c r="C297" s="427" t="s">
        <v>2316</v>
      </c>
      <c r="D297" s="682">
        <v>0.1</v>
      </c>
      <c r="E297" s="521">
        <v>0</v>
      </c>
      <c r="F297" s="337">
        <v>1</v>
      </c>
      <c r="G297" s="251" t="s">
        <v>2129</v>
      </c>
      <c r="H297" s="251">
        <v>2</v>
      </c>
      <c r="I297" s="336"/>
      <c r="J297" s="834"/>
    </row>
    <row r="298" spans="2:16" s="93" customFormat="1" ht="18.75" outlineLevel="1" thickBot="1" x14ac:dyDescent="0.3">
      <c r="B298" s="294" t="s">
        <v>872</v>
      </c>
      <c r="C298" s="348" t="s">
        <v>2317</v>
      </c>
      <c r="D298" s="683">
        <v>0.1</v>
      </c>
      <c r="E298" s="522">
        <v>0</v>
      </c>
      <c r="F298" s="349">
        <v>1</v>
      </c>
      <c r="G298" s="347" t="s">
        <v>2129</v>
      </c>
      <c r="H298" s="347">
        <v>2</v>
      </c>
      <c r="I298" s="348"/>
      <c r="J298" s="835"/>
    </row>
    <row r="299" spans="2:16" ht="15.75" thickBot="1" x14ac:dyDescent="0.3">
      <c r="C299" s="651"/>
      <c r="D299" s="1661"/>
      <c r="E299" s="1661"/>
      <c r="F299" s="1661"/>
      <c r="G299" s="1661"/>
      <c r="H299" s="1661"/>
      <c r="I299" s="651"/>
      <c r="J299" s="1619"/>
      <c r="K299" s="93"/>
      <c r="M299" s="1738"/>
      <c r="N299" s="1738"/>
      <c r="O299" s="93"/>
      <c r="P299" s="93"/>
    </row>
    <row r="300" spans="2:16" ht="15.75" thickBot="1" x14ac:dyDescent="0.3">
      <c r="C300" s="149" t="s">
        <v>799</v>
      </c>
      <c r="D300" s="94" t="s">
        <v>319</v>
      </c>
      <c r="J300" s="1619"/>
      <c r="K300" s="93"/>
      <c r="M300" s="1738"/>
      <c r="N300" s="1738"/>
      <c r="O300" s="93"/>
      <c r="P300" s="93"/>
    </row>
    <row r="301" spans="2:16" ht="15.75" thickBot="1" x14ac:dyDescent="0.3">
      <c r="B301" s="155" t="s">
        <v>0</v>
      </c>
      <c r="C301" s="148" t="s">
        <v>1</v>
      </c>
      <c r="D301" s="132" t="s">
        <v>838</v>
      </c>
      <c r="E301" s="447" t="s">
        <v>471</v>
      </c>
      <c r="F301" s="132" t="s">
        <v>472</v>
      </c>
      <c r="G301" s="132" t="s">
        <v>2</v>
      </c>
      <c r="H301" s="132" t="s">
        <v>302</v>
      </c>
      <c r="I301" s="148" t="s">
        <v>116</v>
      </c>
      <c r="J301" s="836" t="s">
        <v>117</v>
      </c>
      <c r="K301" s="93"/>
      <c r="M301" s="1738"/>
      <c r="N301" s="1738"/>
      <c r="O301" s="93"/>
      <c r="P301" s="93"/>
    </row>
    <row r="302" spans="2:16" s="93" customFormat="1" ht="18.75" outlineLevel="1" x14ac:dyDescent="0.25">
      <c r="B302" s="1625" t="s">
        <v>874</v>
      </c>
      <c r="C302" s="1646" t="s">
        <v>2320</v>
      </c>
      <c r="D302" s="1668">
        <v>0.08</v>
      </c>
      <c r="E302" s="1691">
        <v>0</v>
      </c>
      <c r="F302" s="1668">
        <v>0.5</v>
      </c>
      <c r="G302" s="1702" t="s">
        <v>2635</v>
      </c>
      <c r="H302" s="1668">
        <v>2</v>
      </c>
      <c r="I302" s="1710"/>
      <c r="J302" s="1723"/>
    </row>
    <row r="303" spans="2:16" s="93" customFormat="1" ht="18" outlineLevel="1" x14ac:dyDescent="0.25">
      <c r="B303" s="298" t="s">
        <v>875</v>
      </c>
      <c r="C303" s="428" t="s">
        <v>272</v>
      </c>
      <c r="D303" s="433">
        <v>7.0000000000000007E-2</v>
      </c>
      <c r="E303" s="523">
        <v>0</v>
      </c>
      <c r="F303" s="434">
        <v>0.5</v>
      </c>
      <c r="G303" s="434" t="s">
        <v>1892</v>
      </c>
      <c r="H303" s="434">
        <v>3</v>
      </c>
      <c r="I303" s="837"/>
      <c r="J303" s="838"/>
    </row>
    <row r="304" spans="2:16" s="93" customFormat="1" ht="18" outlineLevel="1" x14ac:dyDescent="0.25">
      <c r="B304" s="298" t="s">
        <v>4323</v>
      </c>
      <c r="C304" s="428" t="s">
        <v>4324</v>
      </c>
      <c r="D304" s="433">
        <v>7.0000000000000007E-2</v>
      </c>
      <c r="E304" s="523">
        <v>0</v>
      </c>
      <c r="F304" s="434">
        <v>0.5</v>
      </c>
      <c r="G304" s="434" t="s">
        <v>4325</v>
      </c>
      <c r="H304" s="434">
        <v>3</v>
      </c>
      <c r="I304" s="837"/>
      <c r="J304" s="866"/>
      <c r="K304" s="1738"/>
    </row>
    <row r="305" spans="2:11" s="93" customFormat="1" ht="18" outlineLevel="1" x14ac:dyDescent="0.25">
      <c r="B305" s="298" t="s">
        <v>2131</v>
      </c>
      <c r="C305" s="428" t="s">
        <v>2132</v>
      </c>
      <c r="D305" s="433">
        <v>0.06</v>
      </c>
      <c r="E305" s="523">
        <v>0</v>
      </c>
      <c r="F305" s="434">
        <v>0.5</v>
      </c>
      <c r="G305" s="434" t="s">
        <v>1892</v>
      </c>
      <c r="H305" s="434">
        <v>3</v>
      </c>
      <c r="I305" s="837"/>
      <c r="J305" s="838"/>
    </row>
    <row r="306" spans="2:11" s="93" customFormat="1" ht="18" outlineLevel="1" x14ac:dyDescent="0.25">
      <c r="B306" s="298" t="s">
        <v>1120</v>
      </c>
      <c r="C306" s="428" t="s">
        <v>2321</v>
      </c>
      <c r="D306" s="865">
        <v>0.01</v>
      </c>
      <c r="E306" s="523">
        <v>0</v>
      </c>
      <c r="F306" s="434">
        <v>0.5</v>
      </c>
      <c r="G306" s="434" t="s">
        <v>1892</v>
      </c>
      <c r="H306" s="434">
        <v>3</v>
      </c>
      <c r="I306" s="837"/>
      <c r="J306" s="866" t="s">
        <v>4100</v>
      </c>
      <c r="K306" s="1738"/>
    </row>
    <row r="307" spans="2:11" s="93" customFormat="1" ht="18" outlineLevel="1" x14ac:dyDescent="0.25">
      <c r="B307" s="298" t="s">
        <v>1055</v>
      </c>
      <c r="C307" s="428" t="s">
        <v>2322</v>
      </c>
      <c r="D307" s="433">
        <v>0.01</v>
      </c>
      <c r="E307" s="523">
        <v>0</v>
      </c>
      <c r="F307" s="434">
        <v>0.1</v>
      </c>
      <c r="G307" s="434" t="s">
        <v>1892</v>
      </c>
      <c r="H307" s="434">
        <v>3</v>
      </c>
      <c r="I307" s="837"/>
      <c r="J307" s="838"/>
      <c r="K307" s="1738"/>
    </row>
    <row r="308" spans="2:11" s="93" customFormat="1" ht="18" outlineLevel="1" x14ac:dyDescent="0.25">
      <c r="B308" s="298" t="s">
        <v>1121</v>
      </c>
      <c r="C308" s="428" t="s">
        <v>2323</v>
      </c>
      <c r="D308" s="433">
        <v>0.01</v>
      </c>
      <c r="E308" s="523">
        <v>0</v>
      </c>
      <c r="F308" s="434">
        <v>0.1</v>
      </c>
      <c r="G308" s="434" t="s">
        <v>1892</v>
      </c>
      <c r="H308" s="434">
        <v>3</v>
      </c>
      <c r="I308" s="837"/>
      <c r="J308" s="866" t="s">
        <v>4101</v>
      </c>
      <c r="K308" s="1738"/>
    </row>
    <row r="309" spans="2:11" s="93" customFormat="1" ht="18" outlineLevel="1" x14ac:dyDescent="0.25">
      <c r="B309" s="298" t="s">
        <v>1363</v>
      </c>
      <c r="C309" s="429" t="s">
        <v>2324</v>
      </c>
      <c r="D309" s="435">
        <v>5.7075504823359977E-2</v>
      </c>
      <c r="E309" s="523">
        <v>0</v>
      </c>
      <c r="F309" s="434">
        <v>1</v>
      </c>
      <c r="G309" s="434" t="s">
        <v>1897</v>
      </c>
      <c r="H309" s="434">
        <v>2</v>
      </c>
      <c r="I309" s="837"/>
      <c r="J309" s="839" t="s">
        <v>1987</v>
      </c>
    </row>
    <row r="310" spans="2:11" s="93" customFormat="1" ht="18" outlineLevel="1" x14ac:dyDescent="0.25">
      <c r="B310" s="436" t="s">
        <v>876</v>
      </c>
      <c r="C310" s="430" t="s">
        <v>273</v>
      </c>
      <c r="D310" s="437">
        <v>0.02</v>
      </c>
      <c r="E310" s="524">
        <v>0</v>
      </c>
      <c r="F310" s="438">
        <v>0.1</v>
      </c>
      <c r="G310" s="438" t="s">
        <v>1893</v>
      </c>
      <c r="H310" s="438">
        <v>3</v>
      </c>
      <c r="I310" s="840"/>
      <c r="J310" s="841"/>
    </row>
    <row r="311" spans="2:11" s="93" customFormat="1" ht="18" outlineLevel="1" x14ac:dyDescent="0.25">
      <c r="B311" s="436" t="s">
        <v>4326</v>
      </c>
      <c r="C311" s="430" t="s">
        <v>4327</v>
      </c>
      <c r="D311" s="437">
        <v>0.02</v>
      </c>
      <c r="E311" s="524">
        <v>0</v>
      </c>
      <c r="F311" s="438">
        <v>0.1</v>
      </c>
      <c r="G311" s="438" t="s">
        <v>4328</v>
      </c>
      <c r="H311" s="438">
        <v>3</v>
      </c>
      <c r="I311" s="840"/>
      <c r="J311" s="841"/>
      <c r="K311" s="1738"/>
    </row>
    <row r="312" spans="2:11" s="93" customFormat="1" ht="18" outlineLevel="1" x14ac:dyDescent="0.25">
      <c r="B312" s="436" t="s">
        <v>1056</v>
      </c>
      <c r="C312" s="430" t="s">
        <v>2325</v>
      </c>
      <c r="D312" s="867">
        <v>2E-3</v>
      </c>
      <c r="E312" s="524">
        <v>0</v>
      </c>
      <c r="F312" s="438">
        <v>0.1</v>
      </c>
      <c r="G312" s="438" t="s">
        <v>1893</v>
      </c>
      <c r="H312" s="438">
        <v>3</v>
      </c>
      <c r="I312" s="840"/>
      <c r="J312" s="868" t="s">
        <v>4102</v>
      </c>
      <c r="K312" s="1738"/>
    </row>
    <row r="313" spans="2:11" s="93" customFormat="1" ht="18" outlineLevel="1" x14ac:dyDescent="0.25">
      <c r="B313" s="436" t="s">
        <v>1057</v>
      </c>
      <c r="C313" s="430" t="s">
        <v>2326</v>
      </c>
      <c r="D313" s="867">
        <v>2E-3</v>
      </c>
      <c r="E313" s="524">
        <v>0</v>
      </c>
      <c r="F313" s="438">
        <v>0.1</v>
      </c>
      <c r="G313" s="438" t="s">
        <v>1893</v>
      </c>
      <c r="H313" s="438">
        <v>3</v>
      </c>
      <c r="I313" s="840"/>
      <c r="J313" s="868" t="s">
        <v>4102</v>
      </c>
      <c r="K313" s="1738"/>
    </row>
    <row r="314" spans="2:11" s="93" customFormat="1" ht="18" outlineLevel="1" x14ac:dyDescent="0.25">
      <c r="B314" s="436" t="s">
        <v>1058</v>
      </c>
      <c r="C314" s="430" t="s">
        <v>2327</v>
      </c>
      <c r="D314" s="437">
        <v>2E-3</v>
      </c>
      <c r="E314" s="524">
        <v>0</v>
      </c>
      <c r="F314" s="438">
        <v>0.1</v>
      </c>
      <c r="G314" s="438" t="s">
        <v>1893</v>
      </c>
      <c r="H314" s="438">
        <v>3</v>
      </c>
      <c r="I314" s="840"/>
      <c r="J314" s="841"/>
      <c r="K314" s="1738"/>
    </row>
    <row r="315" spans="2:11" s="93" customFormat="1" ht="18" outlineLevel="1" x14ac:dyDescent="0.25">
      <c r="B315" s="436" t="s">
        <v>879</v>
      </c>
      <c r="C315" s="431" t="s">
        <v>2328</v>
      </c>
      <c r="D315" s="439">
        <v>0.12621410566683836</v>
      </c>
      <c r="E315" s="524">
        <v>0</v>
      </c>
      <c r="F315" s="438">
        <v>1</v>
      </c>
      <c r="G315" s="438" t="s">
        <v>1898</v>
      </c>
      <c r="H315" s="438">
        <v>2</v>
      </c>
      <c r="I315" s="840"/>
      <c r="J315" s="842" t="s">
        <v>1988</v>
      </c>
    </row>
    <row r="316" spans="2:11" s="93" customFormat="1" ht="18" outlineLevel="1" x14ac:dyDescent="0.25">
      <c r="B316" s="436" t="s">
        <v>1364</v>
      </c>
      <c r="C316" s="431" t="s">
        <v>2329</v>
      </c>
      <c r="D316" s="439">
        <v>0.16206538757887573</v>
      </c>
      <c r="E316" s="524">
        <v>0</v>
      </c>
      <c r="F316" s="438">
        <v>1</v>
      </c>
      <c r="G316" s="438" t="s">
        <v>1898</v>
      </c>
      <c r="H316" s="438">
        <v>2</v>
      </c>
      <c r="I316" s="840"/>
      <c r="J316" s="842" t="s">
        <v>1989</v>
      </c>
    </row>
    <row r="317" spans="2:11" s="93" customFormat="1" ht="18" outlineLevel="1" x14ac:dyDescent="0.25">
      <c r="B317" s="634" t="s">
        <v>3454</v>
      </c>
      <c r="C317" s="635" t="s">
        <v>3455</v>
      </c>
      <c r="D317" s="636">
        <v>0.179988070070871</v>
      </c>
      <c r="E317" s="637">
        <v>0</v>
      </c>
      <c r="F317" s="637">
        <v>1</v>
      </c>
      <c r="G317" s="637" t="s">
        <v>1898</v>
      </c>
      <c r="H317" s="637">
        <v>2</v>
      </c>
      <c r="I317" s="843"/>
      <c r="J317" s="844" t="s">
        <v>4184</v>
      </c>
    </row>
    <row r="318" spans="2:11" s="93" customFormat="1" ht="18" outlineLevel="1" x14ac:dyDescent="0.25">
      <c r="B318" s="436" t="s">
        <v>1369</v>
      </c>
      <c r="C318" s="431" t="s">
        <v>2330</v>
      </c>
      <c r="D318" s="439">
        <v>0.1234998580474381</v>
      </c>
      <c r="E318" s="524">
        <v>0</v>
      </c>
      <c r="F318" s="438">
        <v>1</v>
      </c>
      <c r="G318" s="438" t="s">
        <v>1898</v>
      </c>
      <c r="H318" s="438">
        <v>2</v>
      </c>
      <c r="I318" s="840"/>
      <c r="J318" s="842" t="s">
        <v>1990</v>
      </c>
    </row>
    <row r="319" spans="2:11" s="93" customFormat="1" ht="18" outlineLevel="1" x14ac:dyDescent="0.25">
      <c r="B319" s="443" t="s">
        <v>2319</v>
      </c>
      <c r="C319" s="429" t="s">
        <v>2332</v>
      </c>
      <c r="D319" s="435">
        <v>1.8</v>
      </c>
      <c r="E319" s="523">
        <v>0</v>
      </c>
      <c r="F319" s="434">
        <v>5</v>
      </c>
      <c r="G319" s="434" t="s">
        <v>1894</v>
      </c>
      <c r="H319" s="434">
        <v>2</v>
      </c>
      <c r="I319" s="837" t="s">
        <v>2168</v>
      </c>
      <c r="J319" s="838"/>
      <c r="K319" s="1738"/>
    </row>
    <row r="320" spans="2:11" s="93" customFormat="1" ht="18" outlineLevel="1" x14ac:dyDescent="0.25">
      <c r="B320" s="443" t="s">
        <v>2318</v>
      </c>
      <c r="C320" s="429" t="s">
        <v>2333</v>
      </c>
      <c r="D320" s="435">
        <v>1.3</v>
      </c>
      <c r="E320" s="523">
        <v>0</v>
      </c>
      <c r="F320" s="434">
        <v>5</v>
      </c>
      <c r="G320" s="434" t="s">
        <v>1894</v>
      </c>
      <c r="H320" s="434">
        <v>2</v>
      </c>
      <c r="I320" s="837" t="s">
        <v>3120</v>
      </c>
      <c r="J320" s="838"/>
      <c r="K320" s="1738"/>
    </row>
    <row r="321" spans="2:11" s="93" customFormat="1" ht="18" outlineLevel="1" x14ac:dyDescent="0.25">
      <c r="B321" s="443" t="s">
        <v>877</v>
      </c>
      <c r="C321" s="429" t="s">
        <v>2331</v>
      </c>
      <c r="D321" s="435">
        <v>1.42</v>
      </c>
      <c r="E321" s="523">
        <v>0</v>
      </c>
      <c r="F321" s="434">
        <v>5</v>
      </c>
      <c r="G321" s="434" t="s">
        <v>1894</v>
      </c>
      <c r="H321" s="434">
        <v>2</v>
      </c>
      <c r="I321" s="837"/>
      <c r="J321" s="838"/>
      <c r="K321" s="1738"/>
    </row>
    <row r="322" spans="2:11" s="93" customFormat="1" ht="18" outlineLevel="1" x14ac:dyDescent="0.25">
      <c r="B322" s="443" t="s">
        <v>2578</v>
      </c>
      <c r="C322" s="429" t="s">
        <v>2339</v>
      </c>
      <c r="D322" s="435">
        <v>1.42</v>
      </c>
      <c r="E322" s="523">
        <v>0</v>
      </c>
      <c r="F322" s="434">
        <v>5</v>
      </c>
      <c r="G322" s="434" t="s">
        <v>1894</v>
      </c>
      <c r="H322" s="434">
        <v>2</v>
      </c>
      <c r="I322" s="837"/>
      <c r="J322" s="838"/>
      <c r="K322" s="1738"/>
    </row>
    <row r="323" spans="2:11" s="93" customFormat="1" ht="18" outlineLevel="1" x14ac:dyDescent="0.25">
      <c r="B323" s="443" t="s">
        <v>1139</v>
      </c>
      <c r="C323" s="429" t="s">
        <v>2334</v>
      </c>
      <c r="D323" s="435">
        <v>1.0660000000000001</v>
      </c>
      <c r="E323" s="523">
        <v>0</v>
      </c>
      <c r="F323" s="434">
        <v>5</v>
      </c>
      <c r="G323" s="434" t="s">
        <v>1895</v>
      </c>
      <c r="H323" s="434">
        <v>2</v>
      </c>
      <c r="I323" s="837"/>
      <c r="J323" s="838"/>
      <c r="K323" s="1738"/>
    </row>
    <row r="324" spans="2:11" s="93" customFormat="1" ht="18" outlineLevel="1" x14ac:dyDescent="0.25">
      <c r="B324" s="443" t="s">
        <v>1140</v>
      </c>
      <c r="C324" s="429" t="s">
        <v>2335</v>
      </c>
      <c r="D324" s="435">
        <v>1.0660000000000001</v>
      </c>
      <c r="E324" s="523">
        <v>0</v>
      </c>
      <c r="F324" s="434">
        <v>5</v>
      </c>
      <c r="G324" s="434" t="s">
        <v>1895</v>
      </c>
      <c r="H324" s="434">
        <v>2</v>
      </c>
      <c r="I324" s="837"/>
      <c r="J324" s="838"/>
      <c r="K324" s="1738"/>
    </row>
    <row r="325" spans="2:11" s="93" customFormat="1" ht="18" outlineLevel="1" x14ac:dyDescent="0.25">
      <c r="B325" s="443" t="s">
        <v>1141</v>
      </c>
      <c r="C325" s="429" t="s">
        <v>2336</v>
      </c>
      <c r="D325" s="435">
        <v>0.92600000000000005</v>
      </c>
      <c r="E325" s="523">
        <v>0</v>
      </c>
      <c r="F325" s="434">
        <v>5</v>
      </c>
      <c r="G325" s="434" t="s">
        <v>1895</v>
      </c>
      <c r="H325" s="434">
        <v>2</v>
      </c>
      <c r="I325" s="837"/>
      <c r="J325" s="838"/>
      <c r="K325" s="1738"/>
    </row>
    <row r="326" spans="2:11" s="93" customFormat="1" ht="18" outlineLevel="1" x14ac:dyDescent="0.25">
      <c r="B326" s="443" t="s">
        <v>1142</v>
      </c>
      <c r="C326" s="429" t="s">
        <v>2337</v>
      </c>
      <c r="D326" s="435">
        <v>1.8</v>
      </c>
      <c r="E326" s="523">
        <v>0</v>
      </c>
      <c r="F326" s="434">
        <v>5</v>
      </c>
      <c r="G326" s="434" t="s">
        <v>1895</v>
      </c>
      <c r="H326" s="434">
        <v>2</v>
      </c>
      <c r="I326" s="837"/>
      <c r="J326" s="838"/>
      <c r="K326" s="1738"/>
    </row>
    <row r="327" spans="2:11" s="93" customFormat="1" ht="18" outlineLevel="1" x14ac:dyDescent="0.25">
      <c r="B327" s="443" t="s">
        <v>1143</v>
      </c>
      <c r="C327" s="429" t="s">
        <v>2338</v>
      </c>
      <c r="D327" s="435">
        <v>1.3</v>
      </c>
      <c r="E327" s="523">
        <v>0</v>
      </c>
      <c r="F327" s="434">
        <v>5</v>
      </c>
      <c r="G327" s="434" t="s">
        <v>1895</v>
      </c>
      <c r="H327" s="434">
        <v>2</v>
      </c>
      <c r="I327" s="837"/>
      <c r="J327" s="838"/>
      <c r="K327" s="1738"/>
    </row>
    <row r="328" spans="2:11" s="93" customFormat="1" ht="18" outlineLevel="1" x14ac:dyDescent="0.25">
      <c r="B328" s="443" t="s">
        <v>878</v>
      </c>
      <c r="C328" s="429" t="s">
        <v>2346</v>
      </c>
      <c r="D328" s="435">
        <v>1.67</v>
      </c>
      <c r="E328" s="523">
        <v>0</v>
      </c>
      <c r="F328" s="434">
        <v>5</v>
      </c>
      <c r="G328" s="434" t="s">
        <v>1894</v>
      </c>
      <c r="H328" s="434">
        <v>2</v>
      </c>
      <c r="I328" s="837"/>
      <c r="J328" s="838"/>
      <c r="K328" s="1738"/>
    </row>
    <row r="329" spans="2:11" s="200" customFormat="1" ht="18" outlineLevel="1" x14ac:dyDescent="0.25">
      <c r="B329" s="440" t="s">
        <v>1610</v>
      </c>
      <c r="C329" s="430" t="s">
        <v>2340</v>
      </c>
      <c r="D329" s="439">
        <v>0.35199999999999998</v>
      </c>
      <c r="E329" s="524">
        <v>0</v>
      </c>
      <c r="F329" s="438">
        <v>5</v>
      </c>
      <c r="G329" s="441" t="s">
        <v>1896</v>
      </c>
      <c r="H329" s="438">
        <v>2</v>
      </c>
      <c r="I329" s="845"/>
      <c r="J329" s="841" t="s">
        <v>1964</v>
      </c>
      <c r="K329" s="1739"/>
    </row>
    <row r="330" spans="2:11" s="200" customFormat="1" ht="18" outlineLevel="1" x14ac:dyDescent="0.25">
      <c r="B330" s="440" t="s">
        <v>4319</v>
      </c>
      <c r="C330" s="432" t="s">
        <v>4320</v>
      </c>
      <c r="D330" s="442">
        <v>0.375</v>
      </c>
      <c r="E330" s="524">
        <v>0</v>
      </c>
      <c r="F330" s="438">
        <v>5</v>
      </c>
      <c r="G330" s="441" t="s">
        <v>4321</v>
      </c>
      <c r="H330" s="438">
        <v>2</v>
      </c>
      <c r="I330" s="845"/>
      <c r="J330" s="841" t="s">
        <v>4322</v>
      </c>
      <c r="K330" s="1739"/>
    </row>
    <row r="331" spans="2:11" s="200" customFormat="1" ht="18" outlineLevel="1" x14ac:dyDescent="0.25">
      <c r="B331" s="440" t="s">
        <v>1959</v>
      </c>
      <c r="C331" s="430" t="s">
        <v>2341</v>
      </c>
      <c r="D331" s="439">
        <v>0.28599999999999998</v>
      </c>
      <c r="E331" s="524">
        <v>0</v>
      </c>
      <c r="F331" s="438">
        <v>5</v>
      </c>
      <c r="G331" s="441" t="s">
        <v>1896</v>
      </c>
      <c r="H331" s="438">
        <v>2</v>
      </c>
      <c r="I331" s="845"/>
      <c r="J331" s="841" t="s">
        <v>1964</v>
      </c>
      <c r="K331" s="1739"/>
    </row>
    <row r="332" spans="2:11" s="200" customFormat="1" ht="18" outlineLevel="1" x14ac:dyDescent="0.25">
      <c r="B332" s="440" t="s">
        <v>4951</v>
      </c>
      <c r="C332" s="430" t="s">
        <v>4952</v>
      </c>
      <c r="D332" s="439">
        <v>0.28599999999999998</v>
      </c>
      <c r="E332" s="524">
        <v>0</v>
      </c>
      <c r="F332" s="438">
        <v>5</v>
      </c>
      <c r="G332" s="441" t="s">
        <v>1896</v>
      </c>
      <c r="H332" s="438">
        <v>2</v>
      </c>
      <c r="I332" s="845"/>
      <c r="J332" s="841" t="s">
        <v>1964</v>
      </c>
      <c r="K332" s="1739"/>
    </row>
    <row r="333" spans="2:11" s="200" customFormat="1" ht="18" outlineLevel="1" x14ac:dyDescent="0.25">
      <c r="B333" s="440" t="s">
        <v>1960</v>
      </c>
      <c r="C333" s="430" t="s">
        <v>2342</v>
      </c>
      <c r="D333" s="439">
        <v>0.25</v>
      </c>
      <c r="E333" s="524">
        <v>0</v>
      </c>
      <c r="F333" s="438">
        <v>5</v>
      </c>
      <c r="G333" s="441" t="s">
        <v>1896</v>
      </c>
      <c r="H333" s="438">
        <v>2</v>
      </c>
      <c r="I333" s="845"/>
      <c r="J333" s="841" t="s">
        <v>2130</v>
      </c>
      <c r="K333" s="1739"/>
    </row>
    <row r="334" spans="2:11" s="200" customFormat="1" ht="18" outlineLevel="1" x14ac:dyDescent="0.25">
      <c r="B334" s="440" t="s">
        <v>1957</v>
      </c>
      <c r="C334" s="430" t="s">
        <v>2343</v>
      </c>
      <c r="D334" s="439">
        <v>0.188</v>
      </c>
      <c r="E334" s="524">
        <v>0</v>
      </c>
      <c r="F334" s="438">
        <v>5</v>
      </c>
      <c r="G334" s="441" t="s">
        <v>1896</v>
      </c>
      <c r="H334" s="438">
        <v>2</v>
      </c>
      <c r="I334" s="845"/>
      <c r="J334" s="841" t="s">
        <v>1961</v>
      </c>
      <c r="K334" s="1739"/>
    </row>
    <row r="335" spans="2:11" s="200" customFormat="1" ht="18" outlineLevel="1" x14ac:dyDescent="0.25">
      <c r="B335" s="440" t="s">
        <v>1958</v>
      </c>
      <c r="C335" s="430" t="s">
        <v>2344</v>
      </c>
      <c r="D335" s="439">
        <v>0.375</v>
      </c>
      <c r="E335" s="524">
        <v>0</v>
      </c>
      <c r="F335" s="438">
        <v>5</v>
      </c>
      <c r="G335" s="441" t="s">
        <v>1896</v>
      </c>
      <c r="H335" s="438">
        <v>2</v>
      </c>
      <c r="I335" s="845"/>
      <c r="J335" s="841" t="s">
        <v>1962</v>
      </c>
      <c r="K335" s="1739">
        <f>64/M_MCH3COOH</f>
        <v>1.06574373259424</v>
      </c>
    </row>
    <row r="336" spans="2:11" s="200" customFormat="1" ht="18" outlineLevel="1" x14ac:dyDescent="0.25">
      <c r="B336" s="440" t="s">
        <v>1963</v>
      </c>
      <c r="C336" s="432" t="s">
        <v>2345</v>
      </c>
      <c r="D336" s="442">
        <v>0.33300000000000002</v>
      </c>
      <c r="E336" s="524">
        <v>0</v>
      </c>
      <c r="F336" s="438">
        <v>5</v>
      </c>
      <c r="G336" s="441" t="s">
        <v>1896</v>
      </c>
      <c r="H336" s="438">
        <v>2</v>
      </c>
      <c r="I336" s="845"/>
      <c r="J336" s="841" t="s">
        <v>1965</v>
      </c>
      <c r="K336" s="1739"/>
    </row>
    <row r="337" spans="1:16" s="93" customFormat="1" ht="18" outlineLevel="1" x14ac:dyDescent="0.25">
      <c r="B337" s="1621" t="s">
        <v>2538</v>
      </c>
      <c r="C337" s="1644" t="s">
        <v>2347</v>
      </c>
      <c r="D337" s="1666">
        <v>0.11</v>
      </c>
      <c r="E337" s="1687">
        <v>0</v>
      </c>
      <c r="F337" s="103">
        <v>1</v>
      </c>
      <c r="G337" s="103" t="s">
        <v>2174</v>
      </c>
      <c r="H337" s="103">
        <v>2</v>
      </c>
      <c r="I337" s="1708"/>
      <c r="J337" s="1717" t="s">
        <v>1059</v>
      </c>
    </row>
    <row r="338" spans="1:16" s="93" customFormat="1" ht="18" outlineLevel="1" x14ac:dyDescent="0.25">
      <c r="B338" s="1621" t="s">
        <v>1000</v>
      </c>
      <c r="C338" s="1644" t="s">
        <v>2348</v>
      </c>
      <c r="D338" s="1666">
        <v>0.1</v>
      </c>
      <c r="E338" s="1687">
        <v>0</v>
      </c>
      <c r="F338" s="103">
        <v>1</v>
      </c>
      <c r="G338" s="103" t="s">
        <v>1899</v>
      </c>
      <c r="H338" s="103">
        <v>2</v>
      </c>
      <c r="I338" s="1708"/>
      <c r="J338" s="1724" t="s">
        <v>3325</v>
      </c>
    </row>
    <row r="339" spans="1:16" s="93" customFormat="1" ht="18" outlineLevel="1" x14ac:dyDescent="0.25">
      <c r="B339" s="1621" t="s">
        <v>1001</v>
      </c>
      <c r="C339" s="1644" t="s">
        <v>2349</v>
      </c>
      <c r="D339" s="1666">
        <v>0.35</v>
      </c>
      <c r="E339" s="1687">
        <v>0</v>
      </c>
      <c r="F339" s="103">
        <v>1</v>
      </c>
      <c r="G339" s="103" t="s">
        <v>1900</v>
      </c>
      <c r="H339" s="103">
        <v>2</v>
      </c>
      <c r="I339" s="1708"/>
      <c r="J339" s="1724" t="s">
        <v>3326</v>
      </c>
    </row>
    <row r="340" spans="1:16" s="93" customFormat="1" ht="18" outlineLevel="1" x14ac:dyDescent="0.25">
      <c r="B340" s="1621" t="s">
        <v>1372</v>
      </c>
      <c r="C340" s="1644" t="s">
        <v>2350</v>
      </c>
      <c r="D340" s="1666">
        <v>0.1</v>
      </c>
      <c r="E340" s="1687">
        <v>0</v>
      </c>
      <c r="F340" s="103">
        <v>1</v>
      </c>
      <c r="G340" s="103" t="s">
        <v>1950</v>
      </c>
      <c r="H340" s="103">
        <v>2</v>
      </c>
      <c r="I340" s="1708"/>
      <c r="J340" s="1724" t="s">
        <v>3327</v>
      </c>
    </row>
    <row r="341" spans="1:16" s="93" customFormat="1" ht="18" outlineLevel="1" x14ac:dyDescent="0.25">
      <c r="A341" s="94"/>
      <c r="B341" s="573" t="s">
        <v>1154</v>
      </c>
      <c r="C341" s="1647" t="s">
        <v>2351</v>
      </c>
      <c r="D341" s="1669">
        <f>A_MNa/(A_MNa+A_MCl)</f>
        <v>0.39337234346305527</v>
      </c>
      <c r="E341" s="1669">
        <v>0</v>
      </c>
      <c r="F341" s="1699">
        <v>1</v>
      </c>
      <c r="G341" s="1699" t="s">
        <v>1951</v>
      </c>
      <c r="H341" s="1699">
        <v>3</v>
      </c>
      <c r="I341" s="572"/>
      <c r="J341" s="1725"/>
      <c r="K341" s="94"/>
      <c r="L341" s="94"/>
      <c r="M341" s="94"/>
      <c r="N341" s="94"/>
      <c r="O341" s="94"/>
      <c r="P341" s="94"/>
    </row>
    <row r="342" spans="1:16" s="93" customFormat="1" ht="18" outlineLevel="1" x14ac:dyDescent="0.25">
      <c r="A342" s="94"/>
      <c r="B342" s="573" t="s">
        <v>3276</v>
      </c>
      <c r="C342" s="1647" t="s">
        <v>3278</v>
      </c>
      <c r="D342" s="1669">
        <v>0.05</v>
      </c>
      <c r="E342" s="1669">
        <v>0</v>
      </c>
      <c r="F342" s="1699">
        <v>0.14000000000000001</v>
      </c>
      <c r="G342" s="1699" t="s">
        <v>3274</v>
      </c>
      <c r="H342" s="1699">
        <v>3</v>
      </c>
      <c r="I342" s="572"/>
      <c r="J342" s="1725"/>
      <c r="K342" s="94"/>
      <c r="L342" s="94"/>
      <c r="M342" s="94"/>
      <c r="N342" s="94"/>
      <c r="O342" s="94"/>
      <c r="P342" s="94"/>
    </row>
    <row r="343" spans="1:16" s="93" customFormat="1" ht="18" outlineLevel="1" x14ac:dyDescent="0.25">
      <c r="A343" s="94"/>
      <c r="B343" s="573" t="s">
        <v>3277</v>
      </c>
      <c r="C343" s="1647" t="s">
        <v>3279</v>
      </c>
      <c r="D343" s="1669">
        <v>0.05</v>
      </c>
      <c r="E343" s="1669">
        <v>0</v>
      </c>
      <c r="F343" s="1699">
        <v>0.15</v>
      </c>
      <c r="G343" s="1699" t="s">
        <v>3275</v>
      </c>
      <c r="H343" s="1699">
        <v>3</v>
      </c>
      <c r="I343" s="572"/>
      <c r="J343" s="1725"/>
      <c r="K343" s="94"/>
      <c r="L343" s="94"/>
      <c r="M343" s="94"/>
      <c r="N343" s="94"/>
      <c r="O343" s="94"/>
      <c r="P343" s="94"/>
    </row>
    <row r="344" spans="1:16" s="93" customFormat="1" ht="18.75" outlineLevel="1" thickBot="1" x14ac:dyDescent="0.3">
      <c r="A344" s="94"/>
      <c r="B344" s="1626" t="s">
        <v>3317</v>
      </c>
      <c r="C344" s="1648" t="s">
        <v>3318</v>
      </c>
      <c r="D344" s="1670">
        <v>0.5</v>
      </c>
      <c r="E344" s="1670">
        <v>0</v>
      </c>
      <c r="F344" s="1700">
        <v>1</v>
      </c>
      <c r="G344" s="1700" t="s">
        <v>278</v>
      </c>
      <c r="H344" s="1700">
        <v>2</v>
      </c>
      <c r="I344" s="1711"/>
      <c r="J344" s="1726"/>
      <c r="K344" s="94"/>
      <c r="L344" s="94"/>
      <c r="M344" s="94"/>
      <c r="N344" s="94"/>
      <c r="O344" s="94"/>
      <c r="P344" s="94"/>
    </row>
    <row r="345" spans="1:16" ht="15.75" thickBot="1" x14ac:dyDescent="0.3">
      <c r="C345" s="651"/>
      <c r="D345" s="1671"/>
      <c r="E345" s="1661"/>
      <c r="F345" s="1661"/>
      <c r="G345" s="1661"/>
      <c r="H345" s="1661"/>
      <c r="I345" s="651"/>
      <c r="J345" s="1619"/>
      <c r="K345" s="93"/>
      <c r="L345" s="93"/>
      <c r="M345" s="93"/>
      <c r="N345" s="93"/>
      <c r="O345" s="93"/>
      <c r="P345" s="93"/>
    </row>
    <row r="346" spans="1:16" s="93" customFormat="1" ht="15.75" thickBot="1" x14ac:dyDescent="0.3">
      <c r="B346" s="102"/>
      <c r="C346" s="150" t="s">
        <v>3121</v>
      </c>
      <c r="D346" s="94" t="s">
        <v>319</v>
      </c>
      <c r="E346" s="94"/>
      <c r="F346" s="94"/>
      <c r="G346" s="94"/>
      <c r="H346" s="94"/>
      <c r="I346" s="102"/>
      <c r="J346" s="1619"/>
    </row>
    <row r="347" spans="1:16" s="93" customFormat="1" ht="15.75" thickBot="1" x14ac:dyDescent="0.3">
      <c r="B347" s="277" t="s">
        <v>0</v>
      </c>
      <c r="C347" s="281" t="s">
        <v>1</v>
      </c>
      <c r="D347" s="283" t="s">
        <v>838</v>
      </c>
      <c r="E347" s="447" t="s">
        <v>471</v>
      </c>
      <c r="F347" s="283" t="s">
        <v>472</v>
      </c>
      <c r="G347" s="283" t="s">
        <v>2</v>
      </c>
      <c r="H347" s="283" t="s">
        <v>302</v>
      </c>
      <c r="I347" s="281" t="s">
        <v>116</v>
      </c>
      <c r="J347" s="782" t="s">
        <v>117</v>
      </c>
      <c r="M347" s="93" t="s">
        <v>2662</v>
      </c>
      <c r="N347" s="93" t="s">
        <v>2663</v>
      </c>
    </row>
    <row r="348" spans="1:16" s="93" customFormat="1" ht="18" outlineLevel="1" x14ac:dyDescent="0.25">
      <c r="B348" s="1627" t="s">
        <v>2101</v>
      </c>
      <c r="C348" s="1649" t="s">
        <v>351</v>
      </c>
      <c r="D348" s="1672">
        <v>0.95</v>
      </c>
      <c r="E348" s="1686">
        <v>0</v>
      </c>
      <c r="F348" s="1686">
        <v>1</v>
      </c>
      <c r="G348" s="1703" t="s">
        <v>2636</v>
      </c>
      <c r="H348" s="1686">
        <v>2</v>
      </c>
      <c r="I348" s="1712"/>
      <c r="J348" s="1727"/>
      <c r="K348" s="1738"/>
      <c r="L348" s="1738"/>
    </row>
    <row r="349" spans="1:16" s="93" customFormat="1" ht="18" outlineLevel="1" x14ac:dyDescent="0.25">
      <c r="B349" s="1628" t="s">
        <v>2637</v>
      </c>
      <c r="C349" s="1646" t="s">
        <v>2638</v>
      </c>
      <c r="D349" s="1673">
        <v>0.9</v>
      </c>
      <c r="E349" s="1692">
        <v>0</v>
      </c>
      <c r="F349" s="1692">
        <v>1</v>
      </c>
      <c r="G349" s="1704" t="s">
        <v>1994</v>
      </c>
      <c r="H349" s="1692">
        <v>2</v>
      </c>
      <c r="I349" s="1713"/>
      <c r="J349" s="1728"/>
      <c r="K349" s="1738"/>
      <c r="L349" s="1738"/>
    </row>
    <row r="350" spans="1:16" s="93" customFormat="1" ht="18" outlineLevel="1" x14ac:dyDescent="0.25">
      <c r="B350" s="1628" t="s">
        <v>2639</v>
      </c>
      <c r="C350" s="1646" t="s">
        <v>2640</v>
      </c>
      <c r="D350" s="1673">
        <v>0.6</v>
      </c>
      <c r="E350" s="1692">
        <v>0</v>
      </c>
      <c r="F350" s="1692">
        <v>1</v>
      </c>
      <c r="G350" s="1704" t="s">
        <v>1994</v>
      </c>
      <c r="H350" s="1692">
        <v>2</v>
      </c>
      <c r="I350" s="1713"/>
      <c r="J350" s="1728"/>
      <c r="K350" s="1738"/>
      <c r="L350" s="1738"/>
    </row>
    <row r="351" spans="1:16" s="93" customFormat="1" ht="18.75" outlineLevel="1" thickBot="1" x14ac:dyDescent="0.3">
      <c r="B351" s="1629" t="s">
        <v>2641</v>
      </c>
      <c r="C351" s="1650" t="s">
        <v>2642</v>
      </c>
      <c r="D351" s="1674">
        <v>0.5</v>
      </c>
      <c r="E351" s="1693">
        <v>0</v>
      </c>
      <c r="F351" s="1693">
        <v>1</v>
      </c>
      <c r="G351" s="1705" t="s">
        <v>1994</v>
      </c>
      <c r="H351" s="1693">
        <v>2</v>
      </c>
      <c r="I351" s="1714"/>
      <c r="J351" s="1729"/>
      <c r="K351" s="1738"/>
      <c r="L351" s="1738"/>
    </row>
    <row r="352" spans="1:16" ht="15.75" thickBot="1" x14ac:dyDescent="0.3">
      <c r="C352" s="651"/>
      <c r="D352" s="1671"/>
      <c r="E352" s="1661"/>
      <c r="F352" s="1661"/>
      <c r="G352" s="1661"/>
      <c r="H352" s="1661"/>
      <c r="I352" s="651"/>
      <c r="J352" s="1619"/>
      <c r="K352" s="93"/>
      <c r="L352" s="93"/>
      <c r="M352" s="93"/>
      <c r="N352" s="93"/>
      <c r="O352" s="93"/>
      <c r="P352" s="93"/>
    </row>
    <row r="353" spans="2:16" s="93" customFormat="1" ht="15.75" thickBot="1" x14ac:dyDescent="0.3">
      <c r="B353" s="102"/>
      <c r="C353" s="150" t="s">
        <v>1991</v>
      </c>
      <c r="D353" s="94" t="s">
        <v>319</v>
      </c>
      <c r="E353" s="94"/>
      <c r="F353" s="94"/>
      <c r="G353" s="94"/>
      <c r="H353" s="94"/>
      <c r="I353" s="102"/>
      <c r="J353" s="1619"/>
    </row>
    <row r="354" spans="2:16" s="93" customFormat="1" ht="15.75" thickBot="1" x14ac:dyDescent="0.3">
      <c r="B354" s="277" t="s">
        <v>0</v>
      </c>
      <c r="C354" s="281" t="s">
        <v>1</v>
      </c>
      <c r="D354" s="283" t="s">
        <v>838</v>
      </c>
      <c r="E354" s="447" t="s">
        <v>471</v>
      </c>
      <c r="F354" s="283" t="s">
        <v>472</v>
      </c>
      <c r="G354" s="283" t="s">
        <v>2</v>
      </c>
      <c r="H354" s="283" t="s">
        <v>302</v>
      </c>
      <c r="I354" s="281" t="s">
        <v>116</v>
      </c>
      <c r="J354" s="782" t="s">
        <v>117</v>
      </c>
      <c r="M354" s="93" t="s">
        <v>2662</v>
      </c>
      <c r="N354" s="93" t="s">
        <v>2663</v>
      </c>
    </row>
    <row r="355" spans="2:16" s="93" customFormat="1" ht="18" outlineLevel="1" x14ac:dyDescent="0.25">
      <c r="B355" s="1620" t="s">
        <v>3503</v>
      </c>
      <c r="C355" s="1651" t="s">
        <v>882</v>
      </c>
      <c r="D355" s="1675">
        <v>1.2</v>
      </c>
      <c r="E355" s="1694">
        <v>0</v>
      </c>
      <c r="F355" s="1675" t="s">
        <v>1254</v>
      </c>
      <c r="G355" s="1694" t="s">
        <v>1901</v>
      </c>
      <c r="H355" s="1675">
        <v>1</v>
      </c>
      <c r="I355" s="1651"/>
      <c r="J355" s="1730"/>
      <c r="L355" s="1741" t="s">
        <v>2688</v>
      </c>
      <c r="M355" s="1742">
        <f>A_MP/A_MFe</f>
        <v>0.55463805533172172</v>
      </c>
      <c r="N355" s="1742">
        <f>A_MP/A_MAl</f>
        <v>1.1479629449808202</v>
      </c>
    </row>
    <row r="356" spans="2:16" s="93" customFormat="1" ht="18" outlineLevel="1" x14ac:dyDescent="0.25">
      <c r="B356" s="1621" t="s">
        <v>3504</v>
      </c>
      <c r="C356" s="73" t="s">
        <v>883</v>
      </c>
      <c r="D356" s="83">
        <v>0.2</v>
      </c>
      <c r="E356" s="1688">
        <v>0</v>
      </c>
      <c r="F356" s="83" t="s">
        <v>1254</v>
      </c>
      <c r="G356" s="83" t="s">
        <v>1901</v>
      </c>
      <c r="H356" s="83">
        <v>1</v>
      </c>
      <c r="I356" s="73"/>
      <c r="J356" s="1719"/>
      <c r="L356" s="1741" t="s">
        <v>2689</v>
      </c>
      <c r="M356" s="1742">
        <f>(A_MFe+3*(A_MH+A_MO))/A_MFe</f>
        <v>1.9136363147998925</v>
      </c>
      <c r="N356" s="1742">
        <f>(A_MAl+3*(A_MH+A_MO))/A_MP</f>
        <v>2.5183740837269033</v>
      </c>
    </row>
    <row r="357" spans="2:16" s="93" customFormat="1" ht="18" outlineLevel="1" x14ac:dyDescent="0.25">
      <c r="B357" s="448" t="s">
        <v>2684</v>
      </c>
      <c r="C357" s="354" t="s">
        <v>2686</v>
      </c>
      <c r="D357" s="1676">
        <v>8.2900000000000001E-2</v>
      </c>
      <c r="E357" s="1676">
        <v>0</v>
      </c>
      <c r="F357" s="1676" t="s">
        <v>1254</v>
      </c>
      <c r="G357" s="1676" t="s">
        <v>2683</v>
      </c>
      <c r="H357" s="1676">
        <v>4</v>
      </c>
      <c r="I357" s="354"/>
      <c r="J357" s="1731"/>
      <c r="L357" s="1741" t="s">
        <v>2690</v>
      </c>
      <c r="M357" s="1742">
        <f>(A_MFe+A_MP+4*A_MO)/A_MFe</f>
        <v>2.7006242671680543</v>
      </c>
      <c r="N357" s="1742">
        <f>(A_MAl+A_MP+4*A_MO)/A_MP</f>
        <v>3.9372957476893138</v>
      </c>
      <c r="O357" s="1743"/>
      <c r="P357" s="1619"/>
    </row>
    <row r="358" spans="2:16" s="93" customFormat="1" ht="18.75" outlineLevel="1" thickBot="1" x14ac:dyDescent="0.3">
      <c r="B358" s="1623" t="s">
        <v>2685</v>
      </c>
      <c r="C358" s="1645" t="s">
        <v>2687</v>
      </c>
      <c r="D358" s="1677">
        <v>0.25286491566808916</v>
      </c>
      <c r="E358" s="1689">
        <v>0</v>
      </c>
      <c r="F358" s="88" t="s">
        <v>1254</v>
      </c>
      <c r="G358" s="88" t="s">
        <v>2683</v>
      </c>
      <c r="H358" s="88">
        <v>4</v>
      </c>
      <c r="I358" s="1645"/>
      <c r="J358" s="1720" t="s">
        <v>4185</v>
      </c>
      <c r="L358" s="1741" t="s">
        <v>4247</v>
      </c>
      <c r="M358" s="1742">
        <f>3*(2*A_MH+A_MO)/(2*(A_MFe+3*(A_MH+A_MO)))</f>
        <v>0.25286491566808916</v>
      </c>
      <c r="N358" s="1742">
        <f>3*(2*A_MH+A_MO)/(2*(A_MAl+3*(A_MH+A_MO)))</f>
        <v>0.34643205845069558</v>
      </c>
      <c r="O358" s="1744" t="s">
        <v>4248</v>
      </c>
      <c r="P358" s="1744" t="s">
        <v>4249</v>
      </c>
    </row>
    <row r="359" spans="2:16" ht="15.75" thickBot="1" x14ac:dyDescent="0.3">
      <c r="C359" s="651"/>
      <c r="D359" s="1671"/>
      <c r="E359" s="1661"/>
      <c r="F359" s="1661"/>
      <c r="G359" s="1661"/>
      <c r="H359" s="1661"/>
      <c r="I359" s="651"/>
      <c r="J359" s="1619"/>
      <c r="K359" s="93"/>
      <c r="L359" s="1741" t="s">
        <v>4247</v>
      </c>
      <c r="M359" s="1745">
        <v>0.17</v>
      </c>
      <c r="N359" s="1746">
        <f>M359*(A_MFe+3*A_MH+3*A_MO)/(A_MAl+3*A_MH+3*A_MO)</f>
        <v>0.23290478942488754</v>
      </c>
      <c r="O359" s="1619" t="s">
        <v>4250</v>
      </c>
      <c r="P359" s="1619" t="s">
        <v>4251</v>
      </c>
    </row>
    <row r="360" spans="2:16" s="93" customFormat="1" ht="15.75" thickBot="1" x14ac:dyDescent="0.3">
      <c r="B360" s="102"/>
      <c r="C360" s="618" t="s">
        <v>3362</v>
      </c>
      <c r="D360" s="94" t="s">
        <v>319</v>
      </c>
      <c r="E360" s="94"/>
      <c r="F360" s="94"/>
      <c r="G360" s="94"/>
      <c r="H360" s="94"/>
      <c r="I360" s="102"/>
      <c r="J360" s="1619"/>
      <c r="L360" s="1741" t="s">
        <v>4247</v>
      </c>
      <c r="M360" s="1746">
        <f>M358-M359</f>
        <v>8.2864915668089151E-2</v>
      </c>
      <c r="N360" s="1746">
        <f>N358-N359</f>
        <v>0.11352726902580804</v>
      </c>
      <c r="O360" s="1619" t="s">
        <v>4252</v>
      </c>
    </row>
    <row r="361" spans="2:16" s="93" customFormat="1" ht="15.75" thickBot="1" x14ac:dyDescent="0.3">
      <c r="B361" s="277" t="s">
        <v>0</v>
      </c>
      <c r="C361" s="281" t="s">
        <v>1</v>
      </c>
      <c r="D361" s="283" t="s">
        <v>838</v>
      </c>
      <c r="E361" s="447" t="s">
        <v>471</v>
      </c>
      <c r="F361" s="283" t="s">
        <v>472</v>
      </c>
      <c r="G361" s="283" t="s">
        <v>2</v>
      </c>
      <c r="H361" s="283" t="s">
        <v>302</v>
      </c>
      <c r="I361" s="281" t="s">
        <v>116</v>
      </c>
      <c r="J361" s="782" t="s">
        <v>117</v>
      </c>
    </row>
    <row r="362" spans="2:16" s="93" customFormat="1" ht="18" outlineLevel="1" x14ac:dyDescent="0.25">
      <c r="B362" s="597" t="s">
        <v>3363</v>
      </c>
      <c r="C362" s="619" t="s">
        <v>3364</v>
      </c>
      <c r="D362" s="620">
        <v>1</v>
      </c>
      <c r="E362" s="620">
        <v>0</v>
      </c>
      <c r="F362" s="620" t="s">
        <v>1254</v>
      </c>
      <c r="G362" s="620" t="s">
        <v>3365</v>
      </c>
      <c r="H362" s="620">
        <v>1</v>
      </c>
      <c r="I362" s="619"/>
      <c r="J362" s="846"/>
      <c r="L362" s="449"/>
      <c r="M362" s="449"/>
      <c r="N362" s="449"/>
      <c r="O362" s="449"/>
      <c r="P362" s="449"/>
    </row>
    <row r="363" spans="2:16" s="93" customFormat="1" ht="18" outlineLevel="1" x14ac:dyDescent="0.25">
      <c r="B363" s="602" t="s">
        <v>3366</v>
      </c>
      <c r="C363" s="621" t="s">
        <v>3367</v>
      </c>
      <c r="D363" s="605">
        <v>0.1</v>
      </c>
      <c r="E363" s="605">
        <v>0</v>
      </c>
      <c r="F363" s="605" t="s">
        <v>1254</v>
      </c>
      <c r="G363" s="605" t="s">
        <v>3365</v>
      </c>
      <c r="H363" s="605">
        <v>1</v>
      </c>
      <c r="I363" s="621"/>
      <c r="J363" s="608"/>
      <c r="L363" s="449"/>
      <c r="M363" s="449"/>
      <c r="N363" s="449"/>
      <c r="O363" s="449"/>
      <c r="P363" s="449"/>
    </row>
    <row r="364" spans="2:16" s="93" customFormat="1" ht="18" outlineLevel="1" x14ac:dyDescent="0.25">
      <c r="B364" s="622" t="s">
        <v>3368</v>
      </c>
      <c r="C364" s="623" t="s">
        <v>3369</v>
      </c>
      <c r="D364" s="961">
        <v>0.1135</v>
      </c>
      <c r="E364" s="624">
        <v>0</v>
      </c>
      <c r="F364" s="624" t="s">
        <v>1254</v>
      </c>
      <c r="G364" s="624" t="s">
        <v>3370</v>
      </c>
      <c r="H364" s="624">
        <v>4</v>
      </c>
      <c r="I364" s="623"/>
      <c r="J364" s="847"/>
      <c r="L364" s="449"/>
      <c r="M364" s="449"/>
      <c r="N364" s="449"/>
      <c r="O364" s="449"/>
      <c r="P364" s="450"/>
    </row>
    <row r="365" spans="2:16" s="93" customFormat="1" ht="18.75" outlineLevel="1" thickBot="1" x14ac:dyDescent="0.3">
      <c r="B365" s="612" t="s">
        <v>3371</v>
      </c>
      <c r="C365" s="625" t="s">
        <v>3372</v>
      </c>
      <c r="D365" s="962">
        <v>0.34643205845069558</v>
      </c>
      <c r="E365" s="616">
        <v>0</v>
      </c>
      <c r="F365" s="616" t="s">
        <v>1254</v>
      </c>
      <c r="G365" s="616" t="s">
        <v>3370</v>
      </c>
      <c r="H365" s="616">
        <v>4</v>
      </c>
      <c r="I365" s="625"/>
      <c r="J365" s="617" t="s">
        <v>3373</v>
      </c>
      <c r="L365" s="451"/>
      <c r="M365" s="451"/>
      <c r="N365" s="451"/>
      <c r="O365" s="451"/>
      <c r="P365" s="450"/>
    </row>
    <row r="366" spans="2:16" s="93" customFormat="1" ht="15.75" thickBot="1" x14ac:dyDescent="0.3">
      <c r="B366" s="1630"/>
      <c r="C366" s="651"/>
      <c r="D366" s="1662"/>
      <c r="E366" s="1661"/>
      <c r="F366" s="1661"/>
      <c r="G366" s="1661"/>
      <c r="H366" s="1661"/>
      <c r="I366" s="651"/>
      <c r="J366" s="1619"/>
    </row>
    <row r="367" spans="2:16" s="93" customFormat="1" ht="15.75" thickBot="1" x14ac:dyDescent="0.3">
      <c r="B367" s="102"/>
      <c r="C367" s="150" t="s">
        <v>1253</v>
      </c>
      <c r="D367" s="94" t="s">
        <v>303</v>
      </c>
      <c r="E367" s="94"/>
      <c r="F367" s="94"/>
      <c r="G367" s="94"/>
      <c r="H367" s="94"/>
      <c r="I367" s="102"/>
      <c r="J367" s="1619"/>
    </row>
    <row r="368" spans="2:16" s="93" customFormat="1" ht="15.75" thickBot="1" x14ac:dyDescent="0.3">
      <c r="B368" s="767" t="s">
        <v>0</v>
      </c>
      <c r="C368" s="778" t="s">
        <v>1</v>
      </c>
      <c r="D368" s="284" t="s">
        <v>838</v>
      </c>
      <c r="E368" s="447" t="s">
        <v>471</v>
      </c>
      <c r="F368" s="284" t="s">
        <v>472</v>
      </c>
      <c r="G368" s="284" t="s">
        <v>2</v>
      </c>
      <c r="H368" s="284" t="s">
        <v>302</v>
      </c>
      <c r="I368" s="778" t="s">
        <v>116</v>
      </c>
      <c r="J368" s="848" t="s">
        <v>117</v>
      </c>
    </row>
    <row r="369" spans="1:10" s="93" customFormat="1" ht="18" outlineLevel="1" x14ac:dyDescent="0.35">
      <c r="B369" s="1631" t="s">
        <v>3228</v>
      </c>
      <c r="C369" s="1652" t="s">
        <v>3229</v>
      </c>
      <c r="D369" s="1678">
        <v>13</v>
      </c>
      <c r="E369" s="1678">
        <v>0</v>
      </c>
      <c r="F369" s="1678" t="s">
        <v>1254</v>
      </c>
      <c r="G369" s="1678" t="s">
        <v>2808</v>
      </c>
      <c r="H369" s="1678">
        <v>2</v>
      </c>
      <c r="I369" s="1652"/>
      <c r="J369" s="1727"/>
    </row>
    <row r="370" spans="1:10" s="93" customFormat="1" ht="18" outlineLevel="1" x14ac:dyDescent="0.35">
      <c r="B370" s="1632" t="s">
        <v>3230</v>
      </c>
      <c r="C370" s="1653" t="s">
        <v>3231</v>
      </c>
      <c r="D370" s="1679">
        <v>7.6</v>
      </c>
      <c r="E370" s="1679">
        <v>0</v>
      </c>
      <c r="F370" s="1679" t="s">
        <v>1254</v>
      </c>
      <c r="G370" s="1679" t="s">
        <v>2808</v>
      </c>
      <c r="H370" s="1679">
        <v>2</v>
      </c>
      <c r="I370" s="1653"/>
      <c r="J370" s="1724"/>
    </row>
    <row r="371" spans="1:10" s="93" customFormat="1" ht="18" outlineLevel="1" x14ac:dyDescent="0.35">
      <c r="A371" s="93" t="s">
        <v>3225</v>
      </c>
      <c r="B371" s="1633" t="s">
        <v>4307</v>
      </c>
      <c r="C371" s="1654" t="s">
        <v>4308</v>
      </c>
      <c r="D371" s="1680">
        <f>7.6 * 0.03</f>
        <v>0.22799999999999998</v>
      </c>
      <c r="E371" s="1680">
        <v>0</v>
      </c>
      <c r="F371" s="1680" t="s">
        <v>1254</v>
      </c>
      <c r="G371" s="1680" t="s">
        <v>2808</v>
      </c>
      <c r="H371" s="1680">
        <v>2</v>
      </c>
      <c r="I371" s="1715"/>
      <c r="J371" s="1732"/>
    </row>
    <row r="372" spans="1:10" s="93" customFormat="1" ht="18" outlineLevel="1" x14ac:dyDescent="0.25">
      <c r="B372" s="1634" t="s">
        <v>2839</v>
      </c>
      <c r="C372" s="1646" t="s">
        <v>2352</v>
      </c>
      <c r="D372" s="1668">
        <v>1</v>
      </c>
      <c r="E372" s="1691">
        <v>0</v>
      </c>
      <c r="F372" s="1668" t="s">
        <v>1254</v>
      </c>
      <c r="G372" s="1668" t="s">
        <v>278</v>
      </c>
      <c r="H372" s="1668">
        <v>2</v>
      </c>
      <c r="I372" s="1710"/>
      <c r="J372" s="1723"/>
    </row>
    <row r="373" spans="1:10" s="93" customFormat="1" ht="18" outlineLevel="1" x14ac:dyDescent="0.25">
      <c r="B373" s="1635" t="s">
        <v>2840</v>
      </c>
      <c r="C373" s="1655" t="s">
        <v>2353</v>
      </c>
      <c r="D373" s="103">
        <v>1</v>
      </c>
      <c r="E373" s="1691">
        <v>0</v>
      </c>
      <c r="F373" s="1668" t="s">
        <v>1254</v>
      </c>
      <c r="G373" s="103" t="s">
        <v>278</v>
      </c>
      <c r="H373" s="103">
        <v>2</v>
      </c>
      <c r="I373" s="1708"/>
      <c r="J373" s="1717"/>
    </row>
    <row r="374" spans="1:10" s="93" customFormat="1" ht="18" outlineLevel="1" x14ac:dyDescent="0.25">
      <c r="B374" s="1635" t="s">
        <v>2841</v>
      </c>
      <c r="C374" s="1655" t="s">
        <v>2354</v>
      </c>
      <c r="D374" s="103">
        <v>1</v>
      </c>
      <c r="E374" s="1691">
        <v>0</v>
      </c>
      <c r="F374" s="1668" t="s">
        <v>1254</v>
      </c>
      <c r="G374" s="103" t="s">
        <v>278</v>
      </c>
      <c r="H374" s="103">
        <v>2</v>
      </c>
      <c r="I374" s="1708"/>
      <c r="J374" s="1717"/>
    </row>
    <row r="375" spans="1:10" s="93" customFormat="1" ht="18" outlineLevel="1" x14ac:dyDescent="0.25">
      <c r="B375" s="1635" t="s">
        <v>2842</v>
      </c>
      <c r="C375" s="1655" t="s">
        <v>2355</v>
      </c>
      <c r="D375" s="103">
        <v>1</v>
      </c>
      <c r="E375" s="1695">
        <v>0</v>
      </c>
      <c r="F375" s="1668" t="s">
        <v>1254</v>
      </c>
      <c r="G375" s="103" t="s">
        <v>278</v>
      </c>
      <c r="H375" s="103">
        <v>2</v>
      </c>
      <c r="I375" s="1708"/>
      <c r="J375" s="1717"/>
    </row>
    <row r="376" spans="1:10" s="93" customFormat="1" ht="18" outlineLevel="1" x14ac:dyDescent="0.25">
      <c r="B376" s="1636" t="s">
        <v>2843</v>
      </c>
      <c r="C376" s="1656" t="s">
        <v>2356</v>
      </c>
      <c r="D376" s="1681">
        <v>0.05</v>
      </c>
      <c r="E376" s="1681">
        <v>0</v>
      </c>
      <c r="F376" s="1681" t="s">
        <v>1254</v>
      </c>
      <c r="G376" s="1681" t="s">
        <v>278</v>
      </c>
      <c r="H376" s="1681">
        <v>2</v>
      </c>
      <c r="I376" s="1656"/>
      <c r="J376" s="1733" t="s">
        <v>2838</v>
      </c>
    </row>
    <row r="377" spans="1:10" ht="18" outlineLevel="1" x14ac:dyDescent="0.25">
      <c r="B377" s="1637" t="s">
        <v>3748</v>
      </c>
      <c r="C377" s="1657" t="s">
        <v>4197</v>
      </c>
      <c r="D377" s="1682">
        <v>1.4E-3</v>
      </c>
      <c r="E377" s="1682">
        <v>0</v>
      </c>
      <c r="F377" s="1682" t="s">
        <v>1254</v>
      </c>
      <c r="G377" s="1682" t="s">
        <v>3749</v>
      </c>
      <c r="H377" s="1682">
        <v>4</v>
      </c>
      <c r="I377" s="1682"/>
      <c r="J377" s="1734"/>
    </row>
    <row r="378" spans="1:10" ht="18" outlineLevel="1" x14ac:dyDescent="0.25">
      <c r="B378" s="1637" t="s">
        <v>3750</v>
      </c>
      <c r="C378" s="1657" t="s">
        <v>4198</v>
      </c>
      <c r="D378" s="1682">
        <v>1</v>
      </c>
      <c r="E378" s="1682">
        <v>0</v>
      </c>
      <c r="F378" s="1682">
        <v>1</v>
      </c>
      <c r="G378" s="1682" t="s">
        <v>1994</v>
      </c>
      <c r="H378" s="1682">
        <v>1</v>
      </c>
      <c r="I378" s="1682"/>
      <c r="J378" s="1734"/>
    </row>
    <row r="379" spans="1:10" ht="18" outlineLevel="1" x14ac:dyDescent="0.25">
      <c r="B379" s="1637" t="s">
        <v>4199</v>
      </c>
      <c r="C379" s="1657" t="s">
        <v>4200</v>
      </c>
      <c r="D379" s="1682">
        <v>0.05</v>
      </c>
      <c r="E379" s="1682">
        <v>0</v>
      </c>
      <c r="F379" s="1682" t="s">
        <v>1254</v>
      </c>
      <c r="G379" s="1706" t="s">
        <v>2170</v>
      </c>
      <c r="H379" s="1682">
        <v>2</v>
      </c>
      <c r="I379" s="1682"/>
      <c r="J379" s="1734"/>
    </row>
    <row r="380" spans="1:10" ht="18" outlineLevel="1" x14ac:dyDescent="0.25">
      <c r="B380" s="1637" t="s">
        <v>4201</v>
      </c>
      <c r="C380" s="1657" t="s">
        <v>4202</v>
      </c>
      <c r="D380" s="1682">
        <v>2.5</v>
      </c>
      <c r="E380" s="1682">
        <v>0</v>
      </c>
      <c r="F380" s="1682" t="s">
        <v>1254</v>
      </c>
      <c r="G380" s="1682" t="s">
        <v>1994</v>
      </c>
      <c r="H380" s="1682">
        <v>1</v>
      </c>
      <c r="I380" s="1682"/>
      <c r="J380" s="1734"/>
    </row>
    <row r="381" spans="1:10" ht="18" outlineLevel="1" x14ac:dyDescent="0.25">
      <c r="B381" s="1637" t="s">
        <v>3751</v>
      </c>
      <c r="C381" s="1657" t="s">
        <v>4203</v>
      </c>
      <c r="D381" s="1682">
        <v>4.2</v>
      </c>
      <c r="E381" s="1682">
        <v>0</v>
      </c>
      <c r="F381" s="1682" t="s">
        <v>1254</v>
      </c>
      <c r="G381" s="1682" t="s">
        <v>1994</v>
      </c>
      <c r="H381" s="1682">
        <v>1</v>
      </c>
      <c r="I381" s="1682"/>
      <c r="J381" s="1734"/>
    </row>
    <row r="382" spans="1:10" ht="18" outlineLevel="1" x14ac:dyDescent="0.25">
      <c r="B382" s="1637" t="s">
        <v>3752</v>
      </c>
      <c r="C382" s="1657" t="s">
        <v>4204</v>
      </c>
      <c r="D382" s="1682">
        <v>7.3</v>
      </c>
      <c r="E382" s="1682">
        <v>0</v>
      </c>
      <c r="F382" s="1682" t="s">
        <v>1254</v>
      </c>
      <c r="G382" s="1682" t="s">
        <v>1994</v>
      </c>
      <c r="H382" s="1682">
        <v>1</v>
      </c>
      <c r="I382" s="1682"/>
      <c r="J382" s="1734"/>
    </row>
    <row r="383" spans="1:10" ht="18" outlineLevel="1" x14ac:dyDescent="0.25">
      <c r="B383" s="1637" t="s">
        <v>4205</v>
      </c>
      <c r="C383" s="1657" t="s">
        <v>4206</v>
      </c>
      <c r="D383" s="1682">
        <v>-0.28999999999999998</v>
      </c>
      <c r="E383" s="1696" t="s">
        <v>2181</v>
      </c>
      <c r="F383" s="1682" t="s">
        <v>1254</v>
      </c>
      <c r="G383" s="1682" t="s">
        <v>4207</v>
      </c>
      <c r="H383" s="1682">
        <v>2</v>
      </c>
      <c r="I383" s="1682"/>
      <c r="J383" s="1734"/>
    </row>
    <row r="384" spans="1:10" ht="18" outlineLevel="1" x14ac:dyDescent="0.25">
      <c r="B384" s="1637" t="s">
        <v>3753</v>
      </c>
      <c r="C384" s="1657" t="s">
        <v>4208</v>
      </c>
      <c r="D384" s="1682">
        <v>-7.1099999999999997E-2</v>
      </c>
      <c r="E384" s="1696" t="s">
        <v>2181</v>
      </c>
      <c r="F384" s="1682" t="s">
        <v>1254</v>
      </c>
      <c r="G384" s="1682" t="s">
        <v>4209</v>
      </c>
      <c r="H384" s="1682">
        <v>4</v>
      </c>
      <c r="I384" s="1682"/>
      <c r="J384" s="1734"/>
    </row>
    <row r="385" spans="1:10" ht="18" outlineLevel="1" x14ac:dyDescent="0.25">
      <c r="B385" s="1637" t="s">
        <v>3754</v>
      </c>
      <c r="C385" s="1657" t="s">
        <v>4210</v>
      </c>
      <c r="D385" s="1682">
        <v>-4.7399999999999998E-2</v>
      </c>
      <c r="E385" s="1696" t="s">
        <v>2181</v>
      </c>
      <c r="F385" s="1682" t="s">
        <v>1254</v>
      </c>
      <c r="G385" s="1682" t="s">
        <v>4211</v>
      </c>
      <c r="H385" s="1682">
        <v>4</v>
      </c>
      <c r="I385" s="1682"/>
      <c r="J385" s="1734"/>
    </row>
    <row r="386" spans="1:10" ht="18" outlineLevel="1" x14ac:dyDescent="0.25">
      <c r="B386" s="1637" t="s">
        <v>3755</v>
      </c>
      <c r="C386" s="1657" t="s">
        <v>4212</v>
      </c>
      <c r="D386" s="1682">
        <v>-7.8700000000000005E-4</v>
      </c>
      <c r="E386" s="1696" t="s">
        <v>2181</v>
      </c>
      <c r="F386" s="1682" t="s">
        <v>1254</v>
      </c>
      <c r="G386" s="1682" t="s">
        <v>4213</v>
      </c>
      <c r="H386" s="1682">
        <v>6</v>
      </c>
      <c r="I386" s="1682"/>
      <c r="J386" s="1734"/>
    </row>
    <row r="387" spans="1:10" ht="18" outlineLevel="1" x14ac:dyDescent="0.25">
      <c r="B387" s="1637" t="s">
        <v>3756</v>
      </c>
      <c r="C387" s="1657" t="s">
        <v>4214</v>
      </c>
      <c r="D387" s="1682">
        <v>2.3199999999999998E-2</v>
      </c>
      <c r="E387" s="1696" t="s">
        <v>2181</v>
      </c>
      <c r="F387" s="1682" t="s">
        <v>1254</v>
      </c>
      <c r="G387" s="1682" t="s">
        <v>4211</v>
      </c>
      <c r="H387" s="1682">
        <v>4</v>
      </c>
      <c r="I387" s="1682"/>
      <c r="J387" s="1734"/>
    </row>
    <row r="388" spans="1:10" ht="18.75" outlineLevel="1" thickBot="1" x14ac:dyDescent="0.3">
      <c r="B388" s="1638" t="s">
        <v>3757</v>
      </c>
      <c r="C388" s="1658" t="s">
        <v>4215</v>
      </c>
      <c r="D388" s="1683">
        <v>0.877</v>
      </c>
      <c r="E388" s="1683">
        <v>0</v>
      </c>
      <c r="F388" s="1683" t="s">
        <v>1254</v>
      </c>
      <c r="G388" s="1683" t="s">
        <v>1994</v>
      </c>
      <c r="H388" s="1683">
        <v>3</v>
      </c>
      <c r="I388" s="1683"/>
      <c r="J388" s="1735"/>
    </row>
    <row r="389" spans="1:10" ht="15.75" thickBot="1" x14ac:dyDescent="0.3">
      <c r="C389" s="146"/>
      <c r="I389" s="94"/>
      <c r="J389" s="94"/>
    </row>
    <row r="390" spans="1:10" ht="15.75" thickBot="1" x14ac:dyDescent="0.3">
      <c r="A390" s="93"/>
      <c r="C390" s="355" t="s">
        <v>2141</v>
      </c>
      <c r="D390" s="94" t="s">
        <v>303</v>
      </c>
      <c r="J390" s="1619"/>
    </row>
    <row r="391" spans="1:10" s="93" customFormat="1" ht="15.75" thickBot="1" x14ac:dyDescent="0.3">
      <c r="B391" s="277" t="s">
        <v>0</v>
      </c>
      <c r="C391" s="281" t="s">
        <v>1</v>
      </c>
      <c r="D391" s="283" t="s">
        <v>838</v>
      </c>
      <c r="E391" s="447" t="s">
        <v>471</v>
      </c>
      <c r="F391" s="283" t="s">
        <v>472</v>
      </c>
      <c r="G391" s="283" t="s">
        <v>2</v>
      </c>
      <c r="H391" s="283" t="s">
        <v>302</v>
      </c>
      <c r="I391" s="281" t="s">
        <v>116</v>
      </c>
      <c r="J391" s="782" t="s">
        <v>117</v>
      </c>
    </row>
    <row r="392" spans="1:10" ht="18" outlineLevel="1" x14ac:dyDescent="0.25">
      <c r="B392" s="1639" t="s">
        <v>2142</v>
      </c>
      <c r="C392" s="1659" t="s">
        <v>2143</v>
      </c>
      <c r="D392" s="1684">
        <v>-300</v>
      </c>
      <c r="E392" s="1694" t="s">
        <v>2181</v>
      </c>
      <c r="F392" s="1684" t="s">
        <v>1254</v>
      </c>
      <c r="G392" s="1684" t="s">
        <v>2144</v>
      </c>
      <c r="H392" s="1684">
        <v>1</v>
      </c>
      <c r="I392" s="1659"/>
      <c r="J392" s="1736"/>
    </row>
    <row r="393" spans="1:10" ht="18" outlineLevel="1" x14ac:dyDescent="0.25">
      <c r="B393" s="1621" t="s">
        <v>2175</v>
      </c>
      <c r="C393" s="73" t="s">
        <v>2176</v>
      </c>
      <c r="D393" s="83">
        <v>300</v>
      </c>
      <c r="E393" s="1688">
        <v>0</v>
      </c>
      <c r="F393" s="83" t="s">
        <v>1254</v>
      </c>
      <c r="G393" s="83" t="s">
        <v>2144</v>
      </c>
      <c r="H393" s="83">
        <v>1</v>
      </c>
      <c r="I393" s="73"/>
      <c r="J393" s="1719"/>
    </row>
    <row r="394" spans="1:10" ht="18" outlineLevel="1" x14ac:dyDescent="0.25">
      <c r="B394" s="1621" t="s">
        <v>2177</v>
      </c>
      <c r="C394" s="73" t="s">
        <v>2178</v>
      </c>
      <c r="D394" s="83">
        <v>70</v>
      </c>
      <c r="E394" s="1688">
        <v>0</v>
      </c>
      <c r="F394" s="83" t="s">
        <v>1254</v>
      </c>
      <c r="G394" s="83" t="s">
        <v>2144</v>
      </c>
      <c r="H394" s="83">
        <v>1</v>
      </c>
      <c r="I394" s="73"/>
      <c r="J394" s="1719"/>
    </row>
    <row r="395" spans="1:10" ht="18" outlineLevel="1" x14ac:dyDescent="0.25">
      <c r="B395" s="1621" t="s">
        <v>2145</v>
      </c>
      <c r="C395" s="73" t="s">
        <v>2146</v>
      </c>
      <c r="D395" s="83">
        <v>0.05</v>
      </c>
      <c r="E395" s="1688">
        <v>0</v>
      </c>
      <c r="F395" s="83" t="s">
        <v>1254</v>
      </c>
      <c r="G395" s="83" t="s">
        <v>2170</v>
      </c>
      <c r="H395" s="83">
        <v>1</v>
      </c>
      <c r="I395" s="73"/>
      <c r="J395" s="1719"/>
    </row>
    <row r="396" spans="1:10" ht="18" outlineLevel="1" x14ac:dyDescent="0.25">
      <c r="B396" s="1621" t="s">
        <v>3734</v>
      </c>
      <c r="C396" s="73" t="s">
        <v>3731</v>
      </c>
      <c r="D396" s="83">
        <v>0.1</v>
      </c>
      <c r="E396" s="1688">
        <v>0</v>
      </c>
      <c r="F396" s="83" t="s">
        <v>1254</v>
      </c>
      <c r="G396" s="83" t="s">
        <v>885</v>
      </c>
      <c r="H396" s="83">
        <v>1</v>
      </c>
      <c r="I396" s="73"/>
      <c r="J396" s="1719"/>
    </row>
    <row r="397" spans="1:10" ht="18.75" outlineLevel="1" thickBot="1" x14ac:dyDescent="0.3">
      <c r="B397" s="574" t="s">
        <v>5044</v>
      </c>
      <c r="C397" s="575" t="s">
        <v>5045</v>
      </c>
      <c r="D397" s="1685">
        <v>0.05</v>
      </c>
      <c r="E397" s="1685">
        <v>0</v>
      </c>
      <c r="F397" s="1685" t="s">
        <v>1254</v>
      </c>
      <c r="G397" s="1685" t="s">
        <v>1177</v>
      </c>
      <c r="H397" s="1685"/>
      <c r="I397" s="575"/>
      <c r="J397" s="1737"/>
    </row>
    <row r="398" spans="1:10" ht="15.75" thickBot="1" x14ac:dyDescent="0.3"/>
    <row r="399" spans="1:10" ht="15.75" thickBot="1" x14ac:dyDescent="0.3">
      <c r="A399" s="93"/>
      <c r="C399" s="1513" t="s">
        <v>4586</v>
      </c>
      <c r="D399" s="94" t="s">
        <v>321</v>
      </c>
      <c r="J399" s="1619"/>
    </row>
    <row r="400" spans="1:10" s="93" customFormat="1" ht="15.75" thickBot="1" x14ac:dyDescent="0.3">
      <c r="B400" s="1514" t="s">
        <v>0</v>
      </c>
      <c r="C400" s="1527" t="s">
        <v>1</v>
      </c>
      <c r="D400" s="1528" t="s">
        <v>838</v>
      </c>
      <c r="E400" s="1528" t="s">
        <v>471</v>
      </c>
      <c r="F400" s="1528" t="s">
        <v>472</v>
      </c>
      <c r="G400" s="1528" t="s">
        <v>2</v>
      </c>
      <c r="H400" s="1528" t="s">
        <v>302</v>
      </c>
      <c r="I400" s="1527" t="s">
        <v>116</v>
      </c>
      <c r="J400" s="1529" t="s">
        <v>117</v>
      </c>
    </row>
    <row r="401" spans="1:16" s="102" customFormat="1" ht="18.75" outlineLevel="1" thickBot="1" x14ac:dyDescent="0.3">
      <c r="B401" s="1530" t="s">
        <v>3097</v>
      </c>
      <c r="C401" s="1531" t="s">
        <v>3098</v>
      </c>
      <c r="D401" s="1532">
        <v>7</v>
      </c>
      <c r="E401" s="1533">
        <v>0</v>
      </c>
      <c r="F401" s="1533">
        <v>14</v>
      </c>
      <c r="G401" s="1532" t="s">
        <v>383</v>
      </c>
      <c r="H401" s="1534">
        <v>1</v>
      </c>
      <c r="I401" s="1531"/>
      <c r="J401" s="1535" t="s">
        <v>4587</v>
      </c>
    </row>
    <row r="402" spans="1:16" s="102" customFormat="1" ht="18" outlineLevel="1" x14ac:dyDescent="0.25">
      <c r="B402" s="1530" t="s">
        <v>4064</v>
      </c>
      <c r="C402" s="1531" t="s">
        <v>4073</v>
      </c>
      <c r="D402" s="1532">
        <v>0.02</v>
      </c>
      <c r="E402" s="1533">
        <v>0</v>
      </c>
      <c r="F402" s="1533" t="s">
        <v>1254</v>
      </c>
      <c r="G402" s="1532" t="s">
        <v>386</v>
      </c>
      <c r="H402" s="1534">
        <v>1</v>
      </c>
      <c r="I402" s="1531"/>
      <c r="J402" s="1535" t="s">
        <v>4588</v>
      </c>
    </row>
    <row r="403" spans="1:16" s="102" customFormat="1" ht="18" outlineLevel="1" x14ac:dyDescent="0.25">
      <c r="B403" s="1536" t="s">
        <v>4065</v>
      </c>
      <c r="C403" s="1537" t="s">
        <v>4072</v>
      </c>
      <c r="D403" s="1538">
        <v>0.1</v>
      </c>
      <c r="E403" s="1539">
        <v>0</v>
      </c>
      <c r="F403" s="1539" t="s">
        <v>1254</v>
      </c>
      <c r="G403" s="1538" t="s">
        <v>386</v>
      </c>
      <c r="H403" s="1540">
        <v>1</v>
      </c>
      <c r="I403" s="1537"/>
      <c r="J403" s="1541" t="s">
        <v>4588</v>
      </c>
    </row>
    <row r="404" spans="1:16" s="102" customFormat="1" ht="18.75" outlineLevel="1" thickBot="1" x14ac:dyDescent="0.3">
      <c r="B404" s="864" t="s">
        <v>4075</v>
      </c>
      <c r="C404" s="1542" t="s">
        <v>4074</v>
      </c>
      <c r="D404" s="1543">
        <v>0.1</v>
      </c>
      <c r="E404" s="1544">
        <v>0</v>
      </c>
      <c r="F404" s="1544" t="s">
        <v>1254</v>
      </c>
      <c r="G404" s="1543" t="s">
        <v>386</v>
      </c>
      <c r="H404" s="1545">
        <v>1</v>
      </c>
      <c r="I404" s="1542"/>
      <c r="J404" s="1546" t="s">
        <v>4588</v>
      </c>
    </row>
    <row r="405" spans="1:16" s="102" customFormat="1" ht="18" outlineLevel="1" x14ac:dyDescent="0.25">
      <c r="B405" s="1442" t="s">
        <v>1870</v>
      </c>
      <c r="C405" s="1446" t="s">
        <v>3273</v>
      </c>
      <c r="D405" s="1547">
        <v>0.2</v>
      </c>
      <c r="E405" s="1548">
        <v>0</v>
      </c>
      <c r="F405" s="1548">
        <v>1</v>
      </c>
      <c r="G405" s="1547" t="s">
        <v>386</v>
      </c>
      <c r="H405" s="1549">
        <v>3</v>
      </c>
      <c r="I405" s="1446"/>
      <c r="J405" s="1447" t="s">
        <v>1871</v>
      </c>
    </row>
    <row r="406" spans="1:16" s="102" customFormat="1" ht="18.75" outlineLevel="1" thickBot="1" x14ac:dyDescent="0.3">
      <c r="B406" s="534" t="s">
        <v>3045</v>
      </c>
      <c r="C406" s="1441" t="s">
        <v>3061</v>
      </c>
      <c r="D406" s="1550">
        <v>-1E-3</v>
      </c>
      <c r="E406" s="1551" t="s">
        <v>2181</v>
      </c>
      <c r="F406" s="1551" t="s">
        <v>1254</v>
      </c>
      <c r="G406" s="1550" t="s">
        <v>1994</v>
      </c>
      <c r="H406" s="1552">
        <v>3</v>
      </c>
      <c r="I406" s="1441"/>
      <c r="J406" s="535"/>
    </row>
    <row r="407" spans="1:16" ht="15.75" thickBot="1" x14ac:dyDescent="0.3"/>
    <row r="408" spans="1:16" ht="15.75" thickBot="1" x14ac:dyDescent="0.3">
      <c r="A408" s="93"/>
      <c r="C408" s="355" t="s">
        <v>3480</v>
      </c>
      <c r="D408" s="94" t="s">
        <v>321</v>
      </c>
      <c r="J408" s="1619"/>
    </row>
    <row r="409" spans="1:16" s="93" customFormat="1" ht="15.75" thickBot="1" x14ac:dyDescent="0.3">
      <c r="B409" s="277" t="s">
        <v>0</v>
      </c>
      <c r="C409" s="281" t="s">
        <v>1</v>
      </c>
      <c r="D409" s="283" t="s">
        <v>838</v>
      </c>
      <c r="E409" s="447" t="s">
        <v>471</v>
      </c>
      <c r="F409" s="283" t="s">
        <v>472</v>
      </c>
      <c r="G409" s="283" t="s">
        <v>2</v>
      </c>
      <c r="H409" s="283" t="s">
        <v>302</v>
      </c>
      <c r="I409" s="281" t="s">
        <v>116</v>
      </c>
      <c r="J409" s="782" t="s">
        <v>117</v>
      </c>
    </row>
    <row r="410" spans="1:16" s="102" customFormat="1" ht="18" outlineLevel="1" x14ac:dyDescent="0.25">
      <c r="B410" s="638" t="s">
        <v>3481</v>
      </c>
      <c r="C410" s="639" t="s">
        <v>4297</v>
      </c>
      <c r="D410" s="640">
        <v>0.33444800000000002</v>
      </c>
      <c r="E410" s="641" t="s">
        <v>2181</v>
      </c>
      <c r="F410" s="641" t="s">
        <v>1254</v>
      </c>
      <c r="G410" s="640" t="s">
        <v>3483</v>
      </c>
      <c r="H410" s="642">
        <v>6</v>
      </c>
      <c r="I410" s="639"/>
      <c r="J410" s="643"/>
    </row>
    <row r="411" spans="1:16" s="102" customFormat="1" ht="18.75" outlineLevel="1" thickBot="1" x14ac:dyDescent="0.3">
      <c r="B411" s="534" t="s">
        <v>3482</v>
      </c>
      <c r="C411" s="633" t="s">
        <v>4298</v>
      </c>
      <c r="D411" s="644">
        <v>2.42475</v>
      </c>
      <c r="E411" s="645" t="s">
        <v>2181</v>
      </c>
      <c r="F411" s="645" t="s">
        <v>1254</v>
      </c>
      <c r="G411" s="644" t="s">
        <v>3484</v>
      </c>
      <c r="H411" s="646">
        <v>6</v>
      </c>
      <c r="I411" s="633"/>
      <c r="J411" s="535"/>
    </row>
    <row r="412" spans="1:16" ht="15.75" thickBot="1" x14ac:dyDescent="0.3">
      <c r="O412" s="102"/>
      <c r="P412" s="102"/>
    </row>
    <row r="413" spans="1:16" ht="15.75" thickBot="1" x14ac:dyDescent="0.3">
      <c r="C413" s="596" t="s">
        <v>3528</v>
      </c>
      <c r="D413" s="94" t="s">
        <v>319</v>
      </c>
      <c r="J413" s="1619"/>
    </row>
    <row r="414" spans="1:16" ht="15.75" thickBot="1" x14ac:dyDescent="0.3">
      <c r="B414" s="648" t="s">
        <v>0</v>
      </c>
      <c r="C414" s="649" t="s">
        <v>1</v>
      </c>
      <c r="D414" s="650" t="s">
        <v>838</v>
      </c>
      <c r="E414" s="650" t="s">
        <v>471</v>
      </c>
      <c r="F414" s="650" t="s">
        <v>472</v>
      </c>
      <c r="G414" s="650" t="s">
        <v>2</v>
      </c>
      <c r="H414" s="650" t="s">
        <v>302</v>
      </c>
      <c r="I414" s="649" t="s">
        <v>116</v>
      </c>
      <c r="J414" s="849" t="s">
        <v>117</v>
      </c>
    </row>
    <row r="415" spans="1:16" ht="18.75" outlineLevel="1" thickBot="1" x14ac:dyDescent="0.3">
      <c r="B415" s="857" t="s">
        <v>3529</v>
      </c>
      <c r="C415" s="2027" t="s">
        <v>4941</v>
      </c>
      <c r="D415" s="2028">
        <v>4</v>
      </c>
      <c r="E415" s="2029">
        <v>0</v>
      </c>
      <c r="F415" s="2029">
        <v>9</v>
      </c>
      <c r="G415" s="2029" t="s">
        <v>3530</v>
      </c>
      <c r="H415" s="2029">
        <v>2</v>
      </c>
      <c r="I415" s="1382"/>
      <c r="J415" s="862" t="s">
        <v>4994</v>
      </c>
    </row>
    <row r="416" spans="1:16" ht="15.75" thickBot="1" x14ac:dyDescent="0.3"/>
    <row r="417" spans="2:10" ht="15.75" thickBot="1" x14ac:dyDescent="0.3">
      <c r="C417" s="596" t="s">
        <v>3531</v>
      </c>
      <c r="D417" s="94" t="s">
        <v>319</v>
      </c>
      <c r="J417" s="1619"/>
    </row>
    <row r="418" spans="2:10" ht="15.75" thickBot="1" x14ac:dyDescent="0.3">
      <c r="B418" s="648" t="s">
        <v>0</v>
      </c>
      <c r="C418" s="649" t="s">
        <v>1</v>
      </c>
      <c r="D418" s="650" t="s">
        <v>838</v>
      </c>
      <c r="E418" s="650" t="s">
        <v>471</v>
      </c>
      <c r="F418" s="650" t="s">
        <v>472</v>
      </c>
      <c r="G418" s="650" t="s">
        <v>2</v>
      </c>
      <c r="H418" s="650" t="s">
        <v>302</v>
      </c>
      <c r="I418" s="649" t="s">
        <v>116</v>
      </c>
      <c r="J418" s="849" t="s">
        <v>117</v>
      </c>
    </row>
    <row r="419" spans="2:10" ht="18" outlineLevel="1" x14ac:dyDescent="0.25">
      <c r="B419" s="851" t="s">
        <v>3532</v>
      </c>
      <c r="C419" s="852" t="s">
        <v>3533</v>
      </c>
      <c r="D419" s="853">
        <v>5.1999999999999998E-2</v>
      </c>
      <c r="E419" s="854">
        <v>0</v>
      </c>
      <c r="F419" s="854">
        <v>5</v>
      </c>
      <c r="G419" s="854" t="s">
        <v>3530</v>
      </c>
      <c r="H419" s="854">
        <v>2</v>
      </c>
      <c r="I419" s="855"/>
      <c r="J419" s="856" t="s">
        <v>3534</v>
      </c>
    </row>
    <row r="420" spans="2:10" ht="18" outlineLevel="1" x14ac:dyDescent="0.25">
      <c r="B420" s="2005" t="s">
        <v>4942</v>
      </c>
      <c r="C420" s="2006" t="s">
        <v>4943</v>
      </c>
      <c r="D420" s="2007">
        <v>5.1999999999999998E-2</v>
      </c>
      <c r="E420" s="2008">
        <v>0</v>
      </c>
      <c r="F420" s="2008">
        <v>5</v>
      </c>
      <c r="G420" s="2008" t="s">
        <v>3530</v>
      </c>
      <c r="H420" s="2008">
        <v>2</v>
      </c>
      <c r="I420" s="2009"/>
      <c r="J420" s="2010"/>
    </row>
    <row r="421" spans="2:10" ht="18" outlineLevel="1" x14ac:dyDescent="0.25">
      <c r="B421" s="673" t="s">
        <v>3535</v>
      </c>
      <c r="C421" s="603" t="s">
        <v>3536</v>
      </c>
      <c r="D421" s="604">
        <v>5.1999999999999998E-2</v>
      </c>
      <c r="E421" s="606">
        <v>0</v>
      </c>
      <c r="F421" s="606">
        <v>5</v>
      </c>
      <c r="G421" s="606" t="s">
        <v>3530</v>
      </c>
      <c r="H421" s="606">
        <v>2</v>
      </c>
      <c r="I421" s="609"/>
      <c r="J421" s="850"/>
    </row>
    <row r="422" spans="2:10" ht="18" outlineLevel="1" x14ac:dyDescent="0.25">
      <c r="B422" s="673" t="s">
        <v>3537</v>
      </c>
      <c r="C422" s="603" t="s">
        <v>3538</v>
      </c>
      <c r="D422" s="604">
        <v>5.1999999999999998E-2</v>
      </c>
      <c r="E422" s="606">
        <v>0</v>
      </c>
      <c r="F422" s="606">
        <v>5</v>
      </c>
      <c r="G422" s="606" t="s">
        <v>3530</v>
      </c>
      <c r="H422" s="606">
        <v>2</v>
      </c>
      <c r="I422" s="609"/>
      <c r="J422" s="850"/>
    </row>
    <row r="423" spans="2:10" ht="18" outlineLevel="1" x14ac:dyDescent="0.25">
      <c r="B423" s="673" t="s">
        <v>3539</v>
      </c>
      <c r="C423" s="603" t="s">
        <v>3540</v>
      </c>
      <c r="D423" s="604">
        <v>5.1999999999999998E-2</v>
      </c>
      <c r="E423" s="606">
        <v>0</v>
      </c>
      <c r="F423" s="606">
        <v>5</v>
      </c>
      <c r="G423" s="606" t="s">
        <v>3530</v>
      </c>
      <c r="H423" s="606">
        <v>2</v>
      </c>
      <c r="I423" s="609"/>
      <c r="J423" s="850"/>
    </row>
    <row r="424" spans="2:10" ht="18" outlineLevel="1" x14ac:dyDescent="0.25">
      <c r="B424" s="673" t="s">
        <v>3541</v>
      </c>
      <c r="C424" s="603" t="s">
        <v>3542</v>
      </c>
      <c r="D424" s="604">
        <v>5.1999999999999998E-2</v>
      </c>
      <c r="E424" s="606">
        <v>0</v>
      </c>
      <c r="F424" s="606">
        <v>5</v>
      </c>
      <c r="G424" s="606" t="s">
        <v>3530</v>
      </c>
      <c r="H424" s="606">
        <v>2</v>
      </c>
      <c r="I424" s="609"/>
      <c r="J424" s="850"/>
    </row>
    <row r="425" spans="2:10" ht="18" outlineLevel="1" x14ac:dyDescent="0.25">
      <c r="B425" s="673" t="s">
        <v>3543</v>
      </c>
      <c r="C425" s="603" t="s">
        <v>3544</v>
      </c>
      <c r="D425" s="604">
        <v>5.1999999999999998E-2</v>
      </c>
      <c r="E425" s="606">
        <v>0</v>
      </c>
      <c r="F425" s="606">
        <v>5</v>
      </c>
      <c r="G425" s="606" t="s">
        <v>3530</v>
      </c>
      <c r="H425" s="606">
        <v>2</v>
      </c>
      <c r="I425" s="609"/>
      <c r="J425" s="850"/>
    </row>
    <row r="426" spans="2:10" ht="18" outlineLevel="1" x14ac:dyDescent="0.25">
      <c r="B426" s="673" t="s">
        <v>3545</v>
      </c>
      <c r="C426" s="603" t="s">
        <v>3546</v>
      </c>
      <c r="D426" s="604">
        <v>5.1999999999999998E-2</v>
      </c>
      <c r="E426" s="606">
        <v>0</v>
      </c>
      <c r="F426" s="606">
        <v>5</v>
      </c>
      <c r="G426" s="606" t="s">
        <v>3530</v>
      </c>
      <c r="H426" s="606">
        <v>2</v>
      </c>
      <c r="I426" s="609"/>
      <c r="J426" s="850"/>
    </row>
    <row r="427" spans="2:10" ht="18.75" outlineLevel="1" thickBot="1" x14ac:dyDescent="0.3">
      <c r="B427" s="857" t="s">
        <v>3547</v>
      </c>
      <c r="C427" s="858" t="s">
        <v>3548</v>
      </c>
      <c r="D427" s="859">
        <v>5.1999999999999998E-2</v>
      </c>
      <c r="E427" s="860">
        <v>0</v>
      </c>
      <c r="F427" s="860">
        <v>5</v>
      </c>
      <c r="G427" s="860" t="s">
        <v>3530</v>
      </c>
      <c r="H427" s="860">
        <v>2</v>
      </c>
      <c r="I427" s="861"/>
      <c r="J427" s="862"/>
    </row>
    <row r="428" spans="2:10" ht="15.75" thickBot="1" x14ac:dyDescent="0.3"/>
    <row r="429" spans="2:10" ht="15.75" thickBot="1" x14ac:dyDescent="0.3">
      <c r="C429" s="596" t="s">
        <v>3549</v>
      </c>
      <c r="D429" s="94" t="s">
        <v>319</v>
      </c>
      <c r="J429" s="1619"/>
    </row>
    <row r="430" spans="2:10" ht="15.75" thickBot="1" x14ac:dyDescent="0.3">
      <c r="B430" s="648" t="s">
        <v>0</v>
      </c>
      <c r="C430" s="649" t="s">
        <v>1</v>
      </c>
      <c r="D430" s="650" t="s">
        <v>838</v>
      </c>
      <c r="E430" s="650" t="s">
        <v>471</v>
      </c>
      <c r="F430" s="650" t="s">
        <v>472</v>
      </c>
      <c r="G430" s="650" t="s">
        <v>2</v>
      </c>
      <c r="H430" s="650" t="s">
        <v>302</v>
      </c>
      <c r="I430" s="649" t="s">
        <v>116</v>
      </c>
      <c r="J430" s="849" t="s">
        <v>117</v>
      </c>
    </row>
    <row r="431" spans="2:10" ht="18" outlineLevel="1" x14ac:dyDescent="0.25">
      <c r="B431" s="851" t="s">
        <v>3550</v>
      </c>
      <c r="C431" s="852" t="s">
        <v>3551</v>
      </c>
      <c r="D431" s="853">
        <v>0.11</v>
      </c>
      <c r="E431" s="854">
        <v>0</v>
      </c>
      <c r="F431" s="854">
        <v>5</v>
      </c>
      <c r="G431" s="854" t="s">
        <v>3530</v>
      </c>
      <c r="H431" s="854">
        <v>2</v>
      </c>
      <c r="I431" s="855"/>
      <c r="J431" s="856" t="s">
        <v>3552</v>
      </c>
    </row>
    <row r="432" spans="2:10" ht="18" outlineLevel="1" x14ac:dyDescent="0.25">
      <c r="B432" s="2005" t="s">
        <v>4944</v>
      </c>
      <c r="C432" s="2006" t="s">
        <v>4945</v>
      </c>
      <c r="D432" s="2007">
        <v>0.11</v>
      </c>
      <c r="E432" s="2008">
        <v>0</v>
      </c>
      <c r="F432" s="2008">
        <v>5</v>
      </c>
      <c r="G432" s="2008" t="s">
        <v>3530</v>
      </c>
      <c r="H432" s="2008">
        <v>2</v>
      </c>
      <c r="I432" s="2009"/>
      <c r="J432" s="2010"/>
    </row>
    <row r="433" spans="2:10" ht="18" outlineLevel="1" x14ac:dyDescent="0.25">
      <c r="B433" s="673" t="s">
        <v>3553</v>
      </c>
      <c r="C433" s="603" t="s">
        <v>3554</v>
      </c>
      <c r="D433" s="604">
        <v>0.11</v>
      </c>
      <c r="E433" s="606">
        <v>0</v>
      </c>
      <c r="F433" s="606">
        <v>5</v>
      </c>
      <c r="G433" s="606" t="s">
        <v>3530</v>
      </c>
      <c r="H433" s="606">
        <v>2</v>
      </c>
      <c r="I433" s="609"/>
      <c r="J433" s="850"/>
    </row>
    <row r="434" spans="2:10" ht="18" outlineLevel="1" x14ac:dyDescent="0.25">
      <c r="B434" s="673" t="s">
        <v>3555</v>
      </c>
      <c r="C434" s="603" t="s">
        <v>3556</v>
      </c>
      <c r="D434" s="604">
        <v>0.11</v>
      </c>
      <c r="E434" s="606">
        <v>0</v>
      </c>
      <c r="F434" s="606">
        <v>5</v>
      </c>
      <c r="G434" s="606" t="s">
        <v>3530</v>
      </c>
      <c r="H434" s="606">
        <v>2</v>
      </c>
      <c r="I434" s="609"/>
      <c r="J434" s="850"/>
    </row>
    <row r="435" spans="2:10" ht="18" outlineLevel="1" x14ac:dyDescent="0.25">
      <c r="B435" s="673" t="s">
        <v>3557</v>
      </c>
      <c r="C435" s="603" t="s">
        <v>3558</v>
      </c>
      <c r="D435" s="604">
        <v>0.11</v>
      </c>
      <c r="E435" s="606">
        <v>0</v>
      </c>
      <c r="F435" s="606">
        <v>5</v>
      </c>
      <c r="G435" s="606" t="s">
        <v>3530</v>
      </c>
      <c r="H435" s="606">
        <v>2</v>
      </c>
      <c r="I435" s="609"/>
      <c r="J435" s="850"/>
    </row>
    <row r="436" spans="2:10" ht="18" outlineLevel="1" x14ac:dyDescent="0.25">
      <c r="B436" s="673" t="s">
        <v>3559</v>
      </c>
      <c r="C436" s="603" t="s">
        <v>3560</v>
      </c>
      <c r="D436" s="604">
        <v>0.17</v>
      </c>
      <c r="E436" s="606">
        <v>0</v>
      </c>
      <c r="F436" s="606">
        <v>5</v>
      </c>
      <c r="G436" s="606" t="s">
        <v>3530</v>
      </c>
      <c r="H436" s="606">
        <v>2</v>
      </c>
      <c r="I436" s="609"/>
      <c r="J436" s="850" t="s">
        <v>3561</v>
      </c>
    </row>
    <row r="437" spans="2:10" ht="18.75" outlineLevel="1" thickBot="1" x14ac:dyDescent="0.3">
      <c r="B437" s="857" t="s">
        <v>3562</v>
      </c>
      <c r="C437" s="858" t="s">
        <v>3563</v>
      </c>
      <c r="D437" s="859">
        <v>0.33</v>
      </c>
      <c r="E437" s="860">
        <v>0</v>
      </c>
      <c r="F437" s="860">
        <v>5</v>
      </c>
      <c r="G437" s="860" t="s">
        <v>3530</v>
      </c>
      <c r="H437" s="860">
        <v>2</v>
      </c>
      <c r="I437" s="861"/>
      <c r="J437" s="862" t="s">
        <v>3564</v>
      </c>
    </row>
    <row r="438" spans="2:10" ht="15.75" thickBot="1" x14ac:dyDescent="0.3"/>
    <row r="439" spans="2:10" ht="15.75" thickBot="1" x14ac:dyDescent="0.3">
      <c r="C439" s="1513" t="s">
        <v>4910</v>
      </c>
      <c r="D439" s="94" t="s">
        <v>319</v>
      </c>
      <c r="J439" s="1619"/>
    </row>
    <row r="440" spans="2:10" ht="15.75" thickBot="1" x14ac:dyDescent="0.3">
      <c r="B440" s="1514" t="s">
        <v>0</v>
      </c>
      <c r="C440" s="1527" t="s">
        <v>1</v>
      </c>
      <c r="D440" s="1528" t="s">
        <v>838</v>
      </c>
      <c r="E440" s="1528" t="s">
        <v>471</v>
      </c>
      <c r="F440" s="1528" t="s">
        <v>472</v>
      </c>
      <c r="G440" s="1528" t="s">
        <v>2</v>
      </c>
      <c r="H440" s="1528" t="s">
        <v>302</v>
      </c>
      <c r="I440" s="1527" t="s">
        <v>116</v>
      </c>
      <c r="J440" s="1529" t="s">
        <v>117</v>
      </c>
    </row>
    <row r="441" spans="2:10" ht="15.75" outlineLevel="1" thickBot="1" x14ac:dyDescent="0.3">
      <c r="B441" s="2000" t="s">
        <v>4913</v>
      </c>
      <c r="C441" s="2001" t="s">
        <v>4911</v>
      </c>
      <c r="D441" s="2002">
        <v>8.0000000000000002E-3</v>
      </c>
      <c r="E441" s="2003">
        <v>0</v>
      </c>
      <c r="F441" s="2003">
        <v>1</v>
      </c>
      <c r="G441" s="2003" t="s">
        <v>4912</v>
      </c>
      <c r="H441" s="2003">
        <v>3</v>
      </c>
      <c r="I441" s="1998"/>
      <c r="J441" s="2004"/>
    </row>
  </sheetData>
  <phoneticPr fontId="29" type="noConversion"/>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B1:O9"/>
  <sheetViews>
    <sheetView showGridLines="0" zoomScaleNormal="100" workbookViewId="0"/>
  </sheetViews>
  <sheetFormatPr baseColWidth="10" defaultColWidth="9.140625" defaultRowHeight="15" x14ac:dyDescent="0.25"/>
  <cols>
    <col min="1" max="1" width="9.140625" style="173"/>
    <col min="2" max="2" width="7.5703125" style="173" bestFit="1" customWidth="1"/>
    <col min="3" max="3" width="43.5703125" style="173" bestFit="1" customWidth="1"/>
    <col min="4" max="4" width="11.5703125" style="173" bestFit="1" customWidth="1"/>
    <col min="5" max="5" width="13.85546875" style="173" bestFit="1" customWidth="1"/>
    <col min="6" max="6" width="14.140625" style="173" bestFit="1" customWidth="1"/>
    <col min="7" max="7" width="10.5703125" style="173" bestFit="1" customWidth="1"/>
    <col min="8" max="8" width="10.85546875" style="173" bestFit="1" customWidth="1"/>
    <col min="9" max="9" width="10.85546875" style="173" customWidth="1"/>
    <col min="10" max="10" width="9.140625" style="173"/>
    <col min="11" max="11" width="9.5703125" style="173" bestFit="1" customWidth="1"/>
    <col min="12" max="12" width="6.7109375" style="173" customWidth="1"/>
    <col min="13" max="13" width="9" style="173" bestFit="1" customWidth="1"/>
    <col min="14" max="14" width="5" style="173" bestFit="1" customWidth="1"/>
    <col min="15" max="15" width="18.28515625" style="173" bestFit="1" customWidth="1"/>
    <col min="16" max="16384" width="9.140625" style="173"/>
  </cols>
  <sheetData>
    <row r="1" spans="2:15" ht="15.75" thickBot="1" x14ac:dyDescent="0.3"/>
    <row r="2" spans="2:15" s="595" customFormat="1" ht="15.75" thickBot="1" x14ac:dyDescent="0.3">
      <c r="B2" s="593"/>
      <c r="C2" s="594" t="s">
        <v>3329</v>
      </c>
      <c r="D2" s="593"/>
      <c r="E2" s="593"/>
      <c r="F2" s="593"/>
      <c r="G2" s="593"/>
      <c r="H2" s="593"/>
      <c r="I2" s="593"/>
      <c r="J2" s="593"/>
    </row>
    <row r="3" spans="2:15" s="593" customFormat="1" ht="45.75" thickBot="1" x14ac:dyDescent="0.3">
      <c r="B3" s="668" t="s">
        <v>0</v>
      </c>
      <c r="C3" s="669" t="s">
        <v>1</v>
      </c>
      <c r="D3" s="670" t="s">
        <v>3330</v>
      </c>
      <c r="E3" s="670" t="s">
        <v>3331</v>
      </c>
      <c r="F3" s="670" t="s">
        <v>3332</v>
      </c>
      <c r="G3" s="670" t="s">
        <v>3333</v>
      </c>
      <c r="H3" s="671" t="s">
        <v>3565</v>
      </c>
      <c r="I3" s="671" t="s">
        <v>3570</v>
      </c>
      <c r="J3" s="670" t="s">
        <v>471</v>
      </c>
      <c r="K3" s="670" t="s">
        <v>472</v>
      </c>
      <c r="L3" s="670" t="s">
        <v>2</v>
      </c>
      <c r="M3" s="670" t="s">
        <v>302</v>
      </c>
      <c r="N3" s="670" t="s">
        <v>116</v>
      </c>
      <c r="O3" s="672" t="s">
        <v>117</v>
      </c>
    </row>
    <row r="4" spans="2:15" s="595" customFormat="1" ht="18" x14ac:dyDescent="0.35">
      <c r="B4" s="652" t="s">
        <v>3114</v>
      </c>
      <c r="C4" s="653" t="s">
        <v>3334</v>
      </c>
      <c r="D4" s="654">
        <v>0.04</v>
      </c>
      <c r="E4" s="654">
        <v>1.54</v>
      </c>
      <c r="F4" s="655">
        <v>2.2999999999999998</v>
      </c>
      <c r="G4" s="655">
        <v>34.799999999999997</v>
      </c>
      <c r="H4" s="656" t="s">
        <v>1209</v>
      </c>
      <c r="I4" s="674">
        <v>2.61</v>
      </c>
      <c r="J4" s="654">
        <v>0</v>
      </c>
      <c r="K4" s="654">
        <v>100</v>
      </c>
      <c r="L4" s="2033" t="s">
        <v>4995</v>
      </c>
      <c r="M4" s="654"/>
      <c r="N4" s="654"/>
      <c r="O4" s="657"/>
    </row>
    <row r="5" spans="2:15" s="595" customFormat="1" ht="18" x14ac:dyDescent="0.35">
      <c r="B5" s="658" t="s">
        <v>3115</v>
      </c>
      <c r="C5" s="659" t="s">
        <v>3335</v>
      </c>
      <c r="D5" s="660" t="s">
        <v>1209</v>
      </c>
      <c r="E5" s="660" t="s">
        <v>1209</v>
      </c>
      <c r="F5" s="656">
        <v>0.04</v>
      </c>
      <c r="G5" s="656">
        <v>65</v>
      </c>
      <c r="H5" s="656" t="s">
        <v>1209</v>
      </c>
      <c r="I5" s="656" t="s">
        <v>1209</v>
      </c>
      <c r="J5" s="660">
        <v>0</v>
      </c>
      <c r="K5" s="660">
        <v>100</v>
      </c>
      <c r="L5" s="2033" t="s">
        <v>4995</v>
      </c>
      <c r="M5" s="660"/>
      <c r="N5" s="660"/>
      <c r="O5" s="661"/>
    </row>
    <row r="6" spans="2:15" s="595" customFormat="1" ht="18" x14ac:dyDescent="0.35">
      <c r="B6" s="658" t="s">
        <v>3116</v>
      </c>
      <c r="C6" s="659" t="s">
        <v>3336</v>
      </c>
      <c r="D6" s="660" t="s">
        <v>1209</v>
      </c>
      <c r="E6" s="660" t="s">
        <v>1209</v>
      </c>
      <c r="F6" s="656">
        <v>3.16</v>
      </c>
      <c r="G6" s="656">
        <v>0.12</v>
      </c>
      <c r="H6" s="656" t="s">
        <v>1209</v>
      </c>
      <c r="I6" s="656" t="s">
        <v>1209</v>
      </c>
      <c r="J6" s="660">
        <v>0</v>
      </c>
      <c r="K6" s="660">
        <v>100</v>
      </c>
      <c r="L6" s="2033" t="s">
        <v>4995</v>
      </c>
      <c r="M6" s="660"/>
      <c r="N6" s="660"/>
      <c r="O6" s="661"/>
    </row>
    <row r="7" spans="2:15" s="595" customFormat="1" ht="18" x14ac:dyDescent="0.35">
      <c r="B7" s="658" t="s">
        <v>3117</v>
      </c>
      <c r="C7" s="659" t="s">
        <v>3337</v>
      </c>
      <c r="D7" s="660">
        <v>20.95</v>
      </c>
      <c r="E7" s="660">
        <v>18.84</v>
      </c>
      <c r="F7" s="656" t="s">
        <v>1209</v>
      </c>
      <c r="G7" s="656" t="s">
        <v>1209</v>
      </c>
      <c r="H7" s="656">
        <v>97</v>
      </c>
      <c r="I7" s="656">
        <v>5.22</v>
      </c>
      <c r="J7" s="660">
        <v>0</v>
      </c>
      <c r="K7" s="660">
        <v>100</v>
      </c>
      <c r="L7" s="2033" t="s">
        <v>4995</v>
      </c>
      <c r="M7" s="660"/>
      <c r="N7" s="660"/>
      <c r="O7" s="661"/>
    </row>
    <row r="8" spans="2:15" s="595" customFormat="1" ht="18" x14ac:dyDescent="0.35">
      <c r="B8" s="658" t="s">
        <v>3118</v>
      </c>
      <c r="C8" s="659" t="s">
        <v>3338</v>
      </c>
      <c r="D8" s="660" t="s">
        <v>1209</v>
      </c>
      <c r="E8" s="660" t="s">
        <v>1209</v>
      </c>
      <c r="F8" s="656" t="s">
        <v>1209</v>
      </c>
      <c r="G8" s="662">
        <v>0.01</v>
      </c>
      <c r="H8" s="662" t="s">
        <v>1209</v>
      </c>
      <c r="I8" s="662" t="s">
        <v>1209</v>
      </c>
      <c r="J8" s="660">
        <v>0</v>
      </c>
      <c r="K8" s="660">
        <v>100</v>
      </c>
      <c r="L8" s="2033" t="s">
        <v>4995</v>
      </c>
      <c r="M8" s="660"/>
      <c r="N8" s="660"/>
      <c r="O8" s="661"/>
    </row>
    <row r="9" spans="2:15" s="595" customFormat="1" ht="18.75" thickBot="1" x14ac:dyDescent="0.4">
      <c r="B9" s="663" t="s">
        <v>3119</v>
      </c>
      <c r="C9" s="664" t="s">
        <v>3339</v>
      </c>
      <c r="D9" s="665">
        <v>79.010000000000005</v>
      </c>
      <c r="E9" s="665">
        <v>79.62</v>
      </c>
      <c r="F9" s="666">
        <v>94.5</v>
      </c>
      <c r="G9" s="666">
        <v>7.0000000000000007E-2</v>
      </c>
      <c r="H9" s="666">
        <v>3</v>
      </c>
      <c r="I9" s="666">
        <v>92.17</v>
      </c>
      <c r="J9" s="665">
        <v>0</v>
      </c>
      <c r="K9" s="665">
        <v>100</v>
      </c>
      <c r="L9" s="665" t="s">
        <v>4995</v>
      </c>
      <c r="M9" s="665"/>
      <c r="N9" s="665"/>
      <c r="O9" s="667"/>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Munka3"/>
  <dimension ref="A1:CU220"/>
  <sheetViews>
    <sheetView showGridLines="0" zoomScaleNormal="100" workbookViewId="0">
      <pane xSplit="4" ySplit="3" topLeftCell="E15" activePane="bottomRight" state="frozen"/>
      <selection pane="topRight" activeCell="E1" sqref="E1"/>
      <selection pane="bottomLeft" activeCell="A4" sqref="A4"/>
      <selection pane="bottomRight" activeCell="A2" sqref="A2"/>
    </sheetView>
  </sheetViews>
  <sheetFormatPr baseColWidth="10" defaultColWidth="9.140625" defaultRowHeight="15" x14ac:dyDescent="0.25"/>
  <cols>
    <col min="1" max="1" width="3.140625" style="65" customWidth="1"/>
    <col min="2" max="2" width="4.140625" style="353" customWidth="1"/>
    <col min="3" max="3" width="7.5703125" style="353" bestFit="1" customWidth="1"/>
    <col min="4" max="4" width="54.7109375" style="65" bestFit="1" customWidth="1"/>
    <col min="5" max="5" width="32.85546875" style="65" customWidth="1"/>
    <col min="6" max="6" width="12.85546875" style="65" customWidth="1"/>
    <col min="7" max="7" width="14.85546875" style="65" customWidth="1"/>
    <col min="8" max="13" width="12.85546875" style="65" customWidth="1"/>
    <col min="14" max="14" width="22.5703125" style="65" bestFit="1" customWidth="1"/>
    <col min="15" max="15" width="29.85546875" style="65" customWidth="1"/>
    <col min="16" max="16" width="12.85546875" style="65" customWidth="1"/>
    <col min="17" max="17" width="5.85546875" style="65" customWidth="1"/>
    <col min="18" max="18" width="17.140625" style="65" customWidth="1"/>
    <col min="19" max="19" width="16.85546875" style="65" customWidth="1"/>
    <col min="20" max="20" width="18.85546875" style="65" customWidth="1"/>
    <col min="21" max="21" width="17.140625" style="65" customWidth="1"/>
    <col min="22" max="23" width="18.85546875" style="65" customWidth="1"/>
    <col min="24" max="24" width="17.140625" style="65" customWidth="1"/>
    <col min="25" max="25" width="16.5703125" style="65" customWidth="1"/>
    <col min="26" max="26" width="49.140625" style="65" customWidth="1"/>
    <col min="27" max="27" width="37.85546875" style="65" customWidth="1"/>
    <col min="28" max="28" width="7.140625" style="65" customWidth="1"/>
    <col min="29" max="30" width="12.85546875" style="65" customWidth="1"/>
    <col min="31" max="31" width="9.140625" style="65" customWidth="1"/>
    <col min="32" max="32" width="25.140625" style="65" customWidth="1"/>
    <col min="33" max="33" width="26.28515625" style="65" customWidth="1"/>
    <col min="34" max="34" width="9.85546875" style="65" customWidth="1"/>
    <col min="35" max="37" width="10.28515625" style="65" customWidth="1"/>
    <col min="38" max="38" width="36" style="65" customWidth="1"/>
    <col min="39" max="39" width="16.140625" style="65" customWidth="1"/>
    <col min="40" max="40" width="19.85546875" style="65" customWidth="1"/>
    <col min="41" max="41" width="62.140625" style="65" customWidth="1"/>
    <col min="42" max="42" width="16.5703125" style="65" customWidth="1"/>
    <col min="43" max="43" width="24.140625" style="65" customWidth="1"/>
    <col min="44" max="44" width="23.85546875" style="65" customWidth="1"/>
    <col min="45" max="45" width="35.140625" style="65" customWidth="1"/>
    <col min="46" max="46" width="27.28515625" style="65" customWidth="1"/>
    <col min="47" max="47" width="26.140625" style="65" customWidth="1"/>
    <col min="48" max="48" width="14.85546875" style="65" customWidth="1"/>
    <col min="49" max="49" width="24.28515625" style="65" customWidth="1"/>
    <col min="50" max="50" width="23.85546875" style="65" customWidth="1"/>
    <col min="51" max="51" width="22.85546875" style="65" customWidth="1"/>
    <col min="52" max="52" width="25.85546875" style="65" customWidth="1"/>
    <col min="53" max="53" width="25.140625" style="65" customWidth="1"/>
    <col min="54" max="54" width="24.85546875" style="65" customWidth="1"/>
    <col min="55" max="55" width="17.85546875" style="65" customWidth="1"/>
    <col min="56" max="56" width="24.28515625" style="65" customWidth="1"/>
    <col min="57" max="57" width="23.85546875" style="65" customWidth="1"/>
    <col min="58" max="58" width="22.85546875" style="65" customWidth="1"/>
    <col min="59" max="59" width="25.85546875" style="65" customWidth="1"/>
    <col min="60" max="60" width="25.140625" style="65" customWidth="1"/>
    <col min="61" max="61" width="24.85546875" style="65" customWidth="1"/>
    <col min="62" max="62" width="17.85546875" style="65" customWidth="1"/>
    <col min="63" max="63" width="13.85546875" style="65" customWidth="1"/>
    <col min="64" max="65" width="14.140625" style="65" customWidth="1"/>
    <col min="66" max="66" width="13.28515625" style="65" customWidth="1"/>
    <col min="67" max="67" width="21.140625" style="65" customWidth="1"/>
    <col min="68" max="71" width="10.140625" style="65" customWidth="1"/>
    <col min="72" max="74" width="10.85546875" style="65" customWidth="1"/>
    <col min="75" max="86" width="12.7109375" style="65" customWidth="1"/>
    <col min="87" max="87" width="116.5703125" style="690" customWidth="1"/>
    <col min="88" max="88" width="9.140625" style="4" bestFit="1" customWidth="1"/>
    <col min="89" max="89" width="24.85546875" style="4" bestFit="1" customWidth="1"/>
    <col min="90" max="90" width="24.5703125" style="4" bestFit="1" customWidth="1"/>
    <col min="91" max="91" width="7.85546875" style="297" customWidth="1"/>
    <col min="92" max="92" width="12.5703125" style="65" bestFit="1" customWidth="1"/>
    <col min="93" max="96" width="9.28515625" style="65" bestFit="1" customWidth="1"/>
    <col min="97" max="16384" width="9.140625" style="65"/>
  </cols>
  <sheetData>
    <row r="1" spans="1:92" s="68" customFormat="1" ht="58.5" customHeight="1" thickBot="1" x14ac:dyDescent="0.4">
      <c r="A1" s="468"/>
      <c r="B1" s="469"/>
      <c r="C1" s="469"/>
      <c r="AV1" s="352"/>
      <c r="AW1" s="352"/>
      <c r="AY1" s="352"/>
      <c r="AZ1" s="352"/>
      <c r="BA1" s="352"/>
      <c r="BB1" s="352"/>
      <c r="BC1" s="352"/>
      <c r="BD1" s="352"/>
      <c r="BF1" s="352"/>
      <c r="BG1" s="352"/>
      <c r="BH1" s="352"/>
      <c r="BI1" s="352"/>
      <c r="BJ1" s="352"/>
      <c r="BK1" s="352"/>
      <c r="BL1" s="352"/>
      <c r="BM1" s="352"/>
      <c r="BN1" s="352"/>
      <c r="BO1" s="352"/>
      <c r="BP1" s="352"/>
      <c r="BQ1" s="352"/>
      <c r="BR1" s="352"/>
      <c r="BS1" s="352"/>
      <c r="BT1" s="352"/>
      <c r="BU1" s="352"/>
      <c r="BV1" s="352"/>
      <c r="BW1" s="352"/>
      <c r="BX1" s="352"/>
      <c r="BY1" s="352"/>
      <c r="BZ1" s="352"/>
      <c r="CA1" s="352"/>
      <c r="CB1" s="352"/>
      <c r="CC1" s="352"/>
      <c r="CD1" s="352"/>
      <c r="CE1" s="352"/>
      <c r="CF1" s="352"/>
      <c r="CG1" s="352"/>
      <c r="CH1" s="352"/>
      <c r="CI1" s="689"/>
      <c r="CJ1" s="112"/>
      <c r="CK1" s="112"/>
      <c r="CL1" s="112"/>
      <c r="CM1" s="470"/>
    </row>
    <row r="2" spans="1:92" ht="15.75" thickBot="1" x14ac:dyDescent="0.3">
      <c r="D2" s="471" t="s">
        <v>128</v>
      </c>
      <c r="E2" s="1747"/>
      <c r="F2" s="1747"/>
      <c r="G2" s="1747"/>
      <c r="H2" s="1747"/>
      <c r="I2" s="1747"/>
      <c r="J2" s="1747"/>
      <c r="K2" s="1747"/>
      <c r="L2" s="1747"/>
      <c r="M2" s="1747"/>
      <c r="N2" s="1747"/>
      <c r="O2" s="1747"/>
      <c r="P2" s="1747"/>
      <c r="Q2" s="1747"/>
      <c r="R2" s="1747"/>
      <c r="S2" s="1747"/>
      <c r="T2" s="1747"/>
      <c r="U2" s="1747"/>
      <c r="V2" s="1747"/>
      <c r="W2" s="1747"/>
      <c r="X2" s="1747"/>
      <c r="Y2" s="1747"/>
      <c r="Z2" s="1747"/>
      <c r="AA2" s="1747"/>
      <c r="AB2" s="1747"/>
      <c r="AC2" s="1747"/>
      <c r="AD2" s="1747"/>
      <c r="AE2" s="1747"/>
      <c r="AF2" s="1747"/>
      <c r="AG2" s="1747"/>
      <c r="AH2" s="1747"/>
      <c r="AI2" s="1747"/>
      <c r="AJ2" s="1747"/>
      <c r="AK2" s="1747"/>
      <c r="AL2" s="1747"/>
      <c r="AM2" s="1747"/>
      <c r="AN2" s="1747"/>
      <c r="AO2" s="1747"/>
      <c r="AP2" s="1747"/>
      <c r="AQ2" s="1747"/>
      <c r="AR2" s="1747"/>
      <c r="AS2" s="1747"/>
      <c r="AT2" s="1747"/>
      <c r="AU2" s="1747"/>
      <c r="AV2" s="1747"/>
      <c r="AW2" s="1747"/>
      <c r="AX2" s="1747"/>
      <c r="AY2" s="1747"/>
      <c r="AZ2" s="1747"/>
      <c r="BA2" s="1747"/>
      <c r="BB2" s="1747"/>
      <c r="BC2" s="1747"/>
      <c r="BD2" s="1747"/>
      <c r="BE2" s="1747"/>
      <c r="BF2" s="1747"/>
      <c r="BG2" s="1747"/>
      <c r="BH2" s="1747"/>
      <c r="BI2" s="1747"/>
      <c r="BJ2" s="1747"/>
      <c r="BK2" s="1747"/>
      <c r="BL2" s="1747"/>
      <c r="BM2" s="1747"/>
      <c r="BN2" s="1747"/>
      <c r="BO2" s="1747"/>
      <c r="BP2" s="1747"/>
      <c r="BQ2" s="1747"/>
      <c r="BR2" s="1747"/>
      <c r="BS2" s="1747"/>
      <c r="BT2" s="1747"/>
      <c r="BU2" s="1747"/>
      <c r="BV2" s="1747"/>
      <c r="BW2" s="1747"/>
      <c r="BX2" s="1747"/>
      <c r="BY2" s="1747"/>
      <c r="BZ2" s="1747"/>
      <c r="CA2" s="1747"/>
      <c r="CB2" s="1747"/>
      <c r="CC2" s="1747"/>
      <c r="CD2" s="1747"/>
      <c r="CE2" s="1747"/>
      <c r="CF2" s="1747"/>
      <c r="CG2" s="1747"/>
      <c r="CH2" s="1747"/>
      <c r="CI2" s="1747"/>
      <c r="CJ2" s="1747"/>
      <c r="CK2" s="1747"/>
      <c r="CL2" s="1747"/>
    </row>
    <row r="3" spans="1:92" s="472" customFormat="1" ht="19.5" thickBot="1" x14ac:dyDescent="0.3">
      <c r="B3" s="319" t="s">
        <v>93</v>
      </c>
      <c r="C3" s="1066" t="s">
        <v>0</v>
      </c>
      <c r="D3" s="1067" t="s">
        <v>1</v>
      </c>
      <c r="E3" s="982" t="s">
        <v>803</v>
      </c>
      <c r="F3" s="982" t="s">
        <v>804</v>
      </c>
      <c r="G3" s="982" t="s">
        <v>805</v>
      </c>
      <c r="H3" s="982" t="s">
        <v>806</v>
      </c>
      <c r="I3" s="1612" t="s">
        <v>807</v>
      </c>
      <c r="J3" s="1612" t="s">
        <v>4674</v>
      </c>
      <c r="K3" s="982" t="s">
        <v>808</v>
      </c>
      <c r="L3" s="982" t="s">
        <v>809</v>
      </c>
      <c r="M3" s="982" t="s">
        <v>810</v>
      </c>
      <c r="N3" s="982" t="s">
        <v>4712</v>
      </c>
      <c r="O3" s="982" t="s">
        <v>4720</v>
      </c>
      <c r="P3" s="982" t="s">
        <v>811</v>
      </c>
      <c r="Q3" s="982" t="s">
        <v>1721</v>
      </c>
      <c r="R3" s="982" t="s">
        <v>812</v>
      </c>
      <c r="S3" s="982" t="s">
        <v>3810</v>
      </c>
      <c r="T3" s="982" t="s">
        <v>813</v>
      </c>
      <c r="U3" s="982" t="s">
        <v>814</v>
      </c>
      <c r="V3" s="982" t="s">
        <v>815</v>
      </c>
      <c r="W3" s="982" t="s">
        <v>816</v>
      </c>
      <c r="X3" s="982" t="s">
        <v>4311</v>
      </c>
      <c r="Y3" s="982" t="s">
        <v>817</v>
      </c>
      <c r="Z3" s="982" t="s">
        <v>818</v>
      </c>
      <c r="AA3" s="982" t="s">
        <v>819</v>
      </c>
      <c r="AB3" s="982" t="s">
        <v>820</v>
      </c>
      <c r="AC3" s="1612" t="s">
        <v>822</v>
      </c>
      <c r="AD3" s="1612" t="s">
        <v>4675</v>
      </c>
      <c r="AE3" s="982" t="s">
        <v>823</v>
      </c>
      <c r="AF3" s="982" t="s">
        <v>824</v>
      </c>
      <c r="AG3" s="982" t="s">
        <v>2110</v>
      </c>
      <c r="AH3" s="982" t="s">
        <v>825</v>
      </c>
      <c r="AI3" s="1612" t="s">
        <v>826</v>
      </c>
      <c r="AJ3" s="1612" t="s">
        <v>4678</v>
      </c>
      <c r="AK3" s="982" t="s">
        <v>827</v>
      </c>
      <c r="AL3" s="982" t="s">
        <v>828</v>
      </c>
      <c r="AM3" s="982" t="s">
        <v>830</v>
      </c>
      <c r="AN3" s="982" t="s">
        <v>831</v>
      </c>
      <c r="AO3" s="982" t="s">
        <v>832</v>
      </c>
      <c r="AP3" s="982" t="s">
        <v>833</v>
      </c>
      <c r="AQ3" s="982" t="s">
        <v>1155</v>
      </c>
      <c r="AR3" s="982" t="s">
        <v>1156</v>
      </c>
      <c r="AS3" s="982" t="s">
        <v>998</v>
      </c>
      <c r="AT3" s="982" t="s">
        <v>1627</v>
      </c>
      <c r="AU3" s="982" t="s">
        <v>1043</v>
      </c>
      <c r="AV3" s="982" t="s">
        <v>1589</v>
      </c>
      <c r="AW3" s="982" t="s">
        <v>1628</v>
      </c>
      <c r="AX3" s="982" t="s">
        <v>1629</v>
      </c>
      <c r="AY3" s="982" t="s">
        <v>1630</v>
      </c>
      <c r="AZ3" s="982" t="s">
        <v>1631</v>
      </c>
      <c r="BA3" s="982" t="s">
        <v>1632</v>
      </c>
      <c r="BB3" s="982" t="s">
        <v>1633</v>
      </c>
      <c r="BC3" s="982" t="s">
        <v>1634</v>
      </c>
      <c r="BD3" s="982" t="s">
        <v>3382</v>
      </c>
      <c r="BE3" s="982" t="s">
        <v>3383</v>
      </c>
      <c r="BF3" s="982" t="s">
        <v>3384</v>
      </c>
      <c r="BG3" s="982" t="s">
        <v>3385</v>
      </c>
      <c r="BH3" s="982" t="s">
        <v>3386</v>
      </c>
      <c r="BI3" s="982" t="s">
        <v>3387</v>
      </c>
      <c r="BJ3" s="982" t="s">
        <v>3388</v>
      </c>
      <c r="BK3" s="1068" t="s">
        <v>999</v>
      </c>
      <c r="BL3" s="1068" t="s">
        <v>1130</v>
      </c>
      <c r="BM3" s="1068" t="s">
        <v>3434</v>
      </c>
      <c r="BN3" s="1068" t="s">
        <v>360</v>
      </c>
      <c r="BO3" s="982" t="s">
        <v>1112</v>
      </c>
      <c r="BP3" s="982" t="s">
        <v>4485</v>
      </c>
      <c r="BQ3" s="982" t="s">
        <v>4486</v>
      </c>
      <c r="BR3" s="982" t="s">
        <v>4487</v>
      </c>
      <c r="BS3" s="982" t="s">
        <v>4488</v>
      </c>
      <c r="BT3" s="982" t="s">
        <v>4446</v>
      </c>
      <c r="BU3" s="1069" t="s">
        <v>3758</v>
      </c>
      <c r="BV3" s="1069" t="s">
        <v>4233</v>
      </c>
      <c r="BW3" s="1067" t="s">
        <v>1635</v>
      </c>
      <c r="BX3" s="1067" t="s">
        <v>1636</v>
      </c>
      <c r="BY3" s="1067" t="s">
        <v>1637</v>
      </c>
      <c r="BZ3" s="1067" t="s">
        <v>1638</v>
      </c>
      <c r="CA3" s="1067" t="s">
        <v>1049</v>
      </c>
      <c r="CB3" s="1067" t="s">
        <v>1639</v>
      </c>
      <c r="CC3" s="1067" t="s">
        <v>2892</v>
      </c>
      <c r="CD3" s="1067" t="s">
        <v>2893</v>
      </c>
      <c r="CE3" s="1067" t="s">
        <v>2894</v>
      </c>
      <c r="CF3" s="1067" t="s">
        <v>2895</v>
      </c>
      <c r="CG3" s="1067" t="s">
        <v>2896</v>
      </c>
      <c r="CH3" s="1067" t="s">
        <v>2897</v>
      </c>
      <c r="CI3" s="1070" t="s">
        <v>1218</v>
      </c>
      <c r="CJ3" s="1070" t="s">
        <v>2</v>
      </c>
      <c r="CK3" s="1070" t="s">
        <v>9</v>
      </c>
      <c r="CL3" s="745" t="s">
        <v>116</v>
      </c>
      <c r="CM3" s="1748"/>
    </row>
    <row r="4" spans="1:92" ht="18" x14ac:dyDescent="0.25">
      <c r="B4" s="1023">
        <v>1</v>
      </c>
      <c r="C4" s="1024" t="s">
        <v>223</v>
      </c>
      <c r="D4" s="1025" t="s">
        <v>1640</v>
      </c>
      <c r="E4" s="1026" t="s">
        <v>1723</v>
      </c>
      <c r="F4" s="1027"/>
      <c r="G4" s="1027"/>
      <c r="H4" s="1027"/>
      <c r="I4" s="1594"/>
      <c r="J4" s="1594"/>
      <c r="K4" s="1027"/>
      <c r="L4" s="1027"/>
      <c r="M4" s="1027"/>
      <c r="N4" s="1027"/>
      <c r="O4" s="1027"/>
      <c r="P4" s="1027"/>
      <c r="Q4" s="1027"/>
      <c r="R4" s="1027">
        <v>1</v>
      </c>
      <c r="S4" s="1027"/>
      <c r="T4" s="1027"/>
      <c r="U4" s="1027"/>
      <c r="V4" s="1027"/>
      <c r="W4" s="1027"/>
      <c r="X4" s="1027"/>
      <c r="Y4" s="1026" t="s">
        <v>1641</v>
      </c>
      <c r="Z4" s="1027"/>
      <c r="AA4" s="1027"/>
      <c r="AB4" s="1027"/>
      <c r="AC4" s="1594"/>
      <c r="AD4" s="1594"/>
      <c r="AE4" s="1027"/>
      <c r="AF4" s="1026" t="s">
        <v>1642</v>
      </c>
      <c r="AG4" s="1027"/>
      <c r="AH4" s="1027"/>
      <c r="AI4" s="1594"/>
      <c r="AJ4" s="1594"/>
      <c r="AK4" s="1027"/>
      <c r="AL4" s="1026" t="s">
        <v>1733</v>
      </c>
      <c r="AM4" s="1026"/>
      <c r="AN4" s="1026"/>
      <c r="AO4" s="1026" t="s">
        <v>1966</v>
      </c>
      <c r="AP4" s="1026" t="s">
        <v>2535</v>
      </c>
      <c r="AQ4" s="1026" t="s">
        <v>3284</v>
      </c>
      <c r="AR4" s="1026" t="s">
        <v>3290</v>
      </c>
      <c r="AS4" s="1026" t="s">
        <v>3280</v>
      </c>
      <c r="AT4" s="1026" t="s">
        <v>3281</v>
      </c>
      <c r="AU4" s="1026"/>
      <c r="AV4" s="1026"/>
      <c r="AW4" s="1026"/>
      <c r="AX4" s="1026"/>
      <c r="AY4" s="1026"/>
      <c r="AZ4" s="1026"/>
      <c r="BA4" s="1026"/>
      <c r="BB4" s="1026"/>
      <c r="BC4" s="1026"/>
      <c r="BD4" s="1026"/>
      <c r="BE4" s="1026"/>
      <c r="BF4" s="1026"/>
      <c r="BG4" s="1026"/>
      <c r="BH4" s="1026"/>
      <c r="BI4" s="1026"/>
      <c r="BJ4" s="1026"/>
      <c r="BK4" s="1026"/>
      <c r="BL4" s="1026"/>
      <c r="BM4" s="1026"/>
      <c r="BN4" s="1026"/>
      <c r="BO4" s="1026"/>
      <c r="BP4" s="1026"/>
      <c r="BQ4" s="1026"/>
      <c r="BR4" s="1026"/>
      <c r="BS4" s="1026"/>
      <c r="BT4" s="1026"/>
      <c r="BU4" s="1026"/>
      <c r="BV4" s="1026"/>
      <c r="BW4" s="1026"/>
      <c r="BX4" s="1026"/>
      <c r="BY4" s="1026"/>
      <c r="BZ4" s="1026"/>
      <c r="CA4" s="1026"/>
      <c r="CB4" s="1026"/>
      <c r="CC4" s="1026"/>
      <c r="CD4" s="1026"/>
      <c r="CE4" s="1026"/>
      <c r="CF4" s="1026"/>
      <c r="CG4" s="1026"/>
      <c r="CH4" s="1026"/>
      <c r="CI4" s="1028" t="s">
        <v>3306</v>
      </c>
      <c r="CJ4" s="1008" t="s">
        <v>2011</v>
      </c>
      <c r="CK4" s="1025"/>
      <c r="CL4" s="1071"/>
    </row>
    <row r="5" spans="1:92" ht="18" x14ac:dyDescent="0.25">
      <c r="B5" s="1029">
        <v>2</v>
      </c>
      <c r="C5" s="1090" t="s">
        <v>224</v>
      </c>
      <c r="D5" s="1091" t="s">
        <v>2585</v>
      </c>
      <c r="E5" s="1092" t="s">
        <v>1724</v>
      </c>
      <c r="F5" s="1093"/>
      <c r="G5" s="1093"/>
      <c r="H5" s="1093"/>
      <c r="I5" s="1595"/>
      <c r="J5" s="1595"/>
      <c r="K5" s="1093"/>
      <c r="L5" s="1093"/>
      <c r="M5" s="1093"/>
      <c r="N5" s="1093"/>
      <c r="O5" s="1093"/>
      <c r="P5" s="1093"/>
      <c r="Q5" s="1093"/>
      <c r="R5" s="1093">
        <v>1</v>
      </c>
      <c r="S5" s="1093"/>
      <c r="T5" s="1093"/>
      <c r="U5" s="1093"/>
      <c r="V5" s="1093"/>
      <c r="W5" s="1093"/>
      <c r="X5" s="1093"/>
      <c r="Y5" s="1092" t="s">
        <v>1641</v>
      </c>
      <c r="Z5" s="1092" t="s">
        <v>1729</v>
      </c>
      <c r="AA5" s="1092" t="s">
        <v>1731</v>
      </c>
      <c r="AB5" s="1093"/>
      <c r="AC5" s="1595"/>
      <c r="AD5" s="1595"/>
      <c r="AE5" s="1093"/>
      <c r="AF5" s="1092" t="s">
        <v>1642</v>
      </c>
      <c r="AG5" s="1093"/>
      <c r="AH5" s="1093"/>
      <c r="AI5" s="1595"/>
      <c r="AJ5" s="1595"/>
      <c r="AK5" s="1093"/>
      <c r="AL5" s="1092"/>
      <c r="AM5" s="1092"/>
      <c r="AN5" s="1092"/>
      <c r="AO5" s="1092" t="s">
        <v>1967</v>
      </c>
      <c r="AP5" s="1092" t="s">
        <v>2535</v>
      </c>
      <c r="AQ5" s="1092" t="s">
        <v>3284</v>
      </c>
      <c r="AR5" s="1092" t="s">
        <v>3290</v>
      </c>
      <c r="AS5" s="1092" t="s">
        <v>3280</v>
      </c>
      <c r="AT5" s="1092" t="s">
        <v>3281</v>
      </c>
      <c r="AU5" s="1092"/>
      <c r="AV5" s="1092"/>
      <c r="AW5" s="1092"/>
      <c r="AX5" s="1092"/>
      <c r="AY5" s="1092"/>
      <c r="AZ5" s="1092"/>
      <c r="BA5" s="1092"/>
      <c r="BB5" s="1092"/>
      <c r="BC5" s="1092"/>
      <c r="BD5" s="1092"/>
      <c r="BE5" s="1092"/>
      <c r="BF5" s="1092"/>
      <c r="BG5" s="1092"/>
      <c r="BH5" s="1092"/>
      <c r="BI5" s="1092"/>
      <c r="BJ5" s="1092"/>
      <c r="BK5" s="1092"/>
      <c r="BL5" s="1092"/>
      <c r="BM5" s="1092"/>
      <c r="BN5" s="1092"/>
      <c r="BO5" s="1092"/>
      <c r="BP5" s="1179"/>
      <c r="BQ5" s="1179"/>
      <c r="BR5" s="1179"/>
      <c r="BS5" s="1179"/>
      <c r="BT5" s="1092"/>
      <c r="BU5" s="1092"/>
      <c r="BV5" s="1092"/>
      <c r="BW5" s="1092"/>
      <c r="BX5" s="1092"/>
      <c r="BY5" s="1092"/>
      <c r="BZ5" s="1092"/>
      <c r="CA5" s="1092"/>
      <c r="CB5" s="1092"/>
      <c r="CC5" s="1092"/>
      <c r="CD5" s="1092"/>
      <c r="CE5" s="1092"/>
      <c r="CF5" s="1092"/>
      <c r="CG5" s="1092"/>
      <c r="CH5" s="1092"/>
      <c r="CI5" s="1030" t="s">
        <v>3307</v>
      </c>
      <c r="CJ5" s="1009" t="s">
        <v>2011</v>
      </c>
      <c r="CK5" s="1091"/>
      <c r="CL5" s="1072"/>
    </row>
    <row r="6" spans="1:92" ht="18" x14ac:dyDescent="0.25">
      <c r="B6" s="1029">
        <v>3</v>
      </c>
      <c r="C6" s="1090" t="s">
        <v>225</v>
      </c>
      <c r="D6" s="1091" t="s">
        <v>1643</v>
      </c>
      <c r="E6" s="1093"/>
      <c r="F6" s="1092" t="s">
        <v>1725</v>
      </c>
      <c r="G6" s="1093"/>
      <c r="H6" s="1093"/>
      <c r="I6" s="1595"/>
      <c r="J6" s="1595"/>
      <c r="K6" s="1093"/>
      <c r="L6" s="1093"/>
      <c r="M6" s="1093"/>
      <c r="N6" s="1093"/>
      <c r="O6" s="1093"/>
      <c r="P6" s="1093"/>
      <c r="Q6" s="1093"/>
      <c r="R6" s="1093">
        <v>1</v>
      </c>
      <c r="S6" s="1093"/>
      <c r="T6" s="1093"/>
      <c r="U6" s="1093"/>
      <c r="V6" s="1093"/>
      <c r="W6" s="1093"/>
      <c r="X6" s="1093"/>
      <c r="Y6" s="1092" t="s">
        <v>1641</v>
      </c>
      <c r="Z6" s="1092"/>
      <c r="AA6" s="1093"/>
      <c r="AB6" s="1093"/>
      <c r="AC6" s="1595"/>
      <c r="AD6" s="1595"/>
      <c r="AE6" s="1093"/>
      <c r="AF6" s="1092" t="s">
        <v>1642</v>
      </c>
      <c r="AG6" s="1093"/>
      <c r="AH6" s="1093"/>
      <c r="AI6" s="1595"/>
      <c r="AJ6" s="1595"/>
      <c r="AK6" s="1093"/>
      <c r="AL6" s="1092" t="s">
        <v>1734</v>
      </c>
      <c r="AM6" s="1092"/>
      <c r="AN6" s="1092"/>
      <c r="AO6" s="1092" t="s">
        <v>1968</v>
      </c>
      <c r="AP6" s="1092" t="s">
        <v>2535</v>
      </c>
      <c r="AQ6" s="1092" t="s">
        <v>3284</v>
      </c>
      <c r="AR6" s="1092" t="s">
        <v>3290</v>
      </c>
      <c r="AS6" s="1092" t="s">
        <v>3280</v>
      </c>
      <c r="AT6" s="1092" t="s">
        <v>3281</v>
      </c>
      <c r="AU6" s="1092"/>
      <c r="AV6" s="1092"/>
      <c r="AW6" s="1092"/>
      <c r="AX6" s="1092"/>
      <c r="AY6" s="1092"/>
      <c r="AZ6" s="1092"/>
      <c r="BA6" s="1092"/>
      <c r="BB6" s="1092"/>
      <c r="BC6" s="1092"/>
      <c r="BD6" s="1092"/>
      <c r="BE6" s="1092"/>
      <c r="BF6" s="1092"/>
      <c r="BG6" s="1092"/>
      <c r="BH6" s="1092"/>
      <c r="BI6" s="1092"/>
      <c r="BJ6" s="1092"/>
      <c r="BK6" s="1092"/>
      <c r="BL6" s="1092"/>
      <c r="BM6" s="1092"/>
      <c r="BN6" s="1092"/>
      <c r="BO6" s="1092"/>
      <c r="BP6" s="1179"/>
      <c r="BQ6" s="1179"/>
      <c r="BR6" s="1179"/>
      <c r="BS6" s="1179"/>
      <c r="BT6" s="1092"/>
      <c r="BU6" s="1092"/>
      <c r="BV6" s="1092"/>
      <c r="BW6" s="1092"/>
      <c r="BX6" s="1092"/>
      <c r="BY6" s="1092"/>
      <c r="BZ6" s="1092"/>
      <c r="CA6" s="1092"/>
      <c r="CB6" s="1092"/>
      <c r="CC6" s="1092"/>
      <c r="CD6" s="1092"/>
      <c r="CE6" s="1092"/>
      <c r="CF6" s="1092"/>
      <c r="CG6" s="1092"/>
      <c r="CH6" s="1092"/>
      <c r="CI6" s="1030" t="s">
        <v>3308</v>
      </c>
      <c r="CJ6" s="1009" t="s">
        <v>2011</v>
      </c>
      <c r="CK6" s="1091"/>
      <c r="CL6" s="1072"/>
      <c r="CN6" s="1749"/>
    </row>
    <row r="7" spans="1:92" ht="18" x14ac:dyDescent="0.25">
      <c r="B7" s="1029">
        <v>4</v>
      </c>
      <c r="C7" s="1090" t="s">
        <v>226</v>
      </c>
      <c r="D7" s="1091" t="s">
        <v>2586</v>
      </c>
      <c r="E7" s="1093"/>
      <c r="F7" s="1092" t="s">
        <v>1726</v>
      </c>
      <c r="G7" s="1093"/>
      <c r="H7" s="1093"/>
      <c r="I7" s="1595"/>
      <c r="J7" s="1595"/>
      <c r="K7" s="1093"/>
      <c r="L7" s="1093"/>
      <c r="M7" s="1093"/>
      <c r="N7" s="1093"/>
      <c r="O7" s="1093"/>
      <c r="P7" s="1093"/>
      <c r="Q7" s="1093"/>
      <c r="R7" s="1093">
        <v>1</v>
      </c>
      <c r="S7" s="1093"/>
      <c r="T7" s="1093"/>
      <c r="U7" s="1093"/>
      <c r="V7" s="1093"/>
      <c r="W7" s="1093"/>
      <c r="X7" s="1093"/>
      <c r="Y7" s="1092" t="s">
        <v>1641</v>
      </c>
      <c r="Z7" s="1092" t="s">
        <v>1730</v>
      </c>
      <c r="AA7" s="1092" t="s">
        <v>1732</v>
      </c>
      <c r="AB7" s="1093"/>
      <c r="AC7" s="1595"/>
      <c r="AD7" s="1595"/>
      <c r="AE7" s="1093"/>
      <c r="AF7" s="1092" t="s">
        <v>1642</v>
      </c>
      <c r="AG7" s="1093"/>
      <c r="AH7" s="1093"/>
      <c r="AI7" s="1595"/>
      <c r="AJ7" s="1595"/>
      <c r="AK7" s="1093"/>
      <c r="AL7" s="1093"/>
      <c r="AM7" s="1093"/>
      <c r="AN7" s="1093"/>
      <c r="AO7" s="1092" t="s">
        <v>1969</v>
      </c>
      <c r="AP7" s="1092" t="s">
        <v>2535</v>
      </c>
      <c r="AQ7" s="1092" t="s">
        <v>3284</v>
      </c>
      <c r="AR7" s="1092" t="s">
        <v>3290</v>
      </c>
      <c r="AS7" s="1092" t="s">
        <v>3280</v>
      </c>
      <c r="AT7" s="1092" t="s">
        <v>3281</v>
      </c>
      <c r="AU7" s="1092"/>
      <c r="AV7" s="1092"/>
      <c r="AW7" s="1092"/>
      <c r="AX7" s="1092"/>
      <c r="AY7" s="1092"/>
      <c r="AZ7" s="1092"/>
      <c r="BA7" s="1092"/>
      <c r="BB7" s="1092"/>
      <c r="BC7" s="1092"/>
      <c r="BD7" s="1092"/>
      <c r="BE7" s="1092"/>
      <c r="BF7" s="1092"/>
      <c r="BG7" s="1092"/>
      <c r="BH7" s="1092"/>
      <c r="BI7" s="1092"/>
      <c r="BJ7" s="1092"/>
      <c r="BK7" s="1092"/>
      <c r="BL7" s="1092"/>
      <c r="BM7" s="1092"/>
      <c r="BN7" s="1092"/>
      <c r="BO7" s="1092"/>
      <c r="BP7" s="1179"/>
      <c r="BQ7" s="1179"/>
      <c r="BR7" s="1179"/>
      <c r="BS7" s="1179"/>
      <c r="BT7" s="1092"/>
      <c r="BU7" s="1092"/>
      <c r="BV7" s="1092"/>
      <c r="BW7" s="1092"/>
      <c r="BX7" s="1092"/>
      <c r="BY7" s="1092"/>
      <c r="BZ7" s="1092"/>
      <c r="CA7" s="1092"/>
      <c r="CB7" s="1092"/>
      <c r="CC7" s="1092"/>
      <c r="CD7" s="1092"/>
      <c r="CE7" s="1092"/>
      <c r="CF7" s="1092"/>
      <c r="CG7" s="1092"/>
      <c r="CH7" s="1092"/>
      <c r="CI7" s="1030" t="s">
        <v>3309</v>
      </c>
      <c r="CJ7" s="1009" t="s">
        <v>2011</v>
      </c>
      <c r="CK7" s="1091"/>
      <c r="CL7" s="1072"/>
      <c r="CN7" s="1749"/>
    </row>
    <row r="8" spans="1:92" ht="18" x14ac:dyDescent="0.25">
      <c r="B8" s="1029">
        <v>5</v>
      </c>
      <c r="C8" s="1090" t="s">
        <v>227</v>
      </c>
      <c r="D8" s="1091" t="s">
        <v>2155</v>
      </c>
      <c r="E8" s="1093" t="s">
        <v>2153</v>
      </c>
      <c r="F8" s="1092" t="s">
        <v>1727</v>
      </c>
      <c r="G8" s="1093"/>
      <c r="H8" s="1093"/>
      <c r="I8" s="1595"/>
      <c r="J8" s="1595"/>
      <c r="K8" s="1093"/>
      <c r="L8" s="1093"/>
      <c r="M8" s="1093"/>
      <c r="N8" s="1093"/>
      <c r="O8" s="1093"/>
      <c r="P8" s="1093"/>
      <c r="Q8" s="1093"/>
      <c r="R8" s="1093">
        <v>1</v>
      </c>
      <c r="S8" s="1093"/>
      <c r="T8" s="1093"/>
      <c r="U8" s="1093"/>
      <c r="V8" s="1093"/>
      <c r="W8" s="1093"/>
      <c r="X8" s="1093"/>
      <c r="Y8" s="1092" t="s">
        <v>1641</v>
      </c>
      <c r="Z8" s="1093"/>
      <c r="AA8" s="1093"/>
      <c r="AB8" s="1093"/>
      <c r="AC8" s="1595"/>
      <c r="AD8" s="1595"/>
      <c r="AE8" s="1093"/>
      <c r="AF8" s="1092" t="s">
        <v>1642</v>
      </c>
      <c r="AG8" s="1093"/>
      <c r="AH8" s="1093"/>
      <c r="AI8" s="1595"/>
      <c r="AJ8" s="1595"/>
      <c r="AK8" s="1093"/>
      <c r="AL8" s="1093"/>
      <c r="AM8" s="1093"/>
      <c r="AN8" s="1093" t="s">
        <v>2157</v>
      </c>
      <c r="AO8" s="1093" t="s">
        <v>2159</v>
      </c>
      <c r="AP8" s="1093" t="s">
        <v>2535</v>
      </c>
      <c r="AQ8" s="1092" t="s">
        <v>3284</v>
      </c>
      <c r="AR8" s="1092" t="s">
        <v>3290</v>
      </c>
      <c r="AS8" s="1092" t="s">
        <v>3280</v>
      </c>
      <c r="AT8" s="1092" t="s">
        <v>3281</v>
      </c>
      <c r="AU8" s="1092"/>
      <c r="AV8" s="1092"/>
      <c r="AW8" s="1092"/>
      <c r="AX8" s="1092"/>
      <c r="AY8" s="1092"/>
      <c r="AZ8" s="1092"/>
      <c r="BA8" s="1092"/>
      <c r="BB8" s="1092"/>
      <c r="BC8" s="1092"/>
      <c r="BD8" s="1092"/>
      <c r="BE8" s="1092"/>
      <c r="BF8" s="1092"/>
      <c r="BG8" s="1092"/>
      <c r="BH8" s="1092"/>
      <c r="BI8" s="1092"/>
      <c r="BJ8" s="1092"/>
      <c r="BK8" s="1092"/>
      <c r="BL8" s="1092"/>
      <c r="BM8" s="1092"/>
      <c r="BN8" s="1092"/>
      <c r="BO8" s="1092"/>
      <c r="BP8" s="1179"/>
      <c r="BQ8" s="1179"/>
      <c r="BR8" s="1179"/>
      <c r="BS8" s="1179"/>
      <c r="BT8" s="1092"/>
      <c r="BU8" s="1092"/>
      <c r="BV8" s="1092"/>
      <c r="BW8" s="1092"/>
      <c r="BX8" s="1092"/>
      <c r="BY8" s="1092"/>
      <c r="BZ8" s="1092"/>
      <c r="CA8" s="1092"/>
      <c r="CB8" s="1092"/>
      <c r="CC8" s="1092"/>
      <c r="CD8" s="1092"/>
      <c r="CE8" s="1092"/>
      <c r="CF8" s="1092"/>
      <c r="CG8" s="1092"/>
      <c r="CH8" s="1092"/>
      <c r="CI8" s="1030" t="s">
        <v>3310</v>
      </c>
      <c r="CJ8" s="1009" t="s">
        <v>2011</v>
      </c>
      <c r="CK8" s="1091"/>
      <c r="CL8" s="1072"/>
    </row>
    <row r="9" spans="1:92" ht="18" x14ac:dyDescent="0.25">
      <c r="B9" s="1029">
        <v>6</v>
      </c>
      <c r="C9" s="1090" t="s">
        <v>228</v>
      </c>
      <c r="D9" s="1091" t="s">
        <v>2587</v>
      </c>
      <c r="E9" s="1093" t="s">
        <v>2154</v>
      </c>
      <c r="F9" s="1092" t="s">
        <v>1727</v>
      </c>
      <c r="G9" s="1093"/>
      <c r="H9" s="1093"/>
      <c r="I9" s="1595"/>
      <c r="J9" s="1595"/>
      <c r="K9" s="1093"/>
      <c r="L9" s="1093"/>
      <c r="M9" s="1093"/>
      <c r="N9" s="1093"/>
      <c r="O9" s="1093"/>
      <c r="P9" s="1093"/>
      <c r="Q9" s="1093"/>
      <c r="R9" s="1093">
        <v>1</v>
      </c>
      <c r="S9" s="1093"/>
      <c r="T9" s="1093"/>
      <c r="U9" s="1093"/>
      <c r="V9" s="1093"/>
      <c r="W9" s="1093"/>
      <c r="X9" s="1093"/>
      <c r="Y9" s="1092" t="s">
        <v>1641</v>
      </c>
      <c r="Z9" s="1093"/>
      <c r="AA9" s="1093"/>
      <c r="AB9" s="1093"/>
      <c r="AC9" s="1595"/>
      <c r="AD9" s="1595"/>
      <c r="AE9" s="1093"/>
      <c r="AF9" s="1092" t="s">
        <v>1642</v>
      </c>
      <c r="AG9" s="1093"/>
      <c r="AH9" s="1093"/>
      <c r="AI9" s="1595"/>
      <c r="AJ9" s="1595"/>
      <c r="AK9" s="1093"/>
      <c r="AL9" s="1093"/>
      <c r="AM9" s="1093"/>
      <c r="AN9" s="1093" t="s">
        <v>2158</v>
      </c>
      <c r="AO9" s="1093" t="s">
        <v>2160</v>
      </c>
      <c r="AP9" s="1092" t="s">
        <v>2535</v>
      </c>
      <c r="AQ9" s="1092" t="s">
        <v>3284</v>
      </c>
      <c r="AR9" s="1092" t="s">
        <v>3290</v>
      </c>
      <c r="AS9" s="1092" t="s">
        <v>3280</v>
      </c>
      <c r="AT9" s="1092" t="s">
        <v>3281</v>
      </c>
      <c r="AU9" s="1092"/>
      <c r="AV9" s="1092"/>
      <c r="AW9" s="1092"/>
      <c r="AX9" s="1092"/>
      <c r="AY9" s="1092"/>
      <c r="AZ9" s="1092"/>
      <c r="BA9" s="1092"/>
      <c r="BB9" s="1092"/>
      <c r="BC9" s="1092"/>
      <c r="BD9" s="1092"/>
      <c r="BE9" s="1092"/>
      <c r="BF9" s="1092"/>
      <c r="BG9" s="1092"/>
      <c r="BH9" s="1092"/>
      <c r="BI9" s="1092"/>
      <c r="BJ9" s="1092"/>
      <c r="BK9" s="1092"/>
      <c r="BL9" s="1092"/>
      <c r="BM9" s="1092"/>
      <c r="BN9" s="1092"/>
      <c r="BO9" s="1092"/>
      <c r="BP9" s="1179"/>
      <c r="BQ9" s="1179"/>
      <c r="BR9" s="1179"/>
      <c r="BS9" s="1179"/>
      <c r="BT9" s="1092"/>
      <c r="BU9" s="1092"/>
      <c r="BV9" s="1092"/>
      <c r="BW9" s="1092"/>
      <c r="BX9" s="1092"/>
      <c r="BY9" s="1092"/>
      <c r="BZ9" s="1092"/>
      <c r="CA9" s="1092"/>
      <c r="CB9" s="1092"/>
      <c r="CC9" s="1092"/>
      <c r="CD9" s="1092"/>
      <c r="CE9" s="1092"/>
      <c r="CF9" s="1092"/>
      <c r="CG9" s="1092"/>
      <c r="CH9" s="1092"/>
      <c r="CI9" s="1030" t="s">
        <v>3311</v>
      </c>
      <c r="CJ9" s="1009" t="s">
        <v>2011</v>
      </c>
      <c r="CK9" s="1091"/>
      <c r="CL9" s="1072"/>
    </row>
    <row r="10" spans="1:92" ht="18" x14ac:dyDescent="0.25">
      <c r="B10" s="1029">
        <v>7</v>
      </c>
      <c r="C10" s="1090" t="s">
        <v>229</v>
      </c>
      <c r="D10" s="1091" t="s">
        <v>1644</v>
      </c>
      <c r="E10" s="1093"/>
      <c r="F10" s="1093"/>
      <c r="G10" s="1092" t="s">
        <v>1728</v>
      </c>
      <c r="H10" s="1093"/>
      <c r="I10" s="1595"/>
      <c r="J10" s="1595"/>
      <c r="K10" s="1093"/>
      <c r="L10" s="1093"/>
      <c r="M10" s="1093"/>
      <c r="N10" s="1093"/>
      <c r="O10" s="1093"/>
      <c r="P10" s="1093"/>
      <c r="Q10" s="1093"/>
      <c r="R10" s="1093">
        <v>1</v>
      </c>
      <c r="S10" s="1093"/>
      <c r="T10" s="1093"/>
      <c r="U10" s="1093"/>
      <c r="V10" s="1093"/>
      <c r="W10" s="1093"/>
      <c r="X10" s="1093"/>
      <c r="Y10" s="1092" t="s">
        <v>1641</v>
      </c>
      <c r="Z10" s="1093"/>
      <c r="AA10" s="1093"/>
      <c r="AB10" s="1093"/>
      <c r="AC10" s="1595"/>
      <c r="AD10" s="1595"/>
      <c r="AE10" s="1093"/>
      <c r="AF10" s="1092" t="s">
        <v>1642</v>
      </c>
      <c r="AG10" s="1093"/>
      <c r="AH10" s="1093"/>
      <c r="AI10" s="1595"/>
      <c r="AJ10" s="1595"/>
      <c r="AK10" s="1093"/>
      <c r="AL10" s="1092" t="s">
        <v>1735</v>
      </c>
      <c r="AM10" s="1092"/>
      <c r="AN10" s="1092"/>
      <c r="AO10" s="1092" t="s">
        <v>1971</v>
      </c>
      <c r="AP10" s="1092" t="s">
        <v>2535</v>
      </c>
      <c r="AQ10" s="1092" t="s">
        <v>3284</v>
      </c>
      <c r="AR10" s="1092" t="s">
        <v>3290</v>
      </c>
      <c r="AS10" s="1092" t="s">
        <v>3280</v>
      </c>
      <c r="AT10" s="1092" t="s">
        <v>3281</v>
      </c>
      <c r="AU10" s="1092"/>
      <c r="AV10" s="1092"/>
      <c r="AW10" s="1092"/>
      <c r="AX10" s="1092"/>
      <c r="AY10" s="1092"/>
      <c r="AZ10" s="1092"/>
      <c r="BA10" s="1092"/>
      <c r="BB10" s="1092"/>
      <c r="BC10" s="1092"/>
      <c r="BD10" s="1092"/>
      <c r="BE10" s="1092"/>
      <c r="BF10" s="1092"/>
      <c r="BG10" s="1092"/>
      <c r="BH10" s="1092"/>
      <c r="BI10" s="1092"/>
      <c r="BJ10" s="1092"/>
      <c r="BK10" s="1092"/>
      <c r="BL10" s="1092"/>
      <c r="BM10" s="1092"/>
      <c r="BN10" s="1092"/>
      <c r="BO10" s="1092"/>
      <c r="BP10" s="1179"/>
      <c r="BQ10" s="1179"/>
      <c r="BR10" s="1179"/>
      <c r="BS10" s="1179"/>
      <c r="BT10" s="1092"/>
      <c r="BU10" s="1092"/>
      <c r="BV10" s="1092"/>
      <c r="BW10" s="1092"/>
      <c r="BX10" s="1092"/>
      <c r="BY10" s="1092"/>
      <c r="BZ10" s="1092"/>
      <c r="CA10" s="1092"/>
      <c r="CB10" s="1092"/>
      <c r="CC10" s="1092"/>
      <c r="CD10" s="1092"/>
      <c r="CE10" s="1092"/>
      <c r="CF10" s="1092"/>
      <c r="CG10" s="1092"/>
      <c r="CH10" s="1092"/>
      <c r="CI10" s="1030" t="s">
        <v>3312</v>
      </c>
      <c r="CJ10" s="1009" t="s">
        <v>2011</v>
      </c>
      <c r="CK10" s="1091"/>
      <c r="CL10" s="1072"/>
    </row>
    <row r="11" spans="1:92" ht="18" x14ac:dyDescent="0.25">
      <c r="B11" s="1029">
        <v>8</v>
      </c>
      <c r="C11" s="1090" t="s">
        <v>230</v>
      </c>
      <c r="D11" s="1091" t="s">
        <v>287</v>
      </c>
      <c r="E11" s="1093"/>
      <c r="F11" s="1093"/>
      <c r="G11" s="1093"/>
      <c r="H11" s="1093"/>
      <c r="I11" s="1595"/>
      <c r="J11" s="1595" t="s">
        <v>1645</v>
      </c>
      <c r="K11" s="1093"/>
      <c r="L11" s="1093"/>
      <c r="M11" s="1093"/>
      <c r="N11" s="1093"/>
      <c r="O11" s="1093"/>
      <c r="P11" s="1093" t="s">
        <v>1646</v>
      </c>
      <c r="Q11" s="1093"/>
      <c r="R11" s="1093">
        <v>-1</v>
      </c>
      <c r="S11" s="1093"/>
      <c r="T11" s="1093"/>
      <c r="U11" s="1093"/>
      <c r="V11" s="1093"/>
      <c r="W11" s="1093"/>
      <c r="X11" s="1093"/>
      <c r="Y11" s="1092" t="s">
        <v>2134</v>
      </c>
      <c r="Z11" s="1093"/>
      <c r="AA11" s="1093"/>
      <c r="AB11" s="1093"/>
      <c r="AC11" s="1595"/>
      <c r="AD11" s="1595" t="s">
        <v>1647</v>
      </c>
      <c r="AE11" s="1093"/>
      <c r="AF11" s="1093"/>
      <c r="AG11" s="1093"/>
      <c r="AH11" s="1093"/>
      <c r="AI11" s="1595"/>
      <c r="AJ11" s="1595" t="s">
        <v>1648</v>
      </c>
      <c r="AK11" s="1093"/>
      <c r="AL11" s="1093"/>
      <c r="AM11" s="1093"/>
      <c r="AN11" s="1093"/>
      <c r="AO11" s="1595" t="s">
        <v>4954</v>
      </c>
      <c r="AP11" s="1093"/>
      <c r="AQ11" s="1092"/>
      <c r="AR11" s="1092"/>
      <c r="AS11" s="1092"/>
      <c r="AT11" s="1092"/>
      <c r="AU11" s="1092"/>
      <c r="AV11" s="1092"/>
      <c r="AW11" s="1092"/>
      <c r="AX11" s="1092"/>
      <c r="AY11" s="1092"/>
      <c r="AZ11" s="1092"/>
      <c r="BA11" s="1092"/>
      <c r="BB11" s="1092"/>
      <c r="BC11" s="1092"/>
      <c r="BD11" s="1092"/>
      <c r="BE11" s="1092"/>
      <c r="BF11" s="1092"/>
      <c r="BG11" s="1092"/>
      <c r="BH11" s="1092"/>
      <c r="BI11" s="1092"/>
      <c r="BJ11" s="1092"/>
      <c r="BK11" s="1092"/>
      <c r="BL11" s="1092"/>
      <c r="BM11" s="1092"/>
      <c r="BN11" s="1092"/>
      <c r="BO11" s="1092"/>
      <c r="BP11" s="1179"/>
      <c r="BQ11" s="1179"/>
      <c r="BR11" s="1179"/>
      <c r="BS11" s="1179"/>
      <c r="BT11" s="1092"/>
      <c r="BU11" s="1092"/>
      <c r="BV11" s="1092"/>
      <c r="BW11" s="1092"/>
      <c r="BX11" s="1092"/>
      <c r="BY11" s="1092"/>
      <c r="BZ11" s="1092"/>
      <c r="CA11" s="1092"/>
      <c r="CB11" s="1092"/>
      <c r="CC11" s="1092"/>
      <c r="CD11" s="1092"/>
      <c r="CE11" s="1092"/>
      <c r="CF11" s="1092"/>
      <c r="CG11" s="1092"/>
      <c r="CH11" s="1092"/>
      <c r="CI11" s="1030" t="s">
        <v>2671</v>
      </c>
      <c r="CJ11" s="1009" t="s">
        <v>2011</v>
      </c>
      <c r="CK11" s="1091"/>
      <c r="CL11" s="1072"/>
    </row>
    <row r="12" spans="1:92" ht="18" x14ac:dyDescent="0.25">
      <c r="B12" s="1029">
        <v>9</v>
      </c>
      <c r="C12" s="1090" t="s">
        <v>231</v>
      </c>
      <c r="D12" s="1091" t="s">
        <v>2666</v>
      </c>
      <c r="E12" s="1093"/>
      <c r="F12" s="1093"/>
      <c r="G12" s="1093"/>
      <c r="H12" s="1093"/>
      <c r="I12" s="1595"/>
      <c r="J12" s="1595" t="s">
        <v>1645</v>
      </c>
      <c r="K12" s="1093"/>
      <c r="L12" s="1093"/>
      <c r="M12" s="1093"/>
      <c r="N12" s="1093"/>
      <c r="O12" s="1093"/>
      <c r="P12" s="1093"/>
      <c r="Q12" s="1093" t="s">
        <v>1646</v>
      </c>
      <c r="R12" s="1093">
        <v>-1</v>
      </c>
      <c r="S12" s="1093"/>
      <c r="T12" s="1093"/>
      <c r="U12" s="1093"/>
      <c r="V12" s="1093"/>
      <c r="W12" s="1093"/>
      <c r="X12" s="1093"/>
      <c r="Y12" s="1092" t="s">
        <v>2134</v>
      </c>
      <c r="Z12" s="1093"/>
      <c r="AA12" s="1093"/>
      <c r="AB12" s="1093"/>
      <c r="AC12" s="1595"/>
      <c r="AD12" s="1595" t="s">
        <v>1647</v>
      </c>
      <c r="AE12" s="1093"/>
      <c r="AF12" s="1093"/>
      <c r="AG12" s="1093"/>
      <c r="AH12" s="1093"/>
      <c r="AI12" s="1595"/>
      <c r="AJ12" s="1595" t="s">
        <v>1648</v>
      </c>
      <c r="AK12" s="1093"/>
      <c r="AL12" s="1093"/>
      <c r="AM12" s="1093"/>
      <c r="AN12" s="1093"/>
      <c r="AO12" s="1595" t="s">
        <v>4954</v>
      </c>
      <c r="AP12" s="1093"/>
      <c r="AQ12" s="1092"/>
      <c r="AR12" s="1092"/>
      <c r="AS12" s="1092"/>
      <c r="AT12" s="1092"/>
      <c r="AU12" s="1092"/>
      <c r="AV12" s="1092"/>
      <c r="AW12" s="1092"/>
      <c r="AX12" s="1092"/>
      <c r="AY12" s="1092"/>
      <c r="AZ12" s="1092"/>
      <c r="BA12" s="1092"/>
      <c r="BB12" s="1092"/>
      <c r="BC12" s="1092"/>
      <c r="BD12" s="1092"/>
      <c r="BE12" s="1092"/>
      <c r="BF12" s="1092"/>
      <c r="BG12" s="1092"/>
      <c r="BH12" s="1092"/>
      <c r="BI12" s="1092"/>
      <c r="BJ12" s="1092"/>
      <c r="BK12" s="1092"/>
      <c r="BL12" s="1092"/>
      <c r="BM12" s="1092"/>
      <c r="BN12" s="1092"/>
      <c r="BO12" s="1092"/>
      <c r="BP12" s="1179"/>
      <c r="BQ12" s="1179"/>
      <c r="BR12" s="1179"/>
      <c r="BS12" s="1179"/>
      <c r="BT12" s="1092"/>
      <c r="BU12" s="1092"/>
      <c r="BV12" s="1092"/>
      <c r="BW12" s="1092"/>
      <c r="BX12" s="1092"/>
      <c r="BY12" s="1092"/>
      <c r="BZ12" s="1092"/>
      <c r="CA12" s="1092"/>
      <c r="CB12" s="1092"/>
      <c r="CC12" s="1092"/>
      <c r="CD12" s="1092"/>
      <c r="CE12" s="1092"/>
      <c r="CF12" s="1092"/>
      <c r="CG12" s="1092"/>
      <c r="CH12" s="1092"/>
      <c r="CI12" s="1030" t="s">
        <v>2805</v>
      </c>
      <c r="CJ12" s="1009" t="s">
        <v>2011</v>
      </c>
      <c r="CK12" s="1091"/>
      <c r="CL12" s="1072"/>
    </row>
    <row r="13" spans="1:92" ht="18" x14ac:dyDescent="0.25">
      <c r="B13" s="1031">
        <v>10</v>
      </c>
      <c r="C13" s="1094" t="s">
        <v>232</v>
      </c>
      <c r="D13" s="1095" t="s">
        <v>2588</v>
      </c>
      <c r="E13" s="1096"/>
      <c r="F13" s="1096"/>
      <c r="G13" s="1097" t="s">
        <v>1649</v>
      </c>
      <c r="H13" s="1096"/>
      <c r="I13" s="1596"/>
      <c r="J13" s="1596"/>
      <c r="K13" s="1096"/>
      <c r="L13" s="1096"/>
      <c r="M13" s="1096"/>
      <c r="N13" s="1096"/>
      <c r="O13" s="1096"/>
      <c r="P13" s="1096"/>
      <c r="Q13" s="1096"/>
      <c r="R13" s="1096"/>
      <c r="S13" s="1096"/>
      <c r="T13" s="1096">
        <v>1</v>
      </c>
      <c r="U13" s="1096"/>
      <c r="V13" s="1096"/>
      <c r="W13" s="1096"/>
      <c r="X13" s="1096"/>
      <c r="Y13" s="1096" t="s">
        <v>1641</v>
      </c>
      <c r="Z13" s="1097" t="s">
        <v>1650</v>
      </c>
      <c r="AA13" s="1097" t="s">
        <v>1651</v>
      </c>
      <c r="AB13" s="1096"/>
      <c r="AC13" s="1596"/>
      <c r="AD13" s="1596"/>
      <c r="AE13" s="1096"/>
      <c r="AF13" s="1097" t="s">
        <v>1642</v>
      </c>
      <c r="AG13" s="1096"/>
      <c r="AH13" s="1096"/>
      <c r="AI13" s="1596"/>
      <c r="AJ13" s="1596"/>
      <c r="AK13" s="1096"/>
      <c r="AL13" s="1096"/>
      <c r="AM13" s="1096"/>
      <c r="AN13" s="1096"/>
      <c r="AO13" s="1097" t="s">
        <v>1970</v>
      </c>
      <c r="AP13" s="1097" t="s">
        <v>2535</v>
      </c>
      <c r="AQ13" s="1097" t="s">
        <v>3284</v>
      </c>
      <c r="AR13" s="1097" t="s">
        <v>3290</v>
      </c>
      <c r="AS13" s="1097" t="s">
        <v>3280</v>
      </c>
      <c r="AT13" s="1097" t="s">
        <v>3281</v>
      </c>
      <c r="AU13" s="1097"/>
      <c r="AV13" s="1097"/>
      <c r="AW13" s="1097"/>
      <c r="AX13" s="1097"/>
      <c r="AY13" s="1097"/>
      <c r="AZ13" s="1097"/>
      <c r="BA13" s="1097"/>
      <c r="BB13" s="1097"/>
      <c r="BC13" s="1097"/>
      <c r="BD13" s="1097"/>
      <c r="BE13" s="1097"/>
      <c r="BF13" s="1097"/>
      <c r="BG13" s="1097"/>
      <c r="BH13" s="1097"/>
      <c r="BI13" s="1097"/>
      <c r="BJ13" s="1097"/>
      <c r="BK13" s="1097"/>
      <c r="BL13" s="1097"/>
      <c r="BM13" s="1097"/>
      <c r="BN13" s="1097"/>
      <c r="BO13" s="1097"/>
      <c r="BP13" s="1180"/>
      <c r="BQ13" s="1180"/>
      <c r="BR13" s="1180"/>
      <c r="BS13" s="1180"/>
      <c r="BT13" s="1097"/>
      <c r="BU13" s="1097"/>
      <c r="BV13" s="1097"/>
      <c r="BW13" s="1097"/>
      <c r="BX13" s="1097"/>
      <c r="BY13" s="1097"/>
      <c r="BZ13" s="1097"/>
      <c r="CA13" s="1097"/>
      <c r="CB13" s="1097"/>
      <c r="CC13" s="1097"/>
      <c r="CD13" s="1097"/>
      <c r="CE13" s="1097"/>
      <c r="CF13" s="1097"/>
      <c r="CG13" s="1097"/>
      <c r="CH13" s="1097"/>
      <c r="CI13" s="1032" t="s">
        <v>3313</v>
      </c>
      <c r="CJ13" s="1010" t="s">
        <v>2011</v>
      </c>
      <c r="CK13" s="1095"/>
      <c r="CL13" s="1073"/>
    </row>
    <row r="14" spans="1:92" ht="18" x14ac:dyDescent="0.25">
      <c r="B14" s="1031">
        <v>11</v>
      </c>
      <c r="C14" s="1094" t="s">
        <v>233</v>
      </c>
      <c r="D14" s="1095" t="s">
        <v>288</v>
      </c>
      <c r="E14" s="1096"/>
      <c r="F14" s="1096"/>
      <c r="G14" s="1096"/>
      <c r="H14" s="1096"/>
      <c r="I14" s="1596"/>
      <c r="J14" s="1596" t="s">
        <v>1645</v>
      </c>
      <c r="K14" s="1096"/>
      <c r="L14" s="1096"/>
      <c r="M14" s="1096"/>
      <c r="N14" s="1096"/>
      <c r="O14" s="1096"/>
      <c r="P14" s="1096" t="s">
        <v>1646</v>
      </c>
      <c r="Q14" s="1096"/>
      <c r="R14" s="1096"/>
      <c r="S14" s="1096"/>
      <c r="T14" s="1096">
        <v>-1</v>
      </c>
      <c r="U14" s="1096"/>
      <c r="V14" s="1096"/>
      <c r="W14" s="1096"/>
      <c r="X14" s="1096"/>
      <c r="Y14" s="1096" t="s">
        <v>2134</v>
      </c>
      <c r="Z14" s="1096"/>
      <c r="AA14" s="1096"/>
      <c r="AB14" s="1096"/>
      <c r="AC14" s="1596"/>
      <c r="AD14" s="1596" t="s">
        <v>1647</v>
      </c>
      <c r="AE14" s="1096"/>
      <c r="AF14" s="1096"/>
      <c r="AG14" s="1096"/>
      <c r="AH14" s="1096"/>
      <c r="AI14" s="1596"/>
      <c r="AJ14" s="1596" t="s">
        <v>1648</v>
      </c>
      <c r="AK14" s="1096"/>
      <c r="AL14" s="1096"/>
      <c r="AM14" s="1096"/>
      <c r="AN14" s="1096"/>
      <c r="AO14" s="1596" t="s">
        <v>4954</v>
      </c>
      <c r="AP14" s="1096"/>
      <c r="AQ14" s="1097"/>
      <c r="AR14" s="1097"/>
      <c r="AS14" s="1097"/>
      <c r="AT14" s="1097"/>
      <c r="AU14" s="1097"/>
      <c r="AV14" s="1097"/>
      <c r="AW14" s="1097"/>
      <c r="AX14" s="1097"/>
      <c r="AY14" s="1097"/>
      <c r="AZ14" s="1097"/>
      <c r="BA14" s="1097"/>
      <c r="BB14" s="1097"/>
      <c r="BC14" s="1097"/>
      <c r="BD14" s="1097"/>
      <c r="BE14" s="1097"/>
      <c r="BF14" s="1097"/>
      <c r="BG14" s="1097"/>
      <c r="BH14" s="1097"/>
      <c r="BI14" s="1097"/>
      <c r="BJ14" s="1097"/>
      <c r="BK14" s="1097"/>
      <c r="BL14" s="1097"/>
      <c r="BM14" s="1097"/>
      <c r="BN14" s="1097"/>
      <c r="BO14" s="1097"/>
      <c r="BP14" s="1180"/>
      <c r="BQ14" s="1180"/>
      <c r="BR14" s="1180"/>
      <c r="BS14" s="1180"/>
      <c r="BT14" s="1097"/>
      <c r="BU14" s="1097"/>
      <c r="BV14" s="1097"/>
      <c r="BW14" s="1097"/>
      <c r="BX14" s="1097"/>
      <c r="BY14" s="1097"/>
      <c r="BZ14" s="1097"/>
      <c r="CA14" s="1097"/>
      <c r="CB14" s="1097"/>
      <c r="CC14" s="1097"/>
      <c r="CD14" s="1097"/>
      <c r="CE14" s="1097"/>
      <c r="CF14" s="1097"/>
      <c r="CG14" s="1097"/>
      <c r="CH14" s="1097"/>
      <c r="CI14" s="1032" t="s">
        <v>3219</v>
      </c>
      <c r="CJ14" s="1010" t="s">
        <v>2011</v>
      </c>
      <c r="CK14" s="1095"/>
      <c r="CL14" s="1073"/>
    </row>
    <row r="15" spans="1:92" ht="18" x14ac:dyDescent="0.25">
      <c r="B15" s="1031">
        <v>12</v>
      </c>
      <c r="C15" s="1094" t="s">
        <v>234</v>
      </c>
      <c r="D15" s="1095" t="s">
        <v>2667</v>
      </c>
      <c r="E15" s="1096"/>
      <c r="F15" s="1096"/>
      <c r="G15" s="1096"/>
      <c r="H15" s="1096"/>
      <c r="I15" s="1596"/>
      <c r="J15" s="1596" t="s">
        <v>1645</v>
      </c>
      <c r="K15" s="1096"/>
      <c r="L15" s="1096"/>
      <c r="M15" s="1096"/>
      <c r="N15" s="1096"/>
      <c r="O15" s="1096"/>
      <c r="P15" s="1096"/>
      <c r="Q15" s="1096" t="s">
        <v>1646</v>
      </c>
      <c r="R15" s="1096"/>
      <c r="S15" s="1096"/>
      <c r="T15" s="1096">
        <v>-1</v>
      </c>
      <c r="U15" s="1096"/>
      <c r="V15" s="1096"/>
      <c r="W15" s="1096"/>
      <c r="X15" s="1096"/>
      <c r="Y15" s="1096" t="s">
        <v>2134</v>
      </c>
      <c r="Z15" s="1096"/>
      <c r="AA15" s="1096"/>
      <c r="AB15" s="1096"/>
      <c r="AC15" s="1596"/>
      <c r="AD15" s="1596" t="s">
        <v>1647</v>
      </c>
      <c r="AE15" s="1096"/>
      <c r="AF15" s="1096"/>
      <c r="AG15" s="1096"/>
      <c r="AH15" s="1096"/>
      <c r="AI15" s="1596"/>
      <c r="AJ15" s="1596" t="s">
        <v>1648</v>
      </c>
      <c r="AK15" s="1096"/>
      <c r="AL15" s="1096"/>
      <c r="AM15" s="1096"/>
      <c r="AN15" s="1096"/>
      <c r="AO15" s="1596" t="s">
        <v>4954</v>
      </c>
      <c r="AP15" s="1096"/>
      <c r="AQ15" s="1097"/>
      <c r="AR15" s="1097"/>
      <c r="AS15" s="1097"/>
      <c r="AT15" s="1097"/>
      <c r="AU15" s="1097"/>
      <c r="AV15" s="1097"/>
      <c r="AW15" s="1097"/>
      <c r="AX15" s="1097"/>
      <c r="AY15" s="1097"/>
      <c r="AZ15" s="1097"/>
      <c r="BA15" s="1097"/>
      <c r="BB15" s="1097"/>
      <c r="BC15" s="1097"/>
      <c r="BD15" s="1097"/>
      <c r="BE15" s="1097"/>
      <c r="BF15" s="1097"/>
      <c r="BG15" s="1097"/>
      <c r="BH15" s="1097"/>
      <c r="BI15" s="1097"/>
      <c r="BJ15" s="1097"/>
      <c r="BK15" s="1097"/>
      <c r="BL15" s="1097"/>
      <c r="BM15" s="1097"/>
      <c r="BN15" s="1097"/>
      <c r="BO15" s="1097"/>
      <c r="BP15" s="1180"/>
      <c r="BQ15" s="1180"/>
      <c r="BR15" s="1180"/>
      <c r="BS15" s="1180"/>
      <c r="BT15" s="1097"/>
      <c r="BU15" s="1097"/>
      <c r="BV15" s="1097"/>
      <c r="BW15" s="1097"/>
      <c r="BX15" s="1097"/>
      <c r="BY15" s="1097"/>
      <c r="BZ15" s="1097"/>
      <c r="CA15" s="1097"/>
      <c r="CB15" s="1097"/>
      <c r="CC15" s="1097"/>
      <c r="CD15" s="1097"/>
      <c r="CE15" s="1097"/>
      <c r="CF15" s="1097"/>
      <c r="CG15" s="1097"/>
      <c r="CH15" s="1097"/>
      <c r="CI15" s="1032" t="s">
        <v>3220</v>
      </c>
      <c r="CJ15" s="1010" t="s">
        <v>2011</v>
      </c>
      <c r="CK15" s="1095"/>
      <c r="CL15" s="1073"/>
    </row>
    <row r="16" spans="1:92" ht="18" x14ac:dyDescent="0.25">
      <c r="B16" s="1033">
        <v>13</v>
      </c>
      <c r="C16" s="1098" t="s">
        <v>235</v>
      </c>
      <c r="D16" s="1099" t="s">
        <v>4723</v>
      </c>
      <c r="E16" s="1100"/>
      <c r="F16" s="1100"/>
      <c r="G16" s="1100"/>
      <c r="H16" s="1100"/>
      <c r="I16" s="1597"/>
      <c r="J16" s="1597"/>
      <c r="K16" s="1100"/>
      <c r="L16" s="1100"/>
      <c r="M16" s="1100"/>
      <c r="N16" s="1101" t="s">
        <v>4713</v>
      </c>
      <c r="O16" s="1101" t="s">
        <v>4721</v>
      </c>
      <c r="P16" s="1100"/>
      <c r="Q16" s="1100"/>
      <c r="R16" s="1100"/>
      <c r="S16" s="1100">
        <v>1</v>
      </c>
      <c r="T16" s="1100"/>
      <c r="U16" s="1100"/>
      <c r="V16" s="1100"/>
      <c r="W16" s="1100"/>
      <c r="X16" s="1100"/>
      <c r="Y16" s="1100" t="s">
        <v>1641</v>
      </c>
      <c r="Z16" s="1100"/>
      <c r="AA16" s="1100"/>
      <c r="AB16" s="1100"/>
      <c r="AC16" s="1597"/>
      <c r="AD16" s="1597"/>
      <c r="AE16" s="1100"/>
      <c r="AF16" s="1101" t="s">
        <v>1642</v>
      </c>
      <c r="AG16" s="1100"/>
      <c r="AH16" s="1100"/>
      <c r="AI16" s="1597"/>
      <c r="AJ16" s="1597"/>
      <c r="AK16" s="1100"/>
      <c r="AL16" s="1101" t="s">
        <v>3832</v>
      </c>
      <c r="AM16" s="1101"/>
      <c r="AN16" s="1101"/>
      <c r="AO16" s="1101" t="s">
        <v>3836</v>
      </c>
      <c r="AP16" s="1101" t="s">
        <v>2535</v>
      </c>
      <c r="AQ16" s="1101" t="s">
        <v>3284</v>
      </c>
      <c r="AR16" s="1101" t="s">
        <v>3290</v>
      </c>
      <c r="AS16" s="1101" t="s">
        <v>3280</v>
      </c>
      <c r="AT16" s="1101" t="s">
        <v>3281</v>
      </c>
      <c r="AU16" s="1101"/>
      <c r="AV16" s="1101"/>
      <c r="AW16" s="1101"/>
      <c r="AX16" s="1101"/>
      <c r="AY16" s="1101"/>
      <c r="AZ16" s="1101"/>
      <c r="BA16" s="1101"/>
      <c r="BB16" s="1101"/>
      <c r="BC16" s="1101"/>
      <c r="BD16" s="1101"/>
      <c r="BE16" s="1101"/>
      <c r="BF16" s="1101"/>
      <c r="BG16" s="1101"/>
      <c r="BH16" s="1101"/>
      <c r="BI16" s="1101"/>
      <c r="BJ16" s="1101"/>
      <c r="BK16" s="1101"/>
      <c r="BL16" s="1101"/>
      <c r="BM16" s="1101"/>
      <c r="BN16" s="1101"/>
      <c r="BO16" s="1101"/>
      <c r="BP16" s="1181"/>
      <c r="BQ16" s="1181"/>
      <c r="BR16" s="1181"/>
      <c r="BS16" s="1181"/>
      <c r="BT16" s="1101"/>
      <c r="BU16" s="1101"/>
      <c r="BV16" s="1101"/>
      <c r="BW16" s="1101"/>
      <c r="BX16" s="1101"/>
      <c r="BY16" s="1101"/>
      <c r="BZ16" s="1101"/>
      <c r="CA16" s="1101"/>
      <c r="CB16" s="1101"/>
      <c r="CC16" s="1101"/>
      <c r="CD16" s="1101"/>
      <c r="CE16" s="1101"/>
      <c r="CF16" s="1101"/>
      <c r="CG16" s="1101"/>
      <c r="CH16" s="1101"/>
      <c r="CI16" s="1034" t="s">
        <v>3875</v>
      </c>
      <c r="CJ16" s="1011" t="s">
        <v>2011</v>
      </c>
      <c r="CK16" s="1099"/>
      <c r="CL16" s="1034"/>
    </row>
    <row r="17" spans="2:92" ht="18" x14ac:dyDescent="0.25">
      <c r="B17" s="1033">
        <v>14</v>
      </c>
      <c r="C17" s="1098" t="s">
        <v>236</v>
      </c>
      <c r="D17" s="1099" t="s">
        <v>4724</v>
      </c>
      <c r="E17" s="1100"/>
      <c r="F17" s="1100"/>
      <c r="G17" s="1100"/>
      <c r="H17" s="1100"/>
      <c r="I17" s="1597"/>
      <c r="J17" s="1597"/>
      <c r="K17" s="1100"/>
      <c r="L17" s="1100"/>
      <c r="M17" s="1100"/>
      <c r="N17" s="1101" t="s">
        <v>4714</v>
      </c>
      <c r="O17" s="1101" t="s">
        <v>4722</v>
      </c>
      <c r="P17" s="1100"/>
      <c r="Q17" s="1100"/>
      <c r="R17" s="1100"/>
      <c r="S17" s="1100">
        <v>1</v>
      </c>
      <c r="T17" s="1100"/>
      <c r="U17" s="1100"/>
      <c r="V17" s="1100"/>
      <c r="W17" s="1100"/>
      <c r="X17" s="1100"/>
      <c r="Y17" s="1100" t="s">
        <v>1641</v>
      </c>
      <c r="Z17" s="1101" t="s">
        <v>3833</v>
      </c>
      <c r="AA17" s="1101" t="s">
        <v>3834</v>
      </c>
      <c r="AB17" s="1100"/>
      <c r="AC17" s="1597"/>
      <c r="AD17" s="1597"/>
      <c r="AE17" s="1100"/>
      <c r="AF17" s="1101" t="s">
        <v>1642</v>
      </c>
      <c r="AG17" s="1100"/>
      <c r="AH17" s="1100"/>
      <c r="AI17" s="1597"/>
      <c r="AJ17" s="1597"/>
      <c r="AK17" s="1100"/>
      <c r="AL17" s="1100"/>
      <c r="AM17" s="1100"/>
      <c r="AN17" s="1100"/>
      <c r="AO17" s="1101" t="s">
        <v>3837</v>
      </c>
      <c r="AP17" s="1101" t="s">
        <v>2535</v>
      </c>
      <c r="AQ17" s="1101" t="s">
        <v>3284</v>
      </c>
      <c r="AR17" s="1101" t="s">
        <v>3290</v>
      </c>
      <c r="AS17" s="1101" t="s">
        <v>3280</v>
      </c>
      <c r="AT17" s="1101" t="s">
        <v>3281</v>
      </c>
      <c r="AU17" s="1101"/>
      <c r="AV17" s="1101"/>
      <c r="AW17" s="1101"/>
      <c r="AX17" s="1101"/>
      <c r="AY17" s="1101"/>
      <c r="AZ17" s="1101"/>
      <c r="BA17" s="1101"/>
      <c r="BB17" s="1101"/>
      <c r="BC17" s="1101"/>
      <c r="BD17" s="1101"/>
      <c r="BE17" s="1101"/>
      <c r="BF17" s="1101"/>
      <c r="BG17" s="1101"/>
      <c r="BH17" s="1101"/>
      <c r="BI17" s="1101"/>
      <c r="BJ17" s="1101"/>
      <c r="BK17" s="1101"/>
      <c r="BL17" s="1101"/>
      <c r="BM17" s="1101"/>
      <c r="BN17" s="1101"/>
      <c r="BO17" s="1101"/>
      <c r="BP17" s="1181"/>
      <c r="BQ17" s="1181"/>
      <c r="BR17" s="1181"/>
      <c r="BS17" s="1181"/>
      <c r="BT17" s="1101"/>
      <c r="BU17" s="1101"/>
      <c r="BV17" s="1101"/>
      <c r="BW17" s="1101"/>
      <c r="BX17" s="1101"/>
      <c r="BY17" s="1101"/>
      <c r="BZ17" s="1101"/>
      <c r="CA17" s="1101"/>
      <c r="CB17" s="1101"/>
      <c r="CC17" s="1101"/>
      <c r="CD17" s="1101"/>
      <c r="CE17" s="1101"/>
      <c r="CF17" s="1101"/>
      <c r="CG17" s="1101"/>
      <c r="CH17" s="1101"/>
      <c r="CI17" s="1034" t="s">
        <v>3887</v>
      </c>
      <c r="CJ17" s="1011" t="s">
        <v>2011</v>
      </c>
      <c r="CK17" s="1099"/>
      <c r="CL17" s="1035"/>
    </row>
    <row r="18" spans="2:92" ht="18" x14ac:dyDescent="0.25">
      <c r="B18" s="1033">
        <v>15</v>
      </c>
      <c r="C18" s="1098" t="s">
        <v>237</v>
      </c>
      <c r="D18" s="1099" t="s">
        <v>3855</v>
      </c>
      <c r="E18" s="1100"/>
      <c r="F18" s="1100"/>
      <c r="G18" s="1100"/>
      <c r="H18" s="1100"/>
      <c r="I18" s="1597"/>
      <c r="J18" s="1597"/>
      <c r="K18" s="1100"/>
      <c r="L18" s="1100"/>
      <c r="M18" s="1100"/>
      <c r="N18" s="1101"/>
      <c r="O18" s="1101"/>
      <c r="P18" s="1100"/>
      <c r="Q18" s="1100"/>
      <c r="R18" s="1100"/>
      <c r="S18" s="1101" t="s">
        <v>3787</v>
      </c>
      <c r="T18" s="1100"/>
      <c r="U18" s="1100"/>
      <c r="V18" s="1100"/>
      <c r="W18" s="1100"/>
      <c r="X18" s="1100"/>
      <c r="Y18" s="1100" t="s">
        <v>3788</v>
      </c>
      <c r="Z18" s="1101"/>
      <c r="AA18" s="1101"/>
      <c r="AB18" s="1100"/>
      <c r="AC18" s="1597"/>
      <c r="AD18" s="1597"/>
      <c r="AE18" s="1100"/>
      <c r="AF18" s="1101" t="s">
        <v>3789</v>
      </c>
      <c r="AG18" s="1100">
        <v>1</v>
      </c>
      <c r="AH18" s="1100"/>
      <c r="AI18" s="1597"/>
      <c r="AJ18" s="1597"/>
      <c r="AK18" s="1100"/>
      <c r="AL18" s="1101" t="s">
        <v>3787</v>
      </c>
      <c r="AM18" s="1100"/>
      <c r="AN18" s="1100"/>
      <c r="AO18" s="1101" t="s">
        <v>3790</v>
      </c>
      <c r="AP18" s="1101" t="s">
        <v>3791</v>
      </c>
      <c r="AQ18" s="1101" t="s">
        <v>3792</v>
      </c>
      <c r="AR18" s="1101" t="s">
        <v>3793</v>
      </c>
      <c r="AS18" s="1101" t="s">
        <v>3794</v>
      </c>
      <c r="AT18" s="1101" t="s">
        <v>3795</v>
      </c>
      <c r="AU18" s="1101" t="s">
        <v>3515</v>
      </c>
      <c r="AV18" s="1101"/>
      <c r="AW18" s="1101"/>
      <c r="AX18" s="1101"/>
      <c r="AY18" s="1101"/>
      <c r="AZ18" s="1101"/>
      <c r="BA18" s="1101"/>
      <c r="BB18" s="1101"/>
      <c r="BC18" s="1101"/>
      <c r="BD18" s="1101"/>
      <c r="BE18" s="1101"/>
      <c r="BF18" s="1101"/>
      <c r="BG18" s="1101"/>
      <c r="BH18" s="1101"/>
      <c r="BI18" s="1101"/>
      <c r="BJ18" s="1101"/>
      <c r="BK18" s="1101"/>
      <c r="BL18" s="1101"/>
      <c r="BM18" s="1101"/>
      <c r="BN18" s="1101"/>
      <c r="BO18" s="1101"/>
      <c r="BP18" s="1181"/>
      <c r="BQ18" s="1181"/>
      <c r="BR18" s="1181"/>
      <c r="BS18" s="1181"/>
      <c r="BT18" s="1101"/>
      <c r="BU18" s="1101"/>
      <c r="BV18" s="1101"/>
      <c r="BW18" s="1101"/>
      <c r="BX18" s="1101"/>
      <c r="BY18" s="1101"/>
      <c r="BZ18" s="1101"/>
      <c r="CA18" s="1101"/>
      <c r="CB18" s="1101"/>
      <c r="CC18" s="1101"/>
      <c r="CD18" s="1101"/>
      <c r="CE18" s="1101"/>
      <c r="CF18" s="1101"/>
      <c r="CG18" s="1101"/>
      <c r="CH18" s="1101"/>
      <c r="CI18" s="1034" t="s">
        <v>4052</v>
      </c>
      <c r="CJ18" s="1011" t="s">
        <v>3525</v>
      </c>
      <c r="CK18" s="1099"/>
      <c r="CL18" s="1035"/>
    </row>
    <row r="19" spans="2:92" ht="18" x14ac:dyDescent="0.25">
      <c r="B19" s="1033">
        <v>16</v>
      </c>
      <c r="C19" s="1098" t="s">
        <v>238</v>
      </c>
      <c r="D19" s="1099" t="s">
        <v>3854</v>
      </c>
      <c r="E19" s="1100"/>
      <c r="F19" s="1100"/>
      <c r="G19" s="1100"/>
      <c r="H19" s="1100"/>
      <c r="I19" s="1597"/>
      <c r="J19" s="1597"/>
      <c r="K19" s="1100"/>
      <c r="L19" s="1100"/>
      <c r="M19" s="1100"/>
      <c r="N19" s="1101"/>
      <c r="O19" s="1101"/>
      <c r="P19" s="1100"/>
      <c r="Q19" s="1100"/>
      <c r="R19" s="1100"/>
      <c r="S19" s="1101" t="s">
        <v>3798</v>
      </c>
      <c r="T19" s="1100"/>
      <c r="U19" s="1100"/>
      <c r="V19" s="1100"/>
      <c r="W19" s="1100"/>
      <c r="X19" s="1100"/>
      <c r="Y19" s="1100" t="s">
        <v>3799</v>
      </c>
      <c r="Z19" s="1101" t="s">
        <v>3800</v>
      </c>
      <c r="AA19" s="1101" t="s">
        <v>3801</v>
      </c>
      <c r="AB19" s="1100"/>
      <c r="AC19" s="1597"/>
      <c r="AD19" s="1597"/>
      <c r="AE19" s="1100"/>
      <c r="AF19" s="1101" t="s">
        <v>3802</v>
      </c>
      <c r="AG19" s="1100">
        <v>1</v>
      </c>
      <c r="AH19" s="1100"/>
      <c r="AI19" s="1597"/>
      <c r="AJ19" s="1597"/>
      <c r="AK19" s="1100"/>
      <c r="AL19" s="1100"/>
      <c r="AM19" s="1100"/>
      <c r="AN19" s="1100"/>
      <c r="AO19" s="1101" t="s">
        <v>3803</v>
      </c>
      <c r="AP19" s="1101" t="s">
        <v>3804</v>
      </c>
      <c r="AQ19" s="1101" t="s">
        <v>3805</v>
      </c>
      <c r="AR19" s="1101" t="s">
        <v>3806</v>
      </c>
      <c r="AS19" s="1101" t="s">
        <v>3807</v>
      </c>
      <c r="AT19" s="1101" t="s">
        <v>3808</v>
      </c>
      <c r="AU19" s="1101" t="s">
        <v>3515</v>
      </c>
      <c r="AV19" s="1101"/>
      <c r="AW19" s="1101"/>
      <c r="AX19" s="1101"/>
      <c r="AY19" s="1101"/>
      <c r="AZ19" s="1101"/>
      <c r="BA19" s="1101"/>
      <c r="BB19" s="1101"/>
      <c r="BC19" s="1101"/>
      <c r="BD19" s="1101"/>
      <c r="BE19" s="1101"/>
      <c r="BF19" s="1101"/>
      <c r="BG19" s="1101"/>
      <c r="BH19" s="1101"/>
      <c r="BI19" s="1101"/>
      <c r="BJ19" s="1101"/>
      <c r="BK19" s="1101"/>
      <c r="BL19" s="1101"/>
      <c r="BM19" s="1101"/>
      <c r="BN19" s="1101"/>
      <c r="BO19" s="1101"/>
      <c r="BP19" s="1181"/>
      <c r="BQ19" s="1181"/>
      <c r="BR19" s="1181"/>
      <c r="BS19" s="1181"/>
      <c r="BT19" s="1101"/>
      <c r="BU19" s="1101"/>
      <c r="BV19" s="1101"/>
      <c r="BW19" s="1101"/>
      <c r="BX19" s="1101"/>
      <c r="BY19" s="1101"/>
      <c r="BZ19" s="1101"/>
      <c r="CA19" s="1101"/>
      <c r="CB19" s="1101"/>
      <c r="CC19" s="1101"/>
      <c r="CD19" s="1101"/>
      <c r="CE19" s="1101"/>
      <c r="CF19" s="1101"/>
      <c r="CG19" s="1101"/>
      <c r="CH19" s="1101"/>
      <c r="CI19" s="1034" t="s">
        <v>4055</v>
      </c>
      <c r="CJ19" s="1011" t="s">
        <v>3525</v>
      </c>
      <c r="CK19" s="1099"/>
      <c r="CL19" s="1035"/>
    </row>
    <row r="20" spans="2:92" ht="18" x14ac:dyDescent="0.25">
      <c r="B20" s="1033">
        <v>17</v>
      </c>
      <c r="C20" s="1098" t="s">
        <v>239</v>
      </c>
      <c r="D20" s="1099" t="s">
        <v>1652</v>
      </c>
      <c r="E20" s="1100"/>
      <c r="F20" s="1100"/>
      <c r="G20" s="1100"/>
      <c r="H20" s="1100"/>
      <c r="I20" s="1597"/>
      <c r="J20" s="1597"/>
      <c r="K20" s="1100"/>
      <c r="L20" s="1100"/>
      <c r="M20" s="1100"/>
      <c r="N20" s="1101" t="s">
        <v>4787</v>
      </c>
      <c r="O20" s="1101"/>
      <c r="P20" s="1100"/>
      <c r="Q20" s="1100"/>
      <c r="R20" s="1100"/>
      <c r="S20" s="1100">
        <v>1</v>
      </c>
      <c r="T20" s="1100"/>
      <c r="U20" s="1100"/>
      <c r="V20" s="1100"/>
      <c r="W20" s="1100"/>
      <c r="X20" s="1100"/>
      <c r="Y20" s="1100" t="s">
        <v>1641</v>
      </c>
      <c r="Z20" s="1100"/>
      <c r="AA20" s="1100"/>
      <c r="AB20" s="1100"/>
      <c r="AC20" s="1597"/>
      <c r="AD20" s="1597"/>
      <c r="AE20" s="1100"/>
      <c r="AF20" s="1100"/>
      <c r="AG20" s="1100" t="s">
        <v>1642</v>
      </c>
      <c r="AH20" s="1100"/>
      <c r="AI20" s="1597"/>
      <c r="AJ20" s="1597"/>
      <c r="AK20" s="1100"/>
      <c r="AL20" s="1101" t="s">
        <v>4788</v>
      </c>
      <c r="AM20" s="1100"/>
      <c r="AN20" s="1100"/>
      <c r="AO20" s="1101" t="s">
        <v>4789</v>
      </c>
      <c r="AP20" s="1100" t="s">
        <v>2535</v>
      </c>
      <c r="AQ20" s="1101" t="s">
        <v>3284</v>
      </c>
      <c r="AR20" s="1101" t="s">
        <v>3290</v>
      </c>
      <c r="AS20" s="1101" t="s">
        <v>3286</v>
      </c>
      <c r="AT20" s="1101" t="s">
        <v>3287</v>
      </c>
      <c r="AU20" s="1101" t="s">
        <v>1653</v>
      </c>
      <c r="AV20" s="1101"/>
      <c r="AW20" s="1101"/>
      <c r="AX20" s="1101"/>
      <c r="AY20" s="1101"/>
      <c r="AZ20" s="1101"/>
      <c r="BA20" s="1101"/>
      <c r="BB20" s="1101"/>
      <c r="BC20" s="1101"/>
      <c r="BD20" s="1101"/>
      <c r="BE20" s="1101"/>
      <c r="BF20" s="1101"/>
      <c r="BG20" s="1101"/>
      <c r="BH20" s="1101"/>
      <c r="BI20" s="1101"/>
      <c r="BJ20" s="1101"/>
      <c r="BK20" s="1101"/>
      <c r="BL20" s="1101"/>
      <c r="BM20" s="1101"/>
      <c r="BN20" s="1101"/>
      <c r="BO20" s="1101"/>
      <c r="BP20" s="1181"/>
      <c r="BQ20" s="1181"/>
      <c r="BR20" s="1181"/>
      <c r="BS20" s="1181"/>
      <c r="BT20" s="1101"/>
      <c r="BU20" s="1101"/>
      <c r="BV20" s="1101"/>
      <c r="BW20" s="1101"/>
      <c r="BX20" s="1101"/>
      <c r="BY20" s="1101"/>
      <c r="BZ20" s="1101"/>
      <c r="CA20" s="1101"/>
      <c r="CB20" s="1101"/>
      <c r="CC20" s="1101"/>
      <c r="CD20" s="1101"/>
      <c r="CE20" s="1101"/>
      <c r="CF20" s="1101"/>
      <c r="CG20" s="1101"/>
      <c r="CH20" s="1101"/>
      <c r="CI20" s="1035" t="s">
        <v>3901</v>
      </c>
      <c r="CJ20" s="1011" t="s">
        <v>2011</v>
      </c>
      <c r="CK20" s="1099"/>
      <c r="CL20" s="1035"/>
      <c r="CN20" s="1749"/>
    </row>
    <row r="21" spans="2:92" ht="18" x14ac:dyDescent="0.25">
      <c r="B21" s="1033">
        <v>18</v>
      </c>
      <c r="C21" s="1098" t="s">
        <v>240</v>
      </c>
      <c r="D21" s="1099" t="s">
        <v>2581</v>
      </c>
      <c r="E21" s="1100"/>
      <c r="F21" s="1100"/>
      <c r="G21" s="1100"/>
      <c r="H21" s="1100"/>
      <c r="I21" s="1597"/>
      <c r="J21" s="1597"/>
      <c r="K21" s="1100"/>
      <c r="L21" s="1100"/>
      <c r="M21" s="1100"/>
      <c r="N21" s="1101" t="s">
        <v>4783</v>
      </c>
      <c r="O21" s="1101"/>
      <c r="P21" s="1100"/>
      <c r="Q21" s="1100"/>
      <c r="R21" s="1100"/>
      <c r="S21" s="1100">
        <v>1</v>
      </c>
      <c r="T21" s="1100"/>
      <c r="U21" s="1100"/>
      <c r="V21" s="1100"/>
      <c r="W21" s="1100"/>
      <c r="X21" s="1100"/>
      <c r="Y21" s="1100" t="s">
        <v>1641</v>
      </c>
      <c r="Z21" s="1101" t="s">
        <v>4784</v>
      </c>
      <c r="AA21" s="1101" t="s">
        <v>4785</v>
      </c>
      <c r="AB21" s="1100"/>
      <c r="AC21" s="1597"/>
      <c r="AD21" s="1597"/>
      <c r="AE21" s="1100"/>
      <c r="AF21" s="1100"/>
      <c r="AG21" s="1100" t="s">
        <v>1642</v>
      </c>
      <c r="AH21" s="1100"/>
      <c r="AI21" s="1597"/>
      <c r="AJ21" s="1597"/>
      <c r="AK21" s="1100"/>
      <c r="AL21" s="1100"/>
      <c r="AM21" s="1100"/>
      <c r="AN21" s="1100"/>
      <c r="AO21" s="1101" t="s">
        <v>4786</v>
      </c>
      <c r="AP21" s="1100" t="s">
        <v>2535</v>
      </c>
      <c r="AQ21" s="1101" t="s">
        <v>3284</v>
      </c>
      <c r="AR21" s="1101" t="s">
        <v>3290</v>
      </c>
      <c r="AS21" s="1101" t="s">
        <v>3286</v>
      </c>
      <c r="AT21" s="1101" t="s">
        <v>3287</v>
      </c>
      <c r="AU21" s="1101" t="s">
        <v>1653</v>
      </c>
      <c r="AV21" s="1101"/>
      <c r="AW21" s="1101"/>
      <c r="AX21" s="1101"/>
      <c r="AY21" s="1101"/>
      <c r="AZ21" s="1101"/>
      <c r="BA21" s="1101"/>
      <c r="BB21" s="1101"/>
      <c r="BC21" s="1101"/>
      <c r="BD21" s="1101"/>
      <c r="BE21" s="1101"/>
      <c r="BF21" s="1101"/>
      <c r="BG21" s="1101"/>
      <c r="BH21" s="1101"/>
      <c r="BI21" s="1101"/>
      <c r="BJ21" s="1101"/>
      <c r="BK21" s="1101"/>
      <c r="BL21" s="1101"/>
      <c r="BM21" s="1101"/>
      <c r="BN21" s="1101"/>
      <c r="BO21" s="1101"/>
      <c r="BP21" s="1181"/>
      <c r="BQ21" s="1181"/>
      <c r="BR21" s="1181"/>
      <c r="BS21" s="1181"/>
      <c r="BT21" s="1101"/>
      <c r="BU21" s="1101"/>
      <c r="BV21" s="1101"/>
      <c r="BW21" s="1101"/>
      <c r="BX21" s="1101"/>
      <c r="BY21" s="1101"/>
      <c r="BZ21" s="1101"/>
      <c r="CA21" s="1101"/>
      <c r="CB21" s="1101"/>
      <c r="CC21" s="1101"/>
      <c r="CD21" s="1101"/>
      <c r="CE21" s="1101"/>
      <c r="CF21" s="1101"/>
      <c r="CG21" s="1101"/>
      <c r="CH21" s="1101"/>
      <c r="CI21" s="1035" t="s">
        <v>3902</v>
      </c>
      <c r="CJ21" s="1011" t="s">
        <v>2011</v>
      </c>
      <c r="CK21" s="1099"/>
      <c r="CL21" s="1035"/>
      <c r="CN21" s="1749"/>
    </row>
    <row r="22" spans="2:92" ht="18" x14ac:dyDescent="0.25">
      <c r="B22" s="1033">
        <v>19</v>
      </c>
      <c r="C22" s="1098" t="s">
        <v>241</v>
      </c>
      <c r="D22" s="1099" t="s">
        <v>3738</v>
      </c>
      <c r="E22" s="1100">
        <v>-1</v>
      </c>
      <c r="F22" s="1100"/>
      <c r="G22" s="1100"/>
      <c r="H22" s="1100"/>
      <c r="I22" s="1597"/>
      <c r="J22" s="1597"/>
      <c r="K22" s="1100"/>
      <c r="L22" s="1100"/>
      <c r="M22" s="1100"/>
      <c r="N22" s="1100">
        <v>1</v>
      </c>
      <c r="O22" s="1100"/>
      <c r="P22" s="1100"/>
      <c r="Q22" s="1100"/>
      <c r="R22" s="1100"/>
      <c r="S22" s="1100"/>
      <c r="T22" s="1100"/>
      <c r="U22" s="1100"/>
      <c r="V22" s="1100"/>
      <c r="W22" s="1100"/>
      <c r="X22" s="1100"/>
      <c r="Y22" s="1100"/>
      <c r="Z22" s="1100"/>
      <c r="AA22" s="1100"/>
      <c r="AB22" s="1100"/>
      <c r="AC22" s="1597"/>
      <c r="AD22" s="1597"/>
      <c r="AE22" s="1100"/>
      <c r="AF22" s="1100" t="s">
        <v>1654</v>
      </c>
      <c r="AG22" s="1101" t="s">
        <v>1655</v>
      </c>
      <c r="AH22" s="1100"/>
      <c r="AI22" s="1597"/>
      <c r="AJ22" s="1597"/>
      <c r="AK22" s="1100"/>
      <c r="AL22" s="1100"/>
      <c r="AM22" s="1100"/>
      <c r="AN22" s="1100"/>
      <c r="AO22" s="1100" t="s">
        <v>1974</v>
      </c>
      <c r="AP22" s="1100"/>
      <c r="AQ22" s="1101"/>
      <c r="AR22" s="1101"/>
      <c r="AS22" s="1101" t="s">
        <v>1656</v>
      </c>
      <c r="AT22" s="1101" t="s">
        <v>1657</v>
      </c>
      <c r="AU22" s="1101" t="s">
        <v>1658</v>
      </c>
      <c r="AV22" s="1100"/>
      <c r="AW22" s="1100"/>
      <c r="AX22" s="1100"/>
      <c r="AY22" s="1100"/>
      <c r="AZ22" s="1100"/>
      <c r="BA22" s="1100"/>
      <c r="BB22" s="1100"/>
      <c r="BC22" s="1100"/>
      <c r="BD22" s="1100"/>
      <c r="BE22" s="1100"/>
      <c r="BF22" s="1100"/>
      <c r="BG22" s="1100"/>
      <c r="BH22" s="1100"/>
      <c r="BI22" s="1100"/>
      <c r="BJ22" s="1100"/>
      <c r="BK22" s="1100"/>
      <c r="BL22" s="1100"/>
      <c r="BM22" s="1100"/>
      <c r="BN22" s="1100"/>
      <c r="BO22" s="1100"/>
      <c r="BP22" s="1182"/>
      <c r="BQ22" s="1182"/>
      <c r="BR22" s="1182"/>
      <c r="BS22" s="1182"/>
      <c r="BT22" s="1100"/>
      <c r="BU22" s="1100"/>
      <c r="BV22" s="1100"/>
      <c r="BW22" s="1100"/>
      <c r="BX22" s="1100"/>
      <c r="BY22" s="1100"/>
      <c r="BZ22" s="1100"/>
      <c r="CA22" s="1100"/>
      <c r="CB22" s="1100"/>
      <c r="CC22" s="1100"/>
      <c r="CD22" s="1100"/>
      <c r="CE22" s="1100"/>
      <c r="CF22" s="1100"/>
      <c r="CG22" s="1100"/>
      <c r="CH22" s="1100"/>
      <c r="CI22" s="1035" t="s">
        <v>3936</v>
      </c>
      <c r="CJ22" s="1011" t="s">
        <v>2011</v>
      </c>
      <c r="CK22" s="1099"/>
      <c r="CL22" s="1035"/>
    </row>
    <row r="23" spans="2:92" ht="18" x14ac:dyDescent="0.25">
      <c r="B23" s="1033">
        <v>20</v>
      </c>
      <c r="C23" s="1098" t="s">
        <v>242</v>
      </c>
      <c r="D23" s="1099" t="s">
        <v>4749</v>
      </c>
      <c r="E23" s="1100">
        <v>-1</v>
      </c>
      <c r="F23" s="1100"/>
      <c r="G23" s="1100"/>
      <c r="H23" s="1100"/>
      <c r="I23" s="1597"/>
      <c r="J23" s="1597"/>
      <c r="K23" s="1100"/>
      <c r="L23" s="1100"/>
      <c r="M23" s="1100"/>
      <c r="N23" s="1100"/>
      <c r="O23" s="1100">
        <v>1</v>
      </c>
      <c r="P23" s="1100"/>
      <c r="Q23" s="1100"/>
      <c r="R23" s="1100"/>
      <c r="S23" s="1100"/>
      <c r="T23" s="1100"/>
      <c r="U23" s="1100"/>
      <c r="V23" s="1100"/>
      <c r="W23" s="1100"/>
      <c r="X23" s="1100"/>
      <c r="Y23" s="1100"/>
      <c r="Z23" s="1100"/>
      <c r="AA23" s="1100"/>
      <c r="AB23" s="1100"/>
      <c r="AC23" s="1597"/>
      <c r="AD23" s="1597"/>
      <c r="AE23" s="1100"/>
      <c r="AF23" s="1100"/>
      <c r="AG23" s="1101"/>
      <c r="AH23" s="1100"/>
      <c r="AI23" s="1597"/>
      <c r="AJ23" s="1597"/>
      <c r="AK23" s="1100"/>
      <c r="AL23" s="1100"/>
      <c r="AM23" s="1100"/>
      <c r="AN23" s="1100"/>
      <c r="AO23" s="1100" t="s">
        <v>1974</v>
      </c>
      <c r="AP23" s="1100"/>
      <c r="AQ23" s="1101"/>
      <c r="AR23" s="1101"/>
      <c r="AS23" s="1101"/>
      <c r="AT23" s="1101"/>
      <c r="AU23" s="1101"/>
      <c r="AV23" s="1100"/>
      <c r="AW23" s="1100"/>
      <c r="AX23" s="1100"/>
      <c r="AY23" s="1100"/>
      <c r="AZ23" s="1100"/>
      <c r="BA23" s="1100"/>
      <c r="BB23" s="1100"/>
      <c r="BC23" s="1100"/>
      <c r="BD23" s="1100"/>
      <c r="BE23" s="1100"/>
      <c r="BF23" s="1100"/>
      <c r="BG23" s="1100"/>
      <c r="BH23" s="1100"/>
      <c r="BI23" s="1100"/>
      <c r="BJ23" s="1100"/>
      <c r="BK23" s="1100"/>
      <c r="BL23" s="1100"/>
      <c r="BM23" s="1100"/>
      <c r="BN23" s="1100"/>
      <c r="BO23" s="1100"/>
      <c r="BP23" s="1182"/>
      <c r="BQ23" s="1182"/>
      <c r="BR23" s="1182"/>
      <c r="BS23" s="1182"/>
      <c r="BT23" s="1100"/>
      <c r="BU23" s="1100"/>
      <c r="BV23" s="1100"/>
      <c r="BW23" s="1100"/>
      <c r="BX23" s="1100"/>
      <c r="BY23" s="1100"/>
      <c r="BZ23" s="1100"/>
      <c r="CA23" s="1100"/>
      <c r="CB23" s="1100"/>
      <c r="CC23" s="1100"/>
      <c r="CD23" s="1100"/>
      <c r="CE23" s="1100"/>
      <c r="CF23" s="1100"/>
      <c r="CG23" s="1100"/>
      <c r="CH23" s="1100"/>
      <c r="CI23" s="1035" t="s">
        <v>4773</v>
      </c>
      <c r="CJ23" s="1011" t="s">
        <v>2011</v>
      </c>
      <c r="CK23" s="1099"/>
      <c r="CL23" s="1035"/>
    </row>
    <row r="24" spans="2:92" ht="18" x14ac:dyDescent="0.25">
      <c r="B24" s="1033">
        <v>21</v>
      </c>
      <c r="C24" s="1098" t="s">
        <v>243</v>
      </c>
      <c r="D24" s="1099" t="s">
        <v>3893</v>
      </c>
      <c r="E24" s="1100"/>
      <c r="F24" s="1100"/>
      <c r="G24" s="1100"/>
      <c r="H24" s="1100"/>
      <c r="I24" s="1597"/>
      <c r="J24" s="1597"/>
      <c r="K24" s="1100"/>
      <c r="L24" s="1100"/>
      <c r="M24" s="1100"/>
      <c r="N24" s="1101" t="s">
        <v>4715</v>
      </c>
      <c r="O24" s="1101" t="s">
        <v>4725</v>
      </c>
      <c r="P24" s="1100"/>
      <c r="Q24" s="1100"/>
      <c r="R24" s="1100"/>
      <c r="S24" s="1100"/>
      <c r="T24" s="1100"/>
      <c r="U24" s="1100"/>
      <c r="V24" s="1100"/>
      <c r="W24" s="1100"/>
      <c r="X24" s="1100"/>
      <c r="Y24" s="1100"/>
      <c r="Z24" s="1100"/>
      <c r="AA24" s="1100"/>
      <c r="AB24" s="1100"/>
      <c r="AC24" s="1597"/>
      <c r="AD24" s="1597"/>
      <c r="AE24" s="1100"/>
      <c r="AF24" s="1100"/>
      <c r="AG24" s="1101"/>
      <c r="AH24" s="1100"/>
      <c r="AI24" s="1597"/>
      <c r="AJ24" s="1597"/>
      <c r="AK24" s="1100"/>
      <c r="AL24" s="1100">
        <v>-1</v>
      </c>
      <c r="AM24" s="1100"/>
      <c r="AN24" s="1100"/>
      <c r="AO24" s="1100" t="s">
        <v>3838</v>
      </c>
      <c r="AP24" s="1100"/>
      <c r="AQ24" s="1101"/>
      <c r="AR24" s="1101"/>
      <c r="AS24" s="1101"/>
      <c r="AT24" s="1101"/>
      <c r="AU24" s="1101"/>
      <c r="AV24" s="1100"/>
      <c r="AW24" s="1100"/>
      <c r="AX24" s="1100"/>
      <c r="AY24" s="1100"/>
      <c r="AZ24" s="1100"/>
      <c r="BA24" s="1100"/>
      <c r="BB24" s="1100"/>
      <c r="BC24" s="1100"/>
      <c r="BD24" s="1100"/>
      <c r="BE24" s="1100"/>
      <c r="BF24" s="1100"/>
      <c r="BG24" s="1100"/>
      <c r="BH24" s="1100"/>
      <c r="BI24" s="1100"/>
      <c r="BJ24" s="1100"/>
      <c r="BK24" s="1100"/>
      <c r="BL24" s="1100"/>
      <c r="BM24" s="1100"/>
      <c r="BN24" s="1100"/>
      <c r="BO24" s="1100"/>
      <c r="BP24" s="1182"/>
      <c r="BQ24" s="1182"/>
      <c r="BR24" s="1182"/>
      <c r="BS24" s="1182"/>
      <c r="BT24" s="1100"/>
      <c r="BU24" s="1100"/>
      <c r="BV24" s="1100"/>
      <c r="BW24" s="1100"/>
      <c r="BX24" s="1100"/>
      <c r="BY24" s="1100"/>
      <c r="BZ24" s="1100"/>
      <c r="CA24" s="1100"/>
      <c r="CB24" s="1100"/>
      <c r="CC24" s="1100"/>
      <c r="CD24" s="1100"/>
      <c r="CE24" s="1100"/>
      <c r="CF24" s="1100"/>
      <c r="CG24" s="1100"/>
      <c r="CH24" s="1100"/>
      <c r="CI24" s="1035" t="s">
        <v>3898</v>
      </c>
      <c r="CJ24" s="1011" t="s">
        <v>2011</v>
      </c>
      <c r="CK24" s="1099"/>
      <c r="CL24" s="1035"/>
    </row>
    <row r="25" spans="2:92" ht="18" x14ac:dyDescent="0.25">
      <c r="B25" s="1033">
        <v>22</v>
      </c>
      <c r="C25" s="1098" t="s">
        <v>244</v>
      </c>
      <c r="D25" s="1099" t="s">
        <v>3894</v>
      </c>
      <c r="E25" s="1100"/>
      <c r="F25" s="1100"/>
      <c r="G25" s="1100"/>
      <c r="H25" s="1100"/>
      <c r="I25" s="1597"/>
      <c r="J25" s="1597"/>
      <c r="K25" s="1100"/>
      <c r="L25" s="1100"/>
      <c r="M25" s="1100"/>
      <c r="N25" s="1101" t="s">
        <v>4715</v>
      </c>
      <c r="O25" s="1101" t="s">
        <v>4725</v>
      </c>
      <c r="P25" s="1100"/>
      <c r="Q25" s="1100"/>
      <c r="R25" s="1100"/>
      <c r="S25" s="1100"/>
      <c r="T25" s="1100"/>
      <c r="U25" s="1100"/>
      <c r="V25" s="1100"/>
      <c r="W25" s="1100"/>
      <c r="X25" s="1100"/>
      <c r="Y25" s="1100"/>
      <c r="Z25" s="1101" t="s">
        <v>2119</v>
      </c>
      <c r="AA25" s="1101" t="s">
        <v>2120</v>
      </c>
      <c r="AB25" s="1100"/>
      <c r="AC25" s="1597"/>
      <c r="AD25" s="1597"/>
      <c r="AE25" s="1100"/>
      <c r="AF25" s="1100"/>
      <c r="AG25" s="1101"/>
      <c r="AH25" s="1100"/>
      <c r="AI25" s="1597"/>
      <c r="AJ25" s="1597"/>
      <c r="AK25" s="1100"/>
      <c r="AL25" s="1100"/>
      <c r="AM25" s="1100"/>
      <c r="AN25" s="1100"/>
      <c r="AO25" s="1100" t="s">
        <v>3838</v>
      </c>
      <c r="AP25" s="1100"/>
      <c r="AQ25" s="1101"/>
      <c r="AR25" s="1101"/>
      <c r="AS25" s="1101"/>
      <c r="AT25" s="1101"/>
      <c r="AU25" s="1101"/>
      <c r="AV25" s="1100"/>
      <c r="AW25" s="1100"/>
      <c r="AX25" s="1100"/>
      <c r="AY25" s="1100"/>
      <c r="AZ25" s="1100"/>
      <c r="BA25" s="1100"/>
      <c r="BB25" s="1100"/>
      <c r="BC25" s="1100"/>
      <c r="BD25" s="1100"/>
      <c r="BE25" s="1100"/>
      <c r="BF25" s="1100"/>
      <c r="BG25" s="1100"/>
      <c r="BH25" s="1100"/>
      <c r="BI25" s="1100"/>
      <c r="BJ25" s="1100"/>
      <c r="BK25" s="1100"/>
      <c r="BL25" s="1100"/>
      <c r="BM25" s="1100"/>
      <c r="BN25" s="1100"/>
      <c r="BO25" s="1100"/>
      <c r="BP25" s="1182"/>
      <c r="BQ25" s="1182"/>
      <c r="BR25" s="1182"/>
      <c r="BS25" s="1182"/>
      <c r="BT25" s="1100"/>
      <c r="BU25" s="1100"/>
      <c r="BV25" s="1100"/>
      <c r="BW25" s="1100"/>
      <c r="BX25" s="1100"/>
      <c r="BY25" s="1100"/>
      <c r="BZ25" s="1100"/>
      <c r="CA25" s="1100"/>
      <c r="CB25" s="1100"/>
      <c r="CC25" s="1100"/>
      <c r="CD25" s="1100"/>
      <c r="CE25" s="1100"/>
      <c r="CF25" s="1100"/>
      <c r="CG25" s="1100"/>
      <c r="CH25" s="1100"/>
      <c r="CI25" s="1035" t="s">
        <v>3900</v>
      </c>
      <c r="CJ25" s="1011" t="s">
        <v>2011</v>
      </c>
      <c r="CK25" s="1099"/>
      <c r="CL25" s="1035"/>
    </row>
    <row r="26" spans="2:92" ht="18" x14ac:dyDescent="0.25">
      <c r="B26" s="1033">
        <v>23</v>
      </c>
      <c r="C26" s="1098" t="s">
        <v>245</v>
      </c>
      <c r="D26" s="1099" t="s">
        <v>3747</v>
      </c>
      <c r="E26" s="1100">
        <v>1</v>
      </c>
      <c r="F26" s="1100"/>
      <c r="G26" s="1100"/>
      <c r="H26" s="1100"/>
      <c r="I26" s="1597"/>
      <c r="J26" s="1597"/>
      <c r="K26" s="1100"/>
      <c r="L26" s="1100"/>
      <c r="M26" s="1100"/>
      <c r="N26" s="1100"/>
      <c r="O26" s="1100">
        <v>-1</v>
      </c>
      <c r="P26" s="1100"/>
      <c r="Q26" s="1100"/>
      <c r="R26" s="1100"/>
      <c r="S26" s="1100"/>
      <c r="T26" s="1100"/>
      <c r="U26" s="1100"/>
      <c r="V26" s="1100"/>
      <c r="W26" s="1100"/>
      <c r="X26" s="1100"/>
      <c r="Y26" s="1100"/>
      <c r="Z26" s="1101"/>
      <c r="AA26" s="1101"/>
      <c r="AB26" s="1100"/>
      <c r="AC26" s="1597"/>
      <c r="AD26" s="1597"/>
      <c r="AE26" s="1100"/>
      <c r="AF26" s="1100"/>
      <c r="AG26" s="1101"/>
      <c r="AH26" s="1100"/>
      <c r="AI26" s="1597"/>
      <c r="AJ26" s="1597"/>
      <c r="AK26" s="1100"/>
      <c r="AL26" s="1100"/>
      <c r="AM26" s="1100"/>
      <c r="AN26" s="1100"/>
      <c r="AO26" s="1100" t="s">
        <v>4792</v>
      </c>
      <c r="AP26" s="1100"/>
      <c r="AQ26" s="1101"/>
      <c r="AR26" s="1101"/>
      <c r="AS26" s="1101"/>
      <c r="AT26" s="1101"/>
      <c r="AU26" s="1101"/>
      <c r="AV26" s="1100"/>
      <c r="AW26" s="1100"/>
      <c r="AX26" s="1100"/>
      <c r="AY26" s="1100"/>
      <c r="AZ26" s="1100"/>
      <c r="BA26" s="1100"/>
      <c r="BB26" s="1100"/>
      <c r="BC26" s="1100"/>
      <c r="BD26" s="1100"/>
      <c r="BE26" s="1100"/>
      <c r="BF26" s="1100"/>
      <c r="BG26" s="1100"/>
      <c r="BH26" s="1100"/>
      <c r="BI26" s="1100"/>
      <c r="BJ26" s="1100"/>
      <c r="BK26" s="1100"/>
      <c r="BL26" s="1100"/>
      <c r="BM26" s="1100"/>
      <c r="BN26" s="1100"/>
      <c r="BO26" s="1100"/>
      <c r="BP26" s="1182"/>
      <c r="BQ26" s="1182"/>
      <c r="BR26" s="1182"/>
      <c r="BS26" s="1182"/>
      <c r="BT26" s="1100"/>
      <c r="BU26" s="1100"/>
      <c r="BV26" s="1100"/>
      <c r="BW26" s="1100"/>
      <c r="BX26" s="1100"/>
      <c r="BY26" s="1100"/>
      <c r="BZ26" s="1100"/>
      <c r="CA26" s="1100"/>
      <c r="CB26" s="1100"/>
      <c r="CC26" s="1100"/>
      <c r="CD26" s="1100"/>
      <c r="CE26" s="1100"/>
      <c r="CF26" s="1100"/>
      <c r="CG26" s="1100"/>
      <c r="CH26" s="1100"/>
      <c r="CI26" s="1035" t="s">
        <v>4752</v>
      </c>
      <c r="CJ26" s="1011" t="s">
        <v>2011</v>
      </c>
      <c r="CK26" s="1099"/>
      <c r="CL26" s="1035"/>
    </row>
    <row r="27" spans="2:92" ht="18" x14ac:dyDescent="0.25">
      <c r="B27" s="1033">
        <v>24</v>
      </c>
      <c r="C27" s="1098" t="s">
        <v>246</v>
      </c>
      <c r="D27" s="1099" t="s">
        <v>2182</v>
      </c>
      <c r="E27" s="1100"/>
      <c r="F27" s="1100"/>
      <c r="G27" s="1100"/>
      <c r="H27" s="1100"/>
      <c r="I27" s="1597"/>
      <c r="J27" s="1597"/>
      <c r="K27" s="1100"/>
      <c r="L27" s="1100"/>
      <c r="M27" s="1100"/>
      <c r="N27" s="1100"/>
      <c r="O27" s="1100"/>
      <c r="P27" s="1100"/>
      <c r="Q27" s="1100"/>
      <c r="R27" s="1100"/>
      <c r="S27" s="1100"/>
      <c r="T27" s="1100"/>
      <c r="U27" s="1100"/>
      <c r="V27" s="1100"/>
      <c r="W27" s="1100"/>
      <c r="X27" s="1100"/>
      <c r="Y27" s="1100"/>
      <c r="Z27" s="1100"/>
      <c r="AA27" s="1100"/>
      <c r="AB27" s="1100"/>
      <c r="AC27" s="1597"/>
      <c r="AD27" s="1597"/>
      <c r="AE27" s="1100"/>
      <c r="AF27" s="1100">
        <v>1</v>
      </c>
      <c r="AG27" s="1100">
        <v>-1</v>
      </c>
      <c r="AH27" s="1100"/>
      <c r="AI27" s="1597"/>
      <c r="AJ27" s="1597"/>
      <c r="AK27" s="1100"/>
      <c r="AL27" s="1100"/>
      <c r="AM27" s="1100"/>
      <c r="AN27" s="1100"/>
      <c r="AO27" s="1100"/>
      <c r="AP27" s="1100"/>
      <c r="AQ27" s="1101"/>
      <c r="AR27" s="1101"/>
      <c r="AS27" s="1101" t="s">
        <v>1659</v>
      </c>
      <c r="AT27" s="1101" t="s">
        <v>1660</v>
      </c>
      <c r="AU27" s="1101" t="s">
        <v>1661</v>
      </c>
      <c r="AV27" s="1100"/>
      <c r="AW27" s="1100"/>
      <c r="AX27" s="1100"/>
      <c r="AY27" s="1100"/>
      <c r="AZ27" s="1100"/>
      <c r="BA27" s="1100"/>
      <c r="BB27" s="1100"/>
      <c r="BC27" s="1100"/>
      <c r="BD27" s="1100"/>
      <c r="BE27" s="1100"/>
      <c r="BF27" s="1100"/>
      <c r="BG27" s="1100"/>
      <c r="BH27" s="1100"/>
      <c r="BI27" s="1100"/>
      <c r="BJ27" s="1100"/>
      <c r="BK27" s="1100"/>
      <c r="BL27" s="1100"/>
      <c r="BM27" s="1100"/>
      <c r="BN27" s="1100"/>
      <c r="BO27" s="1100"/>
      <c r="BP27" s="1182"/>
      <c r="BQ27" s="1182"/>
      <c r="BR27" s="1182"/>
      <c r="BS27" s="1182"/>
      <c r="BT27" s="1100"/>
      <c r="BU27" s="1100"/>
      <c r="BV27" s="1100"/>
      <c r="BW27" s="1100"/>
      <c r="BX27" s="1100"/>
      <c r="BY27" s="1100"/>
      <c r="BZ27" s="1100"/>
      <c r="CA27" s="1100"/>
      <c r="CB27" s="1100"/>
      <c r="CC27" s="1100"/>
      <c r="CD27" s="1100"/>
      <c r="CE27" s="1100"/>
      <c r="CF27" s="1100"/>
      <c r="CG27" s="1100"/>
      <c r="CH27" s="1100"/>
      <c r="CI27" s="1035" t="s">
        <v>4051</v>
      </c>
      <c r="CJ27" s="1011" t="s">
        <v>2011</v>
      </c>
      <c r="CK27" s="1099"/>
      <c r="CL27" s="1035"/>
    </row>
    <row r="28" spans="2:92" ht="18" x14ac:dyDescent="0.25">
      <c r="B28" s="1033">
        <v>25</v>
      </c>
      <c r="C28" s="1098" t="s">
        <v>247</v>
      </c>
      <c r="D28" s="1099" t="s">
        <v>2643</v>
      </c>
      <c r="E28" s="1100" t="s">
        <v>3779</v>
      </c>
      <c r="F28" s="1101" t="s">
        <v>3776</v>
      </c>
      <c r="G28" s="1100"/>
      <c r="H28" s="1100"/>
      <c r="I28" s="1597"/>
      <c r="J28" s="1597"/>
      <c r="K28" s="1100"/>
      <c r="L28" s="1100"/>
      <c r="M28" s="1100"/>
      <c r="N28" s="1100">
        <v>1</v>
      </c>
      <c r="O28" s="1100"/>
      <c r="P28" s="1100"/>
      <c r="Q28" s="1100"/>
      <c r="R28" s="1100"/>
      <c r="S28" s="1100"/>
      <c r="T28" s="1100"/>
      <c r="U28" s="1100"/>
      <c r="V28" s="1100"/>
      <c r="W28" s="1100"/>
      <c r="X28" s="1100"/>
      <c r="Y28" s="1100"/>
      <c r="Z28" s="1100"/>
      <c r="AA28" s="1100"/>
      <c r="AB28" s="1100"/>
      <c r="AC28" s="1597"/>
      <c r="AD28" s="1597"/>
      <c r="AE28" s="1100"/>
      <c r="AF28" s="1100"/>
      <c r="AG28" s="1101"/>
      <c r="AH28" s="1100"/>
      <c r="AI28" s="1597"/>
      <c r="AJ28" s="1597"/>
      <c r="AK28" s="1100"/>
      <c r="AL28" s="1100"/>
      <c r="AM28" s="1100"/>
      <c r="AN28" s="1100" t="s">
        <v>3780</v>
      </c>
      <c r="AO28" s="1100" t="s">
        <v>4998</v>
      </c>
      <c r="AP28" s="1101" t="s">
        <v>2535</v>
      </c>
      <c r="AQ28" s="1101" t="s">
        <v>3284</v>
      </c>
      <c r="AR28" s="1101" t="s">
        <v>3290</v>
      </c>
      <c r="AS28" s="1101" t="s">
        <v>3280</v>
      </c>
      <c r="AT28" s="1101" t="s">
        <v>3281</v>
      </c>
      <c r="AU28" s="1101"/>
      <c r="AV28" s="1100"/>
      <c r="AW28" s="1100"/>
      <c r="AX28" s="1100"/>
      <c r="AY28" s="1100"/>
      <c r="AZ28" s="1100"/>
      <c r="BA28" s="1100"/>
      <c r="BB28" s="1100"/>
      <c r="BC28" s="1100"/>
      <c r="BD28" s="1100"/>
      <c r="BE28" s="1100"/>
      <c r="BF28" s="1100"/>
      <c r="BG28" s="1100"/>
      <c r="BH28" s="1100"/>
      <c r="BI28" s="1100"/>
      <c r="BJ28" s="1100"/>
      <c r="BK28" s="1100"/>
      <c r="BL28" s="1100"/>
      <c r="BM28" s="1100"/>
      <c r="BN28" s="1100"/>
      <c r="BO28" s="1100"/>
      <c r="BP28" s="1182"/>
      <c r="BQ28" s="1182"/>
      <c r="BR28" s="1182"/>
      <c r="BS28" s="1182"/>
      <c r="BT28" s="1100"/>
      <c r="BU28" s="1100"/>
      <c r="BV28" s="1100"/>
      <c r="BW28" s="1100"/>
      <c r="BX28" s="1100"/>
      <c r="BY28" s="1100"/>
      <c r="BZ28" s="1100"/>
      <c r="CA28" s="1100"/>
      <c r="CB28" s="1100"/>
      <c r="CC28" s="1100"/>
      <c r="CD28" s="1100"/>
      <c r="CE28" s="1100"/>
      <c r="CF28" s="1100"/>
      <c r="CG28" s="1100"/>
      <c r="CH28" s="1100"/>
      <c r="CI28" s="1035" t="s">
        <v>3935</v>
      </c>
      <c r="CJ28" s="1011" t="s">
        <v>2011</v>
      </c>
      <c r="CK28" s="1099"/>
      <c r="CL28" s="1035"/>
    </row>
    <row r="29" spans="2:92" ht="18" x14ac:dyDescent="0.25">
      <c r="B29" s="1033">
        <v>26</v>
      </c>
      <c r="C29" s="1098" t="s">
        <v>248</v>
      </c>
      <c r="D29" s="1099" t="s">
        <v>2644</v>
      </c>
      <c r="E29" s="1100" t="s">
        <v>3783</v>
      </c>
      <c r="F29" s="1101" t="s">
        <v>3776</v>
      </c>
      <c r="G29" s="1100"/>
      <c r="H29" s="1100"/>
      <c r="I29" s="1597"/>
      <c r="J29" s="1597"/>
      <c r="K29" s="1100"/>
      <c r="L29" s="1100"/>
      <c r="M29" s="1100"/>
      <c r="N29" s="1100">
        <v>1</v>
      </c>
      <c r="O29" s="1100"/>
      <c r="P29" s="1100"/>
      <c r="Q29" s="1100"/>
      <c r="R29" s="1100"/>
      <c r="S29" s="1100"/>
      <c r="T29" s="1100"/>
      <c r="U29" s="1100"/>
      <c r="V29" s="1100"/>
      <c r="W29" s="1100"/>
      <c r="X29" s="1100"/>
      <c r="Y29" s="1100"/>
      <c r="Z29" s="1101"/>
      <c r="AA29" s="1101"/>
      <c r="AB29" s="1100"/>
      <c r="AC29" s="1597"/>
      <c r="AD29" s="1597"/>
      <c r="AE29" s="1100"/>
      <c r="AF29" s="1100"/>
      <c r="AG29" s="1101"/>
      <c r="AH29" s="1100"/>
      <c r="AI29" s="1597"/>
      <c r="AJ29" s="1597"/>
      <c r="AK29" s="1100"/>
      <c r="AL29" s="1100"/>
      <c r="AM29" s="1100"/>
      <c r="AN29" s="1100" t="s">
        <v>3784</v>
      </c>
      <c r="AO29" s="1100" t="s">
        <v>4999</v>
      </c>
      <c r="AP29" s="1101" t="s">
        <v>2535</v>
      </c>
      <c r="AQ29" s="1101" t="s">
        <v>3284</v>
      </c>
      <c r="AR29" s="1101" t="s">
        <v>3290</v>
      </c>
      <c r="AS29" s="1101" t="s">
        <v>3280</v>
      </c>
      <c r="AT29" s="1101" t="s">
        <v>3281</v>
      </c>
      <c r="AU29" s="1101"/>
      <c r="AV29" s="1100"/>
      <c r="AW29" s="1100"/>
      <c r="AX29" s="1100"/>
      <c r="AY29" s="1100"/>
      <c r="AZ29" s="1100"/>
      <c r="BA29" s="1100"/>
      <c r="BB29" s="1100"/>
      <c r="BC29" s="1100"/>
      <c r="BD29" s="1100"/>
      <c r="BE29" s="1100"/>
      <c r="BF29" s="1100"/>
      <c r="BG29" s="1100"/>
      <c r="BH29" s="1100"/>
      <c r="BI29" s="1100"/>
      <c r="BJ29" s="1100"/>
      <c r="BK29" s="1100"/>
      <c r="BL29" s="1100"/>
      <c r="BM29" s="1100"/>
      <c r="BN29" s="1100"/>
      <c r="BO29" s="1100"/>
      <c r="BP29" s="1182"/>
      <c r="BQ29" s="1182"/>
      <c r="BR29" s="1182"/>
      <c r="BS29" s="1182"/>
      <c r="BT29" s="1100"/>
      <c r="BU29" s="1100"/>
      <c r="BV29" s="1100"/>
      <c r="BW29" s="1100"/>
      <c r="BX29" s="1100"/>
      <c r="BY29" s="1100"/>
      <c r="BZ29" s="1100"/>
      <c r="CA29" s="1100"/>
      <c r="CB29" s="1100"/>
      <c r="CC29" s="1100"/>
      <c r="CD29" s="1100"/>
      <c r="CE29" s="1100"/>
      <c r="CF29" s="1100"/>
      <c r="CG29" s="1100"/>
      <c r="CH29" s="1100"/>
      <c r="CI29" s="1035" t="s">
        <v>3934</v>
      </c>
      <c r="CJ29" s="1011" t="s">
        <v>2011</v>
      </c>
      <c r="CK29" s="1099"/>
      <c r="CL29" s="1035"/>
    </row>
    <row r="30" spans="2:92" ht="18" x14ac:dyDescent="0.25">
      <c r="B30" s="1033">
        <v>27</v>
      </c>
      <c r="C30" s="1098" t="s">
        <v>3923</v>
      </c>
      <c r="D30" s="1099" t="s">
        <v>3852</v>
      </c>
      <c r="E30" s="1101" t="s">
        <v>3824</v>
      </c>
      <c r="F30" s="1100"/>
      <c r="G30" s="1100"/>
      <c r="H30" s="1100"/>
      <c r="I30" s="1597"/>
      <c r="J30" s="1597" t="s">
        <v>1645</v>
      </c>
      <c r="K30" s="1100"/>
      <c r="L30" s="1100"/>
      <c r="M30" s="1100"/>
      <c r="N30" s="1101" t="s">
        <v>4716</v>
      </c>
      <c r="O30" s="1101" t="s">
        <v>4726</v>
      </c>
      <c r="P30" s="1100" t="s">
        <v>1646</v>
      </c>
      <c r="Q30" s="1100"/>
      <c r="R30" s="1100"/>
      <c r="S30" s="1100">
        <v>-1</v>
      </c>
      <c r="T30" s="1100"/>
      <c r="U30" s="1100"/>
      <c r="V30" s="1100"/>
      <c r="W30" s="1100"/>
      <c r="X30" s="1100"/>
      <c r="Y30" s="1100" t="s">
        <v>2134</v>
      </c>
      <c r="Z30" s="1100"/>
      <c r="AA30" s="1100"/>
      <c r="AB30" s="1100"/>
      <c r="AC30" s="1597"/>
      <c r="AD30" s="1597" t="s">
        <v>1647</v>
      </c>
      <c r="AE30" s="1100"/>
      <c r="AF30" s="1101" t="s">
        <v>3819</v>
      </c>
      <c r="AG30" s="1101" t="s">
        <v>3820</v>
      </c>
      <c r="AH30" s="1100"/>
      <c r="AI30" s="1597"/>
      <c r="AJ30" s="1597" t="s">
        <v>1648</v>
      </c>
      <c r="AK30" s="1100"/>
      <c r="AL30" s="1100"/>
      <c r="AM30" s="1100"/>
      <c r="AN30" s="1100"/>
      <c r="AO30" s="1100" t="s">
        <v>4955</v>
      </c>
      <c r="AP30" s="1100"/>
      <c r="AQ30" s="1101"/>
      <c r="AR30" s="1101"/>
      <c r="AS30" s="1750" t="s">
        <v>4704</v>
      </c>
      <c r="AT30" s="1750" t="s">
        <v>4705</v>
      </c>
      <c r="AU30" s="1101" t="s">
        <v>3821</v>
      </c>
      <c r="AV30" s="1100"/>
      <c r="AW30" s="1100"/>
      <c r="AX30" s="1100"/>
      <c r="AY30" s="1100"/>
      <c r="AZ30" s="1100"/>
      <c r="BA30" s="1100"/>
      <c r="BB30" s="1100"/>
      <c r="BC30" s="1100"/>
      <c r="BD30" s="1100"/>
      <c r="BE30" s="1100"/>
      <c r="BF30" s="1100"/>
      <c r="BG30" s="1100"/>
      <c r="BH30" s="1100"/>
      <c r="BI30" s="1100"/>
      <c r="BJ30" s="1100"/>
      <c r="BK30" s="1100"/>
      <c r="BL30" s="1100"/>
      <c r="BM30" s="1100"/>
      <c r="BN30" s="1100"/>
      <c r="BO30" s="1100"/>
      <c r="BP30" s="1182"/>
      <c r="BQ30" s="1182"/>
      <c r="BR30" s="1182"/>
      <c r="BS30" s="1182"/>
      <c r="BT30" s="1100"/>
      <c r="BU30" s="1100"/>
      <c r="BV30" s="1100"/>
      <c r="BW30" s="1100"/>
      <c r="BX30" s="1100"/>
      <c r="BY30" s="1100"/>
      <c r="BZ30" s="1100"/>
      <c r="CA30" s="1100"/>
      <c r="CB30" s="1100"/>
      <c r="CC30" s="1100"/>
      <c r="CD30" s="1100"/>
      <c r="CE30" s="1100"/>
      <c r="CF30" s="1100"/>
      <c r="CG30" s="1100"/>
      <c r="CH30" s="1100"/>
      <c r="CI30" s="1035" t="s">
        <v>3916</v>
      </c>
      <c r="CJ30" s="1011" t="s">
        <v>2011</v>
      </c>
      <c r="CK30" s="1099"/>
      <c r="CL30" s="1035"/>
    </row>
    <row r="31" spans="2:92" ht="18" x14ac:dyDescent="0.25">
      <c r="B31" s="1033">
        <v>28</v>
      </c>
      <c r="C31" s="1098" t="s">
        <v>3924</v>
      </c>
      <c r="D31" s="1099" t="s">
        <v>3853</v>
      </c>
      <c r="E31" s="1101" t="s">
        <v>3824</v>
      </c>
      <c r="F31" s="1100"/>
      <c r="G31" s="1100"/>
      <c r="H31" s="1100"/>
      <c r="I31" s="1597"/>
      <c r="J31" s="1597" t="s">
        <v>1645</v>
      </c>
      <c r="K31" s="1100"/>
      <c r="L31" s="1100"/>
      <c r="M31" s="1100"/>
      <c r="N31" s="1101" t="s">
        <v>4716</v>
      </c>
      <c r="O31" s="1101" t="s">
        <v>4726</v>
      </c>
      <c r="P31" s="1100"/>
      <c r="Q31" s="1100" t="s">
        <v>1646</v>
      </c>
      <c r="R31" s="1100"/>
      <c r="S31" s="1100">
        <v>-1</v>
      </c>
      <c r="T31" s="1100"/>
      <c r="U31" s="1100"/>
      <c r="V31" s="1100"/>
      <c r="W31" s="1100"/>
      <c r="X31" s="1100"/>
      <c r="Y31" s="1100" t="s">
        <v>2134</v>
      </c>
      <c r="Z31" s="1100"/>
      <c r="AA31" s="1100"/>
      <c r="AB31" s="1100"/>
      <c r="AC31" s="1597"/>
      <c r="AD31" s="1597" t="s">
        <v>1647</v>
      </c>
      <c r="AE31" s="1100"/>
      <c r="AF31" s="1101" t="s">
        <v>3819</v>
      </c>
      <c r="AG31" s="1101" t="s">
        <v>3820</v>
      </c>
      <c r="AH31" s="1100"/>
      <c r="AI31" s="1597"/>
      <c r="AJ31" s="1597" t="s">
        <v>1648</v>
      </c>
      <c r="AK31" s="1100"/>
      <c r="AL31" s="1100"/>
      <c r="AM31" s="1100"/>
      <c r="AN31" s="1100"/>
      <c r="AO31" s="1100" t="s">
        <v>4955</v>
      </c>
      <c r="AP31" s="1100"/>
      <c r="AQ31" s="1101"/>
      <c r="AR31" s="1101"/>
      <c r="AS31" s="1750" t="s">
        <v>4704</v>
      </c>
      <c r="AT31" s="1750" t="s">
        <v>4705</v>
      </c>
      <c r="AU31" s="1101" t="s">
        <v>3821</v>
      </c>
      <c r="AV31" s="1100"/>
      <c r="AW31" s="1100"/>
      <c r="AX31" s="1100"/>
      <c r="AY31" s="1100"/>
      <c r="AZ31" s="1100"/>
      <c r="BA31" s="1100"/>
      <c r="BB31" s="1100"/>
      <c r="BC31" s="1100"/>
      <c r="BD31" s="1100"/>
      <c r="BE31" s="1100"/>
      <c r="BF31" s="1100"/>
      <c r="BG31" s="1100"/>
      <c r="BH31" s="1100"/>
      <c r="BI31" s="1100"/>
      <c r="BJ31" s="1100"/>
      <c r="BK31" s="1100"/>
      <c r="BL31" s="1100"/>
      <c r="BM31" s="1100"/>
      <c r="BN31" s="1100"/>
      <c r="BO31" s="1100"/>
      <c r="BP31" s="1182"/>
      <c r="BQ31" s="1182"/>
      <c r="BR31" s="1182"/>
      <c r="BS31" s="1182"/>
      <c r="BT31" s="1100"/>
      <c r="BU31" s="1100"/>
      <c r="BV31" s="1100"/>
      <c r="BW31" s="1100"/>
      <c r="BX31" s="1100"/>
      <c r="BY31" s="1100"/>
      <c r="BZ31" s="1100"/>
      <c r="CA31" s="1100"/>
      <c r="CB31" s="1100"/>
      <c r="CC31" s="1100"/>
      <c r="CD31" s="1100"/>
      <c r="CE31" s="1100"/>
      <c r="CF31" s="1100"/>
      <c r="CG31" s="1100"/>
      <c r="CH31" s="1100"/>
      <c r="CI31" s="1035" t="s">
        <v>4748</v>
      </c>
      <c r="CJ31" s="1011" t="s">
        <v>2011</v>
      </c>
      <c r="CK31" s="1099"/>
      <c r="CL31" s="1035"/>
    </row>
    <row r="32" spans="2:92" ht="18" x14ac:dyDescent="0.25">
      <c r="B32" s="1036">
        <v>29</v>
      </c>
      <c r="C32" s="1102" t="s">
        <v>249</v>
      </c>
      <c r="D32" s="1103" t="s">
        <v>4244</v>
      </c>
      <c r="E32" s="1100"/>
      <c r="F32" s="1100"/>
      <c r="G32" s="1100"/>
      <c r="H32" s="1100"/>
      <c r="I32" s="1597"/>
      <c r="J32" s="1597"/>
      <c r="K32" s="1100"/>
      <c r="L32" s="1100"/>
      <c r="M32" s="1100"/>
      <c r="N32" s="1100"/>
      <c r="O32" s="1100"/>
      <c r="P32" s="1100"/>
      <c r="Q32" s="1100"/>
      <c r="R32" s="1101"/>
      <c r="S32" s="1100"/>
      <c r="T32" s="1100"/>
      <c r="U32" s="1100"/>
      <c r="V32" s="1100"/>
      <c r="W32" s="1100"/>
      <c r="X32" s="1100"/>
      <c r="Y32" s="1101"/>
      <c r="Z32" s="1100"/>
      <c r="AA32" s="1100"/>
      <c r="AB32" s="1100"/>
      <c r="AC32" s="1597"/>
      <c r="AD32" s="1597"/>
      <c r="AE32" s="1100"/>
      <c r="AF32" s="1101"/>
      <c r="AG32" s="1100"/>
      <c r="AH32" s="1100"/>
      <c r="AI32" s="1597"/>
      <c r="AJ32" s="1597"/>
      <c r="AK32" s="1100"/>
      <c r="AL32" s="1100"/>
      <c r="AM32" s="1100"/>
      <c r="AN32" s="1100"/>
      <c r="AO32" s="1100"/>
      <c r="AP32" s="1100"/>
      <c r="AQ32" s="1100"/>
      <c r="AR32" s="1100"/>
      <c r="AS32" s="1100"/>
      <c r="AT32" s="1101"/>
      <c r="AU32" s="1100"/>
      <c r="AV32" s="1101"/>
      <c r="AW32" s="1100"/>
      <c r="AX32" s="1100"/>
      <c r="AY32" s="1101"/>
      <c r="AZ32" s="1101"/>
      <c r="BA32" s="1100"/>
      <c r="BB32" s="1101"/>
      <c r="BC32" s="1101"/>
      <c r="BD32" s="1100"/>
      <c r="BE32" s="1100"/>
      <c r="BF32" s="1101"/>
      <c r="BG32" s="1101"/>
      <c r="BH32" s="1100"/>
      <c r="BI32" s="1101"/>
      <c r="BJ32" s="1101"/>
      <c r="BK32" s="1101"/>
      <c r="BL32" s="1101"/>
      <c r="BM32" s="1101"/>
      <c r="BN32" s="1101"/>
      <c r="BO32" s="1101"/>
      <c r="BP32" s="1181"/>
      <c r="BQ32" s="1181"/>
      <c r="BR32" s="1181"/>
      <c r="BS32" s="1181"/>
      <c r="BT32" s="1101"/>
      <c r="BU32" s="1101"/>
      <c r="BV32" s="1101">
        <v>1</v>
      </c>
      <c r="BW32" s="1101"/>
      <c r="BX32" s="1101"/>
      <c r="BY32" s="1101"/>
      <c r="BZ32" s="1101"/>
      <c r="CA32" s="1101"/>
      <c r="CB32" s="1101"/>
      <c r="CC32" s="1101"/>
      <c r="CD32" s="1101"/>
      <c r="CE32" s="1101"/>
      <c r="CF32" s="1101"/>
      <c r="CG32" s="1101"/>
      <c r="CH32" s="1101"/>
      <c r="CI32" s="1035" t="s">
        <v>4238</v>
      </c>
      <c r="CJ32" s="1012" t="s">
        <v>4235</v>
      </c>
      <c r="CK32" s="1099"/>
      <c r="CL32" s="1035"/>
    </row>
    <row r="33" spans="2:91" ht="18" x14ac:dyDescent="0.25">
      <c r="B33" s="1037">
        <v>30</v>
      </c>
      <c r="C33" s="1104" t="s">
        <v>3927</v>
      </c>
      <c r="D33" s="1105" t="s">
        <v>281</v>
      </c>
      <c r="E33" s="1106"/>
      <c r="F33" s="1106"/>
      <c r="G33" s="1106"/>
      <c r="H33" s="1106"/>
      <c r="I33" s="1598"/>
      <c r="J33" s="1598"/>
      <c r="K33" s="1106"/>
      <c r="L33" s="1106"/>
      <c r="M33" s="1106"/>
      <c r="N33" s="1106"/>
      <c r="O33" s="1106"/>
      <c r="P33" s="1106"/>
      <c r="Q33" s="1106"/>
      <c r="R33" s="1106"/>
      <c r="S33" s="1106"/>
      <c r="T33" s="1106"/>
      <c r="U33" s="1106">
        <v>1</v>
      </c>
      <c r="V33" s="1106"/>
      <c r="W33" s="1106"/>
      <c r="X33" s="1106"/>
      <c r="Y33" s="1106" t="s">
        <v>1662</v>
      </c>
      <c r="Z33" s="1107" t="s">
        <v>1663</v>
      </c>
      <c r="AA33" s="1106"/>
      <c r="AB33" s="1106"/>
      <c r="AC33" s="1598"/>
      <c r="AD33" s="1598"/>
      <c r="AE33" s="1106"/>
      <c r="AF33" s="1107" t="s">
        <v>1642</v>
      </c>
      <c r="AG33" s="1106"/>
      <c r="AH33" s="1106"/>
      <c r="AI33" s="1598"/>
      <c r="AJ33" s="1598"/>
      <c r="AK33" s="1106"/>
      <c r="AL33" s="1107" t="s">
        <v>1664</v>
      </c>
      <c r="AM33" s="1107"/>
      <c r="AN33" s="1107"/>
      <c r="AO33" s="1107" t="s">
        <v>1665</v>
      </c>
      <c r="AP33" s="1107" t="s">
        <v>2535</v>
      </c>
      <c r="AQ33" s="1107" t="s">
        <v>3284</v>
      </c>
      <c r="AR33" s="1107" t="s">
        <v>3290</v>
      </c>
      <c r="AS33" s="1107" t="s">
        <v>3280</v>
      </c>
      <c r="AT33" s="1107" t="s">
        <v>3281</v>
      </c>
      <c r="AU33" s="1107"/>
      <c r="AV33" s="1107"/>
      <c r="AW33" s="1107"/>
      <c r="AX33" s="1107"/>
      <c r="AY33" s="1107"/>
      <c r="AZ33" s="1107"/>
      <c r="BA33" s="1107"/>
      <c r="BB33" s="1107"/>
      <c r="BC33" s="1107"/>
      <c r="BD33" s="1107"/>
      <c r="BE33" s="1107"/>
      <c r="BF33" s="1107"/>
      <c r="BG33" s="1107"/>
      <c r="BH33" s="1107"/>
      <c r="BI33" s="1107"/>
      <c r="BJ33" s="1107"/>
      <c r="BK33" s="1107"/>
      <c r="BL33" s="1107"/>
      <c r="BM33" s="1107"/>
      <c r="BN33" s="1107"/>
      <c r="BO33" s="1107"/>
      <c r="BP33" s="1183"/>
      <c r="BQ33" s="1183"/>
      <c r="BR33" s="1183"/>
      <c r="BS33" s="1183"/>
      <c r="BT33" s="1107"/>
      <c r="BU33" s="1107"/>
      <c r="BV33" s="1107"/>
      <c r="BW33" s="1107"/>
      <c r="BX33" s="1107"/>
      <c r="BY33" s="1107"/>
      <c r="BZ33" s="1107"/>
      <c r="CA33" s="1107"/>
      <c r="CB33" s="1107"/>
      <c r="CC33" s="1107"/>
      <c r="CD33" s="1107"/>
      <c r="CE33" s="1107"/>
      <c r="CF33" s="1107"/>
      <c r="CG33" s="1107"/>
      <c r="CH33" s="1107"/>
      <c r="CI33" s="1038" t="s">
        <v>4440</v>
      </c>
      <c r="CJ33" s="1013" t="s">
        <v>2011</v>
      </c>
      <c r="CK33" s="1105"/>
      <c r="CL33" s="1039"/>
    </row>
    <row r="34" spans="2:91" ht="18" x14ac:dyDescent="0.25">
      <c r="B34" s="1037">
        <v>31</v>
      </c>
      <c r="C34" s="1104" t="s">
        <v>3928</v>
      </c>
      <c r="D34" s="1105" t="s">
        <v>290</v>
      </c>
      <c r="E34" s="1106"/>
      <c r="F34" s="1106"/>
      <c r="G34" s="1106"/>
      <c r="H34" s="1106"/>
      <c r="I34" s="1598"/>
      <c r="J34" s="1598" t="s">
        <v>1645</v>
      </c>
      <c r="K34" s="1106"/>
      <c r="L34" s="1106"/>
      <c r="M34" s="1106"/>
      <c r="N34" s="1106"/>
      <c r="O34" s="1106"/>
      <c r="P34" s="1106" t="s">
        <v>1646</v>
      </c>
      <c r="Q34" s="1106"/>
      <c r="R34" s="1106"/>
      <c r="S34" s="1106"/>
      <c r="T34" s="1106"/>
      <c r="U34" s="1106">
        <v>-1</v>
      </c>
      <c r="V34" s="1106"/>
      <c r="W34" s="1106"/>
      <c r="X34" s="1106"/>
      <c r="Y34" s="1106" t="s">
        <v>2134</v>
      </c>
      <c r="Z34" s="1106"/>
      <c r="AA34" s="1106"/>
      <c r="AB34" s="1106"/>
      <c r="AC34" s="1598"/>
      <c r="AD34" s="1598" t="s">
        <v>1647</v>
      </c>
      <c r="AE34" s="1106"/>
      <c r="AF34" s="1106"/>
      <c r="AG34" s="1106"/>
      <c r="AH34" s="1106"/>
      <c r="AI34" s="1598"/>
      <c r="AJ34" s="1598" t="s">
        <v>1648</v>
      </c>
      <c r="AK34" s="1106"/>
      <c r="AL34" s="1106"/>
      <c r="AM34" s="1106"/>
      <c r="AN34" s="1106"/>
      <c r="AO34" s="1598" t="s">
        <v>4954</v>
      </c>
      <c r="AP34" s="1106"/>
      <c r="AQ34" s="1106"/>
      <c r="AR34" s="1106"/>
      <c r="AS34" s="1106"/>
      <c r="AT34" s="1106"/>
      <c r="AU34" s="1106"/>
      <c r="AV34" s="1106"/>
      <c r="AW34" s="1106"/>
      <c r="AX34" s="1106"/>
      <c r="AY34" s="1106"/>
      <c r="AZ34" s="1106"/>
      <c r="BA34" s="1106"/>
      <c r="BB34" s="1106"/>
      <c r="BC34" s="1106"/>
      <c r="BD34" s="1106"/>
      <c r="BE34" s="1106"/>
      <c r="BF34" s="1106"/>
      <c r="BG34" s="1106"/>
      <c r="BH34" s="1106"/>
      <c r="BI34" s="1106"/>
      <c r="BJ34" s="1106"/>
      <c r="BK34" s="1106"/>
      <c r="BL34" s="1106"/>
      <c r="BM34" s="1106"/>
      <c r="BN34" s="1106"/>
      <c r="BO34" s="1106"/>
      <c r="BP34" s="1184"/>
      <c r="BQ34" s="1184"/>
      <c r="BR34" s="1184"/>
      <c r="BS34" s="1184"/>
      <c r="BT34" s="1106"/>
      <c r="BU34" s="1106"/>
      <c r="BV34" s="1106"/>
      <c r="BW34" s="1106"/>
      <c r="BX34" s="1106"/>
      <c r="BY34" s="1106"/>
      <c r="BZ34" s="1106"/>
      <c r="CA34" s="1106"/>
      <c r="CB34" s="1106"/>
      <c r="CC34" s="1106"/>
      <c r="CD34" s="1106"/>
      <c r="CE34" s="1106"/>
      <c r="CF34" s="1106"/>
      <c r="CG34" s="1106"/>
      <c r="CH34" s="1106"/>
      <c r="CI34" s="1039" t="s">
        <v>2672</v>
      </c>
      <c r="CJ34" s="1013" t="s">
        <v>2011</v>
      </c>
      <c r="CK34" s="1105"/>
      <c r="CL34" s="1039"/>
    </row>
    <row r="35" spans="2:91" ht="18" x14ac:dyDescent="0.25">
      <c r="B35" s="1037">
        <v>32</v>
      </c>
      <c r="C35" s="1104" t="s">
        <v>3746</v>
      </c>
      <c r="D35" s="1105" t="s">
        <v>2668</v>
      </c>
      <c r="E35" s="1106"/>
      <c r="F35" s="1106"/>
      <c r="G35" s="1106"/>
      <c r="H35" s="1106"/>
      <c r="I35" s="1598"/>
      <c r="J35" s="1598" t="s">
        <v>1645</v>
      </c>
      <c r="K35" s="1106"/>
      <c r="L35" s="1106"/>
      <c r="M35" s="1106"/>
      <c r="N35" s="1106"/>
      <c r="O35" s="1106"/>
      <c r="P35" s="1106"/>
      <c r="Q35" s="1106" t="s">
        <v>1646</v>
      </c>
      <c r="R35" s="1106"/>
      <c r="S35" s="1106"/>
      <c r="T35" s="1106"/>
      <c r="U35" s="1106">
        <v>-1</v>
      </c>
      <c r="V35" s="1106"/>
      <c r="W35" s="1106"/>
      <c r="X35" s="1106"/>
      <c r="Y35" s="1106" t="s">
        <v>2134</v>
      </c>
      <c r="Z35" s="1106"/>
      <c r="AA35" s="1106"/>
      <c r="AB35" s="1106"/>
      <c r="AC35" s="1598"/>
      <c r="AD35" s="1598" t="s">
        <v>1647</v>
      </c>
      <c r="AE35" s="1106"/>
      <c r="AF35" s="1106"/>
      <c r="AG35" s="1106"/>
      <c r="AH35" s="1106"/>
      <c r="AI35" s="1598"/>
      <c r="AJ35" s="1598" t="s">
        <v>1648</v>
      </c>
      <c r="AK35" s="1106"/>
      <c r="AL35" s="1106"/>
      <c r="AM35" s="1106"/>
      <c r="AN35" s="1106"/>
      <c r="AO35" s="1598" t="s">
        <v>4954</v>
      </c>
      <c r="AP35" s="1106"/>
      <c r="AQ35" s="1106"/>
      <c r="AR35" s="1106"/>
      <c r="AS35" s="1106"/>
      <c r="AT35" s="1106"/>
      <c r="AU35" s="1106"/>
      <c r="AV35" s="1106"/>
      <c r="AW35" s="1106"/>
      <c r="AX35" s="1106"/>
      <c r="AY35" s="1106"/>
      <c r="AZ35" s="1106"/>
      <c r="BA35" s="1106"/>
      <c r="BB35" s="1106"/>
      <c r="BC35" s="1106"/>
      <c r="BD35" s="1106"/>
      <c r="BE35" s="1106"/>
      <c r="BF35" s="1106"/>
      <c r="BG35" s="1106"/>
      <c r="BH35" s="1106"/>
      <c r="BI35" s="1106"/>
      <c r="BJ35" s="1106"/>
      <c r="BK35" s="1106"/>
      <c r="BL35" s="1106"/>
      <c r="BM35" s="1106"/>
      <c r="BN35" s="1106"/>
      <c r="BO35" s="1106"/>
      <c r="BP35" s="1184"/>
      <c r="BQ35" s="1184"/>
      <c r="BR35" s="1184"/>
      <c r="BS35" s="1184"/>
      <c r="BT35" s="1106"/>
      <c r="BU35" s="1106"/>
      <c r="BV35" s="1106"/>
      <c r="BW35" s="1106"/>
      <c r="BX35" s="1106"/>
      <c r="BY35" s="1106"/>
      <c r="BZ35" s="1106"/>
      <c r="CA35" s="1106"/>
      <c r="CB35" s="1106"/>
      <c r="CC35" s="1106"/>
      <c r="CD35" s="1106"/>
      <c r="CE35" s="1106"/>
      <c r="CF35" s="1106"/>
      <c r="CG35" s="1106"/>
      <c r="CH35" s="1106"/>
      <c r="CI35" s="1039" t="s">
        <v>2673</v>
      </c>
      <c r="CJ35" s="1013" t="s">
        <v>2011</v>
      </c>
      <c r="CK35" s="1105"/>
      <c r="CL35" s="1039"/>
    </row>
    <row r="36" spans="2:91" ht="18" x14ac:dyDescent="0.25">
      <c r="B36" s="1040">
        <v>33</v>
      </c>
      <c r="C36" s="1108" t="s">
        <v>3929</v>
      </c>
      <c r="D36" s="1109" t="s">
        <v>306</v>
      </c>
      <c r="E36" s="1110" t="s">
        <v>1666</v>
      </c>
      <c r="F36" s="1111"/>
      <c r="G36" s="1111"/>
      <c r="H36" s="1111"/>
      <c r="I36" s="1599"/>
      <c r="J36" s="1599"/>
      <c r="K36" s="1111"/>
      <c r="L36" s="1111"/>
      <c r="M36" s="1111"/>
      <c r="N36" s="1111"/>
      <c r="O36" s="1111"/>
      <c r="P36" s="1111"/>
      <c r="Q36" s="1111"/>
      <c r="R36" s="1111"/>
      <c r="S36" s="1111"/>
      <c r="T36" s="1111"/>
      <c r="U36" s="1111"/>
      <c r="V36" s="1111">
        <v>1</v>
      </c>
      <c r="W36" s="1111"/>
      <c r="X36" s="1111"/>
      <c r="Y36" s="1111" t="s">
        <v>1641</v>
      </c>
      <c r="Z36" s="1111"/>
      <c r="AA36" s="1111"/>
      <c r="AB36" s="1111"/>
      <c r="AC36" s="1599"/>
      <c r="AD36" s="1599"/>
      <c r="AE36" s="1111"/>
      <c r="AF36" s="1110" t="s">
        <v>1642</v>
      </c>
      <c r="AG36" s="1111"/>
      <c r="AH36" s="1111"/>
      <c r="AI36" s="1599"/>
      <c r="AJ36" s="1599"/>
      <c r="AK36" s="1111"/>
      <c r="AL36" s="1111"/>
      <c r="AM36" s="1111" t="s">
        <v>1667</v>
      </c>
      <c r="AN36" s="1111"/>
      <c r="AO36" s="1111" t="s">
        <v>2169</v>
      </c>
      <c r="AP36" s="1111" t="s">
        <v>2535</v>
      </c>
      <c r="AQ36" s="1110" t="s">
        <v>3284</v>
      </c>
      <c r="AR36" s="1110" t="s">
        <v>3290</v>
      </c>
      <c r="AS36" s="1110" t="s">
        <v>3280</v>
      </c>
      <c r="AT36" s="1110" t="s">
        <v>3281</v>
      </c>
      <c r="AU36" s="1110"/>
      <c r="AV36" s="1110"/>
      <c r="AW36" s="1110"/>
      <c r="AX36" s="1110"/>
      <c r="AY36" s="1110"/>
      <c r="AZ36" s="1110"/>
      <c r="BA36" s="1110"/>
      <c r="BB36" s="1110"/>
      <c r="BC36" s="1110"/>
      <c r="BD36" s="1110"/>
      <c r="BE36" s="1110"/>
      <c r="BF36" s="1110"/>
      <c r="BG36" s="1110"/>
      <c r="BH36" s="1110"/>
      <c r="BI36" s="1110"/>
      <c r="BJ36" s="1110"/>
      <c r="BK36" s="1110"/>
      <c r="BL36" s="1110"/>
      <c r="BM36" s="1110"/>
      <c r="BN36" s="1110"/>
      <c r="BO36" s="1110"/>
      <c r="BP36" s="1185"/>
      <c r="BQ36" s="1185"/>
      <c r="BR36" s="1185"/>
      <c r="BS36" s="1185"/>
      <c r="BT36" s="1110"/>
      <c r="BU36" s="1110"/>
      <c r="BV36" s="1110"/>
      <c r="BW36" s="1110"/>
      <c r="BX36" s="1110"/>
      <c r="BY36" s="1110"/>
      <c r="BZ36" s="1110"/>
      <c r="CA36" s="1110"/>
      <c r="CB36" s="1110"/>
      <c r="CC36" s="1110"/>
      <c r="CD36" s="1110"/>
      <c r="CE36" s="1110"/>
      <c r="CF36" s="1110"/>
      <c r="CG36" s="1110"/>
      <c r="CH36" s="1110"/>
      <c r="CI36" s="1041" t="s">
        <v>4183</v>
      </c>
      <c r="CJ36" s="1014" t="s">
        <v>2011</v>
      </c>
      <c r="CK36" s="1109" t="s">
        <v>904</v>
      </c>
      <c r="CL36" s="1042"/>
    </row>
    <row r="37" spans="2:91" ht="18" x14ac:dyDescent="0.25">
      <c r="B37" s="1040">
        <v>34</v>
      </c>
      <c r="C37" s="1108" t="s">
        <v>3930</v>
      </c>
      <c r="D37" s="1109" t="s">
        <v>294</v>
      </c>
      <c r="E37" s="1111"/>
      <c r="F37" s="1111"/>
      <c r="G37" s="1111"/>
      <c r="H37" s="1111"/>
      <c r="I37" s="1599"/>
      <c r="J37" s="1599" t="s">
        <v>1645</v>
      </c>
      <c r="K37" s="1111"/>
      <c r="L37" s="1111"/>
      <c r="M37" s="1111"/>
      <c r="N37" s="1111"/>
      <c r="O37" s="1111"/>
      <c r="P37" s="1111" t="s">
        <v>1646</v>
      </c>
      <c r="Q37" s="1111"/>
      <c r="R37" s="1111"/>
      <c r="S37" s="1111"/>
      <c r="T37" s="1111"/>
      <c r="U37" s="1111"/>
      <c r="V37" s="1111">
        <v>-1</v>
      </c>
      <c r="W37" s="1111"/>
      <c r="X37" s="1111"/>
      <c r="Y37" s="1111" t="s">
        <v>2134</v>
      </c>
      <c r="Z37" s="1111"/>
      <c r="AA37" s="1111"/>
      <c r="AB37" s="1111"/>
      <c r="AC37" s="1599"/>
      <c r="AD37" s="1599" t="s">
        <v>1647</v>
      </c>
      <c r="AE37" s="1111"/>
      <c r="AF37" s="1110"/>
      <c r="AG37" s="1111"/>
      <c r="AH37" s="1111"/>
      <c r="AI37" s="1599"/>
      <c r="AJ37" s="1599" t="s">
        <v>1648</v>
      </c>
      <c r="AK37" s="1111"/>
      <c r="AL37" s="1111"/>
      <c r="AM37" s="1111"/>
      <c r="AN37" s="1111"/>
      <c r="AO37" s="1599" t="s">
        <v>4954</v>
      </c>
      <c r="AP37" s="1111"/>
      <c r="AQ37" s="1111"/>
      <c r="AR37" s="1111"/>
      <c r="AS37" s="1111"/>
      <c r="AT37" s="1111"/>
      <c r="AU37" s="1111"/>
      <c r="AV37" s="1111"/>
      <c r="AW37" s="1111"/>
      <c r="AX37" s="1111"/>
      <c r="AY37" s="1111"/>
      <c r="AZ37" s="1111"/>
      <c r="BA37" s="1111"/>
      <c r="BB37" s="1111"/>
      <c r="BC37" s="1111"/>
      <c r="BD37" s="1111"/>
      <c r="BE37" s="1111"/>
      <c r="BF37" s="1111"/>
      <c r="BG37" s="1111"/>
      <c r="BH37" s="1111"/>
      <c r="BI37" s="1111"/>
      <c r="BJ37" s="1111"/>
      <c r="BK37" s="1111"/>
      <c r="BL37" s="1111"/>
      <c r="BM37" s="1111"/>
      <c r="BN37" s="1111"/>
      <c r="BO37" s="1111"/>
      <c r="BP37" s="1186"/>
      <c r="BQ37" s="1186"/>
      <c r="BR37" s="1186"/>
      <c r="BS37" s="1186"/>
      <c r="BT37" s="1111"/>
      <c r="BU37" s="1111"/>
      <c r="BV37" s="1111"/>
      <c r="BW37" s="1111"/>
      <c r="BX37" s="1111"/>
      <c r="BY37" s="1111"/>
      <c r="BZ37" s="1111"/>
      <c r="CA37" s="1111"/>
      <c r="CB37" s="1111"/>
      <c r="CC37" s="1111"/>
      <c r="CD37" s="1111"/>
      <c r="CE37" s="1111"/>
      <c r="CF37" s="1111"/>
      <c r="CG37" s="1111"/>
      <c r="CH37" s="1111"/>
      <c r="CI37" s="1042" t="s">
        <v>3221</v>
      </c>
      <c r="CJ37" s="1014" t="s">
        <v>2011</v>
      </c>
      <c r="CK37" s="1109"/>
      <c r="CL37" s="1042"/>
    </row>
    <row r="38" spans="2:91" ht="18" x14ac:dyDescent="0.25">
      <c r="B38" s="1040">
        <v>35</v>
      </c>
      <c r="C38" s="1108" t="s">
        <v>296</v>
      </c>
      <c r="D38" s="1109" t="s">
        <v>2669</v>
      </c>
      <c r="E38" s="1111"/>
      <c r="F38" s="1111"/>
      <c r="G38" s="1111"/>
      <c r="H38" s="1111"/>
      <c r="I38" s="1599"/>
      <c r="J38" s="1599" t="s">
        <v>1645</v>
      </c>
      <c r="K38" s="1111"/>
      <c r="L38" s="1111"/>
      <c r="M38" s="1111"/>
      <c r="N38" s="1111"/>
      <c r="O38" s="1111"/>
      <c r="P38" s="1111"/>
      <c r="Q38" s="1111" t="s">
        <v>1646</v>
      </c>
      <c r="R38" s="1111"/>
      <c r="S38" s="1111"/>
      <c r="T38" s="1111"/>
      <c r="U38" s="1111"/>
      <c r="V38" s="1111">
        <v>-1</v>
      </c>
      <c r="W38" s="1111"/>
      <c r="X38" s="1111"/>
      <c r="Y38" s="1111" t="s">
        <v>2134</v>
      </c>
      <c r="Z38" s="1111"/>
      <c r="AA38" s="1111"/>
      <c r="AB38" s="1111"/>
      <c r="AC38" s="1599"/>
      <c r="AD38" s="1599" t="s">
        <v>1647</v>
      </c>
      <c r="AE38" s="1111"/>
      <c r="AF38" s="1110"/>
      <c r="AG38" s="1111"/>
      <c r="AH38" s="1111"/>
      <c r="AI38" s="1599"/>
      <c r="AJ38" s="1599" t="s">
        <v>1648</v>
      </c>
      <c r="AK38" s="1111"/>
      <c r="AL38" s="1111"/>
      <c r="AM38" s="1111"/>
      <c r="AN38" s="1111"/>
      <c r="AO38" s="1599" t="s">
        <v>4954</v>
      </c>
      <c r="AP38" s="1111"/>
      <c r="AQ38" s="1111"/>
      <c r="AR38" s="1111"/>
      <c r="AS38" s="1111"/>
      <c r="AT38" s="1111"/>
      <c r="AU38" s="1111"/>
      <c r="AV38" s="1111"/>
      <c r="AW38" s="1111"/>
      <c r="AX38" s="1111"/>
      <c r="AY38" s="1111"/>
      <c r="AZ38" s="1111"/>
      <c r="BA38" s="1111"/>
      <c r="BB38" s="1111"/>
      <c r="BC38" s="1111"/>
      <c r="BD38" s="1111"/>
      <c r="BE38" s="1111"/>
      <c r="BF38" s="1111"/>
      <c r="BG38" s="1111"/>
      <c r="BH38" s="1111"/>
      <c r="BI38" s="1111"/>
      <c r="BJ38" s="1111"/>
      <c r="BK38" s="1111"/>
      <c r="BL38" s="1111"/>
      <c r="BM38" s="1111"/>
      <c r="BN38" s="1111"/>
      <c r="BO38" s="1111"/>
      <c r="BP38" s="1186"/>
      <c r="BQ38" s="1186"/>
      <c r="BR38" s="1186"/>
      <c r="BS38" s="1186"/>
      <c r="BT38" s="1111"/>
      <c r="BU38" s="1111"/>
      <c r="BV38" s="1111"/>
      <c r="BW38" s="1111"/>
      <c r="BX38" s="1111"/>
      <c r="BY38" s="1111"/>
      <c r="BZ38" s="1111"/>
      <c r="CA38" s="1111"/>
      <c r="CB38" s="1111"/>
      <c r="CC38" s="1111"/>
      <c r="CD38" s="1111"/>
      <c r="CE38" s="1111"/>
      <c r="CF38" s="1111"/>
      <c r="CG38" s="1111"/>
      <c r="CH38" s="1111"/>
      <c r="CI38" s="1042" t="s">
        <v>3222</v>
      </c>
      <c r="CJ38" s="1014" t="s">
        <v>2011</v>
      </c>
      <c r="CK38" s="1109"/>
      <c r="CL38" s="1042"/>
    </row>
    <row r="39" spans="2:91" ht="18" x14ac:dyDescent="0.25">
      <c r="B39" s="1043">
        <v>36</v>
      </c>
      <c r="C39" s="1112" t="s">
        <v>297</v>
      </c>
      <c r="D39" s="1113" t="s">
        <v>307</v>
      </c>
      <c r="E39" s="1114"/>
      <c r="F39" s="1114"/>
      <c r="G39" s="1114"/>
      <c r="H39" s="1114"/>
      <c r="I39" s="1600"/>
      <c r="J39" s="1600"/>
      <c r="K39" s="1114"/>
      <c r="L39" s="1114"/>
      <c r="M39" s="1114"/>
      <c r="N39" s="1114"/>
      <c r="O39" s="1114"/>
      <c r="P39" s="1114"/>
      <c r="Q39" s="1114"/>
      <c r="R39" s="1114"/>
      <c r="S39" s="1114"/>
      <c r="T39" s="1114"/>
      <c r="U39" s="1114"/>
      <c r="V39" s="1114"/>
      <c r="W39" s="1114">
        <v>1</v>
      </c>
      <c r="X39" s="1114"/>
      <c r="Y39" s="1114" t="s">
        <v>1641</v>
      </c>
      <c r="Z39" s="1114"/>
      <c r="AA39" s="1114"/>
      <c r="AB39" s="1114"/>
      <c r="AC39" s="1600"/>
      <c r="AD39" s="1600"/>
      <c r="AE39" s="1114"/>
      <c r="AF39" s="1115" t="s">
        <v>1642</v>
      </c>
      <c r="AG39" s="1114"/>
      <c r="AH39" s="1114"/>
      <c r="AI39" s="1600"/>
      <c r="AJ39" s="1600"/>
      <c r="AK39" s="1114"/>
      <c r="AL39" s="1114"/>
      <c r="AM39" s="1114" t="s">
        <v>1668</v>
      </c>
      <c r="AN39" s="1115" t="s">
        <v>1669</v>
      </c>
      <c r="AO39" s="1115" t="s">
        <v>1972</v>
      </c>
      <c r="AP39" s="1115" t="s">
        <v>2535</v>
      </c>
      <c r="AQ39" s="1115" t="s">
        <v>3284</v>
      </c>
      <c r="AR39" s="1115" t="s">
        <v>3290</v>
      </c>
      <c r="AS39" s="1115" t="s">
        <v>3280</v>
      </c>
      <c r="AT39" s="1115" t="s">
        <v>3281</v>
      </c>
      <c r="AU39" s="1115"/>
      <c r="AV39" s="1115"/>
      <c r="AW39" s="1115"/>
      <c r="AX39" s="1115"/>
      <c r="AY39" s="1115"/>
      <c r="AZ39" s="1115"/>
      <c r="BA39" s="1115"/>
      <c r="BB39" s="1115"/>
      <c r="BC39" s="1115"/>
      <c r="BD39" s="1115"/>
      <c r="BE39" s="1115"/>
      <c r="BF39" s="1115"/>
      <c r="BG39" s="1115"/>
      <c r="BH39" s="1115"/>
      <c r="BI39" s="1115"/>
      <c r="BJ39" s="1115"/>
      <c r="BK39" s="1115"/>
      <c r="BL39" s="1115"/>
      <c r="BM39" s="1115"/>
      <c r="BN39" s="1115"/>
      <c r="BO39" s="1115"/>
      <c r="BP39" s="1187"/>
      <c r="BQ39" s="1187"/>
      <c r="BR39" s="1187"/>
      <c r="BS39" s="1187"/>
      <c r="BT39" s="1115"/>
      <c r="BU39" s="1115"/>
      <c r="BV39" s="1115"/>
      <c r="BW39" s="1115"/>
      <c r="BX39" s="1115"/>
      <c r="BY39" s="1115"/>
      <c r="BZ39" s="1115"/>
      <c r="CA39" s="1115"/>
      <c r="CB39" s="1115"/>
      <c r="CC39" s="1115"/>
      <c r="CD39" s="1115"/>
      <c r="CE39" s="1115"/>
      <c r="CF39" s="1115"/>
      <c r="CG39" s="1115"/>
      <c r="CH39" s="1115"/>
      <c r="CI39" s="1044" t="s">
        <v>3314</v>
      </c>
      <c r="CJ39" s="1015" t="s">
        <v>2011</v>
      </c>
      <c r="CK39" s="1113" t="s">
        <v>309</v>
      </c>
      <c r="CL39" s="1045"/>
    </row>
    <row r="40" spans="2:91" ht="18" x14ac:dyDescent="0.25">
      <c r="B40" s="1043">
        <v>37</v>
      </c>
      <c r="C40" s="1112" t="s">
        <v>298</v>
      </c>
      <c r="D40" s="1113" t="s">
        <v>293</v>
      </c>
      <c r="E40" s="1114"/>
      <c r="F40" s="1114"/>
      <c r="G40" s="1114"/>
      <c r="H40" s="1114"/>
      <c r="I40" s="1600"/>
      <c r="J40" s="1600" t="s">
        <v>1645</v>
      </c>
      <c r="K40" s="1114"/>
      <c r="L40" s="1114"/>
      <c r="M40" s="1114"/>
      <c r="N40" s="1114"/>
      <c r="O40" s="1114"/>
      <c r="P40" s="1114" t="s">
        <v>1646</v>
      </c>
      <c r="Q40" s="1114"/>
      <c r="R40" s="1114"/>
      <c r="S40" s="1114"/>
      <c r="T40" s="1114"/>
      <c r="U40" s="1114"/>
      <c r="V40" s="1114"/>
      <c r="W40" s="1114">
        <v>-1</v>
      </c>
      <c r="X40" s="1114"/>
      <c r="Y40" s="1114" t="s">
        <v>2134</v>
      </c>
      <c r="Z40" s="1114"/>
      <c r="AA40" s="1114"/>
      <c r="AB40" s="1114"/>
      <c r="AC40" s="1600"/>
      <c r="AD40" s="1600" t="s">
        <v>1647</v>
      </c>
      <c r="AE40" s="1114"/>
      <c r="AF40" s="1114"/>
      <c r="AG40" s="1114"/>
      <c r="AH40" s="1114"/>
      <c r="AI40" s="1600"/>
      <c r="AJ40" s="1600" t="s">
        <v>1648</v>
      </c>
      <c r="AK40" s="1114"/>
      <c r="AL40" s="1114"/>
      <c r="AM40" s="1114"/>
      <c r="AN40" s="1114"/>
      <c r="AO40" s="1600" t="s">
        <v>4954</v>
      </c>
      <c r="AP40" s="1114"/>
      <c r="AQ40" s="1114"/>
      <c r="AR40" s="1114"/>
      <c r="AS40" s="1114"/>
      <c r="AT40" s="1114"/>
      <c r="AU40" s="1114"/>
      <c r="AV40" s="1114"/>
      <c r="AW40" s="1114"/>
      <c r="AX40" s="1114"/>
      <c r="AY40" s="1114"/>
      <c r="AZ40" s="1114"/>
      <c r="BA40" s="1114"/>
      <c r="BB40" s="1114"/>
      <c r="BC40" s="1114"/>
      <c r="BD40" s="1114"/>
      <c r="BE40" s="1114"/>
      <c r="BF40" s="1114"/>
      <c r="BG40" s="1114"/>
      <c r="BH40" s="1114"/>
      <c r="BI40" s="1114"/>
      <c r="BJ40" s="1114"/>
      <c r="BK40" s="1114"/>
      <c r="BL40" s="1114"/>
      <c r="BM40" s="1114"/>
      <c r="BN40" s="1114"/>
      <c r="BO40" s="1114"/>
      <c r="BP40" s="1188"/>
      <c r="BQ40" s="1188"/>
      <c r="BR40" s="1188"/>
      <c r="BS40" s="1188"/>
      <c r="BT40" s="1114"/>
      <c r="BU40" s="1114"/>
      <c r="BV40" s="1114"/>
      <c r="BW40" s="1114"/>
      <c r="BX40" s="1114"/>
      <c r="BY40" s="1114"/>
      <c r="BZ40" s="1114"/>
      <c r="CA40" s="1114"/>
      <c r="CB40" s="1114"/>
      <c r="CC40" s="1114"/>
      <c r="CD40" s="1114"/>
      <c r="CE40" s="1114"/>
      <c r="CF40" s="1114"/>
      <c r="CG40" s="1114"/>
      <c r="CH40" s="1114"/>
      <c r="CI40" s="1045" t="s">
        <v>3223</v>
      </c>
      <c r="CJ40" s="1015" t="s">
        <v>2011</v>
      </c>
      <c r="CK40" s="1113"/>
      <c r="CL40" s="1045"/>
    </row>
    <row r="41" spans="2:91" ht="18" x14ac:dyDescent="0.25">
      <c r="B41" s="1043">
        <v>38</v>
      </c>
      <c r="C41" s="1112" t="s">
        <v>299</v>
      </c>
      <c r="D41" s="1113" t="s">
        <v>2670</v>
      </c>
      <c r="E41" s="1114"/>
      <c r="F41" s="1114"/>
      <c r="G41" s="1114"/>
      <c r="H41" s="1114"/>
      <c r="I41" s="1600"/>
      <c r="J41" s="1600" t="s">
        <v>1645</v>
      </c>
      <c r="K41" s="1114"/>
      <c r="L41" s="1114"/>
      <c r="M41" s="1114"/>
      <c r="N41" s="1114"/>
      <c r="O41" s="1114"/>
      <c r="P41" s="1114"/>
      <c r="Q41" s="1114" t="s">
        <v>1646</v>
      </c>
      <c r="R41" s="1114"/>
      <c r="S41" s="1114"/>
      <c r="T41" s="1114"/>
      <c r="U41" s="1114"/>
      <c r="V41" s="1114"/>
      <c r="W41" s="1114">
        <v>-1</v>
      </c>
      <c r="X41" s="1114"/>
      <c r="Y41" s="1114" t="s">
        <v>2134</v>
      </c>
      <c r="Z41" s="1114"/>
      <c r="AA41" s="1114"/>
      <c r="AB41" s="1114"/>
      <c r="AC41" s="1600"/>
      <c r="AD41" s="1600" t="s">
        <v>1647</v>
      </c>
      <c r="AE41" s="1114"/>
      <c r="AF41" s="1114"/>
      <c r="AG41" s="1114"/>
      <c r="AH41" s="1114"/>
      <c r="AI41" s="1600"/>
      <c r="AJ41" s="1600" t="s">
        <v>1648</v>
      </c>
      <c r="AK41" s="1114"/>
      <c r="AL41" s="1114"/>
      <c r="AM41" s="1114"/>
      <c r="AN41" s="1114"/>
      <c r="AO41" s="1600" t="s">
        <v>4954</v>
      </c>
      <c r="AP41" s="1114"/>
      <c r="AQ41" s="1114"/>
      <c r="AR41" s="1114"/>
      <c r="AS41" s="1114"/>
      <c r="AT41" s="1114"/>
      <c r="AU41" s="1114"/>
      <c r="AV41" s="1114"/>
      <c r="AW41" s="1114"/>
      <c r="AX41" s="1114"/>
      <c r="AY41" s="1114"/>
      <c r="AZ41" s="1114"/>
      <c r="BA41" s="1114"/>
      <c r="BB41" s="1114"/>
      <c r="BC41" s="1114"/>
      <c r="BD41" s="1114"/>
      <c r="BE41" s="1114"/>
      <c r="BF41" s="1114"/>
      <c r="BG41" s="1114"/>
      <c r="BH41" s="1114"/>
      <c r="BI41" s="1114"/>
      <c r="BJ41" s="1114"/>
      <c r="BK41" s="1114"/>
      <c r="BL41" s="1114"/>
      <c r="BM41" s="1114"/>
      <c r="BN41" s="1114"/>
      <c r="BO41" s="1114"/>
      <c r="BP41" s="1188"/>
      <c r="BQ41" s="1188"/>
      <c r="BR41" s="1188"/>
      <c r="BS41" s="1188"/>
      <c r="BT41" s="1114"/>
      <c r="BU41" s="1114"/>
      <c r="BV41" s="1114"/>
      <c r="BW41" s="1114"/>
      <c r="BX41" s="1114"/>
      <c r="BY41" s="1114"/>
      <c r="BZ41" s="1114"/>
      <c r="CA41" s="1114"/>
      <c r="CB41" s="1114"/>
      <c r="CC41" s="1114"/>
      <c r="CD41" s="1114"/>
      <c r="CE41" s="1114"/>
      <c r="CF41" s="1114"/>
      <c r="CG41" s="1114"/>
      <c r="CH41" s="1114"/>
      <c r="CI41" s="1045" t="s">
        <v>3224</v>
      </c>
      <c r="CJ41" s="1015" t="s">
        <v>2011</v>
      </c>
      <c r="CK41" s="1113"/>
      <c r="CL41" s="1045"/>
    </row>
    <row r="42" spans="2:91" ht="18" x14ac:dyDescent="0.35">
      <c r="B42" s="1060">
        <v>39</v>
      </c>
      <c r="C42" s="1116" t="s">
        <v>300</v>
      </c>
      <c r="D42" s="1117" t="s">
        <v>4312</v>
      </c>
      <c r="E42" s="1118"/>
      <c r="F42" s="1118"/>
      <c r="G42" s="1118"/>
      <c r="H42" s="1118"/>
      <c r="I42" s="1601"/>
      <c r="J42" s="1601"/>
      <c r="K42" s="1118"/>
      <c r="L42" s="1118"/>
      <c r="M42" s="1118"/>
      <c r="N42" s="1118"/>
      <c r="O42" s="1118"/>
      <c r="P42" s="1118"/>
      <c r="Q42" s="1118"/>
      <c r="R42" s="1118"/>
      <c r="S42" s="1118"/>
      <c r="T42" s="1118"/>
      <c r="U42" s="1118"/>
      <c r="V42" s="1118"/>
      <c r="W42" s="1118"/>
      <c r="X42" s="1118">
        <v>1</v>
      </c>
      <c r="Y42" s="1118"/>
      <c r="Z42" s="1119" t="s">
        <v>4313</v>
      </c>
      <c r="AA42" s="1118"/>
      <c r="AB42" s="1118"/>
      <c r="AC42" s="1601"/>
      <c r="AD42" s="1601"/>
      <c r="AE42" s="1118"/>
      <c r="AF42" s="1119" t="s">
        <v>4314</v>
      </c>
      <c r="AG42" s="1118"/>
      <c r="AH42" s="1118"/>
      <c r="AI42" s="1601"/>
      <c r="AJ42" s="1601"/>
      <c r="AK42" s="1118"/>
      <c r="AL42" s="1119" t="s">
        <v>4315</v>
      </c>
      <c r="AM42" s="1118"/>
      <c r="AN42" s="1118"/>
      <c r="AO42" s="1120" t="s">
        <v>4316</v>
      </c>
      <c r="AP42" s="1118" t="s">
        <v>2535</v>
      </c>
      <c r="AQ42" s="1121" t="s">
        <v>3284</v>
      </c>
      <c r="AR42" s="1121" t="s">
        <v>3290</v>
      </c>
      <c r="AS42" s="1121" t="s">
        <v>3280</v>
      </c>
      <c r="AT42" s="1121" t="s">
        <v>3281</v>
      </c>
      <c r="AU42" s="1118"/>
      <c r="AV42" s="1118"/>
      <c r="AW42" s="1118"/>
      <c r="AX42" s="1118"/>
      <c r="AY42" s="1118"/>
      <c r="AZ42" s="1118"/>
      <c r="BA42" s="1118"/>
      <c r="BB42" s="1118"/>
      <c r="BC42" s="1118"/>
      <c r="BD42" s="1118"/>
      <c r="BE42" s="1118"/>
      <c r="BF42" s="1118"/>
      <c r="BG42" s="1118"/>
      <c r="BH42" s="1118"/>
      <c r="BI42" s="1118"/>
      <c r="BJ42" s="1118"/>
      <c r="BK42" s="1118"/>
      <c r="BL42" s="1118"/>
      <c r="BM42" s="1118"/>
      <c r="BN42" s="1118"/>
      <c r="BO42" s="1118"/>
      <c r="BP42" s="1189"/>
      <c r="BQ42" s="1189"/>
      <c r="BR42" s="1189"/>
      <c r="BS42" s="1189"/>
      <c r="BT42" s="1118"/>
      <c r="BU42" s="1118"/>
      <c r="BV42" s="1118"/>
      <c r="BW42" s="1118"/>
      <c r="BX42" s="1118"/>
      <c r="BY42" s="1118"/>
      <c r="BZ42" s="1118"/>
      <c r="CA42" s="1118"/>
      <c r="CB42" s="1118"/>
      <c r="CC42" s="1118"/>
      <c r="CD42" s="1121"/>
      <c r="CE42" s="1118"/>
      <c r="CF42" s="1118"/>
      <c r="CG42" s="1118"/>
      <c r="CH42" s="1122"/>
      <c r="CI42" s="1061" t="s">
        <v>4357</v>
      </c>
      <c r="CJ42" s="1062" t="s">
        <v>2011</v>
      </c>
      <c r="CK42" s="1062"/>
      <c r="CL42" s="1074" t="s">
        <v>4338</v>
      </c>
      <c r="CM42" s="65"/>
    </row>
    <row r="43" spans="2:91" ht="18" x14ac:dyDescent="0.35">
      <c r="B43" s="1060">
        <v>40</v>
      </c>
      <c r="C43" s="1116" t="s">
        <v>357</v>
      </c>
      <c r="D43" s="1117" t="s">
        <v>4317</v>
      </c>
      <c r="E43" s="1118"/>
      <c r="F43" s="1118"/>
      <c r="G43" s="1118"/>
      <c r="H43" s="1118"/>
      <c r="I43" s="1601"/>
      <c r="J43" s="1601"/>
      <c r="K43" s="1118"/>
      <c r="L43" s="1118"/>
      <c r="M43" s="1118"/>
      <c r="N43" s="1118"/>
      <c r="O43" s="1118"/>
      <c r="P43" s="1118"/>
      <c r="Q43" s="1118"/>
      <c r="R43" s="1118"/>
      <c r="S43" s="1118"/>
      <c r="T43" s="1118"/>
      <c r="U43" s="1118"/>
      <c r="V43" s="1118"/>
      <c r="W43" s="1118"/>
      <c r="X43" s="1118">
        <v>1</v>
      </c>
      <c r="Y43" s="1119" t="s">
        <v>4313</v>
      </c>
      <c r="Z43" s="1118"/>
      <c r="AA43" s="1118"/>
      <c r="AB43" s="1118"/>
      <c r="AC43" s="1601"/>
      <c r="AD43" s="1601"/>
      <c r="AE43" s="1118"/>
      <c r="AF43" s="1119" t="s">
        <v>4314</v>
      </c>
      <c r="AG43" s="1118"/>
      <c r="AH43" s="1118"/>
      <c r="AI43" s="1601"/>
      <c r="AJ43" s="1601"/>
      <c r="AK43" s="1118"/>
      <c r="AL43" s="1118">
        <v>1</v>
      </c>
      <c r="AM43" s="1118"/>
      <c r="AN43" s="1118"/>
      <c r="AO43" s="1120" t="s">
        <v>4316</v>
      </c>
      <c r="AP43" s="1118" t="s">
        <v>2535</v>
      </c>
      <c r="AQ43" s="1121" t="s">
        <v>3284</v>
      </c>
      <c r="AR43" s="1121" t="s">
        <v>3290</v>
      </c>
      <c r="AS43" s="1121" t="s">
        <v>3280</v>
      </c>
      <c r="AT43" s="1121" t="s">
        <v>3281</v>
      </c>
      <c r="AU43" s="1118"/>
      <c r="AV43" s="1118"/>
      <c r="AW43" s="1118"/>
      <c r="AX43" s="1118"/>
      <c r="AY43" s="1118"/>
      <c r="AZ43" s="1118"/>
      <c r="BA43" s="1118"/>
      <c r="BB43" s="1118"/>
      <c r="BC43" s="1118"/>
      <c r="BD43" s="1118"/>
      <c r="BE43" s="1118"/>
      <c r="BF43" s="1118"/>
      <c r="BG43" s="1118"/>
      <c r="BH43" s="1118"/>
      <c r="BI43" s="1118"/>
      <c r="BJ43" s="1118"/>
      <c r="BK43" s="1118"/>
      <c r="BL43" s="1118"/>
      <c r="BM43" s="1118"/>
      <c r="BN43" s="1118"/>
      <c r="BO43" s="1118"/>
      <c r="BP43" s="1189"/>
      <c r="BQ43" s="1189"/>
      <c r="BR43" s="1189"/>
      <c r="BS43" s="1189"/>
      <c r="BT43" s="1118"/>
      <c r="BU43" s="1118"/>
      <c r="BV43" s="1118"/>
      <c r="BW43" s="1118"/>
      <c r="BX43" s="1118"/>
      <c r="BY43" s="1118"/>
      <c r="BZ43" s="1118"/>
      <c r="CA43" s="1118"/>
      <c r="CB43" s="1118"/>
      <c r="CC43" s="1118"/>
      <c r="CD43" s="1118"/>
      <c r="CE43" s="1121"/>
      <c r="CF43" s="1118"/>
      <c r="CG43" s="1118"/>
      <c r="CH43" s="1122"/>
      <c r="CI43" s="1061" t="s">
        <v>4385</v>
      </c>
      <c r="CJ43" s="1062" t="s">
        <v>2011</v>
      </c>
      <c r="CK43" s="1062"/>
      <c r="CL43" s="1074" t="s">
        <v>4338</v>
      </c>
      <c r="CM43" s="65"/>
    </row>
    <row r="44" spans="2:91" ht="18" x14ac:dyDescent="0.35">
      <c r="B44" s="1060">
        <v>41</v>
      </c>
      <c r="C44" s="1116" t="s">
        <v>358</v>
      </c>
      <c r="D44" s="1117" t="s">
        <v>4318</v>
      </c>
      <c r="E44" s="1118"/>
      <c r="F44" s="1118"/>
      <c r="G44" s="1118"/>
      <c r="H44" s="1118"/>
      <c r="I44" s="1601"/>
      <c r="J44" s="1601"/>
      <c r="K44" s="1118"/>
      <c r="L44" s="1118"/>
      <c r="M44" s="1118"/>
      <c r="N44" s="1118"/>
      <c r="O44" s="1118"/>
      <c r="P44" s="1118"/>
      <c r="Q44" s="1118"/>
      <c r="R44" s="1118"/>
      <c r="S44" s="1118"/>
      <c r="T44" s="1118"/>
      <c r="U44" s="1118"/>
      <c r="V44" s="1118"/>
      <c r="W44" s="1118"/>
      <c r="X44" s="1118">
        <v>-1</v>
      </c>
      <c r="Y44" s="1119" t="s">
        <v>4345</v>
      </c>
      <c r="Z44" s="1118"/>
      <c r="AA44" s="1118"/>
      <c r="AB44" s="1118"/>
      <c r="AC44" s="1601"/>
      <c r="AD44" s="1601"/>
      <c r="AE44" s="1118"/>
      <c r="AF44" s="1119" t="s">
        <v>4346</v>
      </c>
      <c r="AG44" s="1118"/>
      <c r="AH44" s="1118"/>
      <c r="AI44" s="1601"/>
      <c r="AJ44" s="1601"/>
      <c r="AK44" s="1118"/>
      <c r="AL44" s="1118">
        <v>-1</v>
      </c>
      <c r="AM44" s="1118"/>
      <c r="AN44" s="1118"/>
      <c r="AO44" s="1120" t="s">
        <v>4319</v>
      </c>
      <c r="AP44" s="1118"/>
      <c r="AQ44" s="1121"/>
      <c r="AR44" s="1121"/>
      <c r="AS44" s="1121"/>
      <c r="AT44" s="1121"/>
      <c r="AU44" s="1118"/>
      <c r="AV44" s="1118"/>
      <c r="AW44" s="1118"/>
      <c r="AX44" s="1118"/>
      <c r="AY44" s="1118"/>
      <c r="AZ44" s="1118"/>
      <c r="BA44" s="1118"/>
      <c r="BB44" s="1118"/>
      <c r="BC44" s="1118"/>
      <c r="BD44" s="1118"/>
      <c r="BE44" s="1118"/>
      <c r="BF44" s="1118"/>
      <c r="BG44" s="1118"/>
      <c r="BH44" s="1118"/>
      <c r="BI44" s="1118"/>
      <c r="BJ44" s="1118"/>
      <c r="BK44" s="1118"/>
      <c r="BL44" s="1118"/>
      <c r="BM44" s="1118"/>
      <c r="BN44" s="1118"/>
      <c r="BO44" s="1118"/>
      <c r="BP44" s="1189"/>
      <c r="BQ44" s="1189"/>
      <c r="BR44" s="1189"/>
      <c r="BS44" s="1189"/>
      <c r="BT44" s="1118"/>
      <c r="BU44" s="1118"/>
      <c r="BV44" s="1118"/>
      <c r="BW44" s="1118"/>
      <c r="BX44" s="1118"/>
      <c r="BY44" s="1118"/>
      <c r="BZ44" s="1118"/>
      <c r="CA44" s="1118"/>
      <c r="CB44" s="1118"/>
      <c r="CC44" s="1118"/>
      <c r="CD44" s="1118"/>
      <c r="CE44" s="1118"/>
      <c r="CF44" s="1121"/>
      <c r="CG44" s="1118"/>
      <c r="CH44" s="1123"/>
      <c r="CI44" s="1063" t="s">
        <v>4355</v>
      </c>
      <c r="CJ44" s="1062" t="s">
        <v>2011</v>
      </c>
      <c r="CK44" s="1062"/>
      <c r="CL44" s="1074" t="s">
        <v>4338</v>
      </c>
      <c r="CM44" s="65"/>
    </row>
    <row r="45" spans="2:91" ht="18" x14ac:dyDescent="0.35">
      <c r="B45" s="1060">
        <v>42</v>
      </c>
      <c r="C45" s="1116" t="s">
        <v>442</v>
      </c>
      <c r="D45" s="1117" t="s">
        <v>4339</v>
      </c>
      <c r="E45" s="1118"/>
      <c r="F45" s="1118"/>
      <c r="G45" s="1118"/>
      <c r="H45" s="1118"/>
      <c r="I45" s="1601"/>
      <c r="J45" s="1601" t="s">
        <v>1645</v>
      </c>
      <c r="K45" s="1118"/>
      <c r="L45" s="1118"/>
      <c r="M45" s="1118"/>
      <c r="N45" s="1118"/>
      <c r="O45" s="1118"/>
      <c r="P45" s="1118" t="s">
        <v>1646</v>
      </c>
      <c r="Q45" s="1118"/>
      <c r="R45" s="1118"/>
      <c r="S45" s="1118"/>
      <c r="T45" s="1118"/>
      <c r="U45" s="1118"/>
      <c r="V45" s="1118"/>
      <c r="W45" s="1118"/>
      <c r="X45" s="1118">
        <v>-1</v>
      </c>
      <c r="Y45" s="1119" t="s">
        <v>2134</v>
      </c>
      <c r="Z45" s="1118"/>
      <c r="AA45" s="1118"/>
      <c r="AB45" s="1118"/>
      <c r="AC45" s="1601"/>
      <c r="AD45" s="1601" t="s">
        <v>1647</v>
      </c>
      <c r="AE45" s="1118"/>
      <c r="AF45" s="1119" t="s">
        <v>4384</v>
      </c>
      <c r="AG45" s="1118"/>
      <c r="AH45" s="1118"/>
      <c r="AI45" s="1601"/>
      <c r="AJ45" s="1601" t="s">
        <v>1648</v>
      </c>
      <c r="AK45" s="1118"/>
      <c r="AL45" s="1118"/>
      <c r="AM45" s="1118"/>
      <c r="AN45" s="1118"/>
      <c r="AO45" s="2025" t="s">
        <v>4957</v>
      </c>
      <c r="AP45" s="1118"/>
      <c r="AQ45" s="1121"/>
      <c r="AR45" s="1121"/>
      <c r="AS45" s="1121"/>
      <c r="AT45" s="1121"/>
      <c r="AU45" s="1118"/>
      <c r="AV45" s="1118"/>
      <c r="AW45" s="1118"/>
      <c r="AX45" s="1118"/>
      <c r="AY45" s="1118"/>
      <c r="AZ45" s="1118"/>
      <c r="BA45" s="1118"/>
      <c r="BB45" s="1118"/>
      <c r="BC45" s="1118"/>
      <c r="BD45" s="1118"/>
      <c r="BE45" s="1118"/>
      <c r="BF45" s="1118"/>
      <c r="BG45" s="1118"/>
      <c r="BH45" s="1118"/>
      <c r="BI45" s="1118"/>
      <c r="BJ45" s="1118"/>
      <c r="BK45" s="1118"/>
      <c r="BL45" s="1118"/>
      <c r="BM45" s="1118"/>
      <c r="BN45" s="1118"/>
      <c r="BO45" s="1118"/>
      <c r="BP45" s="1189"/>
      <c r="BQ45" s="1189"/>
      <c r="BR45" s="1189"/>
      <c r="BS45" s="1189"/>
      <c r="BT45" s="1118"/>
      <c r="BU45" s="1118"/>
      <c r="BV45" s="1118"/>
      <c r="BW45" s="1118"/>
      <c r="BX45" s="1118"/>
      <c r="BY45" s="1118"/>
      <c r="BZ45" s="1118"/>
      <c r="CA45" s="1118"/>
      <c r="CB45" s="1118"/>
      <c r="CC45" s="1118"/>
      <c r="CD45" s="1118"/>
      <c r="CE45" s="1118"/>
      <c r="CF45" s="1121"/>
      <c r="CG45" s="1118"/>
      <c r="CH45" s="1123"/>
      <c r="CI45" s="1063" t="s">
        <v>4356</v>
      </c>
      <c r="CJ45" s="1062" t="s">
        <v>2011</v>
      </c>
      <c r="CK45" s="1062"/>
      <c r="CL45" s="1074" t="s">
        <v>4338</v>
      </c>
      <c r="CM45" s="65"/>
    </row>
    <row r="46" spans="2:91" ht="18" x14ac:dyDescent="0.25">
      <c r="B46" s="1046">
        <v>43</v>
      </c>
      <c r="C46" s="1124" t="s">
        <v>443</v>
      </c>
      <c r="D46" s="1125" t="s">
        <v>1670</v>
      </c>
      <c r="E46" s="1126"/>
      <c r="F46" s="1126"/>
      <c r="G46" s="1126"/>
      <c r="H46" s="1126">
        <v>-1</v>
      </c>
      <c r="I46" s="1592">
        <v>1</v>
      </c>
      <c r="J46" s="1592"/>
      <c r="K46" s="1126"/>
      <c r="L46" s="1126"/>
      <c r="M46" s="1126"/>
      <c r="N46" s="1126"/>
      <c r="O46" s="1126"/>
      <c r="P46" s="1126"/>
      <c r="Q46" s="1126"/>
      <c r="R46" s="1126"/>
      <c r="S46" s="1126"/>
      <c r="T46" s="1126"/>
      <c r="U46" s="1126"/>
      <c r="V46" s="1126"/>
      <c r="W46" s="1126"/>
      <c r="X46" s="1126"/>
      <c r="Y46" s="1126"/>
      <c r="Z46" s="1126"/>
      <c r="AA46" s="1126"/>
      <c r="AB46" s="1126"/>
      <c r="AC46" s="1592" t="s">
        <v>1671</v>
      </c>
      <c r="AD46" s="1592"/>
      <c r="AE46" s="1126"/>
      <c r="AF46" s="1126"/>
      <c r="AG46" s="1126"/>
      <c r="AH46" s="1126"/>
      <c r="AI46" s="1592" t="s">
        <v>1672</v>
      </c>
      <c r="AJ46" s="1592"/>
      <c r="AK46" s="1126"/>
      <c r="AL46" s="1126"/>
      <c r="AM46" s="1126"/>
      <c r="AN46" s="1126"/>
      <c r="AO46" s="1126"/>
      <c r="AP46" s="1126"/>
      <c r="AQ46" s="1126"/>
      <c r="AR46" s="1126"/>
      <c r="AS46" s="1126"/>
      <c r="AT46" s="1126"/>
      <c r="AU46" s="1126"/>
      <c r="AV46" s="1126"/>
      <c r="AW46" s="1126"/>
      <c r="AX46" s="1126"/>
      <c r="AY46" s="1126"/>
      <c r="AZ46" s="1126"/>
      <c r="BA46" s="1126"/>
      <c r="BB46" s="1126"/>
      <c r="BC46" s="1126"/>
      <c r="BD46" s="1126"/>
      <c r="BE46" s="1126"/>
      <c r="BF46" s="1126"/>
      <c r="BG46" s="1126"/>
      <c r="BH46" s="1126"/>
      <c r="BI46" s="1126"/>
      <c r="BJ46" s="1126"/>
      <c r="BK46" s="1126"/>
      <c r="BL46" s="1126"/>
      <c r="BM46" s="1126"/>
      <c r="BN46" s="1126"/>
      <c r="BO46" s="1126"/>
      <c r="BP46" s="1190"/>
      <c r="BQ46" s="1190"/>
      <c r="BR46" s="1190"/>
      <c r="BS46" s="1190"/>
      <c r="BT46" s="1126"/>
      <c r="BU46" s="1126"/>
      <c r="BV46" s="1126"/>
      <c r="BW46" s="1126"/>
      <c r="BX46" s="1126"/>
      <c r="BY46" s="1126"/>
      <c r="BZ46" s="1126"/>
      <c r="CA46" s="1126"/>
      <c r="CB46" s="1126"/>
      <c r="CC46" s="1126"/>
      <c r="CD46" s="1126"/>
      <c r="CE46" s="1126"/>
      <c r="CF46" s="1126"/>
      <c r="CG46" s="1126"/>
      <c r="CH46" s="1126"/>
      <c r="CI46" s="1519" t="s">
        <v>4659</v>
      </c>
      <c r="CJ46" s="1016" t="s">
        <v>2011</v>
      </c>
      <c r="CK46" s="1125"/>
      <c r="CL46" s="1047"/>
      <c r="CM46" s="1519" t="s">
        <v>4623</v>
      </c>
    </row>
    <row r="47" spans="2:91" ht="18" x14ac:dyDescent="0.25">
      <c r="B47" s="1046">
        <v>44</v>
      </c>
      <c r="C47" s="1124" t="s">
        <v>843</v>
      </c>
      <c r="D47" s="1125" t="s">
        <v>1673</v>
      </c>
      <c r="E47" s="1126"/>
      <c r="F47" s="1126"/>
      <c r="G47" s="1126"/>
      <c r="H47" s="1126"/>
      <c r="I47" s="1592"/>
      <c r="J47" s="1592"/>
      <c r="K47" s="1126"/>
      <c r="L47" s="1126">
        <v>-1</v>
      </c>
      <c r="M47" s="1126">
        <v>1</v>
      </c>
      <c r="N47" s="1126"/>
      <c r="O47" s="1126"/>
      <c r="P47" s="1126"/>
      <c r="Q47" s="1126"/>
      <c r="R47" s="1126"/>
      <c r="S47" s="1126"/>
      <c r="T47" s="1126"/>
      <c r="U47" s="1126"/>
      <c r="V47" s="1126"/>
      <c r="W47" s="1126"/>
      <c r="X47" s="1126"/>
      <c r="Y47" s="1126"/>
      <c r="Z47" s="1126"/>
      <c r="AA47" s="1126"/>
      <c r="AB47" s="1126"/>
      <c r="AC47" s="1592"/>
      <c r="AD47" s="1592"/>
      <c r="AE47" s="1126" t="s">
        <v>1674</v>
      </c>
      <c r="AF47" s="1126"/>
      <c r="AG47" s="1126"/>
      <c r="AH47" s="1126"/>
      <c r="AI47" s="1592"/>
      <c r="AJ47" s="1592"/>
      <c r="AK47" s="1126" t="s">
        <v>1675</v>
      </c>
      <c r="AL47" s="1126"/>
      <c r="AM47" s="1126"/>
      <c r="AN47" s="1126"/>
      <c r="AO47" s="1126"/>
      <c r="AP47" s="1126"/>
      <c r="AQ47" s="1126"/>
      <c r="AR47" s="1126"/>
      <c r="AS47" s="1126"/>
      <c r="AT47" s="1126"/>
      <c r="AU47" s="1126"/>
      <c r="AV47" s="1126"/>
      <c r="AW47" s="1126"/>
      <c r="AX47" s="1126"/>
      <c r="AY47" s="1126"/>
      <c r="AZ47" s="1126"/>
      <c r="BA47" s="1126"/>
      <c r="BB47" s="1126"/>
      <c r="BC47" s="1126"/>
      <c r="BD47" s="1126"/>
      <c r="BE47" s="1126"/>
      <c r="BF47" s="1126"/>
      <c r="BG47" s="1126"/>
      <c r="BH47" s="1126"/>
      <c r="BI47" s="1126"/>
      <c r="BJ47" s="1126"/>
      <c r="BK47" s="1126"/>
      <c r="BL47" s="1126"/>
      <c r="BM47" s="1126"/>
      <c r="BN47" s="1126"/>
      <c r="BO47" s="1126"/>
      <c r="BP47" s="1190"/>
      <c r="BQ47" s="1190"/>
      <c r="BR47" s="1190"/>
      <c r="BS47" s="1190"/>
      <c r="BT47" s="1126"/>
      <c r="BU47" s="1126"/>
      <c r="BV47" s="1126"/>
      <c r="BW47" s="1126"/>
      <c r="BX47" s="1126"/>
      <c r="BY47" s="1126"/>
      <c r="BZ47" s="1126"/>
      <c r="CA47" s="1126"/>
      <c r="CB47" s="1126"/>
      <c r="CC47" s="1126"/>
      <c r="CD47" s="1126"/>
      <c r="CE47" s="1126"/>
      <c r="CF47" s="1126"/>
      <c r="CG47" s="1126"/>
      <c r="CH47" s="1126"/>
      <c r="CI47" s="1519" t="s">
        <v>4660</v>
      </c>
      <c r="CJ47" s="1016" t="s">
        <v>2011</v>
      </c>
      <c r="CK47" s="1125"/>
      <c r="CL47" s="1047"/>
      <c r="CM47" s="1519" t="s">
        <v>4624</v>
      </c>
    </row>
    <row r="48" spans="2:91" ht="18" x14ac:dyDescent="0.25">
      <c r="B48" s="1046">
        <v>45</v>
      </c>
      <c r="C48" s="1124" t="s">
        <v>444</v>
      </c>
      <c r="D48" s="1125" t="s">
        <v>3067</v>
      </c>
      <c r="E48" s="1126"/>
      <c r="F48" s="1126"/>
      <c r="G48" s="1126"/>
      <c r="H48" s="1126">
        <v>-1</v>
      </c>
      <c r="I48" s="1592">
        <v>1</v>
      </c>
      <c r="J48" s="1592"/>
      <c r="K48" s="1126"/>
      <c r="L48" s="1126"/>
      <c r="M48" s="1126"/>
      <c r="N48" s="1126"/>
      <c r="O48" s="1126"/>
      <c r="P48" s="1126"/>
      <c r="Q48" s="1126"/>
      <c r="R48" s="1126"/>
      <c r="S48" s="1126"/>
      <c r="T48" s="1126"/>
      <c r="U48" s="1126"/>
      <c r="V48" s="1126"/>
      <c r="W48" s="1126"/>
      <c r="X48" s="1126"/>
      <c r="Y48" s="1126"/>
      <c r="Z48" s="1126"/>
      <c r="AA48" s="1126"/>
      <c r="AB48" s="1126"/>
      <c r="AC48" s="1592" t="s">
        <v>1671</v>
      </c>
      <c r="AD48" s="1592"/>
      <c r="AE48" s="1126"/>
      <c r="AF48" s="1126"/>
      <c r="AG48" s="1126"/>
      <c r="AH48" s="1126"/>
      <c r="AI48" s="1592" t="s">
        <v>1672</v>
      </c>
      <c r="AJ48" s="1592"/>
      <c r="AK48" s="1126"/>
      <c r="AL48" s="1126"/>
      <c r="AM48" s="1126"/>
      <c r="AN48" s="1126"/>
      <c r="AO48" s="1126"/>
      <c r="AP48" s="1126"/>
      <c r="AQ48" s="1126"/>
      <c r="AR48" s="1126"/>
      <c r="AS48" s="1126"/>
      <c r="AT48" s="1126"/>
      <c r="AU48" s="1126"/>
      <c r="AV48" s="1126"/>
      <c r="AW48" s="1126"/>
      <c r="AX48" s="1126"/>
      <c r="AY48" s="1126"/>
      <c r="AZ48" s="1126"/>
      <c r="BA48" s="1126"/>
      <c r="BB48" s="1126"/>
      <c r="BC48" s="1126"/>
      <c r="BD48" s="1126"/>
      <c r="BE48" s="1126"/>
      <c r="BF48" s="1126"/>
      <c r="BG48" s="1126"/>
      <c r="BH48" s="1126"/>
      <c r="BI48" s="1126"/>
      <c r="BJ48" s="1126"/>
      <c r="BK48" s="1126"/>
      <c r="BL48" s="1126"/>
      <c r="BM48" s="1126"/>
      <c r="BN48" s="1126"/>
      <c r="BO48" s="1126"/>
      <c r="BP48" s="1190"/>
      <c r="BQ48" s="1190"/>
      <c r="BR48" s="1190"/>
      <c r="BS48" s="1190"/>
      <c r="BT48" s="1126"/>
      <c r="BU48" s="1126"/>
      <c r="BV48" s="1126"/>
      <c r="BW48" s="1126"/>
      <c r="BX48" s="1126"/>
      <c r="BY48" s="1126"/>
      <c r="BZ48" s="1126"/>
      <c r="CA48" s="1126"/>
      <c r="CB48" s="1126"/>
      <c r="CC48" s="1126"/>
      <c r="CD48" s="1126"/>
      <c r="CE48" s="1126"/>
      <c r="CF48" s="1126"/>
      <c r="CG48" s="1126"/>
      <c r="CH48" s="1126"/>
      <c r="CI48" s="1047" t="s">
        <v>3069</v>
      </c>
      <c r="CJ48" s="1016" t="s">
        <v>2011</v>
      </c>
      <c r="CK48" s="1125"/>
      <c r="CL48" s="1047" t="s">
        <v>3076</v>
      </c>
    </row>
    <row r="49" spans="2:90" ht="18" x14ac:dyDescent="0.25">
      <c r="B49" s="1046">
        <v>46</v>
      </c>
      <c r="C49" s="1124" t="s">
        <v>445</v>
      </c>
      <c r="D49" s="1125" t="s">
        <v>3068</v>
      </c>
      <c r="E49" s="1126"/>
      <c r="F49" s="1126"/>
      <c r="G49" s="1126"/>
      <c r="H49" s="1126"/>
      <c r="I49" s="1592"/>
      <c r="J49" s="1592"/>
      <c r="K49" s="1126"/>
      <c r="L49" s="1126">
        <v>-1</v>
      </c>
      <c r="M49" s="1126">
        <v>1</v>
      </c>
      <c r="N49" s="1126"/>
      <c r="O49" s="1126"/>
      <c r="P49" s="1126"/>
      <c r="Q49" s="1126"/>
      <c r="R49" s="1126"/>
      <c r="S49" s="1126"/>
      <c r="T49" s="1126"/>
      <c r="U49" s="1126"/>
      <c r="V49" s="1126"/>
      <c r="W49" s="1126"/>
      <c r="X49" s="1126"/>
      <c r="Y49" s="1126"/>
      <c r="Z49" s="1126"/>
      <c r="AA49" s="1126"/>
      <c r="AB49" s="1126"/>
      <c r="AC49" s="1592"/>
      <c r="AD49" s="1592"/>
      <c r="AE49" s="1126" t="s">
        <v>1674</v>
      </c>
      <c r="AF49" s="1126"/>
      <c r="AG49" s="1126"/>
      <c r="AH49" s="1126"/>
      <c r="AI49" s="1592"/>
      <c r="AJ49" s="1592"/>
      <c r="AK49" s="1126" t="s">
        <v>1675</v>
      </c>
      <c r="AL49" s="1126"/>
      <c r="AM49" s="1126"/>
      <c r="AN49" s="1126"/>
      <c r="AO49" s="1126"/>
      <c r="AP49" s="1126"/>
      <c r="AQ49" s="1126"/>
      <c r="AR49" s="1126"/>
      <c r="AS49" s="1126"/>
      <c r="AT49" s="1126"/>
      <c r="AU49" s="1126"/>
      <c r="AV49" s="1126"/>
      <c r="AW49" s="1126"/>
      <c r="AX49" s="1126"/>
      <c r="AY49" s="1126"/>
      <c r="AZ49" s="1126"/>
      <c r="BA49" s="1126"/>
      <c r="BB49" s="1126"/>
      <c r="BC49" s="1126"/>
      <c r="BD49" s="1126"/>
      <c r="BE49" s="1126"/>
      <c r="BF49" s="1126"/>
      <c r="BG49" s="1126"/>
      <c r="BH49" s="1126"/>
      <c r="BI49" s="1126"/>
      <c r="BJ49" s="1126"/>
      <c r="BK49" s="1126"/>
      <c r="BL49" s="1126"/>
      <c r="BM49" s="1126"/>
      <c r="BN49" s="1126"/>
      <c r="BO49" s="1126"/>
      <c r="BP49" s="1190"/>
      <c r="BQ49" s="1190"/>
      <c r="BR49" s="1190"/>
      <c r="BS49" s="1190"/>
      <c r="BT49" s="1126"/>
      <c r="BU49" s="1126"/>
      <c r="BV49" s="1126"/>
      <c r="BW49" s="1126"/>
      <c r="BX49" s="1126"/>
      <c r="BY49" s="1126"/>
      <c r="BZ49" s="1126"/>
      <c r="CA49" s="1126"/>
      <c r="CB49" s="1126"/>
      <c r="CC49" s="1126"/>
      <c r="CD49" s="1126"/>
      <c r="CE49" s="1126"/>
      <c r="CF49" s="1126"/>
      <c r="CG49" s="1126"/>
      <c r="CH49" s="1126"/>
      <c r="CI49" s="1047" t="s">
        <v>3072</v>
      </c>
      <c r="CJ49" s="1016" t="s">
        <v>2011</v>
      </c>
      <c r="CK49" s="1125"/>
      <c r="CL49" s="1047" t="s">
        <v>3076</v>
      </c>
    </row>
    <row r="50" spans="2:90" ht="18" x14ac:dyDescent="0.25">
      <c r="B50" s="1589">
        <v>47</v>
      </c>
      <c r="C50" s="1590" t="s">
        <v>465</v>
      </c>
      <c r="D50" s="1591" t="s">
        <v>4967</v>
      </c>
      <c r="E50" s="1592"/>
      <c r="F50" s="1592">
        <v>1</v>
      </c>
      <c r="G50" s="1592"/>
      <c r="H50" s="1592"/>
      <c r="I50" s="1592">
        <v>-1</v>
      </c>
      <c r="J50" s="1592"/>
      <c r="K50" s="1592"/>
      <c r="L50" s="1592"/>
      <c r="M50" s="1592"/>
      <c r="N50" s="1592"/>
      <c r="O50" s="1592"/>
      <c r="P50" s="1592"/>
      <c r="Q50" s="1592"/>
      <c r="R50" s="1592"/>
      <c r="S50" s="1592"/>
      <c r="T50" s="1592"/>
      <c r="U50" s="1592"/>
      <c r="V50" s="1592"/>
      <c r="W50" s="1592"/>
      <c r="X50" s="1592"/>
      <c r="Y50" s="1592"/>
      <c r="Z50" s="1592"/>
      <c r="AA50" s="1592"/>
      <c r="AB50" s="1593" t="s">
        <v>1676</v>
      </c>
      <c r="AC50" s="1593" t="s">
        <v>1677</v>
      </c>
      <c r="AD50" s="1593"/>
      <c r="AE50" s="1592"/>
      <c r="AF50" s="1592"/>
      <c r="AG50" s="1592"/>
      <c r="AH50" s="1593" t="s">
        <v>1678</v>
      </c>
      <c r="AI50" s="1593" t="s">
        <v>1679</v>
      </c>
      <c r="AJ50" s="1593"/>
      <c r="AK50" s="1592"/>
      <c r="AL50" s="1592"/>
      <c r="AM50" s="1592"/>
      <c r="AN50" s="1592"/>
      <c r="AO50" s="1592"/>
      <c r="AP50" s="1592"/>
      <c r="AQ50" s="1592"/>
      <c r="AR50" s="1592"/>
      <c r="AS50" s="1592"/>
      <c r="AT50" s="1592"/>
      <c r="AU50" s="1592"/>
      <c r="AV50" s="1592"/>
      <c r="AW50" s="1592"/>
      <c r="AX50" s="1592"/>
      <c r="AY50" s="1592"/>
      <c r="AZ50" s="1592"/>
      <c r="BA50" s="1592"/>
      <c r="BB50" s="1592"/>
      <c r="BC50" s="1592"/>
      <c r="BD50" s="1592"/>
      <c r="BE50" s="1592"/>
      <c r="BF50" s="1592"/>
      <c r="BG50" s="1592"/>
      <c r="BH50" s="1592"/>
      <c r="BI50" s="1592"/>
      <c r="BJ50" s="1592"/>
      <c r="BK50" s="1592"/>
      <c r="BL50" s="1592"/>
      <c r="BM50" s="1592"/>
      <c r="BN50" s="1592"/>
      <c r="BO50" s="1592"/>
      <c r="BP50" s="1592"/>
      <c r="BQ50" s="1592"/>
      <c r="BR50" s="1592"/>
      <c r="BS50" s="1592"/>
      <c r="BT50" s="1592"/>
      <c r="BU50" s="1592"/>
      <c r="BV50" s="1592"/>
      <c r="BW50" s="1592"/>
      <c r="BX50" s="1592"/>
      <c r="BY50" s="1592"/>
      <c r="BZ50" s="1592"/>
      <c r="CA50" s="1592"/>
      <c r="CB50" s="1592"/>
      <c r="CC50" s="1592"/>
      <c r="CD50" s="1592"/>
      <c r="CE50" s="1592"/>
      <c r="CF50" s="1592"/>
      <c r="CG50" s="1592"/>
      <c r="CH50" s="1592"/>
      <c r="CI50" s="1519" t="s">
        <v>4677</v>
      </c>
      <c r="CJ50" s="1016" t="s">
        <v>2011</v>
      </c>
      <c r="CK50" s="1591"/>
      <c r="CL50" s="1519"/>
    </row>
    <row r="51" spans="2:90" ht="18" x14ac:dyDescent="0.25">
      <c r="B51" s="1589">
        <v>48</v>
      </c>
      <c r="C51" s="1590" t="s">
        <v>466</v>
      </c>
      <c r="D51" s="1591" t="s">
        <v>4968</v>
      </c>
      <c r="E51" s="1592"/>
      <c r="F51" s="1592">
        <v>1</v>
      </c>
      <c r="G51" s="1592"/>
      <c r="H51" s="1592"/>
      <c r="I51" s="1592"/>
      <c r="J51" s="1592">
        <v>-1</v>
      </c>
      <c r="K51" s="1592"/>
      <c r="L51" s="1592"/>
      <c r="M51" s="1592"/>
      <c r="N51" s="1592"/>
      <c r="O51" s="1592"/>
      <c r="P51" s="1592"/>
      <c r="Q51" s="1592"/>
      <c r="R51" s="1592"/>
      <c r="S51" s="1592"/>
      <c r="T51" s="1592"/>
      <c r="U51" s="1592"/>
      <c r="V51" s="1592"/>
      <c r="W51" s="1592"/>
      <c r="X51" s="1592"/>
      <c r="Y51" s="1592"/>
      <c r="Z51" s="1592"/>
      <c r="AA51" s="1592"/>
      <c r="AB51" s="1593" t="s">
        <v>4701</v>
      </c>
      <c r="AC51" s="1593"/>
      <c r="AD51" s="1593" t="s">
        <v>4702</v>
      </c>
      <c r="AE51" s="1592"/>
      <c r="AF51" s="1592"/>
      <c r="AG51" s="1592"/>
      <c r="AH51" s="1593" t="s">
        <v>4703</v>
      </c>
      <c r="AI51" s="1593"/>
      <c r="AJ51" s="1593" t="s">
        <v>4706</v>
      </c>
      <c r="AK51" s="1592"/>
      <c r="AL51" s="1592"/>
      <c r="AM51" s="1592"/>
      <c r="AN51" s="1592"/>
      <c r="AO51" s="1592" t="s">
        <v>4953</v>
      </c>
      <c r="AP51" s="1592" t="s">
        <v>2536</v>
      </c>
      <c r="AQ51" s="1592" t="s">
        <v>3285</v>
      </c>
      <c r="AR51" s="1592" t="s">
        <v>3291</v>
      </c>
      <c r="AS51" s="1592" t="s">
        <v>3282</v>
      </c>
      <c r="AT51" s="1592" t="s">
        <v>3283</v>
      </c>
      <c r="AU51" s="1592"/>
      <c r="AV51" s="1592"/>
      <c r="AW51" s="1592"/>
      <c r="AX51" s="1592"/>
      <c r="AY51" s="1592"/>
      <c r="AZ51" s="1592"/>
      <c r="BA51" s="1592"/>
      <c r="BB51" s="1592"/>
      <c r="BC51" s="1592"/>
      <c r="BD51" s="1592"/>
      <c r="BE51" s="1592"/>
      <c r="BF51" s="1592"/>
      <c r="BG51" s="1592"/>
      <c r="BH51" s="1592"/>
      <c r="BI51" s="1592"/>
      <c r="BJ51" s="1592"/>
      <c r="BK51" s="1592"/>
      <c r="BL51" s="1592"/>
      <c r="BM51" s="1592"/>
      <c r="BN51" s="1592"/>
      <c r="BO51" s="1592"/>
      <c r="BP51" s="1592"/>
      <c r="BQ51" s="1592"/>
      <c r="BR51" s="1592"/>
      <c r="BS51" s="1592"/>
      <c r="BT51" s="1592"/>
      <c r="BU51" s="1592"/>
      <c r="BV51" s="1592"/>
      <c r="BW51" s="1592"/>
      <c r="BX51" s="1592"/>
      <c r="BY51" s="1592"/>
      <c r="BZ51" s="1592"/>
      <c r="CA51" s="1592"/>
      <c r="CB51" s="1592"/>
      <c r="CC51" s="1592"/>
      <c r="CD51" s="1592"/>
      <c r="CE51" s="1592"/>
      <c r="CF51" s="1592"/>
      <c r="CG51" s="1592"/>
      <c r="CH51" s="1592"/>
      <c r="CI51" s="1519" t="s">
        <v>4676</v>
      </c>
      <c r="CJ51" s="1016" t="s">
        <v>2011</v>
      </c>
      <c r="CK51" s="1591"/>
      <c r="CL51" s="1519"/>
    </row>
    <row r="52" spans="2:90" ht="18" x14ac:dyDescent="0.25">
      <c r="B52" s="1046">
        <v>49</v>
      </c>
      <c r="C52" s="1124" t="s">
        <v>467</v>
      </c>
      <c r="D52" s="1125" t="s">
        <v>4969</v>
      </c>
      <c r="E52" s="1126"/>
      <c r="F52" s="1126"/>
      <c r="G52" s="1126"/>
      <c r="H52" s="1126"/>
      <c r="I52" s="1592"/>
      <c r="J52" s="1592"/>
      <c r="K52" s="1126"/>
      <c r="L52" s="1126"/>
      <c r="M52" s="1126"/>
      <c r="N52" s="1126"/>
      <c r="O52" s="1126"/>
      <c r="P52" s="1126"/>
      <c r="Q52" s="1126"/>
      <c r="R52" s="1126"/>
      <c r="S52" s="1126"/>
      <c r="T52" s="1126"/>
      <c r="U52" s="1126"/>
      <c r="V52" s="1126"/>
      <c r="W52" s="1126"/>
      <c r="X52" s="1126"/>
      <c r="Y52" s="1126">
        <v>1</v>
      </c>
      <c r="Z52" s="1126"/>
      <c r="AA52" s="1126"/>
      <c r="AB52" s="1126">
        <v>-1</v>
      </c>
      <c r="AC52" s="1592"/>
      <c r="AD52" s="1592"/>
      <c r="AE52" s="1126"/>
      <c r="AF52" s="1126"/>
      <c r="AG52" s="1126"/>
      <c r="AH52" s="1126"/>
      <c r="AI52" s="1592"/>
      <c r="AJ52" s="1592"/>
      <c r="AK52" s="1126"/>
      <c r="AL52" s="1126"/>
      <c r="AM52" s="1126"/>
      <c r="AN52" s="1126"/>
      <c r="AO52" s="1126"/>
      <c r="AP52" s="1126"/>
      <c r="AQ52" s="1126"/>
      <c r="AR52" s="1126"/>
      <c r="AS52" s="1126"/>
      <c r="AT52" s="1126"/>
      <c r="AU52" s="1126"/>
      <c r="AV52" s="1126"/>
      <c r="AW52" s="1126"/>
      <c r="AX52" s="1126"/>
      <c r="AY52" s="1126"/>
      <c r="AZ52" s="1126"/>
      <c r="BA52" s="1126"/>
      <c r="BB52" s="1126"/>
      <c r="BC52" s="1126"/>
      <c r="BD52" s="1126"/>
      <c r="BE52" s="1126"/>
      <c r="BF52" s="1126"/>
      <c r="BG52" s="1126"/>
      <c r="BH52" s="1126"/>
      <c r="BI52" s="1126"/>
      <c r="BJ52" s="1126"/>
      <c r="BK52" s="1126"/>
      <c r="BL52" s="1126"/>
      <c r="BM52" s="1126"/>
      <c r="BN52" s="1126"/>
      <c r="BO52" s="1126"/>
      <c r="BP52" s="1190"/>
      <c r="BQ52" s="1190"/>
      <c r="BR52" s="1190"/>
      <c r="BS52" s="1190"/>
      <c r="BT52" s="1126"/>
      <c r="BU52" s="1126"/>
      <c r="BV52" s="1126"/>
      <c r="BW52" s="1126"/>
      <c r="BX52" s="1126"/>
      <c r="BY52" s="1126"/>
      <c r="BZ52" s="1126"/>
      <c r="CA52" s="1126"/>
      <c r="CB52" s="1126"/>
      <c r="CC52" s="1126"/>
      <c r="CD52" s="1126"/>
      <c r="CE52" s="1126"/>
      <c r="CF52" s="1126"/>
      <c r="CG52" s="1126"/>
      <c r="CH52" s="1126"/>
      <c r="CI52" s="1047" t="s">
        <v>4400</v>
      </c>
      <c r="CJ52" s="1016" t="s">
        <v>2011</v>
      </c>
      <c r="CK52" s="1125"/>
      <c r="CL52" s="1047"/>
    </row>
    <row r="53" spans="2:90" ht="18" x14ac:dyDescent="0.25">
      <c r="B53" s="1046">
        <v>50</v>
      </c>
      <c r="C53" s="1124" t="s">
        <v>2121</v>
      </c>
      <c r="D53" s="1125" t="s">
        <v>1680</v>
      </c>
      <c r="E53" s="1126"/>
      <c r="F53" s="1126"/>
      <c r="G53" s="1126"/>
      <c r="H53" s="1126"/>
      <c r="I53" s="1592"/>
      <c r="J53" s="1592"/>
      <c r="K53" s="1126"/>
      <c r="L53" s="1126"/>
      <c r="M53" s="1126"/>
      <c r="N53" s="1126"/>
      <c r="O53" s="1126"/>
      <c r="P53" s="1126"/>
      <c r="Q53" s="1126"/>
      <c r="R53" s="1126"/>
      <c r="S53" s="1126"/>
      <c r="T53" s="1126"/>
      <c r="U53" s="1126"/>
      <c r="V53" s="1126"/>
      <c r="W53" s="1126"/>
      <c r="X53" s="1126"/>
      <c r="Y53" s="1126"/>
      <c r="Z53" s="1126"/>
      <c r="AA53" s="1126"/>
      <c r="AB53" s="1126"/>
      <c r="AC53" s="1592"/>
      <c r="AD53" s="1592"/>
      <c r="AE53" s="1126"/>
      <c r="AF53" s="1126">
        <v>1</v>
      </c>
      <c r="AG53" s="1126"/>
      <c r="AH53" s="1126">
        <v>-1</v>
      </c>
      <c r="AI53" s="1592"/>
      <c r="AJ53" s="1592"/>
      <c r="AK53" s="1126"/>
      <c r="AL53" s="1126"/>
      <c r="AM53" s="1126"/>
      <c r="AN53" s="1126"/>
      <c r="AO53" s="1126"/>
      <c r="AP53" s="1126"/>
      <c r="AQ53" s="1126"/>
      <c r="AR53" s="1126"/>
      <c r="AS53" s="1126"/>
      <c r="AT53" s="1126"/>
      <c r="AU53" s="1126"/>
      <c r="AV53" s="1126"/>
      <c r="AW53" s="1126"/>
      <c r="AX53" s="1126"/>
      <c r="AY53" s="1126"/>
      <c r="AZ53" s="1126"/>
      <c r="BA53" s="1126"/>
      <c r="BB53" s="1126"/>
      <c r="BC53" s="1126"/>
      <c r="BD53" s="1126"/>
      <c r="BE53" s="1126"/>
      <c r="BF53" s="1126"/>
      <c r="BG53" s="1126"/>
      <c r="BH53" s="1126"/>
      <c r="BI53" s="1126"/>
      <c r="BJ53" s="1126"/>
      <c r="BK53" s="1126"/>
      <c r="BL53" s="1126"/>
      <c r="BM53" s="1126"/>
      <c r="BN53" s="1126"/>
      <c r="BO53" s="1126"/>
      <c r="BP53" s="1190"/>
      <c r="BQ53" s="1190"/>
      <c r="BR53" s="1190"/>
      <c r="BS53" s="1190"/>
      <c r="BT53" s="1126"/>
      <c r="BU53" s="1126"/>
      <c r="BV53" s="1126"/>
      <c r="BW53" s="1126"/>
      <c r="BX53" s="1126"/>
      <c r="BY53" s="1126"/>
      <c r="BZ53" s="1126"/>
      <c r="CA53" s="1126"/>
      <c r="CB53" s="1126"/>
      <c r="CC53" s="1126"/>
      <c r="CD53" s="1126"/>
      <c r="CE53" s="1126"/>
      <c r="CF53" s="1126"/>
      <c r="CG53" s="1126"/>
      <c r="CH53" s="1126"/>
      <c r="CI53" s="1047" t="s">
        <v>4401</v>
      </c>
      <c r="CJ53" s="1016" t="s">
        <v>2011</v>
      </c>
      <c r="CK53" s="1125"/>
      <c r="CL53" s="1047"/>
    </row>
    <row r="54" spans="2:90" ht="18" x14ac:dyDescent="0.25">
      <c r="B54" s="1046">
        <v>51</v>
      </c>
      <c r="C54" s="1124" t="s">
        <v>2122</v>
      </c>
      <c r="D54" s="1125" t="s">
        <v>4970</v>
      </c>
      <c r="E54" s="1126"/>
      <c r="F54" s="1126"/>
      <c r="G54" s="1126"/>
      <c r="H54" s="1126"/>
      <c r="I54" s="1592">
        <v>1</v>
      </c>
      <c r="J54" s="1592"/>
      <c r="K54" s="1126"/>
      <c r="L54" s="1126"/>
      <c r="M54" s="1126"/>
      <c r="N54" s="1126"/>
      <c r="O54" s="1126"/>
      <c r="P54" s="1126">
        <v>-1</v>
      </c>
      <c r="Q54" s="1126"/>
      <c r="R54" s="1126"/>
      <c r="S54" s="1126"/>
      <c r="T54" s="1126"/>
      <c r="U54" s="1126"/>
      <c r="V54" s="1126"/>
      <c r="W54" s="1126"/>
      <c r="X54" s="1126"/>
      <c r="Y54" s="1126"/>
      <c r="Z54" s="1126"/>
      <c r="AA54" s="1126"/>
      <c r="AB54" s="1126"/>
      <c r="AC54" s="1592" t="s">
        <v>2133</v>
      </c>
      <c r="AD54" s="1592"/>
      <c r="AE54" s="1126"/>
      <c r="AF54" s="1126"/>
      <c r="AG54" s="1126"/>
      <c r="AH54" s="1126"/>
      <c r="AI54" s="1592" t="s">
        <v>1616</v>
      </c>
      <c r="AJ54" s="1592"/>
      <c r="AK54" s="1126"/>
      <c r="AL54" s="1126"/>
      <c r="AM54" s="1126"/>
      <c r="AN54" s="1126"/>
      <c r="AO54" s="1126" t="s">
        <v>1984</v>
      </c>
      <c r="AP54" s="1126"/>
      <c r="AQ54" s="1126"/>
      <c r="AR54" s="1126"/>
      <c r="AS54" s="1126"/>
      <c r="AT54" s="1126"/>
      <c r="AU54" s="1126"/>
      <c r="AV54" s="1126"/>
      <c r="AW54" s="1126"/>
      <c r="AX54" s="1126"/>
      <c r="AY54" s="1126"/>
      <c r="AZ54" s="1126"/>
      <c r="BA54" s="1126"/>
      <c r="BB54" s="1126"/>
      <c r="BC54" s="1126"/>
      <c r="BD54" s="1126"/>
      <c r="BE54" s="1126"/>
      <c r="BF54" s="1126"/>
      <c r="BG54" s="1126"/>
      <c r="BH54" s="1126"/>
      <c r="BI54" s="1126"/>
      <c r="BJ54" s="1126"/>
      <c r="BK54" s="1126"/>
      <c r="BL54" s="1126"/>
      <c r="BM54" s="1126"/>
      <c r="BN54" s="1126"/>
      <c r="BO54" s="1126"/>
      <c r="BP54" s="1190"/>
      <c r="BQ54" s="1190"/>
      <c r="BR54" s="1190"/>
      <c r="BS54" s="1190"/>
      <c r="BT54" s="1126"/>
      <c r="BU54" s="1126"/>
      <c r="BV54" s="1126"/>
      <c r="BW54" s="1126"/>
      <c r="BX54" s="1126"/>
      <c r="BY54" s="1126"/>
      <c r="BZ54" s="1126"/>
      <c r="CA54" s="1126"/>
      <c r="CB54" s="1126"/>
      <c r="CC54" s="1126"/>
      <c r="CD54" s="1126"/>
      <c r="CE54" s="1126"/>
      <c r="CF54" s="1126"/>
      <c r="CG54" s="1126"/>
      <c r="CH54" s="1126"/>
      <c r="CI54" s="1047" t="s">
        <v>1722</v>
      </c>
      <c r="CJ54" s="1016" t="s">
        <v>2011</v>
      </c>
      <c r="CK54" s="1125"/>
      <c r="CL54" s="1047"/>
    </row>
    <row r="55" spans="2:90" ht="18" x14ac:dyDescent="0.25">
      <c r="B55" s="1046">
        <v>52</v>
      </c>
      <c r="C55" s="1124" t="s">
        <v>2123</v>
      </c>
      <c r="D55" s="1125" t="s">
        <v>4971</v>
      </c>
      <c r="E55" s="1126"/>
      <c r="F55" s="1126">
        <v>1</v>
      </c>
      <c r="G55" s="1126"/>
      <c r="H55" s="1126"/>
      <c r="I55" s="1592"/>
      <c r="J55" s="1592"/>
      <c r="K55" s="1126"/>
      <c r="L55" s="1126"/>
      <c r="M55" s="1126"/>
      <c r="N55" s="1126"/>
      <c r="O55" s="1126"/>
      <c r="P55" s="1126"/>
      <c r="Q55" s="1126">
        <v>-1</v>
      </c>
      <c r="R55" s="1126"/>
      <c r="S55" s="1126"/>
      <c r="T55" s="1126"/>
      <c r="U55" s="1126"/>
      <c r="V55" s="1126"/>
      <c r="W55" s="1126"/>
      <c r="X55" s="1126"/>
      <c r="Y55" s="1126"/>
      <c r="Z55" s="1126"/>
      <c r="AA55" s="1126"/>
      <c r="AB55" s="1126"/>
      <c r="AC55" s="1592" t="s">
        <v>2133</v>
      </c>
      <c r="AD55" s="1592"/>
      <c r="AE55" s="1126"/>
      <c r="AF55" s="1126"/>
      <c r="AG55" s="1126"/>
      <c r="AH55" s="1126"/>
      <c r="AI55" s="1592" t="s">
        <v>1616</v>
      </c>
      <c r="AJ55" s="1592"/>
      <c r="AK55" s="1126"/>
      <c r="AL55" s="1126"/>
      <c r="AM55" s="1126"/>
      <c r="AN55" s="1126"/>
      <c r="AO55" s="1126" t="s">
        <v>1984</v>
      </c>
      <c r="AP55" s="1126"/>
      <c r="AQ55" s="1126"/>
      <c r="AR55" s="1126"/>
      <c r="AS55" s="1126"/>
      <c r="AT55" s="1126"/>
      <c r="AU55" s="1126"/>
      <c r="AV55" s="1126"/>
      <c r="AW55" s="1126"/>
      <c r="AX55" s="1126"/>
      <c r="AY55" s="1126"/>
      <c r="AZ55" s="1126"/>
      <c r="BA55" s="1126"/>
      <c r="BB55" s="1126"/>
      <c r="BC55" s="1126"/>
      <c r="BD55" s="1126"/>
      <c r="BE55" s="1126"/>
      <c r="BF55" s="1126"/>
      <c r="BG55" s="1126"/>
      <c r="BH55" s="1126"/>
      <c r="BI55" s="1126"/>
      <c r="BJ55" s="1126"/>
      <c r="BK55" s="1126"/>
      <c r="BL55" s="1126"/>
      <c r="BM55" s="1126"/>
      <c r="BN55" s="1126"/>
      <c r="BO55" s="1126"/>
      <c r="BP55" s="1190"/>
      <c r="BQ55" s="1190"/>
      <c r="BR55" s="1190"/>
      <c r="BS55" s="1190"/>
      <c r="BT55" s="1126"/>
      <c r="BU55" s="1126"/>
      <c r="BV55" s="1126"/>
      <c r="BW55" s="1126"/>
      <c r="BX55" s="1126"/>
      <c r="BY55" s="1126"/>
      <c r="BZ55" s="1126"/>
      <c r="CA55" s="1126"/>
      <c r="CB55" s="1126"/>
      <c r="CC55" s="1126"/>
      <c r="CD55" s="1126"/>
      <c r="CE55" s="1126"/>
      <c r="CF55" s="1126"/>
      <c r="CG55" s="1126"/>
      <c r="CH55" s="1126"/>
      <c r="CI55" s="1047" t="s">
        <v>4700</v>
      </c>
      <c r="CJ55" s="1016" t="s">
        <v>2011</v>
      </c>
      <c r="CK55" s="1125"/>
      <c r="CL55" s="1047"/>
    </row>
    <row r="56" spans="2:90" ht="18" x14ac:dyDescent="0.25">
      <c r="B56" s="1046">
        <v>53</v>
      </c>
      <c r="C56" s="1124" t="s">
        <v>2124</v>
      </c>
      <c r="D56" s="1125" t="s">
        <v>4972</v>
      </c>
      <c r="E56" s="1126"/>
      <c r="F56" s="1126"/>
      <c r="G56" s="1126"/>
      <c r="H56" s="1126"/>
      <c r="I56" s="1592">
        <v>1</v>
      </c>
      <c r="J56" s="1592"/>
      <c r="K56" s="1126"/>
      <c r="L56" s="1126"/>
      <c r="M56" s="1126">
        <v>-1</v>
      </c>
      <c r="N56" s="1126"/>
      <c r="O56" s="1126"/>
      <c r="P56" s="1126"/>
      <c r="Q56" s="1126"/>
      <c r="R56" s="1126"/>
      <c r="S56" s="1126"/>
      <c r="T56" s="1126"/>
      <c r="U56" s="1126"/>
      <c r="V56" s="1126"/>
      <c r="W56" s="1126"/>
      <c r="X56" s="1126"/>
      <c r="Y56" s="1126"/>
      <c r="Z56" s="1126"/>
      <c r="AA56" s="1126"/>
      <c r="AB56" s="1126"/>
      <c r="AC56" s="1593" t="s">
        <v>4287</v>
      </c>
      <c r="AD56" s="1593"/>
      <c r="AE56" s="1127" t="s">
        <v>4286</v>
      </c>
      <c r="AF56" s="1126"/>
      <c r="AG56" s="1126"/>
      <c r="AH56" s="1126"/>
      <c r="AI56" s="1593" t="s">
        <v>4288</v>
      </c>
      <c r="AJ56" s="1593"/>
      <c r="AK56" s="1127" t="s">
        <v>4289</v>
      </c>
      <c r="AL56" s="1126"/>
      <c r="AM56" s="1126"/>
      <c r="AN56" s="1126"/>
      <c r="AO56" s="1126"/>
      <c r="AP56" s="1126"/>
      <c r="AQ56" s="1126"/>
      <c r="AR56" s="1126"/>
      <c r="AS56" s="1126"/>
      <c r="AT56" s="1126"/>
      <c r="AU56" s="1126"/>
      <c r="AV56" s="1126"/>
      <c r="AW56" s="1126"/>
      <c r="AX56" s="1126"/>
      <c r="AY56" s="1126"/>
      <c r="AZ56" s="1126"/>
      <c r="BA56" s="1126"/>
      <c r="BB56" s="1126"/>
      <c r="BC56" s="1126"/>
      <c r="BD56" s="1126"/>
      <c r="BE56" s="1126"/>
      <c r="BF56" s="1126"/>
      <c r="BG56" s="1126"/>
      <c r="BH56" s="1126"/>
      <c r="BI56" s="1126"/>
      <c r="BJ56" s="1126"/>
      <c r="BK56" s="1126"/>
      <c r="BL56" s="1126"/>
      <c r="BM56" s="1126"/>
      <c r="BN56" s="1126"/>
      <c r="BO56" s="1126"/>
      <c r="BP56" s="1190"/>
      <c r="BQ56" s="1190"/>
      <c r="BR56" s="1190"/>
      <c r="BS56" s="1190"/>
      <c r="BT56" s="1126"/>
      <c r="BU56" s="1126"/>
      <c r="BV56" s="1126"/>
      <c r="BW56" s="1126"/>
      <c r="BX56" s="1126"/>
      <c r="BY56" s="1126"/>
      <c r="BZ56" s="1126"/>
      <c r="CA56" s="1126"/>
      <c r="CB56" s="1126"/>
      <c r="CC56" s="1126"/>
      <c r="CD56" s="1126"/>
      <c r="CE56" s="1126"/>
      <c r="CF56" s="1126"/>
      <c r="CG56" s="1126"/>
      <c r="CH56" s="1126"/>
      <c r="CI56" s="1047" t="s">
        <v>4291</v>
      </c>
      <c r="CJ56" s="1016" t="s">
        <v>2011</v>
      </c>
      <c r="CK56" s="1125"/>
      <c r="CL56" s="1047"/>
    </row>
    <row r="57" spans="2:90" ht="18" x14ac:dyDescent="0.25">
      <c r="B57" s="1046">
        <v>54</v>
      </c>
      <c r="C57" s="1124" t="s">
        <v>2125</v>
      </c>
      <c r="D57" s="1125" t="s">
        <v>292</v>
      </c>
      <c r="E57" s="1128" t="s">
        <v>1370</v>
      </c>
      <c r="F57" s="1126"/>
      <c r="G57" s="1126">
        <v>-1</v>
      </c>
      <c r="H57" s="1126"/>
      <c r="I57" s="1592"/>
      <c r="J57" s="1592"/>
      <c r="K57" s="1126"/>
      <c r="L57" s="1126"/>
      <c r="M57" s="1126"/>
      <c r="N57" s="1126"/>
      <c r="O57" s="1126"/>
      <c r="P57" s="1126"/>
      <c r="Q57" s="1126"/>
      <c r="R57" s="1126"/>
      <c r="S57" s="1126"/>
      <c r="T57" s="1126"/>
      <c r="U57" s="1126"/>
      <c r="V57" s="1126"/>
      <c r="W57" s="1126"/>
      <c r="X57" s="1126"/>
      <c r="Y57" s="1126"/>
      <c r="Z57" s="1126"/>
      <c r="AA57" s="1126"/>
      <c r="AB57" s="1126"/>
      <c r="AC57" s="1592"/>
      <c r="AD57" s="1592"/>
      <c r="AE57" s="1126"/>
      <c r="AF57" s="1126"/>
      <c r="AG57" s="1126"/>
      <c r="AH57" s="1126"/>
      <c r="AI57" s="1592"/>
      <c r="AJ57" s="1592"/>
      <c r="AK57" s="1126"/>
      <c r="AL57" s="1126"/>
      <c r="AM57" s="1126"/>
      <c r="AN57" s="1127" t="s">
        <v>1371</v>
      </c>
      <c r="AO57" s="1126" t="s">
        <v>1973</v>
      </c>
      <c r="AP57" s="1126"/>
      <c r="AQ57" s="1126"/>
      <c r="AR57" s="1126"/>
      <c r="AS57" s="1126"/>
      <c r="AT57" s="1126"/>
      <c r="AU57" s="1126"/>
      <c r="AV57" s="1126"/>
      <c r="AW57" s="1126"/>
      <c r="AX57" s="1126"/>
      <c r="AY57" s="1126"/>
      <c r="AZ57" s="1126"/>
      <c r="BA57" s="1126"/>
      <c r="BB57" s="1126"/>
      <c r="BC57" s="1126"/>
      <c r="BD57" s="1126"/>
      <c r="BE57" s="1126"/>
      <c r="BF57" s="1126"/>
      <c r="BG57" s="1126"/>
      <c r="BH57" s="1126"/>
      <c r="BI57" s="1126"/>
      <c r="BJ57" s="1126"/>
      <c r="BK57" s="1126"/>
      <c r="BL57" s="1126"/>
      <c r="BM57" s="1126"/>
      <c r="BN57" s="1126"/>
      <c r="BO57" s="1126"/>
      <c r="BP57" s="1190"/>
      <c r="BQ57" s="1190"/>
      <c r="BR57" s="1190"/>
      <c r="BS57" s="1190"/>
      <c r="BT57" s="1126"/>
      <c r="BU57" s="1126"/>
      <c r="BV57" s="1126"/>
      <c r="BW57" s="1126"/>
      <c r="BX57" s="1126"/>
      <c r="BY57" s="1126"/>
      <c r="BZ57" s="1126"/>
      <c r="CA57" s="1126"/>
      <c r="CB57" s="1126"/>
      <c r="CC57" s="1126"/>
      <c r="CD57" s="1126"/>
      <c r="CE57" s="1126"/>
      <c r="CF57" s="1126"/>
      <c r="CG57" s="1126"/>
      <c r="CH57" s="1126"/>
      <c r="CI57" s="1047" t="s">
        <v>2537</v>
      </c>
      <c r="CJ57" s="1016" t="s">
        <v>2011</v>
      </c>
      <c r="CK57" s="1125" t="s">
        <v>295</v>
      </c>
      <c r="CL57" s="1047"/>
    </row>
    <row r="58" spans="2:90" ht="18" x14ac:dyDescent="0.25">
      <c r="B58" s="1046">
        <v>55</v>
      </c>
      <c r="C58" s="1124" t="s">
        <v>2126</v>
      </c>
      <c r="D58" s="1125" t="s">
        <v>4436</v>
      </c>
      <c r="E58" s="1126"/>
      <c r="F58" s="1126"/>
      <c r="G58" s="1126"/>
      <c r="H58" s="1126"/>
      <c r="I58" s="1592"/>
      <c r="J58" s="1592"/>
      <c r="K58" s="1126"/>
      <c r="L58" s="1126"/>
      <c r="M58" s="1126"/>
      <c r="N58" s="1126"/>
      <c r="O58" s="1126"/>
      <c r="P58" s="1126"/>
      <c r="Q58" s="1126"/>
      <c r="R58" s="1127" t="s">
        <v>4427</v>
      </c>
      <c r="S58" s="1127" t="s">
        <v>4428</v>
      </c>
      <c r="T58" s="1127" t="s">
        <v>4429</v>
      </c>
      <c r="U58" s="1127" t="s">
        <v>4430</v>
      </c>
      <c r="V58" s="1127" t="s">
        <v>4431</v>
      </c>
      <c r="W58" s="1127" t="s">
        <v>4432</v>
      </c>
      <c r="X58" s="1127"/>
      <c r="Y58" s="1126" t="s">
        <v>4433</v>
      </c>
      <c r="Z58" s="1126">
        <v>-1</v>
      </c>
      <c r="AA58" s="1126"/>
      <c r="AB58" s="1126"/>
      <c r="AC58" s="1592"/>
      <c r="AD58" s="1592"/>
      <c r="AE58" s="1126"/>
      <c r="AF58" s="1126" t="s">
        <v>4434</v>
      </c>
      <c r="AG58" s="1126"/>
      <c r="AH58" s="1126"/>
      <c r="AI58" s="1592"/>
      <c r="AJ58" s="1592"/>
      <c r="AK58" s="1126"/>
      <c r="AL58" s="1126"/>
      <c r="AM58" s="1126"/>
      <c r="AN58" s="1126"/>
      <c r="AO58" s="1126" t="s">
        <v>4435</v>
      </c>
      <c r="AP58" s="1126"/>
      <c r="AQ58" s="1126"/>
      <c r="AR58" s="1126"/>
      <c r="AS58" s="1126"/>
      <c r="AT58" s="1126"/>
      <c r="AU58" s="1126"/>
      <c r="AV58" s="1126"/>
      <c r="AW58" s="1126"/>
      <c r="AX58" s="1126"/>
      <c r="AY58" s="1126"/>
      <c r="AZ58" s="1126"/>
      <c r="BA58" s="1126"/>
      <c r="BB58" s="1126"/>
      <c r="BC58" s="1126"/>
      <c r="BD58" s="1126"/>
      <c r="BE58" s="1126"/>
      <c r="BF58" s="1126"/>
      <c r="BG58" s="1126"/>
      <c r="BH58" s="1126"/>
      <c r="BI58" s="1126"/>
      <c r="BJ58" s="1126"/>
      <c r="BK58" s="1126"/>
      <c r="BL58" s="1126"/>
      <c r="BM58" s="1126"/>
      <c r="BN58" s="1126"/>
      <c r="BO58" s="1126"/>
      <c r="BP58" s="1190"/>
      <c r="BQ58" s="1190"/>
      <c r="BR58" s="1190"/>
      <c r="BS58" s="1190"/>
      <c r="BT58" s="1126"/>
      <c r="BU58" s="1126"/>
      <c r="BV58" s="1126"/>
      <c r="BW58" s="1126"/>
      <c r="BX58" s="1126"/>
      <c r="BY58" s="1126"/>
      <c r="BZ58" s="1126"/>
      <c r="CA58" s="1126"/>
      <c r="CB58" s="1126"/>
      <c r="CC58" s="1126"/>
      <c r="CD58" s="1126"/>
      <c r="CE58" s="1126"/>
      <c r="CF58" s="1126"/>
      <c r="CG58" s="1126"/>
      <c r="CH58" s="1126"/>
      <c r="CI58" s="1047" t="s">
        <v>4425</v>
      </c>
      <c r="CJ58" s="1016" t="s">
        <v>2011</v>
      </c>
      <c r="CK58" s="1125"/>
      <c r="CL58" s="1047" t="s">
        <v>4426</v>
      </c>
    </row>
    <row r="59" spans="2:90" ht="18" x14ac:dyDescent="0.25">
      <c r="B59" s="1046">
        <v>55</v>
      </c>
      <c r="C59" s="1124" t="s">
        <v>2126</v>
      </c>
      <c r="D59" s="1125" t="s">
        <v>4437</v>
      </c>
      <c r="E59" s="1126"/>
      <c r="F59" s="1126"/>
      <c r="G59" s="1126"/>
      <c r="H59" s="1126"/>
      <c r="I59" s="1592"/>
      <c r="J59" s="1592"/>
      <c r="K59" s="1126"/>
      <c r="L59" s="1126"/>
      <c r="M59" s="1126"/>
      <c r="N59" s="1126"/>
      <c r="O59" s="1126"/>
      <c r="P59" s="1126"/>
      <c r="Q59" s="1126"/>
      <c r="R59" s="1127" t="s">
        <v>4407</v>
      </c>
      <c r="S59" s="1127" t="s">
        <v>4408</v>
      </c>
      <c r="T59" s="1127" t="s">
        <v>4409</v>
      </c>
      <c r="U59" s="1127" t="s">
        <v>4410</v>
      </c>
      <c r="V59" s="1127" t="s">
        <v>4411</v>
      </c>
      <c r="W59" s="1127" t="s">
        <v>4412</v>
      </c>
      <c r="X59" s="1127" t="s">
        <v>4413</v>
      </c>
      <c r="Y59" s="1126" t="s">
        <v>4417</v>
      </c>
      <c r="Z59" s="1126">
        <v>-1</v>
      </c>
      <c r="AA59" s="1126"/>
      <c r="AB59" s="1126"/>
      <c r="AC59" s="1592"/>
      <c r="AD59" s="1592"/>
      <c r="AE59" s="1126"/>
      <c r="AF59" s="1126" t="s">
        <v>4415</v>
      </c>
      <c r="AG59" s="1126"/>
      <c r="AH59" s="1126"/>
      <c r="AI59" s="1592"/>
      <c r="AJ59" s="1592"/>
      <c r="AK59" s="1126"/>
      <c r="AL59" s="1126"/>
      <c r="AM59" s="1126"/>
      <c r="AN59" s="1126"/>
      <c r="AO59" s="1126" t="s">
        <v>4416</v>
      </c>
      <c r="AP59" s="1126"/>
      <c r="AQ59" s="1126"/>
      <c r="AR59" s="1126"/>
      <c r="AS59" s="1126"/>
      <c r="AT59" s="1126"/>
      <c r="AU59" s="1126"/>
      <c r="AV59" s="1126"/>
      <c r="AW59" s="1126"/>
      <c r="AX59" s="1126"/>
      <c r="AY59" s="1126"/>
      <c r="AZ59" s="1126"/>
      <c r="BA59" s="1126"/>
      <c r="BB59" s="1126"/>
      <c r="BC59" s="1126"/>
      <c r="BD59" s="1126"/>
      <c r="BE59" s="1126"/>
      <c r="BF59" s="1126"/>
      <c r="BG59" s="1126"/>
      <c r="BH59" s="1126"/>
      <c r="BI59" s="1126"/>
      <c r="BJ59" s="1126"/>
      <c r="BK59" s="1126"/>
      <c r="BL59" s="1126"/>
      <c r="BM59" s="1126"/>
      <c r="BN59" s="1126"/>
      <c r="BO59" s="1126"/>
      <c r="BP59" s="1190"/>
      <c r="BQ59" s="1190"/>
      <c r="BR59" s="1190"/>
      <c r="BS59" s="1190"/>
      <c r="BT59" s="1126"/>
      <c r="BU59" s="1126"/>
      <c r="BV59" s="1126"/>
      <c r="BW59" s="1126"/>
      <c r="BX59" s="1126"/>
      <c r="BY59" s="1126"/>
      <c r="BZ59" s="1126"/>
      <c r="CA59" s="1126"/>
      <c r="CB59" s="1126"/>
      <c r="CC59" s="1126"/>
      <c r="CD59" s="1126"/>
      <c r="CE59" s="1126"/>
      <c r="CF59" s="1126"/>
      <c r="CG59" s="1126"/>
      <c r="CH59" s="1126"/>
      <c r="CI59" s="1047" t="s">
        <v>4414</v>
      </c>
      <c r="CJ59" s="1016" t="s">
        <v>2011</v>
      </c>
      <c r="CK59" s="1125"/>
      <c r="CL59" s="1047" t="s">
        <v>4338</v>
      </c>
    </row>
    <row r="60" spans="2:90" ht="18" x14ac:dyDescent="0.25">
      <c r="B60" s="1048">
        <v>56</v>
      </c>
      <c r="C60" s="1129" t="s">
        <v>2127</v>
      </c>
      <c r="D60" s="1130" t="s">
        <v>2589</v>
      </c>
      <c r="E60" s="1131"/>
      <c r="F60" s="1131"/>
      <c r="G60" s="1131"/>
      <c r="H60" s="1131"/>
      <c r="I60" s="1602"/>
      <c r="J60" s="1602"/>
      <c r="K60" s="1131"/>
      <c r="L60" s="1131"/>
      <c r="M60" s="1131"/>
      <c r="N60" s="1131"/>
      <c r="O60" s="1131"/>
      <c r="P60" s="1131"/>
      <c r="Q60" s="1131"/>
      <c r="R60" s="1132"/>
      <c r="S60" s="1131"/>
      <c r="T60" s="1131"/>
      <c r="U60" s="1131"/>
      <c r="V60" s="1131"/>
      <c r="W60" s="1131"/>
      <c r="X60" s="1131"/>
      <c r="Y60" s="1131"/>
      <c r="Z60" s="1131"/>
      <c r="AA60" s="1131"/>
      <c r="AB60" s="1131"/>
      <c r="AC60" s="1602"/>
      <c r="AD60" s="1602"/>
      <c r="AE60" s="1131"/>
      <c r="AF60" s="1131"/>
      <c r="AG60" s="1131"/>
      <c r="AH60" s="1131"/>
      <c r="AI60" s="1602"/>
      <c r="AJ60" s="1602"/>
      <c r="AK60" s="1131"/>
      <c r="AL60" s="1131"/>
      <c r="AM60" s="1131"/>
      <c r="AN60" s="1131"/>
      <c r="AO60" s="1131"/>
      <c r="AP60" s="1131"/>
      <c r="AQ60" s="1131"/>
      <c r="AR60" s="1131"/>
      <c r="AS60" s="1131"/>
      <c r="AT60" s="1131"/>
      <c r="AU60" s="1131"/>
      <c r="AV60" s="1131"/>
      <c r="AW60" s="1133" t="s">
        <v>1352</v>
      </c>
      <c r="AX60" s="1133" t="s">
        <v>1353</v>
      </c>
      <c r="AY60" s="1131"/>
      <c r="AZ60" s="1133" t="s">
        <v>1356</v>
      </c>
      <c r="BA60" s="1131"/>
      <c r="BB60" s="1133" t="s">
        <v>1357</v>
      </c>
      <c r="BC60" s="1131"/>
      <c r="BD60" s="1133"/>
      <c r="BE60" s="1133"/>
      <c r="BF60" s="1131"/>
      <c r="BG60" s="1133"/>
      <c r="BH60" s="1131"/>
      <c r="BI60" s="1133"/>
      <c r="BJ60" s="1131"/>
      <c r="BK60" s="1131"/>
      <c r="BL60" s="1131"/>
      <c r="BM60" s="1131"/>
      <c r="BN60" s="1132"/>
      <c r="BO60" s="1131"/>
      <c r="BP60" s="1191"/>
      <c r="BQ60" s="1191"/>
      <c r="BR60" s="1191"/>
      <c r="BS60" s="1191"/>
      <c r="BT60" s="1131"/>
      <c r="BU60" s="1131"/>
      <c r="BV60" s="1131"/>
      <c r="BW60" s="1132"/>
      <c r="BX60" s="1132"/>
      <c r="BY60" s="1132"/>
      <c r="BZ60" s="1132"/>
      <c r="CA60" s="1132"/>
      <c r="CB60" s="1132"/>
      <c r="CC60" s="1132"/>
      <c r="CD60" s="1132"/>
      <c r="CE60" s="1132"/>
      <c r="CF60" s="1132"/>
      <c r="CG60" s="1132"/>
      <c r="CH60" s="1132"/>
      <c r="CI60" s="1049" t="s">
        <v>3091</v>
      </c>
      <c r="CJ60" s="1017" t="s">
        <v>2011</v>
      </c>
      <c r="CK60" s="1134"/>
      <c r="CL60" s="1075"/>
    </row>
    <row r="61" spans="2:90" ht="18" x14ac:dyDescent="0.25">
      <c r="B61" s="1048">
        <v>57</v>
      </c>
      <c r="C61" s="1129" t="s">
        <v>2128</v>
      </c>
      <c r="D61" s="1130" t="s">
        <v>2590</v>
      </c>
      <c r="E61" s="1131"/>
      <c r="F61" s="1131"/>
      <c r="G61" s="1131"/>
      <c r="H61" s="1131"/>
      <c r="I61" s="1602"/>
      <c r="J61" s="1602"/>
      <c r="K61" s="1131"/>
      <c r="L61" s="1131"/>
      <c r="M61" s="1131"/>
      <c r="N61" s="1131"/>
      <c r="O61" s="1131"/>
      <c r="P61" s="1131"/>
      <c r="Q61" s="1131"/>
      <c r="R61" s="1132"/>
      <c r="S61" s="1131"/>
      <c r="T61" s="1131"/>
      <c r="U61" s="1131"/>
      <c r="V61" s="1131"/>
      <c r="W61" s="1131"/>
      <c r="X61" s="1131"/>
      <c r="Y61" s="1131"/>
      <c r="Z61" s="1131"/>
      <c r="AA61" s="1131"/>
      <c r="AB61" s="1131"/>
      <c r="AC61" s="1602"/>
      <c r="AD61" s="1602"/>
      <c r="AE61" s="1131"/>
      <c r="AF61" s="1131"/>
      <c r="AG61" s="1131"/>
      <c r="AH61" s="1131"/>
      <c r="AI61" s="1602"/>
      <c r="AJ61" s="1602"/>
      <c r="AK61" s="1131"/>
      <c r="AL61" s="1131"/>
      <c r="AM61" s="1131"/>
      <c r="AN61" s="1131"/>
      <c r="AO61" s="1131"/>
      <c r="AP61" s="1131"/>
      <c r="AQ61" s="1131"/>
      <c r="AR61" s="1131"/>
      <c r="AS61" s="1131"/>
      <c r="AT61" s="1131"/>
      <c r="AU61" s="1131"/>
      <c r="AV61" s="1131"/>
      <c r="AW61" s="1131"/>
      <c r="AX61" s="1133" t="s">
        <v>1354</v>
      </c>
      <c r="AY61" s="1133" t="s">
        <v>1355</v>
      </c>
      <c r="AZ61" s="1133"/>
      <c r="BA61" s="1133" t="s">
        <v>1358</v>
      </c>
      <c r="BB61" s="1133"/>
      <c r="BC61" s="1133" t="s">
        <v>1359</v>
      </c>
      <c r="BD61" s="1131"/>
      <c r="BE61" s="1133"/>
      <c r="BF61" s="1133"/>
      <c r="BG61" s="1133"/>
      <c r="BH61" s="1133"/>
      <c r="BI61" s="1133"/>
      <c r="BJ61" s="1133"/>
      <c r="BK61" s="1131"/>
      <c r="BL61" s="1131"/>
      <c r="BM61" s="1131"/>
      <c r="BN61" s="1132"/>
      <c r="BO61" s="1131"/>
      <c r="BP61" s="1191"/>
      <c r="BQ61" s="1191"/>
      <c r="BR61" s="1191"/>
      <c r="BS61" s="1191"/>
      <c r="BT61" s="1131"/>
      <c r="BU61" s="1131"/>
      <c r="BV61" s="1131"/>
      <c r="BW61" s="1132"/>
      <c r="BX61" s="1132"/>
      <c r="BY61" s="1132"/>
      <c r="BZ61" s="1132"/>
      <c r="CA61" s="1132"/>
      <c r="CB61" s="1132"/>
      <c r="CC61" s="1132"/>
      <c r="CD61" s="1132"/>
      <c r="CE61" s="1132"/>
      <c r="CF61" s="1132"/>
      <c r="CG61" s="1132"/>
      <c r="CH61" s="1132"/>
      <c r="CI61" s="1049" t="s">
        <v>3092</v>
      </c>
      <c r="CJ61" s="1017" t="s">
        <v>2011</v>
      </c>
      <c r="CK61" s="1134"/>
      <c r="CL61" s="1075"/>
    </row>
    <row r="62" spans="2:90" ht="18" x14ac:dyDescent="0.25">
      <c r="B62" s="1048">
        <v>58</v>
      </c>
      <c r="C62" s="1129" t="s">
        <v>2156</v>
      </c>
      <c r="D62" s="1130" t="s">
        <v>2591</v>
      </c>
      <c r="E62" s="1131"/>
      <c r="F62" s="1131"/>
      <c r="G62" s="1131"/>
      <c r="H62" s="1131"/>
      <c r="I62" s="1602"/>
      <c r="J62" s="1602"/>
      <c r="K62" s="1131"/>
      <c r="L62" s="1131"/>
      <c r="M62" s="1131"/>
      <c r="N62" s="1131"/>
      <c r="O62" s="1131"/>
      <c r="P62" s="1131"/>
      <c r="Q62" s="1131"/>
      <c r="R62" s="1132"/>
      <c r="S62" s="1131"/>
      <c r="T62" s="1131"/>
      <c r="U62" s="1131"/>
      <c r="V62" s="1131"/>
      <c r="W62" s="1131"/>
      <c r="X62" s="1131"/>
      <c r="Y62" s="1131"/>
      <c r="Z62" s="1131"/>
      <c r="AA62" s="1131"/>
      <c r="AB62" s="1131"/>
      <c r="AC62" s="1602"/>
      <c r="AD62" s="1602"/>
      <c r="AE62" s="1131"/>
      <c r="AF62" s="1131">
        <v>-1</v>
      </c>
      <c r="AG62" s="1131"/>
      <c r="AH62" s="1131"/>
      <c r="AI62" s="1602"/>
      <c r="AJ62" s="1602"/>
      <c r="AK62" s="1131"/>
      <c r="AL62" s="1131"/>
      <c r="AM62" s="1131"/>
      <c r="AN62" s="1131"/>
      <c r="AO62" s="1131"/>
      <c r="AP62" s="1131"/>
      <c r="AQ62" s="1131"/>
      <c r="AR62" s="1131"/>
      <c r="AS62" s="1131"/>
      <c r="AT62" s="1131"/>
      <c r="AU62" s="1131"/>
      <c r="AV62" s="1131"/>
      <c r="AW62" s="1132" t="s">
        <v>3508</v>
      </c>
      <c r="AX62" s="1131"/>
      <c r="AY62" s="1131"/>
      <c r="AZ62" s="1132" t="s">
        <v>3510</v>
      </c>
      <c r="BA62" s="1131"/>
      <c r="BB62" s="1132"/>
      <c r="BC62" s="1132"/>
      <c r="BD62" s="1132"/>
      <c r="BE62" s="1131"/>
      <c r="BF62" s="1131"/>
      <c r="BG62" s="1132"/>
      <c r="BH62" s="1131"/>
      <c r="BI62" s="1132"/>
      <c r="BJ62" s="1132"/>
      <c r="BK62" s="1131"/>
      <c r="BL62" s="1131"/>
      <c r="BM62" s="1131"/>
      <c r="BN62" s="1132"/>
      <c r="BO62" s="1131"/>
      <c r="BP62" s="1191"/>
      <c r="BQ62" s="1191"/>
      <c r="BR62" s="1191"/>
      <c r="BS62" s="1191"/>
      <c r="BT62" s="1131"/>
      <c r="BU62" s="1131"/>
      <c r="BV62" s="1131"/>
      <c r="BW62" s="1132"/>
      <c r="BX62" s="1132"/>
      <c r="BY62" s="1132"/>
      <c r="BZ62" s="1132"/>
      <c r="CA62" s="1132"/>
      <c r="CB62" s="1132"/>
      <c r="CC62" s="1132"/>
      <c r="CD62" s="1132"/>
      <c r="CE62" s="1132"/>
      <c r="CF62" s="1132"/>
      <c r="CG62" s="1132"/>
      <c r="CH62" s="1132"/>
      <c r="CI62" s="1049" t="s">
        <v>3517</v>
      </c>
      <c r="CJ62" s="1017" t="s">
        <v>2011</v>
      </c>
      <c r="CK62" s="1134"/>
      <c r="CL62" s="1075"/>
    </row>
    <row r="63" spans="2:90" ht="18" x14ac:dyDescent="0.25">
      <c r="B63" s="1048">
        <v>59</v>
      </c>
      <c r="C63" s="1129" t="s">
        <v>2180</v>
      </c>
      <c r="D63" s="1130" t="s">
        <v>2592</v>
      </c>
      <c r="E63" s="1131"/>
      <c r="F63" s="1131"/>
      <c r="G63" s="1131"/>
      <c r="H63" s="1131"/>
      <c r="I63" s="1602"/>
      <c r="J63" s="1602"/>
      <c r="K63" s="1131"/>
      <c r="L63" s="1131"/>
      <c r="M63" s="1131"/>
      <c r="N63" s="1131"/>
      <c r="O63" s="1131"/>
      <c r="P63" s="1131"/>
      <c r="Q63" s="1131"/>
      <c r="R63" s="1132"/>
      <c r="S63" s="1131"/>
      <c r="T63" s="1131"/>
      <c r="U63" s="1131"/>
      <c r="V63" s="1131"/>
      <c r="W63" s="1131"/>
      <c r="X63" s="1131"/>
      <c r="Y63" s="1131"/>
      <c r="Z63" s="1131"/>
      <c r="AA63" s="1131"/>
      <c r="AB63" s="1131"/>
      <c r="AC63" s="1602"/>
      <c r="AD63" s="1602"/>
      <c r="AE63" s="1131"/>
      <c r="AF63" s="1131">
        <v>-1</v>
      </c>
      <c r="AG63" s="1131"/>
      <c r="AH63" s="1131"/>
      <c r="AI63" s="1602"/>
      <c r="AJ63" s="1602"/>
      <c r="AK63" s="1131"/>
      <c r="AL63" s="1131"/>
      <c r="AM63" s="1131"/>
      <c r="AN63" s="1131"/>
      <c r="AO63" s="1131"/>
      <c r="AP63" s="1131"/>
      <c r="AQ63" s="1131"/>
      <c r="AR63" s="1131"/>
      <c r="AS63" s="1131"/>
      <c r="AT63" s="1131"/>
      <c r="AU63" s="1131"/>
      <c r="AV63" s="1131"/>
      <c r="AW63" s="1131"/>
      <c r="AX63" s="1132" t="s">
        <v>3509</v>
      </c>
      <c r="AY63" s="1131"/>
      <c r="AZ63" s="1131"/>
      <c r="BA63" s="1132" t="s">
        <v>3511</v>
      </c>
      <c r="BB63" s="1131"/>
      <c r="BC63" s="1131"/>
      <c r="BD63" s="1131"/>
      <c r="BE63" s="1132"/>
      <c r="BF63" s="1131"/>
      <c r="BG63" s="1131"/>
      <c r="BH63" s="1132"/>
      <c r="BI63" s="1131"/>
      <c r="BJ63" s="1131"/>
      <c r="BK63" s="1131"/>
      <c r="BL63" s="1131"/>
      <c r="BM63" s="1131"/>
      <c r="BN63" s="1132"/>
      <c r="BO63" s="1131"/>
      <c r="BP63" s="1191"/>
      <c r="BQ63" s="1191"/>
      <c r="BR63" s="1191"/>
      <c r="BS63" s="1191"/>
      <c r="BT63" s="1131"/>
      <c r="BU63" s="1131"/>
      <c r="BV63" s="1131"/>
      <c r="BW63" s="1132"/>
      <c r="BX63" s="1132"/>
      <c r="BY63" s="1132"/>
      <c r="BZ63" s="1132"/>
      <c r="CA63" s="1132"/>
      <c r="CB63" s="1132"/>
      <c r="CC63" s="1132"/>
      <c r="CD63" s="1132"/>
      <c r="CE63" s="1132"/>
      <c r="CF63" s="1132"/>
      <c r="CG63" s="1132"/>
      <c r="CH63" s="1132"/>
      <c r="CI63" s="1049" t="s">
        <v>3516</v>
      </c>
      <c r="CJ63" s="1017" t="s">
        <v>2011</v>
      </c>
      <c r="CK63" s="1134"/>
      <c r="CL63" s="1075"/>
    </row>
    <row r="64" spans="2:90" ht="18" x14ac:dyDescent="0.25">
      <c r="B64" s="1048">
        <v>60</v>
      </c>
      <c r="C64" s="1129" t="s">
        <v>2185</v>
      </c>
      <c r="D64" s="1130" t="s">
        <v>3082</v>
      </c>
      <c r="E64" s="1131"/>
      <c r="F64" s="1131"/>
      <c r="G64" s="1131"/>
      <c r="H64" s="1131"/>
      <c r="I64" s="1602"/>
      <c r="J64" s="1602"/>
      <c r="K64" s="1131"/>
      <c r="L64" s="1131"/>
      <c r="M64" s="1131"/>
      <c r="N64" s="1131"/>
      <c r="O64" s="1131"/>
      <c r="P64" s="1131"/>
      <c r="Q64" s="1131"/>
      <c r="R64" s="1132"/>
      <c r="S64" s="1131"/>
      <c r="T64" s="1131"/>
      <c r="U64" s="1131"/>
      <c r="V64" s="1131"/>
      <c r="W64" s="1131"/>
      <c r="X64" s="1131"/>
      <c r="Y64" s="1131"/>
      <c r="Z64" s="1131"/>
      <c r="AA64" s="1131"/>
      <c r="AB64" s="1131"/>
      <c r="AC64" s="1602"/>
      <c r="AD64" s="1602"/>
      <c r="AE64" s="1131"/>
      <c r="AF64" s="1132" t="s">
        <v>3506</v>
      </c>
      <c r="AG64" s="1131"/>
      <c r="AH64" s="1131"/>
      <c r="AI64" s="1602"/>
      <c r="AJ64" s="1602"/>
      <c r="AK64" s="1131"/>
      <c r="AL64" s="1131"/>
      <c r="AM64" s="1131"/>
      <c r="AN64" s="1131"/>
      <c r="AO64" s="1131"/>
      <c r="AP64" s="1131"/>
      <c r="AQ64" s="1131"/>
      <c r="AR64" s="1131"/>
      <c r="AS64" s="1131"/>
      <c r="AT64" s="1131"/>
      <c r="AU64" s="1131"/>
      <c r="AV64" s="1132"/>
      <c r="AW64" s="1131">
        <v>1</v>
      </c>
      <c r="AX64" s="1131"/>
      <c r="AY64" s="1132"/>
      <c r="AZ64" s="1132">
        <v>-1</v>
      </c>
      <c r="BA64" s="1131"/>
      <c r="BB64" s="1132"/>
      <c r="BC64" s="1132"/>
      <c r="BD64" s="1131"/>
      <c r="BE64" s="1131"/>
      <c r="BF64" s="1132"/>
      <c r="BG64" s="1132"/>
      <c r="BH64" s="1131"/>
      <c r="BI64" s="1132"/>
      <c r="BJ64" s="1132"/>
      <c r="BK64" s="1132"/>
      <c r="BL64" s="1132"/>
      <c r="BM64" s="1132"/>
      <c r="BN64" s="1132"/>
      <c r="BO64" s="1132"/>
      <c r="BP64" s="1192"/>
      <c r="BQ64" s="1192"/>
      <c r="BR64" s="1192"/>
      <c r="BS64" s="1192"/>
      <c r="BT64" s="1132"/>
      <c r="BU64" s="1132"/>
      <c r="BV64" s="1132"/>
      <c r="BW64" s="1132"/>
      <c r="BX64" s="1132"/>
      <c r="BY64" s="1132"/>
      <c r="BZ64" s="1132"/>
      <c r="CA64" s="1132"/>
      <c r="CB64" s="1132"/>
      <c r="CC64" s="1132"/>
      <c r="CD64" s="1132"/>
      <c r="CE64" s="1132"/>
      <c r="CF64" s="1132"/>
      <c r="CG64" s="1132"/>
      <c r="CH64" s="1132"/>
      <c r="CI64" s="1049" t="s">
        <v>3472</v>
      </c>
      <c r="CJ64" s="1017" t="s">
        <v>2011</v>
      </c>
      <c r="CK64" s="1134"/>
      <c r="CL64" s="1075"/>
    </row>
    <row r="65" spans="2:90" ht="18" x14ac:dyDescent="0.25">
      <c r="B65" s="1048">
        <v>61</v>
      </c>
      <c r="C65" s="1129" t="s">
        <v>2186</v>
      </c>
      <c r="D65" s="1130" t="s">
        <v>3083</v>
      </c>
      <c r="E65" s="1131"/>
      <c r="F65" s="1131"/>
      <c r="G65" s="1131"/>
      <c r="H65" s="1131"/>
      <c r="I65" s="1602"/>
      <c r="J65" s="1602"/>
      <c r="K65" s="1131"/>
      <c r="L65" s="1131"/>
      <c r="M65" s="1131"/>
      <c r="N65" s="1131"/>
      <c r="O65" s="1131"/>
      <c r="P65" s="1131"/>
      <c r="Q65" s="1131"/>
      <c r="R65" s="1132"/>
      <c r="S65" s="1131"/>
      <c r="T65" s="1131"/>
      <c r="U65" s="1131"/>
      <c r="V65" s="1131"/>
      <c r="W65" s="1131"/>
      <c r="X65" s="1131"/>
      <c r="Y65" s="1131"/>
      <c r="Z65" s="1131"/>
      <c r="AA65" s="1131"/>
      <c r="AB65" s="1131"/>
      <c r="AC65" s="1602"/>
      <c r="AD65" s="1602"/>
      <c r="AE65" s="1131"/>
      <c r="AF65" s="1132" t="s">
        <v>3507</v>
      </c>
      <c r="AG65" s="1131"/>
      <c r="AH65" s="1131"/>
      <c r="AI65" s="1602"/>
      <c r="AJ65" s="1602"/>
      <c r="AK65" s="1131"/>
      <c r="AL65" s="1131"/>
      <c r="AM65" s="1131"/>
      <c r="AN65" s="1131"/>
      <c r="AO65" s="1131"/>
      <c r="AP65" s="1131"/>
      <c r="AQ65" s="1131"/>
      <c r="AR65" s="1131"/>
      <c r="AS65" s="1131"/>
      <c r="AT65" s="1131"/>
      <c r="AU65" s="1131"/>
      <c r="AV65" s="1132"/>
      <c r="AW65" s="1131"/>
      <c r="AX65" s="1131">
        <v>1</v>
      </c>
      <c r="AY65" s="1132"/>
      <c r="AZ65" s="1132"/>
      <c r="BA65" s="1131">
        <v>-1</v>
      </c>
      <c r="BB65" s="1132"/>
      <c r="BC65" s="1132"/>
      <c r="BD65" s="1131"/>
      <c r="BE65" s="1131"/>
      <c r="BF65" s="1132"/>
      <c r="BG65" s="1132"/>
      <c r="BH65" s="1131"/>
      <c r="BI65" s="1132"/>
      <c r="BJ65" s="1132"/>
      <c r="BK65" s="1132"/>
      <c r="BL65" s="1132"/>
      <c r="BM65" s="1132"/>
      <c r="BN65" s="1132"/>
      <c r="BO65" s="1132"/>
      <c r="BP65" s="1192"/>
      <c r="BQ65" s="1192"/>
      <c r="BR65" s="1192"/>
      <c r="BS65" s="1192"/>
      <c r="BT65" s="1132"/>
      <c r="BU65" s="1132"/>
      <c r="BV65" s="1132"/>
      <c r="BW65" s="1132"/>
      <c r="BX65" s="1132"/>
      <c r="BY65" s="1132"/>
      <c r="BZ65" s="1132"/>
      <c r="CA65" s="1132"/>
      <c r="CB65" s="1132"/>
      <c r="CC65" s="1132"/>
      <c r="CD65" s="1132"/>
      <c r="CE65" s="1132"/>
      <c r="CF65" s="1132"/>
      <c r="CG65" s="1132"/>
      <c r="CH65" s="1132"/>
      <c r="CI65" s="1049" t="s">
        <v>3524</v>
      </c>
      <c r="CJ65" s="1017" t="s">
        <v>2011</v>
      </c>
      <c r="CK65" s="1134"/>
      <c r="CL65" s="1075"/>
    </row>
    <row r="66" spans="2:90" ht="18" x14ac:dyDescent="0.25">
      <c r="B66" s="1048">
        <v>62</v>
      </c>
      <c r="C66" s="1129" t="s">
        <v>2674</v>
      </c>
      <c r="D66" s="1130" t="s">
        <v>3078</v>
      </c>
      <c r="E66" s="1131"/>
      <c r="F66" s="1131"/>
      <c r="G66" s="1131"/>
      <c r="H66" s="1131"/>
      <c r="I66" s="1602"/>
      <c r="J66" s="1602"/>
      <c r="K66" s="1131"/>
      <c r="L66" s="1131"/>
      <c r="M66" s="1131"/>
      <c r="N66" s="1131"/>
      <c r="O66" s="1131"/>
      <c r="P66" s="1131"/>
      <c r="Q66" s="1131"/>
      <c r="R66" s="1132"/>
      <c r="S66" s="1131"/>
      <c r="T66" s="1131"/>
      <c r="U66" s="1131"/>
      <c r="V66" s="1131"/>
      <c r="W66" s="1131"/>
      <c r="X66" s="1131"/>
      <c r="Y66" s="1131"/>
      <c r="Z66" s="1131"/>
      <c r="AA66" s="1131"/>
      <c r="AB66" s="1131"/>
      <c r="AC66" s="1602"/>
      <c r="AD66" s="1602"/>
      <c r="AE66" s="1131"/>
      <c r="AF66" s="1132" t="s">
        <v>3514</v>
      </c>
      <c r="AG66" s="1131"/>
      <c r="AH66" s="1131"/>
      <c r="AI66" s="1602"/>
      <c r="AJ66" s="1602"/>
      <c r="AK66" s="1131"/>
      <c r="AL66" s="1131"/>
      <c r="AM66" s="1131"/>
      <c r="AN66" s="1131"/>
      <c r="AO66" s="1131"/>
      <c r="AP66" s="1131"/>
      <c r="AQ66" s="1131"/>
      <c r="AR66" s="1131"/>
      <c r="AS66" s="1131"/>
      <c r="AT66" s="1131"/>
      <c r="AU66" s="1131"/>
      <c r="AV66" s="1132"/>
      <c r="AW66" s="1131"/>
      <c r="AX66" s="1131"/>
      <c r="AY66" s="1132">
        <v>1</v>
      </c>
      <c r="AZ66" s="1132"/>
      <c r="BA66" s="1131"/>
      <c r="BB66" s="1133" t="s">
        <v>3079</v>
      </c>
      <c r="BC66" s="1133" t="s">
        <v>3080</v>
      </c>
      <c r="BD66" s="1131"/>
      <c r="BE66" s="1131"/>
      <c r="BF66" s="1132"/>
      <c r="BG66" s="1132"/>
      <c r="BH66" s="1131"/>
      <c r="BI66" s="1133"/>
      <c r="BJ66" s="1133"/>
      <c r="BK66" s="1132"/>
      <c r="BL66" s="1132"/>
      <c r="BM66" s="1132"/>
      <c r="BN66" s="1132"/>
      <c r="BO66" s="1132"/>
      <c r="BP66" s="1192"/>
      <c r="BQ66" s="1192"/>
      <c r="BR66" s="1192"/>
      <c r="BS66" s="1192"/>
      <c r="BT66" s="1132"/>
      <c r="BU66" s="1132"/>
      <c r="BV66" s="1132"/>
      <c r="BW66" s="1132"/>
      <c r="BX66" s="1132"/>
      <c r="BY66" s="1132"/>
      <c r="BZ66" s="1132"/>
      <c r="CA66" s="1132"/>
      <c r="CB66" s="1132"/>
      <c r="CC66" s="1132"/>
      <c r="CD66" s="1132"/>
      <c r="CE66" s="1132"/>
      <c r="CF66" s="1132"/>
      <c r="CG66" s="1132"/>
      <c r="CH66" s="1132"/>
      <c r="CI66" s="1049" t="s">
        <v>3473</v>
      </c>
      <c r="CJ66" s="1017" t="s">
        <v>2011</v>
      </c>
      <c r="CK66" s="1134"/>
      <c r="CL66" s="1075"/>
    </row>
    <row r="67" spans="2:90" ht="18" x14ac:dyDescent="0.25">
      <c r="B67" s="1050">
        <v>63</v>
      </c>
      <c r="C67" s="1135" t="s">
        <v>2675</v>
      </c>
      <c r="D67" s="1136" t="s">
        <v>1681</v>
      </c>
      <c r="E67" s="1137" t="s">
        <v>1873</v>
      </c>
      <c r="F67" s="1137" t="s">
        <v>1872</v>
      </c>
      <c r="G67" s="1138"/>
      <c r="H67" s="1138"/>
      <c r="I67" s="1603"/>
      <c r="J67" s="1603"/>
      <c r="K67" s="1138"/>
      <c r="L67" s="1138"/>
      <c r="M67" s="1138"/>
      <c r="N67" s="1138"/>
      <c r="O67" s="1138"/>
      <c r="P67" s="1138"/>
      <c r="Q67" s="1138"/>
      <c r="R67" s="1137"/>
      <c r="S67" s="1138"/>
      <c r="T67" s="1138"/>
      <c r="U67" s="1138"/>
      <c r="V67" s="1138"/>
      <c r="W67" s="1138"/>
      <c r="X67" s="1138"/>
      <c r="Y67" s="1138"/>
      <c r="Z67" s="1138"/>
      <c r="AA67" s="1138"/>
      <c r="AB67" s="1138"/>
      <c r="AC67" s="1603"/>
      <c r="AD67" s="1603"/>
      <c r="AE67" s="1138"/>
      <c r="AF67" s="1139" t="s">
        <v>3585</v>
      </c>
      <c r="AG67" s="1138"/>
      <c r="AH67" s="1138"/>
      <c r="AI67" s="1603"/>
      <c r="AJ67" s="1603"/>
      <c r="AK67" s="1138"/>
      <c r="AL67" s="1138"/>
      <c r="AM67" s="1138"/>
      <c r="AN67" s="1138"/>
      <c r="AO67" s="1137" t="s">
        <v>1975</v>
      </c>
      <c r="AP67" s="1138"/>
      <c r="AQ67" s="1138"/>
      <c r="AR67" s="1138"/>
      <c r="AS67" s="1138"/>
      <c r="AT67" s="1138"/>
      <c r="AU67" s="1138"/>
      <c r="AV67" s="1137">
        <v>1</v>
      </c>
      <c r="AW67" s="1139" t="s">
        <v>3578</v>
      </c>
      <c r="AX67" s="1139" t="s">
        <v>3579</v>
      </c>
      <c r="AY67" s="1139" t="s">
        <v>3580</v>
      </c>
      <c r="AZ67" s="1139" t="s">
        <v>3581</v>
      </c>
      <c r="BA67" s="1139" t="s">
        <v>3582</v>
      </c>
      <c r="BB67" s="1139" t="s">
        <v>3583</v>
      </c>
      <c r="BC67" s="1139" t="s">
        <v>3584</v>
      </c>
      <c r="BD67" s="1139"/>
      <c r="BE67" s="1139"/>
      <c r="BF67" s="1139"/>
      <c r="BG67" s="1139"/>
      <c r="BH67" s="1139"/>
      <c r="BI67" s="1139"/>
      <c r="BJ67" s="1139"/>
      <c r="BK67" s="1137"/>
      <c r="BL67" s="1137"/>
      <c r="BM67" s="1137"/>
      <c r="BN67" s="1137"/>
      <c r="BO67" s="1137"/>
      <c r="BP67" s="1193"/>
      <c r="BQ67" s="1193"/>
      <c r="BR67" s="1193"/>
      <c r="BS67" s="1193"/>
      <c r="BT67" s="1137"/>
      <c r="BU67" s="1137"/>
      <c r="BV67" s="1137"/>
      <c r="BW67" s="1137"/>
      <c r="BX67" s="1137"/>
      <c r="BY67" s="1137"/>
      <c r="BZ67" s="1137"/>
      <c r="CA67" s="1137"/>
      <c r="CB67" s="1137"/>
      <c r="CC67" s="1137"/>
      <c r="CD67" s="1137"/>
      <c r="CE67" s="1137"/>
      <c r="CF67" s="1137"/>
      <c r="CG67" s="1137"/>
      <c r="CH67" s="1137"/>
      <c r="CI67" s="1051" t="s">
        <v>3577</v>
      </c>
      <c r="CJ67" s="1018" t="s">
        <v>2011</v>
      </c>
      <c r="CK67" s="1136"/>
      <c r="CL67" s="1076"/>
    </row>
    <row r="68" spans="2:90" ht="18" x14ac:dyDescent="0.25">
      <c r="B68" s="1052">
        <v>64</v>
      </c>
      <c r="C68" s="1140" t="s">
        <v>2676</v>
      </c>
      <c r="D68" s="1141" t="s">
        <v>1682</v>
      </c>
      <c r="E68" s="1138"/>
      <c r="F68" s="1138"/>
      <c r="G68" s="1138"/>
      <c r="H68" s="1138"/>
      <c r="I68" s="1603"/>
      <c r="J68" s="1603"/>
      <c r="K68" s="1138"/>
      <c r="L68" s="1138"/>
      <c r="M68" s="1138"/>
      <c r="N68" s="1138"/>
      <c r="O68" s="1138"/>
      <c r="P68" s="1138"/>
      <c r="Q68" s="1138"/>
      <c r="R68" s="1137"/>
      <c r="S68" s="1138"/>
      <c r="T68" s="1138"/>
      <c r="U68" s="1138"/>
      <c r="V68" s="1138"/>
      <c r="W68" s="1138"/>
      <c r="X68" s="1138"/>
      <c r="Y68" s="1138"/>
      <c r="Z68" s="1138"/>
      <c r="AA68" s="1138"/>
      <c r="AB68" s="1138"/>
      <c r="AC68" s="1603"/>
      <c r="AD68" s="1603"/>
      <c r="AE68" s="1138"/>
      <c r="AF68" s="1137"/>
      <c r="AG68" s="1138"/>
      <c r="AH68" s="1138"/>
      <c r="AI68" s="1603"/>
      <c r="AJ68" s="1603"/>
      <c r="AK68" s="1138"/>
      <c r="AL68" s="1137" t="s">
        <v>1683</v>
      </c>
      <c r="AM68" s="1138"/>
      <c r="AN68" s="1138"/>
      <c r="AO68" s="1137"/>
      <c r="AP68" s="1138"/>
      <c r="AQ68" s="1138"/>
      <c r="AR68" s="1138"/>
      <c r="AS68" s="1138"/>
      <c r="AT68" s="1138"/>
      <c r="AU68" s="1138"/>
      <c r="AV68" s="1137" t="s">
        <v>1145</v>
      </c>
      <c r="AW68" s="1138">
        <v>1</v>
      </c>
      <c r="AX68" s="1138"/>
      <c r="AY68" s="1138"/>
      <c r="AZ68" s="1137"/>
      <c r="BA68" s="1138"/>
      <c r="BB68" s="1137"/>
      <c r="BC68" s="1137"/>
      <c r="BD68" s="1138"/>
      <c r="BE68" s="1138"/>
      <c r="BF68" s="1138"/>
      <c r="BG68" s="1137"/>
      <c r="BH68" s="1138"/>
      <c r="BI68" s="1137"/>
      <c r="BJ68" s="1137"/>
      <c r="BK68" s="1137"/>
      <c r="BL68" s="1137"/>
      <c r="BM68" s="1137"/>
      <c r="BN68" s="1137"/>
      <c r="BO68" s="1137"/>
      <c r="BP68" s="1193"/>
      <c r="BQ68" s="1193"/>
      <c r="BR68" s="1193"/>
      <c r="BS68" s="1193"/>
      <c r="BT68" s="1137"/>
      <c r="BU68" s="1137"/>
      <c r="BV68" s="1137"/>
      <c r="BW68" s="1137"/>
      <c r="BX68" s="1137"/>
      <c r="BY68" s="1137"/>
      <c r="BZ68" s="1137"/>
      <c r="CA68" s="1137"/>
      <c r="CB68" s="1137"/>
      <c r="CC68" s="1137"/>
      <c r="CD68" s="1137"/>
      <c r="CE68" s="1137"/>
      <c r="CF68" s="1137"/>
      <c r="CG68" s="1137"/>
      <c r="CH68" s="1137"/>
      <c r="CI68" s="1051" t="s">
        <v>3093</v>
      </c>
      <c r="CJ68" s="1018" t="s">
        <v>2011</v>
      </c>
      <c r="CK68" s="1136"/>
      <c r="CL68" s="1076"/>
    </row>
    <row r="69" spans="2:90" ht="18" x14ac:dyDescent="0.25">
      <c r="B69" s="1053">
        <v>65</v>
      </c>
      <c r="C69" s="1142" t="s">
        <v>2677</v>
      </c>
      <c r="D69" s="1143" t="s">
        <v>3411</v>
      </c>
      <c r="E69" s="1126"/>
      <c r="F69" s="1126"/>
      <c r="G69" s="1126"/>
      <c r="H69" s="1126"/>
      <c r="I69" s="1592"/>
      <c r="J69" s="1592"/>
      <c r="K69" s="1126"/>
      <c r="L69" s="1126"/>
      <c r="M69" s="1126"/>
      <c r="N69" s="1126"/>
      <c r="O69" s="1126"/>
      <c r="P69" s="1126"/>
      <c r="Q69" s="1126"/>
      <c r="R69" s="1127"/>
      <c r="S69" s="1126"/>
      <c r="T69" s="1126"/>
      <c r="U69" s="1126"/>
      <c r="V69" s="1126"/>
      <c r="W69" s="1126"/>
      <c r="X69" s="1126"/>
      <c r="Y69" s="1126"/>
      <c r="Z69" s="1126"/>
      <c r="AA69" s="1126"/>
      <c r="AB69" s="1126"/>
      <c r="AC69" s="1592"/>
      <c r="AD69" s="1592"/>
      <c r="AE69" s="1126"/>
      <c r="AF69" s="1144"/>
      <c r="AG69" s="1126"/>
      <c r="AH69" s="1126"/>
      <c r="AI69" s="1592"/>
      <c r="AJ69" s="1592"/>
      <c r="AK69" s="1126"/>
      <c r="AL69" s="1127"/>
      <c r="AM69" s="1126"/>
      <c r="AN69" s="1126"/>
      <c r="AO69" s="1127"/>
      <c r="AP69" s="1126"/>
      <c r="AQ69" s="1126"/>
      <c r="AR69" s="1126"/>
      <c r="AS69" s="1126"/>
      <c r="AT69" s="1126"/>
      <c r="AU69" s="1126"/>
      <c r="AV69" s="1127"/>
      <c r="AW69" s="1126"/>
      <c r="AX69" s="1126"/>
      <c r="AY69" s="1126"/>
      <c r="AZ69" s="1127"/>
      <c r="BA69" s="1126"/>
      <c r="BB69" s="1127"/>
      <c r="BC69" s="1127"/>
      <c r="BD69" s="1145" t="s">
        <v>3392</v>
      </c>
      <c r="BE69" s="1145" t="s">
        <v>3393</v>
      </c>
      <c r="BF69" s="1126"/>
      <c r="BG69" s="1145" t="s">
        <v>3394</v>
      </c>
      <c r="BH69" s="1126"/>
      <c r="BI69" s="1145" t="s">
        <v>3395</v>
      </c>
      <c r="BJ69" s="1126"/>
      <c r="BK69" s="1127"/>
      <c r="BL69" s="1127"/>
      <c r="BM69" s="1127"/>
      <c r="BN69" s="1127"/>
      <c r="BO69" s="1127"/>
      <c r="BP69" s="1194"/>
      <c r="BQ69" s="1194"/>
      <c r="BR69" s="1194"/>
      <c r="BS69" s="1194"/>
      <c r="BT69" s="1127"/>
      <c r="BU69" s="1127"/>
      <c r="BV69" s="1127"/>
      <c r="BW69" s="1127"/>
      <c r="BX69" s="1127"/>
      <c r="BY69" s="1127"/>
      <c r="BZ69" s="1127"/>
      <c r="CA69" s="1127"/>
      <c r="CB69" s="1127"/>
      <c r="CC69" s="1127"/>
      <c r="CD69" s="1127"/>
      <c r="CE69" s="1127"/>
      <c r="CF69" s="1127"/>
      <c r="CG69" s="1127"/>
      <c r="CH69" s="1127"/>
      <c r="CI69" s="1054" t="s">
        <v>3406</v>
      </c>
      <c r="CJ69" s="1019" t="s">
        <v>2011</v>
      </c>
      <c r="CK69" s="1143"/>
      <c r="CL69" s="1047"/>
    </row>
    <row r="70" spans="2:90" ht="18" x14ac:dyDescent="0.25">
      <c r="B70" s="1053">
        <v>66</v>
      </c>
      <c r="C70" s="1142" t="s">
        <v>2678</v>
      </c>
      <c r="D70" s="1143" t="s">
        <v>3412</v>
      </c>
      <c r="E70" s="1126"/>
      <c r="F70" s="1126"/>
      <c r="G70" s="1126"/>
      <c r="H70" s="1126"/>
      <c r="I70" s="1592"/>
      <c r="J70" s="1592"/>
      <c r="K70" s="1126"/>
      <c r="L70" s="1126"/>
      <c r="M70" s="1126"/>
      <c r="N70" s="1126"/>
      <c r="O70" s="1126"/>
      <c r="P70" s="1126"/>
      <c r="Q70" s="1126"/>
      <c r="R70" s="1127"/>
      <c r="S70" s="1126"/>
      <c r="T70" s="1126"/>
      <c r="U70" s="1126"/>
      <c r="V70" s="1126"/>
      <c r="W70" s="1126"/>
      <c r="X70" s="1126"/>
      <c r="Y70" s="1126"/>
      <c r="Z70" s="1126"/>
      <c r="AA70" s="1126"/>
      <c r="AB70" s="1126"/>
      <c r="AC70" s="1592"/>
      <c r="AD70" s="1592"/>
      <c r="AE70" s="1126"/>
      <c r="AF70" s="1144"/>
      <c r="AG70" s="1126"/>
      <c r="AH70" s="1126"/>
      <c r="AI70" s="1592"/>
      <c r="AJ70" s="1592"/>
      <c r="AK70" s="1126"/>
      <c r="AL70" s="1127"/>
      <c r="AM70" s="1126"/>
      <c r="AN70" s="1126"/>
      <c r="AO70" s="1127"/>
      <c r="AP70" s="1126"/>
      <c r="AQ70" s="1126"/>
      <c r="AR70" s="1126"/>
      <c r="AS70" s="1126"/>
      <c r="AT70" s="1126"/>
      <c r="AU70" s="1126"/>
      <c r="AV70" s="1127"/>
      <c r="AW70" s="1126"/>
      <c r="AX70" s="1126"/>
      <c r="AY70" s="1126"/>
      <c r="AZ70" s="1127"/>
      <c r="BA70" s="1126"/>
      <c r="BB70" s="1127"/>
      <c r="BC70" s="1127"/>
      <c r="BD70" s="1126"/>
      <c r="BE70" s="1145" t="s">
        <v>3396</v>
      </c>
      <c r="BF70" s="1145" t="s">
        <v>3397</v>
      </c>
      <c r="BG70" s="1145"/>
      <c r="BH70" s="1145" t="s">
        <v>3398</v>
      </c>
      <c r="BI70" s="1145"/>
      <c r="BJ70" s="1145" t="s">
        <v>3399</v>
      </c>
      <c r="BK70" s="1127"/>
      <c r="BL70" s="1127"/>
      <c r="BM70" s="1127"/>
      <c r="BN70" s="1127"/>
      <c r="BO70" s="1127"/>
      <c r="BP70" s="1194"/>
      <c r="BQ70" s="1194"/>
      <c r="BR70" s="1194"/>
      <c r="BS70" s="1194"/>
      <c r="BT70" s="1127"/>
      <c r="BU70" s="1127"/>
      <c r="BV70" s="1127"/>
      <c r="BW70" s="1127"/>
      <c r="BX70" s="1127"/>
      <c r="BY70" s="1127"/>
      <c r="BZ70" s="1127"/>
      <c r="CA70" s="1127"/>
      <c r="CB70" s="1127"/>
      <c r="CC70" s="1127"/>
      <c r="CD70" s="1127"/>
      <c r="CE70" s="1127"/>
      <c r="CF70" s="1127"/>
      <c r="CG70" s="1127"/>
      <c r="CH70" s="1127"/>
      <c r="CI70" s="1054" t="s">
        <v>3407</v>
      </c>
      <c r="CJ70" s="1019" t="s">
        <v>2011</v>
      </c>
      <c r="CK70" s="1143"/>
      <c r="CL70" s="1047"/>
    </row>
    <row r="71" spans="2:90" ht="18" x14ac:dyDescent="0.25">
      <c r="B71" s="1053">
        <v>67</v>
      </c>
      <c r="C71" s="1142" t="s">
        <v>2679</v>
      </c>
      <c r="D71" s="1143" t="s">
        <v>3413</v>
      </c>
      <c r="E71" s="1126"/>
      <c r="F71" s="1126"/>
      <c r="G71" s="1126"/>
      <c r="H71" s="1126"/>
      <c r="I71" s="1592"/>
      <c r="J71" s="1592"/>
      <c r="K71" s="1126"/>
      <c r="L71" s="1126"/>
      <c r="M71" s="1126"/>
      <c r="N71" s="1126"/>
      <c r="O71" s="1126"/>
      <c r="P71" s="1126"/>
      <c r="Q71" s="1126"/>
      <c r="R71" s="1127"/>
      <c r="S71" s="1126"/>
      <c r="T71" s="1126"/>
      <c r="U71" s="1126"/>
      <c r="V71" s="1126"/>
      <c r="W71" s="1126"/>
      <c r="X71" s="1126"/>
      <c r="Y71" s="1126"/>
      <c r="Z71" s="1126"/>
      <c r="AA71" s="1126"/>
      <c r="AB71" s="1126"/>
      <c r="AC71" s="1592"/>
      <c r="AD71" s="1592"/>
      <c r="AE71" s="1126"/>
      <c r="AF71" s="1144">
        <v>-1</v>
      </c>
      <c r="AG71" s="1126"/>
      <c r="AH71" s="1126"/>
      <c r="AI71" s="1592"/>
      <c r="AJ71" s="1592"/>
      <c r="AK71" s="1126"/>
      <c r="AL71" s="1127"/>
      <c r="AM71" s="1126"/>
      <c r="AN71" s="1126"/>
      <c r="AO71" s="1127"/>
      <c r="AP71" s="1126"/>
      <c r="AQ71" s="1126"/>
      <c r="AR71" s="1126"/>
      <c r="AS71" s="1126"/>
      <c r="AT71" s="1126"/>
      <c r="AU71" s="1126"/>
      <c r="AV71" s="1127"/>
      <c r="AW71" s="1126"/>
      <c r="AX71" s="1126"/>
      <c r="AY71" s="1126"/>
      <c r="AZ71" s="1127"/>
      <c r="BA71" s="1126"/>
      <c r="BB71" s="1127"/>
      <c r="BC71" s="1127"/>
      <c r="BD71" s="1127" t="s">
        <v>3400</v>
      </c>
      <c r="BE71" s="1126"/>
      <c r="BF71" s="1126"/>
      <c r="BG71" s="1127" t="s">
        <v>3401</v>
      </c>
      <c r="BH71" s="1126"/>
      <c r="BI71" s="1127"/>
      <c r="BJ71" s="1127"/>
      <c r="BK71" s="1127"/>
      <c r="BL71" s="1127"/>
      <c r="BM71" s="1127"/>
      <c r="BN71" s="1127"/>
      <c r="BO71" s="1127"/>
      <c r="BP71" s="1194"/>
      <c r="BQ71" s="1194"/>
      <c r="BR71" s="1194"/>
      <c r="BS71" s="1194"/>
      <c r="BT71" s="1127"/>
      <c r="BU71" s="1127"/>
      <c r="BV71" s="1127"/>
      <c r="BW71" s="1127"/>
      <c r="BX71" s="1127"/>
      <c r="BY71" s="1127"/>
      <c r="BZ71" s="1127"/>
      <c r="CA71" s="1127"/>
      <c r="CB71" s="1127"/>
      <c r="CC71" s="1127"/>
      <c r="CD71" s="1127"/>
      <c r="CE71" s="1127"/>
      <c r="CF71" s="1127"/>
      <c r="CG71" s="1127"/>
      <c r="CH71" s="1127"/>
      <c r="CI71" s="1054" t="s">
        <v>3522</v>
      </c>
      <c r="CJ71" s="1019" t="s">
        <v>2011</v>
      </c>
      <c r="CK71" s="1143"/>
      <c r="CL71" s="1047"/>
    </row>
    <row r="72" spans="2:90" ht="18" x14ac:dyDescent="0.25">
      <c r="B72" s="1053">
        <v>68</v>
      </c>
      <c r="C72" s="1142" t="s">
        <v>2680</v>
      </c>
      <c r="D72" s="1143" t="s">
        <v>3414</v>
      </c>
      <c r="E72" s="1126"/>
      <c r="F72" s="1126"/>
      <c r="G72" s="1126"/>
      <c r="H72" s="1126"/>
      <c r="I72" s="1592"/>
      <c r="J72" s="1592"/>
      <c r="K72" s="1126"/>
      <c r="L72" s="1126"/>
      <c r="M72" s="1126"/>
      <c r="N72" s="1126"/>
      <c r="O72" s="1126"/>
      <c r="P72" s="1126"/>
      <c r="Q72" s="1126"/>
      <c r="R72" s="1127"/>
      <c r="S72" s="1126"/>
      <c r="T72" s="1126"/>
      <c r="U72" s="1126"/>
      <c r="V72" s="1126"/>
      <c r="W72" s="1126"/>
      <c r="X72" s="1126"/>
      <c r="Y72" s="1126"/>
      <c r="Z72" s="1126"/>
      <c r="AA72" s="1126"/>
      <c r="AB72" s="1126"/>
      <c r="AC72" s="1592"/>
      <c r="AD72" s="1592"/>
      <c r="AE72" s="1126"/>
      <c r="AF72" s="1144">
        <v>-1</v>
      </c>
      <c r="AG72" s="1126"/>
      <c r="AH72" s="1126"/>
      <c r="AI72" s="1592"/>
      <c r="AJ72" s="1592"/>
      <c r="AK72" s="1126"/>
      <c r="AL72" s="1127"/>
      <c r="AM72" s="1126"/>
      <c r="AN72" s="1126"/>
      <c r="AO72" s="1127"/>
      <c r="AP72" s="1126"/>
      <c r="AQ72" s="1126"/>
      <c r="AR72" s="1126"/>
      <c r="AS72" s="1126"/>
      <c r="AT72" s="1126"/>
      <c r="AU72" s="1126"/>
      <c r="AV72" s="1127"/>
      <c r="AW72" s="1126"/>
      <c r="AX72" s="1126"/>
      <c r="AY72" s="1126"/>
      <c r="AZ72" s="1127"/>
      <c r="BA72" s="1126"/>
      <c r="BB72" s="1127"/>
      <c r="BC72" s="1127"/>
      <c r="BD72" s="1126"/>
      <c r="BE72" s="1127" t="s">
        <v>3402</v>
      </c>
      <c r="BF72" s="1126"/>
      <c r="BG72" s="1126"/>
      <c r="BH72" s="1127" t="s">
        <v>3403</v>
      </c>
      <c r="BI72" s="1126"/>
      <c r="BJ72" s="1126"/>
      <c r="BK72" s="1127"/>
      <c r="BL72" s="1127"/>
      <c r="BM72" s="1127"/>
      <c r="BN72" s="1127"/>
      <c r="BO72" s="1127"/>
      <c r="BP72" s="1194"/>
      <c r="BQ72" s="1194"/>
      <c r="BR72" s="1194"/>
      <c r="BS72" s="1194"/>
      <c r="BT72" s="1127"/>
      <c r="BU72" s="1127"/>
      <c r="BV72" s="1127"/>
      <c r="BW72" s="1127"/>
      <c r="BX72" s="1127"/>
      <c r="BY72" s="1127"/>
      <c r="BZ72" s="1127"/>
      <c r="CA72" s="1127"/>
      <c r="CB72" s="1127"/>
      <c r="CC72" s="1127"/>
      <c r="CD72" s="1127"/>
      <c r="CE72" s="1127"/>
      <c r="CF72" s="1127"/>
      <c r="CG72" s="1127"/>
      <c r="CH72" s="1127"/>
      <c r="CI72" s="1054" t="s">
        <v>3523</v>
      </c>
      <c r="CJ72" s="1019" t="s">
        <v>2011</v>
      </c>
      <c r="CK72" s="1143"/>
      <c r="CL72" s="1047"/>
    </row>
    <row r="73" spans="2:90" ht="18" x14ac:dyDescent="0.25">
      <c r="B73" s="1053">
        <v>69</v>
      </c>
      <c r="C73" s="1142" t="s">
        <v>2681</v>
      </c>
      <c r="D73" s="1143" t="s">
        <v>3415</v>
      </c>
      <c r="E73" s="1126"/>
      <c r="F73" s="1126"/>
      <c r="G73" s="1126"/>
      <c r="H73" s="1126"/>
      <c r="I73" s="1592"/>
      <c r="J73" s="1592"/>
      <c r="K73" s="1126"/>
      <c r="L73" s="1126"/>
      <c r="M73" s="1126"/>
      <c r="N73" s="1126"/>
      <c r="O73" s="1126"/>
      <c r="P73" s="1126"/>
      <c r="Q73" s="1126"/>
      <c r="R73" s="1127"/>
      <c r="S73" s="1126"/>
      <c r="T73" s="1126"/>
      <c r="U73" s="1126"/>
      <c r="V73" s="1126"/>
      <c r="W73" s="1126"/>
      <c r="X73" s="1126"/>
      <c r="Y73" s="1126"/>
      <c r="Z73" s="1126"/>
      <c r="AA73" s="1126"/>
      <c r="AB73" s="1126"/>
      <c r="AC73" s="1592"/>
      <c r="AD73" s="1592"/>
      <c r="AE73" s="1126"/>
      <c r="AF73" s="1127" t="s">
        <v>3389</v>
      </c>
      <c r="AG73" s="1126"/>
      <c r="AH73" s="1126"/>
      <c r="AI73" s="1592"/>
      <c r="AJ73" s="1592"/>
      <c r="AK73" s="1126"/>
      <c r="AL73" s="1127"/>
      <c r="AM73" s="1126"/>
      <c r="AN73" s="1126"/>
      <c r="AO73" s="1127"/>
      <c r="AP73" s="1126"/>
      <c r="AQ73" s="1126"/>
      <c r="AR73" s="1126"/>
      <c r="AS73" s="1126"/>
      <c r="AT73" s="1126"/>
      <c r="AU73" s="1126"/>
      <c r="AV73" s="1127"/>
      <c r="AW73" s="1126"/>
      <c r="AX73" s="1126"/>
      <c r="AY73" s="1126"/>
      <c r="AZ73" s="1127"/>
      <c r="BA73" s="1126"/>
      <c r="BB73" s="1127"/>
      <c r="BC73" s="1127"/>
      <c r="BD73" s="1146">
        <v>1</v>
      </c>
      <c r="BE73" s="1146"/>
      <c r="BF73" s="1146"/>
      <c r="BG73" s="1146">
        <v>-1</v>
      </c>
      <c r="BH73" s="1146"/>
      <c r="BI73" s="1146"/>
      <c r="BJ73" s="1146"/>
      <c r="BK73" s="1127"/>
      <c r="BL73" s="1127"/>
      <c r="BM73" s="1127"/>
      <c r="BN73" s="1127"/>
      <c r="BO73" s="1127"/>
      <c r="BP73" s="1194"/>
      <c r="BQ73" s="1194"/>
      <c r="BR73" s="1194"/>
      <c r="BS73" s="1194"/>
      <c r="BT73" s="1127"/>
      <c r="BU73" s="1127"/>
      <c r="BV73" s="1127"/>
      <c r="BW73" s="1127"/>
      <c r="BX73" s="1127"/>
      <c r="BY73" s="1127"/>
      <c r="BZ73" s="1127"/>
      <c r="CA73" s="1127"/>
      <c r="CB73" s="1127"/>
      <c r="CC73" s="1127"/>
      <c r="CD73" s="1127"/>
      <c r="CE73" s="1127"/>
      <c r="CF73" s="1127"/>
      <c r="CG73" s="1127"/>
      <c r="CH73" s="1127"/>
      <c r="CI73" s="1054" t="s">
        <v>3408</v>
      </c>
      <c r="CJ73" s="1019" t="s">
        <v>2011</v>
      </c>
      <c r="CK73" s="1143"/>
      <c r="CL73" s="1047"/>
    </row>
    <row r="74" spans="2:90" ht="18" x14ac:dyDescent="0.25">
      <c r="B74" s="1053">
        <v>70</v>
      </c>
      <c r="C74" s="1142" t="s">
        <v>2682</v>
      </c>
      <c r="D74" s="1143" t="s">
        <v>3416</v>
      </c>
      <c r="E74" s="1126"/>
      <c r="F74" s="1126"/>
      <c r="G74" s="1126"/>
      <c r="H74" s="1126"/>
      <c r="I74" s="1592"/>
      <c r="J74" s="1592"/>
      <c r="K74" s="1126"/>
      <c r="L74" s="1126"/>
      <c r="M74" s="1126"/>
      <c r="N74" s="1126"/>
      <c r="O74" s="1126"/>
      <c r="P74" s="1126"/>
      <c r="Q74" s="1126"/>
      <c r="R74" s="1127"/>
      <c r="S74" s="1126"/>
      <c r="T74" s="1126"/>
      <c r="U74" s="1126"/>
      <c r="V74" s="1126"/>
      <c r="W74" s="1126"/>
      <c r="X74" s="1126"/>
      <c r="Y74" s="1126"/>
      <c r="Z74" s="1126"/>
      <c r="AA74" s="1126"/>
      <c r="AB74" s="1126"/>
      <c r="AC74" s="1592"/>
      <c r="AD74" s="1592"/>
      <c r="AE74" s="1126"/>
      <c r="AF74" s="1127" t="s">
        <v>3390</v>
      </c>
      <c r="AG74" s="1126"/>
      <c r="AH74" s="1126"/>
      <c r="AI74" s="1592"/>
      <c r="AJ74" s="1592"/>
      <c r="AK74" s="1126"/>
      <c r="AL74" s="1127"/>
      <c r="AM74" s="1126"/>
      <c r="AN74" s="1126"/>
      <c r="AO74" s="1127"/>
      <c r="AP74" s="1126"/>
      <c r="AQ74" s="1126"/>
      <c r="AR74" s="1126"/>
      <c r="AS74" s="1126"/>
      <c r="AT74" s="1126"/>
      <c r="AU74" s="1126"/>
      <c r="AV74" s="1127"/>
      <c r="AW74" s="1126"/>
      <c r="AX74" s="1126"/>
      <c r="AY74" s="1126"/>
      <c r="AZ74" s="1127"/>
      <c r="BA74" s="1126"/>
      <c r="BB74" s="1127"/>
      <c r="BC74" s="1127"/>
      <c r="BD74" s="1146"/>
      <c r="BE74" s="1146">
        <v>1</v>
      </c>
      <c r="BF74" s="1146"/>
      <c r="BG74" s="1146"/>
      <c r="BH74" s="1146">
        <v>-1</v>
      </c>
      <c r="BI74" s="1146"/>
      <c r="BJ74" s="1146"/>
      <c r="BK74" s="1127"/>
      <c r="BL74" s="1127"/>
      <c r="BM74" s="1127"/>
      <c r="BN74" s="1127"/>
      <c r="BO74" s="1127"/>
      <c r="BP74" s="1194"/>
      <c r="BQ74" s="1194"/>
      <c r="BR74" s="1194"/>
      <c r="BS74" s="1194"/>
      <c r="BT74" s="1127"/>
      <c r="BU74" s="1127"/>
      <c r="BV74" s="1127"/>
      <c r="BW74" s="1127"/>
      <c r="BX74" s="1127"/>
      <c r="BY74" s="1127"/>
      <c r="BZ74" s="1127"/>
      <c r="CA74" s="1127"/>
      <c r="CB74" s="1127"/>
      <c r="CC74" s="1127"/>
      <c r="CD74" s="1127"/>
      <c r="CE74" s="1127"/>
      <c r="CF74" s="1127"/>
      <c r="CG74" s="1127"/>
      <c r="CH74" s="1127"/>
      <c r="CI74" s="1054" t="s">
        <v>3409</v>
      </c>
      <c r="CJ74" s="1019" t="s">
        <v>2011</v>
      </c>
      <c r="CK74" s="1143"/>
      <c r="CL74" s="1047"/>
    </row>
    <row r="75" spans="2:90" ht="18" x14ac:dyDescent="0.25">
      <c r="B75" s="1053">
        <v>71</v>
      </c>
      <c r="C75" s="1142" t="s">
        <v>2844</v>
      </c>
      <c r="D75" s="1143" t="s">
        <v>3417</v>
      </c>
      <c r="E75" s="1126"/>
      <c r="F75" s="1126"/>
      <c r="G75" s="1126"/>
      <c r="H75" s="1126"/>
      <c r="I75" s="1592"/>
      <c r="J75" s="1592"/>
      <c r="K75" s="1126"/>
      <c r="L75" s="1126"/>
      <c r="M75" s="1126"/>
      <c r="N75" s="1126"/>
      <c r="O75" s="1126"/>
      <c r="P75" s="1126"/>
      <c r="Q75" s="1126"/>
      <c r="R75" s="1127"/>
      <c r="S75" s="1126"/>
      <c r="T75" s="1126"/>
      <c r="U75" s="1126"/>
      <c r="V75" s="1126"/>
      <c r="W75" s="1126"/>
      <c r="X75" s="1126"/>
      <c r="Y75" s="1126"/>
      <c r="Z75" s="1126"/>
      <c r="AA75" s="1126"/>
      <c r="AB75" s="1126"/>
      <c r="AC75" s="1592"/>
      <c r="AD75" s="1592"/>
      <c r="AE75" s="1126"/>
      <c r="AF75" s="1127" t="s">
        <v>3391</v>
      </c>
      <c r="AG75" s="1126"/>
      <c r="AH75" s="1126"/>
      <c r="AI75" s="1592"/>
      <c r="AJ75" s="1592"/>
      <c r="AK75" s="1126"/>
      <c r="AL75" s="1127"/>
      <c r="AM75" s="1126"/>
      <c r="AN75" s="1126"/>
      <c r="AO75" s="1127"/>
      <c r="AP75" s="1126"/>
      <c r="AQ75" s="1126"/>
      <c r="AR75" s="1126"/>
      <c r="AS75" s="1126"/>
      <c r="AT75" s="1126"/>
      <c r="AU75" s="1126"/>
      <c r="AV75" s="1127"/>
      <c r="AW75" s="1126"/>
      <c r="AX75" s="1126"/>
      <c r="AY75" s="1126"/>
      <c r="AZ75" s="1127"/>
      <c r="BA75" s="1126"/>
      <c r="BB75" s="1127"/>
      <c r="BC75" s="1127"/>
      <c r="BD75" s="1146"/>
      <c r="BE75" s="1146"/>
      <c r="BF75" s="1146">
        <v>1</v>
      </c>
      <c r="BG75" s="1146"/>
      <c r="BH75" s="1146"/>
      <c r="BI75" s="1145" t="s">
        <v>3404</v>
      </c>
      <c r="BJ75" s="1145" t="s">
        <v>3405</v>
      </c>
      <c r="BK75" s="1127"/>
      <c r="BL75" s="1127"/>
      <c r="BM75" s="1127"/>
      <c r="BN75" s="1127"/>
      <c r="BO75" s="1127"/>
      <c r="BP75" s="1194"/>
      <c r="BQ75" s="1194"/>
      <c r="BR75" s="1194"/>
      <c r="BS75" s="1194"/>
      <c r="BT75" s="1127"/>
      <c r="BU75" s="1127"/>
      <c r="BV75" s="1127"/>
      <c r="BW75" s="1127"/>
      <c r="BX75" s="1127"/>
      <c r="BY75" s="1127"/>
      <c r="BZ75" s="1127"/>
      <c r="CA75" s="1127"/>
      <c r="CB75" s="1127"/>
      <c r="CC75" s="1127"/>
      <c r="CD75" s="1127"/>
      <c r="CE75" s="1127"/>
      <c r="CF75" s="1127"/>
      <c r="CG75" s="1127"/>
      <c r="CH75" s="1127"/>
      <c r="CI75" s="1054" t="s">
        <v>3410</v>
      </c>
      <c r="CJ75" s="1019" t="s">
        <v>2011</v>
      </c>
      <c r="CK75" s="1143"/>
      <c r="CL75" s="1047"/>
    </row>
    <row r="76" spans="2:90" ht="18" x14ac:dyDescent="0.25">
      <c r="B76" s="1055">
        <v>72</v>
      </c>
      <c r="C76" s="1147" t="s">
        <v>2845</v>
      </c>
      <c r="D76" s="1148" t="s">
        <v>1125</v>
      </c>
      <c r="E76" s="1149"/>
      <c r="F76" s="1149"/>
      <c r="G76" s="1149"/>
      <c r="H76" s="1149"/>
      <c r="I76" s="1604"/>
      <c r="J76" s="1604"/>
      <c r="K76" s="1149"/>
      <c r="L76" s="1149"/>
      <c r="M76" s="1149"/>
      <c r="N76" s="1149"/>
      <c r="O76" s="1149"/>
      <c r="P76" s="1149"/>
      <c r="Q76" s="1149"/>
      <c r="R76" s="1150"/>
      <c r="S76" s="1149"/>
      <c r="T76" s="1149"/>
      <c r="U76" s="1149"/>
      <c r="V76" s="1149"/>
      <c r="W76" s="1149"/>
      <c r="X76" s="1149"/>
      <c r="Y76" s="1149"/>
      <c r="Z76" s="1149"/>
      <c r="AA76" s="1149"/>
      <c r="AB76" s="1149"/>
      <c r="AC76" s="1604"/>
      <c r="AD76" s="1604"/>
      <c r="AE76" s="1149"/>
      <c r="AF76" s="1150"/>
      <c r="AG76" s="1149"/>
      <c r="AH76" s="1149"/>
      <c r="AI76" s="1604"/>
      <c r="AJ76" s="1604"/>
      <c r="AK76" s="1149"/>
      <c r="AL76" s="1149"/>
      <c r="AM76" s="1149"/>
      <c r="AN76" s="1149"/>
      <c r="AO76" s="1150" t="s">
        <v>2209</v>
      </c>
      <c r="AP76" s="1149"/>
      <c r="AQ76" s="1149"/>
      <c r="AR76" s="1149"/>
      <c r="AS76" s="1150" t="s">
        <v>1684</v>
      </c>
      <c r="AT76" s="1149"/>
      <c r="AU76" s="1149"/>
      <c r="AV76" s="1150"/>
      <c r="AW76" s="1149"/>
      <c r="AX76" s="1149"/>
      <c r="AY76" s="1150"/>
      <c r="AZ76" s="1150"/>
      <c r="BA76" s="1149"/>
      <c r="BB76" s="1150"/>
      <c r="BC76" s="1150"/>
      <c r="BD76" s="1149"/>
      <c r="BE76" s="1149"/>
      <c r="BF76" s="1150"/>
      <c r="BG76" s="1150"/>
      <c r="BH76" s="1149"/>
      <c r="BI76" s="1150"/>
      <c r="BJ76" s="1150"/>
      <c r="BK76" s="1150">
        <v>1</v>
      </c>
      <c r="BL76" s="1150"/>
      <c r="BM76" s="1150"/>
      <c r="BN76" s="1150"/>
      <c r="BO76" s="1150"/>
      <c r="BP76" s="1195"/>
      <c r="BQ76" s="1195"/>
      <c r="BR76" s="1195"/>
      <c r="BS76" s="1195"/>
      <c r="BT76" s="1150"/>
      <c r="BU76" s="1150"/>
      <c r="BV76" s="1150"/>
      <c r="BW76" s="1150"/>
      <c r="BX76" s="1150"/>
      <c r="BY76" s="1150"/>
      <c r="BZ76" s="1150"/>
      <c r="CA76" s="1150"/>
      <c r="CB76" s="1150"/>
      <c r="CC76" s="1150"/>
      <c r="CD76" s="1150"/>
      <c r="CE76" s="1150"/>
      <c r="CF76" s="1150"/>
      <c r="CG76" s="1150"/>
      <c r="CH76" s="1150"/>
      <c r="CI76" s="1056" t="s">
        <v>1685</v>
      </c>
      <c r="CJ76" s="1020" t="s">
        <v>2011</v>
      </c>
      <c r="CK76" s="1151" t="s">
        <v>1126</v>
      </c>
      <c r="CL76" s="1077"/>
    </row>
    <row r="77" spans="2:90" ht="18" x14ac:dyDescent="0.25">
      <c r="B77" s="1055">
        <v>73</v>
      </c>
      <c r="C77" s="1147" t="s">
        <v>2846</v>
      </c>
      <c r="D77" s="1148" t="s">
        <v>1124</v>
      </c>
      <c r="E77" s="1149"/>
      <c r="F77" s="1149"/>
      <c r="G77" s="1149"/>
      <c r="H77" s="1149"/>
      <c r="I77" s="1604"/>
      <c r="J77" s="1604"/>
      <c r="K77" s="1149"/>
      <c r="L77" s="1149"/>
      <c r="M77" s="1149"/>
      <c r="N77" s="1149"/>
      <c r="O77" s="1149"/>
      <c r="P77" s="1149"/>
      <c r="Q77" s="1149"/>
      <c r="R77" s="1150"/>
      <c r="S77" s="1149"/>
      <c r="T77" s="1149"/>
      <c r="U77" s="1149"/>
      <c r="V77" s="1149"/>
      <c r="W77" s="1149"/>
      <c r="X77" s="1149"/>
      <c r="Y77" s="1149"/>
      <c r="Z77" s="1149"/>
      <c r="AA77" s="1149"/>
      <c r="AB77" s="1149"/>
      <c r="AC77" s="1604"/>
      <c r="AD77" s="1604"/>
      <c r="AE77" s="1149"/>
      <c r="AF77" s="1150" t="s">
        <v>1686</v>
      </c>
      <c r="AG77" s="1149"/>
      <c r="AH77" s="1149"/>
      <c r="AI77" s="1604"/>
      <c r="AJ77" s="1604"/>
      <c r="AK77" s="1149"/>
      <c r="AL77" s="1149"/>
      <c r="AM77" s="1149"/>
      <c r="AN77" s="1149"/>
      <c r="AO77" s="1149"/>
      <c r="AP77" s="1149"/>
      <c r="AQ77" s="1149"/>
      <c r="AR77" s="1149"/>
      <c r="AS77" s="1150" t="s">
        <v>1687</v>
      </c>
      <c r="AT77" s="1149"/>
      <c r="AU77" s="1149"/>
      <c r="AV77" s="1150"/>
      <c r="AW77" s="1149"/>
      <c r="AX77" s="1149"/>
      <c r="AY77" s="1150"/>
      <c r="AZ77" s="1150"/>
      <c r="BA77" s="1149"/>
      <c r="BB77" s="1150"/>
      <c r="BC77" s="1150"/>
      <c r="BD77" s="1149"/>
      <c r="BE77" s="1149"/>
      <c r="BF77" s="1150"/>
      <c r="BG77" s="1150"/>
      <c r="BH77" s="1149"/>
      <c r="BI77" s="1150"/>
      <c r="BJ77" s="1150"/>
      <c r="BK77" s="1150"/>
      <c r="BL77" s="1150">
        <v>1</v>
      </c>
      <c r="BM77" s="1150"/>
      <c r="BN77" s="1150"/>
      <c r="BO77" s="1150"/>
      <c r="BP77" s="1195"/>
      <c r="BQ77" s="1195"/>
      <c r="BR77" s="1195"/>
      <c r="BS77" s="1195"/>
      <c r="BT77" s="1150"/>
      <c r="BU77" s="1150"/>
      <c r="BV77" s="1150"/>
      <c r="BW77" s="1150"/>
      <c r="BX77" s="1150"/>
      <c r="BY77" s="1150"/>
      <c r="BZ77" s="1150"/>
      <c r="CA77" s="1150"/>
      <c r="CB77" s="1150"/>
      <c r="CC77" s="1150"/>
      <c r="CD77" s="1150"/>
      <c r="CE77" s="1150"/>
      <c r="CF77" s="1150"/>
      <c r="CG77" s="1150"/>
      <c r="CH77" s="1150"/>
      <c r="CI77" s="1056" t="s">
        <v>1688</v>
      </c>
      <c r="CJ77" s="1020" t="s">
        <v>2011</v>
      </c>
      <c r="CK77" s="1151" t="s">
        <v>1127</v>
      </c>
      <c r="CL77" s="1077"/>
    </row>
    <row r="78" spans="2:90" ht="18" x14ac:dyDescent="0.25">
      <c r="B78" s="1055">
        <v>74</v>
      </c>
      <c r="C78" s="1147" t="s">
        <v>2847</v>
      </c>
      <c r="D78" s="1148" t="s">
        <v>3576</v>
      </c>
      <c r="E78" s="1149"/>
      <c r="F78" s="1149"/>
      <c r="G78" s="1149"/>
      <c r="H78" s="1149"/>
      <c r="I78" s="1604"/>
      <c r="J78" s="1604"/>
      <c r="K78" s="1149"/>
      <c r="L78" s="1149"/>
      <c r="M78" s="1149"/>
      <c r="N78" s="1149"/>
      <c r="O78" s="1149"/>
      <c r="P78" s="1149"/>
      <c r="Q78" s="1149"/>
      <c r="R78" s="1150"/>
      <c r="S78" s="1149"/>
      <c r="T78" s="1149"/>
      <c r="U78" s="1149"/>
      <c r="V78" s="1149"/>
      <c r="W78" s="1149"/>
      <c r="X78" s="1149"/>
      <c r="Y78" s="1149"/>
      <c r="Z78" s="1149"/>
      <c r="AA78" s="1149"/>
      <c r="AB78" s="1149"/>
      <c r="AC78" s="1604"/>
      <c r="AD78" s="1604"/>
      <c r="AE78" s="1149"/>
      <c r="AF78" s="1150" t="s">
        <v>3447</v>
      </c>
      <c r="AG78" s="1149"/>
      <c r="AH78" s="1149"/>
      <c r="AI78" s="1604"/>
      <c r="AJ78" s="1604"/>
      <c r="AK78" s="1149"/>
      <c r="AL78" s="1149"/>
      <c r="AM78" s="1149"/>
      <c r="AN78" s="1149"/>
      <c r="AO78" s="1149"/>
      <c r="AP78" s="1149"/>
      <c r="AQ78" s="1149"/>
      <c r="AR78" s="1149"/>
      <c r="AS78" s="1150" t="s">
        <v>3446</v>
      </c>
      <c r="AT78" s="1149"/>
      <c r="AU78" s="1149"/>
      <c r="AV78" s="1150"/>
      <c r="AW78" s="1149"/>
      <c r="AX78" s="1149"/>
      <c r="AY78" s="1150"/>
      <c r="AZ78" s="1150"/>
      <c r="BA78" s="1149"/>
      <c r="BB78" s="1150"/>
      <c r="BC78" s="1150"/>
      <c r="BD78" s="1149"/>
      <c r="BE78" s="1149"/>
      <c r="BF78" s="1150"/>
      <c r="BG78" s="1150"/>
      <c r="BH78" s="1149"/>
      <c r="BI78" s="1150"/>
      <c r="BJ78" s="1150"/>
      <c r="BK78" s="1150"/>
      <c r="BL78" s="1150"/>
      <c r="BM78" s="1150">
        <v>1</v>
      </c>
      <c r="BN78" s="1150"/>
      <c r="BO78" s="1150"/>
      <c r="BP78" s="1195"/>
      <c r="BQ78" s="1195"/>
      <c r="BR78" s="1195"/>
      <c r="BS78" s="1195"/>
      <c r="BT78" s="1150"/>
      <c r="BU78" s="1150"/>
      <c r="BV78" s="1150"/>
      <c r="BW78" s="1150"/>
      <c r="BX78" s="1150"/>
      <c r="BY78" s="1150"/>
      <c r="BZ78" s="1150"/>
      <c r="CA78" s="1150"/>
      <c r="CB78" s="1150"/>
      <c r="CC78" s="1150"/>
      <c r="CD78" s="1150"/>
      <c r="CE78" s="1150"/>
      <c r="CF78" s="1150"/>
      <c r="CG78" s="1150"/>
      <c r="CH78" s="1150"/>
      <c r="CI78" s="1056" t="s">
        <v>3448</v>
      </c>
      <c r="CJ78" s="1020" t="s">
        <v>2011</v>
      </c>
      <c r="CK78" s="1151" t="s">
        <v>3729</v>
      </c>
      <c r="CL78" s="1077"/>
    </row>
    <row r="79" spans="2:90" ht="18" x14ac:dyDescent="0.25">
      <c r="B79" s="1055">
        <v>75</v>
      </c>
      <c r="C79" s="1147" t="s">
        <v>2848</v>
      </c>
      <c r="D79" s="1148" t="s">
        <v>286</v>
      </c>
      <c r="E79" s="1149"/>
      <c r="F79" s="1149"/>
      <c r="G79" s="1149"/>
      <c r="H79" s="1149"/>
      <c r="I79" s="1604"/>
      <c r="J79" s="1604"/>
      <c r="K79" s="1149"/>
      <c r="L79" s="1149"/>
      <c r="M79" s="1149"/>
      <c r="N79" s="1149"/>
      <c r="O79" s="1149"/>
      <c r="P79" s="1149"/>
      <c r="Q79" s="1149"/>
      <c r="R79" s="1150"/>
      <c r="S79" s="1149"/>
      <c r="T79" s="1149"/>
      <c r="U79" s="1149"/>
      <c r="V79" s="1149"/>
      <c r="W79" s="1149"/>
      <c r="X79" s="1149"/>
      <c r="Y79" s="1150" t="s">
        <v>1689</v>
      </c>
      <c r="Z79" s="1149"/>
      <c r="AA79" s="1149"/>
      <c r="AB79" s="1149"/>
      <c r="AC79" s="1604"/>
      <c r="AD79" s="1604"/>
      <c r="AE79" s="1149"/>
      <c r="AF79" s="1150" t="s">
        <v>1690</v>
      </c>
      <c r="AG79" s="1149"/>
      <c r="AH79" s="1149"/>
      <c r="AI79" s="1604"/>
      <c r="AJ79" s="1604"/>
      <c r="AK79" s="1149"/>
      <c r="AL79" s="1149"/>
      <c r="AM79" s="1149"/>
      <c r="AN79" s="1149"/>
      <c r="AO79" s="1149"/>
      <c r="AP79" s="1149"/>
      <c r="AQ79" s="1149"/>
      <c r="AR79" s="1149"/>
      <c r="AS79" s="1149"/>
      <c r="AT79" s="1150" t="s">
        <v>1691</v>
      </c>
      <c r="AU79" s="1149"/>
      <c r="AV79" s="1150"/>
      <c r="AW79" s="1149"/>
      <c r="AX79" s="1149"/>
      <c r="AY79" s="1150"/>
      <c r="AZ79" s="1150"/>
      <c r="BA79" s="1149"/>
      <c r="BB79" s="1150"/>
      <c r="BC79" s="1150"/>
      <c r="BD79" s="1149"/>
      <c r="BE79" s="1149"/>
      <c r="BF79" s="1150"/>
      <c r="BG79" s="1150"/>
      <c r="BH79" s="1149"/>
      <c r="BI79" s="1150"/>
      <c r="BJ79" s="1150"/>
      <c r="BK79" s="1150"/>
      <c r="BL79" s="1150"/>
      <c r="BM79" s="1150"/>
      <c r="BN79" s="1150">
        <v>1</v>
      </c>
      <c r="BO79" s="1150"/>
      <c r="BP79" s="1195"/>
      <c r="BQ79" s="1195"/>
      <c r="BR79" s="1195"/>
      <c r="BS79" s="1195"/>
      <c r="BT79" s="1150"/>
      <c r="BU79" s="1150"/>
      <c r="BV79" s="1150"/>
      <c r="BW79" s="1150"/>
      <c r="BX79" s="1150"/>
      <c r="BY79" s="1150"/>
      <c r="BZ79" s="1150"/>
      <c r="CA79" s="1150"/>
      <c r="CB79" s="1150"/>
      <c r="CC79" s="1150"/>
      <c r="CD79" s="1150"/>
      <c r="CE79" s="1150"/>
      <c r="CF79" s="1150"/>
      <c r="CG79" s="1150"/>
      <c r="CH79" s="1150"/>
      <c r="CI79" s="1056" t="s">
        <v>1692</v>
      </c>
      <c r="CJ79" s="1020" t="s">
        <v>2011</v>
      </c>
      <c r="CK79" s="1151" t="s">
        <v>1123</v>
      </c>
      <c r="CL79" s="1077"/>
    </row>
    <row r="80" spans="2:90" ht="18" x14ac:dyDescent="0.25">
      <c r="B80" s="1055">
        <v>76</v>
      </c>
      <c r="C80" s="1147" t="s">
        <v>2849</v>
      </c>
      <c r="D80" s="1148" t="s">
        <v>1122</v>
      </c>
      <c r="E80" s="1149"/>
      <c r="F80" s="1149"/>
      <c r="G80" s="1149"/>
      <c r="H80" s="1149"/>
      <c r="I80" s="1604"/>
      <c r="J80" s="1604"/>
      <c r="K80" s="1149"/>
      <c r="L80" s="1149"/>
      <c r="M80" s="1149"/>
      <c r="N80" s="1149"/>
      <c r="O80" s="1149"/>
      <c r="P80" s="1149"/>
      <c r="Q80" s="1149"/>
      <c r="R80" s="1150"/>
      <c r="S80" s="1149"/>
      <c r="T80" s="1149"/>
      <c r="U80" s="1149"/>
      <c r="V80" s="1149"/>
      <c r="W80" s="1149"/>
      <c r="X80" s="1149"/>
      <c r="Y80" s="1150"/>
      <c r="Z80" s="1149"/>
      <c r="AA80" s="1149"/>
      <c r="AB80" s="1149"/>
      <c r="AC80" s="1604"/>
      <c r="AD80" s="1604"/>
      <c r="AE80" s="1149"/>
      <c r="AF80" s="1150" t="s">
        <v>1693</v>
      </c>
      <c r="AG80" s="1149"/>
      <c r="AH80" s="1149"/>
      <c r="AI80" s="1604"/>
      <c r="AJ80" s="1604"/>
      <c r="AK80" s="1149"/>
      <c r="AL80" s="1149"/>
      <c r="AM80" s="1149"/>
      <c r="AN80" s="1149"/>
      <c r="AO80" s="1149"/>
      <c r="AP80" s="1149"/>
      <c r="AQ80" s="1149"/>
      <c r="AR80" s="1149"/>
      <c r="AS80" s="1149"/>
      <c r="AT80" s="1150"/>
      <c r="AU80" s="1149"/>
      <c r="AV80" s="1150" t="s">
        <v>1694</v>
      </c>
      <c r="AW80" s="1149"/>
      <c r="AX80" s="1149"/>
      <c r="AY80" s="1150"/>
      <c r="AZ80" s="1150"/>
      <c r="BA80" s="1149"/>
      <c r="BB80" s="1150"/>
      <c r="BC80" s="1150"/>
      <c r="BD80" s="1149"/>
      <c r="BE80" s="1149"/>
      <c r="BF80" s="1150"/>
      <c r="BG80" s="1150"/>
      <c r="BH80" s="1149"/>
      <c r="BI80" s="1150"/>
      <c r="BJ80" s="1150"/>
      <c r="BK80" s="1150"/>
      <c r="BL80" s="1150"/>
      <c r="BM80" s="1150"/>
      <c r="BN80" s="1150"/>
      <c r="BO80" s="1150">
        <v>1</v>
      </c>
      <c r="BP80" s="1195"/>
      <c r="BQ80" s="1195"/>
      <c r="BR80" s="1195"/>
      <c r="BS80" s="1195"/>
      <c r="BT80" s="1150"/>
      <c r="BU80" s="1150"/>
      <c r="BV80" s="1150"/>
      <c r="BW80" s="1150"/>
      <c r="BX80" s="1150"/>
      <c r="BY80" s="1150"/>
      <c r="BZ80" s="1150"/>
      <c r="CA80" s="1150"/>
      <c r="CB80" s="1150"/>
      <c r="CC80" s="1150"/>
      <c r="CD80" s="1150"/>
      <c r="CE80" s="1150"/>
      <c r="CF80" s="1150"/>
      <c r="CG80" s="1150"/>
      <c r="CH80" s="1150"/>
      <c r="CI80" s="1056" t="s">
        <v>1695</v>
      </c>
      <c r="CJ80" s="1020" t="s">
        <v>2011</v>
      </c>
      <c r="CK80" s="1151" t="s">
        <v>1128</v>
      </c>
      <c r="CL80" s="1077"/>
    </row>
    <row r="81" spans="2:90" customFormat="1" ht="18" x14ac:dyDescent="0.25">
      <c r="B81" s="1554">
        <v>77</v>
      </c>
      <c r="C81" s="1555" t="s">
        <v>3065</v>
      </c>
      <c r="D81" s="1556" t="s">
        <v>4479</v>
      </c>
      <c r="E81" s="1557"/>
      <c r="F81" s="1557"/>
      <c r="G81" s="1557"/>
      <c r="H81" s="1557"/>
      <c r="I81" s="1605"/>
      <c r="J81" s="1605"/>
      <c r="K81" s="1558"/>
      <c r="L81" s="1557"/>
      <c r="M81" s="1557"/>
      <c r="N81" s="1557"/>
      <c r="O81" s="1557"/>
      <c r="P81" s="1557"/>
      <c r="Q81" s="1557"/>
      <c r="R81" s="1557"/>
      <c r="S81" s="1557"/>
      <c r="T81" s="1557"/>
      <c r="U81" s="1557"/>
      <c r="V81" s="1557"/>
      <c r="W81" s="1557"/>
      <c r="X81" s="1557"/>
      <c r="Y81" s="1557"/>
      <c r="Z81" s="1557"/>
      <c r="AA81" s="1557"/>
      <c r="AB81" s="1558"/>
      <c r="AC81" s="1613"/>
      <c r="AD81" s="1613"/>
      <c r="AE81" s="1558"/>
      <c r="AF81" s="1558"/>
      <c r="AG81" s="1558"/>
      <c r="AH81" s="1558"/>
      <c r="AI81" s="1613"/>
      <c r="AJ81" s="1613"/>
      <c r="AK81" s="1558"/>
      <c r="AL81" s="1558"/>
      <c r="AM81" s="1558"/>
      <c r="AN81" s="1558"/>
      <c r="AO81" s="1557"/>
      <c r="AP81" s="1558"/>
      <c r="AQ81" s="1558"/>
      <c r="AR81" s="1558"/>
      <c r="AS81" s="1557"/>
      <c r="AT81" s="1558"/>
      <c r="AU81" s="1558"/>
      <c r="AV81" s="1558"/>
      <c r="AW81" s="1558"/>
      <c r="AX81" s="1558"/>
      <c r="AY81" s="1558"/>
      <c r="AZ81" s="1558"/>
      <c r="BA81" s="1558"/>
      <c r="BB81" s="1558"/>
      <c r="BC81" s="1558"/>
      <c r="BD81" s="1558"/>
      <c r="BE81" s="1558"/>
      <c r="BF81" s="1558"/>
      <c r="BG81" s="1558"/>
      <c r="BH81" s="1558"/>
      <c r="BI81" s="1558"/>
      <c r="BJ81" s="1558"/>
      <c r="BK81" s="1558"/>
      <c r="BL81" s="1558"/>
      <c r="BM81" s="1558"/>
      <c r="BN81" s="1558"/>
      <c r="BO81" s="1558"/>
      <c r="BP81" s="1558">
        <v>-1</v>
      </c>
      <c r="BQ81" s="1558">
        <v>1</v>
      </c>
      <c r="BR81" s="1558"/>
      <c r="BS81" s="1558"/>
      <c r="BT81" s="1558"/>
      <c r="BU81" s="1558"/>
      <c r="BV81" s="1558"/>
      <c r="BW81" s="1558"/>
      <c r="BX81" s="1558"/>
      <c r="BY81" s="1558"/>
      <c r="BZ81" s="1558"/>
      <c r="CA81" s="1558"/>
      <c r="CB81" s="1558"/>
      <c r="CC81" s="1558"/>
      <c r="CD81" s="1558"/>
      <c r="CE81" s="1558"/>
      <c r="CF81" s="1558"/>
      <c r="CG81" s="1558"/>
      <c r="CH81" s="1558"/>
      <c r="CI81" s="2031" t="s">
        <v>4480</v>
      </c>
      <c r="CJ81" s="2032" t="s">
        <v>2011</v>
      </c>
      <c r="CK81" s="1556"/>
      <c r="CL81" s="1559" t="s">
        <v>4472</v>
      </c>
    </row>
    <row r="82" spans="2:90" customFormat="1" ht="18" x14ac:dyDescent="0.25">
      <c r="B82" s="1554">
        <v>78</v>
      </c>
      <c r="C82" s="1555" t="s">
        <v>3066</v>
      </c>
      <c r="D82" s="1556" t="s">
        <v>4481</v>
      </c>
      <c r="E82" s="1557"/>
      <c r="F82" s="1557"/>
      <c r="G82" s="1557"/>
      <c r="H82" s="1557"/>
      <c r="I82" s="1605"/>
      <c r="J82" s="1605"/>
      <c r="K82" s="1558"/>
      <c r="L82" s="1557"/>
      <c r="M82" s="1557"/>
      <c r="N82" s="1557"/>
      <c r="O82" s="1557"/>
      <c r="P82" s="1557"/>
      <c r="Q82" s="1557"/>
      <c r="R82" s="1557"/>
      <c r="S82" s="1557"/>
      <c r="T82" s="1557"/>
      <c r="U82" s="1557"/>
      <c r="V82" s="1557"/>
      <c r="W82" s="1557"/>
      <c r="X82" s="1557"/>
      <c r="Y82" s="1557"/>
      <c r="Z82" s="1557"/>
      <c r="AA82" s="1557"/>
      <c r="AB82" s="1558"/>
      <c r="AC82" s="1613"/>
      <c r="AD82" s="1613"/>
      <c r="AE82" s="1558"/>
      <c r="AF82" s="1558"/>
      <c r="AG82" s="1558"/>
      <c r="AH82" s="1558"/>
      <c r="AI82" s="1613"/>
      <c r="AJ82" s="1613"/>
      <c r="AK82" s="1558"/>
      <c r="AL82" s="1558"/>
      <c r="AM82" s="1558"/>
      <c r="AN82" s="1558"/>
      <c r="AO82" s="1557"/>
      <c r="AP82" s="1558"/>
      <c r="AQ82" s="1558"/>
      <c r="AR82" s="1558"/>
      <c r="AS82" s="1557"/>
      <c r="AT82" s="1558"/>
      <c r="AU82" s="1558"/>
      <c r="AV82" s="1558"/>
      <c r="AW82" s="1558"/>
      <c r="AX82" s="1558"/>
      <c r="AY82" s="1558"/>
      <c r="AZ82" s="1558"/>
      <c r="BA82" s="1558"/>
      <c r="BB82" s="1558"/>
      <c r="BC82" s="1558"/>
      <c r="BD82" s="1558"/>
      <c r="BE82" s="1558"/>
      <c r="BF82" s="1558"/>
      <c r="BG82" s="1558"/>
      <c r="BH82" s="1558"/>
      <c r="BI82" s="1558"/>
      <c r="BJ82" s="1558"/>
      <c r="BK82" s="1558"/>
      <c r="BL82" s="1558"/>
      <c r="BM82" s="1558"/>
      <c r="BN82" s="1558"/>
      <c r="BO82" s="1558"/>
      <c r="BP82" s="1558"/>
      <c r="BQ82" s="1558"/>
      <c r="BR82" s="1558">
        <v>-1</v>
      </c>
      <c r="BS82" s="1558">
        <v>1</v>
      </c>
      <c r="BT82" s="1558"/>
      <c r="BU82" s="1558"/>
      <c r="BV82" s="1558"/>
      <c r="BW82" s="1558"/>
      <c r="BX82" s="1558"/>
      <c r="BY82" s="1558"/>
      <c r="BZ82" s="1558"/>
      <c r="CA82" s="1558"/>
      <c r="CB82" s="1558"/>
      <c r="CC82" s="1558"/>
      <c r="CD82" s="1558"/>
      <c r="CE82" s="1558"/>
      <c r="CF82" s="1558"/>
      <c r="CG82" s="1558"/>
      <c r="CH82" s="1558"/>
      <c r="CI82" s="2031" t="s">
        <v>4482</v>
      </c>
      <c r="CJ82" s="2032" t="s">
        <v>2011</v>
      </c>
      <c r="CK82" s="1556"/>
      <c r="CL82" s="1559" t="s">
        <v>4472</v>
      </c>
    </row>
    <row r="83" spans="2:90" ht="18" x14ac:dyDescent="0.25">
      <c r="B83" s="1152">
        <v>79</v>
      </c>
      <c r="C83" s="1153" t="s">
        <v>3077</v>
      </c>
      <c r="D83" s="1154" t="s">
        <v>3759</v>
      </c>
      <c r="E83" s="1155"/>
      <c r="F83" s="1155"/>
      <c r="G83" s="1155"/>
      <c r="H83" s="1155"/>
      <c r="I83" s="1606"/>
      <c r="J83" s="1606"/>
      <c r="K83" s="1155"/>
      <c r="L83" s="1155"/>
      <c r="M83" s="1155"/>
      <c r="N83" s="1155"/>
      <c r="O83" s="1155"/>
      <c r="P83" s="1155"/>
      <c r="Q83" s="1155"/>
      <c r="R83" s="1156"/>
      <c r="S83" s="1155"/>
      <c r="T83" s="1155"/>
      <c r="U83" s="1155"/>
      <c r="V83" s="1155"/>
      <c r="W83" s="1155"/>
      <c r="X83" s="1155"/>
      <c r="Y83" s="1156"/>
      <c r="Z83" s="1155"/>
      <c r="AA83" s="1155"/>
      <c r="AB83" s="1155"/>
      <c r="AC83" s="1606"/>
      <c r="AD83" s="1606"/>
      <c r="AE83" s="1155"/>
      <c r="AF83" s="1156"/>
      <c r="AG83" s="1155"/>
      <c r="AH83" s="1155"/>
      <c r="AI83" s="1606"/>
      <c r="AJ83" s="1606"/>
      <c r="AK83" s="1155"/>
      <c r="AL83" s="1155"/>
      <c r="AM83" s="1155"/>
      <c r="AN83" s="1155"/>
      <c r="AO83" s="1155"/>
      <c r="AP83" s="1155"/>
      <c r="AQ83" s="1155"/>
      <c r="AR83" s="1155"/>
      <c r="AS83" s="1155"/>
      <c r="AT83" s="1156"/>
      <c r="AU83" s="1155"/>
      <c r="AV83" s="1156"/>
      <c r="AW83" s="1155"/>
      <c r="AX83" s="1155"/>
      <c r="AY83" s="1156"/>
      <c r="AZ83" s="1156"/>
      <c r="BA83" s="1155"/>
      <c r="BB83" s="1156"/>
      <c r="BC83" s="1156"/>
      <c r="BD83" s="1155"/>
      <c r="BE83" s="1155"/>
      <c r="BF83" s="1156"/>
      <c r="BG83" s="1156"/>
      <c r="BH83" s="1155"/>
      <c r="BI83" s="1156"/>
      <c r="BJ83" s="1156"/>
      <c r="BK83" s="1156"/>
      <c r="BL83" s="1156"/>
      <c r="BM83" s="1156"/>
      <c r="BN83" s="1156"/>
      <c r="BO83" s="1156"/>
      <c r="BP83" s="1196"/>
      <c r="BQ83" s="1196"/>
      <c r="BR83" s="1196"/>
      <c r="BS83" s="1196"/>
      <c r="BT83" s="1156"/>
      <c r="BU83" s="1156">
        <v>1</v>
      </c>
      <c r="BV83" s="1156"/>
      <c r="BW83" s="1156"/>
      <c r="BX83" s="1156"/>
      <c r="BY83" s="1156"/>
      <c r="BZ83" s="1156"/>
      <c r="CA83" s="1156"/>
      <c r="CB83" s="1156"/>
      <c r="CC83" s="1156"/>
      <c r="CD83" s="1156"/>
      <c r="CE83" s="1156"/>
      <c r="CF83" s="1156"/>
      <c r="CG83" s="1156"/>
      <c r="CH83" s="1156"/>
      <c r="CI83" s="1057" t="s">
        <v>4228</v>
      </c>
      <c r="CJ83" s="1021" t="s">
        <v>3760</v>
      </c>
      <c r="CK83" s="1157"/>
      <c r="CL83" s="1057"/>
    </row>
    <row r="84" spans="2:90" ht="18" x14ac:dyDescent="0.25">
      <c r="B84" s="1058">
        <v>80</v>
      </c>
      <c r="C84" s="1158" t="s">
        <v>3490</v>
      </c>
      <c r="D84" s="1159" t="s">
        <v>2850</v>
      </c>
      <c r="E84" s="1160"/>
      <c r="F84" s="1160"/>
      <c r="G84" s="1160"/>
      <c r="H84" s="1160"/>
      <c r="I84" s="1607"/>
      <c r="J84" s="1607"/>
      <c r="K84" s="1160"/>
      <c r="L84" s="1160"/>
      <c r="M84" s="1160"/>
      <c r="N84" s="1160"/>
      <c r="O84" s="1160"/>
      <c r="P84" s="1160"/>
      <c r="Q84" s="1160"/>
      <c r="R84" s="1160"/>
      <c r="S84" s="1160"/>
      <c r="T84" s="1160"/>
      <c r="U84" s="1160"/>
      <c r="V84" s="1160"/>
      <c r="W84" s="1160"/>
      <c r="X84" s="1160"/>
      <c r="Y84" s="1160"/>
      <c r="Z84" s="1160"/>
      <c r="AA84" s="1160"/>
      <c r="AB84" s="1160"/>
      <c r="AC84" s="1607"/>
      <c r="AD84" s="1607"/>
      <c r="AE84" s="1160"/>
      <c r="AF84" s="1160"/>
      <c r="AG84" s="1160"/>
      <c r="AH84" s="1160"/>
      <c r="AI84" s="1607"/>
      <c r="AJ84" s="1607"/>
      <c r="AK84" s="1160"/>
      <c r="AL84" s="1160"/>
      <c r="AM84" s="1160"/>
      <c r="AN84" s="1160"/>
      <c r="AO84" s="1160">
        <v>1</v>
      </c>
      <c r="AP84" s="1160"/>
      <c r="AQ84" s="1160"/>
      <c r="AR84" s="1160"/>
      <c r="AS84" s="1160"/>
      <c r="AT84" s="1160"/>
      <c r="AU84" s="1160"/>
      <c r="AV84" s="1160"/>
      <c r="AW84" s="1160"/>
      <c r="AX84" s="1160"/>
      <c r="AY84" s="1160"/>
      <c r="AZ84" s="1160"/>
      <c r="BA84" s="1160"/>
      <c r="BB84" s="1160"/>
      <c r="BC84" s="1160"/>
      <c r="BD84" s="1160"/>
      <c r="BE84" s="1160"/>
      <c r="BF84" s="1160"/>
      <c r="BG84" s="1160"/>
      <c r="BH84" s="1160"/>
      <c r="BI84" s="1160"/>
      <c r="BJ84" s="1160"/>
      <c r="BK84" s="1160"/>
      <c r="BL84" s="1160"/>
      <c r="BM84" s="1160"/>
      <c r="BN84" s="1160"/>
      <c r="BO84" s="1160"/>
      <c r="BP84" s="1197"/>
      <c r="BQ84" s="1197"/>
      <c r="BR84" s="1197"/>
      <c r="BS84" s="1197"/>
      <c r="BT84" s="1160"/>
      <c r="BU84" s="1160"/>
      <c r="BV84" s="1160"/>
      <c r="BW84" s="1160">
        <v>-1</v>
      </c>
      <c r="BX84" s="1160"/>
      <c r="BY84" s="1160"/>
      <c r="BZ84" s="1160"/>
      <c r="CA84" s="1160"/>
      <c r="CB84" s="1160"/>
      <c r="CC84" s="1160"/>
      <c r="CD84" s="1160"/>
      <c r="CE84" s="1160"/>
      <c r="CF84" s="1160"/>
      <c r="CG84" s="1160"/>
      <c r="CH84" s="1160"/>
      <c r="CI84" s="1059" t="s">
        <v>2888</v>
      </c>
      <c r="CJ84" s="1022" t="s">
        <v>2011</v>
      </c>
      <c r="CK84" s="1159"/>
      <c r="CL84" s="1059"/>
    </row>
    <row r="85" spans="2:90" ht="18" x14ac:dyDescent="0.25">
      <c r="B85" s="1058">
        <v>81</v>
      </c>
      <c r="C85" s="1158" t="s">
        <v>3491</v>
      </c>
      <c r="D85" s="1159" t="s">
        <v>2851</v>
      </c>
      <c r="E85" s="1160"/>
      <c r="F85" s="1160"/>
      <c r="G85" s="1160"/>
      <c r="H85" s="1160"/>
      <c r="I85" s="1607"/>
      <c r="J85" s="1607"/>
      <c r="K85" s="1160"/>
      <c r="L85" s="1160"/>
      <c r="M85" s="1160"/>
      <c r="N85" s="1160"/>
      <c r="O85" s="1160"/>
      <c r="P85" s="1160"/>
      <c r="Q85" s="1160"/>
      <c r="R85" s="1160"/>
      <c r="S85" s="1160"/>
      <c r="T85" s="1160"/>
      <c r="U85" s="1160"/>
      <c r="V85" s="1160"/>
      <c r="W85" s="1160"/>
      <c r="X85" s="1160"/>
      <c r="Y85" s="1160"/>
      <c r="Z85" s="1160"/>
      <c r="AA85" s="1160"/>
      <c r="AB85" s="1160"/>
      <c r="AC85" s="1607"/>
      <c r="AD85" s="1607"/>
      <c r="AE85" s="1160"/>
      <c r="AF85" s="1160"/>
      <c r="AG85" s="1160"/>
      <c r="AH85" s="1160"/>
      <c r="AI85" s="1607"/>
      <c r="AJ85" s="1607"/>
      <c r="AK85" s="1160"/>
      <c r="AL85" s="1160"/>
      <c r="AM85" s="1160">
        <v>1</v>
      </c>
      <c r="AN85" s="1160"/>
      <c r="AO85" s="1160"/>
      <c r="AP85" s="1160"/>
      <c r="AQ85" s="1160"/>
      <c r="AR85" s="1160"/>
      <c r="AS85" s="1160"/>
      <c r="AT85" s="1160"/>
      <c r="AU85" s="1160"/>
      <c r="AV85" s="1160"/>
      <c r="AW85" s="1160"/>
      <c r="AX85" s="1160"/>
      <c r="AY85" s="1160"/>
      <c r="AZ85" s="1160"/>
      <c r="BA85" s="1160"/>
      <c r="BB85" s="1160"/>
      <c r="BC85" s="1160"/>
      <c r="BD85" s="1160"/>
      <c r="BE85" s="1160"/>
      <c r="BF85" s="1160"/>
      <c r="BG85" s="1160"/>
      <c r="BH85" s="1160"/>
      <c r="BI85" s="1160"/>
      <c r="BJ85" s="1160"/>
      <c r="BK85" s="1160"/>
      <c r="BL85" s="1160"/>
      <c r="BM85" s="1160"/>
      <c r="BN85" s="1160"/>
      <c r="BO85" s="1160"/>
      <c r="BP85" s="1197"/>
      <c r="BQ85" s="1197"/>
      <c r="BR85" s="1197"/>
      <c r="BS85" s="1197"/>
      <c r="BT85" s="1160"/>
      <c r="BU85" s="1160"/>
      <c r="BV85" s="1160"/>
      <c r="BW85" s="1160"/>
      <c r="BX85" s="1160">
        <v>-1</v>
      </c>
      <c r="BY85" s="1160"/>
      <c r="BZ85" s="1160"/>
      <c r="CA85" s="1160"/>
      <c r="CB85" s="1160"/>
      <c r="CC85" s="1160"/>
      <c r="CD85" s="1160"/>
      <c r="CE85" s="1160"/>
      <c r="CF85" s="1160"/>
      <c r="CG85" s="1160"/>
      <c r="CH85" s="1160"/>
      <c r="CI85" s="1059" t="s">
        <v>2903</v>
      </c>
      <c r="CJ85" s="1022" t="s">
        <v>2011</v>
      </c>
      <c r="CK85" s="1159"/>
      <c r="CL85" s="1059"/>
    </row>
    <row r="86" spans="2:90" ht="18" x14ac:dyDescent="0.25">
      <c r="B86" s="1058">
        <v>82</v>
      </c>
      <c r="C86" s="1158" t="s">
        <v>3492</v>
      </c>
      <c r="D86" s="1159" t="s">
        <v>2852</v>
      </c>
      <c r="E86" s="1160"/>
      <c r="F86" s="1160"/>
      <c r="G86" s="1160"/>
      <c r="H86" s="1160"/>
      <c r="I86" s="1607"/>
      <c r="J86" s="1607"/>
      <c r="K86" s="1160"/>
      <c r="L86" s="1160"/>
      <c r="M86" s="1160"/>
      <c r="N86" s="1160"/>
      <c r="O86" s="1160"/>
      <c r="P86" s="1160"/>
      <c r="Q86" s="1160"/>
      <c r="R86" s="1160"/>
      <c r="S86" s="1160"/>
      <c r="T86" s="1160"/>
      <c r="U86" s="1160"/>
      <c r="V86" s="1160"/>
      <c r="W86" s="1160"/>
      <c r="X86" s="1160"/>
      <c r="Y86" s="1160"/>
      <c r="Z86" s="1160"/>
      <c r="AA86" s="1160"/>
      <c r="AB86" s="1160"/>
      <c r="AC86" s="1607"/>
      <c r="AD86" s="1607"/>
      <c r="AE86" s="1160"/>
      <c r="AF86" s="1160"/>
      <c r="AG86" s="1160"/>
      <c r="AH86" s="1160"/>
      <c r="AI86" s="1607"/>
      <c r="AJ86" s="1607"/>
      <c r="AK86" s="1160"/>
      <c r="AL86" s="1160"/>
      <c r="AM86" s="1160"/>
      <c r="AN86" s="1160">
        <v>1</v>
      </c>
      <c r="AO86" s="1160"/>
      <c r="AP86" s="1160"/>
      <c r="AQ86" s="1160"/>
      <c r="AR86" s="1160"/>
      <c r="AS86" s="1160"/>
      <c r="AT86" s="1160"/>
      <c r="AU86" s="1160"/>
      <c r="AV86" s="1160"/>
      <c r="AW86" s="1160"/>
      <c r="AX86" s="1160"/>
      <c r="AY86" s="1160"/>
      <c r="AZ86" s="1160"/>
      <c r="BA86" s="1160"/>
      <c r="BB86" s="1160"/>
      <c r="BC86" s="1160"/>
      <c r="BD86" s="1160"/>
      <c r="BE86" s="1160"/>
      <c r="BF86" s="1160"/>
      <c r="BG86" s="1160"/>
      <c r="BH86" s="1160"/>
      <c r="BI86" s="1160"/>
      <c r="BJ86" s="1160"/>
      <c r="BK86" s="1160"/>
      <c r="BL86" s="1160"/>
      <c r="BM86" s="1160"/>
      <c r="BN86" s="1160"/>
      <c r="BO86" s="1160"/>
      <c r="BP86" s="1197"/>
      <c r="BQ86" s="1197"/>
      <c r="BR86" s="1197"/>
      <c r="BS86" s="1197"/>
      <c r="BT86" s="1160"/>
      <c r="BU86" s="1160"/>
      <c r="BV86" s="1160"/>
      <c r="BW86" s="1160"/>
      <c r="BX86" s="1160"/>
      <c r="BY86" s="1160">
        <v>-1</v>
      </c>
      <c r="BZ86" s="1160"/>
      <c r="CA86" s="1160"/>
      <c r="CB86" s="1160"/>
      <c r="CC86" s="1160"/>
      <c r="CD86" s="1160"/>
      <c r="CE86" s="1160"/>
      <c r="CF86" s="1160"/>
      <c r="CG86" s="1160"/>
      <c r="CH86" s="1160"/>
      <c r="CI86" s="1059" t="s">
        <v>2904</v>
      </c>
      <c r="CJ86" s="1022" t="s">
        <v>2011</v>
      </c>
      <c r="CK86" s="1159"/>
      <c r="CL86" s="1059"/>
    </row>
    <row r="87" spans="2:90" ht="18" x14ac:dyDescent="0.25">
      <c r="B87" s="1058">
        <v>83</v>
      </c>
      <c r="C87" s="1158" t="s">
        <v>4234</v>
      </c>
      <c r="D87" s="1159" t="s">
        <v>2853</v>
      </c>
      <c r="E87" s="1160"/>
      <c r="F87" s="1160"/>
      <c r="G87" s="1160"/>
      <c r="H87" s="1160"/>
      <c r="I87" s="1607"/>
      <c r="J87" s="1607"/>
      <c r="K87" s="1160"/>
      <c r="L87" s="1160"/>
      <c r="M87" s="1160"/>
      <c r="N87" s="1160"/>
      <c r="O87" s="1160"/>
      <c r="P87" s="1160"/>
      <c r="Q87" s="1160"/>
      <c r="R87" s="1160"/>
      <c r="S87" s="1160"/>
      <c r="T87" s="1160"/>
      <c r="U87" s="1160"/>
      <c r="V87" s="1160"/>
      <c r="W87" s="1160"/>
      <c r="X87" s="1160"/>
      <c r="Y87" s="1160"/>
      <c r="Z87" s="1160"/>
      <c r="AA87" s="1160"/>
      <c r="AB87" s="1160"/>
      <c r="AC87" s="1607"/>
      <c r="AD87" s="1607"/>
      <c r="AE87" s="1160"/>
      <c r="AF87" s="1160"/>
      <c r="AG87" s="1160"/>
      <c r="AH87" s="1160"/>
      <c r="AI87" s="1607"/>
      <c r="AJ87" s="1607"/>
      <c r="AK87" s="1160"/>
      <c r="AL87" s="1160">
        <v>1</v>
      </c>
      <c r="AM87" s="1160"/>
      <c r="AN87" s="1160"/>
      <c r="AO87" s="1160"/>
      <c r="AP87" s="1160"/>
      <c r="AQ87" s="1160"/>
      <c r="AR87" s="1160"/>
      <c r="AS87" s="1160"/>
      <c r="AT87" s="1160"/>
      <c r="AU87" s="1160"/>
      <c r="AV87" s="1160"/>
      <c r="AW87" s="1160"/>
      <c r="AX87" s="1160"/>
      <c r="AY87" s="1160"/>
      <c r="AZ87" s="1160"/>
      <c r="BA87" s="1160"/>
      <c r="BB87" s="1160"/>
      <c r="BC87" s="1160"/>
      <c r="BD87" s="1160"/>
      <c r="BE87" s="1160"/>
      <c r="BF87" s="1160"/>
      <c r="BG87" s="1160"/>
      <c r="BH87" s="1160"/>
      <c r="BI87" s="1160"/>
      <c r="BJ87" s="1160"/>
      <c r="BK87" s="1160"/>
      <c r="BL87" s="1160"/>
      <c r="BM87" s="1160"/>
      <c r="BN87" s="1160"/>
      <c r="BO87" s="1160"/>
      <c r="BP87" s="1197"/>
      <c r="BQ87" s="1197"/>
      <c r="BR87" s="1197"/>
      <c r="BS87" s="1197"/>
      <c r="BT87" s="1160"/>
      <c r="BU87" s="1160"/>
      <c r="BV87" s="1160"/>
      <c r="BW87" s="1160"/>
      <c r="BX87" s="1160"/>
      <c r="BY87" s="1160"/>
      <c r="BZ87" s="1160">
        <v>-1</v>
      </c>
      <c r="CA87" s="1160"/>
      <c r="CB87" s="1160"/>
      <c r="CC87" s="1160"/>
      <c r="CD87" s="1160"/>
      <c r="CE87" s="1160"/>
      <c r="CF87" s="1160"/>
      <c r="CG87" s="1160"/>
      <c r="CH87" s="1160"/>
      <c r="CI87" s="1059" t="s">
        <v>2898</v>
      </c>
      <c r="CJ87" s="1022" t="s">
        <v>2011</v>
      </c>
      <c r="CK87" s="1159"/>
      <c r="CL87" s="1059"/>
    </row>
    <row r="88" spans="2:90" ht="18" x14ac:dyDescent="0.25">
      <c r="B88" s="1058">
        <v>84</v>
      </c>
      <c r="C88" s="1158" t="s">
        <v>4285</v>
      </c>
      <c r="D88" s="1159" t="s">
        <v>2854</v>
      </c>
      <c r="E88" s="1160"/>
      <c r="F88" s="1160"/>
      <c r="G88" s="1160"/>
      <c r="H88" s="1160"/>
      <c r="I88" s="1607"/>
      <c r="J88" s="1607"/>
      <c r="K88" s="1160"/>
      <c r="L88" s="1160"/>
      <c r="M88" s="1160"/>
      <c r="N88" s="1160"/>
      <c r="O88" s="1160"/>
      <c r="P88" s="1160"/>
      <c r="Q88" s="1160"/>
      <c r="R88" s="1160"/>
      <c r="S88" s="1160"/>
      <c r="T88" s="1160"/>
      <c r="U88" s="1160"/>
      <c r="V88" s="1160"/>
      <c r="W88" s="1160"/>
      <c r="X88" s="1160"/>
      <c r="Y88" s="1160">
        <v>1</v>
      </c>
      <c r="Z88" s="1160"/>
      <c r="AA88" s="1160"/>
      <c r="AB88" s="1160"/>
      <c r="AC88" s="1607"/>
      <c r="AD88" s="1607"/>
      <c r="AE88" s="1160"/>
      <c r="AF88" s="1160"/>
      <c r="AG88" s="1160"/>
      <c r="AH88" s="1160"/>
      <c r="AI88" s="1607"/>
      <c r="AJ88" s="1607"/>
      <c r="AK88" s="1160"/>
      <c r="AL88" s="1160"/>
      <c r="AM88" s="1160"/>
      <c r="AN88" s="1160"/>
      <c r="AO88" s="1160"/>
      <c r="AP88" s="1160"/>
      <c r="AQ88" s="1160"/>
      <c r="AR88" s="1160"/>
      <c r="AS88" s="1160"/>
      <c r="AT88" s="1160"/>
      <c r="AU88" s="1160"/>
      <c r="AV88" s="1160"/>
      <c r="AW88" s="1160"/>
      <c r="AX88" s="1160"/>
      <c r="AY88" s="1160"/>
      <c r="AZ88" s="1160"/>
      <c r="BA88" s="1160"/>
      <c r="BB88" s="1160"/>
      <c r="BC88" s="1160"/>
      <c r="BD88" s="1160"/>
      <c r="BE88" s="1160"/>
      <c r="BF88" s="1160"/>
      <c r="BG88" s="1160"/>
      <c r="BH88" s="1160"/>
      <c r="BI88" s="1160"/>
      <c r="BJ88" s="1160"/>
      <c r="BK88" s="1160"/>
      <c r="BL88" s="1160"/>
      <c r="BM88" s="1160"/>
      <c r="BN88" s="1160"/>
      <c r="BO88" s="1160"/>
      <c r="BP88" s="1197"/>
      <c r="BQ88" s="1197"/>
      <c r="BR88" s="1197"/>
      <c r="BS88" s="1197"/>
      <c r="BT88" s="1160"/>
      <c r="BU88" s="1160"/>
      <c r="BV88" s="1160"/>
      <c r="BW88" s="1160"/>
      <c r="BX88" s="1160"/>
      <c r="BY88" s="1160"/>
      <c r="BZ88" s="1160"/>
      <c r="CA88" s="1160">
        <v>-1</v>
      </c>
      <c r="CB88" s="1160"/>
      <c r="CC88" s="1160"/>
      <c r="CD88" s="1160"/>
      <c r="CE88" s="1160"/>
      <c r="CF88" s="1160"/>
      <c r="CG88" s="1160"/>
      <c r="CH88" s="1160"/>
      <c r="CI88" s="1059" t="s">
        <v>2887</v>
      </c>
      <c r="CJ88" s="1022" t="s">
        <v>2011</v>
      </c>
      <c r="CK88" s="1159"/>
      <c r="CL88" s="1059"/>
    </row>
    <row r="89" spans="2:90" ht="18" x14ac:dyDescent="0.25">
      <c r="B89" s="1058">
        <v>85</v>
      </c>
      <c r="C89" s="1158" t="s">
        <v>4380</v>
      </c>
      <c r="D89" s="1159" t="s">
        <v>2855</v>
      </c>
      <c r="E89" s="1160"/>
      <c r="F89" s="1160"/>
      <c r="G89" s="1160"/>
      <c r="H89" s="1160"/>
      <c r="I89" s="1607"/>
      <c r="J89" s="1607"/>
      <c r="K89" s="1160"/>
      <c r="L89" s="1160"/>
      <c r="M89" s="1160"/>
      <c r="N89" s="1160"/>
      <c r="O89" s="1160"/>
      <c r="P89" s="1160"/>
      <c r="Q89" s="1160"/>
      <c r="R89" s="1160"/>
      <c r="S89" s="1160"/>
      <c r="T89" s="1160"/>
      <c r="U89" s="1160"/>
      <c r="V89" s="1160"/>
      <c r="W89" s="1160"/>
      <c r="X89" s="1160"/>
      <c r="Y89" s="1160"/>
      <c r="Z89" s="1160"/>
      <c r="AA89" s="1160">
        <v>1</v>
      </c>
      <c r="AB89" s="1160"/>
      <c r="AC89" s="1607"/>
      <c r="AD89" s="1607"/>
      <c r="AE89" s="1160"/>
      <c r="AF89" s="1160"/>
      <c r="AG89" s="1160"/>
      <c r="AH89" s="1160"/>
      <c r="AI89" s="1607"/>
      <c r="AJ89" s="1607"/>
      <c r="AK89" s="1160"/>
      <c r="AL89" s="1160"/>
      <c r="AM89" s="1160"/>
      <c r="AN89" s="1160"/>
      <c r="AO89" s="1160"/>
      <c r="AP89" s="1160"/>
      <c r="AQ89" s="1160"/>
      <c r="AR89" s="1160"/>
      <c r="AS89" s="1160"/>
      <c r="AT89" s="1160"/>
      <c r="AU89" s="1160"/>
      <c r="AV89" s="1160"/>
      <c r="AW89" s="1160"/>
      <c r="AX89" s="1160"/>
      <c r="AY89" s="1160"/>
      <c r="AZ89" s="1160"/>
      <c r="BA89" s="1160"/>
      <c r="BB89" s="1160"/>
      <c r="BC89" s="1160"/>
      <c r="BD89" s="1160"/>
      <c r="BE89" s="1160"/>
      <c r="BF89" s="1160"/>
      <c r="BG89" s="1160"/>
      <c r="BH89" s="1160"/>
      <c r="BI89" s="1160"/>
      <c r="BJ89" s="1160"/>
      <c r="BK89" s="1160"/>
      <c r="BL89" s="1160"/>
      <c r="BM89" s="1160"/>
      <c r="BN89" s="1160"/>
      <c r="BO89" s="1160"/>
      <c r="BP89" s="1197"/>
      <c r="BQ89" s="1197"/>
      <c r="BR89" s="1197"/>
      <c r="BS89" s="1197"/>
      <c r="BT89" s="1160"/>
      <c r="BU89" s="1160"/>
      <c r="BV89" s="1160"/>
      <c r="BW89" s="1160"/>
      <c r="BX89" s="1160"/>
      <c r="BY89" s="1160"/>
      <c r="BZ89" s="1160"/>
      <c r="CA89" s="1160"/>
      <c r="CB89" s="1160">
        <v>-1</v>
      </c>
      <c r="CC89" s="1160"/>
      <c r="CD89" s="1160"/>
      <c r="CE89" s="1160"/>
      <c r="CF89" s="1160"/>
      <c r="CG89" s="1160"/>
      <c r="CH89" s="1160"/>
      <c r="CI89" s="1059" t="s">
        <v>2899</v>
      </c>
      <c r="CJ89" s="1022" t="s">
        <v>2011</v>
      </c>
      <c r="CK89" s="1159"/>
      <c r="CL89" s="1059"/>
    </row>
    <row r="90" spans="2:90" ht="18" x14ac:dyDescent="0.25">
      <c r="B90" s="1043">
        <v>86</v>
      </c>
      <c r="C90" s="1112" t="s">
        <v>4381</v>
      </c>
      <c r="D90" s="1113" t="s">
        <v>2856</v>
      </c>
      <c r="E90" s="1114"/>
      <c r="F90" s="1114"/>
      <c r="G90" s="1114"/>
      <c r="H90" s="1114"/>
      <c r="I90" s="1600"/>
      <c r="J90" s="1600"/>
      <c r="K90" s="1114"/>
      <c r="L90" s="1114"/>
      <c r="M90" s="1114"/>
      <c r="N90" s="1114"/>
      <c r="O90" s="1114"/>
      <c r="P90" s="1114"/>
      <c r="Q90" s="1114"/>
      <c r="R90" s="1114"/>
      <c r="S90" s="1114"/>
      <c r="T90" s="1114"/>
      <c r="U90" s="1114"/>
      <c r="V90" s="1114"/>
      <c r="W90" s="1114"/>
      <c r="X90" s="1114"/>
      <c r="Y90" s="1114"/>
      <c r="Z90" s="1114"/>
      <c r="AA90" s="1114"/>
      <c r="AB90" s="1114"/>
      <c r="AC90" s="1600"/>
      <c r="AD90" s="1600"/>
      <c r="AE90" s="1114"/>
      <c r="AF90" s="1114"/>
      <c r="AG90" s="1114"/>
      <c r="AH90" s="1114"/>
      <c r="AI90" s="1600"/>
      <c r="AJ90" s="1600"/>
      <c r="AK90" s="1114"/>
      <c r="AL90" s="1114"/>
      <c r="AM90" s="1114"/>
      <c r="AN90" s="1114"/>
      <c r="AO90" s="1114">
        <v>1</v>
      </c>
      <c r="AP90" s="1114"/>
      <c r="AQ90" s="1114"/>
      <c r="AR90" s="1114"/>
      <c r="AS90" s="1114"/>
      <c r="AT90" s="1114"/>
      <c r="AU90" s="1114"/>
      <c r="AV90" s="1114"/>
      <c r="AW90" s="1114"/>
      <c r="AX90" s="1114"/>
      <c r="AY90" s="1114"/>
      <c r="AZ90" s="1114"/>
      <c r="BA90" s="1114"/>
      <c r="BB90" s="1114"/>
      <c r="BC90" s="1114"/>
      <c r="BD90" s="1114"/>
      <c r="BE90" s="1114"/>
      <c r="BF90" s="1114"/>
      <c r="BG90" s="1114"/>
      <c r="BH90" s="1114"/>
      <c r="BI90" s="1114"/>
      <c r="BJ90" s="1114"/>
      <c r="BK90" s="1114"/>
      <c r="BL90" s="1114"/>
      <c r="BM90" s="1114"/>
      <c r="BN90" s="1114"/>
      <c r="BO90" s="1114"/>
      <c r="BP90" s="1188"/>
      <c r="BQ90" s="1188"/>
      <c r="BR90" s="1188"/>
      <c r="BS90" s="1188"/>
      <c r="BT90" s="1114"/>
      <c r="BU90" s="1114"/>
      <c r="BV90" s="1114"/>
      <c r="BW90" s="1114"/>
      <c r="BX90" s="1114"/>
      <c r="BY90" s="1114"/>
      <c r="BZ90" s="1114"/>
      <c r="CA90" s="1114"/>
      <c r="CB90" s="1114"/>
      <c r="CC90" s="1115" t="s">
        <v>2947</v>
      </c>
      <c r="CD90" s="1114"/>
      <c r="CE90" s="1114"/>
      <c r="CF90" s="1114"/>
      <c r="CG90" s="1114"/>
      <c r="CH90" s="1114"/>
      <c r="CI90" s="1045" t="s">
        <v>2889</v>
      </c>
      <c r="CJ90" s="1015" t="s">
        <v>2011</v>
      </c>
      <c r="CK90" s="1113"/>
      <c r="CL90" s="1045"/>
    </row>
    <row r="91" spans="2:90" ht="18" x14ac:dyDescent="0.25">
      <c r="B91" s="1043">
        <v>87</v>
      </c>
      <c r="C91" s="1112" t="s">
        <v>4382</v>
      </c>
      <c r="D91" s="1113" t="s">
        <v>2857</v>
      </c>
      <c r="E91" s="1114"/>
      <c r="F91" s="1114"/>
      <c r="G91" s="1114"/>
      <c r="H91" s="1114"/>
      <c r="I91" s="1600"/>
      <c r="J91" s="1600"/>
      <c r="K91" s="1114"/>
      <c r="L91" s="1114"/>
      <c r="M91" s="1114"/>
      <c r="N91" s="1114"/>
      <c r="O91" s="1114"/>
      <c r="P91" s="1114"/>
      <c r="Q91" s="1114"/>
      <c r="R91" s="1114"/>
      <c r="S91" s="1114"/>
      <c r="T91" s="1114"/>
      <c r="U91" s="1114"/>
      <c r="V91" s="1114"/>
      <c r="W91" s="1114"/>
      <c r="X91" s="1114"/>
      <c r="Y91" s="1114"/>
      <c r="Z91" s="1114"/>
      <c r="AA91" s="1114"/>
      <c r="AB91" s="1114"/>
      <c r="AC91" s="1600"/>
      <c r="AD91" s="1600"/>
      <c r="AE91" s="1114"/>
      <c r="AF91" s="1114"/>
      <c r="AG91" s="1114"/>
      <c r="AH91" s="1114"/>
      <c r="AI91" s="1600"/>
      <c r="AJ91" s="1600"/>
      <c r="AK91" s="1114"/>
      <c r="AL91" s="1114"/>
      <c r="AM91" s="1114">
        <v>1</v>
      </c>
      <c r="AN91" s="1114"/>
      <c r="AO91" s="1114"/>
      <c r="AP91" s="1114"/>
      <c r="AQ91" s="1114"/>
      <c r="AR91" s="1114"/>
      <c r="AS91" s="1114"/>
      <c r="AT91" s="1114"/>
      <c r="AU91" s="1114"/>
      <c r="AV91" s="1114"/>
      <c r="AW91" s="1114"/>
      <c r="AX91" s="1114"/>
      <c r="AY91" s="1114"/>
      <c r="AZ91" s="1114"/>
      <c r="BA91" s="1114"/>
      <c r="BB91" s="1114"/>
      <c r="BC91" s="1114"/>
      <c r="BD91" s="1114"/>
      <c r="BE91" s="1114"/>
      <c r="BF91" s="1114"/>
      <c r="BG91" s="1114"/>
      <c r="BH91" s="1114"/>
      <c r="BI91" s="1114"/>
      <c r="BJ91" s="1114"/>
      <c r="BK91" s="1114"/>
      <c r="BL91" s="1114"/>
      <c r="BM91" s="1114"/>
      <c r="BN91" s="1114"/>
      <c r="BO91" s="1114"/>
      <c r="BP91" s="1188"/>
      <c r="BQ91" s="1188"/>
      <c r="BR91" s="1188"/>
      <c r="BS91" s="1188"/>
      <c r="BT91" s="1114"/>
      <c r="BU91" s="1114"/>
      <c r="BV91" s="1114"/>
      <c r="BW91" s="1114"/>
      <c r="BX91" s="1114"/>
      <c r="BY91" s="1114"/>
      <c r="BZ91" s="1114"/>
      <c r="CA91" s="1114"/>
      <c r="CB91" s="1114"/>
      <c r="CC91" s="1114"/>
      <c r="CD91" s="1115" t="s">
        <v>2947</v>
      </c>
      <c r="CE91" s="1114"/>
      <c r="CF91" s="1114"/>
      <c r="CG91" s="1114"/>
      <c r="CH91" s="1114"/>
      <c r="CI91" s="1045" t="s">
        <v>2900</v>
      </c>
      <c r="CJ91" s="1015" t="s">
        <v>2011</v>
      </c>
      <c r="CK91" s="1113"/>
      <c r="CL91" s="1045"/>
    </row>
    <row r="92" spans="2:90" ht="18" x14ac:dyDescent="0.25">
      <c r="B92" s="1043">
        <v>88</v>
      </c>
      <c r="C92" s="1112" t="s">
        <v>4383</v>
      </c>
      <c r="D92" s="1113" t="s">
        <v>2858</v>
      </c>
      <c r="E92" s="1114"/>
      <c r="F92" s="1114"/>
      <c r="G92" s="1114"/>
      <c r="H92" s="1114"/>
      <c r="I92" s="1600"/>
      <c r="J92" s="1600"/>
      <c r="K92" s="1114"/>
      <c r="L92" s="1114"/>
      <c r="M92" s="1114"/>
      <c r="N92" s="1114"/>
      <c r="O92" s="1114"/>
      <c r="P92" s="1114"/>
      <c r="Q92" s="1114"/>
      <c r="R92" s="1114"/>
      <c r="S92" s="1114"/>
      <c r="T92" s="1114"/>
      <c r="U92" s="1114"/>
      <c r="V92" s="1114"/>
      <c r="W92" s="1114"/>
      <c r="X92" s="1114"/>
      <c r="Y92" s="1114"/>
      <c r="Z92" s="1114"/>
      <c r="AA92" s="1114"/>
      <c r="AB92" s="1114"/>
      <c r="AC92" s="1600"/>
      <c r="AD92" s="1600"/>
      <c r="AE92" s="1114"/>
      <c r="AF92" s="1114"/>
      <c r="AG92" s="1114"/>
      <c r="AH92" s="1114"/>
      <c r="AI92" s="1600"/>
      <c r="AJ92" s="1600"/>
      <c r="AK92" s="1114"/>
      <c r="AL92" s="1114"/>
      <c r="AM92" s="1114"/>
      <c r="AN92" s="1114">
        <v>1</v>
      </c>
      <c r="AO92" s="1114"/>
      <c r="AP92" s="1114"/>
      <c r="AQ92" s="1114"/>
      <c r="AR92" s="1114"/>
      <c r="AS92" s="1114"/>
      <c r="AT92" s="1114"/>
      <c r="AU92" s="1114"/>
      <c r="AV92" s="1114"/>
      <c r="AW92" s="1114"/>
      <c r="AX92" s="1114"/>
      <c r="AY92" s="1114"/>
      <c r="AZ92" s="1114"/>
      <c r="BA92" s="1114"/>
      <c r="BB92" s="1114"/>
      <c r="BC92" s="1114"/>
      <c r="BD92" s="1114"/>
      <c r="BE92" s="1114"/>
      <c r="BF92" s="1114"/>
      <c r="BG92" s="1114"/>
      <c r="BH92" s="1114"/>
      <c r="BI92" s="1114"/>
      <c r="BJ92" s="1114"/>
      <c r="BK92" s="1114"/>
      <c r="BL92" s="1114"/>
      <c r="BM92" s="1114"/>
      <c r="BN92" s="1114"/>
      <c r="BO92" s="1114"/>
      <c r="BP92" s="1188"/>
      <c r="BQ92" s="1188"/>
      <c r="BR92" s="1188"/>
      <c r="BS92" s="1188"/>
      <c r="BT92" s="1114"/>
      <c r="BU92" s="1114"/>
      <c r="BV92" s="1114"/>
      <c r="BW92" s="1114"/>
      <c r="BX92" s="1114"/>
      <c r="BY92" s="1114"/>
      <c r="BZ92" s="1114"/>
      <c r="CA92" s="1114"/>
      <c r="CB92" s="1114"/>
      <c r="CC92" s="1114"/>
      <c r="CD92" s="1114"/>
      <c r="CE92" s="1115" t="s">
        <v>2947</v>
      </c>
      <c r="CF92" s="1114"/>
      <c r="CG92" s="1114"/>
      <c r="CH92" s="1114"/>
      <c r="CI92" s="1045" t="s">
        <v>2909</v>
      </c>
      <c r="CJ92" s="1015" t="s">
        <v>2011</v>
      </c>
      <c r="CK92" s="1113"/>
      <c r="CL92" s="1045"/>
    </row>
    <row r="93" spans="2:90" ht="18" x14ac:dyDescent="0.25">
      <c r="B93" s="1043">
        <v>89</v>
      </c>
      <c r="C93" s="1112" t="s">
        <v>4483</v>
      </c>
      <c r="D93" s="1113" t="s">
        <v>2859</v>
      </c>
      <c r="E93" s="1114"/>
      <c r="F93" s="1114"/>
      <c r="G93" s="1114"/>
      <c r="H93" s="1114"/>
      <c r="I93" s="1600"/>
      <c r="J93" s="1600"/>
      <c r="K93" s="1114"/>
      <c r="L93" s="1114"/>
      <c r="M93" s="1114"/>
      <c r="N93" s="1114"/>
      <c r="O93" s="1114"/>
      <c r="P93" s="1114"/>
      <c r="Q93" s="1114"/>
      <c r="R93" s="1114"/>
      <c r="S93" s="1114"/>
      <c r="T93" s="1114"/>
      <c r="U93" s="1114"/>
      <c r="V93" s="1114"/>
      <c r="W93" s="1114"/>
      <c r="X93" s="1114"/>
      <c r="Y93" s="1114"/>
      <c r="Z93" s="1114"/>
      <c r="AA93" s="1114"/>
      <c r="AB93" s="1114"/>
      <c r="AC93" s="1600"/>
      <c r="AD93" s="1600"/>
      <c r="AE93" s="1114"/>
      <c r="AF93" s="1114"/>
      <c r="AG93" s="1114"/>
      <c r="AH93" s="1114"/>
      <c r="AI93" s="1600"/>
      <c r="AJ93" s="1600"/>
      <c r="AK93" s="1114"/>
      <c r="AL93" s="1114">
        <v>1</v>
      </c>
      <c r="AM93" s="1114"/>
      <c r="AN93" s="1114"/>
      <c r="AO93" s="1114"/>
      <c r="AP93" s="1114"/>
      <c r="AQ93" s="1114"/>
      <c r="AR93" s="1114"/>
      <c r="AS93" s="1114"/>
      <c r="AT93" s="1114"/>
      <c r="AU93" s="1114"/>
      <c r="AV93" s="1114"/>
      <c r="AW93" s="1114"/>
      <c r="AX93" s="1114"/>
      <c r="AY93" s="1114"/>
      <c r="AZ93" s="1114"/>
      <c r="BA93" s="1114"/>
      <c r="BB93" s="1114"/>
      <c r="BC93" s="1114"/>
      <c r="BD93" s="1114"/>
      <c r="BE93" s="1114"/>
      <c r="BF93" s="1114"/>
      <c r="BG93" s="1114"/>
      <c r="BH93" s="1114"/>
      <c r="BI93" s="1114"/>
      <c r="BJ93" s="1114"/>
      <c r="BK93" s="1114"/>
      <c r="BL93" s="1114"/>
      <c r="BM93" s="1114"/>
      <c r="BN93" s="1114"/>
      <c r="BO93" s="1114"/>
      <c r="BP93" s="1188"/>
      <c r="BQ93" s="1188"/>
      <c r="BR93" s="1188"/>
      <c r="BS93" s="1188"/>
      <c r="BT93" s="1114"/>
      <c r="BU93" s="1114"/>
      <c r="BV93" s="1114"/>
      <c r="BW93" s="1114"/>
      <c r="BX93" s="1114"/>
      <c r="BY93" s="1114"/>
      <c r="BZ93" s="1114"/>
      <c r="CA93" s="1114"/>
      <c r="CB93" s="1114"/>
      <c r="CC93" s="1114"/>
      <c r="CD93" s="1114"/>
      <c r="CE93" s="1114"/>
      <c r="CF93" s="1115" t="s">
        <v>2947</v>
      </c>
      <c r="CG93" s="1114"/>
      <c r="CH93" s="1114"/>
      <c r="CI93" s="1045" t="s">
        <v>2901</v>
      </c>
      <c r="CJ93" s="1015" t="s">
        <v>2011</v>
      </c>
      <c r="CK93" s="1113"/>
      <c r="CL93" s="1045"/>
    </row>
    <row r="94" spans="2:90" ht="18" x14ac:dyDescent="0.25">
      <c r="B94" s="1043">
        <v>90</v>
      </c>
      <c r="C94" s="1112" t="s">
        <v>4484</v>
      </c>
      <c r="D94" s="1113" t="s">
        <v>2860</v>
      </c>
      <c r="E94" s="1114"/>
      <c r="F94" s="1114"/>
      <c r="G94" s="1114"/>
      <c r="H94" s="1114"/>
      <c r="I94" s="1600"/>
      <c r="J94" s="1600"/>
      <c r="K94" s="1114"/>
      <c r="L94" s="1114"/>
      <c r="M94" s="1114"/>
      <c r="N94" s="1114"/>
      <c r="O94" s="1114"/>
      <c r="P94" s="1114"/>
      <c r="Q94" s="1114"/>
      <c r="R94" s="1114"/>
      <c r="S94" s="1114"/>
      <c r="T94" s="1114"/>
      <c r="U94" s="1114"/>
      <c r="V94" s="1114"/>
      <c r="W94" s="1114"/>
      <c r="X94" s="1114"/>
      <c r="Y94" s="1114">
        <v>1</v>
      </c>
      <c r="Z94" s="1114"/>
      <c r="AA94" s="1114"/>
      <c r="AB94" s="1114"/>
      <c r="AC94" s="1600"/>
      <c r="AD94" s="1600"/>
      <c r="AE94" s="1114"/>
      <c r="AF94" s="1114"/>
      <c r="AG94" s="1114"/>
      <c r="AH94" s="1114"/>
      <c r="AI94" s="1600"/>
      <c r="AJ94" s="1600"/>
      <c r="AK94" s="1114"/>
      <c r="AL94" s="1114"/>
      <c r="AM94" s="1114"/>
      <c r="AN94" s="1114"/>
      <c r="AO94" s="1114"/>
      <c r="AP94" s="1114"/>
      <c r="AQ94" s="1114"/>
      <c r="AR94" s="1114"/>
      <c r="AS94" s="1114"/>
      <c r="AT94" s="1114"/>
      <c r="AU94" s="1114"/>
      <c r="AV94" s="1114"/>
      <c r="AW94" s="1114"/>
      <c r="AX94" s="1114"/>
      <c r="AY94" s="1114"/>
      <c r="AZ94" s="1114"/>
      <c r="BA94" s="1114"/>
      <c r="BB94" s="1114"/>
      <c r="BC94" s="1114"/>
      <c r="BD94" s="1114"/>
      <c r="BE94" s="1114"/>
      <c r="BF94" s="1114"/>
      <c r="BG94" s="1114"/>
      <c r="BH94" s="1114"/>
      <c r="BI94" s="1114"/>
      <c r="BJ94" s="1114"/>
      <c r="BK94" s="1114"/>
      <c r="BL94" s="1114"/>
      <c r="BM94" s="1114"/>
      <c r="BN94" s="1114"/>
      <c r="BO94" s="1114"/>
      <c r="BP94" s="1188"/>
      <c r="BQ94" s="1188"/>
      <c r="BR94" s="1188"/>
      <c r="BS94" s="1188"/>
      <c r="BT94" s="1114"/>
      <c r="BU94" s="1114"/>
      <c r="BV94" s="1114"/>
      <c r="BW94" s="1114"/>
      <c r="BX94" s="1114"/>
      <c r="BY94" s="1114"/>
      <c r="BZ94" s="1114"/>
      <c r="CA94" s="1114"/>
      <c r="CB94" s="1114"/>
      <c r="CC94" s="1114"/>
      <c r="CD94" s="1114"/>
      <c r="CE94" s="1114"/>
      <c r="CF94" s="1114"/>
      <c r="CG94" s="1115" t="s">
        <v>2947</v>
      </c>
      <c r="CH94" s="1114"/>
      <c r="CI94" s="1045" t="s">
        <v>2890</v>
      </c>
      <c r="CJ94" s="1015" t="s">
        <v>2011</v>
      </c>
      <c r="CK94" s="1113"/>
      <c r="CL94" s="1045"/>
    </row>
    <row r="95" spans="2:90" ht="18.75" thickBot="1" x14ac:dyDescent="0.3">
      <c r="B95" s="768">
        <v>91</v>
      </c>
      <c r="C95" s="1078" t="s">
        <v>4973</v>
      </c>
      <c r="D95" s="1079" t="s">
        <v>2861</v>
      </c>
      <c r="E95" s="1080"/>
      <c r="F95" s="1080"/>
      <c r="G95" s="1080"/>
      <c r="H95" s="1080"/>
      <c r="I95" s="1608"/>
      <c r="J95" s="1608"/>
      <c r="K95" s="1080"/>
      <c r="L95" s="1080"/>
      <c r="M95" s="1080"/>
      <c r="N95" s="1080"/>
      <c r="O95" s="1080"/>
      <c r="P95" s="1080"/>
      <c r="Q95" s="1080"/>
      <c r="R95" s="1080"/>
      <c r="S95" s="1080"/>
      <c r="T95" s="1080"/>
      <c r="U95" s="1080"/>
      <c r="V95" s="1080"/>
      <c r="W95" s="1080"/>
      <c r="X95" s="1080"/>
      <c r="Y95" s="1080"/>
      <c r="Z95" s="1080"/>
      <c r="AA95" s="1080">
        <v>1</v>
      </c>
      <c r="AB95" s="1080"/>
      <c r="AC95" s="1608"/>
      <c r="AD95" s="1608"/>
      <c r="AE95" s="1080"/>
      <c r="AF95" s="1080"/>
      <c r="AG95" s="1080"/>
      <c r="AH95" s="1080"/>
      <c r="AI95" s="1608"/>
      <c r="AJ95" s="1608"/>
      <c r="AK95" s="1080"/>
      <c r="AL95" s="1080"/>
      <c r="AM95" s="1080"/>
      <c r="AN95" s="1080"/>
      <c r="AO95" s="1080"/>
      <c r="AP95" s="1080"/>
      <c r="AQ95" s="1080"/>
      <c r="AR95" s="1080"/>
      <c r="AS95" s="1080"/>
      <c r="AT95" s="1080"/>
      <c r="AU95" s="1080"/>
      <c r="AV95" s="1080"/>
      <c r="AW95" s="1080"/>
      <c r="AX95" s="1080"/>
      <c r="AY95" s="1080"/>
      <c r="AZ95" s="1080"/>
      <c r="BA95" s="1080"/>
      <c r="BB95" s="1080"/>
      <c r="BC95" s="1080"/>
      <c r="BD95" s="1080"/>
      <c r="BE95" s="1080"/>
      <c r="BF95" s="1080"/>
      <c r="BG95" s="1080"/>
      <c r="BH95" s="1080"/>
      <c r="BI95" s="1080"/>
      <c r="BJ95" s="1080"/>
      <c r="BK95" s="1080"/>
      <c r="BL95" s="1080"/>
      <c r="BM95" s="1080"/>
      <c r="BN95" s="1080"/>
      <c r="BO95" s="1080"/>
      <c r="BP95" s="1198"/>
      <c r="BQ95" s="1198"/>
      <c r="BR95" s="1198"/>
      <c r="BS95" s="1198"/>
      <c r="BT95" s="1080"/>
      <c r="BU95" s="1080"/>
      <c r="BV95" s="1080"/>
      <c r="BW95" s="1080"/>
      <c r="BX95" s="1080"/>
      <c r="BY95" s="1080"/>
      <c r="BZ95" s="1080"/>
      <c r="CA95" s="1080"/>
      <c r="CB95" s="1080"/>
      <c r="CC95" s="1080"/>
      <c r="CD95" s="1080"/>
      <c r="CE95" s="1080"/>
      <c r="CF95" s="1080"/>
      <c r="CG95" s="1081"/>
      <c r="CH95" s="1080" t="s">
        <v>2947</v>
      </c>
      <c r="CI95" s="537" t="s">
        <v>2902</v>
      </c>
      <c r="CJ95" s="1082" t="s">
        <v>2011</v>
      </c>
      <c r="CK95" s="1079"/>
      <c r="CL95" s="537"/>
    </row>
    <row r="96" spans="2:90" ht="15.75" thickBot="1" x14ac:dyDescent="0.3"/>
    <row r="97" spans="4:87" ht="15.75" thickBot="1" x14ac:dyDescent="0.3">
      <c r="D97" s="454" t="s">
        <v>6</v>
      </c>
      <c r="E97" s="353"/>
      <c r="F97" s="353"/>
      <c r="G97" s="353"/>
      <c r="H97" s="353"/>
      <c r="I97" s="353"/>
      <c r="J97" s="353"/>
      <c r="K97" s="353"/>
      <c r="L97" s="353"/>
      <c r="M97" s="353"/>
      <c r="N97" s="353"/>
      <c r="O97" s="353"/>
      <c r="P97" s="353"/>
      <c r="Q97" s="353"/>
      <c r="R97" s="353"/>
      <c r="S97" s="353"/>
      <c r="T97" s="353"/>
      <c r="U97" s="353"/>
      <c r="V97" s="353"/>
      <c r="W97" s="353"/>
      <c r="X97" s="353"/>
      <c r="Y97" s="353"/>
      <c r="Z97" s="353"/>
      <c r="AA97" s="353"/>
      <c r="AB97" s="353"/>
      <c r="AC97" s="353"/>
      <c r="AD97" s="353"/>
      <c r="AE97" s="353"/>
      <c r="AF97" s="353"/>
      <c r="AG97" s="353"/>
      <c r="AH97" s="353"/>
      <c r="AI97" s="353"/>
      <c r="AJ97" s="353"/>
      <c r="AK97" s="353"/>
      <c r="AL97" s="353"/>
      <c r="AM97" s="353"/>
      <c r="AN97" s="353"/>
      <c r="AO97" s="353"/>
      <c r="AP97" s="353"/>
      <c r="AQ97" s="353"/>
      <c r="AR97" s="353"/>
      <c r="AS97" s="353"/>
      <c r="AT97" s="353"/>
      <c r="AU97" s="353"/>
      <c r="AV97" s="353"/>
      <c r="AW97" s="353"/>
      <c r="AX97" s="353"/>
      <c r="AY97" s="353"/>
      <c r="AZ97" s="353"/>
      <c r="BA97" s="353"/>
      <c r="BB97" s="353"/>
      <c r="BC97" s="353"/>
      <c r="BD97" s="353"/>
      <c r="BE97" s="353"/>
      <c r="BF97" s="353"/>
      <c r="BG97" s="353"/>
      <c r="BH97" s="353"/>
      <c r="BI97" s="353"/>
      <c r="BJ97" s="353"/>
      <c r="BK97" s="353"/>
      <c r="BL97" s="353"/>
      <c r="BM97" s="353"/>
      <c r="BN97" s="353"/>
      <c r="BO97" s="353"/>
      <c r="BP97" s="353"/>
      <c r="BQ97" s="353"/>
      <c r="BR97" s="353"/>
      <c r="BS97" s="353"/>
      <c r="BT97" s="353"/>
      <c r="BU97" s="353"/>
      <c r="BV97" s="353"/>
      <c r="BW97" s="353"/>
      <c r="BX97" s="353"/>
      <c r="BY97" s="353"/>
      <c r="BZ97" s="353"/>
      <c r="CA97" s="353"/>
      <c r="CB97" s="353"/>
      <c r="CC97" s="353"/>
      <c r="CD97" s="353"/>
      <c r="CE97" s="353"/>
      <c r="CF97" s="353"/>
      <c r="CG97" s="353"/>
      <c r="CH97" s="353"/>
      <c r="CI97" s="1747"/>
    </row>
    <row r="98" spans="4:87" ht="18.75" x14ac:dyDescent="0.25">
      <c r="D98" s="473" t="s">
        <v>148</v>
      </c>
      <c r="E98" s="746">
        <v>1</v>
      </c>
      <c r="F98" s="746">
        <v>1</v>
      </c>
      <c r="G98" s="746">
        <v>1</v>
      </c>
      <c r="H98" s="746">
        <v>1</v>
      </c>
      <c r="I98" s="1609">
        <v>1</v>
      </c>
      <c r="J98" s="1609">
        <v>1</v>
      </c>
      <c r="K98" s="746">
        <v>1</v>
      </c>
      <c r="L98" s="746">
        <v>1</v>
      </c>
      <c r="M98" s="746">
        <v>1</v>
      </c>
      <c r="N98" s="746">
        <v>1</v>
      </c>
      <c r="O98" s="746">
        <v>1</v>
      </c>
      <c r="P98" s="746">
        <v>1</v>
      </c>
      <c r="Q98" s="746">
        <v>1</v>
      </c>
      <c r="R98" s="746">
        <v>1</v>
      </c>
      <c r="S98" s="746">
        <v>1</v>
      </c>
      <c r="T98" s="746">
        <v>1</v>
      </c>
      <c r="U98" s="746">
        <v>1</v>
      </c>
      <c r="V98" s="746">
        <v>1</v>
      </c>
      <c r="W98" s="746">
        <v>1</v>
      </c>
      <c r="X98" s="746">
        <v>1</v>
      </c>
      <c r="Y98" s="746"/>
      <c r="Z98" s="747" t="s">
        <v>1611</v>
      </c>
      <c r="AA98" s="747" t="s">
        <v>1612</v>
      </c>
      <c r="AB98" s="746"/>
      <c r="AC98" s="1609"/>
      <c r="AD98" s="1609"/>
      <c r="AE98" s="746"/>
      <c r="AF98" s="746"/>
      <c r="AG98" s="746"/>
      <c r="AH98" s="746"/>
      <c r="AI98" s="1609"/>
      <c r="AJ98" s="1609"/>
      <c r="AK98" s="746"/>
      <c r="AL98" s="746">
        <v>-1</v>
      </c>
      <c r="AM98" s="746">
        <v>1</v>
      </c>
      <c r="AN98" s="746">
        <v>1</v>
      </c>
      <c r="AO98" s="746"/>
      <c r="AP98" s="746"/>
      <c r="AQ98" s="746"/>
      <c r="AR98" s="746"/>
      <c r="AS98" s="746"/>
      <c r="AT98" s="746"/>
      <c r="AU98" s="746"/>
      <c r="AV98" s="746" t="s">
        <v>1344</v>
      </c>
      <c r="AW98" s="746"/>
      <c r="AX98" s="746"/>
      <c r="AY98" s="746"/>
      <c r="AZ98" s="746"/>
      <c r="BA98" s="746"/>
      <c r="BB98" s="746"/>
      <c r="BC98" s="746"/>
      <c r="BD98" s="746"/>
      <c r="BE98" s="746"/>
      <c r="BF98" s="746"/>
      <c r="BG98" s="746"/>
      <c r="BH98" s="746"/>
      <c r="BI98" s="746"/>
      <c r="BJ98" s="746"/>
      <c r="BK98" s="746"/>
      <c r="BL98" s="746"/>
      <c r="BM98" s="748"/>
      <c r="BN98" s="746"/>
      <c r="BO98" s="749" t="s">
        <v>1613</v>
      </c>
      <c r="BP98" s="1199"/>
      <c r="BQ98" s="1199"/>
      <c r="BR98" s="1199"/>
      <c r="BS98" s="1199"/>
      <c r="BT98" s="749"/>
      <c r="BU98" s="750"/>
      <c r="BV98" s="943"/>
      <c r="BW98" s="746"/>
      <c r="BX98" s="747" t="s">
        <v>2877</v>
      </c>
      <c r="BY98" s="747" t="s">
        <v>2877</v>
      </c>
      <c r="BZ98" s="747" t="s">
        <v>1145</v>
      </c>
      <c r="CA98" s="746"/>
      <c r="CB98" s="747" t="s">
        <v>2878</v>
      </c>
      <c r="CC98" s="746"/>
      <c r="CD98" s="747" t="s">
        <v>2948</v>
      </c>
      <c r="CE98" s="747" t="s">
        <v>2948</v>
      </c>
      <c r="CF98" s="747" t="s">
        <v>2949</v>
      </c>
      <c r="CG98" s="746"/>
      <c r="CH98" s="751" t="s">
        <v>2951</v>
      </c>
      <c r="CI98" s="752"/>
    </row>
    <row r="99" spans="4:87" ht="18.75" x14ac:dyDescent="0.25">
      <c r="D99" s="475" t="s">
        <v>254</v>
      </c>
      <c r="E99" s="753" t="s">
        <v>1958</v>
      </c>
      <c r="F99" s="753" t="s">
        <v>1959</v>
      </c>
      <c r="G99" s="753" t="s">
        <v>1960</v>
      </c>
      <c r="H99" s="753" t="s">
        <v>1959</v>
      </c>
      <c r="I99" s="1610" t="s">
        <v>1959</v>
      </c>
      <c r="J99" s="1610" t="s">
        <v>4956</v>
      </c>
      <c r="K99" s="753" t="s">
        <v>1959</v>
      </c>
      <c r="L99" s="753" t="s">
        <v>1959</v>
      </c>
      <c r="M99" s="753" t="s">
        <v>1959</v>
      </c>
      <c r="N99" s="753" t="s">
        <v>1963</v>
      </c>
      <c r="O99" s="753" t="s">
        <v>1963</v>
      </c>
      <c r="P99" s="753" t="s">
        <v>1610</v>
      </c>
      <c r="Q99" s="753" t="s">
        <v>1610</v>
      </c>
      <c r="R99" s="753" t="s">
        <v>1610</v>
      </c>
      <c r="S99" s="753" t="s">
        <v>1610</v>
      </c>
      <c r="T99" s="753" t="s">
        <v>1610</v>
      </c>
      <c r="U99" s="753" t="s">
        <v>1610</v>
      </c>
      <c r="V99" s="753" t="s">
        <v>1610</v>
      </c>
      <c r="W99" s="753" t="s">
        <v>1610</v>
      </c>
      <c r="X99" s="753" t="s">
        <v>4319</v>
      </c>
      <c r="Y99" s="753"/>
      <c r="Z99" s="754"/>
      <c r="AA99" s="754"/>
      <c r="AB99" s="753"/>
      <c r="AC99" s="1610"/>
      <c r="AD99" s="1610"/>
      <c r="AE99" s="753"/>
      <c r="AF99" s="753"/>
      <c r="AG99" s="753"/>
      <c r="AH99" s="753"/>
      <c r="AI99" s="1610"/>
      <c r="AJ99" s="1610"/>
      <c r="AK99" s="753"/>
      <c r="AL99" s="753"/>
      <c r="AM99" s="753" t="s">
        <v>1957</v>
      </c>
      <c r="AN99" s="753"/>
      <c r="AO99" s="753">
        <v>1</v>
      </c>
      <c r="AP99" s="753"/>
      <c r="AQ99" s="753"/>
      <c r="AR99" s="753"/>
      <c r="AS99" s="753"/>
      <c r="AT99" s="753"/>
      <c r="AU99" s="753"/>
      <c r="AV99" s="753"/>
      <c r="AW99" s="753"/>
      <c r="AX99" s="753"/>
      <c r="AY99" s="753"/>
      <c r="AZ99" s="753"/>
      <c r="BA99" s="753"/>
      <c r="BB99" s="753"/>
      <c r="BC99" s="753"/>
      <c r="BD99" s="753"/>
      <c r="BE99" s="753"/>
      <c r="BF99" s="753"/>
      <c r="BG99" s="753"/>
      <c r="BH99" s="753"/>
      <c r="BI99" s="753"/>
      <c r="BJ99" s="753"/>
      <c r="BK99" s="753" t="s">
        <v>2210</v>
      </c>
      <c r="BL99" s="753"/>
      <c r="BM99" s="684"/>
      <c r="BN99" s="753"/>
      <c r="BO99" s="755"/>
      <c r="BP99" s="1178"/>
      <c r="BQ99" s="1178"/>
      <c r="BR99" s="1178"/>
      <c r="BS99" s="1178"/>
      <c r="BT99" s="755"/>
      <c r="BU99" s="756"/>
      <c r="BV99" s="944"/>
      <c r="BW99" s="754" t="s">
        <v>2877</v>
      </c>
      <c r="BX99" s="753" t="s">
        <v>1957</v>
      </c>
      <c r="BY99" s="753"/>
      <c r="BZ99" s="754"/>
      <c r="CA99" s="753"/>
      <c r="CB99" s="754"/>
      <c r="CC99" s="754" t="s">
        <v>2948</v>
      </c>
      <c r="CD99" s="754" t="s">
        <v>2950</v>
      </c>
      <c r="CE99" s="753"/>
      <c r="CF99" s="754"/>
      <c r="CG99" s="753"/>
      <c r="CH99" s="757"/>
      <c r="CI99" s="758"/>
    </row>
    <row r="100" spans="4:87" ht="18.75" x14ac:dyDescent="0.25">
      <c r="D100" s="475" t="s">
        <v>250</v>
      </c>
      <c r="E100" s="753"/>
      <c r="F100" s="753"/>
      <c r="G100" s="753"/>
      <c r="H100" s="753" t="s">
        <v>1120</v>
      </c>
      <c r="I100" s="1610"/>
      <c r="J100" s="1610"/>
      <c r="K100" s="753" t="s">
        <v>1121</v>
      </c>
      <c r="L100" s="753" t="s">
        <v>1055</v>
      </c>
      <c r="M100" s="753"/>
      <c r="N100" s="753"/>
      <c r="O100" s="753"/>
      <c r="P100" s="753" t="s">
        <v>2133</v>
      </c>
      <c r="Q100" s="753" t="s">
        <v>2133</v>
      </c>
      <c r="R100" s="753" t="s">
        <v>1614</v>
      </c>
      <c r="S100" s="753" t="s">
        <v>1614</v>
      </c>
      <c r="T100" s="753" t="s">
        <v>1614</v>
      </c>
      <c r="U100" s="753" t="s">
        <v>1614</v>
      </c>
      <c r="V100" s="753" t="s">
        <v>1614</v>
      </c>
      <c r="W100" s="753" t="s">
        <v>1614</v>
      </c>
      <c r="X100" s="753" t="s">
        <v>4343</v>
      </c>
      <c r="Y100" s="753">
        <v>1</v>
      </c>
      <c r="Z100" s="753">
        <v>1</v>
      </c>
      <c r="AA100" s="753">
        <v>1</v>
      </c>
      <c r="AB100" s="753">
        <v>1</v>
      </c>
      <c r="AC100" s="1610">
        <v>1</v>
      </c>
      <c r="AD100" s="1610">
        <v>1</v>
      </c>
      <c r="AE100" s="753">
        <v>1</v>
      </c>
      <c r="AF100" s="753"/>
      <c r="AG100" s="753"/>
      <c r="AH100" s="753"/>
      <c r="AI100" s="1610"/>
      <c r="AJ100" s="1610"/>
      <c r="AK100" s="753"/>
      <c r="AL100" s="753"/>
      <c r="AM100" s="753"/>
      <c r="AN100" s="753"/>
      <c r="AO100" s="753"/>
      <c r="AP100" s="753"/>
      <c r="AQ100" s="753"/>
      <c r="AR100" s="753"/>
      <c r="AS100" s="753"/>
      <c r="AT100" s="753"/>
      <c r="AU100" s="753"/>
      <c r="AV100" s="753"/>
      <c r="AW100" s="753"/>
      <c r="AX100" s="753"/>
      <c r="AY100" s="753"/>
      <c r="AZ100" s="753"/>
      <c r="BA100" s="753"/>
      <c r="BB100" s="753"/>
      <c r="BC100" s="753"/>
      <c r="BD100" s="753"/>
      <c r="BE100" s="753"/>
      <c r="BF100" s="753"/>
      <c r="BG100" s="753"/>
      <c r="BH100" s="753"/>
      <c r="BI100" s="753"/>
      <c r="BJ100" s="753"/>
      <c r="BK100" s="753"/>
      <c r="BL100" s="753"/>
      <c r="BM100" s="684"/>
      <c r="BN100" s="753" t="s">
        <v>1615</v>
      </c>
      <c r="BO100" s="753"/>
      <c r="BP100" s="1200"/>
      <c r="BQ100" s="1200"/>
      <c r="BR100" s="1200"/>
      <c r="BS100" s="1200"/>
      <c r="BT100" s="753"/>
      <c r="BU100" s="759"/>
      <c r="BV100" s="945"/>
      <c r="BW100" s="753"/>
      <c r="BX100" s="753"/>
      <c r="BY100" s="753"/>
      <c r="BZ100" s="753"/>
      <c r="CA100" s="754" t="s">
        <v>2877</v>
      </c>
      <c r="CB100" s="754" t="s">
        <v>2877</v>
      </c>
      <c r="CC100" s="753"/>
      <c r="CD100" s="753"/>
      <c r="CE100" s="753"/>
      <c r="CF100" s="753"/>
      <c r="CG100" s="753" t="s">
        <v>2948</v>
      </c>
      <c r="CH100" s="757" t="s">
        <v>2948</v>
      </c>
      <c r="CI100" s="760"/>
    </row>
    <row r="101" spans="4:87" ht="18" x14ac:dyDescent="0.25">
      <c r="D101" s="475" t="s">
        <v>251</v>
      </c>
      <c r="E101" s="753"/>
      <c r="F101" s="753"/>
      <c r="G101" s="753"/>
      <c r="H101" s="753" t="s">
        <v>1056</v>
      </c>
      <c r="I101" s="1610"/>
      <c r="J101" s="1610"/>
      <c r="K101" s="753" t="s">
        <v>1058</v>
      </c>
      <c r="L101" s="753" t="s">
        <v>1057</v>
      </c>
      <c r="M101" s="753"/>
      <c r="N101" s="753"/>
      <c r="O101" s="753"/>
      <c r="P101" s="753" t="s">
        <v>1616</v>
      </c>
      <c r="Q101" s="753" t="s">
        <v>1616</v>
      </c>
      <c r="R101" s="753" t="s">
        <v>1616</v>
      </c>
      <c r="S101" s="753" t="s">
        <v>1616</v>
      </c>
      <c r="T101" s="753" t="s">
        <v>1616</v>
      </c>
      <c r="U101" s="753" t="s">
        <v>1616</v>
      </c>
      <c r="V101" s="753" t="s">
        <v>1616</v>
      </c>
      <c r="W101" s="753" t="s">
        <v>1616</v>
      </c>
      <c r="X101" s="753" t="s">
        <v>4344</v>
      </c>
      <c r="Y101" s="753"/>
      <c r="Z101" s="753"/>
      <c r="AA101" s="753"/>
      <c r="AB101" s="753"/>
      <c r="AC101" s="1610"/>
      <c r="AD101" s="1610"/>
      <c r="AE101" s="753"/>
      <c r="AF101" s="753">
        <v>1</v>
      </c>
      <c r="AG101" s="753">
        <v>1</v>
      </c>
      <c r="AH101" s="753">
        <v>1</v>
      </c>
      <c r="AI101" s="1610">
        <v>1</v>
      </c>
      <c r="AJ101" s="1610">
        <v>1</v>
      </c>
      <c r="AK101" s="753">
        <v>1</v>
      </c>
      <c r="AL101" s="753"/>
      <c r="AM101" s="753"/>
      <c r="AN101" s="753"/>
      <c r="AO101" s="753"/>
      <c r="AP101" s="753"/>
      <c r="AQ101" s="753"/>
      <c r="AR101" s="753"/>
      <c r="AS101" s="753"/>
      <c r="AT101" s="753"/>
      <c r="AU101" s="753"/>
      <c r="AV101" s="755"/>
      <c r="AW101" s="753"/>
      <c r="AX101" s="753"/>
      <c r="AY101" s="755"/>
      <c r="AZ101" s="753" t="s">
        <v>3512</v>
      </c>
      <c r="BA101" s="753" t="s">
        <v>3513</v>
      </c>
      <c r="BB101" s="753" t="s">
        <v>3512</v>
      </c>
      <c r="BC101" s="753" t="s">
        <v>3513</v>
      </c>
      <c r="BD101" s="753"/>
      <c r="BE101" s="753"/>
      <c r="BF101" s="755"/>
      <c r="BG101" s="753" t="s">
        <v>3526</v>
      </c>
      <c r="BH101" s="753" t="s">
        <v>3527</v>
      </c>
      <c r="BI101" s="753" t="s">
        <v>3526</v>
      </c>
      <c r="BJ101" s="753" t="s">
        <v>3527</v>
      </c>
      <c r="BK101" s="755"/>
      <c r="BL101" s="753" t="s">
        <v>1617</v>
      </c>
      <c r="BM101" s="684" t="s">
        <v>3444</v>
      </c>
      <c r="BN101" s="753" t="s">
        <v>1618</v>
      </c>
      <c r="BO101" s="755" t="s">
        <v>1619</v>
      </c>
      <c r="BP101" s="1178"/>
      <c r="BQ101" s="1178"/>
      <c r="BR101" s="1178"/>
      <c r="BS101" s="1178"/>
      <c r="BT101" s="755"/>
      <c r="BU101" s="756"/>
      <c r="BV101" s="944"/>
      <c r="BW101" s="753"/>
      <c r="BX101" s="753"/>
      <c r="BY101" s="753"/>
      <c r="BZ101" s="753"/>
      <c r="CA101" s="753"/>
      <c r="CB101" s="753"/>
      <c r="CC101" s="753"/>
      <c r="CD101" s="753"/>
      <c r="CE101" s="753"/>
      <c r="CF101" s="753"/>
      <c r="CG101" s="753"/>
      <c r="CH101" s="757"/>
      <c r="CI101" s="760"/>
    </row>
    <row r="102" spans="4:87" ht="18" x14ac:dyDescent="0.25">
      <c r="D102" s="475" t="s">
        <v>1111</v>
      </c>
      <c r="E102" s="753"/>
      <c r="F102" s="753"/>
      <c r="G102" s="753"/>
      <c r="H102" s="753"/>
      <c r="I102" s="1610"/>
      <c r="J102" s="1610"/>
      <c r="K102" s="753"/>
      <c r="L102" s="753"/>
      <c r="M102" s="753"/>
      <c r="N102" s="753"/>
      <c r="O102" s="753"/>
      <c r="P102" s="753"/>
      <c r="Q102" s="753"/>
      <c r="R102" s="753"/>
      <c r="S102" s="753"/>
      <c r="T102" s="753"/>
      <c r="U102" s="753"/>
      <c r="V102" s="753"/>
      <c r="W102" s="753"/>
      <c r="X102" s="983"/>
      <c r="Y102" s="753"/>
      <c r="Z102" s="753"/>
      <c r="AA102" s="753"/>
      <c r="AB102" s="753"/>
      <c r="AC102" s="1610"/>
      <c r="AD102" s="1610"/>
      <c r="AE102" s="753"/>
      <c r="AF102" s="753"/>
      <c r="AG102" s="753"/>
      <c r="AH102" s="684"/>
      <c r="AI102" s="1610"/>
      <c r="AJ102" s="1610"/>
      <c r="AK102" s="753"/>
      <c r="AL102" s="753"/>
      <c r="AM102" s="753"/>
      <c r="AN102" s="753"/>
      <c r="AO102" s="753"/>
      <c r="AP102" s="753" t="s">
        <v>3288</v>
      </c>
      <c r="AQ102" s="753">
        <v>1</v>
      </c>
      <c r="AR102" s="753"/>
      <c r="AS102" s="753"/>
      <c r="AT102" s="753"/>
      <c r="AU102" s="753"/>
      <c r="AV102" s="755"/>
      <c r="AW102" s="753"/>
      <c r="AX102" s="753"/>
      <c r="AY102" s="755"/>
      <c r="AZ102" s="755"/>
      <c r="BA102" s="753"/>
      <c r="BB102" s="755"/>
      <c r="BC102" s="755"/>
      <c r="BD102" s="753"/>
      <c r="BE102" s="753"/>
      <c r="BF102" s="755"/>
      <c r="BG102" s="755"/>
      <c r="BH102" s="753"/>
      <c r="BI102" s="755"/>
      <c r="BJ102" s="755"/>
      <c r="BK102" s="755"/>
      <c r="BL102" s="755"/>
      <c r="BM102" s="761"/>
      <c r="BN102" s="753"/>
      <c r="BO102" s="755"/>
      <c r="BP102" s="1178"/>
      <c r="BQ102" s="1178"/>
      <c r="BR102" s="1178"/>
      <c r="BS102" s="1178"/>
      <c r="BT102" s="755"/>
      <c r="BU102" s="756"/>
      <c r="BV102" s="944"/>
      <c r="BW102" s="753"/>
      <c r="BX102" s="753"/>
      <c r="BY102" s="753"/>
      <c r="BZ102" s="753"/>
      <c r="CA102" s="753"/>
      <c r="CB102" s="753"/>
      <c r="CC102" s="753"/>
      <c r="CD102" s="753"/>
      <c r="CE102" s="753"/>
      <c r="CF102" s="753"/>
      <c r="CG102" s="753"/>
      <c r="CH102" s="757"/>
      <c r="CI102" s="760"/>
    </row>
    <row r="103" spans="4:87" ht="18" x14ac:dyDescent="0.25">
      <c r="D103" s="475" t="s">
        <v>475</v>
      </c>
      <c r="E103" s="753"/>
      <c r="F103" s="753"/>
      <c r="G103" s="753"/>
      <c r="H103" s="753"/>
      <c r="I103" s="1610"/>
      <c r="J103" s="1610"/>
      <c r="K103" s="753"/>
      <c r="L103" s="753"/>
      <c r="M103" s="753"/>
      <c r="N103" s="753"/>
      <c r="O103" s="753"/>
      <c r="P103" s="753"/>
      <c r="Q103" s="753"/>
      <c r="R103" s="753"/>
      <c r="S103" s="753"/>
      <c r="T103" s="753"/>
      <c r="U103" s="753"/>
      <c r="V103" s="753"/>
      <c r="W103" s="753"/>
      <c r="X103" s="983"/>
      <c r="Y103" s="753"/>
      <c r="Z103" s="753"/>
      <c r="AA103" s="753"/>
      <c r="AB103" s="753"/>
      <c r="AC103" s="1610"/>
      <c r="AD103" s="1610"/>
      <c r="AE103" s="753"/>
      <c r="AF103" s="753"/>
      <c r="AG103" s="753" t="s">
        <v>1620</v>
      </c>
      <c r="AH103" s="753"/>
      <c r="AI103" s="1610"/>
      <c r="AJ103" s="1610"/>
      <c r="AK103" s="753"/>
      <c r="AL103" s="753"/>
      <c r="AM103" s="753"/>
      <c r="AN103" s="753"/>
      <c r="AO103" s="753"/>
      <c r="AP103" s="753"/>
      <c r="AQ103" s="753"/>
      <c r="AR103" s="753"/>
      <c r="AS103" s="753"/>
      <c r="AT103" s="753"/>
      <c r="AU103" s="753">
        <v>1</v>
      </c>
      <c r="AV103" s="753"/>
      <c r="AW103" s="753"/>
      <c r="AX103" s="753"/>
      <c r="AY103" s="753"/>
      <c r="AZ103" s="753"/>
      <c r="BA103" s="753"/>
      <c r="BB103" s="753"/>
      <c r="BC103" s="753"/>
      <c r="BD103" s="753"/>
      <c r="BE103" s="753"/>
      <c r="BF103" s="753"/>
      <c r="BG103" s="753"/>
      <c r="BH103" s="753"/>
      <c r="BI103" s="753"/>
      <c r="BJ103" s="753"/>
      <c r="BK103" s="753"/>
      <c r="BL103" s="753"/>
      <c r="BM103" s="684"/>
      <c r="BN103" s="753"/>
      <c r="BO103" s="753"/>
      <c r="BP103" s="1200"/>
      <c r="BQ103" s="1200"/>
      <c r="BR103" s="1200"/>
      <c r="BS103" s="1200"/>
      <c r="BT103" s="753"/>
      <c r="BU103" s="759"/>
      <c r="BV103" s="945"/>
      <c r="BW103" s="753"/>
      <c r="BX103" s="753"/>
      <c r="BY103" s="753"/>
      <c r="BZ103" s="753"/>
      <c r="CA103" s="753"/>
      <c r="CB103" s="753"/>
      <c r="CC103" s="753"/>
      <c r="CD103" s="753"/>
      <c r="CE103" s="753"/>
      <c r="CF103" s="753"/>
      <c r="CG103" s="753"/>
      <c r="CH103" s="757"/>
      <c r="CI103" s="760"/>
    </row>
    <row r="104" spans="4:87" ht="18" x14ac:dyDescent="0.25">
      <c r="D104" s="475" t="s">
        <v>986</v>
      </c>
      <c r="E104" s="753"/>
      <c r="F104" s="753"/>
      <c r="G104" s="753"/>
      <c r="H104" s="753"/>
      <c r="I104" s="1610"/>
      <c r="J104" s="1610"/>
      <c r="K104" s="753"/>
      <c r="L104" s="753"/>
      <c r="M104" s="753"/>
      <c r="N104" s="753"/>
      <c r="O104" s="753"/>
      <c r="P104" s="753"/>
      <c r="Q104" s="753"/>
      <c r="R104" s="753"/>
      <c r="S104" s="753"/>
      <c r="T104" s="753"/>
      <c r="U104" s="753"/>
      <c r="V104" s="753"/>
      <c r="W104" s="753"/>
      <c r="X104" s="983"/>
      <c r="Y104" s="753"/>
      <c r="Z104" s="753"/>
      <c r="AA104" s="753"/>
      <c r="AB104" s="753"/>
      <c r="AC104" s="1610"/>
      <c r="AD104" s="1610"/>
      <c r="AE104" s="753"/>
      <c r="AF104" s="753"/>
      <c r="AG104" s="753" t="s">
        <v>1621</v>
      </c>
      <c r="AH104" s="753"/>
      <c r="AI104" s="1610"/>
      <c r="AJ104" s="1610"/>
      <c r="AK104" s="753"/>
      <c r="AL104" s="753"/>
      <c r="AM104" s="753"/>
      <c r="AN104" s="753"/>
      <c r="AO104" s="753"/>
      <c r="AP104" s="753" t="s">
        <v>3276</v>
      </c>
      <c r="AQ104" s="753"/>
      <c r="AR104" s="753"/>
      <c r="AS104" s="753">
        <v>1</v>
      </c>
      <c r="AT104" s="753"/>
      <c r="AU104" s="753"/>
      <c r="AV104" s="753"/>
      <c r="AW104" s="753"/>
      <c r="AX104" s="753"/>
      <c r="AY104" s="753"/>
      <c r="AZ104" s="753"/>
      <c r="BA104" s="753"/>
      <c r="BB104" s="753"/>
      <c r="BC104" s="753"/>
      <c r="BD104" s="753"/>
      <c r="BE104" s="753"/>
      <c r="BF104" s="753"/>
      <c r="BG104" s="753"/>
      <c r="BH104" s="753"/>
      <c r="BI104" s="753"/>
      <c r="BJ104" s="753"/>
      <c r="BK104" s="753" t="s">
        <v>1622</v>
      </c>
      <c r="BL104" s="753" t="s">
        <v>1623</v>
      </c>
      <c r="BM104" s="684" t="s">
        <v>3445</v>
      </c>
      <c r="BN104" s="753"/>
      <c r="BO104" s="753"/>
      <c r="BP104" s="1200"/>
      <c r="BQ104" s="1200"/>
      <c r="BR104" s="1200"/>
      <c r="BS104" s="1200"/>
      <c r="BT104" s="753"/>
      <c r="BU104" s="759"/>
      <c r="BV104" s="945"/>
      <c r="BW104" s="753"/>
      <c r="BX104" s="753"/>
      <c r="BY104" s="753"/>
      <c r="BZ104" s="753"/>
      <c r="CA104" s="753"/>
      <c r="CB104" s="753"/>
      <c r="CC104" s="753"/>
      <c r="CD104" s="753"/>
      <c r="CE104" s="753"/>
      <c r="CF104" s="753"/>
      <c r="CG104" s="753"/>
      <c r="CH104" s="757"/>
      <c r="CI104" s="760"/>
    </row>
    <row r="105" spans="4:87" ht="18" x14ac:dyDescent="0.25">
      <c r="D105" s="475" t="s">
        <v>987</v>
      </c>
      <c r="E105" s="753"/>
      <c r="F105" s="753"/>
      <c r="G105" s="753"/>
      <c r="H105" s="753"/>
      <c r="I105" s="1610"/>
      <c r="J105" s="1610"/>
      <c r="K105" s="753"/>
      <c r="L105" s="753"/>
      <c r="M105" s="753"/>
      <c r="N105" s="753"/>
      <c r="O105" s="753"/>
      <c r="P105" s="753"/>
      <c r="Q105" s="753"/>
      <c r="R105" s="753"/>
      <c r="S105" s="753"/>
      <c r="T105" s="753"/>
      <c r="U105" s="753"/>
      <c r="V105" s="753"/>
      <c r="W105" s="753"/>
      <c r="X105" s="983"/>
      <c r="Y105" s="753"/>
      <c r="Z105" s="753"/>
      <c r="AA105" s="753"/>
      <c r="AB105" s="753"/>
      <c r="AC105" s="1610"/>
      <c r="AD105" s="1610"/>
      <c r="AE105" s="753"/>
      <c r="AF105" s="753"/>
      <c r="AG105" s="753" t="s">
        <v>1624</v>
      </c>
      <c r="AH105" s="753"/>
      <c r="AI105" s="1610"/>
      <c r="AJ105" s="1610"/>
      <c r="AK105" s="753"/>
      <c r="AL105" s="753"/>
      <c r="AM105" s="753"/>
      <c r="AN105" s="753"/>
      <c r="AO105" s="753"/>
      <c r="AP105" s="753" t="s">
        <v>3277</v>
      </c>
      <c r="AQ105" s="753"/>
      <c r="AR105" s="753"/>
      <c r="AS105" s="753"/>
      <c r="AT105" s="753">
        <v>1</v>
      </c>
      <c r="AU105" s="753"/>
      <c r="AV105" s="753"/>
      <c r="AW105" s="753"/>
      <c r="AX105" s="753"/>
      <c r="AY105" s="753"/>
      <c r="AZ105" s="753"/>
      <c r="BA105" s="753"/>
      <c r="BB105" s="753"/>
      <c r="BC105" s="753"/>
      <c r="BD105" s="753"/>
      <c r="BE105" s="753"/>
      <c r="BF105" s="753"/>
      <c r="BG105" s="753"/>
      <c r="BH105" s="753"/>
      <c r="BI105" s="753"/>
      <c r="BJ105" s="753"/>
      <c r="BK105" s="753"/>
      <c r="BL105" s="753"/>
      <c r="BM105" s="684"/>
      <c r="BN105" s="753" t="s">
        <v>1625</v>
      </c>
      <c r="BO105" s="753"/>
      <c r="BP105" s="1200"/>
      <c r="BQ105" s="1200"/>
      <c r="BR105" s="1200"/>
      <c r="BS105" s="1200"/>
      <c r="BT105" s="753"/>
      <c r="BU105" s="759"/>
      <c r="BV105" s="945"/>
      <c r="BW105" s="753"/>
      <c r="BX105" s="753"/>
      <c r="BY105" s="753"/>
      <c r="BZ105" s="753"/>
      <c r="CA105" s="753"/>
      <c r="CB105" s="753"/>
      <c r="CC105" s="753"/>
      <c r="CD105" s="753"/>
      <c r="CE105" s="753"/>
      <c r="CF105" s="753"/>
      <c r="CG105" s="753"/>
      <c r="CH105" s="757"/>
      <c r="CI105" s="760"/>
    </row>
    <row r="106" spans="4:87" ht="18" x14ac:dyDescent="0.25">
      <c r="D106" s="475" t="s">
        <v>142</v>
      </c>
      <c r="E106" s="753"/>
      <c r="F106" s="753"/>
      <c r="G106" s="753"/>
      <c r="H106" s="753"/>
      <c r="I106" s="1610"/>
      <c r="J106" s="1610"/>
      <c r="K106" s="753"/>
      <c r="L106" s="753"/>
      <c r="M106" s="753"/>
      <c r="N106" s="753"/>
      <c r="O106" s="753"/>
      <c r="P106" s="753"/>
      <c r="Q106" s="753"/>
      <c r="R106" s="753"/>
      <c r="S106" s="753"/>
      <c r="T106" s="753"/>
      <c r="U106" s="753"/>
      <c r="V106" s="753"/>
      <c r="W106" s="753"/>
      <c r="X106" s="983"/>
      <c r="Y106" s="753"/>
      <c r="Z106" s="753"/>
      <c r="AA106" s="753"/>
      <c r="AB106" s="753"/>
      <c r="AC106" s="1610"/>
      <c r="AD106" s="1610"/>
      <c r="AE106" s="753"/>
      <c r="AF106" s="753"/>
      <c r="AG106" s="753"/>
      <c r="AH106" s="753"/>
      <c r="AI106" s="1610"/>
      <c r="AJ106" s="1610"/>
      <c r="AK106" s="753"/>
      <c r="AL106" s="753"/>
      <c r="AM106" s="753"/>
      <c r="AN106" s="753"/>
      <c r="AO106" s="753"/>
      <c r="AP106" s="753" t="s">
        <v>3289</v>
      </c>
      <c r="AQ106" s="753"/>
      <c r="AR106" s="753">
        <v>1</v>
      </c>
      <c r="AS106" s="753"/>
      <c r="AT106" s="753"/>
      <c r="AU106" s="753"/>
      <c r="AV106" s="753"/>
      <c r="AW106" s="753"/>
      <c r="AX106" s="753"/>
      <c r="AY106" s="753"/>
      <c r="AZ106" s="753"/>
      <c r="BA106" s="753"/>
      <c r="BB106" s="753"/>
      <c r="BC106" s="753"/>
      <c r="BD106" s="753"/>
      <c r="BE106" s="753"/>
      <c r="BF106" s="753"/>
      <c r="BG106" s="753"/>
      <c r="BH106" s="753"/>
      <c r="BI106" s="753"/>
      <c r="BJ106" s="753"/>
      <c r="BK106" s="753"/>
      <c r="BL106" s="753"/>
      <c r="BM106" s="684"/>
      <c r="BN106" s="753"/>
      <c r="BO106" s="753"/>
      <c r="BP106" s="1200"/>
      <c r="BQ106" s="1200"/>
      <c r="BR106" s="1200"/>
      <c r="BS106" s="1200"/>
      <c r="BT106" s="753"/>
      <c r="BU106" s="759"/>
      <c r="BV106" s="945"/>
      <c r="BW106" s="753"/>
      <c r="BX106" s="753"/>
      <c r="BY106" s="753"/>
      <c r="BZ106" s="753"/>
      <c r="CA106" s="753"/>
      <c r="CB106" s="753"/>
      <c r="CC106" s="753"/>
      <c r="CD106" s="753"/>
      <c r="CE106" s="753"/>
      <c r="CF106" s="753"/>
      <c r="CG106" s="753"/>
      <c r="CH106" s="757"/>
      <c r="CI106" s="760"/>
    </row>
    <row r="107" spans="4:87" ht="18" x14ac:dyDescent="0.25">
      <c r="D107" s="475" t="s">
        <v>2662</v>
      </c>
      <c r="E107" s="753"/>
      <c r="F107" s="753"/>
      <c r="G107" s="753"/>
      <c r="H107" s="753"/>
      <c r="I107" s="1610"/>
      <c r="J107" s="1610"/>
      <c r="K107" s="753"/>
      <c r="L107" s="753"/>
      <c r="M107" s="753"/>
      <c r="N107" s="753"/>
      <c r="O107" s="753"/>
      <c r="P107" s="753"/>
      <c r="Q107" s="753"/>
      <c r="R107" s="753"/>
      <c r="S107" s="753"/>
      <c r="T107" s="753"/>
      <c r="U107" s="753"/>
      <c r="V107" s="753"/>
      <c r="W107" s="753"/>
      <c r="X107" s="983"/>
      <c r="Y107" s="753"/>
      <c r="Z107" s="753"/>
      <c r="AA107" s="753"/>
      <c r="AB107" s="753"/>
      <c r="AC107" s="1610"/>
      <c r="AD107" s="1610"/>
      <c r="AE107" s="753"/>
      <c r="AF107" s="753"/>
      <c r="AG107" s="753"/>
      <c r="AH107" s="753"/>
      <c r="AI107" s="1610"/>
      <c r="AJ107" s="1610"/>
      <c r="AK107" s="753"/>
      <c r="AL107" s="753"/>
      <c r="AM107" s="753"/>
      <c r="AN107" s="753"/>
      <c r="AO107" s="753"/>
      <c r="AP107" s="753"/>
      <c r="AQ107" s="753"/>
      <c r="AR107" s="753"/>
      <c r="AS107" s="753"/>
      <c r="AT107" s="753"/>
      <c r="AU107" s="753"/>
      <c r="AV107" s="753">
        <v>1</v>
      </c>
      <c r="AW107" s="753">
        <v>1</v>
      </c>
      <c r="AX107" s="753">
        <v>1</v>
      </c>
      <c r="AY107" s="753">
        <v>1</v>
      </c>
      <c r="AZ107" s="753">
        <v>1</v>
      </c>
      <c r="BA107" s="753">
        <v>1</v>
      </c>
      <c r="BB107" s="753">
        <v>1</v>
      </c>
      <c r="BC107" s="753">
        <v>1</v>
      </c>
      <c r="BD107" s="753"/>
      <c r="BE107" s="753"/>
      <c r="BF107" s="753"/>
      <c r="BG107" s="753"/>
      <c r="BH107" s="753"/>
      <c r="BI107" s="753"/>
      <c r="BJ107" s="753"/>
      <c r="BK107" s="753"/>
      <c r="BL107" s="753"/>
      <c r="BM107" s="684"/>
      <c r="BN107" s="753"/>
      <c r="BO107" s="753" t="s">
        <v>1626</v>
      </c>
      <c r="BP107" s="1200"/>
      <c r="BQ107" s="1200"/>
      <c r="BR107" s="1200"/>
      <c r="BS107" s="1200"/>
      <c r="BT107" s="753"/>
      <c r="BU107" s="759"/>
      <c r="BV107" s="945"/>
      <c r="BW107" s="753"/>
      <c r="BX107" s="753"/>
      <c r="BY107" s="753"/>
      <c r="BZ107" s="753"/>
      <c r="CA107" s="753"/>
      <c r="CB107" s="753"/>
      <c r="CC107" s="753"/>
      <c r="CD107" s="753"/>
      <c r="CE107" s="753"/>
      <c r="CF107" s="753"/>
      <c r="CG107" s="753"/>
      <c r="CH107" s="757"/>
      <c r="CI107" s="760"/>
    </row>
    <row r="108" spans="4:87" ht="15.75" thickBot="1" x14ac:dyDescent="0.3">
      <c r="D108" s="476" t="s">
        <v>2663</v>
      </c>
      <c r="E108" s="762"/>
      <c r="F108" s="762"/>
      <c r="G108" s="762"/>
      <c r="H108" s="762"/>
      <c r="I108" s="1611"/>
      <c r="J108" s="1611"/>
      <c r="K108" s="762"/>
      <c r="L108" s="762"/>
      <c r="M108" s="762"/>
      <c r="N108" s="762"/>
      <c r="O108" s="762"/>
      <c r="P108" s="762"/>
      <c r="Q108" s="762"/>
      <c r="R108" s="762"/>
      <c r="S108" s="762"/>
      <c r="T108" s="762"/>
      <c r="U108" s="762"/>
      <c r="V108" s="762"/>
      <c r="W108" s="762"/>
      <c r="X108" s="984"/>
      <c r="Y108" s="762"/>
      <c r="Z108" s="762"/>
      <c r="AA108" s="762"/>
      <c r="AB108" s="762"/>
      <c r="AC108" s="1611"/>
      <c r="AD108" s="1611"/>
      <c r="AE108" s="762"/>
      <c r="AF108" s="762"/>
      <c r="AG108" s="762"/>
      <c r="AH108" s="762"/>
      <c r="AI108" s="1611"/>
      <c r="AJ108" s="1611"/>
      <c r="AK108" s="762"/>
      <c r="AL108" s="762"/>
      <c r="AM108" s="762"/>
      <c r="AN108" s="762"/>
      <c r="AO108" s="762"/>
      <c r="AP108" s="762"/>
      <c r="AQ108" s="762"/>
      <c r="AR108" s="762"/>
      <c r="AS108" s="762"/>
      <c r="AT108" s="762"/>
      <c r="AU108" s="762"/>
      <c r="AV108" s="763"/>
      <c r="AW108" s="762"/>
      <c r="AX108" s="762"/>
      <c r="AY108" s="763"/>
      <c r="AZ108" s="763"/>
      <c r="BA108" s="762"/>
      <c r="BB108" s="763"/>
      <c r="BC108" s="763"/>
      <c r="BD108" s="753">
        <v>1</v>
      </c>
      <c r="BE108" s="753">
        <v>1</v>
      </c>
      <c r="BF108" s="753">
        <v>1</v>
      </c>
      <c r="BG108" s="753">
        <v>1</v>
      </c>
      <c r="BH108" s="753">
        <v>1</v>
      </c>
      <c r="BI108" s="753">
        <v>1</v>
      </c>
      <c r="BJ108" s="753">
        <v>1</v>
      </c>
      <c r="BK108" s="763"/>
      <c r="BL108" s="763"/>
      <c r="BM108" s="764"/>
      <c r="BN108" s="762"/>
      <c r="BO108" s="763"/>
      <c r="BP108" s="1201"/>
      <c r="BQ108" s="1201"/>
      <c r="BR108" s="1201"/>
      <c r="BS108" s="1201"/>
      <c r="BT108" s="763"/>
      <c r="BU108" s="764"/>
      <c r="BV108" s="946"/>
      <c r="BW108" s="762"/>
      <c r="BX108" s="762"/>
      <c r="BY108" s="762"/>
      <c r="BZ108" s="762"/>
      <c r="CA108" s="762"/>
      <c r="CB108" s="762"/>
      <c r="CC108" s="762"/>
      <c r="CD108" s="762"/>
      <c r="CE108" s="762"/>
      <c r="CF108" s="762"/>
      <c r="CG108" s="762"/>
      <c r="CH108" s="765"/>
      <c r="CI108" s="766"/>
    </row>
    <row r="113" spans="2:99" ht="15.75" thickBot="1" x14ac:dyDescent="0.3">
      <c r="CK113" s="4" t="s">
        <v>4774</v>
      </c>
    </row>
    <row r="114" spans="2:99" ht="19.5" thickBot="1" x14ac:dyDescent="0.3">
      <c r="B114" s="319" t="s">
        <v>93</v>
      </c>
      <c r="C114" s="1066"/>
      <c r="D114" s="1067" t="s">
        <v>1</v>
      </c>
      <c r="E114" s="982" t="s">
        <v>803</v>
      </c>
      <c r="F114" s="982" t="s">
        <v>804</v>
      </c>
      <c r="G114" s="982" t="s">
        <v>805</v>
      </c>
      <c r="H114" s="982" t="s">
        <v>806</v>
      </c>
      <c r="I114" s="1612" t="s">
        <v>807</v>
      </c>
      <c r="J114" s="1612" t="s">
        <v>4674</v>
      </c>
      <c r="K114" s="982" t="s">
        <v>808</v>
      </c>
      <c r="L114" s="982" t="s">
        <v>809</v>
      </c>
      <c r="M114" s="982" t="s">
        <v>810</v>
      </c>
      <c r="N114" s="982" t="s">
        <v>4712</v>
      </c>
      <c r="O114" s="982" t="s">
        <v>4720</v>
      </c>
      <c r="P114" s="982" t="s">
        <v>811</v>
      </c>
      <c r="Q114" s="982" t="s">
        <v>1721</v>
      </c>
      <c r="R114" s="982" t="s">
        <v>812</v>
      </c>
      <c r="S114" s="982" t="s">
        <v>3810</v>
      </c>
      <c r="T114" s="982" t="s">
        <v>813</v>
      </c>
      <c r="U114" s="982" t="s">
        <v>814</v>
      </c>
      <c r="V114" s="982" t="s">
        <v>815</v>
      </c>
      <c r="W114" s="982" t="s">
        <v>816</v>
      </c>
      <c r="X114" s="982" t="s">
        <v>4311</v>
      </c>
      <c r="Y114" s="982" t="s">
        <v>817</v>
      </c>
      <c r="Z114" s="982" t="s">
        <v>818</v>
      </c>
      <c r="AA114" s="982" t="s">
        <v>819</v>
      </c>
      <c r="AB114" s="982" t="s">
        <v>820</v>
      </c>
      <c r="AC114" s="1612" t="s">
        <v>822</v>
      </c>
      <c r="AD114" s="1612" t="s">
        <v>4675</v>
      </c>
      <c r="AE114" s="982" t="s">
        <v>823</v>
      </c>
      <c r="AF114" s="982" t="s">
        <v>824</v>
      </c>
      <c r="AG114" s="982" t="s">
        <v>2110</v>
      </c>
      <c r="AH114" s="982" t="s">
        <v>825</v>
      </c>
      <c r="AI114" s="1612" t="s">
        <v>826</v>
      </c>
      <c r="AJ114" s="1612" t="s">
        <v>4678</v>
      </c>
      <c r="AK114" s="982" t="s">
        <v>827</v>
      </c>
      <c r="AL114" s="982" t="s">
        <v>828</v>
      </c>
      <c r="AM114" s="982" t="s">
        <v>830</v>
      </c>
      <c r="AN114" s="982" t="s">
        <v>831</v>
      </c>
      <c r="AO114" s="982" t="s">
        <v>832</v>
      </c>
      <c r="AP114" s="982" t="s">
        <v>833</v>
      </c>
      <c r="AQ114" s="982" t="s">
        <v>1155</v>
      </c>
      <c r="AR114" s="982" t="s">
        <v>1156</v>
      </c>
      <c r="AS114" s="982" t="s">
        <v>998</v>
      </c>
      <c r="AT114" s="982" t="s">
        <v>1627</v>
      </c>
      <c r="AU114" s="982" t="s">
        <v>1043</v>
      </c>
      <c r="AV114" s="982" t="s">
        <v>1589</v>
      </c>
      <c r="AW114" s="982" t="s">
        <v>1628</v>
      </c>
      <c r="AX114" s="982" t="s">
        <v>1629</v>
      </c>
      <c r="AY114" s="982" t="s">
        <v>1630</v>
      </c>
      <c r="AZ114" s="982" t="s">
        <v>1631</v>
      </c>
      <c r="BA114" s="982" t="s">
        <v>1632</v>
      </c>
      <c r="BB114" s="982" t="s">
        <v>1633</v>
      </c>
      <c r="BC114" s="982" t="s">
        <v>1634</v>
      </c>
      <c r="BD114" s="982" t="s">
        <v>3382</v>
      </c>
      <c r="BE114" s="982" t="s">
        <v>3383</v>
      </c>
      <c r="BF114" s="982" t="s">
        <v>3384</v>
      </c>
      <c r="BG114" s="982" t="s">
        <v>3385</v>
      </c>
      <c r="BH114" s="982" t="s">
        <v>3386</v>
      </c>
      <c r="BI114" s="982" t="s">
        <v>3387</v>
      </c>
      <c r="BJ114" s="982" t="s">
        <v>3388</v>
      </c>
      <c r="BK114" s="1068" t="s">
        <v>999</v>
      </c>
      <c r="BL114" s="1068" t="s">
        <v>1130</v>
      </c>
      <c r="BM114" s="1068" t="s">
        <v>3434</v>
      </c>
      <c r="BN114" s="1068" t="s">
        <v>360</v>
      </c>
      <c r="BO114" s="982" t="s">
        <v>1112</v>
      </c>
      <c r="BP114" s="982" t="s">
        <v>4485</v>
      </c>
      <c r="BQ114" s="982" t="s">
        <v>4486</v>
      </c>
      <c r="BR114" s="982" t="s">
        <v>4487</v>
      </c>
      <c r="BS114" s="982" t="s">
        <v>4488</v>
      </c>
      <c r="BT114" s="982" t="s">
        <v>4446</v>
      </c>
      <c r="BU114" s="1069" t="s">
        <v>3758</v>
      </c>
      <c r="BV114" s="1069" t="s">
        <v>4233</v>
      </c>
      <c r="BW114" s="1067" t="s">
        <v>1635</v>
      </c>
      <c r="BX114" s="1067" t="s">
        <v>1636</v>
      </c>
      <c r="BY114" s="1067" t="s">
        <v>1637</v>
      </c>
      <c r="BZ114" s="1067" t="s">
        <v>1638</v>
      </c>
      <c r="CA114" s="1067" t="s">
        <v>1049</v>
      </c>
      <c r="CB114" s="1067" t="s">
        <v>1639</v>
      </c>
      <c r="CC114" s="1067" t="s">
        <v>2892</v>
      </c>
      <c r="CD114" s="1067" t="s">
        <v>2893</v>
      </c>
      <c r="CE114" s="1067" t="s">
        <v>2894</v>
      </c>
      <c r="CF114" s="1067" t="s">
        <v>2895</v>
      </c>
      <c r="CG114" s="1067" t="s">
        <v>2896</v>
      </c>
      <c r="CH114" s="1067" t="s">
        <v>2897</v>
      </c>
      <c r="CI114" s="1070" t="s">
        <v>1218</v>
      </c>
      <c r="CK114" s="2152" t="s">
        <v>148</v>
      </c>
      <c r="CL114" s="2152" t="s">
        <v>254</v>
      </c>
      <c r="CM114" s="2152" t="s">
        <v>250</v>
      </c>
      <c r="CN114" s="2152" t="s">
        <v>251</v>
      </c>
      <c r="CO114" s="2152" t="s">
        <v>1111</v>
      </c>
      <c r="CP114" s="2152" t="s">
        <v>475</v>
      </c>
      <c r="CQ114" s="2152" t="s">
        <v>986</v>
      </c>
      <c r="CR114" s="2152" t="s">
        <v>987</v>
      </c>
      <c r="CS114" s="2152" t="s">
        <v>142</v>
      </c>
      <c r="CT114" s="2152" t="s">
        <v>2662</v>
      </c>
      <c r="CU114" s="2152" t="s">
        <v>2663</v>
      </c>
    </row>
    <row r="115" spans="2:99" ht="18" x14ac:dyDescent="0.25">
      <c r="B115" s="1023">
        <v>1</v>
      </c>
      <c r="C115" s="1024" t="s">
        <v>223</v>
      </c>
      <c r="D115" s="1025" t="s">
        <v>1640</v>
      </c>
      <c r="E115" s="2053">
        <f>-1/Y_OHO_VFA_ox</f>
        <v>-1.6666666666666667</v>
      </c>
      <c r="F115" s="2075">
        <f>0</f>
        <v>0</v>
      </c>
      <c r="G115" s="2075">
        <f>0</f>
        <v>0</v>
      </c>
      <c r="H115" s="2075">
        <f>0</f>
        <v>0</v>
      </c>
      <c r="I115" s="2077">
        <f>0</f>
        <v>0</v>
      </c>
      <c r="J115" s="2077">
        <f>0</f>
        <v>0</v>
      </c>
      <c r="K115" s="2075">
        <f>0</f>
        <v>0</v>
      </c>
      <c r="L115" s="2075">
        <f>0</f>
        <v>0</v>
      </c>
      <c r="M115" s="2075">
        <f>0</f>
        <v>0</v>
      </c>
      <c r="N115" s="2075">
        <f>0</f>
        <v>0</v>
      </c>
      <c r="O115" s="2075">
        <f>0</f>
        <v>0</v>
      </c>
      <c r="P115" s="2075">
        <f>0</f>
        <v>0</v>
      </c>
      <c r="Q115" s="2075">
        <f>0</f>
        <v>0</v>
      </c>
      <c r="R115" s="2075">
        <f>1</f>
        <v>1</v>
      </c>
      <c r="S115" s="2075">
        <f>0</f>
        <v>0</v>
      </c>
      <c r="T115" s="2075">
        <f>0</f>
        <v>0</v>
      </c>
      <c r="U115" s="2075">
        <f>0</f>
        <v>0</v>
      </c>
      <c r="V115" s="2075">
        <f>0</f>
        <v>0</v>
      </c>
      <c r="W115" s="2075">
        <f>0</f>
        <v>0</v>
      </c>
      <c r="X115" s="2075">
        <f>0</f>
        <v>0</v>
      </c>
      <c r="Y115" s="2053">
        <f>-i_N_BIO</f>
        <v>-7.0000000000000007E-2</v>
      </c>
      <c r="Z115" s="2075">
        <f>0</f>
        <v>0</v>
      </c>
      <c r="AA115" s="2075">
        <f>0</f>
        <v>0</v>
      </c>
      <c r="AB115" s="2075">
        <f>0</f>
        <v>0</v>
      </c>
      <c r="AC115" s="2077">
        <f>0</f>
        <v>0</v>
      </c>
      <c r="AD115" s="2077">
        <f>0</f>
        <v>0</v>
      </c>
      <c r="AE115" s="2075">
        <f>0</f>
        <v>0</v>
      </c>
      <c r="AF115" s="2053">
        <f>-i_P_BIO</f>
        <v>-0.02</v>
      </c>
      <c r="AG115" s="2075">
        <f>0</f>
        <v>0</v>
      </c>
      <c r="AH115" s="2075">
        <f>0</f>
        <v>0</v>
      </c>
      <c r="AI115" s="2077">
        <f>0</f>
        <v>0</v>
      </c>
      <c r="AJ115" s="2077">
        <f>0</f>
        <v>0</v>
      </c>
      <c r="AK115" s="2075">
        <f>0</f>
        <v>0</v>
      </c>
      <c r="AL115" s="2053">
        <f>-(1-Y_OHO_VFA_ox)/Y_OHO_VFA_ox</f>
        <v>-0.66666666666666674</v>
      </c>
      <c r="AM115" s="2053">
        <f>0</f>
        <v>0</v>
      </c>
      <c r="AN115" s="2053">
        <f>0</f>
        <v>0</v>
      </c>
      <c r="AO115" s="2053">
        <f>i_CIT_VFA/Y_OHO_VFA_ox-i_CIT_BIO</f>
        <v>0.27300000000000002</v>
      </c>
      <c r="AP115" s="2053">
        <f>i_INORG</f>
        <v>0.11</v>
      </c>
      <c r="AQ115" s="2053">
        <f>-i_INORG*(1-i_Ca_INORG*(A_MCa+2*A_MCl)/A_MCa-i_Mg_INORG*(A_MMg+2*A_MCl)/A_MMg)*f_Na</f>
        <v>-2.8804303582798466E-2</v>
      </c>
      <c r="AR115" s="2053">
        <f>-i_INORG*(i_Ca_INORG*(2*A_MCl)/A_MCa+i_Mg_INORG*(2*A_MCl)/A_MMg)-i_INORG*(1-i_Ca_INORG*(A_MCa+2*A_MCl)/A_MCa-i_Mg_INORG*(A_MMg+2*A_MCl)/A_MMg)*(1-f_Na)</f>
        <v>-7.0195696417201539E-2</v>
      </c>
      <c r="AS115" s="2053">
        <f>-i_INORG*i_Ca_INORG</f>
        <v>-5.5000000000000005E-3</v>
      </c>
      <c r="AT115" s="2053">
        <f>-i_INORG*i_Mg_INORG</f>
        <v>-5.5000000000000005E-3</v>
      </c>
      <c r="AU115" s="2053">
        <f>0</f>
        <v>0</v>
      </c>
      <c r="AV115" s="2053">
        <f>0</f>
        <v>0</v>
      </c>
      <c r="AW115" s="2053">
        <f>0</f>
        <v>0</v>
      </c>
      <c r="AX115" s="2053">
        <f>0</f>
        <v>0</v>
      </c>
      <c r="AY115" s="2053">
        <f>0</f>
        <v>0</v>
      </c>
      <c r="AZ115" s="2053">
        <f>0</f>
        <v>0</v>
      </c>
      <c r="BA115" s="2053">
        <f>0</f>
        <v>0</v>
      </c>
      <c r="BB115" s="2053">
        <f>0</f>
        <v>0</v>
      </c>
      <c r="BC115" s="2053">
        <f>0</f>
        <v>0</v>
      </c>
      <c r="BD115" s="2053">
        <f>0</f>
        <v>0</v>
      </c>
      <c r="BE115" s="2053">
        <f>0</f>
        <v>0</v>
      </c>
      <c r="BF115" s="2053">
        <f>0</f>
        <v>0</v>
      </c>
      <c r="BG115" s="2053">
        <f>0</f>
        <v>0</v>
      </c>
      <c r="BH115" s="2053">
        <f>0</f>
        <v>0</v>
      </c>
      <c r="BI115" s="2053">
        <f>0</f>
        <v>0</v>
      </c>
      <c r="BJ115" s="2053">
        <f>0</f>
        <v>0</v>
      </c>
      <c r="BK115" s="2053">
        <f>0</f>
        <v>0</v>
      </c>
      <c r="BL115" s="2053">
        <f>0</f>
        <v>0</v>
      </c>
      <c r="BM115" s="2053">
        <f>0</f>
        <v>0</v>
      </c>
      <c r="BN115" s="2053">
        <f>0</f>
        <v>0</v>
      </c>
      <c r="BO115" s="2053">
        <f>0</f>
        <v>0</v>
      </c>
      <c r="BP115" s="2053">
        <f>0</f>
        <v>0</v>
      </c>
      <c r="BQ115" s="2053">
        <f>0</f>
        <v>0</v>
      </c>
      <c r="BR115" s="2053">
        <f>0</f>
        <v>0</v>
      </c>
      <c r="BS115" s="2053">
        <f>0</f>
        <v>0</v>
      </c>
      <c r="BT115" s="2053">
        <f>0</f>
        <v>0</v>
      </c>
      <c r="BU115" s="2053">
        <f>0</f>
        <v>0</v>
      </c>
      <c r="BV115" s="2053">
        <f>0</f>
        <v>0</v>
      </c>
      <c r="BW115" s="2053">
        <f>0</f>
        <v>0</v>
      </c>
      <c r="BX115" s="2053">
        <f>0</f>
        <v>0</v>
      </c>
      <c r="BY115" s="2053">
        <f>0</f>
        <v>0</v>
      </c>
      <c r="BZ115" s="2053">
        <f>0</f>
        <v>0</v>
      </c>
      <c r="CA115" s="2053">
        <f>0</f>
        <v>0</v>
      </c>
      <c r="CB115" s="2053">
        <f>0</f>
        <v>0</v>
      </c>
      <c r="CC115" s="2053">
        <f>0</f>
        <v>0</v>
      </c>
      <c r="CD115" s="2053">
        <f>0</f>
        <v>0</v>
      </c>
      <c r="CE115" s="2053">
        <f>0</f>
        <v>0</v>
      </c>
      <c r="CF115" s="2053">
        <f>0</f>
        <v>0</v>
      </c>
      <c r="CG115" s="2053">
        <f>0</f>
        <v>0</v>
      </c>
      <c r="CH115" s="2053">
        <f>0</f>
        <v>0</v>
      </c>
      <c r="CI115" s="2136">
        <f>µ_OHO_T*X_OHO*M_satSVFA_KVFA*M_satSO2_KO2_OHO*M_satSNHx_KNHx_BIO*M_satSPO4_KPO4_BIO*M_satSCAT_KCAT*M_satSAN_KAN*M_satSCa_KCa*M_satSMg_KMg*B_ellinhpH</f>
        <v>36.025541576211332</v>
      </c>
      <c r="CK115" s="1950">
        <f>E210*E115+F210*F115+G210*G115+H210*H115+I210*I115+J210*J115+K210*K115+L210*L115+M210*M115+N210*N115+O210*O115+P210*P115+Q210*Q115+R210*R115+S210*S115+T210*T115+U210*U115+V210*V115+W210*W115+X210*X115+Y210*Y115+Z210*Z115+AA210*AA115+AB210*AB115+AC210*AC115+AD210*AD115+AE210*AE115+AF210*AF115+AG210*AG115+AH210*AH115+AI210*AI115+AJ210*AJ115+AK210*AK115+AL210*AL115+AM210*AM115+AN210*AN115+AO210*AO115+AP210*AP115+AQ210*AQ115+AR210*AR115+AS210*AS115+AT210*AT115+AU210*AU115+AV210*AV115+AW210*AW115+AX210*AX115+AY210*AY115+AZ210*AZ115+BA210*BA115+BB210*BB115+BC210*BC115+BD210*BD115+BE210*BE115+BF210*BF115+BG210*BG115+BH210*BH115+BI210*BI115+BJ210*BJ115+BK210*BK115+BL210*BL115+BM210*BM115+BN210*BN115+BO210*BO115+BP210*BP115+BQ210*BQ115+BR210*BR115+BS210*BS115+BT210*BT115+BU210*BU115+BV210*BV115+BW210*BW115+BX210*BX115+BY210*BY115+BZ210*BZ115+CA210*CA115+CB210*CB115+CC210*CC115+CD210*CD115+CE210*CE115+CF210*CF115+CG210*CG115+CH210*CH115</f>
        <v>0</v>
      </c>
      <c r="CL115" s="1950">
        <f>E211*E115+F211*F115+G211*G115+H211*H115+I211*I115+J211*J115+K211*K115+L211*L115+M211*M115+N211*N115+O211*O115+P211*P115+Q211*Q115+R211*R115+S211*S115+T211*T115+U211*U115+V211*V115+W211*W115+X211*X115+Y211*Y115+Z211*Z115+AA211*AA115+AB211*AB115+AC211*AC115+AD211*AD115+AE211*AE115+AF211*AF115+AG211*AG115+AH211*AH115+AI211*AI115+AJ211*AJ115+AK211*AK115+AL211*AL115+AM211*AM115+AN211*AN115+AO211*AO115+AP211*AP115+AQ211*AQ115+AR211*AR115+AS211*AS115+AT211*AT115+AU211*AU115+AV211*AV115+AW211*AW115+AX211*AX115+AY211*AY115+AZ211*AZ115+BA211*BA115+BB211*BB115+BC211*BC115+BD211*BD115+BE211*BE115+BF211*BF115+BG211*BG115+BH211*BH115+BI211*BI115+BJ211*BJ115+BK211*BK115+BL211*BL115+BM211*BM115+BN211*BN115+BO211*BO115+BP211*BP115+BQ211*BQ115+BR211*BR115+BS211*BS115+BT211*BT115+BU211*BU115+BV211*BV115+BW211*BW115+BX211*BX115+BY211*BY115+BZ211*BZ115+CA211*CA115+CB211*CB115+CC211*CC115+CD211*CD115+CE211*CE115+CF211*CF115+CG211*CG115+CH211*CH115</f>
        <v>0</v>
      </c>
      <c r="CM115" s="1951">
        <f>E212*E115+F212*F115+G212*G115+H212*H115+I212*I115+J212*J115+K212*K115+L212*L115+M212*M115+N212*N115+O212*O115+P212*P115+Q212*Q115+R212*R115+S212*S115+T212*T115+U212*U115+V212*V115+W212*W115+X212*X115+Y212*Y115+Z212*Z115+AA212*AA115+AB212*AB115+AC212*AC115+AD212*AD115+AE212*AE115+AF212*AF115+AG212*AG115+AH212*AH115+AI212*AI115+AJ212*AJ115+AK212*AK115+AL212*AL115+AM212*AM115+AN212*AN115+AO212*AO115+AP212*AP115+AQ212*AQ115+AR212*AR115+AS212*AS115+AT212*AT115+AU212*AU115+AV212*AV115+AW212*AW115+AX212*AX115+AY212*AY115+AZ212*AZ115+BA212*BA115+BB212*BB115+BC212*BC115+BD212*BD115+BE212*BE115+BF212*BF115+BG212*BG115+BH212*BH115+BI212*BI115+BJ212*BJ115+BK212*BK115+BL212*BL115+BM212*BM115+BN212*BN115+BO212*BO115+BP212*BP115+BQ212*BQ115+BR212*BR115+BS212*BS115+BT212*BT115+BU212*BU115+BV212*BV115+BW212*BW115+BX212*BX115+BY212*BY115+BZ212*BZ115+CA212*CA115+CB212*CB115+CC212*CC115+CD212*CD115+CE212*CE115+CF212*CF115+CG212*CG115+CH212*CH115</f>
        <v>0</v>
      </c>
      <c r="CN115" s="1952">
        <f>E213*E115+F213*F115+G213*G115+H213*H115+I213*I115+J213*J115+K213*K115+L213*L115+M213*M115+N213*N115+O213*O115+P213*P115+Q213*Q115+R213*R115+S213*S115+T213*T115+U213*U115+V213*V115+W213*W115+X213*X115+Y213*Y115+Z213*Z115+AA213*AA115+AB213*AB115+AC213*AC115+AD213*AD115+AE213*AE115+AF213*AF115+AG213*AG115+AH213*AH115+AI213*AI115+AJ213*AJ115+AK213*AK115+AL213*AL115+AM213*AM115+AN213*AN115+AO213*AO115+AP213*AP115+AQ213*AQ115+AR213*AR115+AS213*AS115+AT213*AT115+AU213*AU115+AV213*AV115+AW213*AW115+AX213*AX115+AY213*AY115+AZ213*AZ115+BA213*BA115+BB213*BB115+BC213*BC115+BD213*BD115+BE213*BE115+BF213*BF115+BG213*BG115+BH213*BH115+BI213*BI115+BJ213*BJ115+BK213*BK115+BL213*BL115+BM213*BM115+BN213*BN115+BO213*BO115+BP213*BP115+BQ213*BQ115+BR213*BR115+BS213*BS115+BT213*BT115+BU213*BU115+BV213*BV115+BW213*BW115+BX213*BX115+BY213*BY115+BZ213*BZ115+CA213*CA115+CB213*CB115+CC213*CC115+CD213*CD115+CE213*CE115+CF213*CF115+CG213*CG115+CH213*CH115</f>
        <v>0</v>
      </c>
      <c r="CO115" s="1952">
        <f>E214*E115+F214*F115+G214*G115+H214*H115+I214*I115+J214*J115+K214*K115+L214*L115+M214*M115+N214*N115+O214*O115+P214*P115+Q214*Q115+R214*R115+S214*S115+T214*T115+U214*U115+V214*V115+W214*W115+X214*X115+Y214*Y115+Z214*Z115+AA214*AA115+AB214*AB115+AC214*AC115+AD214*AD115+AE214*AE115+AF214*AF115+AG214*AG115+AH214*AH115+AI214*AI115+AJ214*AJ115+AK214*AK115+AL214*AL115+AM214*AM115+AN214*AN115+AO214*AO115+AP214*AP115+AQ214*AQ115+AR214*AR115+AS214*AS115+AT214*AT115+AU214*AU115+AV214*AV115+AW214*AW115+AX214*AX115+AY214*AY115+AZ214*AZ115+BA214*BA115+BB214*BB115+BC214*BC115+BD214*BD115+BE214*BE115+BF214*BF115+BG214*BG115+BH214*BH115+BI214*BI115+BJ214*BJ115+BK214*BK115+BL214*BL115+BM214*BM115+BN214*BN115+BO214*BO115+BP214*BP115+BQ214*BQ115+BR214*BR115+BS214*BS115+BT214*BT115+BU214*BU115+BV214*BV115+BW214*BW115+BX214*BX115+BY214*BY115+BZ214*BZ115+CA214*CA115+CB214*CB115+CC214*CC115+CD214*CD115+CE214*CE115+CF214*CF115+CG214*CG115+CH214*CH115</f>
        <v>0</v>
      </c>
      <c r="CP115" s="1952">
        <f>E215*E115+F215*F115+G215*G115+H215*H115+I215*I115+J215*J115+K215*K115+L215*L115+M215*M115+N215*N115+O215*O115+P215*P115+Q215*Q115+R215*R115+S215*S115+T215*T115+U215*U115+V215*V115+W215*W115+X215*X115+Y215*Y115+Z215*Z115+AA215*AA115+AB215*AB115+AC215*AC115+AD215*AD115+AE215*AE115+AF215*AF115+AG215*AG115+AH215*AH115+AI215*AI115+AJ215*AJ115+AK215*AK115+AL215*AL115+AM215*AM115+AN215*AN115+AO215*AO115+AP215*AP115+AQ215*AQ115+AR215*AR115+AS215*AS115+AT215*AT115+AU215*AU115+AV215*AV115+AW215*AW115+AX215*AX115+AY215*AY115+AZ215*AZ115+BA215*BA115+BB215*BB115+BC215*BC115+BD215*BD115+BE215*BE115+BF215*BF115+BG215*BG115+BH215*BH115+BI215*BI115+BJ215*BJ115+BK215*BK115+BL215*BL115+BM215*BM115+BN215*BN115+BO215*BO115+BP215*BP115+BQ215*BQ115+BR215*BR115+BS215*BS115+BT215*BT115+BU215*BU115+BV215*BV115+BW215*BW115+BX215*BX115+BY215*BY115+BZ215*BZ115+CA215*CA115+CB215*CB115+CC215*CC115+CD215*CD115+CE215*CE115+CF215*CF115+CG215*CG115+CH215*CH115</f>
        <v>0</v>
      </c>
      <c r="CQ115" s="1952">
        <f>E216*E115+F216*F115+G216*G115+H216*H115+I216*I115+J216*J115+K216*K115+L216*L115+M216*M115+N216*N115+O216*O115+P216*P115+Q216*Q115+R216*R115+S216*S115+T216*T115+U216*U115+V216*V115+W216*W115+X216*X115+Y216*Y115+Z216*Z115+AA216*AA115+AB216*AB115+AC216*AC115+AD216*AD115+AE216*AE115+AF216*AF115+AG216*AG115+AH216*AH115+AI216*AI115+AJ216*AJ115+AK216*AK115+AL216*AL115+AM216*AM115+AN216*AN115+AO216*AO115+AP216*AP115+AQ216*AQ115+AR216*AR115+AS216*AS115+AT216*AT115+AU216*AU115+AV216*AV115+AW216*AW115+AX216*AX115+AY216*AY115+AZ216*AZ115+BA216*BA115+BB216*BB115+BC216*BC115+BD216*BD115+BE216*BE115+BF216*BF115+BG216*BG115+BH216*BH115+BI216*BI115+BJ216*BJ115+BK216*BK115+BL216*BL115+BM216*BM115+BN216*BN115+BO216*BO115+BP216*BP115+BQ216*BQ115+BR216*BR115+BS216*BS115+BT216*BT115+BU216*BU115+BV216*BV115+BW216*BW115+BX216*BX115+BY216*BY115+BZ216*BZ115+CA216*CA115+CB216*CB115+CC216*CC115+CD216*CD115+CE216*CE115+CF216*CF115+CG216*CG115+CH216*CH115</f>
        <v>0</v>
      </c>
      <c r="CR115" s="1952">
        <f>E217*E115+F217*F115+G217*G115+H217*H115+I217*I115+J217*J115+K217*K115+L217*L115+M217*M115+N217*N115+O217*O115+P217*P115+Q217*Q115+R217*R115+S217*S115+T217*T115+U217*U115+V217*V115+W217*W115+X217*X115+Y217*Y115+Z217*Z115+AA217*AA115+AB217*AB115+AC217*AC115+AD217*AD115+AE217*AE115+AF217*AF115+AG217*AG115+AH217*AH115+AI217*AI115+AJ217*AJ115+AK217*AK115+AL217*AL115+AM217*AM115+AN217*AN115+AO217*AO115+AP217*AP115+AQ217*AQ115+AR217*AR115+AS217*AS115+AT217*AT115+AU217*AU115+AV217*AV115+AW217*AW115+AX217*AX115+AY217*AY115+AZ217*AZ115+BA217*BA115+BB217*BB115+BC217*BC115+BD217*BD115+BE217*BE115+BF217*BF115+BG217*BG115+BH217*BH115+BI217*BI115+BJ217*BJ115+BK217*BK115+BL217*BL115+BM217*BM115+BN217*BN115+BO217*BO115+BP217*BP115+BQ217*BQ115+BR217*BR115+BS217*BS115+BT217*BT115+BU217*BU115+BV217*BV115+BW217*BW115+BX217*BX115+BY217*BY115+BZ217*BZ115+CA217*CA115+CB217*CB115+CC217*CC115+CD217*CD115+CE217*CE115+CF217*CF115+CG217*CG115+CH217*CH115</f>
        <v>0</v>
      </c>
      <c r="CS115" s="1952">
        <f>E218*E115+F218*F115+G218*G115+H218*H115+I218*I115+J218*J115+K218*K115+L218*L115+M218*M115+N218*N115+O218*O115+P218*P115+Q218*Q115+R218*R115+S218*S115+T218*T115+U218*U115+V218*V115+W218*W115+X218*X115+Y218*Y115+Z218*Z115+AA218*AA115+AB218*AB115+AC218*AC115+AD218*AD115+AE218*AE115+AF218*AF115+AG218*AG115+AH218*AH115+AI218*AI115+AJ218*AJ115+AK218*AK115+AL218*AL115+AM218*AM115+AN218*AN115+AO218*AO115+AP218*AP115+AQ218*AQ115+AR218*AR115+AS218*AS115+AT218*AT115+AU218*AU115+AV218*AV115+AW218*AW115+AX218*AX115+AY218*AY115+AZ218*AZ115+BA218*BA115+BB218*BB115+BC218*BC115+BD218*BD115+BE218*BE115+BF218*BF115+BG218*BG115+BH218*BH115+BI218*BI115+BJ218*BJ115+BK218*BK115+BL218*BL115+BM218*BM115+BN218*BN115+BO218*BO115+BP218*BP115+BQ218*BQ115+BR218*BR115+BS218*BS115+BT218*BT115+BU218*BU115+BV218*BV115+BW218*BW115+BX218*BX115+BY218*BY115+BZ218*BZ115+CA218*CA115+CB218*CB115+CC218*CC115+CD218*CD115+CE218*CE115+CF218*CF115+CG218*CG115+CH218*CH115</f>
        <v>0</v>
      </c>
      <c r="CT115" s="1952">
        <f>E219*E115+F219*F115+G219*G115+H219*H115+I219*I115+J219*J115+K219*K115+L219*L115+M219*M115+N219*N115+O219*O115+P219*P115+Q219*Q115+R219*R115+S219*S115+T219*T115+U219*U115+V219*V115+W219*W115+X219*X115+Y219*Y115+Z219*Z115+AA219*AA115+AB219*AB115+AC219*AC115+AD219*AD115+AE219*AE115+AF219*AF115+AG219*AG115+AH219*AH115+AI219*AI115+AJ219*AJ115+AK219*AK115+AL219*AL115+AM219*AM115+AN219*AN115+AO219*AO115+AP219*AP115+AQ219*AQ115+AR219*AR115+AS219*AS115+AT219*AT115+AU219*AU115+AV219*AV115+AW219*AW115+AX219*AX115+AY219*AY115+AZ219*AZ115+BA219*BA115+BB219*BB115+BC219*BC115+BD219*BD115+BE219*BE115+BF219*BF115+BG219*BG115+BH219*BH115+BI219*BI115+BJ219*BJ115+BK219*BK115+BL219*BL115+BM219*BM115+BN219*BN115+BO219*BO115+BP219*BP115+BQ219*BQ115+BR219*BR115+BS219*BS115+BT219*BT115+BU219*BU115+BV219*BV115+BW219*BW115+BX219*BX115+BY219*BY115+BZ219*BZ115+CA219*CA115+CB219*CB115+CC219*CC115+CD219*CD115+CE219*CE115+CF219*CF115+CG219*CG115+CH219*CH115</f>
        <v>0</v>
      </c>
      <c r="CU115" s="1952">
        <f>E220*E115+F220*F115+G220*G115+H220*H115+I220*I115+J220*J115+K220*K115+L220*L115+M220*M115+N220*N115+O220*O115+P220*P115+Q220*Q115+R220*R115+S220*S115+T220*T115+U220*U115+V220*V115+W220*W115+X220*X115+Y220*Y115+Z220*Z115+AA220*AA115+AB220*AB115+AC220*AC115+AD220*AD115+AE220*AE115+AF220*AF115+AG220*AG115+AH220*AH115+AI220*AI115+AJ220*AJ115+AK220*AK115+AL220*AL115+AM220*AM115+AN220*AN115+AO220*AO115+AP220*AP115+AQ220*AQ115+AR220*AR115+AS220*AS115+AT220*AT115+AU220*AU115+AV220*AV115+AW220*AW115+AX220*AX115+AY220*AY115+AZ220*AZ115+BA220*BA115+BB220*BB115+BC220*BC115+BD220*BD115+BE220*BE115+BF220*BF115+BG220*BG115+BH220*BH115+BI220*BI115+BJ220*BJ115+BK220*BK115+BL220*BL115+BM220*BM115+BN220*BN115+BO220*BO115+BP220*BP115+BQ220*BQ115+BR220*BR115+BS220*BS115+BT220*BT115+BU220*BU115+BV220*BV115+BW220*BW115+BX220*BX115+BY220*BY115+BZ220*BZ115+CA220*CA115+CB220*CB115+CC220*CC115+CD220*CD115+CE220*CE115+CF220*CF115+CG220*CG115+CH220*CH115</f>
        <v>0</v>
      </c>
    </row>
    <row r="116" spans="2:99" ht="18" x14ac:dyDescent="0.25">
      <c r="B116" s="1029">
        <v>2</v>
      </c>
      <c r="C116" s="1090" t="s">
        <v>224</v>
      </c>
      <c r="D116" s="1091" t="s">
        <v>2585</v>
      </c>
      <c r="E116" s="2054">
        <f>-1/Y_OHO_VFA_anox</f>
        <v>-2.2222222222222223</v>
      </c>
      <c r="F116" s="2055">
        <f>0</f>
        <v>0</v>
      </c>
      <c r="G116" s="2055">
        <f>0</f>
        <v>0</v>
      </c>
      <c r="H116" s="2055">
        <f>0</f>
        <v>0</v>
      </c>
      <c r="I116" s="2078">
        <f>0</f>
        <v>0</v>
      </c>
      <c r="J116" s="2078">
        <f>0</f>
        <v>0</v>
      </c>
      <c r="K116" s="2055">
        <f>0</f>
        <v>0</v>
      </c>
      <c r="L116" s="2055">
        <f>0</f>
        <v>0</v>
      </c>
      <c r="M116" s="2055">
        <f>0</f>
        <v>0</v>
      </c>
      <c r="N116" s="2055">
        <f>0</f>
        <v>0</v>
      </c>
      <c r="O116" s="2055">
        <f>0</f>
        <v>0</v>
      </c>
      <c r="P116" s="2055">
        <f>0</f>
        <v>0</v>
      </c>
      <c r="Q116" s="2055">
        <f>0</f>
        <v>0</v>
      </c>
      <c r="R116" s="2055">
        <f>1</f>
        <v>1</v>
      </c>
      <c r="S116" s="2055">
        <f>0</f>
        <v>0</v>
      </c>
      <c r="T116" s="2055">
        <f>0</f>
        <v>0</v>
      </c>
      <c r="U116" s="2055">
        <f>0</f>
        <v>0</v>
      </c>
      <c r="V116" s="2055">
        <f>0</f>
        <v>0</v>
      </c>
      <c r="W116" s="2055">
        <f>0</f>
        <v>0</v>
      </c>
      <c r="X116" s="2055">
        <f>0</f>
        <v>0</v>
      </c>
      <c r="Y116" s="2054">
        <f>-i_N_BIO</f>
        <v>-7.0000000000000007E-2</v>
      </c>
      <c r="Z116" s="2054">
        <f>-(1-Y_OHO_VFA_anox)/(E_EQN2_NO3*Y_OHO_VFA_anox)</f>
        <v>-0.42799854994562297</v>
      </c>
      <c r="AA116" s="2054">
        <f>(1-Y_OHO_VFA_anox)/(E_EQN2_NO3*Y_OHO_VFA_anox)</f>
        <v>0.42799854994562297</v>
      </c>
      <c r="AB116" s="2055">
        <f>0</f>
        <v>0</v>
      </c>
      <c r="AC116" s="2078">
        <f>0</f>
        <v>0</v>
      </c>
      <c r="AD116" s="2078">
        <f>0</f>
        <v>0</v>
      </c>
      <c r="AE116" s="2055">
        <f>0</f>
        <v>0</v>
      </c>
      <c r="AF116" s="2054">
        <f>-i_P_BIO</f>
        <v>-0.02</v>
      </c>
      <c r="AG116" s="2055">
        <f>0</f>
        <v>0</v>
      </c>
      <c r="AH116" s="2055">
        <f>0</f>
        <v>0</v>
      </c>
      <c r="AI116" s="2078">
        <f>0</f>
        <v>0</v>
      </c>
      <c r="AJ116" s="2078">
        <f>0</f>
        <v>0</v>
      </c>
      <c r="AK116" s="2055">
        <f>0</f>
        <v>0</v>
      </c>
      <c r="AL116" s="2054">
        <f>0</f>
        <v>0</v>
      </c>
      <c r="AM116" s="2054">
        <f>0</f>
        <v>0</v>
      </c>
      <c r="AN116" s="2054">
        <f>0</f>
        <v>0</v>
      </c>
      <c r="AO116" s="2054">
        <f>i_CIT_VFA/Y_OHO_VFA_anox-i_CIT_BIO</f>
        <v>0.48133333333333328</v>
      </c>
      <c r="AP116" s="2054">
        <f>i_INORG</f>
        <v>0.11</v>
      </c>
      <c r="AQ116" s="2054">
        <f>-i_INORG*(1-i_Ca_INORG*(A_MCa+2*A_MCl)/A_MCa-i_Mg_INORG*(A_MMg+2*A_MCl)/A_MMg)*f_Na</f>
        <v>-2.8804303582798466E-2</v>
      </c>
      <c r="AR116" s="2054">
        <f>-i_INORG*(i_Ca_INORG*(2*A_MCl)/A_MCa+i_Mg_INORG*(2*A_MCl)/A_MMg)-i_INORG*(1-i_Ca_INORG*(A_MCa+2*A_MCl)/A_MCa-i_Mg_INORG*(A_MMg+2*A_MCl)/A_MMg)*(1-f_Na)</f>
        <v>-7.0195696417201539E-2</v>
      </c>
      <c r="AS116" s="2054">
        <f>-i_INORG*i_Ca_INORG</f>
        <v>-5.5000000000000005E-3</v>
      </c>
      <c r="AT116" s="2054">
        <f>-i_INORG*i_Mg_INORG</f>
        <v>-5.5000000000000005E-3</v>
      </c>
      <c r="AU116" s="2054">
        <f>0</f>
        <v>0</v>
      </c>
      <c r="AV116" s="2054">
        <f>0</f>
        <v>0</v>
      </c>
      <c r="AW116" s="2054">
        <f>0</f>
        <v>0</v>
      </c>
      <c r="AX116" s="2054">
        <f>0</f>
        <v>0</v>
      </c>
      <c r="AY116" s="2054">
        <f>0</f>
        <v>0</v>
      </c>
      <c r="AZ116" s="2054">
        <f>0</f>
        <v>0</v>
      </c>
      <c r="BA116" s="2054">
        <f>0</f>
        <v>0</v>
      </c>
      <c r="BB116" s="2054">
        <f>0</f>
        <v>0</v>
      </c>
      <c r="BC116" s="2054">
        <f>0</f>
        <v>0</v>
      </c>
      <c r="BD116" s="2054">
        <f>0</f>
        <v>0</v>
      </c>
      <c r="BE116" s="2054">
        <f>0</f>
        <v>0</v>
      </c>
      <c r="BF116" s="2054">
        <f>0</f>
        <v>0</v>
      </c>
      <c r="BG116" s="2054">
        <f>0</f>
        <v>0</v>
      </c>
      <c r="BH116" s="2054">
        <f>0</f>
        <v>0</v>
      </c>
      <c r="BI116" s="2054">
        <f>0</f>
        <v>0</v>
      </c>
      <c r="BJ116" s="2054">
        <f>0</f>
        <v>0</v>
      </c>
      <c r="BK116" s="2054">
        <f>0</f>
        <v>0</v>
      </c>
      <c r="BL116" s="2054">
        <f>0</f>
        <v>0</v>
      </c>
      <c r="BM116" s="2054">
        <f>0</f>
        <v>0</v>
      </c>
      <c r="BN116" s="2054">
        <f>0</f>
        <v>0</v>
      </c>
      <c r="BO116" s="2054">
        <f>0</f>
        <v>0</v>
      </c>
      <c r="BP116" s="2110">
        <f>0</f>
        <v>0</v>
      </c>
      <c r="BQ116" s="2110">
        <f>0</f>
        <v>0</v>
      </c>
      <c r="BR116" s="2110">
        <f>0</f>
        <v>0</v>
      </c>
      <c r="BS116" s="2110">
        <f>0</f>
        <v>0</v>
      </c>
      <c r="BT116" s="2054">
        <f>0</f>
        <v>0</v>
      </c>
      <c r="BU116" s="2054">
        <f>0</f>
        <v>0</v>
      </c>
      <c r="BV116" s="2054">
        <f>0</f>
        <v>0</v>
      </c>
      <c r="BW116" s="2054">
        <f>0</f>
        <v>0</v>
      </c>
      <c r="BX116" s="2054">
        <f>0</f>
        <v>0</v>
      </c>
      <c r="BY116" s="2054">
        <f>0</f>
        <v>0</v>
      </c>
      <c r="BZ116" s="2054">
        <f>0</f>
        <v>0</v>
      </c>
      <c r="CA116" s="2054">
        <f>0</f>
        <v>0</v>
      </c>
      <c r="CB116" s="2054">
        <f>0</f>
        <v>0</v>
      </c>
      <c r="CC116" s="2054">
        <f>0</f>
        <v>0</v>
      </c>
      <c r="CD116" s="2054">
        <f>0</f>
        <v>0</v>
      </c>
      <c r="CE116" s="2054">
        <f>0</f>
        <v>0</v>
      </c>
      <c r="CF116" s="2054">
        <f>0</f>
        <v>0</v>
      </c>
      <c r="CG116" s="2054">
        <f>0</f>
        <v>0</v>
      </c>
      <c r="CH116" s="2054">
        <f>0</f>
        <v>0</v>
      </c>
      <c r="CI116" s="2137">
        <f>µ_OHO_T*X_OHO*η_OHO_anox*M_satSVFA_KVFA*M_satSNOx_KNOx_OHO*M_inhSO2_KO2_OHO*M_satSNHx_KNHx_BIO*M_satSPO4_KPO4_BIO*M_satSCAT_KCAT*M_satSAN_KAN*M_satSCa_KCa*M_satSMg_KMg*B_ellinhpH</f>
        <v>1.6114804880015008</v>
      </c>
      <c r="CK116" s="1950">
        <f>E210*E116+F210*F116+G210*G116+H210*H116+I210*I116+J210*J116+K210*K116+L210*L116+M210*M116+N210*N116+O210*O116+P210*P116+Q210*Q116+R210*R116+S210*S116+T210*T116+U210*U116+V210*V116+W210*W116+X210*X116+Y210*Y116+Z210*Z116+AA210*AA116+AB210*AB116+AC210*AC116+AD210*AD116+AE210*AE116+AF210*AF116+AG210*AG116+AH210*AH116+AI210*AI116+AJ210*AJ116+AK210*AK116+AL210*AL116+AM210*AM116+AN210*AN116+AO210*AO116+AP210*AP116+AQ210*AQ116+AR210*AR116+AS210*AS116+AT210*AT116+AU210*AU116+AV210*AV116+AW210*AW116+AX210*AX116+AY210*AY116+AZ210*AZ116+BA210*BA116+BB210*BB116+BC210*BC116+BD210*BD116+BE210*BE116+BF210*BF116+BG210*BG116+BH210*BH116+BI210*BI116+BJ210*BJ116+BK210*BK116+BL210*BL116+BM210*BM116+BN210*BN116+BO210*BO116+BP210*BP116+BQ210*BQ116+BR210*BR116+BS210*BS116+BT210*BT116+BU210*BU116+BV210*BV116+BW210*BW116+BX210*BX116+BY210*BY116+BZ210*BZ116+CA210*CA116+CB210*CB116+CC210*CC116+CD210*CD116+CE210*CE116+CF210*CF116+CG210*CG116+CH210*CH116</f>
        <v>-3.3306690738754696E-16</v>
      </c>
      <c r="CL116" s="1950">
        <f>E211*E116+F211*F116+G211*G116+H211*H116+I211*I116+J211*J116+K211*K116+L211*L116+M211*M116+N211*N116+O211*O116+P211*P116+Q211*Q116+R211*R116+S211*S116+T211*T116+U211*U116+V211*V116+W211*W116+X211*X116+Y211*Y116+Z211*Z116+AA211*AA116+AB211*AB116+AC211*AC116+AD211*AD116+AE211*AE116+AF211*AF116+AG211*AG116+AH211*AH116+AI211*AI116+AJ211*AJ116+AK211*AK116+AL211*AL116+AM211*AM116+AN211*AN116+AO211*AO116+AP211*AP116+AQ211*AQ116+AR211*AR116+AS211*AS116+AT211*AT116+AU211*AU116+AV211*AV116+AW211*AW116+AX211*AX116+AY211*AY116+AZ211*AZ116+BA211*BA116+BB211*BB116+BC211*BC116+BD211*BD116+BE211*BE116+BF211*BF116+BG211*BG116+BH211*BH116+BI211*BI116+BJ211*BJ116+BK211*BK116+BL211*BL116+BM211*BM116+BN211*BN116+BO211*BO116+BP211*BP116+BQ211*BQ116+BR211*BR116+BS211*BS116+BT211*BT116+BU211*BU116+BV211*BV116+BW211*BW116+BX211*BX116+BY211*BY116+BZ211*BZ116+CA211*CA116+CB211*CB116+CC211*CC116+CD211*CD116+CE211*CE116+CF211*CF116+CG211*CG116+CH211*CH116</f>
        <v>-1.1102230246251565E-16</v>
      </c>
      <c r="CM116" s="1951">
        <f>E212*E116+F212*F116+G212*G116+H212*H116+I212*I116+J212*J116+K212*K116+L212*L116+M212*M116+N212*N116+O212*O116+P212*P116+Q212*Q116+R212*R116+S212*S116+T212*T116+U212*U116+V212*V116+W212*W116+X212*X116+Y212*Y116+Z212*Z116+AA212*AA116+AB212*AB116+AC212*AC116+AD212*AD116+AE212*AE116+AF212*AF116+AG212*AG116+AH212*AH116+AI212*AI116+AJ212*AJ116+AK212*AK116+AL212*AL116+AM212*AM116+AN212*AN116+AO212*AO116+AP212*AP116+AQ212*AQ116+AR212*AR116+AS212*AS116+AT212*AT116+AU212*AU116+AV212*AV116+AW212*AW116+AX212*AX116+AY212*AY116+AZ212*AZ116+BA212*BA116+BB212*BB116+BC212*BC116+BD212*BD116+BE212*BE116+BF212*BF116+BG212*BG116+BH212*BH116+BI212*BI116+BJ212*BJ116+BK212*BK116+BL212*BL116+BM212*BM116+BN212*BN116+BO212*BO116+BP212*BP116+BQ212*BQ116+BR212*BR116+BS212*BS116+BT212*BT116+BU212*BU116+BV212*BV116+BW212*BW116+BX212*BX116+BY212*BY116+BZ212*BZ116+CA212*CA116+CB212*CB116+CC212*CC116+CD212*CD116+CE212*CE116+CF212*CF116+CG212*CG116+CH212*CH116</f>
        <v>0</v>
      </c>
      <c r="CN116" s="1952">
        <f>E213*E116+F213*F116+G213*G116+H213*H116+I213*I116+J213*J116+K213*K116+L213*L116+M213*M116+N213*N116+O213*O116+P213*P116+Q213*Q116+R213*R116+S213*S116+T213*T116+U213*U116+V213*V116+W213*W116+X213*X116+Y213*Y116+Z213*Z116+AA213*AA116+AB213*AB116+AC213*AC116+AD213*AD116+AE213*AE116+AF213*AF116+AG213*AG116+AH213*AH116+AI213*AI116+AJ213*AJ116+AK213*AK116+AL213*AL116+AM213*AM116+AN213*AN116+AO213*AO116+AP213*AP116+AQ213*AQ116+AR213*AR116+AS213*AS116+AT213*AT116+AU213*AU116+AV213*AV116+AW213*AW116+AX213*AX116+AY213*AY116+AZ213*AZ116+BA213*BA116+BB213*BB116+BC213*BC116+BD213*BD116+BE213*BE116+BF213*BF116+BG213*BG116+BH213*BH116+BI213*BI116+BJ213*BJ116+BK213*BK116+BL213*BL116+BM213*BM116+BN213*BN116+BO213*BO116+BP213*BP116+BQ213*BQ116+BR213*BR116+BS213*BS116+BT213*BT116+BU213*BU116+BV213*BV116+BW213*BW116+BX213*BX116+BY213*BY116+BZ213*BZ116+CA213*CA116+CB213*CB116+CC213*CC116+CD213*CD116+CE213*CE116+CF213*CF116+CG213*CG116+CH213*CH116</f>
        <v>0</v>
      </c>
      <c r="CO116" s="1952">
        <f>E214*E116+F214*F116+G214*G116+H214*H116+I214*I116+J214*J116+K214*K116+L214*L116+M214*M116+N214*N116+O214*O116+P214*P116+Q214*Q116+R214*R116+S214*S116+T214*T116+U214*U116+V214*V116+W214*W116+X214*X116+Y214*Y116+Z214*Z116+AA214*AA116+AB214*AB116+AC214*AC116+AD214*AD116+AE214*AE116+AF214*AF116+AG214*AG116+AH214*AH116+AI214*AI116+AJ214*AJ116+AK214*AK116+AL214*AL116+AM214*AM116+AN214*AN116+AO214*AO116+AP214*AP116+AQ214*AQ116+AR214*AR116+AS214*AS116+AT214*AT116+AU214*AU116+AV214*AV116+AW214*AW116+AX214*AX116+AY214*AY116+AZ214*AZ116+BA214*BA116+BB214*BB116+BC214*BC116+BD214*BD116+BE214*BE116+BF214*BF116+BG214*BG116+BH214*BH116+BI214*BI116+BJ214*BJ116+BK214*BK116+BL214*BL116+BM214*BM116+BN214*BN116+BO214*BO116+BP214*BP116+BQ214*BQ116+BR214*BR116+BS214*BS116+BT214*BT116+BU214*BU116+BV214*BV116+BW214*BW116+BX214*BX116+BY214*BY116+BZ214*BZ116+CA214*CA116+CB214*CB116+CC214*CC116+CD214*CD116+CE214*CE116+CF214*CF116+CG214*CG116+CH214*CH116</f>
        <v>0</v>
      </c>
      <c r="CP116" s="1952">
        <f>E215*E116+F215*F116+G215*G116+H215*H116+I215*I116+J215*J116+K215*K116+L215*L116+M215*M116+N215*N116+O215*O116+P215*P116+Q215*Q116+R215*R116+S215*S116+T215*T116+U215*U116+V215*V116+W215*W116+X215*X116+Y215*Y116+Z215*Z116+AA215*AA116+AB215*AB116+AC215*AC116+AD215*AD116+AE215*AE116+AF215*AF116+AG215*AG116+AH215*AH116+AI215*AI116+AJ215*AJ116+AK215*AK116+AL215*AL116+AM215*AM116+AN215*AN116+AO215*AO116+AP215*AP116+AQ215*AQ116+AR215*AR116+AS215*AS116+AT215*AT116+AU215*AU116+AV215*AV116+AW215*AW116+AX215*AX116+AY215*AY116+AZ215*AZ116+BA215*BA116+BB215*BB116+BC215*BC116+BD215*BD116+BE215*BE116+BF215*BF116+BG215*BG116+BH215*BH116+BI215*BI116+BJ215*BJ116+BK215*BK116+BL215*BL116+BM215*BM116+BN215*BN116+BO215*BO116+BP215*BP116+BQ215*BQ116+BR215*BR116+BS215*BS116+BT215*BT116+BU215*BU116+BV215*BV116+BW215*BW116+BX215*BX116+BY215*BY116+BZ215*BZ116+CA215*CA116+CB215*CB116+CC215*CC116+CD215*CD116+CE215*CE116+CF215*CF116+CG215*CG116+CH215*CH116</f>
        <v>0</v>
      </c>
      <c r="CQ116" s="1952">
        <f>E216*E116+F216*F116+G216*G116+H216*H116+I216*I116+J216*J116+K216*K116+L216*L116+M216*M116+N216*N116+O216*O116+P216*P116+Q216*Q116+R216*R116+S216*S116+T216*T116+U216*U116+V216*V116+W216*W116+X216*X116+Y216*Y116+Z216*Z116+AA216*AA116+AB216*AB116+AC216*AC116+AD216*AD116+AE216*AE116+AF216*AF116+AG216*AG116+AH216*AH116+AI216*AI116+AJ216*AJ116+AK216*AK116+AL216*AL116+AM216*AM116+AN216*AN116+AO216*AO116+AP216*AP116+AQ216*AQ116+AR216*AR116+AS216*AS116+AT216*AT116+AU216*AU116+AV216*AV116+AW216*AW116+AX216*AX116+AY216*AY116+AZ216*AZ116+BA216*BA116+BB216*BB116+BC216*BC116+BD216*BD116+BE216*BE116+BF216*BF116+BG216*BG116+BH216*BH116+BI216*BI116+BJ216*BJ116+BK216*BK116+BL216*BL116+BM216*BM116+BN216*BN116+BO216*BO116+BP216*BP116+BQ216*BQ116+BR216*BR116+BS216*BS116+BT216*BT116+BU216*BU116+BV216*BV116+BW216*BW116+BX216*BX116+BY216*BY116+BZ216*BZ116+CA216*CA116+CB216*CB116+CC216*CC116+CD216*CD116+CE216*CE116+CF216*CF116+CG216*CG116+CH216*CH116</f>
        <v>0</v>
      </c>
      <c r="CR116" s="1952">
        <f>E217*E116+F217*F116+G217*G116+H217*H116+I217*I116+J217*J116+K217*K116+L217*L116+M217*M116+N217*N116+O217*O116+P217*P116+Q217*Q116+R217*R116+S217*S116+T217*T116+U217*U116+V217*V116+W217*W116+X217*X116+Y217*Y116+Z217*Z116+AA217*AA116+AB217*AB116+AC217*AC116+AD217*AD116+AE217*AE116+AF217*AF116+AG217*AG116+AH217*AH116+AI217*AI116+AJ217*AJ116+AK217*AK116+AL217*AL116+AM217*AM116+AN217*AN116+AO217*AO116+AP217*AP116+AQ217*AQ116+AR217*AR116+AS217*AS116+AT217*AT116+AU217*AU116+AV217*AV116+AW217*AW116+AX217*AX116+AY217*AY116+AZ217*AZ116+BA217*BA116+BB217*BB116+BC217*BC116+BD217*BD116+BE217*BE116+BF217*BF116+BG217*BG116+BH217*BH116+BI217*BI116+BJ217*BJ116+BK217*BK116+BL217*BL116+BM217*BM116+BN217*BN116+BO217*BO116+BP217*BP116+BQ217*BQ116+BR217*BR116+BS217*BS116+BT217*BT116+BU217*BU116+BV217*BV116+BW217*BW116+BX217*BX116+BY217*BY116+BZ217*BZ116+CA217*CA116+CB217*CB116+CC217*CC116+CD217*CD116+CE217*CE116+CF217*CF116+CG217*CG116+CH217*CH116</f>
        <v>0</v>
      </c>
      <c r="CS116" s="1952">
        <f>E218*E116+F218*F116+G218*G116+H218*H116+I218*I116+J218*J116+K218*K116+L218*L116+M218*M116+N218*N116+O218*O116+P218*P116+Q218*Q116+R218*R116+S218*S116+T218*T116+U218*U116+V218*V116+W218*W116+X218*X116+Y218*Y116+Z218*Z116+AA218*AA116+AB218*AB116+AC218*AC116+AD218*AD116+AE218*AE116+AF218*AF116+AG218*AG116+AH218*AH116+AI218*AI116+AJ218*AJ116+AK218*AK116+AL218*AL116+AM218*AM116+AN218*AN116+AO218*AO116+AP218*AP116+AQ218*AQ116+AR218*AR116+AS218*AS116+AT218*AT116+AU218*AU116+AV218*AV116+AW218*AW116+AX218*AX116+AY218*AY116+AZ218*AZ116+BA218*BA116+BB218*BB116+BC218*BC116+BD218*BD116+BE218*BE116+BF218*BF116+BG218*BG116+BH218*BH116+BI218*BI116+BJ218*BJ116+BK218*BK116+BL218*BL116+BM218*BM116+BN218*BN116+BO218*BO116+BP218*BP116+BQ218*BQ116+BR218*BR116+BS218*BS116+BT218*BT116+BU218*BU116+BV218*BV116+BW218*BW116+BX218*BX116+BY218*BY116+BZ218*BZ116+CA218*CA116+CB218*CB116+CC218*CC116+CD218*CD116+CE218*CE116+CF218*CF116+CG218*CG116+CH218*CH116</f>
        <v>0</v>
      </c>
      <c r="CT116" s="1952">
        <f>E219*E116+F219*F116+G219*G116+H219*H116+I219*I116+J219*J116+K219*K116+L219*L116+M219*M116+N219*N116+O219*O116+P219*P116+Q219*Q116+R219*R116+S219*S116+T219*T116+U219*U116+V219*V116+W219*W116+X219*X116+Y219*Y116+Z219*Z116+AA219*AA116+AB219*AB116+AC219*AC116+AD219*AD116+AE219*AE116+AF219*AF116+AG219*AG116+AH219*AH116+AI219*AI116+AJ219*AJ116+AK219*AK116+AL219*AL116+AM219*AM116+AN219*AN116+AO219*AO116+AP219*AP116+AQ219*AQ116+AR219*AR116+AS219*AS116+AT219*AT116+AU219*AU116+AV219*AV116+AW219*AW116+AX219*AX116+AY219*AY116+AZ219*AZ116+BA219*BA116+BB219*BB116+BC219*BC116+BD219*BD116+BE219*BE116+BF219*BF116+BG219*BG116+BH219*BH116+BI219*BI116+BJ219*BJ116+BK219*BK116+BL219*BL116+BM219*BM116+BN219*BN116+BO219*BO116+BP219*BP116+BQ219*BQ116+BR219*BR116+BS219*BS116+BT219*BT116+BU219*BU116+BV219*BV116+BW219*BW116+BX219*BX116+BY219*BY116+BZ219*BZ116+CA219*CA116+CB219*CB116+CC219*CC116+CD219*CD116+CE219*CE116+CF219*CF116+CG219*CG116+CH219*CH116</f>
        <v>0</v>
      </c>
      <c r="CU116" s="1952">
        <f>E220*E116+F220*F116+G220*G116+H220*H116+I220*I116+J220*J116+K220*K116+L220*L116+M220*M116+N220*N116+O220*O116+P220*P116+Q220*Q116+R220*R116+S220*S116+T220*T116+U220*U116+V220*V116+W220*W116+X220*X116+Y220*Y116+Z220*Z116+AA220*AA116+AB220*AB116+AC220*AC116+AD220*AD116+AE220*AE116+AF220*AF116+AG220*AG116+AH220*AH116+AI220*AI116+AJ220*AJ116+AK220*AK116+AL220*AL116+AM220*AM116+AN220*AN116+AO220*AO116+AP220*AP116+AQ220*AQ116+AR220*AR116+AS220*AS116+AT220*AT116+AU220*AU116+AV220*AV116+AW220*AW116+AX220*AX116+AY220*AY116+AZ220*AZ116+BA220*BA116+BB220*BB116+BC220*BC116+BD220*BD116+BE220*BE116+BF220*BF116+BG220*BG116+BH220*BH116+BI220*BI116+BJ220*BJ116+BK220*BK116+BL220*BL116+BM220*BM116+BN220*BN116+BO220*BO116+BP220*BP116+BQ220*BQ116+BR220*BR116+BS220*BS116+BT220*BT116+BU220*BU116+BV220*BV116+BW220*BW116+BX220*BX116+BY220*BY116+BZ220*BZ116+CA220*CA116+CB220*CB116+CC220*CC116+CD220*CD116+CE220*CE116+CF220*CF116+CG220*CG116+CH220*CH116</f>
        <v>0</v>
      </c>
    </row>
    <row r="117" spans="2:99" ht="18" x14ac:dyDescent="0.25">
      <c r="B117" s="1029">
        <v>3</v>
      </c>
      <c r="C117" s="1090" t="s">
        <v>225</v>
      </c>
      <c r="D117" s="1091" t="s">
        <v>1643</v>
      </c>
      <c r="E117" s="2055">
        <f>0</f>
        <v>0</v>
      </c>
      <c r="F117" s="2054">
        <f>-1/Y_OHO_SB_ox</f>
        <v>-1.4925373134328357</v>
      </c>
      <c r="G117" s="2055">
        <f>0</f>
        <v>0</v>
      </c>
      <c r="H117" s="2055">
        <f>0</f>
        <v>0</v>
      </c>
      <c r="I117" s="2078">
        <f>0</f>
        <v>0</v>
      </c>
      <c r="J117" s="2078">
        <f>0</f>
        <v>0</v>
      </c>
      <c r="K117" s="2055">
        <f>0</f>
        <v>0</v>
      </c>
      <c r="L117" s="2055">
        <f>0</f>
        <v>0</v>
      </c>
      <c r="M117" s="2055">
        <f>0</f>
        <v>0</v>
      </c>
      <c r="N117" s="2055">
        <f>0</f>
        <v>0</v>
      </c>
      <c r="O117" s="2055">
        <f>0</f>
        <v>0</v>
      </c>
      <c r="P117" s="2055">
        <f>0</f>
        <v>0</v>
      </c>
      <c r="Q117" s="2055">
        <f>0</f>
        <v>0</v>
      </c>
      <c r="R117" s="2055">
        <f>1</f>
        <v>1</v>
      </c>
      <c r="S117" s="2055">
        <f>0</f>
        <v>0</v>
      </c>
      <c r="T117" s="2055">
        <f>0</f>
        <v>0</v>
      </c>
      <c r="U117" s="2055">
        <f>0</f>
        <v>0</v>
      </c>
      <c r="V117" s="2055">
        <f>0</f>
        <v>0</v>
      </c>
      <c r="W117" s="2055">
        <f>0</f>
        <v>0</v>
      </c>
      <c r="X117" s="2055">
        <f>0</f>
        <v>0</v>
      </c>
      <c r="Y117" s="2054">
        <f>-i_N_BIO</f>
        <v>-7.0000000000000007E-2</v>
      </c>
      <c r="Z117" s="2054">
        <f>0</f>
        <v>0</v>
      </c>
      <c r="AA117" s="2055">
        <f>0</f>
        <v>0</v>
      </c>
      <c r="AB117" s="2055">
        <f>0</f>
        <v>0</v>
      </c>
      <c r="AC117" s="2078">
        <f>0</f>
        <v>0</v>
      </c>
      <c r="AD117" s="2078">
        <f>0</f>
        <v>0</v>
      </c>
      <c r="AE117" s="2055">
        <f>0</f>
        <v>0</v>
      </c>
      <c r="AF117" s="2054">
        <f>-i_P_BIO</f>
        <v>-0.02</v>
      </c>
      <c r="AG117" s="2055">
        <f>0</f>
        <v>0</v>
      </c>
      <c r="AH117" s="2055">
        <f>0</f>
        <v>0</v>
      </c>
      <c r="AI117" s="2078">
        <f>0</f>
        <v>0</v>
      </c>
      <c r="AJ117" s="2078">
        <f>0</f>
        <v>0</v>
      </c>
      <c r="AK117" s="2055">
        <f>0</f>
        <v>0</v>
      </c>
      <c r="AL117" s="2054">
        <f>-(1-Y_OHO_SB_ox)/Y_OHO_SB_ox</f>
        <v>-0.49253731343283574</v>
      </c>
      <c r="AM117" s="2054">
        <f>0</f>
        <v>0</v>
      </c>
      <c r="AN117" s="2054">
        <f>0</f>
        <v>0</v>
      </c>
      <c r="AO117" s="2054">
        <f>i_CIT_SB/Y_OHO_SB_ox-i_CIT_BIO</f>
        <v>7.4865671641791032E-2</v>
      </c>
      <c r="AP117" s="2054">
        <f>i_INORG</f>
        <v>0.11</v>
      </c>
      <c r="AQ117" s="2054">
        <f>-i_INORG*(1-i_Ca_INORG*(A_MCa+2*A_MCl)/A_MCa-i_Mg_INORG*(A_MMg+2*A_MCl)/A_MMg)*f_Na</f>
        <v>-2.8804303582798466E-2</v>
      </c>
      <c r="AR117" s="2054">
        <f>-i_INORG*(i_Ca_INORG*(2*A_MCl)/A_MCa+i_Mg_INORG*(2*A_MCl)/A_MMg)-i_INORG*(1-i_Ca_INORG*(A_MCa+2*A_MCl)/A_MCa-i_Mg_INORG*(A_MMg+2*A_MCl)/A_MMg)*(1-f_Na)</f>
        <v>-7.0195696417201539E-2</v>
      </c>
      <c r="AS117" s="2054">
        <f>-i_INORG*i_Ca_INORG</f>
        <v>-5.5000000000000005E-3</v>
      </c>
      <c r="AT117" s="2054">
        <f>-i_INORG*i_Mg_INORG</f>
        <v>-5.5000000000000005E-3</v>
      </c>
      <c r="AU117" s="2054">
        <f>0</f>
        <v>0</v>
      </c>
      <c r="AV117" s="2054">
        <f>0</f>
        <v>0</v>
      </c>
      <c r="AW117" s="2054">
        <f>0</f>
        <v>0</v>
      </c>
      <c r="AX117" s="2054">
        <f>0</f>
        <v>0</v>
      </c>
      <c r="AY117" s="2054">
        <f>0</f>
        <v>0</v>
      </c>
      <c r="AZ117" s="2054">
        <f>0</f>
        <v>0</v>
      </c>
      <c r="BA117" s="2054">
        <f>0</f>
        <v>0</v>
      </c>
      <c r="BB117" s="2054">
        <f>0</f>
        <v>0</v>
      </c>
      <c r="BC117" s="2054">
        <f>0</f>
        <v>0</v>
      </c>
      <c r="BD117" s="2054">
        <f>0</f>
        <v>0</v>
      </c>
      <c r="BE117" s="2054">
        <f>0</f>
        <v>0</v>
      </c>
      <c r="BF117" s="2054">
        <f>0</f>
        <v>0</v>
      </c>
      <c r="BG117" s="2054">
        <f>0</f>
        <v>0</v>
      </c>
      <c r="BH117" s="2054">
        <f>0</f>
        <v>0</v>
      </c>
      <c r="BI117" s="2054">
        <f>0</f>
        <v>0</v>
      </c>
      <c r="BJ117" s="2054">
        <f>0</f>
        <v>0</v>
      </c>
      <c r="BK117" s="2054">
        <f>0</f>
        <v>0</v>
      </c>
      <c r="BL117" s="2054">
        <f>0</f>
        <v>0</v>
      </c>
      <c r="BM117" s="2054">
        <f>0</f>
        <v>0</v>
      </c>
      <c r="BN117" s="2054">
        <f>0</f>
        <v>0</v>
      </c>
      <c r="BO117" s="2054">
        <f>0</f>
        <v>0</v>
      </c>
      <c r="BP117" s="2110">
        <f>0</f>
        <v>0</v>
      </c>
      <c r="BQ117" s="2110">
        <f>0</f>
        <v>0</v>
      </c>
      <c r="BR117" s="2110">
        <f>0</f>
        <v>0</v>
      </c>
      <c r="BS117" s="2110">
        <f>0</f>
        <v>0</v>
      </c>
      <c r="BT117" s="2054">
        <f>0</f>
        <v>0</v>
      </c>
      <c r="BU117" s="2054">
        <f>0</f>
        <v>0</v>
      </c>
      <c r="BV117" s="2054">
        <f>0</f>
        <v>0</v>
      </c>
      <c r="BW117" s="2054">
        <f>0</f>
        <v>0</v>
      </c>
      <c r="BX117" s="2054">
        <f>0</f>
        <v>0</v>
      </c>
      <c r="BY117" s="2054">
        <f>0</f>
        <v>0</v>
      </c>
      <c r="BZ117" s="2054">
        <f>0</f>
        <v>0</v>
      </c>
      <c r="CA117" s="2054">
        <f>0</f>
        <v>0</v>
      </c>
      <c r="CB117" s="2054">
        <f>0</f>
        <v>0</v>
      </c>
      <c r="CC117" s="2054">
        <f>0</f>
        <v>0</v>
      </c>
      <c r="CD117" s="2054">
        <f>0</f>
        <v>0</v>
      </c>
      <c r="CE117" s="2054">
        <f>0</f>
        <v>0</v>
      </c>
      <c r="CF117" s="2054">
        <f>0</f>
        <v>0</v>
      </c>
      <c r="CG117" s="2054">
        <f>0</f>
        <v>0</v>
      </c>
      <c r="CH117" s="2054">
        <f>0</f>
        <v>0</v>
      </c>
      <c r="CI117" s="2137">
        <f>µ_OHO_T*X_OHO*M_satSB_KSB*M_inhSVFA_KVFA*M_satSO2_KO2_OHO*M_satSNHx_KNHx_BIO*M_satSPO4_KPO4_BIO*M_satSCAT_KCAT*M_satSAN_KAN*M_satSCa_KCa*M_satSMg_KMg*B_ellinhpH</f>
        <v>300.21284646842776</v>
      </c>
      <c r="CK117" s="1950">
        <f>E210*E117+F210*F117+G210*G117+H210*H117+I210*I117+J210*J117+K210*K117+L210*L117+M210*M117+N210*N117+O210*O117+P210*P117+Q210*Q117+R210*R117+S210*S117+T210*T117+U210*U117+V210*V117+W210*W117+X210*X117+Y210*Y117+Z210*Z117+AA210*AA117+AB210*AB117+AC210*AC117+AD210*AD117+AE210*AE117+AF210*AF117+AG210*AG117+AH210*AH117+AI210*AI117+AJ210*AJ117+AK210*AK117+AL210*AL117+AM210*AM117+AN210*AN117+AO210*AO117+AP210*AP117+AQ210*AQ117+AR210*AR117+AS210*AS117+AT210*AT117+AU210*AU117+AV210*AV117+AW210*AW117+AX210*AX117+AY210*AY117+AZ210*AZ117+BA210*BA117+BB210*BB117+BC210*BC117+BD210*BD117+BE210*BE117+BF210*BF117+BG210*BG117+BH210*BH117+BI210*BI117+BJ210*BJ117+BK210*BK117+BL210*BL117+BM210*BM117+BN210*BN117+BO210*BO117+BP210*BP117+BQ210*BQ117+BR210*BR117+BS210*BS117+BT210*BT117+BU210*BU117+BV210*BV117+BW210*BW117+BX210*BX117+BY210*BY117+BZ210*BZ117+CA210*CA117+CB210*CB117+CC210*CC117+CD210*CD117+CE210*CE117+CF210*CF117+CG210*CG117+CH210*CH117</f>
        <v>5.5511151231257827E-17</v>
      </c>
      <c r="CL117" s="1950">
        <f>E211*E117+F211*F117+G211*G117+H211*H117+I211*I117+J211*J117+K211*K117+L211*L117+M211*M117+N211*N117+O211*O117+P211*P117+Q211*Q117+R211*R117+S211*S117+T211*T117+U211*U117+V211*V117+W211*W117+X211*X117+Y211*Y117+Z211*Z117+AA211*AA117+AB211*AB117+AC211*AC117+AD211*AD117+AE211*AE117+AF211*AF117+AG211*AG117+AH211*AH117+AI211*AI117+AJ211*AJ117+AK211*AK117+AL211*AL117+AM211*AM117+AN211*AN117+AO211*AO117+AP211*AP117+AQ211*AQ117+AR211*AR117+AS211*AS117+AT211*AT117+AU211*AU117+AV211*AV117+AW211*AW117+AX211*AX117+AY211*AY117+AZ211*AZ117+BA211*BA117+BB211*BB117+BC211*BC117+BD211*BD117+BE211*BE117+BF211*BF117+BG211*BG117+BH211*BH117+BI211*BI117+BJ211*BJ117+BK211*BK117+BL211*BL117+BM211*BM117+BN211*BN117+BO211*BO117+BP211*BP117+BQ211*BQ117+BR211*BR117+BS211*BS117+BT211*BT117+BU211*BU117+BV211*BV117+BW211*BW117+BX211*BX117+BY211*BY117+BZ211*BZ117+CA211*CA117+CB211*CB117+CC211*CC117+CD211*CD117+CE211*CE117+CF211*CF117+CG211*CG117+CH211*CH117</f>
        <v>5.5511151231257827E-17</v>
      </c>
      <c r="CM117" s="1951">
        <f>E212*E117+F212*F117+G212*G117+H212*H117+I212*I117+J212*J117+K212*K117+L212*L117+M212*M117+N212*N117+O212*O117+P212*P117+Q212*Q117+R212*R117+S212*S117+T212*T117+U212*U117+V212*V117+W212*W117+X212*X117+Y212*Y117+Z212*Z117+AA212*AA117+AB212*AB117+AC212*AC117+AD212*AD117+AE212*AE117+AF212*AF117+AG212*AG117+AH212*AH117+AI212*AI117+AJ212*AJ117+AK212*AK117+AL212*AL117+AM212*AM117+AN212*AN117+AO212*AO117+AP212*AP117+AQ212*AQ117+AR212*AR117+AS212*AS117+AT212*AT117+AU212*AU117+AV212*AV117+AW212*AW117+AX212*AX117+AY212*AY117+AZ212*AZ117+BA212*BA117+BB212*BB117+BC212*BC117+BD212*BD117+BE212*BE117+BF212*BF117+BG212*BG117+BH212*BH117+BI212*BI117+BJ212*BJ117+BK212*BK117+BL212*BL117+BM212*BM117+BN212*BN117+BO212*BO117+BP212*BP117+BQ212*BQ117+BR212*BR117+BS212*BS117+BT212*BT117+BU212*BU117+BV212*BV117+BW212*BW117+BX212*BX117+BY212*BY117+BZ212*BZ117+CA212*CA117+CB212*CB117+CC212*CC117+CD212*CD117+CE212*CE117+CF212*CF117+CG212*CG117+CH212*CH117</f>
        <v>0</v>
      </c>
      <c r="CN117" s="1952">
        <f>E213*E117+F213*F117+G213*G117+H213*H117+I213*I117+J213*J117+K213*K117+L213*L117+M213*M117+N213*N117+O213*O117+P213*P117+Q213*Q117+R213*R117+S213*S117+T213*T117+U213*U117+V213*V117+W213*W117+X213*X117+Y213*Y117+Z213*Z117+AA213*AA117+AB213*AB117+AC213*AC117+AD213*AD117+AE213*AE117+AF213*AF117+AG213*AG117+AH213*AH117+AI213*AI117+AJ213*AJ117+AK213*AK117+AL213*AL117+AM213*AM117+AN213*AN117+AO213*AO117+AP213*AP117+AQ213*AQ117+AR213*AR117+AS213*AS117+AT213*AT117+AU213*AU117+AV213*AV117+AW213*AW117+AX213*AX117+AY213*AY117+AZ213*AZ117+BA213*BA117+BB213*BB117+BC213*BC117+BD213*BD117+BE213*BE117+BF213*BF117+BG213*BG117+BH213*BH117+BI213*BI117+BJ213*BJ117+BK213*BK117+BL213*BL117+BM213*BM117+BN213*BN117+BO213*BO117+BP213*BP117+BQ213*BQ117+BR213*BR117+BS213*BS117+BT213*BT117+BU213*BU117+BV213*BV117+BW213*BW117+BX213*BX117+BY213*BY117+BZ213*BZ117+CA213*CA117+CB213*CB117+CC213*CC117+CD213*CD117+CE213*CE117+CF213*CF117+CG213*CG117+CH213*CH117</f>
        <v>0</v>
      </c>
      <c r="CO117" s="1952">
        <f>E214*E117+F214*F117+G214*G117+H214*H117+I214*I117+J214*J117+K214*K117+L214*L117+M214*M117+N214*N117+O214*O117+P214*P117+Q214*Q117+R214*R117+S214*S117+T214*T117+U214*U117+V214*V117+W214*W117+X214*X117+Y214*Y117+Z214*Z117+AA214*AA117+AB214*AB117+AC214*AC117+AD214*AD117+AE214*AE117+AF214*AF117+AG214*AG117+AH214*AH117+AI214*AI117+AJ214*AJ117+AK214*AK117+AL214*AL117+AM214*AM117+AN214*AN117+AO214*AO117+AP214*AP117+AQ214*AQ117+AR214*AR117+AS214*AS117+AT214*AT117+AU214*AU117+AV214*AV117+AW214*AW117+AX214*AX117+AY214*AY117+AZ214*AZ117+BA214*BA117+BB214*BB117+BC214*BC117+BD214*BD117+BE214*BE117+BF214*BF117+BG214*BG117+BH214*BH117+BI214*BI117+BJ214*BJ117+BK214*BK117+BL214*BL117+BM214*BM117+BN214*BN117+BO214*BO117+BP214*BP117+BQ214*BQ117+BR214*BR117+BS214*BS117+BT214*BT117+BU214*BU117+BV214*BV117+BW214*BW117+BX214*BX117+BY214*BY117+BZ214*BZ117+CA214*CA117+CB214*CB117+CC214*CC117+CD214*CD117+CE214*CE117+CF214*CF117+CG214*CG117+CH214*CH117</f>
        <v>0</v>
      </c>
      <c r="CP117" s="1952">
        <f>E215*E117+F215*F117+G215*G117+H215*H117+I215*I117+J215*J117+K215*K117+L215*L117+M215*M117+N215*N117+O215*O117+P215*P117+Q215*Q117+R215*R117+S215*S117+T215*T117+U215*U117+V215*V117+W215*W117+X215*X117+Y215*Y117+Z215*Z117+AA215*AA117+AB215*AB117+AC215*AC117+AD215*AD117+AE215*AE117+AF215*AF117+AG215*AG117+AH215*AH117+AI215*AI117+AJ215*AJ117+AK215*AK117+AL215*AL117+AM215*AM117+AN215*AN117+AO215*AO117+AP215*AP117+AQ215*AQ117+AR215*AR117+AS215*AS117+AT215*AT117+AU215*AU117+AV215*AV117+AW215*AW117+AX215*AX117+AY215*AY117+AZ215*AZ117+BA215*BA117+BB215*BB117+BC215*BC117+BD215*BD117+BE215*BE117+BF215*BF117+BG215*BG117+BH215*BH117+BI215*BI117+BJ215*BJ117+BK215*BK117+BL215*BL117+BM215*BM117+BN215*BN117+BO215*BO117+BP215*BP117+BQ215*BQ117+BR215*BR117+BS215*BS117+BT215*BT117+BU215*BU117+BV215*BV117+BW215*BW117+BX215*BX117+BY215*BY117+BZ215*BZ117+CA215*CA117+CB215*CB117+CC215*CC117+CD215*CD117+CE215*CE117+CF215*CF117+CG215*CG117+CH215*CH117</f>
        <v>0</v>
      </c>
      <c r="CQ117" s="1952">
        <f>E216*E117+F216*F117+G216*G117+H216*H117+I216*I117+J216*J117+K216*K117+L216*L117+M216*M117+N216*N117+O216*O117+P216*P117+Q216*Q117+R216*R117+S216*S117+T216*T117+U216*U117+V216*V117+W216*W117+X216*X117+Y216*Y117+Z216*Z117+AA216*AA117+AB216*AB117+AC216*AC117+AD216*AD117+AE216*AE117+AF216*AF117+AG216*AG117+AH216*AH117+AI216*AI117+AJ216*AJ117+AK216*AK117+AL216*AL117+AM216*AM117+AN216*AN117+AO216*AO117+AP216*AP117+AQ216*AQ117+AR216*AR117+AS216*AS117+AT216*AT117+AU216*AU117+AV216*AV117+AW216*AW117+AX216*AX117+AY216*AY117+AZ216*AZ117+BA216*BA117+BB216*BB117+BC216*BC117+BD216*BD117+BE216*BE117+BF216*BF117+BG216*BG117+BH216*BH117+BI216*BI117+BJ216*BJ117+BK216*BK117+BL216*BL117+BM216*BM117+BN216*BN117+BO216*BO117+BP216*BP117+BQ216*BQ117+BR216*BR117+BS216*BS117+BT216*BT117+BU216*BU117+BV216*BV117+BW216*BW117+BX216*BX117+BY216*BY117+BZ216*BZ117+CA216*CA117+CB216*CB117+CC216*CC117+CD216*CD117+CE216*CE117+CF216*CF117+CG216*CG117+CH216*CH117</f>
        <v>0</v>
      </c>
      <c r="CR117" s="1952">
        <f>E217*E117+F217*F117+G217*G117+H217*H117+I217*I117+J217*J117+K217*K117+L217*L117+M217*M117+N217*N117+O217*O117+P217*P117+Q217*Q117+R217*R117+S217*S117+T217*T117+U217*U117+V217*V117+W217*W117+X217*X117+Y217*Y117+Z217*Z117+AA217*AA117+AB217*AB117+AC217*AC117+AD217*AD117+AE217*AE117+AF217*AF117+AG217*AG117+AH217*AH117+AI217*AI117+AJ217*AJ117+AK217*AK117+AL217*AL117+AM217*AM117+AN217*AN117+AO217*AO117+AP217*AP117+AQ217*AQ117+AR217*AR117+AS217*AS117+AT217*AT117+AU217*AU117+AV217*AV117+AW217*AW117+AX217*AX117+AY217*AY117+AZ217*AZ117+BA217*BA117+BB217*BB117+BC217*BC117+BD217*BD117+BE217*BE117+BF217*BF117+BG217*BG117+BH217*BH117+BI217*BI117+BJ217*BJ117+BK217*BK117+BL217*BL117+BM217*BM117+BN217*BN117+BO217*BO117+BP217*BP117+BQ217*BQ117+BR217*BR117+BS217*BS117+BT217*BT117+BU217*BU117+BV217*BV117+BW217*BW117+BX217*BX117+BY217*BY117+BZ217*BZ117+CA217*CA117+CB217*CB117+CC217*CC117+CD217*CD117+CE217*CE117+CF217*CF117+CG217*CG117+CH217*CH117</f>
        <v>0</v>
      </c>
      <c r="CS117" s="1952">
        <f>E218*E117+F218*F117+G218*G117+H218*H117+I218*I117+J218*J117+K218*K117+L218*L117+M218*M117+N218*N117+O218*O117+P218*P117+Q218*Q117+R218*R117+S218*S117+T218*T117+U218*U117+V218*V117+W218*W117+X218*X117+Y218*Y117+Z218*Z117+AA218*AA117+AB218*AB117+AC218*AC117+AD218*AD117+AE218*AE117+AF218*AF117+AG218*AG117+AH218*AH117+AI218*AI117+AJ218*AJ117+AK218*AK117+AL218*AL117+AM218*AM117+AN218*AN117+AO218*AO117+AP218*AP117+AQ218*AQ117+AR218*AR117+AS218*AS117+AT218*AT117+AU218*AU117+AV218*AV117+AW218*AW117+AX218*AX117+AY218*AY117+AZ218*AZ117+BA218*BA117+BB218*BB117+BC218*BC117+BD218*BD117+BE218*BE117+BF218*BF117+BG218*BG117+BH218*BH117+BI218*BI117+BJ218*BJ117+BK218*BK117+BL218*BL117+BM218*BM117+BN218*BN117+BO218*BO117+BP218*BP117+BQ218*BQ117+BR218*BR117+BS218*BS117+BT218*BT117+BU218*BU117+BV218*BV117+BW218*BW117+BX218*BX117+BY218*BY117+BZ218*BZ117+CA218*CA117+CB218*CB117+CC218*CC117+CD218*CD117+CE218*CE117+CF218*CF117+CG218*CG117+CH218*CH117</f>
        <v>0</v>
      </c>
      <c r="CT117" s="1952">
        <f>E219*E117+F219*F117+G219*G117+H219*H117+I219*I117+J219*J117+K219*K117+L219*L117+M219*M117+N219*N117+O219*O117+P219*P117+Q219*Q117+R219*R117+S219*S117+T219*T117+U219*U117+V219*V117+W219*W117+X219*X117+Y219*Y117+Z219*Z117+AA219*AA117+AB219*AB117+AC219*AC117+AD219*AD117+AE219*AE117+AF219*AF117+AG219*AG117+AH219*AH117+AI219*AI117+AJ219*AJ117+AK219*AK117+AL219*AL117+AM219*AM117+AN219*AN117+AO219*AO117+AP219*AP117+AQ219*AQ117+AR219*AR117+AS219*AS117+AT219*AT117+AU219*AU117+AV219*AV117+AW219*AW117+AX219*AX117+AY219*AY117+AZ219*AZ117+BA219*BA117+BB219*BB117+BC219*BC117+BD219*BD117+BE219*BE117+BF219*BF117+BG219*BG117+BH219*BH117+BI219*BI117+BJ219*BJ117+BK219*BK117+BL219*BL117+BM219*BM117+BN219*BN117+BO219*BO117+BP219*BP117+BQ219*BQ117+BR219*BR117+BS219*BS117+BT219*BT117+BU219*BU117+BV219*BV117+BW219*BW117+BX219*BX117+BY219*BY117+BZ219*BZ117+CA219*CA117+CB219*CB117+CC219*CC117+CD219*CD117+CE219*CE117+CF219*CF117+CG219*CG117+CH219*CH117</f>
        <v>0</v>
      </c>
      <c r="CU117" s="1952">
        <f>E220*E117+F220*F117+G220*G117+H220*H117+I220*I117+J220*J117+K220*K117+L220*L117+M220*M117+N220*N117+O220*O117+P220*P117+Q220*Q117+R220*R117+S220*S117+T220*T117+U220*U117+V220*V117+W220*W117+X220*X117+Y220*Y117+Z220*Z117+AA220*AA117+AB220*AB117+AC220*AC117+AD220*AD117+AE220*AE117+AF220*AF117+AG220*AG117+AH220*AH117+AI220*AI117+AJ220*AJ117+AK220*AK117+AL220*AL117+AM220*AM117+AN220*AN117+AO220*AO117+AP220*AP117+AQ220*AQ117+AR220*AR117+AS220*AS117+AT220*AT117+AU220*AU117+AV220*AV117+AW220*AW117+AX220*AX117+AY220*AY117+AZ220*AZ117+BA220*BA117+BB220*BB117+BC220*BC117+BD220*BD117+BE220*BE117+BF220*BF117+BG220*BG117+BH220*BH117+BI220*BI117+BJ220*BJ117+BK220*BK117+BL220*BL117+BM220*BM117+BN220*BN117+BO220*BO117+BP220*BP117+BQ220*BQ117+BR220*BR117+BS220*BS117+BT220*BT117+BU220*BU117+BV220*BV117+BW220*BW117+BX220*BX117+BY220*BY117+BZ220*BZ117+CA220*CA117+CB220*CB117+CC220*CC117+CD220*CD117+CE220*CE117+CF220*CF117+CG220*CG117+CH220*CH117</f>
        <v>0</v>
      </c>
    </row>
    <row r="118" spans="2:99" ht="18" x14ac:dyDescent="0.25">
      <c r="B118" s="1029">
        <v>4</v>
      </c>
      <c r="C118" s="1090" t="s">
        <v>226</v>
      </c>
      <c r="D118" s="1091" t="s">
        <v>2586</v>
      </c>
      <c r="E118" s="2055">
        <f>0</f>
        <v>0</v>
      </c>
      <c r="F118" s="2054">
        <f>-1/Y_OHO_SB_anox</f>
        <v>-1.8518518518518516</v>
      </c>
      <c r="G118" s="2055">
        <f>0</f>
        <v>0</v>
      </c>
      <c r="H118" s="2055">
        <f>0</f>
        <v>0</v>
      </c>
      <c r="I118" s="2078">
        <f>0</f>
        <v>0</v>
      </c>
      <c r="J118" s="2078">
        <f>0</f>
        <v>0</v>
      </c>
      <c r="K118" s="2055">
        <f>0</f>
        <v>0</v>
      </c>
      <c r="L118" s="2055">
        <f>0</f>
        <v>0</v>
      </c>
      <c r="M118" s="2055">
        <f>0</f>
        <v>0</v>
      </c>
      <c r="N118" s="2055">
        <f>0</f>
        <v>0</v>
      </c>
      <c r="O118" s="2055">
        <f>0</f>
        <v>0</v>
      </c>
      <c r="P118" s="2055">
        <f>0</f>
        <v>0</v>
      </c>
      <c r="Q118" s="2055">
        <f>0</f>
        <v>0</v>
      </c>
      <c r="R118" s="2055">
        <f>1</f>
        <v>1</v>
      </c>
      <c r="S118" s="2055">
        <f>0</f>
        <v>0</v>
      </c>
      <c r="T118" s="2055">
        <f>0</f>
        <v>0</v>
      </c>
      <c r="U118" s="2055">
        <f>0</f>
        <v>0</v>
      </c>
      <c r="V118" s="2055">
        <f>0</f>
        <v>0</v>
      </c>
      <c r="W118" s="2055">
        <f>0</f>
        <v>0</v>
      </c>
      <c r="X118" s="2055">
        <f>0</f>
        <v>0</v>
      </c>
      <c r="Y118" s="2054">
        <f>-i_N_BIO</f>
        <v>-7.0000000000000007E-2</v>
      </c>
      <c r="Z118" s="2054">
        <f>-(1-Y_OHO_SB_anox)/(E_EQN2_NO3*Y_OHO_SB_anox)</f>
        <v>-0.29830201965907049</v>
      </c>
      <c r="AA118" s="2054">
        <f>(1-Y_OHO_SB_anox)/(E_EQN2_NO3*Y_OHO_SB_anox)</f>
        <v>0.29830201965907049</v>
      </c>
      <c r="AB118" s="2055">
        <f>0</f>
        <v>0</v>
      </c>
      <c r="AC118" s="2078">
        <f>0</f>
        <v>0</v>
      </c>
      <c r="AD118" s="2078">
        <f>0</f>
        <v>0</v>
      </c>
      <c r="AE118" s="2055">
        <f>0</f>
        <v>0</v>
      </c>
      <c r="AF118" s="2054">
        <f>-i_P_BIO</f>
        <v>-0.02</v>
      </c>
      <c r="AG118" s="2055">
        <f>0</f>
        <v>0</v>
      </c>
      <c r="AH118" s="2055">
        <f>0</f>
        <v>0</v>
      </c>
      <c r="AI118" s="2078">
        <f>0</f>
        <v>0</v>
      </c>
      <c r="AJ118" s="2078">
        <f>0</f>
        <v>0</v>
      </c>
      <c r="AK118" s="2055">
        <f>0</f>
        <v>0</v>
      </c>
      <c r="AL118" s="2055">
        <f>0</f>
        <v>0</v>
      </c>
      <c r="AM118" s="2055">
        <f>0</f>
        <v>0</v>
      </c>
      <c r="AN118" s="2055">
        <f>0</f>
        <v>0</v>
      </c>
      <c r="AO118" s="2054">
        <f>i_CIT_SB/Y_OHO_SB_anox-i_CIT_BIO</f>
        <v>0.17762962962962958</v>
      </c>
      <c r="AP118" s="2054">
        <f>i_INORG</f>
        <v>0.11</v>
      </c>
      <c r="AQ118" s="2054">
        <f>-i_INORG*(1-i_Ca_INORG*(A_MCa+2*A_MCl)/A_MCa-i_Mg_INORG*(A_MMg+2*A_MCl)/A_MMg)*f_Na</f>
        <v>-2.8804303582798466E-2</v>
      </c>
      <c r="AR118" s="2054">
        <f>-i_INORG*(i_Ca_INORG*(2*A_MCl)/A_MCa+i_Mg_INORG*(2*A_MCl)/A_MMg)-i_INORG*(1-i_Ca_INORG*(A_MCa+2*A_MCl)/A_MCa-i_Mg_INORG*(A_MMg+2*A_MCl)/A_MMg)*(1-f_Na)</f>
        <v>-7.0195696417201539E-2</v>
      </c>
      <c r="AS118" s="2054">
        <f>-i_INORG*i_Ca_INORG</f>
        <v>-5.5000000000000005E-3</v>
      </c>
      <c r="AT118" s="2054">
        <f>-i_INORG*i_Mg_INORG</f>
        <v>-5.5000000000000005E-3</v>
      </c>
      <c r="AU118" s="2054">
        <f>0</f>
        <v>0</v>
      </c>
      <c r="AV118" s="2054">
        <f>0</f>
        <v>0</v>
      </c>
      <c r="AW118" s="2054">
        <f>0</f>
        <v>0</v>
      </c>
      <c r="AX118" s="2054">
        <f>0</f>
        <v>0</v>
      </c>
      <c r="AY118" s="2054">
        <f>0</f>
        <v>0</v>
      </c>
      <c r="AZ118" s="2054">
        <f>0</f>
        <v>0</v>
      </c>
      <c r="BA118" s="2054">
        <f>0</f>
        <v>0</v>
      </c>
      <c r="BB118" s="2054">
        <f>0</f>
        <v>0</v>
      </c>
      <c r="BC118" s="2054">
        <f>0</f>
        <v>0</v>
      </c>
      <c r="BD118" s="2054">
        <f>0</f>
        <v>0</v>
      </c>
      <c r="BE118" s="2054">
        <f>0</f>
        <v>0</v>
      </c>
      <c r="BF118" s="2054">
        <f>0</f>
        <v>0</v>
      </c>
      <c r="BG118" s="2054">
        <f>0</f>
        <v>0</v>
      </c>
      <c r="BH118" s="2054">
        <f>0</f>
        <v>0</v>
      </c>
      <c r="BI118" s="2054">
        <f>0</f>
        <v>0</v>
      </c>
      <c r="BJ118" s="2054">
        <f>0</f>
        <v>0</v>
      </c>
      <c r="BK118" s="2054">
        <f>0</f>
        <v>0</v>
      </c>
      <c r="BL118" s="2054">
        <f>0</f>
        <v>0</v>
      </c>
      <c r="BM118" s="2054">
        <f>0</f>
        <v>0</v>
      </c>
      <c r="BN118" s="2054">
        <f>0</f>
        <v>0</v>
      </c>
      <c r="BO118" s="2054">
        <f>0</f>
        <v>0</v>
      </c>
      <c r="BP118" s="2110">
        <f>0</f>
        <v>0</v>
      </c>
      <c r="BQ118" s="2110">
        <f>0</f>
        <v>0</v>
      </c>
      <c r="BR118" s="2110">
        <f>0</f>
        <v>0</v>
      </c>
      <c r="BS118" s="2110">
        <f>0</f>
        <v>0</v>
      </c>
      <c r="BT118" s="2054">
        <f>0</f>
        <v>0</v>
      </c>
      <c r="BU118" s="2054">
        <f>0</f>
        <v>0</v>
      </c>
      <c r="BV118" s="2054">
        <f>0</f>
        <v>0</v>
      </c>
      <c r="BW118" s="2054">
        <f>0</f>
        <v>0</v>
      </c>
      <c r="BX118" s="2054">
        <f>0</f>
        <v>0</v>
      </c>
      <c r="BY118" s="2054">
        <f>0</f>
        <v>0</v>
      </c>
      <c r="BZ118" s="2054">
        <f>0</f>
        <v>0</v>
      </c>
      <c r="CA118" s="2054">
        <f>0</f>
        <v>0</v>
      </c>
      <c r="CB118" s="2054">
        <f>0</f>
        <v>0</v>
      </c>
      <c r="CC118" s="2054">
        <f>0</f>
        <v>0</v>
      </c>
      <c r="CD118" s="2054">
        <f>0</f>
        <v>0</v>
      </c>
      <c r="CE118" s="2054">
        <f>0</f>
        <v>0</v>
      </c>
      <c r="CF118" s="2054">
        <f>0</f>
        <v>0</v>
      </c>
      <c r="CG118" s="2054">
        <f>0</f>
        <v>0</v>
      </c>
      <c r="CH118" s="2054">
        <f>0</f>
        <v>0</v>
      </c>
      <c r="CI118" s="2137">
        <f>µ_OHO_T*X_OHO*η_OHO_anox*M_satSB_KSB*M_inhSVFA_KVFA*M_satSNOx_KNOx_OHO*M_inhSO2_KO2_OHO*M_satSNHx_KNHx_BIO*M_satSPO4_KPO4_BIO*M_satSCAT_KCAT*M_satSAN_KAN*M_satSCa_KCa*M_satSMg_KMg*B_ellinhpH</f>
        <v>13.429004066679175</v>
      </c>
      <c r="CK118" s="1950">
        <f>E210*E118+F210*F118+G210*G118+H210*H118+I210*I118+J210*J118+K210*K118+L210*L118+M210*M118+N210*N118+O210*O118+P210*P118+Q210*Q118+R210*R118+S210*S118+T210*T118+U210*U118+V210*V118+W210*W118+X210*X118+Y210*Y118+Z210*Z118+AA210*AA118+AB210*AB118+AC210*AC118+AD210*AD118+AE210*AE118+AF210*AF118+AG210*AG118+AH210*AH118+AI210*AI118+AJ210*AJ118+AK210*AK118+AL210*AL118+AM210*AM118+AN210*AN118+AO210*AO118+AP210*AP118+AQ210*AQ118+AR210*AR118+AS210*AS118+AT210*AT118+AU210*AU118+AV210*AV118+AW210*AW118+AX210*AX118+AY210*AY118+AZ210*AZ118+BA210*BA118+BB210*BB118+BC210*BC118+BD210*BD118+BE210*BE118+BF210*BF118+BG210*BG118+BH210*BH118+BI210*BI118+BJ210*BJ118+BK210*BK118+BL210*BL118+BM210*BM118+BN210*BN118+BO210*BO118+BP210*BP118+BQ210*BQ118+BR210*BR118+BS210*BS118+BT210*BT118+BU210*BU118+BV210*BV118+BW210*BW118+BX210*BX118+BY210*BY118+BZ210*BZ118+CA210*CA118+CB210*CB118+CC210*CC118+CD210*CD118+CE210*CE118+CF210*CF118+CG210*CG118+CH210*CH118</f>
        <v>-1.1102230246251565E-16</v>
      </c>
      <c r="CL118" s="1950">
        <f>E211*E118+F211*F118+G211*G118+H211*H118+I211*I118+J211*J118+K211*K118+L211*L118+M211*M118+N211*N118+O211*O118+P211*P118+Q211*Q118+R211*R118+S211*S118+T211*T118+U211*U118+V211*V118+W211*W118+X211*X118+Y211*Y118+Z211*Z118+AA211*AA118+AB211*AB118+AC211*AC118+AD211*AD118+AE211*AE118+AF211*AF118+AG211*AG118+AH211*AH118+AI211*AI118+AJ211*AJ118+AK211*AK118+AL211*AL118+AM211*AM118+AN211*AN118+AO211*AO118+AP211*AP118+AQ211*AQ118+AR211*AR118+AS211*AS118+AT211*AT118+AU211*AU118+AV211*AV118+AW211*AW118+AX211*AX118+AY211*AY118+AZ211*AZ118+BA211*BA118+BB211*BB118+BC211*BC118+BD211*BD118+BE211*BE118+BF211*BF118+BG211*BG118+BH211*BH118+BI211*BI118+BJ211*BJ118+BK211*BK118+BL211*BL118+BM211*BM118+BN211*BN118+BO211*BO118+BP211*BP118+BQ211*BQ118+BR211*BR118+BS211*BS118+BT211*BT118+BU211*BU118+BV211*BV118+BW211*BW118+BX211*BX118+BY211*BY118+BZ211*BZ118+CA211*CA118+CB211*CB118+CC211*CC118+CD211*CD118+CE211*CE118+CF211*CF118+CG211*CG118+CH211*CH118</f>
        <v>0</v>
      </c>
      <c r="CM118" s="1951">
        <f>E212*E118+F212*F118+G212*G118+H212*H118+I212*I118+J212*J118+K212*K118+L212*L118+M212*M118+N212*N118+O212*O118+P212*P118+Q212*Q118+R212*R118+S212*S118+T212*T118+U212*U118+V212*V118+W212*W118+X212*X118+Y212*Y118+Z212*Z118+AA212*AA118+AB212*AB118+AC212*AC118+AD212*AD118+AE212*AE118+AF212*AF118+AG212*AG118+AH212*AH118+AI212*AI118+AJ212*AJ118+AK212*AK118+AL212*AL118+AM212*AM118+AN212*AN118+AO212*AO118+AP212*AP118+AQ212*AQ118+AR212*AR118+AS212*AS118+AT212*AT118+AU212*AU118+AV212*AV118+AW212*AW118+AX212*AX118+AY212*AY118+AZ212*AZ118+BA212*BA118+BB212*BB118+BC212*BC118+BD212*BD118+BE212*BE118+BF212*BF118+BG212*BG118+BH212*BH118+BI212*BI118+BJ212*BJ118+BK212*BK118+BL212*BL118+BM212*BM118+BN212*BN118+BO212*BO118+BP212*BP118+BQ212*BQ118+BR212*BR118+BS212*BS118+BT212*BT118+BU212*BU118+BV212*BV118+BW212*BW118+BX212*BX118+BY212*BY118+BZ212*BZ118+CA212*CA118+CB212*CB118+CC212*CC118+CD212*CD118+CE212*CE118+CF212*CF118+CG212*CG118+CH212*CH118</f>
        <v>0</v>
      </c>
      <c r="CN118" s="1952">
        <f>E213*E118+F213*F118+G213*G118+H213*H118+I213*I118+J213*J118+K213*K118+L213*L118+M213*M118+N213*N118+O213*O118+P213*P118+Q213*Q118+R213*R118+S213*S118+T213*T118+U213*U118+V213*V118+W213*W118+X213*X118+Y213*Y118+Z213*Z118+AA213*AA118+AB213*AB118+AC213*AC118+AD213*AD118+AE213*AE118+AF213*AF118+AG213*AG118+AH213*AH118+AI213*AI118+AJ213*AJ118+AK213*AK118+AL213*AL118+AM213*AM118+AN213*AN118+AO213*AO118+AP213*AP118+AQ213*AQ118+AR213*AR118+AS213*AS118+AT213*AT118+AU213*AU118+AV213*AV118+AW213*AW118+AX213*AX118+AY213*AY118+AZ213*AZ118+BA213*BA118+BB213*BB118+BC213*BC118+BD213*BD118+BE213*BE118+BF213*BF118+BG213*BG118+BH213*BH118+BI213*BI118+BJ213*BJ118+BK213*BK118+BL213*BL118+BM213*BM118+BN213*BN118+BO213*BO118+BP213*BP118+BQ213*BQ118+BR213*BR118+BS213*BS118+BT213*BT118+BU213*BU118+BV213*BV118+BW213*BW118+BX213*BX118+BY213*BY118+BZ213*BZ118+CA213*CA118+CB213*CB118+CC213*CC118+CD213*CD118+CE213*CE118+CF213*CF118+CG213*CG118+CH213*CH118</f>
        <v>0</v>
      </c>
      <c r="CO118" s="1952">
        <f>E214*E118+F214*F118+G214*G118+H214*H118+I214*I118+J214*J118+K214*K118+L214*L118+M214*M118+N214*N118+O214*O118+P214*P118+Q214*Q118+R214*R118+S214*S118+T214*T118+U214*U118+V214*V118+W214*W118+X214*X118+Y214*Y118+Z214*Z118+AA214*AA118+AB214*AB118+AC214*AC118+AD214*AD118+AE214*AE118+AF214*AF118+AG214*AG118+AH214*AH118+AI214*AI118+AJ214*AJ118+AK214*AK118+AL214*AL118+AM214*AM118+AN214*AN118+AO214*AO118+AP214*AP118+AQ214*AQ118+AR214*AR118+AS214*AS118+AT214*AT118+AU214*AU118+AV214*AV118+AW214*AW118+AX214*AX118+AY214*AY118+AZ214*AZ118+BA214*BA118+BB214*BB118+BC214*BC118+BD214*BD118+BE214*BE118+BF214*BF118+BG214*BG118+BH214*BH118+BI214*BI118+BJ214*BJ118+BK214*BK118+BL214*BL118+BM214*BM118+BN214*BN118+BO214*BO118+BP214*BP118+BQ214*BQ118+BR214*BR118+BS214*BS118+BT214*BT118+BU214*BU118+BV214*BV118+BW214*BW118+BX214*BX118+BY214*BY118+BZ214*BZ118+CA214*CA118+CB214*CB118+CC214*CC118+CD214*CD118+CE214*CE118+CF214*CF118+CG214*CG118+CH214*CH118</f>
        <v>0</v>
      </c>
      <c r="CP118" s="1952">
        <f>E215*E118+F215*F118+G215*G118+H215*H118+I215*I118+J215*J118+K215*K118+L215*L118+M215*M118+N215*N118+O215*O118+P215*P118+Q215*Q118+R215*R118+S215*S118+T215*T118+U215*U118+V215*V118+W215*W118+X215*X118+Y215*Y118+Z215*Z118+AA215*AA118+AB215*AB118+AC215*AC118+AD215*AD118+AE215*AE118+AF215*AF118+AG215*AG118+AH215*AH118+AI215*AI118+AJ215*AJ118+AK215*AK118+AL215*AL118+AM215*AM118+AN215*AN118+AO215*AO118+AP215*AP118+AQ215*AQ118+AR215*AR118+AS215*AS118+AT215*AT118+AU215*AU118+AV215*AV118+AW215*AW118+AX215*AX118+AY215*AY118+AZ215*AZ118+BA215*BA118+BB215*BB118+BC215*BC118+BD215*BD118+BE215*BE118+BF215*BF118+BG215*BG118+BH215*BH118+BI215*BI118+BJ215*BJ118+BK215*BK118+BL215*BL118+BM215*BM118+BN215*BN118+BO215*BO118+BP215*BP118+BQ215*BQ118+BR215*BR118+BS215*BS118+BT215*BT118+BU215*BU118+BV215*BV118+BW215*BW118+BX215*BX118+BY215*BY118+BZ215*BZ118+CA215*CA118+CB215*CB118+CC215*CC118+CD215*CD118+CE215*CE118+CF215*CF118+CG215*CG118+CH215*CH118</f>
        <v>0</v>
      </c>
      <c r="CQ118" s="1952">
        <f>E216*E118+F216*F118+G216*G118+H216*H118+I216*I118+J216*J118+K216*K118+L216*L118+M216*M118+N216*N118+O216*O118+P216*P118+Q216*Q118+R216*R118+S216*S118+T216*T118+U216*U118+V216*V118+W216*W118+X216*X118+Y216*Y118+Z216*Z118+AA216*AA118+AB216*AB118+AC216*AC118+AD216*AD118+AE216*AE118+AF216*AF118+AG216*AG118+AH216*AH118+AI216*AI118+AJ216*AJ118+AK216*AK118+AL216*AL118+AM216*AM118+AN216*AN118+AO216*AO118+AP216*AP118+AQ216*AQ118+AR216*AR118+AS216*AS118+AT216*AT118+AU216*AU118+AV216*AV118+AW216*AW118+AX216*AX118+AY216*AY118+AZ216*AZ118+BA216*BA118+BB216*BB118+BC216*BC118+BD216*BD118+BE216*BE118+BF216*BF118+BG216*BG118+BH216*BH118+BI216*BI118+BJ216*BJ118+BK216*BK118+BL216*BL118+BM216*BM118+BN216*BN118+BO216*BO118+BP216*BP118+BQ216*BQ118+BR216*BR118+BS216*BS118+BT216*BT118+BU216*BU118+BV216*BV118+BW216*BW118+BX216*BX118+BY216*BY118+BZ216*BZ118+CA216*CA118+CB216*CB118+CC216*CC118+CD216*CD118+CE216*CE118+CF216*CF118+CG216*CG118+CH216*CH118</f>
        <v>0</v>
      </c>
      <c r="CR118" s="1952">
        <f>E217*E118+F217*F118+G217*G118+H217*H118+I217*I118+J217*J118+K217*K118+L217*L118+M217*M118+N217*N118+O217*O118+P217*P118+Q217*Q118+R217*R118+S217*S118+T217*T118+U217*U118+V217*V118+W217*W118+X217*X118+Y217*Y118+Z217*Z118+AA217*AA118+AB217*AB118+AC217*AC118+AD217*AD118+AE217*AE118+AF217*AF118+AG217*AG118+AH217*AH118+AI217*AI118+AJ217*AJ118+AK217*AK118+AL217*AL118+AM217*AM118+AN217*AN118+AO217*AO118+AP217*AP118+AQ217*AQ118+AR217*AR118+AS217*AS118+AT217*AT118+AU217*AU118+AV217*AV118+AW217*AW118+AX217*AX118+AY217*AY118+AZ217*AZ118+BA217*BA118+BB217*BB118+BC217*BC118+BD217*BD118+BE217*BE118+BF217*BF118+BG217*BG118+BH217*BH118+BI217*BI118+BJ217*BJ118+BK217*BK118+BL217*BL118+BM217*BM118+BN217*BN118+BO217*BO118+BP217*BP118+BQ217*BQ118+BR217*BR118+BS217*BS118+BT217*BT118+BU217*BU118+BV217*BV118+BW217*BW118+BX217*BX118+BY217*BY118+BZ217*BZ118+CA217*CA118+CB217*CB118+CC217*CC118+CD217*CD118+CE217*CE118+CF217*CF118+CG217*CG118+CH217*CH118</f>
        <v>0</v>
      </c>
      <c r="CS118" s="1952">
        <f>E218*E118+F218*F118+G218*G118+H218*H118+I218*I118+J218*J118+K218*K118+L218*L118+M218*M118+N218*N118+O218*O118+P218*P118+Q218*Q118+R218*R118+S218*S118+T218*T118+U218*U118+V218*V118+W218*W118+X218*X118+Y218*Y118+Z218*Z118+AA218*AA118+AB218*AB118+AC218*AC118+AD218*AD118+AE218*AE118+AF218*AF118+AG218*AG118+AH218*AH118+AI218*AI118+AJ218*AJ118+AK218*AK118+AL218*AL118+AM218*AM118+AN218*AN118+AO218*AO118+AP218*AP118+AQ218*AQ118+AR218*AR118+AS218*AS118+AT218*AT118+AU218*AU118+AV218*AV118+AW218*AW118+AX218*AX118+AY218*AY118+AZ218*AZ118+BA218*BA118+BB218*BB118+BC218*BC118+BD218*BD118+BE218*BE118+BF218*BF118+BG218*BG118+BH218*BH118+BI218*BI118+BJ218*BJ118+BK218*BK118+BL218*BL118+BM218*BM118+BN218*BN118+BO218*BO118+BP218*BP118+BQ218*BQ118+BR218*BR118+BS218*BS118+BT218*BT118+BU218*BU118+BV218*BV118+BW218*BW118+BX218*BX118+BY218*BY118+BZ218*BZ118+CA218*CA118+CB218*CB118+CC218*CC118+CD218*CD118+CE218*CE118+CF218*CF118+CG218*CG118+CH218*CH118</f>
        <v>0</v>
      </c>
      <c r="CT118" s="1952">
        <f>E219*E118+F219*F118+G219*G118+H219*H118+I219*I118+J219*J118+K219*K118+L219*L118+M219*M118+N219*N118+O219*O118+P219*P118+Q219*Q118+R219*R118+S219*S118+T219*T118+U219*U118+V219*V118+W219*W118+X219*X118+Y219*Y118+Z219*Z118+AA219*AA118+AB219*AB118+AC219*AC118+AD219*AD118+AE219*AE118+AF219*AF118+AG219*AG118+AH219*AH118+AI219*AI118+AJ219*AJ118+AK219*AK118+AL219*AL118+AM219*AM118+AN219*AN118+AO219*AO118+AP219*AP118+AQ219*AQ118+AR219*AR118+AS219*AS118+AT219*AT118+AU219*AU118+AV219*AV118+AW219*AW118+AX219*AX118+AY219*AY118+AZ219*AZ118+BA219*BA118+BB219*BB118+BC219*BC118+BD219*BD118+BE219*BE118+BF219*BF118+BG219*BG118+BH219*BH118+BI219*BI118+BJ219*BJ118+BK219*BK118+BL219*BL118+BM219*BM118+BN219*BN118+BO219*BO118+BP219*BP118+BQ219*BQ118+BR219*BR118+BS219*BS118+BT219*BT118+BU219*BU118+BV219*BV118+BW219*BW118+BX219*BX118+BY219*BY118+BZ219*BZ118+CA219*CA118+CB219*CB118+CC219*CC118+CD219*CD118+CE219*CE118+CF219*CF118+CG219*CG118+CH219*CH118</f>
        <v>0</v>
      </c>
      <c r="CU118" s="1952">
        <f>E220*E118+F220*F118+G220*G118+H220*H118+I220*I118+J220*J118+K220*K118+L220*L118+M220*M118+N220*N118+O220*O118+P220*P118+Q220*Q118+R220*R118+S220*S118+T220*T118+U220*U118+V220*V118+W220*W118+X220*X118+Y220*Y118+Z220*Z118+AA220*AA118+AB220*AB118+AC220*AC118+AD220*AD118+AE220*AE118+AF220*AF118+AG220*AG118+AH220*AH118+AI220*AI118+AJ220*AJ118+AK220*AK118+AL220*AL118+AM220*AM118+AN220*AN118+AO220*AO118+AP220*AP118+AQ220*AQ118+AR220*AR118+AS220*AS118+AT220*AT118+AU220*AU118+AV220*AV118+AW220*AW118+AX220*AX118+AY220*AY118+AZ220*AZ118+BA220*BA118+BB220*BB118+BC220*BC118+BD220*BD118+BE220*BE118+BF220*BF118+BG220*BG118+BH220*BH118+BI220*BI118+BJ220*BJ118+BK220*BK118+BL220*BL118+BM220*BM118+BN220*BN118+BO220*BO118+BP220*BP118+BQ220*BQ118+BR220*BR118+BS220*BS118+BT220*BT118+BU220*BU118+BV220*BV118+BW220*BW118+BX220*BX118+BY220*BY118+BZ220*BZ118+CA220*CA118+CB220*CB118+CC220*CC118+CD220*CD118+CE220*CE118+CF220*CF118+CG220*CG118+CH220*CH118</f>
        <v>0</v>
      </c>
    </row>
    <row r="119" spans="2:99" ht="18" x14ac:dyDescent="0.25">
      <c r="B119" s="1029">
        <v>5</v>
      </c>
      <c r="C119" s="1090" t="s">
        <v>227</v>
      </c>
      <c r="D119" s="1091" t="s">
        <v>2155</v>
      </c>
      <c r="E119" s="2055">
        <f>(1-Y_OHO_SB_ana-Y_OHO_H2_ana_high)/Y_OHO_SB_ana</f>
        <v>5.5</v>
      </c>
      <c r="F119" s="2054">
        <f>-1/Y_OHO_SB_ana</f>
        <v>-10</v>
      </c>
      <c r="G119" s="2055">
        <f>0</f>
        <v>0</v>
      </c>
      <c r="H119" s="2055">
        <f>0</f>
        <v>0</v>
      </c>
      <c r="I119" s="2078">
        <f>0</f>
        <v>0</v>
      </c>
      <c r="J119" s="2078">
        <f>0</f>
        <v>0</v>
      </c>
      <c r="K119" s="2055">
        <f>0</f>
        <v>0</v>
      </c>
      <c r="L119" s="2055">
        <f>0</f>
        <v>0</v>
      </c>
      <c r="M119" s="2055">
        <f>0</f>
        <v>0</v>
      </c>
      <c r="N119" s="2055">
        <f>0</f>
        <v>0</v>
      </c>
      <c r="O119" s="2055">
        <f>0</f>
        <v>0</v>
      </c>
      <c r="P119" s="2055">
        <f>0</f>
        <v>0</v>
      </c>
      <c r="Q119" s="2055">
        <f>0</f>
        <v>0</v>
      </c>
      <c r="R119" s="2055">
        <f>1</f>
        <v>1</v>
      </c>
      <c r="S119" s="2055">
        <f>0</f>
        <v>0</v>
      </c>
      <c r="T119" s="2055">
        <f>0</f>
        <v>0</v>
      </c>
      <c r="U119" s="2055">
        <f>0</f>
        <v>0</v>
      </c>
      <c r="V119" s="2055">
        <f>0</f>
        <v>0</v>
      </c>
      <c r="W119" s="2055">
        <f>0</f>
        <v>0</v>
      </c>
      <c r="X119" s="2055">
        <f>0</f>
        <v>0</v>
      </c>
      <c r="Y119" s="2054">
        <f>-i_N_BIO</f>
        <v>-7.0000000000000007E-2</v>
      </c>
      <c r="Z119" s="2055">
        <f>0</f>
        <v>0</v>
      </c>
      <c r="AA119" s="2055">
        <f>0</f>
        <v>0</v>
      </c>
      <c r="AB119" s="2055">
        <f>0</f>
        <v>0</v>
      </c>
      <c r="AC119" s="2078">
        <f>0</f>
        <v>0</v>
      </c>
      <c r="AD119" s="2078">
        <f>0</f>
        <v>0</v>
      </c>
      <c r="AE119" s="2055">
        <f>0</f>
        <v>0</v>
      </c>
      <c r="AF119" s="2054">
        <f>-i_P_BIO</f>
        <v>-0.02</v>
      </c>
      <c r="AG119" s="2055">
        <f>0</f>
        <v>0</v>
      </c>
      <c r="AH119" s="2055">
        <f>0</f>
        <v>0</v>
      </c>
      <c r="AI119" s="2078">
        <f>0</f>
        <v>0</v>
      </c>
      <c r="AJ119" s="2078">
        <f>0</f>
        <v>0</v>
      </c>
      <c r="AK119" s="2055">
        <f>0</f>
        <v>0</v>
      </c>
      <c r="AL119" s="2055">
        <f>0</f>
        <v>0</v>
      </c>
      <c r="AM119" s="2055">
        <f>0</f>
        <v>0</v>
      </c>
      <c r="AN119" s="2055">
        <f>Y_OHO_H2_ana_high/Y_OHO_SB_ana</f>
        <v>3.4999999999999996</v>
      </c>
      <c r="AO119" s="2055">
        <f>(i_CIT_SB-i_CIT_VFA*(1-Y_OHO_SB_ana-Y_OHO_H2_ana_high)-i_CIT_BIO*Y_OHO_SB_ana)/Y_OHO_SB_ana</f>
        <v>0.44549999999999956</v>
      </c>
      <c r="AP119" s="2055">
        <f>i_INORG</f>
        <v>0.11</v>
      </c>
      <c r="AQ119" s="2054">
        <f>-i_INORG*(1-i_Ca_INORG*(A_MCa+2*A_MCl)/A_MCa-i_Mg_INORG*(A_MMg+2*A_MCl)/A_MMg)*f_Na</f>
        <v>-2.8804303582798466E-2</v>
      </c>
      <c r="AR119" s="2054">
        <f>-i_INORG*(i_Ca_INORG*(2*A_MCl)/A_MCa+i_Mg_INORG*(2*A_MCl)/A_MMg)-i_INORG*(1-i_Ca_INORG*(A_MCa+2*A_MCl)/A_MCa-i_Mg_INORG*(A_MMg+2*A_MCl)/A_MMg)*(1-f_Na)</f>
        <v>-7.0195696417201539E-2</v>
      </c>
      <c r="AS119" s="2054">
        <f>-i_INORG*i_Ca_INORG</f>
        <v>-5.5000000000000005E-3</v>
      </c>
      <c r="AT119" s="2054">
        <f>-i_INORG*i_Mg_INORG</f>
        <v>-5.5000000000000005E-3</v>
      </c>
      <c r="AU119" s="2054">
        <f>0</f>
        <v>0</v>
      </c>
      <c r="AV119" s="2054">
        <f>0</f>
        <v>0</v>
      </c>
      <c r="AW119" s="2054">
        <f>0</f>
        <v>0</v>
      </c>
      <c r="AX119" s="2054">
        <f>0</f>
        <v>0</v>
      </c>
      <c r="AY119" s="2054">
        <f>0</f>
        <v>0</v>
      </c>
      <c r="AZ119" s="2054">
        <f>0</f>
        <v>0</v>
      </c>
      <c r="BA119" s="2054">
        <f>0</f>
        <v>0</v>
      </c>
      <c r="BB119" s="2054">
        <f>0</f>
        <v>0</v>
      </c>
      <c r="BC119" s="2054">
        <f>0</f>
        <v>0</v>
      </c>
      <c r="BD119" s="2054">
        <f>0</f>
        <v>0</v>
      </c>
      <c r="BE119" s="2054">
        <f>0</f>
        <v>0</v>
      </c>
      <c r="BF119" s="2054">
        <f>0</f>
        <v>0</v>
      </c>
      <c r="BG119" s="2054">
        <f>0</f>
        <v>0</v>
      </c>
      <c r="BH119" s="2054">
        <f>0</f>
        <v>0</v>
      </c>
      <c r="BI119" s="2054">
        <f>0</f>
        <v>0</v>
      </c>
      <c r="BJ119" s="2054">
        <f>0</f>
        <v>0</v>
      </c>
      <c r="BK119" s="2054">
        <f>0</f>
        <v>0</v>
      </c>
      <c r="BL119" s="2054">
        <f>0</f>
        <v>0</v>
      </c>
      <c r="BM119" s="2054">
        <f>0</f>
        <v>0</v>
      </c>
      <c r="BN119" s="2054">
        <f>0</f>
        <v>0</v>
      </c>
      <c r="BO119" s="2054">
        <f>0</f>
        <v>0</v>
      </c>
      <c r="BP119" s="2110">
        <f>0</f>
        <v>0</v>
      </c>
      <c r="BQ119" s="2110">
        <f>0</f>
        <v>0</v>
      </c>
      <c r="BR119" s="2110">
        <f>0</f>
        <v>0</v>
      </c>
      <c r="BS119" s="2110">
        <f>0</f>
        <v>0</v>
      </c>
      <c r="BT119" s="2054">
        <f>0</f>
        <v>0</v>
      </c>
      <c r="BU119" s="2054">
        <f>0</f>
        <v>0</v>
      </c>
      <c r="BV119" s="2054">
        <f>0</f>
        <v>0</v>
      </c>
      <c r="BW119" s="2054">
        <f>0</f>
        <v>0</v>
      </c>
      <c r="BX119" s="2054">
        <f>0</f>
        <v>0</v>
      </c>
      <c r="BY119" s="2054">
        <f>0</f>
        <v>0</v>
      </c>
      <c r="BZ119" s="2054">
        <f>0</f>
        <v>0</v>
      </c>
      <c r="CA119" s="2054">
        <f>0</f>
        <v>0</v>
      </c>
      <c r="CB119" s="2054">
        <f>0</f>
        <v>0</v>
      </c>
      <c r="CC119" s="2054">
        <f>0</f>
        <v>0</v>
      </c>
      <c r="CD119" s="2054">
        <f>0</f>
        <v>0</v>
      </c>
      <c r="CE119" s="2054">
        <f>0</f>
        <v>0</v>
      </c>
      <c r="CF119" s="2054">
        <f>0</f>
        <v>0</v>
      </c>
      <c r="CG119" s="2054">
        <f>0</f>
        <v>0</v>
      </c>
      <c r="CH119" s="2054">
        <f>0</f>
        <v>0</v>
      </c>
      <c r="CI119" s="2137">
        <f>µ_FERM_OHO_T*X_OHO*L_ogsatSVFA_KVFA_FERM*M_satSB_KSB_ana*M_inhSO2_KO2_OHO*M_inhSNOx_KNOx_OHO*M_satSNHx_KNHx_BIO*M_satSPO4_KPO4_BIO*M_satSCAT_KCAT*M_satSAN_KAN*M_satSCa_KCa*M_satSMg_KMg*B_ellinhpH</f>
        <v>4.5990738641152248E-219</v>
      </c>
      <c r="CK119" s="1950">
        <f>E210*E119+F210*F119+G210*G119+H210*H119+I210*I119+J210*J119+K210*K119+L210*L119+M210*M119+N210*N119+O210*O119+P210*P119+Q210*Q119+R210*R119+S210*S119+T210*T119+U210*U119+V210*V119+W210*W119+X210*X119+Y210*Y119+Z210*Z119+AA210*AA119+AB210*AB119+AC210*AC119+AD210*AD119+AE210*AE119+AF210*AF119+AG210*AG119+AH210*AH119+AI210*AI119+AJ210*AJ119+AK210*AK119+AL210*AL119+AM210*AM119+AN210*AN119+AO210*AO119+AP210*AP119+AQ210*AQ119+AR210*AR119+AS210*AS119+AT210*AT119+AU210*AU119+AV210*AV119+AW210*AW119+AX210*AX119+AY210*AY119+AZ210*AZ119+BA210*BA119+BB210*BB119+BC210*BC119+BD210*BD119+BE210*BE119+BF210*BF119+BG210*BG119+BH210*BH119+BI210*BI119+BJ210*BJ119+BK210*BK119+BL210*BL119+BM210*BM119+BN210*BN119+BO210*BO119+BP210*BP119+BQ210*BQ119+BR210*BR119+BS210*BS119+BT210*BT119+BU210*BU119+BV210*BV119+BW210*BW119+BX210*BX119+BY210*BY119+BZ210*BZ119+CA210*CA119+CB210*CB119+CC210*CC119+CD210*CD119+CE210*CE119+CF210*CF119+CG210*CG119+CH210*CH119</f>
        <v>-4.4408920985006262E-16</v>
      </c>
      <c r="CL119" s="1950">
        <f>E211*E119+F211*F119+G211*G119+H211*H119+I211*I119+J211*J119+K211*K119+L211*L119+M211*M119+N211*N119+O211*O119+P211*P119+Q211*Q119+R211*R119+S211*S119+T211*T119+U211*U119+V211*V119+W211*W119+X211*X119+Y211*Y119+Z211*Z119+AA211*AA119+AB211*AB119+AC211*AC119+AD211*AD119+AE211*AE119+AF211*AF119+AG211*AG119+AH211*AH119+AI211*AI119+AJ211*AJ119+AK211*AK119+AL211*AL119+AM211*AM119+AN211*AN119+AO211*AO119+AP211*AP119+AQ211*AQ119+AR211*AR119+AS211*AS119+AT211*AT119+AU211*AU119+AV211*AV119+AW211*AW119+AX211*AX119+AY211*AY119+AZ211*AZ119+BA211*BA119+BB211*BB119+BC211*BC119+BD211*BD119+BE211*BE119+BF211*BF119+BG211*BG119+BH211*BH119+BI211*BI119+BJ211*BJ119+BK211*BK119+BL211*BL119+BM211*BM119+BN211*BN119+BO211*BO119+BP211*BP119+BQ211*BQ119+BR211*BR119+BS211*BS119+BT211*BT119+BU211*BU119+BV211*BV119+BW211*BW119+BX211*BX119+BY211*BY119+BZ211*BZ119+CA211*CA119+CB211*CB119+CC211*CC119+CD211*CD119+CE211*CE119+CF211*CF119+CG211*CG119+CH211*CH119</f>
        <v>-3.3306690738754696E-16</v>
      </c>
      <c r="CM119" s="1951">
        <f>E212*E119+F212*F119+G212*G119+H212*H119+I212*I119+J212*J119+K212*K119+L212*L119+M212*M119+N212*N119+O212*O119+P212*P119+Q212*Q119+R212*R119+S212*S119+T212*T119+U212*U119+V212*V119+W212*W119+X212*X119+Y212*Y119+Z212*Z119+AA212*AA119+AB212*AB119+AC212*AC119+AD212*AD119+AE212*AE119+AF212*AF119+AG212*AG119+AH212*AH119+AI212*AI119+AJ212*AJ119+AK212*AK119+AL212*AL119+AM212*AM119+AN212*AN119+AO212*AO119+AP212*AP119+AQ212*AQ119+AR212*AR119+AS212*AS119+AT212*AT119+AU212*AU119+AV212*AV119+AW212*AW119+AX212*AX119+AY212*AY119+AZ212*AZ119+BA212*BA119+BB212*BB119+BC212*BC119+BD212*BD119+BE212*BE119+BF212*BF119+BG212*BG119+BH212*BH119+BI212*BI119+BJ212*BJ119+BK212*BK119+BL212*BL119+BM212*BM119+BN212*BN119+BO212*BO119+BP212*BP119+BQ212*BQ119+BR212*BR119+BS212*BS119+BT212*BT119+BU212*BU119+BV212*BV119+BW212*BW119+BX212*BX119+BY212*BY119+BZ212*BZ119+CA212*CA119+CB212*CB119+CC212*CC119+CD212*CD119+CE212*CE119+CF212*CF119+CG212*CG119+CH212*CH119</f>
        <v>0</v>
      </c>
      <c r="CN119" s="1952">
        <f>E213*E119+F213*F119+G213*G119+H213*H119+I213*I119+J213*J119+K213*K119+L213*L119+M213*M119+N213*N119+O213*O119+P213*P119+Q213*Q119+R213*R119+S213*S119+T213*T119+U213*U119+V213*V119+W213*W119+X213*X119+Y213*Y119+Z213*Z119+AA213*AA119+AB213*AB119+AC213*AC119+AD213*AD119+AE213*AE119+AF213*AF119+AG213*AG119+AH213*AH119+AI213*AI119+AJ213*AJ119+AK213*AK119+AL213*AL119+AM213*AM119+AN213*AN119+AO213*AO119+AP213*AP119+AQ213*AQ119+AR213*AR119+AS213*AS119+AT213*AT119+AU213*AU119+AV213*AV119+AW213*AW119+AX213*AX119+AY213*AY119+AZ213*AZ119+BA213*BA119+BB213*BB119+BC213*BC119+BD213*BD119+BE213*BE119+BF213*BF119+BG213*BG119+BH213*BH119+BI213*BI119+BJ213*BJ119+BK213*BK119+BL213*BL119+BM213*BM119+BN213*BN119+BO213*BO119+BP213*BP119+BQ213*BQ119+BR213*BR119+BS213*BS119+BT213*BT119+BU213*BU119+BV213*BV119+BW213*BW119+BX213*BX119+BY213*BY119+BZ213*BZ119+CA213*CA119+CB213*CB119+CC213*CC119+CD213*CD119+CE213*CE119+CF213*CF119+CG213*CG119+CH213*CH119</f>
        <v>0</v>
      </c>
      <c r="CO119" s="1952">
        <f>E214*E119+F214*F119+G214*G119+H214*H119+I214*I119+J214*J119+K214*K119+L214*L119+M214*M119+N214*N119+O214*O119+P214*P119+Q214*Q119+R214*R119+S214*S119+T214*T119+U214*U119+V214*V119+W214*W119+X214*X119+Y214*Y119+Z214*Z119+AA214*AA119+AB214*AB119+AC214*AC119+AD214*AD119+AE214*AE119+AF214*AF119+AG214*AG119+AH214*AH119+AI214*AI119+AJ214*AJ119+AK214*AK119+AL214*AL119+AM214*AM119+AN214*AN119+AO214*AO119+AP214*AP119+AQ214*AQ119+AR214*AR119+AS214*AS119+AT214*AT119+AU214*AU119+AV214*AV119+AW214*AW119+AX214*AX119+AY214*AY119+AZ214*AZ119+BA214*BA119+BB214*BB119+BC214*BC119+BD214*BD119+BE214*BE119+BF214*BF119+BG214*BG119+BH214*BH119+BI214*BI119+BJ214*BJ119+BK214*BK119+BL214*BL119+BM214*BM119+BN214*BN119+BO214*BO119+BP214*BP119+BQ214*BQ119+BR214*BR119+BS214*BS119+BT214*BT119+BU214*BU119+BV214*BV119+BW214*BW119+BX214*BX119+BY214*BY119+BZ214*BZ119+CA214*CA119+CB214*CB119+CC214*CC119+CD214*CD119+CE214*CE119+CF214*CF119+CG214*CG119+CH214*CH119</f>
        <v>0</v>
      </c>
      <c r="CP119" s="1952">
        <f>E215*E119+F215*F119+G215*G119+H215*H119+I215*I119+J215*J119+K215*K119+L215*L119+M215*M119+N215*N119+O215*O119+P215*P119+Q215*Q119+R215*R119+S215*S119+T215*T119+U215*U119+V215*V119+W215*W119+X215*X119+Y215*Y119+Z215*Z119+AA215*AA119+AB215*AB119+AC215*AC119+AD215*AD119+AE215*AE119+AF215*AF119+AG215*AG119+AH215*AH119+AI215*AI119+AJ215*AJ119+AK215*AK119+AL215*AL119+AM215*AM119+AN215*AN119+AO215*AO119+AP215*AP119+AQ215*AQ119+AR215*AR119+AS215*AS119+AT215*AT119+AU215*AU119+AV215*AV119+AW215*AW119+AX215*AX119+AY215*AY119+AZ215*AZ119+BA215*BA119+BB215*BB119+BC215*BC119+BD215*BD119+BE215*BE119+BF215*BF119+BG215*BG119+BH215*BH119+BI215*BI119+BJ215*BJ119+BK215*BK119+BL215*BL119+BM215*BM119+BN215*BN119+BO215*BO119+BP215*BP119+BQ215*BQ119+BR215*BR119+BS215*BS119+BT215*BT119+BU215*BU119+BV215*BV119+BW215*BW119+BX215*BX119+BY215*BY119+BZ215*BZ119+CA215*CA119+CB215*CB119+CC215*CC119+CD215*CD119+CE215*CE119+CF215*CF119+CG215*CG119+CH215*CH119</f>
        <v>0</v>
      </c>
      <c r="CQ119" s="1952">
        <f>E216*E119+F216*F119+G216*G119+H216*H119+I216*I119+J216*J119+K216*K119+L216*L119+M216*M119+N216*N119+O216*O119+P216*P119+Q216*Q119+R216*R119+S216*S119+T216*T119+U216*U119+V216*V119+W216*W119+X216*X119+Y216*Y119+Z216*Z119+AA216*AA119+AB216*AB119+AC216*AC119+AD216*AD119+AE216*AE119+AF216*AF119+AG216*AG119+AH216*AH119+AI216*AI119+AJ216*AJ119+AK216*AK119+AL216*AL119+AM216*AM119+AN216*AN119+AO216*AO119+AP216*AP119+AQ216*AQ119+AR216*AR119+AS216*AS119+AT216*AT119+AU216*AU119+AV216*AV119+AW216*AW119+AX216*AX119+AY216*AY119+AZ216*AZ119+BA216*BA119+BB216*BB119+BC216*BC119+BD216*BD119+BE216*BE119+BF216*BF119+BG216*BG119+BH216*BH119+BI216*BI119+BJ216*BJ119+BK216*BK119+BL216*BL119+BM216*BM119+BN216*BN119+BO216*BO119+BP216*BP119+BQ216*BQ119+BR216*BR119+BS216*BS119+BT216*BT119+BU216*BU119+BV216*BV119+BW216*BW119+BX216*BX119+BY216*BY119+BZ216*BZ119+CA216*CA119+CB216*CB119+CC216*CC119+CD216*CD119+CE216*CE119+CF216*CF119+CG216*CG119+CH216*CH119</f>
        <v>0</v>
      </c>
      <c r="CR119" s="1952">
        <f>E217*E119+F217*F119+G217*G119+H217*H119+I217*I119+J217*J119+K217*K119+L217*L119+M217*M119+N217*N119+O217*O119+P217*P119+Q217*Q119+R217*R119+S217*S119+T217*T119+U217*U119+V217*V119+W217*W119+X217*X119+Y217*Y119+Z217*Z119+AA217*AA119+AB217*AB119+AC217*AC119+AD217*AD119+AE217*AE119+AF217*AF119+AG217*AG119+AH217*AH119+AI217*AI119+AJ217*AJ119+AK217*AK119+AL217*AL119+AM217*AM119+AN217*AN119+AO217*AO119+AP217*AP119+AQ217*AQ119+AR217*AR119+AS217*AS119+AT217*AT119+AU217*AU119+AV217*AV119+AW217*AW119+AX217*AX119+AY217*AY119+AZ217*AZ119+BA217*BA119+BB217*BB119+BC217*BC119+BD217*BD119+BE217*BE119+BF217*BF119+BG217*BG119+BH217*BH119+BI217*BI119+BJ217*BJ119+BK217*BK119+BL217*BL119+BM217*BM119+BN217*BN119+BO217*BO119+BP217*BP119+BQ217*BQ119+BR217*BR119+BS217*BS119+BT217*BT119+BU217*BU119+BV217*BV119+BW217*BW119+BX217*BX119+BY217*BY119+BZ217*BZ119+CA217*CA119+CB217*CB119+CC217*CC119+CD217*CD119+CE217*CE119+CF217*CF119+CG217*CG119+CH217*CH119</f>
        <v>0</v>
      </c>
      <c r="CS119" s="1952">
        <f>E218*E119+F218*F119+G218*G119+H218*H119+I218*I119+J218*J119+K218*K119+L218*L119+M218*M119+N218*N119+O218*O119+P218*P119+Q218*Q119+R218*R119+S218*S119+T218*T119+U218*U119+V218*V119+W218*W119+X218*X119+Y218*Y119+Z218*Z119+AA218*AA119+AB218*AB119+AC218*AC119+AD218*AD119+AE218*AE119+AF218*AF119+AG218*AG119+AH218*AH119+AI218*AI119+AJ218*AJ119+AK218*AK119+AL218*AL119+AM218*AM119+AN218*AN119+AO218*AO119+AP218*AP119+AQ218*AQ119+AR218*AR119+AS218*AS119+AT218*AT119+AU218*AU119+AV218*AV119+AW218*AW119+AX218*AX119+AY218*AY119+AZ218*AZ119+BA218*BA119+BB218*BB119+BC218*BC119+BD218*BD119+BE218*BE119+BF218*BF119+BG218*BG119+BH218*BH119+BI218*BI119+BJ218*BJ119+BK218*BK119+BL218*BL119+BM218*BM119+BN218*BN119+BO218*BO119+BP218*BP119+BQ218*BQ119+BR218*BR119+BS218*BS119+BT218*BT119+BU218*BU119+BV218*BV119+BW218*BW119+BX218*BX119+BY218*BY119+BZ218*BZ119+CA218*CA119+CB218*CB119+CC218*CC119+CD218*CD119+CE218*CE119+CF218*CF119+CG218*CG119+CH218*CH119</f>
        <v>0</v>
      </c>
      <c r="CT119" s="1952">
        <f>E219*E119+F219*F119+G219*G119+H219*H119+I219*I119+J219*J119+K219*K119+L219*L119+M219*M119+N219*N119+O219*O119+P219*P119+Q219*Q119+R219*R119+S219*S119+T219*T119+U219*U119+V219*V119+W219*W119+X219*X119+Y219*Y119+Z219*Z119+AA219*AA119+AB219*AB119+AC219*AC119+AD219*AD119+AE219*AE119+AF219*AF119+AG219*AG119+AH219*AH119+AI219*AI119+AJ219*AJ119+AK219*AK119+AL219*AL119+AM219*AM119+AN219*AN119+AO219*AO119+AP219*AP119+AQ219*AQ119+AR219*AR119+AS219*AS119+AT219*AT119+AU219*AU119+AV219*AV119+AW219*AW119+AX219*AX119+AY219*AY119+AZ219*AZ119+BA219*BA119+BB219*BB119+BC219*BC119+BD219*BD119+BE219*BE119+BF219*BF119+BG219*BG119+BH219*BH119+BI219*BI119+BJ219*BJ119+BK219*BK119+BL219*BL119+BM219*BM119+BN219*BN119+BO219*BO119+BP219*BP119+BQ219*BQ119+BR219*BR119+BS219*BS119+BT219*BT119+BU219*BU119+BV219*BV119+BW219*BW119+BX219*BX119+BY219*BY119+BZ219*BZ119+CA219*CA119+CB219*CB119+CC219*CC119+CD219*CD119+CE219*CE119+CF219*CF119+CG219*CG119+CH219*CH119</f>
        <v>0</v>
      </c>
      <c r="CU119" s="1952">
        <f>E220*E119+F220*F119+G220*G119+H220*H119+I220*I119+J220*J119+K220*K119+L220*L119+M220*M119+N220*N119+O220*O119+P220*P119+Q220*Q119+R220*R119+S220*S119+T220*T119+U220*U119+V220*V119+W220*W119+X220*X119+Y220*Y119+Z220*Z119+AA220*AA119+AB220*AB119+AC220*AC119+AD220*AD119+AE220*AE119+AF220*AF119+AG220*AG119+AH220*AH119+AI220*AI119+AJ220*AJ119+AK220*AK119+AL220*AL119+AM220*AM119+AN220*AN119+AO220*AO119+AP220*AP119+AQ220*AQ119+AR220*AR119+AS220*AS119+AT220*AT119+AU220*AU119+AV220*AV119+AW220*AW119+AX220*AX119+AY220*AY119+AZ220*AZ119+BA220*BA119+BB220*BB119+BC220*BC119+BD220*BD119+BE220*BE119+BF220*BF119+BG220*BG119+BH220*BH119+BI220*BI119+BJ220*BJ119+BK220*BK119+BL220*BL119+BM220*BM119+BN220*BN119+BO220*BO119+BP220*BP119+BQ220*BQ119+BR220*BR119+BS220*BS119+BT220*BT119+BU220*BU119+BV220*BV119+BW220*BW119+BX220*BX119+BY220*BY119+BZ220*BZ119+CA220*CA119+CB220*CB119+CC220*CC119+CD220*CD119+CE220*CE119+CF220*CF119+CG220*CG119+CH220*CH119</f>
        <v>0</v>
      </c>
    </row>
    <row r="120" spans="2:99" ht="18" x14ac:dyDescent="0.25">
      <c r="B120" s="1029">
        <v>6</v>
      </c>
      <c r="C120" s="1090" t="s">
        <v>228</v>
      </c>
      <c r="D120" s="1091" t="s">
        <v>2587</v>
      </c>
      <c r="E120" s="2055">
        <f>(1-Y_OHO_SB_ana-Y_OHO_H2_ana_low)/Y_OHO_SB_ana</f>
        <v>8</v>
      </c>
      <c r="F120" s="2054">
        <f>-1/Y_OHO_SB_ana</f>
        <v>-10</v>
      </c>
      <c r="G120" s="2055">
        <f>0</f>
        <v>0</v>
      </c>
      <c r="H120" s="2055">
        <f>0</f>
        <v>0</v>
      </c>
      <c r="I120" s="2078">
        <f>0</f>
        <v>0</v>
      </c>
      <c r="J120" s="2078">
        <f>0</f>
        <v>0</v>
      </c>
      <c r="K120" s="2055">
        <f>0</f>
        <v>0</v>
      </c>
      <c r="L120" s="2055">
        <f>0</f>
        <v>0</v>
      </c>
      <c r="M120" s="2055">
        <f>0</f>
        <v>0</v>
      </c>
      <c r="N120" s="2055">
        <f>0</f>
        <v>0</v>
      </c>
      <c r="O120" s="2055">
        <f>0</f>
        <v>0</v>
      </c>
      <c r="P120" s="2055">
        <f>0</f>
        <v>0</v>
      </c>
      <c r="Q120" s="2055">
        <f>0</f>
        <v>0</v>
      </c>
      <c r="R120" s="2055">
        <f>1</f>
        <v>1</v>
      </c>
      <c r="S120" s="2055">
        <f>0</f>
        <v>0</v>
      </c>
      <c r="T120" s="2055">
        <f>0</f>
        <v>0</v>
      </c>
      <c r="U120" s="2055">
        <f>0</f>
        <v>0</v>
      </c>
      <c r="V120" s="2055">
        <f>0</f>
        <v>0</v>
      </c>
      <c r="W120" s="2055">
        <f>0</f>
        <v>0</v>
      </c>
      <c r="X120" s="2055">
        <f>0</f>
        <v>0</v>
      </c>
      <c r="Y120" s="2054">
        <f>-i_N_BIO</f>
        <v>-7.0000000000000007E-2</v>
      </c>
      <c r="Z120" s="2055">
        <f>0</f>
        <v>0</v>
      </c>
      <c r="AA120" s="2055">
        <f>0</f>
        <v>0</v>
      </c>
      <c r="AB120" s="2055">
        <f>0</f>
        <v>0</v>
      </c>
      <c r="AC120" s="2078">
        <f>0</f>
        <v>0</v>
      </c>
      <c r="AD120" s="2078">
        <f>0</f>
        <v>0</v>
      </c>
      <c r="AE120" s="2055">
        <f>0</f>
        <v>0</v>
      </c>
      <c r="AF120" s="2054">
        <f>-i_P_BIO</f>
        <v>-0.02</v>
      </c>
      <c r="AG120" s="2055">
        <f>0</f>
        <v>0</v>
      </c>
      <c r="AH120" s="2055">
        <f>0</f>
        <v>0</v>
      </c>
      <c r="AI120" s="2078">
        <f>0</f>
        <v>0</v>
      </c>
      <c r="AJ120" s="2078">
        <f>0</f>
        <v>0</v>
      </c>
      <c r="AK120" s="2055">
        <f>0</f>
        <v>0</v>
      </c>
      <c r="AL120" s="2055">
        <f>0</f>
        <v>0</v>
      </c>
      <c r="AM120" s="2055">
        <f>0</f>
        <v>0</v>
      </c>
      <c r="AN120" s="2055">
        <f>Y_OHO_H2_ana_low/Y_OHO_SB_ana</f>
        <v>1</v>
      </c>
      <c r="AO120" s="2055">
        <f>(i_CIT_SB-i_CIT_VFA*(1-Y_OHO_SB_ana-Y_OHO_H2_ana_low)-i_CIT_BIO*Y_OHO_SB_ana)/Y_OHO_SB_ana</f>
        <v>-0.49200000000000066</v>
      </c>
      <c r="AP120" s="2054">
        <f>i_INORG</f>
        <v>0.11</v>
      </c>
      <c r="AQ120" s="2054">
        <f>-i_INORG*(1-i_Ca_INORG*(A_MCa+2*A_MCl)/A_MCa-i_Mg_INORG*(A_MMg+2*A_MCl)/A_MMg)*f_Na</f>
        <v>-2.8804303582798466E-2</v>
      </c>
      <c r="AR120" s="2054">
        <f>-i_INORG*(i_Ca_INORG*(2*A_MCl)/A_MCa+i_Mg_INORG*(2*A_MCl)/A_MMg)-i_INORG*(1-i_Ca_INORG*(A_MCa+2*A_MCl)/A_MCa-i_Mg_INORG*(A_MMg+2*A_MCl)/A_MMg)*(1-f_Na)</f>
        <v>-7.0195696417201539E-2</v>
      </c>
      <c r="AS120" s="2054">
        <f>-i_INORG*i_Ca_INORG</f>
        <v>-5.5000000000000005E-3</v>
      </c>
      <c r="AT120" s="2054">
        <f>-i_INORG*i_Mg_INORG</f>
        <v>-5.5000000000000005E-3</v>
      </c>
      <c r="AU120" s="2054">
        <f>0</f>
        <v>0</v>
      </c>
      <c r="AV120" s="2054">
        <f>0</f>
        <v>0</v>
      </c>
      <c r="AW120" s="2054">
        <f>0</f>
        <v>0</v>
      </c>
      <c r="AX120" s="2054">
        <f>0</f>
        <v>0</v>
      </c>
      <c r="AY120" s="2054">
        <f>0</f>
        <v>0</v>
      </c>
      <c r="AZ120" s="2054">
        <f>0</f>
        <v>0</v>
      </c>
      <c r="BA120" s="2054">
        <f>0</f>
        <v>0</v>
      </c>
      <c r="BB120" s="2054">
        <f>0</f>
        <v>0</v>
      </c>
      <c r="BC120" s="2054">
        <f>0</f>
        <v>0</v>
      </c>
      <c r="BD120" s="2054">
        <f>0</f>
        <v>0</v>
      </c>
      <c r="BE120" s="2054">
        <f>0</f>
        <v>0</v>
      </c>
      <c r="BF120" s="2054">
        <f>0</f>
        <v>0</v>
      </c>
      <c r="BG120" s="2054">
        <f>0</f>
        <v>0</v>
      </c>
      <c r="BH120" s="2054">
        <f>0</f>
        <v>0</v>
      </c>
      <c r="BI120" s="2054">
        <f>0</f>
        <v>0</v>
      </c>
      <c r="BJ120" s="2054">
        <f>0</f>
        <v>0</v>
      </c>
      <c r="BK120" s="2054">
        <f>0</f>
        <v>0</v>
      </c>
      <c r="BL120" s="2054">
        <f>0</f>
        <v>0</v>
      </c>
      <c r="BM120" s="2054">
        <f>0</f>
        <v>0</v>
      </c>
      <c r="BN120" s="2054">
        <f>0</f>
        <v>0</v>
      </c>
      <c r="BO120" s="2054">
        <f>0</f>
        <v>0</v>
      </c>
      <c r="BP120" s="2110">
        <f>0</f>
        <v>0</v>
      </c>
      <c r="BQ120" s="2110">
        <f>0</f>
        <v>0</v>
      </c>
      <c r="BR120" s="2110">
        <f>0</f>
        <v>0</v>
      </c>
      <c r="BS120" s="2110">
        <f>0</f>
        <v>0</v>
      </c>
      <c r="BT120" s="2054">
        <f>0</f>
        <v>0</v>
      </c>
      <c r="BU120" s="2054">
        <f>0</f>
        <v>0</v>
      </c>
      <c r="BV120" s="2054">
        <f>0</f>
        <v>0</v>
      </c>
      <c r="BW120" s="2054">
        <f>0</f>
        <v>0</v>
      </c>
      <c r="BX120" s="2054">
        <f>0</f>
        <v>0</v>
      </c>
      <c r="BY120" s="2054">
        <f>0</f>
        <v>0</v>
      </c>
      <c r="BZ120" s="2054">
        <f>0</f>
        <v>0</v>
      </c>
      <c r="CA120" s="2054">
        <f>0</f>
        <v>0</v>
      </c>
      <c r="CB120" s="2054">
        <f>0</f>
        <v>0</v>
      </c>
      <c r="CC120" s="2054">
        <f>0</f>
        <v>0</v>
      </c>
      <c r="CD120" s="2054">
        <f>0</f>
        <v>0</v>
      </c>
      <c r="CE120" s="2054">
        <f>0</f>
        <v>0</v>
      </c>
      <c r="CF120" s="2054">
        <f>0</f>
        <v>0</v>
      </c>
      <c r="CG120" s="2054">
        <f>0</f>
        <v>0</v>
      </c>
      <c r="CH120" s="2054">
        <f>0</f>
        <v>0</v>
      </c>
      <c r="CI120" s="2137">
        <f>µ_FERM_OHO_T*X_OHO*L_oginhSVFA_KVFA_FERM*M_satSB_KSB_ana*M_inhSO2_KO2_OHO*M_inhSNOx_KNOx_OHO*M_satSNHx_KNHx_BIO*M_satSPO4_KPO4_BIO*M_satSCAT_KCAT*M_satSAN_KAN*M_satSCa_KCa*M_satSMg_KMg*M_satSCO2_KCO2_BIO*B_ellinhpH</f>
        <v>1.0109254258174308E-2</v>
      </c>
      <c r="CK120" s="1950">
        <f>E210*E120+F210*F120+G210*G120+H210*H120+I210*I120+J210*J120+K210*K120+L210*L120+M210*M120+N210*N120+O210*O120+P210*P120+Q210*Q120+R210*R120+S210*S120+T210*T120+U210*U120+V210*V120+W210*W120+X210*X120+Y210*Y120+Z210*Z120+AA210*AA120+AB210*AB120+AC210*AC120+AD210*AD120+AE210*AE120+AF210*AF120+AG210*AG120+AH210*AH120+AI210*AI120+AJ210*AJ120+AK210*AK120+AL210*AL120+AM210*AM120+AN210*AN120+AO210*AO120+AP210*AP120+AQ210*AQ120+AR210*AR120+AS210*AS120+AT210*AT120+AU210*AU120+AV210*AV120+AW210*AW120+AX210*AX120+AY210*AY120+AZ210*AZ120+BA210*BA120+BB210*BB120+BC210*BC120+BD210*BD120+BE210*BE120+BF210*BF120+BG210*BG120+BH210*BH120+BI210*BI120+BJ210*BJ120+BK210*BK120+BL210*BL120+BM210*BM120+BN210*BN120+BO210*BO120+BP210*BP120+BQ210*BQ120+BR210*BR120+BS210*BS120+BT210*BT120+BU210*BU120+BV210*BV120+BW210*BW120+BX210*BX120+BY210*BY120+BZ210*BZ120+CA210*CA120+CB210*CB120+CC210*CC120+CD210*CD120+CE210*CE120+CF210*CF120+CG210*CG120+CH210*CH120</f>
        <v>0</v>
      </c>
      <c r="CL120" s="1950">
        <f>E211*E120+F211*F120+G211*G120+H211*H120+I211*I120+J211*J120+K211*K120+L211*L120+M211*M120+N211*N120+O211*O120+P211*P120+Q211*Q120+R211*R120+S211*S120+T211*T120+U211*U120+V211*V120+W211*W120+X211*X120+Y211*Y120+Z211*Z120+AA211*AA120+AB211*AB120+AC211*AC120+AD211*AD120+AE211*AE120+AF211*AF120+AG211*AG120+AH211*AH120+AI211*AI120+AJ211*AJ120+AK211*AK120+AL211*AL120+AM211*AM120+AN211*AN120+AO211*AO120+AP211*AP120+AQ211*AQ120+AR211*AR120+AS211*AS120+AT211*AT120+AU211*AU120+AV211*AV120+AW211*AW120+AX211*AX120+AY211*AY120+AZ211*AZ120+BA211*BA120+BB211*BB120+BC211*BC120+BD211*BD120+BE211*BE120+BF211*BF120+BG211*BG120+BH211*BH120+BI211*BI120+BJ211*BJ120+BK211*BK120+BL211*BL120+BM211*BM120+BN211*BN120+BO211*BO120+BP211*BP120+BQ211*BQ120+BR211*BR120+BS211*BS120+BT211*BT120+BU211*BU120+BV211*BV120+BW211*BW120+BX211*BX120+BY211*BY120+BZ211*BZ120+CA211*CA120+CB211*CB120+CC211*CC120+CD211*CD120+CE211*CE120+CF211*CF120+CG211*CG120+CH211*CH120</f>
        <v>-5.5511151231257827E-16</v>
      </c>
      <c r="CM120" s="1951">
        <f>E212*E120+F212*F120+G212*G120+H212*H120+I212*I120+J212*J120+K212*K120+L212*L120+M212*M120+N212*N120+O212*O120+P212*P120+Q212*Q120+R212*R120+S212*S120+T212*T120+U212*U120+V212*V120+W212*W120+X212*X120+Y212*Y120+Z212*Z120+AA212*AA120+AB212*AB120+AC212*AC120+AD212*AD120+AE212*AE120+AF212*AF120+AG212*AG120+AH212*AH120+AI212*AI120+AJ212*AJ120+AK212*AK120+AL212*AL120+AM212*AM120+AN212*AN120+AO212*AO120+AP212*AP120+AQ212*AQ120+AR212*AR120+AS212*AS120+AT212*AT120+AU212*AU120+AV212*AV120+AW212*AW120+AX212*AX120+AY212*AY120+AZ212*AZ120+BA212*BA120+BB212*BB120+BC212*BC120+BD212*BD120+BE212*BE120+BF212*BF120+BG212*BG120+BH212*BH120+BI212*BI120+BJ212*BJ120+BK212*BK120+BL212*BL120+BM212*BM120+BN212*BN120+BO212*BO120+BP212*BP120+BQ212*BQ120+BR212*BR120+BS212*BS120+BT212*BT120+BU212*BU120+BV212*BV120+BW212*BW120+BX212*BX120+BY212*BY120+BZ212*BZ120+CA212*CA120+CB212*CB120+CC212*CC120+CD212*CD120+CE212*CE120+CF212*CF120+CG212*CG120+CH212*CH120</f>
        <v>0</v>
      </c>
      <c r="CN120" s="1952">
        <f>E213*E120+F213*F120+G213*G120+H213*H120+I213*I120+J213*J120+K213*K120+L213*L120+M213*M120+N213*N120+O213*O120+P213*P120+Q213*Q120+R213*R120+S213*S120+T213*T120+U213*U120+V213*V120+W213*W120+X213*X120+Y213*Y120+Z213*Z120+AA213*AA120+AB213*AB120+AC213*AC120+AD213*AD120+AE213*AE120+AF213*AF120+AG213*AG120+AH213*AH120+AI213*AI120+AJ213*AJ120+AK213*AK120+AL213*AL120+AM213*AM120+AN213*AN120+AO213*AO120+AP213*AP120+AQ213*AQ120+AR213*AR120+AS213*AS120+AT213*AT120+AU213*AU120+AV213*AV120+AW213*AW120+AX213*AX120+AY213*AY120+AZ213*AZ120+BA213*BA120+BB213*BB120+BC213*BC120+BD213*BD120+BE213*BE120+BF213*BF120+BG213*BG120+BH213*BH120+BI213*BI120+BJ213*BJ120+BK213*BK120+BL213*BL120+BM213*BM120+BN213*BN120+BO213*BO120+BP213*BP120+BQ213*BQ120+BR213*BR120+BS213*BS120+BT213*BT120+BU213*BU120+BV213*BV120+BW213*BW120+BX213*BX120+BY213*BY120+BZ213*BZ120+CA213*CA120+CB213*CB120+CC213*CC120+CD213*CD120+CE213*CE120+CF213*CF120+CG213*CG120+CH213*CH120</f>
        <v>0</v>
      </c>
      <c r="CO120" s="1952">
        <f>E214*E120+F214*F120+G214*G120+H214*H120+I214*I120+J214*J120+K214*K120+L214*L120+M214*M120+N214*N120+O214*O120+P214*P120+Q214*Q120+R214*R120+S214*S120+T214*T120+U214*U120+V214*V120+W214*W120+X214*X120+Y214*Y120+Z214*Z120+AA214*AA120+AB214*AB120+AC214*AC120+AD214*AD120+AE214*AE120+AF214*AF120+AG214*AG120+AH214*AH120+AI214*AI120+AJ214*AJ120+AK214*AK120+AL214*AL120+AM214*AM120+AN214*AN120+AO214*AO120+AP214*AP120+AQ214*AQ120+AR214*AR120+AS214*AS120+AT214*AT120+AU214*AU120+AV214*AV120+AW214*AW120+AX214*AX120+AY214*AY120+AZ214*AZ120+BA214*BA120+BB214*BB120+BC214*BC120+BD214*BD120+BE214*BE120+BF214*BF120+BG214*BG120+BH214*BH120+BI214*BI120+BJ214*BJ120+BK214*BK120+BL214*BL120+BM214*BM120+BN214*BN120+BO214*BO120+BP214*BP120+BQ214*BQ120+BR214*BR120+BS214*BS120+BT214*BT120+BU214*BU120+BV214*BV120+BW214*BW120+BX214*BX120+BY214*BY120+BZ214*BZ120+CA214*CA120+CB214*CB120+CC214*CC120+CD214*CD120+CE214*CE120+CF214*CF120+CG214*CG120+CH214*CH120</f>
        <v>0</v>
      </c>
      <c r="CP120" s="1952">
        <f>E215*E120+F215*F120+G215*G120+H215*H120+I215*I120+J215*J120+K215*K120+L215*L120+M215*M120+N215*N120+O215*O120+P215*P120+Q215*Q120+R215*R120+S215*S120+T215*T120+U215*U120+V215*V120+W215*W120+X215*X120+Y215*Y120+Z215*Z120+AA215*AA120+AB215*AB120+AC215*AC120+AD215*AD120+AE215*AE120+AF215*AF120+AG215*AG120+AH215*AH120+AI215*AI120+AJ215*AJ120+AK215*AK120+AL215*AL120+AM215*AM120+AN215*AN120+AO215*AO120+AP215*AP120+AQ215*AQ120+AR215*AR120+AS215*AS120+AT215*AT120+AU215*AU120+AV215*AV120+AW215*AW120+AX215*AX120+AY215*AY120+AZ215*AZ120+BA215*BA120+BB215*BB120+BC215*BC120+BD215*BD120+BE215*BE120+BF215*BF120+BG215*BG120+BH215*BH120+BI215*BI120+BJ215*BJ120+BK215*BK120+BL215*BL120+BM215*BM120+BN215*BN120+BO215*BO120+BP215*BP120+BQ215*BQ120+BR215*BR120+BS215*BS120+BT215*BT120+BU215*BU120+BV215*BV120+BW215*BW120+BX215*BX120+BY215*BY120+BZ215*BZ120+CA215*CA120+CB215*CB120+CC215*CC120+CD215*CD120+CE215*CE120+CF215*CF120+CG215*CG120+CH215*CH120</f>
        <v>0</v>
      </c>
      <c r="CQ120" s="1952">
        <f>E216*E120+F216*F120+G216*G120+H216*H120+I216*I120+J216*J120+K216*K120+L216*L120+M216*M120+N216*N120+O216*O120+P216*P120+Q216*Q120+R216*R120+S216*S120+T216*T120+U216*U120+V216*V120+W216*W120+X216*X120+Y216*Y120+Z216*Z120+AA216*AA120+AB216*AB120+AC216*AC120+AD216*AD120+AE216*AE120+AF216*AF120+AG216*AG120+AH216*AH120+AI216*AI120+AJ216*AJ120+AK216*AK120+AL216*AL120+AM216*AM120+AN216*AN120+AO216*AO120+AP216*AP120+AQ216*AQ120+AR216*AR120+AS216*AS120+AT216*AT120+AU216*AU120+AV216*AV120+AW216*AW120+AX216*AX120+AY216*AY120+AZ216*AZ120+BA216*BA120+BB216*BB120+BC216*BC120+BD216*BD120+BE216*BE120+BF216*BF120+BG216*BG120+BH216*BH120+BI216*BI120+BJ216*BJ120+BK216*BK120+BL216*BL120+BM216*BM120+BN216*BN120+BO216*BO120+BP216*BP120+BQ216*BQ120+BR216*BR120+BS216*BS120+BT216*BT120+BU216*BU120+BV216*BV120+BW216*BW120+BX216*BX120+BY216*BY120+BZ216*BZ120+CA216*CA120+CB216*CB120+CC216*CC120+CD216*CD120+CE216*CE120+CF216*CF120+CG216*CG120+CH216*CH120</f>
        <v>0</v>
      </c>
      <c r="CR120" s="1952">
        <f>E217*E120+F217*F120+G217*G120+H217*H120+I217*I120+J217*J120+K217*K120+L217*L120+M217*M120+N217*N120+O217*O120+P217*P120+Q217*Q120+R217*R120+S217*S120+T217*T120+U217*U120+V217*V120+W217*W120+X217*X120+Y217*Y120+Z217*Z120+AA217*AA120+AB217*AB120+AC217*AC120+AD217*AD120+AE217*AE120+AF217*AF120+AG217*AG120+AH217*AH120+AI217*AI120+AJ217*AJ120+AK217*AK120+AL217*AL120+AM217*AM120+AN217*AN120+AO217*AO120+AP217*AP120+AQ217*AQ120+AR217*AR120+AS217*AS120+AT217*AT120+AU217*AU120+AV217*AV120+AW217*AW120+AX217*AX120+AY217*AY120+AZ217*AZ120+BA217*BA120+BB217*BB120+BC217*BC120+BD217*BD120+BE217*BE120+BF217*BF120+BG217*BG120+BH217*BH120+BI217*BI120+BJ217*BJ120+BK217*BK120+BL217*BL120+BM217*BM120+BN217*BN120+BO217*BO120+BP217*BP120+BQ217*BQ120+BR217*BR120+BS217*BS120+BT217*BT120+BU217*BU120+BV217*BV120+BW217*BW120+BX217*BX120+BY217*BY120+BZ217*BZ120+CA217*CA120+CB217*CB120+CC217*CC120+CD217*CD120+CE217*CE120+CF217*CF120+CG217*CG120+CH217*CH120</f>
        <v>0</v>
      </c>
      <c r="CS120" s="1952">
        <f>E218*E120+F218*F120+G218*G120+H218*H120+I218*I120+J218*J120+K218*K120+L218*L120+M218*M120+N218*N120+O218*O120+P218*P120+Q218*Q120+R218*R120+S218*S120+T218*T120+U218*U120+V218*V120+W218*W120+X218*X120+Y218*Y120+Z218*Z120+AA218*AA120+AB218*AB120+AC218*AC120+AD218*AD120+AE218*AE120+AF218*AF120+AG218*AG120+AH218*AH120+AI218*AI120+AJ218*AJ120+AK218*AK120+AL218*AL120+AM218*AM120+AN218*AN120+AO218*AO120+AP218*AP120+AQ218*AQ120+AR218*AR120+AS218*AS120+AT218*AT120+AU218*AU120+AV218*AV120+AW218*AW120+AX218*AX120+AY218*AY120+AZ218*AZ120+BA218*BA120+BB218*BB120+BC218*BC120+BD218*BD120+BE218*BE120+BF218*BF120+BG218*BG120+BH218*BH120+BI218*BI120+BJ218*BJ120+BK218*BK120+BL218*BL120+BM218*BM120+BN218*BN120+BO218*BO120+BP218*BP120+BQ218*BQ120+BR218*BR120+BS218*BS120+BT218*BT120+BU218*BU120+BV218*BV120+BW218*BW120+BX218*BX120+BY218*BY120+BZ218*BZ120+CA218*CA120+CB218*CB120+CC218*CC120+CD218*CD120+CE218*CE120+CF218*CF120+CG218*CG120+CH218*CH120</f>
        <v>0</v>
      </c>
      <c r="CT120" s="1952">
        <f>E219*E120+F219*F120+G219*G120+H219*H120+I219*I120+J219*J120+K219*K120+L219*L120+M219*M120+N219*N120+O219*O120+P219*P120+Q219*Q120+R219*R120+S219*S120+T219*T120+U219*U120+V219*V120+W219*W120+X219*X120+Y219*Y120+Z219*Z120+AA219*AA120+AB219*AB120+AC219*AC120+AD219*AD120+AE219*AE120+AF219*AF120+AG219*AG120+AH219*AH120+AI219*AI120+AJ219*AJ120+AK219*AK120+AL219*AL120+AM219*AM120+AN219*AN120+AO219*AO120+AP219*AP120+AQ219*AQ120+AR219*AR120+AS219*AS120+AT219*AT120+AU219*AU120+AV219*AV120+AW219*AW120+AX219*AX120+AY219*AY120+AZ219*AZ120+BA219*BA120+BB219*BB120+BC219*BC120+BD219*BD120+BE219*BE120+BF219*BF120+BG219*BG120+BH219*BH120+BI219*BI120+BJ219*BJ120+BK219*BK120+BL219*BL120+BM219*BM120+BN219*BN120+BO219*BO120+BP219*BP120+BQ219*BQ120+BR219*BR120+BS219*BS120+BT219*BT120+BU219*BU120+BV219*BV120+BW219*BW120+BX219*BX120+BY219*BY120+BZ219*BZ120+CA219*CA120+CB219*CB120+CC219*CC120+CD219*CD120+CE219*CE120+CF219*CF120+CG219*CG120+CH219*CH120</f>
        <v>0</v>
      </c>
      <c r="CU120" s="1952">
        <f>E220*E120+F220*F120+G220*G120+H220*H120+I220*I120+J220*J120+K220*K120+L220*L120+M220*M120+N220*N120+O220*O120+P220*P120+Q220*Q120+R220*R120+S220*S120+T220*T120+U220*U120+V220*V120+W220*W120+X220*X120+Y220*Y120+Z220*Z120+AA220*AA120+AB220*AB120+AC220*AC120+AD220*AD120+AE220*AE120+AF220*AF120+AG220*AG120+AH220*AH120+AI220*AI120+AJ220*AJ120+AK220*AK120+AL220*AL120+AM220*AM120+AN220*AN120+AO220*AO120+AP220*AP120+AQ220*AQ120+AR220*AR120+AS220*AS120+AT220*AT120+AU220*AU120+AV220*AV120+AW220*AW120+AX220*AX120+AY220*AY120+AZ220*AZ120+BA220*BA120+BB220*BB120+BC220*BC120+BD220*BD120+BE220*BE120+BF220*BF120+BG220*BG120+BH220*BH120+BI220*BI120+BJ220*BJ120+BK220*BK120+BL220*BL120+BM220*BM120+BN220*BN120+BO220*BO120+BP220*BP120+BQ220*BQ120+BR220*BR120+BS220*BS120+BT220*BT120+BU220*BU120+BV220*BV120+BW220*BW120+BX220*BX120+BY220*BY120+BZ220*BZ120+CA220*CA120+CB220*CB120+CC220*CC120+CD220*CD120+CE220*CE120+CF220*CF120+CG220*CG120+CH220*CH120</f>
        <v>0</v>
      </c>
    </row>
    <row r="121" spans="2:99" ht="18" x14ac:dyDescent="0.25">
      <c r="B121" s="1029">
        <v>7</v>
      </c>
      <c r="C121" s="1090" t="s">
        <v>229</v>
      </c>
      <c r="D121" s="1091" t="s">
        <v>1644</v>
      </c>
      <c r="E121" s="2055">
        <f>0</f>
        <v>0</v>
      </c>
      <c r="F121" s="2055">
        <f>0</f>
        <v>0</v>
      </c>
      <c r="G121" s="2054">
        <f>-1/Y_OHO_SMEOL_ox</f>
        <v>-2.5</v>
      </c>
      <c r="H121" s="2055">
        <f>0</f>
        <v>0</v>
      </c>
      <c r="I121" s="2078">
        <f>0</f>
        <v>0</v>
      </c>
      <c r="J121" s="2078">
        <f>0</f>
        <v>0</v>
      </c>
      <c r="K121" s="2055">
        <f>0</f>
        <v>0</v>
      </c>
      <c r="L121" s="2055">
        <f>0</f>
        <v>0</v>
      </c>
      <c r="M121" s="2055">
        <f>0</f>
        <v>0</v>
      </c>
      <c r="N121" s="2055">
        <f>0</f>
        <v>0</v>
      </c>
      <c r="O121" s="2055">
        <f>0</f>
        <v>0</v>
      </c>
      <c r="P121" s="2055">
        <f>0</f>
        <v>0</v>
      </c>
      <c r="Q121" s="2055">
        <f>0</f>
        <v>0</v>
      </c>
      <c r="R121" s="2055">
        <f>1</f>
        <v>1</v>
      </c>
      <c r="S121" s="2055">
        <f>0</f>
        <v>0</v>
      </c>
      <c r="T121" s="2055">
        <f>0</f>
        <v>0</v>
      </c>
      <c r="U121" s="2055">
        <f>0</f>
        <v>0</v>
      </c>
      <c r="V121" s="2055">
        <f>0</f>
        <v>0</v>
      </c>
      <c r="W121" s="2055">
        <f>0</f>
        <v>0</v>
      </c>
      <c r="X121" s="2055">
        <f>0</f>
        <v>0</v>
      </c>
      <c r="Y121" s="2054">
        <f>-i_N_BIO</f>
        <v>-7.0000000000000007E-2</v>
      </c>
      <c r="Z121" s="2055">
        <f>0</f>
        <v>0</v>
      </c>
      <c r="AA121" s="2055">
        <f>0</f>
        <v>0</v>
      </c>
      <c r="AB121" s="2055">
        <f>0</f>
        <v>0</v>
      </c>
      <c r="AC121" s="2078">
        <f>0</f>
        <v>0</v>
      </c>
      <c r="AD121" s="2078">
        <f>0</f>
        <v>0</v>
      </c>
      <c r="AE121" s="2055">
        <f>0</f>
        <v>0</v>
      </c>
      <c r="AF121" s="2054">
        <f>-i_P_BIO</f>
        <v>-0.02</v>
      </c>
      <c r="AG121" s="2055">
        <f>0</f>
        <v>0</v>
      </c>
      <c r="AH121" s="2055">
        <f>0</f>
        <v>0</v>
      </c>
      <c r="AI121" s="2078">
        <f>0</f>
        <v>0</v>
      </c>
      <c r="AJ121" s="2078">
        <f>0</f>
        <v>0</v>
      </c>
      <c r="AK121" s="2055">
        <f>0</f>
        <v>0</v>
      </c>
      <c r="AL121" s="2054">
        <f>-(1-Y_OHO_SMEOL_ox)/Y_OHO_SMEOL_ox</f>
        <v>-1.4999999999999998</v>
      </c>
      <c r="AM121" s="2054">
        <f>0</f>
        <v>0</v>
      </c>
      <c r="AN121" s="2054">
        <f>0</f>
        <v>0</v>
      </c>
      <c r="AO121" s="2054">
        <f>i_CIT_MEOL/Y_OHO_SMEOL_ox-i_CIT_BIO</f>
        <v>0.27300000000000002</v>
      </c>
      <c r="AP121" s="2054">
        <f>i_INORG</f>
        <v>0.11</v>
      </c>
      <c r="AQ121" s="2054">
        <f>-i_INORG*(1-i_Ca_INORG*(A_MCa+2*A_MCl)/A_MCa-i_Mg_INORG*(A_MMg+2*A_MCl)/A_MMg)*f_Na</f>
        <v>-2.8804303582798466E-2</v>
      </c>
      <c r="AR121" s="2054">
        <f>-i_INORG*(i_Ca_INORG*(2*A_MCl)/A_MCa+i_Mg_INORG*(2*A_MCl)/A_MMg)-i_INORG*(1-i_Ca_INORG*(A_MCa+2*A_MCl)/A_MCa-i_Mg_INORG*(A_MMg+2*A_MCl)/A_MMg)*(1-f_Na)</f>
        <v>-7.0195696417201539E-2</v>
      </c>
      <c r="AS121" s="2054">
        <f>-i_INORG*i_Ca_INORG</f>
        <v>-5.5000000000000005E-3</v>
      </c>
      <c r="AT121" s="2054">
        <f>-i_INORG*i_Mg_INORG</f>
        <v>-5.5000000000000005E-3</v>
      </c>
      <c r="AU121" s="2054">
        <f>0</f>
        <v>0</v>
      </c>
      <c r="AV121" s="2054">
        <f>0</f>
        <v>0</v>
      </c>
      <c r="AW121" s="2054">
        <f>0</f>
        <v>0</v>
      </c>
      <c r="AX121" s="2054">
        <f>0</f>
        <v>0</v>
      </c>
      <c r="AY121" s="2054">
        <f>0</f>
        <v>0</v>
      </c>
      <c r="AZ121" s="2054">
        <f>0</f>
        <v>0</v>
      </c>
      <c r="BA121" s="2054">
        <f>0</f>
        <v>0</v>
      </c>
      <c r="BB121" s="2054">
        <f>0</f>
        <v>0</v>
      </c>
      <c r="BC121" s="2054">
        <f>0</f>
        <v>0</v>
      </c>
      <c r="BD121" s="2054">
        <f>0</f>
        <v>0</v>
      </c>
      <c r="BE121" s="2054">
        <f>0</f>
        <v>0</v>
      </c>
      <c r="BF121" s="2054">
        <f>0</f>
        <v>0</v>
      </c>
      <c r="BG121" s="2054">
        <f>0</f>
        <v>0</v>
      </c>
      <c r="BH121" s="2054">
        <f>0</f>
        <v>0</v>
      </c>
      <c r="BI121" s="2054">
        <f>0</f>
        <v>0</v>
      </c>
      <c r="BJ121" s="2054">
        <f>0</f>
        <v>0</v>
      </c>
      <c r="BK121" s="2054">
        <f>0</f>
        <v>0</v>
      </c>
      <c r="BL121" s="2054">
        <f>0</f>
        <v>0</v>
      </c>
      <c r="BM121" s="2054">
        <f>0</f>
        <v>0</v>
      </c>
      <c r="BN121" s="2054">
        <f>0</f>
        <v>0</v>
      </c>
      <c r="BO121" s="2054">
        <f>0</f>
        <v>0</v>
      </c>
      <c r="BP121" s="2110">
        <f>0</f>
        <v>0</v>
      </c>
      <c r="BQ121" s="2110">
        <f>0</f>
        <v>0</v>
      </c>
      <c r="BR121" s="2110">
        <f>0</f>
        <v>0</v>
      </c>
      <c r="BS121" s="2110">
        <f>0</f>
        <v>0</v>
      </c>
      <c r="BT121" s="2054">
        <f>0</f>
        <v>0</v>
      </c>
      <c r="BU121" s="2054">
        <f>0</f>
        <v>0</v>
      </c>
      <c r="BV121" s="2054">
        <f>0</f>
        <v>0</v>
      </c>
      <c r="BW121" s="2054">
        <f>0</f>
        <v>0</v>
      </c>
      <c r="BX121" s="2054">
        <f>0</f>
        <v>0</v>
      </c>
      <c r="BY121" s="2054">
        <f>0</f>
        <v>0</v>
      </c>
      <c r="BZ121" s="2054">
        <f>0</f>
        <v>0</v>
      </c>
      <c r="CA121" s="2054">
        <f>0</f>
        <v>0</v>
      </c>
      <c r="CB121" s="2054">
        <f>0</f>
        <v>0</v>
      </c>
      <c r="CC121" s="2054">
        <f>0</f>
        <v>0</v>
      </c>
      <c r="CD121" s="2054">
        <f>0</f>
        <v>0</v>
      </c>
      <c r="CE121" s="2054">
        <f>0</f>
        <v>0</v>
      </c>
      <c r="CF121" s="2054">
        <f>0</f>
        <v>0</v>
      </c>
      <c r="CG121" s="2054">
        <f>0</f>
        <v>0</v>
      </c>
      <c r="CH121" s="2054">
        <f>0</f>
        <v>0</v>
      </c>
      <c r="CI121" s="2137">
        <f>µ_OHO_T*X_OHO*M_satSMEOL_KMEOL_OHO*M_satSO2_KO2_OHO*M_satSNHx_KNHx_BIO*M_satSPO4_KPO4_BIO*M_satSCAT_KCAT*M_satSAN_KAN*M_satSCa_KCa*M_satSMg_KMg*B_ellinhpH</f>
        <v>0</v>
      </c>
      <c r="CK121" s="1950">
        <f>E210*E121+F210*F121+G210*G121+H210*H121+I210*I121+J210*J121+K210*K121+L210*L121+M210*M121+N210*N121+O210*O121+P210*P121+Q210*Q121+R210*R121+S210*S121+T210*T121+U210*U121+V210*V121+W210*W121+X210*X121+Y210*Y121+Z210*Z121+AA210*AA121+AB210*AB121+AC210*AC121+AD210*AD121+AE210*AE121+AF210*AF121+AG210*AG121+AH210*AH121+AI210*AI121+AJ210*AJ121+AK210*AK121+AL210*AL121+AM210*AM121+AN210*AN121+AO210*AO121+AP210*AP121+AQ210*AQ121+AR210*AR121+AS210*AS121+AT210*AT121+AU210*AU121+AV210*AV121+AW210*AW121+AX210*AX121+AY210*AY121+AZ210*AZ121+BA210*BA121+BB210*BB121+BC210*BC121+BD210*BD121+BE210*BE121+BF210*BF121+BG210*BG121+BH210*BH121+BI210*BI121+BJ210*BJ121+BK210*BK121+BL210*BL121+BM210*BM121+BN210*BN121+BO210*BO121+BP210*BP121+BQ210*BQ121+BR210*BR121+BS210*BS121+BT210*BT121+BU210*BU121+BV210*BV121+BW210*BW121+BX210*BX121+BY210*BY121+BZ210*BZ121+CA210*CA121+CB210*CB121+CC210*CC121+CD210*CD121+CE210*CE121+CF210*CF121+CG210*CG121+CH210*CH121</f>
        <v>-2.2204460492503131E-16</v>
      </c>
      <c r="CL121" s="1950">
        <f>E211*E121+F211*F121+G211*G121+H211*H121+I211*I121+J211*J121+K211*K121+L211*L121+M211*M121+N211*N121+O211*O121+P211*P121+Q211*Q121+R211*R121+S211*S121+T211*T121+U211*U121+V211*V121+W211*W121+X211*X121+Y211*Y121+Z211*Z121+AA211*AA121+AB211*AB121+AC211*AC121+AD211*AD121+AE211*AE121+AF211*AF121+AG211*AG121+AH211*AH121+AI211*AI121+AJ211*AJ121+AK211*AK121+AL211*AL121+AM211*AM121+AN211*AN121+AO211*AO121+AP211*AP121+AQ211*AQ121+AR211*AR121+AS211*AS121+AT211*AT121+AU211*AU121+AV211*AV121+AW211*AW121+AX211*AX121+AY211*AY121+AZ211*AZ121+BA211*BA121+BB211*BB121+BC211*BC121+BD211*BD121+BE211*BE121+BF211*BF121+BG211*BG121+BH211*BH121+BI211*BI121+BJ211*BJ121+BK211*BK121+BL211*BL121+BM211*BM121+BN211*BN121+BO211*BO121+BP211*BP121+BQ211*BQ121+BR211*BR121+BS211*BS121+BT211*BT121+BU211*BU121+BV211*BV121+BW211*BW121+BX211*BX121+BY211*BY121+BZ211*BZ121+CA211*CA121+CB211*CB121+CC211*CC121+CD211*CD121+CE211*CE121+CF211*CF121+CG211*CG121+CH211*CH121</f>
        <v>0</v>
      </c>
      <c r="CM121" s="1951">
        <f>E212*E121+F212*F121+G212*G121+H212*H121+I212*I121+J212*J121+K212*K121+L212*L121+M212*M121+N212*N121+O212*O121+P212*P121+Q212*Q121+R212*R121+S212*S121+T212*T121+U212*U121+V212*V121+W212*W121+X212*X121+Y212*Y121+Z212*Z121+AA212*AA121+AB212*AB121+AC212*AC121+AD212*AD121+AE212*AE121+AF212*AF121+AG212*AG121+AH212*AH121+AI212*AI121+AJ212*AJ121+AK212*AK121+AL212*AL121+AM212*AM121+AN212*AN121+AO212*AO121+AP212*AP121+AQ212*AQ121+AR212*AR121+AS212*AS121+AT212*AT121+AU212*AU121+AV212*AV121+AW212*AW121+AX212*AX121+AY212*AY121+AZ212*AZ121+BA212*BA121+BB212*BB121+BC212*BC121+BD212*BD121+BE212*BE121+BF212*BF121+BG212*BG121+BH212*BH121+BI212*BI121+BJ212*BJ121+BK212*BK121+BL212*BL121+BM212*BM121+BN212*BN121+BO212*BO121+BP212*BP121+BQ212*BQ121+BR212*BR121+BS212*BS121+BT212*BT121+BU212*BU121+BV212*BV121+BW212*BW121+BX212*BX121+BY212*BY121+BZ212*BZ121+CA212*CA121+CB212*CB121+CC212*CC121+CD212*CD121+CE212*CE121+CF212*CF121+CG212*CG121+CH212*CH121</f>
        <v>0</v>
      </c>
      <c r="CN121" s="1952">
        <f>E213*E121+F213*F121+G213*G121+H213*H121+I213*I121+J213*J121+K213*K121+L213*L121+M213*M121+N213*N121+O213*O121+P213*P121+Q213*Q121+R213*R121+S213*S121+T213*T121+U213*U121+V213*V121+W213*W121+X213*X121+Y213*Y121+Z213*Z121+AA213*AA121+AB213*AB121+AC213*AC121+AD213*AD121+AE213*AE121+AF213*AF121+AG213*AG121+AH213*AH121+AI213*AI121+AJ213*AJ121+AK213*AK121+AL213*AL121+AM213*AM121+AN213*AN121+AO213*AO121+AP213*AP121+AQ213*AQ121+AR213*AR121+AS213*AS121+AT213*AT121+AU213*AU121+AV213*AV121+AW213*AW121+AX213*AX121+AY213*AY121+AZ213*AZ121+BA213*BA121+BB213*BB121+BC213*BC121+BD213*BD121+BE213*BE121+BF213*BF121+BG213*BG121+BH213*BH121+BI213*BI121+BJ213*BJ121+BK213*BK121+BL213*BL121+BM213*BM121+BN213*BN121+BO213*BO121+BP213*BP121+BQ213*BQ121+BR213*BR121+BS213*BS121+BT213*BT121+BU213*BU121+BV213*BV121+BW213*BW121+BX213*BX121+BY213*BY121+BZ213*BZ121+CA213*CA121+CB213*CB121+CC213*CC121+CD213*CD121+CE213*CE121+CF213*CF121+CG213*CG121+CH213*CH121</f>
        <v>0</v>
      </c>
      <c r="CO121" s="1952">
        <f>E214*E121+F214*F121+G214*G121+H214*H121+I214*I121+J214*J121+K214*K121+L214*L121+M214*M121+N214*N121+O214*O121+P214*P121+Q214*Q121+R214*R121+S214*S121+T214*T121+U214*U121+V214*V121+W214*W121+X214*X121+Y214*Y121+Z214*Z121+AA214*AA121+AB214*AB121+AC214*AC121+AD214*AD121+AE214*AE121+AF214*AF121+AG214*AG121+AH214*AH121+AI214*AI121+AJ214*AJ121+AK214*AK121+AL214*AL121+AM214*AM121+AN214*AN121+AO214*AO121+AP214*AP121+AQ214*AQ121+AR214*AR121+AS214*AS121+AT214*AT121+AU214*AU121+AV214*AV121+AW214*AW121+AX214*AX121+AY214*AY121+AZ214*AZ121+BA214*BA121+BB214*BB121+BC214*BC121+BD214*BD121+BE214*BE121+BF214*BF121+BG214*BG121+BH214*BH121+BI214*BI121+BJ214*BJ121+BK214*BK121+BL214*BL121+BM214*BM121+BN214*BN121+BO214*BO121+BP214*BP121+BQ214*BQ121+BR214*BR121+BS214*BS121+BT214*BT121+BU214*BU121+BV214*BV121+BW214*BW121+BX214*BX121+BY214*BY121+BZ214*BZ121+CA214*CA121+CB214*CB121+CC214*CC121+CD214*CD121+CE214*CE121+CF214*CF121+CG214*CG121+CH214*CH121</f>
        <v>0</v>
      </c>
      <c r="CP121" s="1952">
        <f>E215*E121+F215*F121+G215*G121+H215*H121+I215*I121+J215*J121+K215*K121+L215*L121+M215*M121+N215*N121+O215*O121+P215*P121+Q215*Q121+R215*R121+S215*S121+T215*T121+U215*U121+V215*V121+W215*W121+X215*X121+Y215*Y121+Z215*Z121+AA215*AA121+AB215*AB121+AC215*AC121+AD215*AD121+AE215*AE121+AF215*AF121+AG215*AG121+AH215*AH121+AI215*AI121+AJ215*AJ121+AK215*AK121+AL215*AL121+AM215*AM121+AN215*AN121+AO215*AO121+AP215*AP121+AQ215*AQ121+AR215*AR121+AS215*AS121+AT215*AT121+AU215*AU121+AV215*AV121+AW215*AW121+AX215*AX121+AY215*AY121+AZ215*AZ121+BA215*BA121+BB215*BB121+BC215*BC121+BD215*BD121+BE215*BE121+BF215*BF121+BG215*BG121+BH215*BH121+BI215*BI121+BJ215*BJ121+BK215*BK121+BL215*BL121+BM215*BM121+BN215*BN121+BO215*BO121+BP215*BP121+BQ215*BQ121+BR215*BR121+BS215*BS121+BT215*BT121+BU215*BU121+BV215*BV121+BW215*BW121+BX215*BX121+BY215*BY121+BZ215*BZ121+CA215*CA121+CB215*CB121+CC215*CC121+CD215*CD121+CE215*CE121+CF215*CF121+CG215*CG121+CH215*CH121</f>
        <v>0</v>
      </c>
      <c r="CQ121" s="1952">
        <f>E216*E121+F216*F121+G216*G121+H216*H121+I216*I121+J216*J121+K216*K121+L216*L121+M216*M121+N216*N121+O216*O121+P216*P121+Q216*Q121+R216*R121+S216*S121+T216*T121+U216*U121+V216*V121+W216*W121+X216*X121+Y216*Y121+Z216*Z121+AA216*AA121+AB216*AB121+AC216*AC121+AD216*AD121+AE216*AE121+AF216*AF121+AG216*AG121+AH216*AH121+AI216*AI121+AJ216*AJ121+AK216*AK121+AL216*AL121+AM216*AM121+AN216*AN121+AO216*AO121+AP216*AP121+AQ216*AQ121+AR216*AR121+AS216*AS121+AT216*AT121+AU216*AU121+AV216*AV121+AW216*AW121+AX216*AX121+AY216*AY121+AZ216*AZ121+BA216*BA121+BB216*BB121+BC216*BC121+BD216*BD121+BE216*BE121+BF216*BF121+BG216*BG121+BH216*BH121+BI216*BI121+BJ216*BJ121+BK216*BK121+BL216*BL121+BM216*BM121+BN216*BN121+BO216*BO121+BP216*BP121+BQ216*BQ121+BR216*BR121+BS216*BS121+BT216*BT121+BU216*BU121+BV216*BV121+BW216*BW121+BX216*BX121+BY216*BY121+BZ216*BZ121+CA216*CA121+CB216*CB121+CC216*CC121+CD216*CD121+CE216*CE121+CF216*CF121+CG216*CG121+CH216*CH121</f>
        <v>0</v>
      </c>
      <c r="CR121" s="1952">
        <f>E217*E121+F217*F121+G217*G121+H217*H121+I217*I121+J217*J121+K217*K121+L217*L121+M217*M121+N217*N121+O217*O121+P217*P121+Q217*Q121+R217*R121+S217*S121+T217*T121+U217*U121+V217*V121+W217*W121+X217*X121+Y217*Y121+Z217*Z121+AA217*AA121+AB217*AB121+AC217*AC121+AD217*AD121+AE217*AE121+AF217*AF121+AG217*AG121+AH217*AH121+AI217*AI121+AJ217*AJ121+AK217*AK121+AL217*AL121+AM217*AM121+AN217*AN121+AO217*AO121+AP217*AP121+AQ217*AQ121+AR217*AR121+AS217*AS121+AT217*AT121+AU217*AU121+AV217*AV121+AW217*AW121+AX217*AX121+AY217*AY121+AZ217*AZ121+BA217*BA121+BB217*BB121+BC217*BC121+BD217*BD121+BE217*BE121+BF217*BF121+BG217*BG121+BH217*BH121+BI217*BI121+BJ217*BJ121+BK217*BK121+BL217*BL121+BM217*BM121+BN217*BN121+BO217*BO121+BP217*BP121+BQ217*BQ121+BR217*BR121+BS217*BS121+BT217*BT121+BU217*BU121+BV217*BV121+BW217*BW121+BX217*BX121+BY217*BY121+BZ217*BZ121+CA217*CA121+CB217*CB121+CC217*CC121+CD217*CD121+CE217*CE121+CF217*CF121+CG217*CG121+CH217*CH121</f>
        <v>0</v>
      </c>
      <c r="CS121" s="1952">
        <f>E218*E121+F218*F121+G218*G121+H218*H121+I218*I121+J218*J121+K218*K121+L218*L121+M218*M121+N218*N121+O218*O121+P218*P121+Q218*Q121+R218*R121+S218*S121+T218*T121+U218*U121+V218*V121+W218*W121+X218*X121+Y218*Y121+Z218*Z121+AA218*AA121+AB218*AB121+AC218*AC121+AD218*AD121+AE218*AE121+AF218*AF121+AG218*AG121+AH218*AH121+AI218*AI121+AJ218*AJ121+AK218*AK121+AL218*AL121+AM218*AM121+AN218*AN121+AO218*AO121+AP218*AP121+AQ218*AQ121+AR218*AR121+AS218*AS121+AT218*AT121+AU218*AU121+AV218*AV121+AW218*AW121+AX218*AX121+AY218*AY121+AZ218*AZ121+BA218*BA121+BB218*BB121+BC218*BC121+BD218*BD121+BE218*BE121+BF218*BF121+BG218*BG121+BH218*BH121+BI218*BI121+BJ218*BJ121+BK218*BK121+BL218*BL121+BM218*BM121+BN218*BN121+BO218*BO121+BP218*BP121+BQ218*BQ121+BR218*BR121+BS218*BS121+BT218*BT121+BU218*BU121+BV218*BV121+BW218*BW121+BX218*BX121+BY218*BY121+BZ218*BZ121+CA218*CA121+CB218*CB121+CC218*CC121+CD218*CD121+CE218*CE121+CF218*CF121+CG218*CG121+CH218*CH121</f>
        <v>0</v>
      </c>
      <c r="CT121" s="1952">
        <f>E219*E121+F219*F121+G219*G121+H219*H121+I219*I121+J219*J121+K219*K121+L219*L121+M219*M121+N219*N121+O219*O121+P219*P121+Q219*Q121+R219*R121+S219*S121+T219*T121+U219*U121+V219*V121+W219*W121+X219*X121+Y219*Y121+Z219*Z121+AA219*AA121+AB219*AB121+AC219*AC121+AD219*AD121+AE219*AE121+AF219*AF121+AG219*AG121+AH219*AH121+AI219*AI121+AJ219*AJ121+AK219*AK121+AL219*AL121+AM219*AM121+AN219*AN121+AO219*AO121+AP219*AP121+AQ219*AQ121+AR219*AR121+AS219*AS121+AT219*AT121+AU219*AU121+AV219*AV121+AW219*AW121+AX219*AX121+AY219*AY121+AZ219*AZ121+BA219*BA121+BB219*BB121+BC219*BC121+BD219*BD121+BE219*BE121+BF219*BF121+BG219*BG121+BH219*BH121+BI219*BI121+BJ219*BJ121+BK219*BK121+BL219*BL121+BM219*BM121+BN219*BN121+BO219*BO121+BP219*BP121+BQ219*BQ121+BR219*BR121+BS219*BS121+BT219*BT121+BU219*BU121+BV219*BV121+BW219*BW121+BX219*BX121+BY219*BY121+BZ219*BZ121+CA219*CA121+CB219*CB121+CC219*CC121+CD219*CD121+CE219*CE121+CF219*CF121+CG219*CG121+CH219*CH121</f>
        <v>0</v>
      </c>
      <c r="CU121" s="1952">
        <f>E220*E121+F220*F121+G220*G121+H220*H121+I220*I121+J220*J121+K220*K121+L220*L121+M220*M121+N220*N121+O220*O121+P220*P121+Q220*Q121+R220*R121+S220*S121+T220*T121+U220*U121+V220*V121+W220*W121+X220*X121+Y220*Y121+Z220*Z121+AA220*AA121+AB220*AB121+AC220*AC121+AD220*AD121+AE220*AE121+AF220*AF121+AG220*AG121+AH220*AH121+AI220*AI121+AJ220*AJ121+AK220*AK121+AL220*AL121+AM220*AM121+AN220*AN121+AO220*AO121+AP220*AP121+AQ220*AQ121+AR220*AR121+AS220*AS121+AT220*AT121+AU220*AU121+AV220*AV121+AW220*AW121+AX220*AX121+AY220*AY121+AZ220*AZ121+BA220*BA121+BB220*BB121+BC220*BC121+BD220*BD121+BE220*BE121+BF220*BF121+BG220*BG121+BH220*BH121+BI220*BI121+BJ220*BJ121+BK220*BK121+BL220*BL121+BM220*BM121+BN220*BN121+BO220*BO121+BP220*BP121+BQ220*BQ121+BR220*BR121+BS220*BS121+BT220*BT121+BU220*BU121+BV220*BV121+BW220*BW121+BX220*BX121+BY220*BY121+BZ220*BZ121+CA220*CA121+CB220*CB121+CC220*CC121+CD220*CD121+CE220*CE121+CF220*CF121+CG220*CG121+CH220*CH121</f>
        <v>0</v>
      </c>
    </row>
    <row r="122" spans="2:99" ht="18" x14ac:dyDescent="0.25">
      <c r="B122" s="1029">
        <v>8</v>
      </c>
      <c r="C122" s="1090" t="s">
        <v>230</v>
      </c>
      <c r="D122" s="1091" t="s">
        <v>287</v>
      </c>
      <c r="E122" s="2055">
        <f>0</f>
        <v>0</v>
      </c>
      <c r="F122" s="2055">
        <f>0</f>
        <v>0</v>
      </c>
      <c r="G122" s="2055">
        <f>0</f>
        <v>0</v>
      </c>
      <c r="H122" s="2055">
        <f>0</f>
        <v>0</v>
      </c>
      <c r="I122" s="2078">
        <f>0</f>
        <v>0</v>
      </c>
      <c r="J122" s="2078">
        <f>1-f_E</f>
        <v>0.92</v>
      </c>
      <c r="K122" s="2055">
        <f>0</f>
        <v>0</v>
      </c>
      <c r="L122" s="2055">
        <f>0</f>
        <v>0</v>
      </c>
      <c r="M122" s="2055">
        <f>0</f>
        <v>0</v>
      </c>
      <c r="N122" s="2055">
        <f>0</f>
        <v>0</v>
      </c>
      <c r="O122" s="2055">
        <f>0</f>
        <v>0</v>
      </c>
      <c r="P122" s="2055">
        <f>f_E</f>
        <v>0.08</v>
      </c>
      <c r="Q122" s="2055">
        <f>0</f>
        <v>0</v>
      </c>
      <c r="R122" s="2055">
        <f>-1</f>
        <v>-1</v>
      </c>
      <c r="S122" s="2055">
        <f>0</f>
        <v>0</v>
      </c>
      <c r="T122" s="2055">
        <f>0</f>
        <v>0</v>
      </c>
      <c r="U122" s="2055">
        <f>0</f>
        <v>0</v>
      </c>
      <c r="V122" s="2055">
        <f>0</f>
        <v>0</v>
      </c>
      <c r="W122" s="2055">
        <f>0</f>
        <v>0</v>
      </c>
      <c r="X122" s="2055">
        <f>0</f>
        <v>0</v>
      </c>
      <c r="Y122" s="2054">
        <f>-f_E*(i_N_XE-i_N_BIO)</f>
        <v>8.0000000000000069E-4</v>
      </c>
      <c r="Z122" s="2055">
        <f>0</f>
        <v>0</v>
      </c>
      <c r="AA122" s="2055">
        <f>0</f>
        <v>0</v>
      </c>
      <c r="AB122" s="2055">
        <f>0</f>
        <v>0</v>
      </c>
      <c r="AC122" s="2078">
        <f>0</f>
        <v>0</v>
      </c>
      <c r="AD122" s="2078">
        <f>(1-f_E)*i_N_BIO</f>
        <v>6.4400000000000013E-2</v>
      </c>
      <c r="AE122" s="2055">
        <f>0</f>
        <v>0</v>
      </c>
      <c r="AF122" s="2055">
        <f>0</f>
        <v>0</v>
      </c>
      <c r="AG122" s="2055">
        <f>0</f>
        <v>0</v>
      </c>
      <c r="AH122" s="2055">
        <f>0</f>
        <v>0</v>
      </c>
      <c r="AI122" s="2078">
        <f>0</f>
        <v>0</v>
      </c>
      <c r="AJ122" s="2078">
        <f>(1-f_E)*i_P_BIO</f>
        <v>1.84E-2</v>
      </c>
      <c r="AK122" s="2055">
        <f>0</f>
        <v>0</v>
      </c>
      <c r="AL122" s="2055">
        <f>0</f>
        <v>0</v>
      </c>
      <c r="AM122" s="2055">
        <f>0</f>
        <v>0</v>
      </c>
      <c r="AN122" s="2055">
        <f>0</f>
        <v>0</v>
      </c>
      <c r="AO122" s="2078">
        <f>(1-f_E)*(i_CIT_BIO-i_CIT_XBe)</f>
        <v>6.0720000000000003E-2</v>
      </c>
      <c r="AP122" s="2055">
        <f>0</f>
        <v>0</v>
      </c>
      <c r="AQ122" s="2054">
        <f>0</f>
        <v>0</v>
      </c>
      <c r="AR122" s="2054">
        <f>0</f>
        <v>0</v>
      </c>
      <c r="AS122" s="2054">
        <f>0</f>
        <v>0</v>
      </c>
      <c r="AT122" s="2054">
        <f>0</f>
        <v>0</v>
      </c>
      <c r="AU122" s="2054">
        <f>0</f>
        <v>0</v>
      </c>
      <c r="AV122" s="2054">
        <f>0</f>
        <v>0</v>
      </c>
      <c r="AW122" s="2054">
        <f>0</f>
        <v>0</v>
      </c>
      <c r="AX122" s="2054">
        <f>0</f>
        <v>0</v>
      </c>
      <c r="AY122" s="2054">
        <f>0</f>
        <v>0</v>
      </c>
      <c r="AZ122" s="2054">
        <f>0</f>
        <v>0</v>
      </c>
      <c r="BA122" s="2054">
        <f>0</f>
        <v>0</v>
      </c>
      <c r="BB122" s="2054">
        <f>0</f>
        <v>0</v>
      </c>
      <c r="BC122" s="2054">
        <f>0</f>
        <v>0</v>
      </c>
      <c r="BD122" s="2054">
        <f>0</f>
        <v>0</v>
      </c>
      <c r="BE122" s="2054">
        <f>0</f>
        <v>0</v>
      </c>
      <c r="BF122" s="2054">
        <f>0</f>
        <v>0</v>
      </c>
      <c r="BG122" s="2054">
        <f>0</f>
        <v>0</v>
      </c>
      <c r="BH122" s="2054">
        <f>0</f>
        <v>0</v>
      </c>
      <c r="BI122" s="2054">
        <f>0</f>
        <v>0</v>
      </c>
      <c r="BJ122" s="2054">
        <f>0</f>
        <v>0</v>
      </c>
      <c r="BK122" s="2054">
        <f>0</f>
        <v>0</v>
      </c>
      <c r="BL122" s="2054">
        <f>0</f>
        <v>0</v>
      </c>
      <c r="BM122" s="2054">
        <f>0</f>
        <v>0</v>
      </c>
      <c r="BN122" s="2054">
        <f>0</f>
        <v>0</v>
      </c>
      <c r="BO122" s="2054">
        <f>0</f>
        <v>0</v>
      </c>
      <c r="BP122" s="2110">
        <f>0</f>
        <v>0</v>
      </c>
      <c r="BQ122" s="2110">
        <f>0</f>
        <v>0</v>
      </c>
      <c r="BR122" s="2110">
        <f>0</f>
        <v>0</v>
      </c>
      <c r="BS122" s="2110">
        <f>0</f>
        <v>0</v>
      </c>
      <c r="BT122" s="2054">
        <f>0</f>
        <v>0</v>
      </c>
      <c r="BU122" s="2054">
        <f>0</f>
        <v>0</v>
      </c>
      <c r="BV122" s="2054">
        <f>0</f>
        <v>0</v>
      </c>
      <c r="BW122" s="2054">
        <f>0</f>
        <v>0</v>
      </c>
      <c r="BX122" s="2054">
        <f>0</f>
        <v>0</v>
      </c>
      <c r="BY122" s="2054">
        <f>0</f>
        <v>0</v>
      </c>
      <c r="BZ122" s="2054">
        <f>0</f>
        <v>0</v>
      </c>
      <c r="CA122" s="2054">
        <f>0</f>
        <v>0</v>
      </c>
      <c r="CB122" s="2054">
        <f>0</f>
        <v>0</v>
      </c>
      <c r="CC122" s="2054">
        <f>0</f>
        <v>0</v>
      </c>
      <c r="CD122" s="2054">
        <f>0</f>
        <v>0</v>
      </c>
      <c r="CE122" s="2054">
        <f>0</f>
        <v>0</v>
      </c>
      <c r="CF122" s="2054">
        <f>0</f>
        <v>0</v>
      </c>
      <c r="CG122" s="2054">
        <f>0</f>
        <v>0</v>
      </c>
      <c r="CH122" s="2054">
        <f>0</f>
        <v>0</v>
      </c>
      <c r="CI122" s="2137">
        <f>b_OHO_T*X_OHO*(M_satSO2_KO2_OHO+η_b_anox*M_satSNOx_KNOx_OHO*M_inhSO2_KO2_OHO)</f>
        <v>299.12154977114062</v>
      </c>
      <c r="CK122" s="1950">
        <f>E210*E122+F210*F122+G210*G122+H210*H122+I210*I122+J210*J122+K210*K122+L210*L122+M210*M122+N210*N122+O210*O122+P210*P122+Q210*Q122+R210*R122+S210*S122+T210*T122+U210*U122+V210*V122+W210*W122+X210*X122+Y210*Y122+Z210*Z122+AA210*AA122+AB210*AB122+AC210*AC122+AD210*AD122+AE210*AE122+AF210*AF122+AG210*AG122+AH210*AH122+AI210*AI122+AJ210*AJ122+AK210*AK122+AL210*AL122+AM210*AM122+AN210*AN122+AO210*AO122+AP210*AP122+AQ210*AQ122+AR210*AR122+AS210*AS122+AT210*AT122+AU210*AU122+AV210*AV122+AW210*AW122+AX210*AX122+AY210*AY122+AZ210*AZ122+BA210*BA122+BB210*BB122+BC210*BC122+BD210*BD122+BE210*BE122+BF210*BF122+BG210*BG122+BH210*BH122+BI210*BI122+BJ210*BJ122+BK210*BK122+BL210*BL122+BM210*BM122+BN210*BN122+BO210*BO122+BP210*BP122+BQ210*BQ122+BR210*BR122+BS210*BS122+BT210*BT122+BU210*BU122+BV210*BV122+BW210*BW122+BX210*BX122+BY210*BY122+BZ210*BZ122+CA210*CA122+CB210*CB122+CC210*CC122+CD210*CD122+CE210*CE122+CF210*CF122+CG210*CG122+CH210*CH122</f>
        <v>0</v>
      </c>
      <c r="CL122" s="1950">
        <f>E211*E122+F211*F122+G211*G122+H211*H122+I211*I122+J211*J122+K211*K122+L211*L122+M211*M122+N211*N122+O211*O122+P211*P122+Q211*Q122+R211*R122+S211*S122+T211*T122+U211*U122+V211*V122+W211*W122+X211*X122+Y211*Y122+Z211*Z122+AA211*AA122+AB211*AB122+AC211*AC122+AD211*AD122+AE211*AE122+AF211*AF122+AG211*AG122+AH211*AH122+AI211*AI122+AJ211*AJ122+AK211*AK122+AL211*AL122+AM211*AM122+AN211*AN122+AO211*AO122+AP211*AP122+AQ211*AQ122+AR211*AR122+AS211*AS122+AT211*AT122+AU211*AU122+AV211*AV122+AW211*AW122+AX211*AX122+AY211*AY122+AZ211*AZ122+BA211*BA122+BB211*BB122+BC211*BC122+BD211*BD122+BE211*BE122+BF211*BF122+BG211*BG122+BH211*BH122+BI211*BI122+BJ211*BJ122+BK211*BK122+BL211*BL122+BM211*BM122+BN211*BN122+BO211*BO122+BP211*BP122+BQ211*BQ122+BR211*BR122+BS211*BS122+BT211*BT122+BU211*BU122+BV211*BV122+BW211*BW122+BX211*BX122+BY211*BY122+BZ211*BZ122+CA211*CA122+CB211*CB122+CC211*CC122+CD211*CD122+CE211*CE122+CF211*CF122+CG211*CG122+CH211*CH122</f>
        <v>6.9388939039072284E-18</v>
      </c>
      <c r="CM122" s="1951">
        <f>E212*E122+F212*F122+G212*G122+H212*H122+I212*I122+J212*J122+K212*K122+L212*L122+M212*M122+N212*N122+O212*O122+P212*P122+Q212*Q122+R212*R122+S212*S122+T212*T122+U212*U122+V212*V122+W212*W122+X212*X122+Y212*Y122+Z212*Z122+AA212*AA122+AB212*AB122+AC212*AC122+AD212*AD122+AE212*AE122+AF212*AF122+AG212*AG122+AH212*AH122+AI212*AI122+AJ212*AJ122+AK212*AK122+AL212*AL122+AM212*AM122+AN212*AN122+AO212*AO122+AP212*AP122+AQ212*AQ122+AR212*AR122+AS212*AS122+AT212*AT122+AU212*AU122+AV212*AV122+AW212*AW122+AX212*AX122+AY212*AY122+AZ212*AZ122+BA212*BA122+BB212*BB122+BC212*BC122+BD212*BD122+BE212*BE122+BF212*BF122+BG212*BG122+BH212*BH122+BI212*BI122+BJ212*BJ122+BK212*BK122+BL212*BL122+BM212*BM122+BN212*BN122+BO212*BO122+BP212*BP122+BQ212*BQ122+BR212*BR122+BS212*BS122+BT212*BT122+BU212*BU122+BV212*BV122+BW212*BW122+BX212*BX122+BY212*BY122+BZ212*BZ122+CA212*CA122+CB212*CB122+CC212*CC122+CD212*CD122+CE212*CE122+CF212*CF122+CG212*CG122+CH212*CH122</f>
        <v>0</v>
      </c>
      <c r="CN122" s="1952">
        <f>E213*E122+F213*F122+G213*G122+H213*H122+I213*I122+J213*J122+K213*K122+L213*L122+M213*M122+N213*N122+O213*O122+P213*P122+Q213*Q122+R213*R122+S213*S122+T213*T122+U213*U122+V213*V122+W213*W122+X213*X122+Y213*Y122+Z213*Z122+AA213*AA122+AB213*AB122+AC213*AC122+AD213*AD122+AE213*AE122+AF213*AF122+AG213*AG122+AH213*AH122+AI213*AI122+AJ213*AJ122+AK213*AK122+AL213*AL122+AM213*AM122+AN213*AN122+AO213*AO122+AP213*AP122+AQ213*AQ122+AR213*AR122+AS213*AS122+AT213*AT122+AU213*AU122+AV213*AV122+AW213*AW122+AX213*AX122+AY213*AY122+AZ213*AZ122+BA213*BA122+BB213*BB122+BC213*BC122+BD213*BD122+BE213*BE122+BF213*BF122+BG213*BG122+BH213*BH122+BI213*BI122+BJ213*BJ122+BK213*BK122+BL213*BL122+BM213*BM122+BN213*BN122+BO213*BO122+BP213*BP122+BQ213*BQ122+BR213*BR122+BS213*BS122+BT213*BT122+BU213*BU122+BV213*BV122+BW213*BW122+BX213*BX122+BY213*BY122+BZ213*BZ122+CA213*CA122+CB213*CB122+CC213*CC122+CD213*CD122+CE213*CE122+CF213*CF122+CG213*CG122+CH213*CH122</f>
        <v>0</v>
      </c>
      <c r="CO122" s="1952">
        <f>E214*E122+F214*F122+G214*G122+H214*H122+I214*I122+J214*J122+K214*K122+L214*L122+M214*M122+N214*N122+O214*O122+P214*P122+Q214*Q122+R214*R122+S214*S122+T214*T122+U214*U122+V214*V122+W214*W122+X214*X122+Y214*Y122+Z214*Z122+AA214*AA122+AB214*AB122+AC214*AC122+AD214*AD122+AE214*AE122+AF214*AF122+AG214*AG122+AH214*AH122+AI214*AI122+AJ214*AJ122+AK214*AK122+AL214*AL122+AM214*AM122+AN214*AN122+AO214*AO122+AP214*AP122+AQ214*AQ122+AR214*AR122+AS214*AS122+AT214*AT122+AU214*AU122+AV214*AV122+AW214*AW122+AX214*AX122+AY214*AY122+AZ214*AZ122+BA214*BA122+BB214*BB122+BC214*BC122+BD214*BD122+BE214*BE122+BF214*BF122+BG214*BG122+BH214*BH122+BI214*BI122+BJ214*BJ122+BK214*BK122+BL214*BL122+BM214*BM122+BN214*BN122+BO214*BO122+BP214*BP122+BQ214*BQ122+BR214*BR122+BS214*BS122+BT214*BT122+BU214*BU122+BV214*BV122+BW214*BW122+BX214*BX122+BY214*BY122+BZ214*BZ122+CA214*CA122+CB214*CB122+CC214*CC122+CD214*CD122+CE214*CE122+CF214*CF122+CG214*CG122+CH214*CH122</f>
        <v>0</v>
      </c>
      <c r="CP122" s="1952">
        <f>E215*E122+F215*F122+G215*G122+H215*H122+I215*I122+J215*J122+K215*K122+L215*L122+M215*M122+N215*N122+O215*O122+P215*P122+Q215*Q122+R215*R122+S215*S122+T215*T122+U215*U122+V215*V122+W215*W122+X215*X122+Y215*Y122+Z215*Z122+AA215*AA122+AB215*AB122+AC215*AC122+AD215*AD122+AE215*AE122+AF215*AF122+AG215*AG122+AH215*AH122+AI215*AI122+AJ215*AJ122+AK215*AK122+AL215*AL122+AM215*AM122+AN215*AN122+AO215*AO122+AP215*AP122+AQ215*AQ122+AR215*AR122+AS215*AS122+AT215*AT122+AU215*AU122+AV215*AV122+AW215*AW122+AX215*AX122+AY215*AY122+AZ215*AZ122+BA215*BA122+BB215*BB122+BC215*BC122+BD215*BD122+BE215*BE122+BF215*BF122+BG215*BG122+BH215*BH122+BI215*BI122+BJ215*BJ122+BK215*BK122+BL215*BL122+BM215*BM122+BN215*BN122+BO215*BO122+BP215*BP122+BQ215*BQ122+BR215*BR122+BS215*BS122+BT215*BT122+BU215*BU122+BV215*BV122+BW215*BW122+BX215*BX122+BY215*BY122+BZ215*BZ122+CA215*CA122+CB215*CB122+CC215*CC122+CD215*CD122+CE215*CE122+CF215*CF122+CG215*CG122+CH215*CH122</f>
        <v>0</v>
      </c>
      <c r="CQ122" s="1952">
        <f>E216*E122+F216*F122+G216*G122+H216*H122+I216*I122+J216*J122+K216*K122+L216*L122+M216*M122+N216*N122+O216*O122+P216*P122+Q216*Q122+R216*R122+S216*S122+T216*T122+U216*U122+V216*V122+W216*W122+X216*X122+Y216*Y122+Z216*Z122+AA216*AA122+AB216*AB122+AC216*AC122+AD216*AD122+AE216*AE122+AF216*AF122+AG216*AG122+AH216*AH122+AI216*AI122+AJ216*AJ122+AK216*AK122+AL216*AL122+AM216*AM122+AN216*AN122+AO216*AO122+AP216*AP122+AQ216*AQ122+AR216*AR122+AS216*AS122+AT216*AT122+AU216*AU122+AV216*AV122+AW216*AW122+AX216*AX122+AY216*AY122+AZ216*AZ122+BA216*BA122+BB216*BB122+BC216*BC122+BD216*BD122+BE216*BE122+BF216*BF122+BG216*BG122+BH216*BH122+BI216*BI122+BJ216*BJ122+BK216*BK122+BL216*BL122+BM216*BM122+BN216*BN122+BO216*BO122+BP216*BP122+BQ216*BQ122+BR216*BR122+BS216*BS122+BT216*BT122+BU216*BU122+BV216*BV122+BW216*BW122+BX216*BX122+BY216*BY122+BZ216*BZ122+CA216*CA122+CB216*CB122+CC216*CC122+CD216*CD122+CE216*CE122+CF216*CF122+CG216*CG122+CH216*CH122</f>
        <v>0</v>
      </c>
      <c r="CR122" s="1952">
        <f>E217*E122+F217*F122+G217*G122+H217*H122+I217*I122+J217*J122+K217*K122+L217*L122+M217*M122+N217*N122+O217*O122+P217*P122+Q217*Q122+R217*R122+S217*S122+T217*T122+U217*U122+V217*V122+W217*W122+X217*X122+Y217*Y122+Z217*Z122+AA217*AA122+AB217*AB122+AC217*AC122+AD217*AD122+AE217*AE122+AF217*AF122+AG217*AG122+AH217*AH122+AI217*AI122+AJ217*AJ122+AK217*AK122+AL217*AL122+AM217*AM122+AN217*AN122+AO217*AO122+AP217*AP122+AQ217*AQ122+AR217*AR122+AS217*AS122+AT217*AT122+AU217*AU122+AV217*AV122+AW217*AW122+AX217*AX122+AY217*AY122+AZ217*AZ122+BA217*BA122+BB217*BB122+BC217*BC122+BD217*BD122+BE217*BE122+BF217*BF122+BG217*BG122+BH217*BH122+BI217*BI122+BJ217*BJ122+BK217*BK122+BL217*BL122+BM217*BM122+BN217*BN122+BO217*BO122+BP217*BP122+BQ217*BQ122+BR217*BR122+BS217*BS122+BT217*BT122+BU217*BU122+BV217*BV122+BW217*BW122+BX217*BX122+BY217*BY122+BZ217*BZ122+CA217*CA122+CB217*CB122+CC217*CC122+CD217*CD122+CE217*CE122+CF217*CF122+CG217*CG122+CH217*CH122</f>
        <v>0</v>
      </c>
      <c r="CS122" s="1952">
        <f>E218*E122+F218*F122+G218*G122+H218*H122+I218*I122+J218*J122+K218*K122+L218*L122+M218*M122+N218*N122+O218*O122+P218*P122+Q218*Q122+R218*R122+S218*S122+T218*T122+U218*U122+V218*V122+W218*W122+X218*X122+Y218*Y122+Z218*Z122+AA218*AA122+AB218*AB122+AC218*AC122+AD218*AD122+AE218*AE122+AF218*AF122+AG218*AG122+AH218*AH122+AI218*AI122+AJ218*AJ122+AK218*AK122+AL218*AL122+AM218*AM122+AN218*AN122+AO218*AO122+AP218*AP122+AQ218*AQ122+AR218*AR122+AS218*AS122+AT218*AT122+AU218*AU122+AV218*AV122+AW218*AW122+AX218*AX122+AY218*AY122+AZ218*AZ122+BA218*BA122+BB218*BB122+BC218*BC122+BD218*BD122+BE218*BE122+BF218*BF122+BG218*BG122+BH218*BH122+BI218*BI122+BJ218*BJ122+BK218*BK122+BL218*BL122+BM218*BM122+BN218*BN122+BO218*BO122+BP218*BP122+BQ218*BQ122+BR218*BR122+BS218*BS122+BT218*BT122+BU218*BU122+BV218*BV122+BW218*BW122+BX218*BX122+BY218*BY122+BZ218*BZ122+CA218*CA122+CB218*CB122+CC218*CC122+CD218*CD122+CE218*CE122+CF218*CF122+CG218*CG122+CH218*CH122</f>
        <v>0</v>
      </c>
      <c r="CT122" s="1952">
        <f>E219*E122+F219*F122+G219*G122+H219*H122+I219*I122+J219*J122+K219*K122+L219*L122+M219*M122+N219*N122+O219*O122+P219*P122+Q219*Q122+R219*R122+S219*S122+T219*T122+U219*U122+V219*V122+W219*W122+X219*X122+Y219*Y122+Z219*Z122+AA219*AA122+AB219*AB122+AC219*AC122+AD219*AD122+AE219*AE122+AF219*AF122+AG219*AG122+AH219*AH122+AI219*AI122+AJ219*AJ122+AK219*AK122+AL219*AL122+AM219*AM122+AN219*AN122+AO219*AO122+AP219*AP122+AQ219*AQ122+AR219*AR122+AS219*AS122+AT219*AT122+AU219*AU122+AV219*AV122+AW219*AW122+AX219*AX122+AY219*AY122+AZ219*AZ122+BA219*BA122+BB219*BB122+BC219*BC122+BD219*BD122+BE219*BE122+BF219*BF122+BG219*BG122+BH219*BH122+BI219*BI122+BJ219*BJ122+BK219*BK122+BL219*BL122+BM219*BM122+BN219*BN122+BO219*BO122+BP219*BP122+BQ219*BQ122+BR219*BR122+BS219*BS122+BT219*BT122+BU219*BU122+BV219*BV122+BW219*BW122+BX219*BX122+BY219*BY122+BZ219*BZ122+CA219*CA122+CB219*CB122+CC219*CC122+CD219*CD122+CE219*CE122+CF219*CF122+CG219*CG122+CH219*CH122</f>
        <v>0</v>
      </c>
      <c r="CU122" s="1952">
        <f>E220*E122+F220*F122+G220*G122+H220*H122+I220*I122+J220*J122+K220*K122+L220*L122+M220*M122+N220*N122+O220*O122+P220*P122+Q220*Q122+R220*R122+S220*S122+T220*T122+U220*U122+V220*V122+W220*W122+X220*X122+Y220*Y122+Z220*Z122+AA220*AA122+AB220*AB122+AC220*AC122+AD220*AD122+AE220*AE122+AF220*AF122+AG220*AG122+AH220*AH122+AI220*AI122+AJ220*AJ122+AK220*AK122+AL220*AL122+AM220*AM122+AN220*AN122+AO220*AO122+AP220*AP122+AQ220*AQ122+AR220*AR122+AS220*AS122+AT220*AT122+AU220*AU122+AV220*AV122+AW220*AW122+AX220*AX122+AY220*AY122+AZ220*AZ122+BA220*BA122+BB220*BB122+BC220*BC122+BD220*BD122+BE220*BE122+BF220*BF122+BG220*BG122+BH220*BH122+BI220*BI122+BJ220*BJ122+BK220*BK122+BL220*BL122+BM220*BM122+BN220*BN122+BO220*BO122+BP220*BP122+BQ220*BQ122+BR220*BR122+BS220*BS122+BT220*BT122+BU220*BU122+BV220*BV122+BW220*BW122+BX220*BX122+BY220*BY122+BZ220*BZ122+CA220*CA122+CB220*CB122+CC220*CC122+CD220*CD122+CE220*CE122+CF220*CF122+CG220*CG122+CH220*CH122</f>
        <v>0</v>
      </c>
    </row>
    <row r="123" spans="2:99" ht="18" x14ac:dyDescent="0.25">
      <c r="B123" s="1029">
        <v>9</v>
      </c>
      <c r="C123" s="1090" t="s">
        <v>231</v>
      </c>
      <c r="D123" s="1091" t="s">
        <v>2666</v>
      </c>
      <c r="E123" s="2055">
        <f>0</f>
        <v>0</v>
      </c>
      <c r="F123" s="2055">
        <f>0</f>
        <v>0</v>
      </c>
      <c r="G123" s="2055">
        <f>0</f>
        <v>0</v>
      </c>
      <c r="H123" s="2055">
        <f>0</f>
        <v>0</v>
      </c>
      <c r="I123" s="2078">
        <f>0</f>
        <v>0</v>
      </c>
      <c r="J123" s="2078">
        <f>1-f_E</f>
        <v>0.92</v>
      </c>
      <c r="K123" s="2055">
        <f>0</f>
        <v>0</v>
      </c>
      <c r="L123" s="2055">
        <f>0</f>
        <v>0</v>
      </c>
      <c r="M123" s="2055">
        <f>0</f>
        <v>0</v>
      </c>
      <c r="N123" s="2055">
        <f>0</f>
        <v>0</v>
      </c>
      <c r="O123" s="2055">
        <f>0</f>
        <v>0</v>
      </c>
      <c r="P123" s="2055">
        <f>0</f>
        <v>0</v>
      </c>
      <c r="Q123" s="2055">
        <f>f_E</f>
        <v>0.08</v>
      </c>
      <c r="R123" s="2055">
        <f>-1</f>
        <v>-1</v>
      </c>
      <c r="S123" s="2055">
        <f>0</f>
        <v>0</v>
      </c>
      <c r="T123" s="2055">
        <f>0</f>
        <v>0</v>
      </c>
      <c r="U123" s="2055">
        <f>0</f>
        <v>0</v>
      </c>
      <c r="V123" s="2055">
        <f>0</f>
        <v>0</v>
      </c>
      <c r="W123" s="2055">
        <f>0</f>
        <v>0</v>
      </c>
      <c r="X123" s="2055">
        <f>0</f>
        <v>0</v>
      </c>
      <c r="Y123" s="2054">
        <f>-f_E*(i_N_XE-i_N_BIO)</f>
        <v>8.0000000000000069E-4</v>
      </c>
      <c r="Z123" s="2055">
        <f>0</f>
        <v>0</v>
      </c>
      <c r="AA123" s="2055">
        <f>0</f>
        <v>0</v>
      </c>
      <c r="AB123" s="2055">
        <f>0</f>
        <v>0</v>
      </c>
      <c r="AC123" s="2078">
        <f>0</f>
        <v>0</v>
      </c>
      <c r="AD123" s="2078">
        <f>(1-f_E)*i_N_BIO</f>
        <v>6.4400000000000013E-2</v>
      </c>
      <c r="AE123" s="2055">
        <f>0</f>
        <v>0</v>
      </c>
      <c r="AF123" s="2055">
        <f>0</f>
        <v>0</v>
      </c>
      <c r="AG123" s="2055">
        <f>0</f>
        <v>0</v>
      </c>
      <c r="AH123" s="2055">
        <f>0</f>
        <v>0</v>
      </c>
      <c r="AI123" s="2078">
        <f>0</f>
        <v>0</v>
      </c>
      <c r="AJ123" s="2078">
        <f>(1-f_E)*i_P_BIO</f>
        <v>1.84E-2</v>
      </c>
      <c r="AK123" s="2055">
        <f>0</f>
        <v>0</v>
      </c>
      <c r="AL123" s="2055">
        <f>0</f>
        <v>0</v>
      </c>
      <c r="AM123" s="2055">
        <f>0</f>
        <v>0</v>
      </c>
      <c r="AN123" s="2055">
        <f>0</f>
        <v>0</v>
      </c>
      <c r="AO123" s="2078">
        <f>(1-f_E)*(i_CIT_BIO-i_CIT_XBe)</f>
        <v>6.0720000000000003E-2</v>
      </c>
      <c r="AP123" s="2055">
        <f>0</f>
        <v>0</v>
      </c>
      <c r="AQ123" s="2054">
        <f>0</f>
        <v>0</v>
      </c>
      <c r="AR123" s="2054">
        <f>0</f>
        <v>0</v>
      </c>
      <c r="AS123" s="2054">
        <f>0</f>
        <v>0</v>
      </c>
      <c r="AT123" s="2054">
        <f>0</f>
        <v>0</v>
      </c>
      <c r="AU123" s="2054">
        <f>0</f>
        <v>0</v>
      </c>
      <c r="AV123" s="2054">
        <f>0</f>
        <v>0</v>
      </c>
      <c r="AW123" s="2054">
        <f>0</f>
        <v>0</v>
      </c>
      <c r="AX123" s="2054">
        <f>0</f>
        <v>0</v>
      </c>
      <c r="AY123" s="2054">
        <f>0</f>
        <v>0</v>
      </c>
      <c r="AZ123" s="2054">
        <f>0</f>
        <v>0</v>
      </c>
      <c r="BA123" s="2054">
        <f>0</f>
        <v>0</v>
      </c>
      <c r="BB123" s="2054">
        <f>0</f>
        <v>0</v>
      </c>
      <c r="BC123" s="2054">
        <f>0</f>
        <v>0</v>
      </c>
      <c r="BD123" s="2054">
        <f>0</f>
        <v>0</v>
      </c>
      <c r="BE123" s="2054">
        <f>0</f>
        <v>0</v>
      </c>
      <c r="BF123" s="2054">
        <f>0</f>
        <v>0</v>
      </c>
      <c r="BG123" s="2054">
        <f>0</f>
        <v>0</v>
      </c>
      <c r="BH123" s="2054">
        <f>0</f>
        <v>0</v>
      </c>
      <c r="BI123" s="2054">
        <f>0</f>
        <v>0</v>
      </c>
      <c r="BJ123" s="2054">
        <f>0</f>
        <v>0</v>
      </c>
      <c r="BK123" s="2054">
        <f>0</f>
        <v>0</v>
      </c>
      <c r="BL123" s="2054">
        <f>0</f>
        <v>0</v>
      </c>
      <c r="BM123" s="2054">
        <f>0</f>
        <v>0</v>
      </c>
      <c r="BN123" s="2054">
        <f>0</f>
        <v>0</v>
      </c>
      <c r="BO123" s="2054">
        <f>0</f>
        <v>0</v>
      </c>
      <c r="BP123" s="2110">
        <f>0</f>
        <v>0</v>
      </c>
      <c r="BQ123" s="2110">
        <f>0</f>
        <v>0</v>
      </c>
      <c r="BR123" s="2110">
        <f>0</f>
        <v>0</v>
      </c>
      <c r="BS123" s="2110">
        <f>0</f>
        <v>0</v>
      </c>
      <c r="BT123" s="2054">
        <f>0</f>
        <v>0</v>
      </c>
      <c r="BU123" s="2054">
        <f>0</f>
        <v>0</v>
      </c>
      <c r="BV123" s="2054">
        <f>0</f>
        <v>0</v>
      </c>
      <c r="BW123" s="2054">
        <f>0</f>
        <v>0</v>
      </c>
      <c r="BX123" s="2054">
        <f>0</f>
        <v>0</v>
      </c>
      <c r="BY123" s="2054">
        <f>0</f>
        <v>0</v>
      </c>
      <c r="BZ123" s="2054">
        <f>0</f>
        <v>0</v>
      </c>
      <c r="CA123" s="2054">
        <f>0</f>
        <v>0</v>
      </c>
      <c r="CB123" s="2054">
        <f>0</f>
        <v>0</v>
      </c>
      <c r="CC123" s="2054">
        <f>0</f>
        <v>0</v>
      </c>
      <c r="CD123" s="2054">
        <f>0</f>
        <v>0</v>
      </c>
      <c r="CE123" s="2054">
        <f>0</f>
        <v>0</v>
      </c>
      <c r="CF123" s="2054">
        <f>0</f>
        <v>0</v>
      </c>
      <c r="CG123" s="2054">
        <f>0</f>
        <v>0</v>
      </c>
      <c r="CH123" s="2054">
        <f>0</f>
        <v>0</v>
      </c>
      <c r="CI123" s="2137">
        <f>b_OHO_T*X_OHO*η_b_ana*M_inhSNOx_KNOx_OHO*M_inhSO2_KO2_OHO</f>
        <v>3.2248370243654352E-2</v>
      </c>
      <c r="CK123" s="1950">
        <f>E210*E123+F210*F123+G210*G123+H210*H123+I210*I123+J210*J123+K210*K123+L210*L123+M210*M123+N210*N123+O210*O123+P210*P123+Q210*Q123+R210*R123+S210*S123+T210*T123+U210*U123+V210*V123+W210*W123+X210*X123+Y210*Y123+Z210*Z123+AA210*AA123+AB210*AB123+AC210*AC123+AD210*AD123+AE210*AE123+AF210*AF123+AG210*AG123+AH210*AH123+AI210*AI123+AJ210*AJ123+AK210*AK123+AL210*AL123+AM210*AM123+AN210*AN123+AO210*AO123+AP210*AP123+AQ210*AQ123+AR210*AR123+AS210*AS123+AT210*AT123+AU210*AU123+AV210*AV123+AW210*AW123+AX210*AX123+AY210*AY123+AZ210*AZ123+BA210*BA123+BB210*BB123+BC210*BC123+BD210*BD123+BE210*BE123+BF210*BF123+BG210*BG123+BH210*BH123+BI210*BI123+BJ210*BJ123+BK210*BK123+BL210*BL123+BM210*BM123+BN210*BN123+BO210*BO123+BP210*BP123+BQ210*BQ123+BR210*BR123+BS210*BS123+BT210*BT123+BU210*BU123+BV210*BV123+BW210*BW123+BX210*BX123+BY210*BY123+BZ210*BZ123+CA210*CA123+CB210*CB123+CC210*CC123+CD210*CD123+CE210*CE123+CF210*CF123+CG210*CG123+CH210*CH123</f>
        <v>0</v>
      </c>
      <c r="CL123" s="1950">
        <f>E211*E123+F211*F123+G211*G123+H211*H123+I211*I123+J211*J123+K211*K123+L211*L123+M211*M123+N211*N123+O211*O123+P211*P123+Q211*Q123+R211*R123+S211*S123+T211*T123+U211*U123+V211*V123+W211*W123+X211*X123+Y211*Y123+Z211*Z123+AA211*AA123+AB211*AB123+AC211*AC123+AD211*AD123+AE211*AE123+AF211*AF123+AG211*AG123+AH211*AH123+AI211*AI123+AJ211*AJ123+AK211*AK123+AL211*AL123+AM211*AM123+AN211*AN123+AO211*AO123+AP211*AP123+AQ211*AQ123+AR211*AR123+AS211*AS123+AT211*AT123+AU211*AU123+AV211*AV123+AW211*AW123+AX211*AX123+AY211*AY123+AZ211*AZ123+BA211*BA123+BB211*BB123+BC211*BC123+BD211*BD123+BE211*BE123+BF211*BF123+BG211*BG123+BH211*BH123+BI211*BI123+BJ211*BJ123+BK211*BK123+BL211*BL123+BM211*BM123+BN211*BN123+BO211*BO123+BP211*BP123+BQ211*BQ123+BR211*BR123+BS211*BS123+BT211*BT123+BU211*BU123+BV211*BV123+BW211*BW123+BX211*BX123+BY211*BY123+BZ211*BZ123+CA211*CA123+CB211*CB123+CC211*CC123+CD211*CD123+CE211*CE123+CF211*CF123+CG211*CG123+CH211*CH123</f>
        <v>6.9388939039072284E-18</v>
      </c>
      <c r="CM123" s="1951">
        <f>E212*E123+F212*F123+G212*G123+H212*H123+I212*I123+J212*J123+K212*K123+L212*L123+M212*M123+N212*N123+O212*O123+P212*P123+Q212*Q123+R212*R123+S212*S123+T212*T123+U212*U123+V212*V123+W212*W123+X212*X123+Y212*Y123+Z212*Z123+AA212*AA123+AB212*AB123+AC212*AC123+AD212*AD123+AE212*AE123+AF212*AF123+AG212*AG123+AH212*AH123+AI212*AI123+AJ212*AJ123+AK212*AK123+AL212*AL123+AM212*AM123+AN212*AN123+AO212*AO123+AP212*AP123+AQ212*AQ123+AR212*AR123+AS212*AS123+AT212*AT123+AU212*AU123+AV212*AV123+AW212*AW123+AX212*AX123+AY212*AY123+AZ212*AZ123+BA212*BA123+BB212*BB123+BC212*BC123+BD212*BD123+BE212*BE123+BF212*BF123+BG212*BG123+BH212*BH123+BI212*BI123+BJ212*BJ123+BK212*BK123+BL212*BL123+BM212*BM123+BN212*BN123+BO212*BO123+BP212*BP123+BQ212*BQ123+BR212*BR123+BS212*BS123+BT212*BT123+BU212*BU123+BV212*BV123+BW212*BW123+BX212*BX123+BY212*BY123+BZ212*BZ123+CA212*CA123+CB212*CB123+CC212*CC123+CD212*CD123+CE212*CE123+CF212*CF123+CG212*CG123+CH212*CH123</f>
        <v>0</v>
      </c>
      <c r="CN123" s="1952">
        <f>E213*E123+F213*F123+G213*G123+H213*H123+I213*I123+J213*J123+K213*K123+L213*L123+M213*M123+N213*N123+O213*O123+P213*P123+Q213*Q123+R213*R123+S213*S123+T213*T123+U213*U123+V213*V123+W213*W123+X213*X123+Y213*Y123+Z213*Z123+AA213*AA123+AB213*AB123+AC213*AC123+AD213*AD123+AE213*AE123+AF213*AF123+AG213*AG123+AH213*AH123+AI213*AI123+AJ213*AJ123+AK213*AK123+AL213*AL123+AM213*AM123+AN213*AN123+AO213*AO123+AP213*AP123+AQ213*AQ123+AR213*AR123+AS213*AS123+AT213*AT123+AU213*AU123+AV213*AV123+AW213*AW123+AX213*AX123+AY213*AY123+AZ213*AZ123+BA213*BA123+BB213*BB123+BC213*BC123+BD213*BD123+BE213*BE123+BF213*BF123+BG213*BG123+BH213*BH123+BI213*BI123+BJ213*BJ123+BK213*BK123+BL213*BL123+BM213*BM123+BN213*BN123+BO213*BO123+BP213*BP123+BQ213*BQ123+BR213*BR123+BS213*BS123+BT213*BT123+BU213*BU123+BV213*BV123+BW213*BW123+BX213*BX123+BY213*BY123+BZ213*BZ123+CA213*CA123+CB213*CB123+CC213*CC123+CD213*CD123+CE213*CE123+CF213*CF123+CG213*CG123+CH213*CH123</f>
        <v>0</v>
      </c>
      <c r="CO123" s="1952">
        <f>E214*E123+F214*F123+G214*G123+H214*H123+I214*I123+J214*J123+K214*K123+L214*L123+M214*M123+N214*N123+O214*O123+P214*P123+Q214*Q123+R214*R123+S214*S123+T214*T123+U214*U123+V214*V123+W214*W123+X214*X123+Y214*Y123+Z214*Z123+AA214*AA123+AB214*AB123+AC214*AC123+AD214*AD123+AE214*AE123+AF214*AF123+AG214*AG123+AH214*AH123+AI214*AI123+AJ214*AJ123+AK214*AK123+AL214*AL123+AM214*AM123+AN214*AN123+AO214*AO123+AP214*AP123+AQ214*AQ123+AR214*AR123+AS214*AS123+AT214*AT123+AU214*AU123+AV214*AV123+AW214*AW123+AX214*AX123+AY214*AY123+AZ214*AZ123+BA214*BA123+BB214*BB123+BC214*BC123+BD214*BD123+BE214*BE123+BF214*BF123+BG214*BG123+BH214*BH123+BI214*BI123+BJ214*BJ123+BK214*BK123+BL214*BL123+BM214*BM123+BN214*BN123+BO214*BO123+BP214*BP123+BQ214*BQ123+BR214*BR123+BS214*BS123+BT214*BT123+BU214*BU123+BV214*BV123+BW214*BW123+BX214*BX123+BY214*BY123+BZ214*BZ123+CA214*CA123+CB214*CB123+CC214*CC123+CD214*CD123+CE214*CE123+CF214*CF123+CG214*CG123+CH214*CH123</f>
        <v>0</v>
      </c>
      <c r="CP123" s="1952">
        <f>E215*E123+F215*F123+G215*G123+H215*H123+I215*I123+J215*J123+K215*K123+L215*L123+M215*M123+N215*N123+O215*O123+P215*P123+Q215*Q123+R215*R123+S215*S123+T215*T123+U215*U123+V215*V123+W215*W123+X215*X123+Y215*Y123+Z215*Z123+AA215*AA123+AB215*AB123+AC215*AC123+AD215*AD123+AE215*AE123+AF215*AF123+AG215*AG123+AH215*AH123+AI215*AI123+AJ215*AJ123+AK215*AK123+AL215*AL123+AM215*AM123+AN215*AN123+AO215*AO123+AP215*AP123+AQ215*AQ123+AR215*AR123+AS215*AS123+AT215*AT123+AU215*AU123+AV215*AV123+AW215*AW123+AX215*AX123+AY215*AY123+AZ215*AZ123+BA215*BA123+BB215*BB123+BC215*BC123+BD215*BD123+BE215*BE123+BF215*BF123+BG215*BG123+BH215*BH123+BI215*BI123+BJ215*BJ123+BK215*BK123+BL215*BL123+BM215*BM123+BN215*BN123+BO215*BO123+BP215*BP123+BQ215*BQ123+BR215*BR123+BS215*BS123+BT215*BT123+BU215*BU123+BV215*BV123+BW215*BW123+BX215*BX123+BY215*BY123+BZ215*BZ123+CA215*CA123+CB215*CB123+CC215*CC123+CD215*CD123+CE215*CE123+CF215*CF123+CG215*CG123+CH215*CH123</f>
        <v>0</v>
      </c>
      <c r="CQ123" s="1952">
        <f>E216*E123+F216*F123+G216*G123+H216*H123+I216*I123+J216*J123+K216*K123+L216*L123+M216*M123+N216*N123+O216*O123+P216*P123+Q216*Q123+R216*R123+S216*S123+T216*T123+U216*U123+V216*V123+W216*W123+X216*X123+Y216*Y123+Z216*Z123+AA216*AA123+AB216*AB123+AC216*AC123+AD216*AD123+AE216*AE123+AF216*AF123+AG216*AG123+AH216*AH123+AI216*AI123+AJ216*AJ123+AK216*AK123+AL216*AL123+AM216*AM123+AN216*AN123+AO216*AO123+AP216*AP123+AQ216*AQ123+AR216*AR123+AS216*AS123+AT216*AT123+AU216*AU123+AV216*AV123+AW216*AW123+AX216*AX123+AY216*AY123+AZ216*AZ123+BA216*BA123+BB216*BB123+BC216*BC123+BD216*BD123+BE216*BE123+BF216*BF123+BG216*BG123+BH216*BH123+BI216*BI123+BJ216*BJ123+BK216*BK123+BL216*BL123+BM216*BM123+BN216*BN123+BO216*BO123+BP216*BP123+BQ216*BQ123+BR216*BR123+BS216*BS123+BT216*BT123+BU216*BU123+BV216*BV123+BW216*BW123+BX216*BX123+BY216*BY123+BZ216*BZ123+CA216*CA123+CB216*CB123+CC216*CC123+CD216*CD123+CE216*CE123+CF216*CF123+CG216*CG123+CH216*CH123</f>
        <v>0</v>
      </c>
      <c r="CR123" s="1952">
        <f>E217*E123+F217*F123+G217*G123+H217*H123+I217*I123+J217*J123+K217*K123+L217*L123+M217*M123+N217*N123+O217*O123+P217*P123+Q217*Q123+R217*R123+S217*S123+T217*T123+U217*U123+V217*V123+W217*W123+X217*X123+Y217*Y123+Z217*Z123+AA217*AA123+AB217*AB123+AC217*AC123+AD217*AD123+AE217*AE123+AF217*AF123+AG217*AG123+AH217*AH123+AI217*AI123+AJ217*AJ123+AK217*AK123+AL217*AL123+AM217*AM123+AN217*AN123+AO217*AO123+AP217*AP123+AQ217*AQ123+AR217*AR123+AS217*AS123+AT217*AT123+AU217*AU123+AV217*AV123+AW217*AW123+AX217*AX123+AY217*AY123+AZ217*AZ123+BA217*BA123+BB217*BB123+BC217*BC123+BD217*BD123+BE217*BE123+BF217*BF123+BG217*BG123+BH217*BH123+BI217*BI123+BJ217*BJ123+BK217*BK123+BL217*BL123+BM217*BM123+BN217*BN123+BO217*BO123+BP217*BP123+BQ217*BQ123+BR217*BR123+BS217*BS123+BT217*BT123+BU217*BU123+BV217*BV123+BW217*BW123+BX217*BX123+BY217*BY123+BZ217*BZ123+CA217*CA123+CB217*CB123+CC217*CC123+CD217*CD123+CE217*CE123+CF217*CF123+CG217*CG123+CH217*CH123</f>
        <v>0</v>
      </c>
      <c r="CS123" s="1952">
        <f>E218*E123+F218*F123+G218*G123+H218*H123+I218*I123+J218*J123+K218*K123+L218*L123+M218*M123+N218*N123+O218*O123+P218*P123+Q218*Q123+R218*R123+S218*S123+T218*T123+U218*U123+V218*V123+W218*W123+X218*X123+Y218*Y123+Z218*Z123+AA218*AA123+AB218*AB123+AC218*AC123+AD218*AD123+AE218*AE123+AF218*AF123+AG218*AG123+AH218*AH123+AI218*AI123+AJ218*AJ123+AK218*AK123+AL218*AL123+AM218*AM123+AN218*AN123+AO218*AO123+AP218*AP123+AQ218*AQ123+AR218*AR123+AS218*AS123+AT218*AT123+AU218*AU123+AV218*AV123+AW218*AW123+AX218*AX123+AY218*AY123+AZ218*AZ123+BA218*BA123+BB218*BB123+BC218*BC123+BD218*BD123+BE218*BE123+BF218*BF123+BG218*BG123+BH218*BH123+BI218*BI123+BJ218*BJ123+BK218*BK123+BL218*BL123+BM218*BM123+BN218*BN123+BO218*BO123+BP218*BP123+BQ218*BQ123+BR218*BR123+BS218*BS123+BT218*BT123+BU218*BU123+BV218*BV123+BW218*BW123+BX218*BX123+BY218*BY123+BZ218*BZ123+CA218*CA123+CB218*CB123+CC218*CC123+CD218*CD123+CE218*CE123+CF218*CF123+CG218*CG123+CH218*CH123</f>
        <v>0</v>
      </c>
      <c r="CT123" s="1952">
        <f>E219*E123+F219*F123+G219*G123+H219*H123+I219*I123+J219*J123+K219*K123+L219*L123+M219*M123+N219*N123+O219*O123+P219*P123+Q219*Q123+R219*R123+S219*S123+T219*T123+U219*U123+V219*V123+W219*W123+X219*X123+Y219*Y123+Z219*Z123+AA219*AA123+AB219*AB123+AC219*AC123+AD219*AD123+AE219*AE123+AF219*AF123+AG219*AG123+AH219*AH123+AI219*AI123+AJ219*AJ123+AK219*AK123+AL219*AL123+AM219*AM123+AN219*AN123+AO219*AO123+AP219*AP123+AQ219*AQ123+AR219*AR123+AS219*AS123+AT219*AT123+AU219*AU123+AV219*AV123+AW219*AW123+AX219*AX123+AY219*AY123+AZ219*AZ123+BA219*BA123+BB219*BB123+BC219*BC123+BD219*BD123+BE219*BE123+BF219*BF123+BG219*BG123+BH219*BH123+BI219*BI123+BJ219*BJ123+BK219*BK123+BL219*BL123+BM219*BM123+BN219*BN123+BO219*BO123+BP219*BP123+BQ219*BQ123+BR219*BR123+BS219*BS123+BT219*BT123+BU219*BU123+BV219*BV123+BW219*BW123+BX219*BX123+BY219*BY123+BZ219*BZ123+CA219*CA123+CB219*CB123+CC219*CC123+CD219*CD123+CE219*CE123+CF219*CF123+CG219*CG123+CH219*CH123</f>
        <v>0</v>
      </c>
      <c r="CU123" s="1952">
        <f>E220*E123+F220*F123+G220*G123+H220*H123+I220*I123+J220*J123+K220*K123+L220*L123+M220*M123+N220*N123+O220*O123+P220*P123+Q220*Q123+R220*R123+S220*S123+T220*T123+U220*U123+V220*V123+W220*W123+X220*X123+Y220*Y123+Z220*Z123+AA220*AA123+AB220*AB123+AC220*AC123+AD220*AD123+AE220*AE123+AF220*AF123+AG220*AG123+AH220*AH123+AI220*AI123+AJ220*AJ123+AK220*AK123+AL220*AL123+AM220*AM123+AN220*AN123+AO220*AO123+AP220*AP123+AQ220*AQ123+AR220*AR123+AS220*AS123+AT220*AT123+AU220*AU123+AV220*AV123+AW220*AW123+AX220*AX123+AY220*AY123+AZ220*AZ123+BA220*BA123+BB220*BB123+BC220*BC123+BD220*BD123+BE220*BE123+BF220*BF123+BG220*BG123+BH220*BH123+BI220*BI123+BJ220*BJ123+BK220*BK123+BL220*BL123+BM220*BM123+BN220*BN123+BO220*BO123+BP220*BP123+BQ220*BQ123+BR220*BR123+BS220*BS123+BT220*BT123+BU220*BU123+BV220*BV123+BW220*BW123+BX220*BX123+BY220*BY123+BZ220*BZ123+CA220*CA123+CB220*CB123+CC220*CC123+CD220*CD123+CE220*CE123+CF220*CF123+CG220*CG123+CH220*CH123</f>
        <v>0</v>
      </c>
    </row>
    <row r="124" spans="2:99" ht="18" x14ac:dyDescent="0.25">
      <c r="B124" s="1031">
        <v>10</v>
      </c>
      <c r="C124" s="1094" t="s">
        <v>232</v>
      </c>
      <c r="D124" s="1095" t="s">
        <v>2588</v>
      </c>
      <c r="E124" s="2056">
        <f>0</f>
        <v>0</v>
      </c>
      <c r="F124" s="2056">
        <f>0</f>
        <v>0</v>
      </c>
      <c r="G124" s="2076">
        <f>-1/Y_MEOLO</f>
        <v>-2.5</v>
      </c>
      <c r="H124" s="2056">
        <f>0</f>
        <v>0</v>
      </c>
      <c r="I124" s="2079">
        <f>0</f>
        <v>0</v>
      </c>
      <c r="J124" s="2079">
        <f>0</f>
        <v>0</v>
      </c>
      <c r="K124" s="2056">
        <f>0</f>
        <v>0</v>
      </c>
      <c r="L124" s="2056">
        <f>0</f>
        <v>0</v>
      </c>
      <c r="M124" s="2056">
        <f>0</f>
        <v>0</v>
      </c>
      <c r="N124" s="2056">
        <f>0</f>
        <v>0</v>
      </c>
      <c r="O124" s="2056">
        <f>0</f>
        <v>0</v>
      </c>
      <c r="P124" s="2056">
        <f>0</f>
        <v>0</v>
      </c>
      <c r="Q124" s="2056">
        <f>0</f>
        <v>0</v>
      </c>
      <c r="R124" s="2056">
        <f>0</f>
        <v>0</v>
      </c>
      <c r="S124" s="2056">
        <f>0</f>
        <v>0</v>
      </c>
      <c r="T124" s="2056">
        <f>1</f>
        <v>1</v>
      </c>
      <c r="U124" s="2056">
        <f>0</f>
        <v>0</v>
      </c>
      <c r="V124" s="2056">
        <f>0</f>
        <v>0</v>
      </c>
      <c r="W124" s="2056">
        <f>0</f>
        <v>0</v>
      </c>
      <c r="X124" s="2056">
        <f>0</f>
        <v>0</v>
      </c>
      <c r="Y124" s="2056">
        <f>-i_N_BIO</f>
        <v>-7.0000000000000007E-2</v>
      </c>
      <c r="Z124" s="2076">
        <f>-(1-Y_MEOLO)/(E_EQN2_NO3*Y_MEOLO)</f>
        <v>-0.52527094766053717</v>
      </c>
      <c r="AA124" s="2076">
        <f>(1-Y_MEOLO)/(E_EQN2_NO3*Y_MEOLO)</f>
        <v>0.52527094766053717</v>
      </c>
      <c r="AB124" s="2056">
        <f>0</f>
        <v>0</v>
      </c>
      <c r="AC124" s="2079">
        <f>0</f>
        <v>0</v>
      </c>
      <c r="AD124" s="2079">
        <f>0</f>
        <v>0</v>
      </c>
      <c r="AE124" s="2056">
        <f>0</f>
        <v>0</v>
      </c>
      <c r="AF124" s="2076">
        <f>-i_P_BIO</f>
        <v>-0.02</v>
      </c>
      <c r="AG124" s="2056">
        <f>0</f>
        <v>0</v>
      </c>
      <c r="AH124" s="2056">
        <f>0</f>
        <v>0</v>
      </c>
      <c r="AI124" s="2079">
        <f>0</f>
        <v>0</v>
      </c>
      <c r="AJ124" s="2079">
        <f>0</f>
        <v>0</v>
      </c>
      <c r="AK124" s="2056">
        <f>0</f>
        <v>0</v>
      </c>
      <c r="AL124" s="2056">
        <f>0</f>
        <v>0</v>
      </c>
      <c r="AM124" s="2056">
        <f>0</f>
        <v>0</v>
      </c>
      <c r="AN124" s="2056">
        <f>0</f>
        <v>0</v>
      </c>
      <c r="AO124" s="2076">
        <f>i_CIT_MEOL/Y_MEOLO-i_CIT_BIO</f>
        <v>0.27300000000000002</v>
      </c>
      <c r="AP124" s="2076">
        <f>i_INORG</f>
        <v>0.11</v>
      </c>
      <c r="AQ124" s="2076">
        <f>-i_INORG*(1-i_Ca_INORG*(A_MCa+2*A_MCl)/A_MCa-i_Mg_INORG*(A_MMg+2*A_MCl)/A_MMg)*f_Na</f>
        <v>-2.8804303582798466E-2</v>
      </c>
      <c r="AR124" s="2076">
        <f>-i_INORG*(i_Ca_INORG*(2*A_MCl)/A_MCa+i_Mg_INORG*(2*A_MCl)/A_MMg)-i_INORG*(1-i_Ca_INORG*(A_MCa+2*A_MCl)/A_MCa-i_Mg_INORG*(A_MMg+2*A_MCl)/A_MMg)*(1-f_Na)</f>
        <v>-7.0195696417201539E-2</v>
      </c>
      <c r="AS124" s="2076">
        <f>-i_INORG*i_Ca_INORG</f>
        <v>-5.5000000000000005E-3</v>
      </c>
      <c r="AT124" s="2076">
        <f>-i_INORG*i_Mg_INORG</f>
        <v>-5.5000000000000005E-3</v>
      </c>
      <c r="AU124" s="2076">
        <f>0</f>
        <v>0</v>
      </c>
      <c r="AV124" s="2076">
        <f>0</f>
        <v>0</v>
      </c>
      <c r="AW124" s="2076">
        <f>0</f>
        <v>0</v>
      </c>
      <c r="AX124" s="2076">
        <f>0</f>
        <v>0</v>
      </c>
      <c r="AY124" s="2076">
        <f>0</f>
        <v>0</v>
      </c>
      <c r="AZ124" s="2076">
        <f>0</f>
        <v>0</v>
      </c>
      <c r="BA124" s="2076">
        <f>0</f>
        <v>0</v>
      </c>
      <c r="BB124" s="2076">
        <f>0</f>
        <v>0</v>
      </c>
      <c r="BC124" s="2076">
        <f>0</f>
        <v>0</v>
      </c>
      <c r="BD124" s="2076">
        <f>0</f>
        <v>0</v>
      </c>
      <c r="BE124" s="2076">
        <f>0</f>
        <v>0</v>
      </c>
      <c r="BF124" s="2076">
        <f>0</f>
        <v>0</v>
      </c>
      <c r="BG124" s="2076">
        <f>0</f>
        <v>0</v>
      </c>
      <c r="BH124" s="2076">
        <f>0</f>
        <v>0</v>
      </c>
      <c r="BI124" s="2076">
        <f>0</f>
        <v>0</v>
      </c>
      <c r="BJ124" s="2076">
        <f>0</f>
        <v>0</v>
      </c>
      <c r="BK124" s="2076">
        <f>0</f>
        <v>0</v>
      </c>
      <c r="BL124" s="2076">
        <f>0</f>
        <v>0</v>
      </c>
      <c r="BM124" s="2076">
        <f>0</f>
        <v>0</v>
      </c>
      <c r="BN124" s="2076">
        <f>0</f>
        <v>0</v>
      </c>
      <c r="BO124" s="2076">
        <f>0</f>
        <v>0</v>
      </c>
      <c r="BP124" s="2111">
        <f>0</f>
        <v>0</v>
      </c>
      <c r="BQ124" s="2111">
        <f>0</f>
        <v>0</v>
      </c>
      <c r="BR124" s="2111">
        <f>0</f>
        <v>0</v>
      </c>
      <c r="BS124" s="2111">
        <f>0</f>
        <v>0</v>
      </c>
      <c r="BT124" s="2076">
        <f>0</f>
        <v>0</v>
      </c>
      <c r="BU124" s="2076">
        <f>0</f>
        <v>0</v>
      </c>
      <c r="BV124" s="2076">
        <f>0</f>
        <v>0</v>
      </c>
      <c r="BW124" s="2076">
        <f>0</f>
        <v>0</v>
      </c>
      <c r="BX124" s="2076">
        <f>0</f>
        <v>0</v>
      </c>
      <c r="BY124" s="2076">
        <f>0</f>
        <v>0</v>
      </c>
      <c r="BZ124" s="2076">
        <f>0</f>
        <v>0</v>
      </c>
      <c r="CA124" s="2076">
        <f>0</f>
        <v>0</v>
      </c>
      <c r="CB124" s="2076">
        <f>0</f>
        <v>0</v>
      </c>
      <c r="CC124" s="2076">
        <f>0</f>
        <v>0</v>
      </c>
      <c r="CD124" s="2076">
        <f>0</f>
        <v>0</v>
      </c>
      <c r="CE124" s="2076">
        <f>0</f>
        <v>0</v>
      </c>
      <c r="CF124" s="2076">
        <f>0</f>
        <v>0</v>
      </c>
      <c r="CG124" s="2076">
        <f>0</f>
        <v>0</v>
      </c>
      <c r="CH124" s="2076">
        <f>0</f>
        <v>0</v>
      </c>
      <c r="CI124" s="2138">
        <f>µ_MEOLO_T*X_MEOLO*M_satSMEOL_KMEOL*M_satSNOx_KNOx_MEOLO*M_inhSO2_KiO2_MEOLO*M_satSNHx_KNHx_BIO*M_satSPO4_KPO4_BIO*M_satSCAT_KCAT*M_satSAN_KAN*M_satSCa_KCa*M_satSMg_KMg*B_ellinhpH</f>
        <v>0</v>
      </c>
      <c r="CK124" s="1950">
        <f>E210*E124+F210*F124+G210*G124+H210*H124+I210*I124+J210*J124+K210*K124+L210*L124+M210*M124+N210*N124+O210*O124+P210*P124+Q210*Q124+R210*R124+S210*S124+T210*T124+U210*U124+V210*V124+W210*W124+X210*X124+Y210*Y124+Z210*Z124+AA210*AA124+AB210*AB124+AC210*AC124+AD210*AD124+AE210*AE124+AF210*AF124+AG210*AG124+AH210*AH124+AI210*AI124+AJ210*AJ124+AK210*AK124+AL210*AL124+AM210*AM124+AN210*AN124+AO210*AO124+AP210*AP124+AQ210*AQ124+AR210*AR124+AS210*AS124+AT210*AT124+AU210*AU124+AV210*AV124+AW210*AW124+AX210*AX124+AY210*AY124+AZ210*AZ124+BA210*BA124+BB210*BB124+BC210*BC124+BD210*BD124+BE210*BE124+BF210*BF124+BG210*BG124+BH210*BH124+BI210*BI124+BJ210*BJ124+BK210*BK124+BL210*BL124+BM210*BM124+BN210*BN124+BO210*BO124+BP210*BP124+BQ210*BQ124+BR210*BR124+BS210*BS124+BT210*BT124+BU210*BU124+BV210*BV124+BW210*BW124+BX210*BX124+BY210*BY124+BZ210*BZ124+CA210*CA124+CB210*CB124+CC210*CC124+CD210*CD124+CE210*CE124+CF210*CF124+CG210*CG124+CH210*CH124</f>
        <v>-6.6613381477509392E-16</v>
      </c>
      <c r="CL124" s="1950">
        <f>E211*E124+F211*F124+G211*G124+H211*H124+I211*I124+J211*J124+K211*K124+L211*L124+M211*M124+N211*N124+O211*O124+P211*P124+Q211*Q124+R211*R124+S211*S124+T211*T124+U211*U124+V211*V124+W211*W124+X211*X124+Y211*Y124+Z211*Z124+AA211*AA124+AB211*AB124+AC211*AC124+AD211*AD124+AE211*AE124+AF211*AF124+AG211*AG124+AH211*AH124+AI211*AI124+AJ211*AJ124+AK211*AK124+AL211*AL124+AM211*AM124+AN211*AN124+AO211*AO124+AP211*AP124+AQ211*AQ124+AR211*AR124+AS211*AS124+AT211*AT124+AU211*AU124+AV211*AV124+AW211*AW124+AX211*AX124+AY211*AY124+AZ211*AZ124+BA211*BA124+BB211*BB124+BC211*BC124+BD211*BD124+BE211*BE124+BF211*BF124+BG211*BG124+BH211*BH124+BI211*BI124+BJ211*BJ124+BK211*BK124+BL211*BL124+BM211*BM124+BN211*BN124+BO211*BO124+BP211*BP124+BQ211*BQ124+BR211*BR124+BS211*BS124+BT211*BT124+BU211*BU124+BV211*BV124+BW211*BW124+BX211*BX124+BY211*BY124+BZ211*BZ124+CA211*CA124+CB211*CB124+CC211*CC124+CD211*CD124+CE211*CE124+CF211*CF124+CG211*CG124+CH211*CH124</f>
        <v>0</v>
      </c>
      <c r="CM124" s="1951">
        <f>E212*E124+F212*F124+G212*G124+H212*H124+I212*I124+J212*J124+K212*K124+L212*L124+M212*M124+N212*N124+O212*O124+P212*P124+Q212*Q124+R212*R124+S212*S124+T212*T124+U212*U124+V212*V124+W212*W124+X212*X124+Y212*Y124+Z212*Z124+AA212*AA124+AB212*AB124+AC212*AC124+AD212*AD124+AE212*AE124+AF212*AF124+AG212*AG124+AH212*AH124+AI212*AI124+AJ212*AJ124+AK212*AK124+AL212*AL124+AM212*AM124+AN212*AN124+AO212*AO124+AP212*AP124+AQ212*AQ124+AR212*AR124+AS212*AS124+AT212*AT124+AU212*AU124+AV212*AV124+AW212*AW124+AX212*AX124+AY212*AY124+AZ212*AZ124+BA212*BA124+BB212*BB124+BC212*BC124+BD212*BD124+BE212*BE124+BF212*BF124+BG212*BG124+BH212*BH124+BI212*BI124+BJ212*BJ124+BK212*BK124+BL212*BL124+BM212*BM124+BN212*BN124+BO212*BO124+BP212*BP124+BQ212*BQ124+BR212*BR124+BS212*BS124+BT212*BT124+BU212*BU124+BV212*BV124+BW212*BW124+BX212*BX124+BY212*BY124+BZ212*BZ124+CA212*CA124+CB212*CB124+CC212*CC124+CD212*CD124+CE212*CE124+CF212*CF124+CG212*CG124+CH212*CH124</f>
        <v>0</v>
      </c>
      <c r="CN124" s="1952">
        <f>E213*E124+F213*F124+G213*G124+H213*H124+I213*I124+J213*J124+K213*K124+L213*L124+M213*M124+N213*N124+O213*O124+P213*P124+Q213*Q124+R213*R124+S213*S124+T213*T124+U213*U124+V213*V124+W213*W124+X213*X124+Y213*Y124+Z213*Z124+AA213*AA124+AB213*AB124+AC213*AC124+AD213*AD124+AE213*AE124+AF213*AF124+AG213*AG124+AH213*AH124+AI213*AI124+AJ213*AJ124+AK213*AK124+AL213*AL124+AM213*AM124+AN213*AN124+AO213*AO124+AP213*AP124+AQ213*AQ124+AR213*AR124+AS213*AS124+AT213*AT124+AU213*AU124+AV213*AV124+AW213*AW124+AX213*AX124+AY213*AY124+AZ213*AZ124+BA213*BA124+BB213*BB124+BC213*BC124+BD213*BD124+BE213*BE124+BF213*BF124+BG213*BG124+BH213*BH124+BI213*BI124+BJ213*BJ124+BK213*BK124+BL213*BL124+BM213*BM124+BN213*BN124+BO213*BO124+BP213*BP124+BQ213*BQ124+BR213*BR124+BS213*BS124+BT213*BT124+BU213*BU124+BV213*BV124+BW213*BW124+BX213*BX124+BY213*BY124+BZ213*BZ124+CA213*CA124+CB213*CB124+CC213*CC124+CD213*CD124+CE213*CE124+CF213*CF124+CG213*CG124+CH213*CH124</f>
        <v>0</v>
      </c>
      <c r="CO124" s="1952">
        <f>E214*E124+F214*F124+G214*G124+H214*H124+I214*I124+J214*J124+K214*K124+L214*L124+M214*M124+N214*N124+O214*O124+P214*P124+Q214*Q124+R214*R124+S214*S124+T214*T124+U214*U124+V214*V124+W214*W124+X214*X124+Y214*Y124+Z214*Z124+AA214*AA124+AB214*AB124+AC214*AC124+AD214*AD124+AE214*AE124+AF214*AF124+AG214*AG124+AH214*AH124+AI214*AI124+AJ214*AJ124+AK214*AK124+AL214*AL124+AM214*AM124+AN214*AN124+AO214*AO124+AP214*AP124+AQ214*AQ124+AR214*AR124+AS214*AS124+AT214*AT124+AU214*AU124+AV214*AV124+AW214*AW124+AX214*AX124+AY214*AY124+AZ214*AZ124+BA214*BA124+BB214*BB124+BC214*BC124+BD214*BD124+BE214*BE124+BF214*BF124+BG214*BG124+BH214*BH124+BI214*BI124+BJ214*BJ124+BK214*BK124+BL214*BL124+BM214*BM124+BN214*BN124+BO214*BO124+BP214*BP124+BQ214*BQ124+BR214*BR124+BS214*BS124+BT214*BT124+BU214*BU124+BV214*BV124+BW214*BW124+BX214*BX124+BY214*BY124+BZ214*BZ124+CA214*CA124+CB214*CB124+CC214*CC124+CD214*CD124+CE214*CE124+CF214*CF124+CG214*CG124+CH214*CH124</f>
        <v>0</v>
      </c>
      <c r="CP124" s="1952">
        <f>E215*E124+F215*F124+G215*G124+H215*H124+I215*I124+J215*J124+K215*K124+L215*L124+M215*M124+N215*N124+O215*O124+P215*P124+Q215*Q124+R215*R124+S215*S124+T215*T124+U215*U124+V215*V124+W215*W124+X215*X124+Y215*Y124+Z215*Z124+AA215*AA124+AB215*AB124+AC215*AC124+AD215*AD124+AE215*AE124+AF215*AF124+AG215*AG124+AH215*AH124+AI215*AI124+AJ215*AJ124+AK215*AK124+AL215*AL124+AM215*AM124+AN215*AN124+AO215*AO124+AP215*AP124+AQ215*AQ124+AR215*AR124+AS215*AS124+AT215*AT124+AU215*AU124+AV215*AV124+AW215*AW124+AX215*AX124+AY215*AY124+AZ215*AZ124+BA215*BA124+BB215*BB124+BC215*BC124+BD215*BD124+BE215*BE124+BF215*BF124+BG215*BG124+BH215*BH124+BI215*BI124+BJ215*BJ124+BK215*BK124+BL215*BL124+BM215*BM124+BN215*BN124+BO215*BO124+BP215*BP124+BQ215*BQ124+BR215*BR124+BS215*BS124+BT215*BT124+BU215*BU124+BV215*BV124+BW215*BW124+BX215*BX124+BY215*BY124+BZ215*BZ124+CA215*CA124+CB215*CB124+CC215*CC124+CD215*CD124+CE215*CE124+CF215*CF124+CG215*CG124+CH215*CH124</f>
        <v>0</v>
      </c>
      <c r="CQ124" s="1952">
        <f>E216*E124+F216*F124+G216*G124+H216*H124+I216*I124+J216*J124+K216*K124+L216*L124+M216*M124+N216*N124+O216*O124+P216*P124+Q216*Q124+R216*R124+S216*S124+T216*T124+U216*U124+V216*V124+W216*W124+X216*X124+Y216*Y124+Z216*Z124+AA216*AA124+AB216*AB124+AC216*AC124+AD216*AD124+AE216*AE124+AF216*AF124+AG216*AG124+AH216*AH124+AI216*AI124+AJ216*AJ124+AK216*AK124+AL216*AL124+AM216*AM124+AN216*AN124+AO216*AO124+AP216*AP124+AQ216*AQ124+AR216*AR124+AS216*AS124+AT216*AT124+AU216*AU124+AV216*AV124+AW216*AW124+AX216*AX124+AY216*AY124+AZ216*AZ124+BA216*BA124+BB216*BB124+BC216*BC124+BD216*BD124+BE216*BE124+BF216*BF124+BG216*BG124+BH216*BH124+BI216*BI124+BJ216*BJ124+BK216*BK124+BL216*BL124+BM216*BM124+BN216*BN124+BO216*BO124+BP216*BP124+BQ216*BQ124+BR216*BR124+BS216*BS124+BT216*BT124+BU216*BU124+BV216*BV124+BW216*BW124+BX216*BX124+BY216*BY124+BZ216*BZ124+CA216*CA124+CB216*CB124+CC216*CC124+CD216*CD124+CE216*CE124+CF216*CF124+CG216*CG124+CH216*CH124</f>
        <v>0</v>
      </c>
      <c r="CR124" s="1952">
        <f>E217*E124+F217*F124+G217*G124+H217*H124+I217*I124+J217*J124+K217*K124+L217*L124+M217*M124+N217*N124+O217*O124+P217*P124+Q217*Q124+R217*R124+S217*S124+T217*T124+U217*U124+V217*V124+W217*W124+X217*X124+Y217*Y124+Z217*Z124+AA217*AA124+AB217*AB124+AC217*AC124+AD217*AD124+AE217*AE124+AF217*AF124+AG217*AG124+AH217*AH124+AI217*AI124+AJ217*AJ124+AK217*AK124+AL217*AL124+AM217*AM124+AN217*AN124+AO217*AO124+AP217*AP124+AQ217*AQ124+AR217*AR124+AS217*AS124+AT217*AT124+AU217*AU124+AV217*AV124+AW217*AW124+AX217*AX124+AY217*AY124+AZ217*AZ124+BA217*BA124+BB217*BB124+BC217*BC124+BD217*BD124+BE217*BE124+BF217*BF124+BG217*BG124+BH217*BH124+BI217*BI124+BJ217*BJ124+BK217*BK124+BL217*BL124+BM217*BM124+BN217*BN124+BO217*BO124+BP217*BP124+BQ217*BQ124+BR217*BR124+BS217*BS124+BT217*BT124+BU217*BU124+BV217*BV124+BW217*BW124+BX217*BX124+BY217*BY124+BZ217*BZ124+CA217*CA124+CB217*CB124+CC217*CC124+CD217*CD124+CE217*CE124+CF217*CF124+CG217*CG124+CH217*CH124</f>
        <v>0</v>
      </c>
      <c r="CS124" s="1952">
        <f>E218*E124+F218*F124+G218*G124+H218*H124+I218*I124+J218*J124+K218*K124+L218*L124+M218*M124+N218*N124+O218*O124+P218*P124+Q218*Q124+R218*R124+S218*S124+T218*T124+U218*U124+V218*V124+W218*W124+X218*X124+Y218*Y124+Z218*Z124+AA218*AA124+AB218*AB124+AC218*AC124+AD218*AD124+AE218*AE124+AF218*AF124+AG218*AG124+AH218*AH124+AI218*AI124+AJ218*AJ124+AK218*AK124+AL218*AL124+AM218*AM124+AN218*AN124+AO218*AO124+AP218*AP124+AQ218*AQ124+AR218*AR124+AS218*AS124+AT218*AT124+AU218*AU124+AV218*AV124+AW218*AW124+AX218*AX124+AY218*AY124+AZ218*AZ124+BA218*BA124+BB218*BB124+BC218*BC124+BD218*BD124+BE218*BE124+BF218*BF124+BG218*BG124+BH218*BH124+BI218*BI124+BJ218*BJ124+BK218*BK124+BL218*BL124+BM218*BM124+BN218*BN124+BO218*BO124+BP218*BP124+BQ218*BQ124+BR218*BR124+BS218*BS124+BT218*BT124+BU218*BU124+BV218*BV124+BW218*BW124+BX218*BX124+BY218*BY124+BZ218*BZ124+CA218*CA124+CB218*CB124+CC218*CC124+CD218*CD124+CE218*CE124+CF218*CF124+CG218*CG124+CH218*CH124</f>
        <v>0</v>
      </c>
      <c r="CT124" s="1952">
        <f>E219*E124+F219*F124+G219*G124+H219*H124+I219*I124+J219*J124+K219*K124+L219*L124+M219*M124+N219*N124+O219*O124+P219*P124+Q219*Q124+R219*R124+S219*S124+T219*T124+U219*U124+V219*V124+W219*W124+X219*X124+Y219*Y124+Z219*Z124+AA219*AA124+AB219*AB124+AC219*AC124+AD219*AD124+AE219*AE124+AF219*AF124+AG219*AG124+AH219*AH124+AI219*AI124+AJ219*AJ124+AK219*AK124+AL219*AL124+AM219*AM124+AN219*AN124+AO219*AO124+AP219*AP124+AQ219*AQ124+AR219*AR124+AS219*AS124+AT219*AT124+AU219*AU124+AV219*AV124+AW219*AW124+AX219*AX124+AY219*AY124+AZ219*AZ124+BA219*BA124+BB219*BB124+BC219*BC124+BD219*BD124+BE219*BE124+BF219*BF124+BG219*BG124+BH219*BH124+BI219*BI124+BJ219*BJ124+BK219*BK124+BL219*BL124+BM219*BM124+BN219*BN124+BO219*BO124+BP219*BP124+BQ219*BQ124+BR219*BR124+BS219*BS124+BT219*BT124+BU219*BU124+BV219*BV124+BW219*BW124+BX219*BX124+BY219*BY124+BZ219*BZ124+CA219*CA124+CB219*CB124+CC219*CC124+CD219*CD124+CE219*CE124+CF219*CF124+CG219*CG124+CH219*CH124</f>
        <v>0</v>
      </c>
      <c r="CU124" s="1952">
        <f>E220*E124+F220*F124+G220*G124+H220*H124+I220*I124+J220*J124+K220*K124+L220*L124+M220*M124+N220*N124+O220*O124+P220*P124+Q220*Q124+R220*R124+S220*S124+T220*T124+U220*U124+V220*V124+W220*W124+X220*X124+Y220*Y124+Z220*Z124+AA220*AA124+AB220*AB124+AC220*AC124+AD220*AD124+AE220*AE124+AF220*AF124+AG220*AG124+AH220*AH124+AI220*AI124+AJ220*AJ124+AK220*AK124+AL220*AL124+AM220*AM124+AN220*AN124+AO220*AO124+AP220*AP124+AQ220*AQ124+AR220*AR124+AS220*AS124+AT220*AT124+AU220*AU124+AV220*AV124+AW220*AW124+AX220*AX124+AY220*AY124+AZ220*AZ124+BA220*BA124+BB220*BB124+BC220*BC124+BD220*BD124+BE220*BE124+BF220*BF124+BG220*BG124+BH220*BH124+BI220*BI124+BJ220*BJ124+BK220*BK124+BL220*BL124+BM220*BM124+BN220*BN124+BO220*BO124+BP220*BP124+BQ220*BQ124+BR220*BR124+BS220*BS124+BT220*BT124+BU220*BU124+BV220*BV124+BW220*BW124+BX220*BX124+BY220*BY124+BZ220*BZ124+CA220*CA124+CB220*CB124+CC220*CC124+CD220*CD124+CE220*CE124+CF220*CF124+CG220*CG124+CH220*CH124</f>
        <v>0</v>
      </c>
    </row>
    <row r="125" spans="2:99" ht="18" x14ac:dyDescent="0.25">
      <c r="B125" s="1031">
        <v>11</v>
      </c>
      <c r="C125" s="1094" t="s">
        <v>233</v>
      </c>
      <c r="D125" s="1095" t="s">
        <v>288</v>
      </c>
      <c r="E125" s="2056">
        <f>0</f>
        <v>0</v>
      </c>
      <c r="F125" s="2056">
        <f>0</f>
        <v>0</v>
      </c>
      <c r="G125" s="2056">
        <f>0</f>
        <v>0</v>
      </c>
      <c r="H125" s="2056">
        <f>0</f>
        <v>0</v>
      </c>
      <c r="I125" s="2079">
        <f>0</f>
        <v>0</v>
      </c>
      <c r="J125" s="2079">
        <f>1-f_E</f>
        <v>0.92</v>
      </c>
      <c r="K125" s="2056">
        <f>0</f>
        <v>0</v>
      </c>
      <c r="L125" s="2056">
        <f>0</f>
        <v>0</v>
      </c>
      <c r="M125" s="2056">
        <f>0</f>
        <v>0</v>
      </c>
      <c r="N125" s="2056">
        <f>0</f>
        <v>0</v>
      </c>
      <c r="O125" s="2056">
        <f>0</f>
        <v>0</v>
      </c>
      <c r="P125" s="2056">
        <f>f_E</f>
        <v>0.08</v>
      </c>
      <c r="Q125" s="2056">
        <f>0</f>
        <v>0</v>
      </c>
      <c r="R125" s="2056">
        <f>0</f>
        <v>0</v>
      </c>
      <c r="S125" s="2056">
        <f>0</f>
        <v>0</v>
      </c>
      <c r="T125" s="2056">
        <f>-1</f>
        <v>-1</v>
      </c>
      <c r="U125" s="2056">
        <f>0</f>
        <v>0</v>
      </c>
      <c r="V125" s="2056">
        <f>0</f>
        <v>0</v>
      </c>
      <c r="W125" s="2056">
        <f>0</f>
        <v>0</v>
      </c>
      <c r="X125" s="2056">
        <f>0</f>
        <v>0</v>
      </c>
      <c r="Y125" s="2056">
        <f>-f_E*(i_N_XE-i_N_BIO)</f>
        <v>8.0000000000000069E-4</v>
      </c>
      <c r="Z125" s="2056">
        <f>0</f>
        <v>0</v>
      </c>
      <c r="AA125" s="2056">
        <f>0</f>
        <v>0</v>
      </c>
      <c r="AB125" s="2056">
        <f>0</f>
        <v>0</v>
      </c>
      <c r="AC125" s="2079">
        <f>0</f>
        <v>0</v>
      </c>
      <c r="AD125" s="2079">
        <f>(1-f_E)*i_N_BIO</f>
        <v>6.4400000000000013E-2</v>
      </c>
      <c r="AE125" s="2056">
        <f>0</f>
        <v>0</v>
      </c>
      <c r="AF125" s="2056">
        <f>0</f>
        <v>0</v>
      </c>
      <c r="AG125" s="2056">
        <f>0</f>
        <v>0</v>
      </c>
      <c r="AH125" s="2056">
        <f>0</f>
        <v>0</v>
      </c>
      <c r="AI125" s="2079">
        <f>0</f>
        <v>0</v>
      </c>
      <c r="AJ125" s="2079">
        <f>(1-f_E)*i_P_BIO</f>
        <v>1.84E-2</v>
      </c>
      <c r="AK125" s="2056">
        <f>0</f>
        <v>0</v>
      </c>
      <c r="AL125" s="2056">
        <f>0</f>
        <v>0</v>
      </c>
      <c r="AM125" s="2056">
        <f>0</f>
        <v>0</v>
      </c>
      <c r="AN125" s="2056">
        <f>0</f>
        <v>0</v>
      </c>
      <c r="AO125" s="2079">
        <f>(1-f_E)*(i_CIT_BIO-i_CIT_XBe)</f>
        <v>6.0720000000000003E-2</v>
      </c>
      <c r="AP125" s="2056">
        <f>0</f>
        <v>0</v>
      </c>
      <c r="AQ125" s="2076">
        <f>0</f>
        <v>0</v>
      </c>
      <c r="AR125" s="2076">
        <f>0</f>
        <v>0</v>
      </c>
      <c r="AS125" s="2076">
        <f>0</f>
        <v>0</v>
      </c>
      <c r="AT125" s="2076">
        <f>0</f>
        <v>0</v>
      </c>
      <c r="AU125" s="2076">
        <f>0</f>
        <v>0</v>
      </c>
      <c r="AV125" s="2076">
        <f>0</f>
        <v>0</v>
      </c>
      <c r="AW125" s="2076">
        <f>0</f>
        <v>0</v>
      </c>
      <c r="AX125" s="2076">
        <f>0</f>
        <v>0</v>
      </c>
      <c r="AY125" s="2076">
        <f>0</f>
        <v>0</v>
      </c>
      <c r="AZ125" s="2076">
        <f>0</f>
        <v>0</v>
      </c>
      <c r="BA125" s="2076">
        <f>0</f>
        <v>0</v>
      </c>
      <c r="BB125" s="2076">
        <f>0</f>
        <v>0</v>
      </c>
      <c r="BC125" s="2076">
        <f>0</f>
        <v>0</v>
      </c>
      <c r="BD125" s="2076">
        <f>0</f>
        <v>0</v>
      </c>
      <c r="BE125" s="2076">
        <f>0</f>
        <v>0</v>
      </c>
      <c r="BF125" s="2076">
        <f>0</f>
        <v>0</v>
      </c>
      <c r="BG125" s="2076">
        <f>0</f>
        <v>0</v>
      </c>
      <c r="BH125" s="2076">
        <f>0</f>
        <v>0</v>
      </c>
      <c r="BI125" s="2076">
        <f>0</f>
        <v>0</v>
      </c>
      <c r="BJ125" s="2076">
        <f>0</f>
        <v>0</v>
      </c>
      <c r="BK125" s="2076">
        <f>0</f>
        <v>0</v>
      </c>
      <c r="BL125" s="2076">
        <f>0</f>
        <v>0</v>
      </c>
      <c r="BM125" s="2076">
        <f>0</f>
        <v>0</v>
      </c>
      <c r="BN125" s="2076">
        <f>0</f>
        <v>0</v>
      </c>
      <c r="BO125" s="2076">
        <f>0</f>
        <v>0</v>
      </c>
      <c r="BP125" s="2111">
        <f>0</f>
        <v>0</v>
      </c>
      <c r="BQ125" s="2111">
        <f>0</f>
        <v>0</v>
      </c>
      <c r="BR125" s="2111">
        <f>0</f>
        <v>0</v>
      </c>
      <c r="BS125" s="2111">
        <f>0</f>
        <v>0</v>
      </c>
      <c r="BT125" s="2076">
        <f>0</f>
        <v>0</v>
      </c>
      <c r="BU125" s="2076">
        <f>0</f>
        <v>0</v>
      </c>
      <c r="BV125" s="2076">
        <f>0</f>
        <v>0</v>
      </c>
      <c r="BW125" s="2076">
        <f>0</f>
        <v>0</v>
      </c>
      <c r="BX125" s="2076">
        <f>0</f>
        <v>0</v>
      </c>
      <c r="BY125" s="2076">
        <f>0</f>
        <v>0</v>
      </c>
      <c r="BZ125" s="2076">
        <f>0</f>
        <v>0</v>
      </c>
      <c r="CA125" s="2076">
        <f>0</f>
        <v>0</v>
      </c>
      <c r="CB125" s="2076">
        <f>0</f>
        <v>0</v>
      </c>
      <c r="CC125" s="2076">
        <f>0</f>
        <v>0</v>
      </c>
      <c r="CD125" s="2076">
        <f>0</f>
        <v>0</v>
      </c>
      <c r="CE125" s="2076">
        <f>0</f>
        <v>0</v>
      </c>
      <c r="CF125" s="2076">
        <f>0</f>
        <v>0</v>
      </c>
      <c r="CG125" s="2076">
        <f>0</f>
        <v>0</v>
      </c>
      <c r="CH125" s="2076">
        <f>0</f>
        <v>0</v>
      </c>
      <c r="CI125" s="2138">
        <f>b_MEOLO_T*X_MEOLO*(M_satSO2_KiO2_MEOLO+η_b_anox*M_satSNOx_KNOx_MEOLO*M_inhSO2_KiO2_MEOLO)</f>
        <v>4.9386607186151392E-2</v>
      </c>
      <c r="CK125" s="1950">
        <f>E210*E125+F210*F125+G210*G125+H210*H125+I210*I125+J210*J125+K210*K125+L210*L125+M210*M125+N210*N125+O210*O125+P210*P125+Q210*Q125+R210*R125+S210*S125+T210*T125+U210*U125+V210*V125+W210*W125+X210*X125+Y210*Y125+Z210*Z125+AA210*AA125+AB210*AB125+AC210*AC125+AD210*AD125+AE210*AE125+AF210*AF125+AG210*AG125+AH210*AH125+AI210*AI125+AJ210*AJ125+AK210*AK125+AL210*AL125+AM210*AM125+AN210*AN125+AO210*AO125+AP210*AP125+AQ210*AQ125+AR210*AR125+AS210*AS125+AT210*AT125+AU210*AU125+AV210*AV125+AW210*AW125+AX210*AX125+AY210*AY125+AZ210*AZ125+BA210*BA125+BB210*BB125+BC210*BC125+BD210*BD125+BE210*BE125+BF210*BF125+BG210*BG125+BH210*BH125+BI210*BI125+BJ210*BJ125+BK210*BK125+BL210*BL125+BM210*BM125+BN210*BN125+BO210*BO125+BP210*BP125+BQ210*BQ125+BR210*BR125+BS210*BS125+BT210*BT125+BU210*BU125+BV210*BV125+BW210*BW125+BX210*BX125+BY210*BY125+BZ210*BZ125+CA210*CA125+CB210*CB125+CC210*CC125+CD210*CD125+CE210*CE125+CF210*CF125+CG210*CG125+CH210*CH125</f>
        <v>0</v>
      </c>
      <c r="CL125" s="1950">
        <f>E211*E125+F211*F125+G211*G125+H211*H125+I211*I125+J211*J125+K211*K125+L211*L125+M211*M125+N211*N125+O211*O125+P211*P125+Q211*Q125+R211*R125+S211*S125+T211*T125+U211*U125+V211*V125+W211*W125+X211*X125+Y211*Y125+Z211*Z125+AA211*AA125+AB211*AB125+AC211*AC125+AD211*AD125+AE211*AE125+AF211*AF125+AG211*AG125+AH211*AH125+AI211*AI125+AJ211*AJ125+AK211*AK125+AL211*AL125+AM211*AM125+AN211*AN125+AO211*AO125+AP211*AP125+AQ211*AQ125+AR211*AR125+AS211*AS125+AT211*AT125+AU211*AU125+AV211*AV125+AW211*AW125+AX211*AX125+AY211*AY125+AZ211*AZ125+BA211*BA125+BB211*BB125+BC211*BC125+BD211*BD125+BE211*BE125+BF211*BF125+BG211*BG125+BH211*BH125+BI211*BI125+BJ211*BJ125+BK211*BK125+BL211*BL125+BM211*BM125+BN211*BN125+BO211*BO125+BP211*BP125+BQ211*BQ125+BR211*BR125+BS211*BS125+BT211*BT125+BU211*BU125+BV211*BV125+BW211*BW125+BX211*BX125+BY211*BY125+BZ211*BZ125+CA211*CA125+CB211*CB125+CC211*CC125+CD211*CD125+CE211*CE125+CF211*CF125+CG211*CG125+CH211*CH125</f>
        <v>6.9388939039072284E-18</v>
      </c>
      <c r="CM125" s="1951">
        <f>E212*E125+F212*F125+G212*G125+H212*H125+I212*I125+J212*J125+K212*K125+L212*L125+M212*M125+N212*N125+O212*O125+P212*P125+Q212*Q125+R212*R125+S212*S125+T212*T125+U212*U125+V212*V125+W212*W125+X212*X125+Y212*Y125+Z212*Z125+AA212*AA125+AB212*AB125+AC212*AC125+AD212*AD125+AE212*AE125+AF212*AF125+AG212*AG125+AH212*AH125+AI212*AI125+AJ212*AJ125+AK212*AK125+AL212*AL125+AM212*AM125+AN212*AN125+AO212*AO125+AP212*AP125+AQ212*AQ125+AR212*AR125+AS212*AS125+AT212*AT125+AU212*AU125+AV212*AV125+AW212*AW125+AX212*AX125+AY212*AY125+AZ212*AZ125+BA212*BA125+BB212*BB125+BC212*BC125+BD212*BD125+BE212*BE125+BF212*BF125+BG212*BG125+BH212*BH125+BI212*BI125+BJ212*BJ125+BK212*BK125+BL212*BL125+BM212*BM125+BN212*BN125+BO212*BO125+BP212*BP125+BQ212*BQ125+BR212*BR125+BS212*BS125+BT212*BT125+BU212*BU125+BV212*BV125+BW212*BW125+BX212*BX125+BY212*BY125+BZ212*BZ125+CA212*CA125+CB212*CB125+CC212*CC125+CD212*CD125+CE212*CE125+CF212*CF125+CG212*CG125+CH212*CH125</f>
        <v>0</v>
      </c>
      <c r="CN125" s="1952">
        <f>E213*E125+F213*F125+G213*G125+H213*H125+I213*I125+J213*J125+K213*K125+L213*L125+M213*M125+N213*N125+O213*O125+P213*P125+Q213*Q125+R213*R125+S213*S125+T213*T125+U213*U125+V213*V125+W213*W125+X213*X125+Y213*Y125+Z213*Z125+AA213*AA125+AB213*AB125+AC213*AC125+AD213*AD125+AE213*AE125+AF213*AF125+AG213*AG125+AH213*AH125+AI213*AI125+AJ213*AJ125+AK213*AK125+AL213*AL125+AM213*AM125+AN213*AN125+AO213*AO125+AP213*AP125+AQ213*AQ125+AR213*AR125+AS213*AS125+AT213*AT125+AU213*AU125+AV213*AV125+AW213*AW125+AX213*AX125+AY213*AY125+AZ213*AZ125+BA213*BA125+BB213*BB125+BC213*BC125+BD213*BD125+BE213*BE125+BF213*BF125+BG213*BG125+BH213*BH125+BI213*BI125+BJ213*BJ125+BK213*BK125+BL213*BL125+BM213*BM125+BN213*BN125+BO213*BO125+BP213*BP125+BQ213*BQ125+BR213*BR125+BS213*BS125+BT213*BT125+BU213*BU125+BV213*BV125+BW213*BW125+BX213*BX125+BY213*BY125+BZ213*BZ125+CA213*CA125+CB213*CB125+CC213*CC125+CD213*CD125+CE213*CE125+CF213*CF125+CG213*CG125+CH213*CH125</f>
        <v>0</v>
      </c>
      <c r="CO125" s="1952">
        <f>E214*E125+F214*F125+G214*G125+H214*H125+I214*I125+J214*J125+K214*K125+L214*L125+M214*M125+N214*N125+O214*O125+P214*P125+Q214*Q125+R214*R125+S214*S125+T214*T125+U214*U125+V214*V125+W214*W125+X214*X125+Y214*Y125+Z214*Z125+AA214*AA125+AB214*AB125+AC214*AC125+AD214*AD125+AE214*AE125+AF214*AF125+AG214*AG125+AH214*AH125+AI214*AI125+AJ214*AJ125+AK214*AK125+AL214*AL125+AM214*AM125+AN214*AN125+AO214*AO125+AP214*AP125+AQ214*AQ125+AR214*AR125+AS214*AS125+AT214*AT125+AU214*AU125+AV214*AV125+AW214*AW125+AX214*AX125+AY214*AY125+AZ214*AZ125+BA214*BA125+BB214*BB125+BC214*BC125+BD214*BD125+BE214*BE125+BF214*BF125+BG214*BG125+BH214*BH125+BI214*BI125+BJ214*BJ125+BK214*BK125+BL214*BL125+BM214*BM125+BN214*BN125+BO214*BO125+BP214*BP125+BQ214*BQ125+BR214*BR125+BS214*BS125+BT214*BT125+BU214*BU125+BV214*BV125+BW214*BW125+BX214*BX125+BY214*BY125+BZ214*BZ125+CA214*CA125+CB214*CB125+CC214*CC125+CD214*CD125+CE214*CE125+CF214*CF125+CG214*CG125+CH214*CH125</f>
        <v>0</v>
      </c>
      <c r="CP125" s="1952">
        <f>E215*E125+F215*F125+G215*G125+H215*H125+I215*I125+J215*J125+K215*K125+L215*L125+M215*M125+N215*N125+O215*O125+P215*P125+Q215*Q125+R215*R125+S215*S125+T215*T125+U215*U125+V215*V125+W215*W125+X215*X125+Y215*Y125+Z215*Z125+AA215*AA125+AB215*AB125+AC215*AC125+AD215*AD125+AE215*AE125+AF215*AF125+AG215*AG125+AH215*AH125+AI215*AI125+AJ215*AJ125+AK215*AK125+AL215*AL125+AM215*AM125+AN215*AN125+AO215*AO125+AP215*AP125+AQ215*AQ125+AR215*AR125+AS215*AS125+AT215*AT125+AU215*AU125+AV215*AV125+AW215*AW125+AX215*AX125+AY215*AY125+AZ215*AZ125+BA215*BA125+BB215*BB125+BC215*BC125+BD215*BD125+BE215*BE125+BF215*BF125+BG215*BG125+BH215*BH125+BI215*BI125+BJ215*BJ125+BK215*BK125+BL215*BL125+BM215*BM125+BN215*BN125+BO215*BO125+BP215*BP125+BQ215*BQ125+BR215*BR125+BS215*BS125+BT215*BT125+BU215*BU125+BV215*BV125+BW215*BW125+BX215*BX125+BY215*BY125+BZ215*BZ125+CA215*CA125+CB215*CB125+CC215*CC125+CD215*CD125+CE215*CE125+CF215*CF125+CG215*CG125+CH215*CH125</f>
        <v>0</v>
      </c>
      <c r="CQ125" s="1952">
        <f>E216*E125+F216*F125+G216*G125+H216*H125+I216*I125+J216*J125+K216*K125+L216*L125+M216*M125+N216*N125+O216*O125+P216*P125+Q216*Q125+R216*R125+S216*S125+T216*T125+U216*U125+V216*V125+W216*W125+X216*X125+Y216*Y125+Z216*Z125+AA216*AA125+AB216*AB125+AC216*AC125+AD216*AD125+AE216*AE125+AF216*AF125+AG216*AG125+AH216*AH125+AI216*AI125+AJ216*AJ125+AK216*AK125+AL216*AL125+AM216*AM125+AN216*AN125+AO216*AO125+AP216*AP125+AQ216*AQ125+AR216*AR125+AS216*AS125+AT216*AT125+AU216*AU125+AV216*AV125+AW216*AW125+AX216*AX125+AY216*AY125+AZ216*AZ125+BA216*BA125+BB216*BB125+BC216*BC125+BD216*BD125+BE216*BE125+BF216*BF125+BG216*BG125+BH216*BH125+BI216*BI125+BJ216*BJ125+BK216*BK125+BL216*BL125+BM216*BM125+BN216*BN125+BO216*BO125+BP216*BP125+BQ216*BQ125+BR216*BR125+BS216*BS125+BT216*BT125+BU216*BU125+BV216*BV125+BW216*BW125+BX216*BX125+BY216*BY125+BZ216*BZ125+CA216*CA125+CB216*CB125+CC216*CC125+CD216*CD125+CE216*CE125+CF216*CF125+CG216*CG125+CH216*CH125</f>
        <v>0</v>
      </c>
      <c r="CR125" s="1952">
        <f>E217*E125+F217*F125+G217*G125+H217*H125+I217*I125+J217*J125+K217*K125+L217*L125+M217*M125+N217*N125+O217*O125+P217*P125+Q217*Q125+R217*R125+S217*S125+T217*T125+U217*U125+V217*V125+W217*W125+X217*X125+Y217*Y125+Z217*Z125+AA217*AA125+AB217*AB125+AC217*AC125+AD217*AD125+AE217*AE125+AF217*AF125+AG217*AG125+AH217*AH125+AI217*AI125+AJ217*AJ125+AK217*AK125+AL217*AL125+AM217*AM125+AN217*AN125+AO217*AO125+AP217*AP125+AQ217*AQ125+AR217*AR125+AS217*AS125+AT217*AT125+AU217*AU125+AV217*AV125+AW217*AW125+AX217*AX125+AY217*AY125+AZ217*AZ125+BA217*BA125+BB217*BB125+BC217*BC125+BD217*BD125+BE217*BE125+BF217*BF125+BG217*BG125+BH217*BH125+BI217*BI125+BJ217*BJ125+BK217*BK125+BL217*BL125+BM217*BM125+BN217*BN125+BO217*BO125+BP217*BP125+BQ217*BQ125+BR217*BR125+BS217*BS125+BT217*BT125+BU217*BU125+BV217*BV125+BW217*BW125+BX217*BX125+BY217*BY125+BZ217*BZ125+CA217*CA125+CB217*CB125+CC217*CC125+CD217*CD125+CE217*CE125+CF217*CF125+CG217*CG125+CH217*CH125</f>
        <v>0</v>
      </c>
      <c r="CS125" s="1952">
        <f>E218*E125+F218*F125+G218*G125+H218*H125+I218*I125+J218*J125+K218*K125+L218*L125+M218*M125+N218*N125+O218*O125+P218*P125+Q218*Q125+R218*R125+S218*S125+T218*T125+U218*U125+V218*V125+W218*W125+X218*X125+Y218*Y125+Z218*Z125+AA218*AA125+AB218*AB125+AC218*AC125+AD218*AD125+AE218*AE125+AF218*AF125+AG218*AG125+AH218*AH125+AI218*AI125+AJ218*AJ125+AK218*AK125+AL218*AL125+AM218*AM125+AN218*AN125+AO218*AO125+AP218*AP125+AQ218*AQ125+AR218*AR125+AS218*AS125+AT218*AT125+AU218*AU125+AV218*AV125+AW218*AW125+AX218*AX125+AY218*AY125+AZ218*AZ125+BA218*BA125+BB218*BB125+BC218*BC125+BD218*BD125+BE218*BE125+BF218*BF125+BG218*BG125+BH218*BH125+BI218*BI125+BJ218*BJ125+BK218*BK125+BL218*BL125+BM218*BM125+BN218*BN125+BO218*BO125+BP218*BP125+BQ218*BQ125+BR218*BR125+BS218*BS125+BT218*BT125+BU218*BU125+BV218*BV125+BW218*BW125+BX218*BX125+BY218*BY125+BZ218*BZ125+CA218*CA125+CB218*CB125+CC218*CC125+CD218*CD125+CE218*CE125+CF218*CF125+CG218*CG125+CH218*CH125</f>
        <v>0</v>
      </c>
      <c r="CT125" s="1952">
        <f>E219*E125+F219*F125+G219*G125+H219*H125+I219*I125+J219*J125+K219*K125+L219*L125+M219*M125+N219*N125+O219*O125+P219*P125+Q219*Q125+R219*R125+S219*S125+T219*T125+U219*U125+V219*V125+W219*W125+X219*X125+Y219*Y125+Z219*Z125+AA219*AA125+AB219*AB125+AC219*AC125+AD219*AD125+AE219*AE125+AF219*AF125+AG219*AG125+AH219*AH125+AI219*AI125+AJ219*AJ125+AK219*AK125+AL219*AL125+AM219*AM125+AN219*AN125+AO219*AO125+AP219*AP125+AQ219*AQ125+AR219*AR125+AS219*AS125+AT219*AT125+AU219*AU125+AV219*AV125+AW219*AW125+AX219*AX125+AY219*AY125+AZ219*AZ125+BA219*BA125+BB219*BB125+BC219*BC125+BD219*BD125+BE219*BE125+BF219*BF125+BG219*BG125+BH219*BH125+BI219*BI125+BJ219*BJ125+BK219*BK125+BL219*BL125+BM219*BM125+BN219*BN125+BO219*BO125+BP219*BP125+BQ219*BQ125+BR219*BR125+BS219*BS125+BT219*BT125+BU219*BU125+BV219*BV125+BW219*BW125+BX219*BX125+BY219*BY125+BZ219*BZ125+CA219*CA125+CB219*CB125+CC219*CC125+CD219*CD125+CE219*CE125+CF219*CF125+CG219*CG125+CH219*CH125</f>
        <v>0</v>
      </c>
      <c r="CU125" s="1952">
        <f>E220*E125+F220*F125+G220*G125+H220*H125+I220*I125+J220*J125+K220*K125+L220*L125+M220*M125+N220*N125+O220*O125+P220*P125+Q220*Q125+R220*R125+S220*S125+T220*T125+U220*U125+V220*V125+W220*W125+X220*X125+Y220*Y125+Z220*Z125+AA220*AA125+AB220*AB125+AC220*AC125+AD220*AD125+AE220*AE125+AF220*AF125+AG220*AG125+AH220*AH125+AI220*AI125+AJ220*AJ125+AK220*AK125+AL220*AL125+AM220*AM125+AN220*AN125+AO220*AO125+AP220*AP125+AQ220*AQ125+AR220*AR125+AS220*AS125+AT220*AT125+AU220*AU125+AV220*AV125+AW220*AW125+AX220*AX125+AY220*AY125+AZ220*AZ125+BA220*BA125+BB220*BB125+BC220*BC125+BD220*BD125+BE220*BE125+BF220*BF125+BG220*BG125+BH220*BH125+BI220*BI125+BJ220*BJ125+BK220*BK125+BL220*BL125+BM220*BM125+BN220*BN125+BO220*BO125+BP220*BP125+BQ220*BQ125+BR220*BR125+BS220*BS125+BT220*BT125+BU220*BU125+BV220*BV125+BW220*BW125+BX220*BX125+BY220*BY125+BZ220*BZ125+CA220*CA125+CB220*CB125+CC220*CC125+CD220*CD125+CE220*CE125+CF220*CF125+CG220*CG125+CH220*CH125</f>
        <v>0</v>
      </c>
    </row>
    <row r="126" spans="2:99" ht="18" x14ac:dyDescent="0.25">
      <c r="B126" s="1031">
        <v>12</v>
      </c>
      <c r="C126" s="1094" t="s">
        <v>234</v>
      </c>
      <c r="D126" s="1095" t="s">
        <v>2667</v>
      </c>
      <c r="E126" s="2056">
        <f>0</f>
        <v>0</v>
      </c>
      <c r="F126" s="2056">
        <f>0</f>
        <v>0</v>
      </c>
      <c r="G126" s="2056">
        <f>0</f>
        <v>0</v>
      </c>
      <c r="H126" s="2056">
        <f>0</f>
        <v>0</v>
      </c>
      <c r="I126" s="2079">
        <f>0</f>
        <v>0</v>
      </c>
      <c r="J126" s="2079">
        <f>1-f_E</f>
        <v>0.92</v>
      </c>
      <c r="K126" s="2056">
        <f>0</f>
        <v>0</v>
      </c>
      <c r="L126" s="2056">
        <f>0</f>
        <v>0</v>
      </c>
      <c r="M126" s="2056">
        <f>0</f>
        <v>0</v>
      </c>
      <c r="N126" s="2056">
        <f>0</f>
        <v>0</v>
      </c>
      <c r="O126" s="2056">
        <f>0</f>
        <v>0</v>
      </c>
      <c r="P126" s="2056">
        <f>0</f>
        <v>0</v>
      </c>
      <c r="Q126" s="2056">
        <f>f_E</f>
        <v>0.08</v>
      </c>
      <c r="R126" s="2056">
        <f>0</f>
        <v>0</v>
      </c>
      <c r="S126" s="2056">
        <f>0</f>
        <v>0</v>
      </c>
      <c r="T126" s="2056">
        <f>-1</f>
        <v>-1</v>
      </c>
      <c r="U126" s="2056">
        <f>0</f>
        <v>0</v>
      </c>
      <c r="V126" s="2056">
        <f>0</f>
        <v>0</v>
      </c>
      <c r="W126" s="2056">
        <f>0</f>
        <v>0</v>
      </c>
      <c r="X126" s="2056">
        <f>0</f>
        <v>0</v>
      </c>
      <c r="Y126" s="2056">
        <f>-f_E*(i_N_XE-i_N_BIO)</f>
        <v>8.0000000000000069E-4</v>
      </c>
      <c r="Z126" s="2056">
        <f>0</f>
        <v>0</v>
      </c>
      <c r="AA126" s="2056">
        <f>0</f>
        <v>0</v>
      </c>
      <c r="AB126" s="2056">
        <f>0</f>
        <v>0</v>
      </c>
      <c r="AC126" s="2079">
        <f>0</f>
        <v>0</v>
      </c>
      <c r="AD126" s="2079">
        <f>(1-f_E)*i_N_BIO</f>
        <v>6.4400000000000013E-2</v>
      </c>
      <c r="AE126" s="2056">
        <f>0</f>
        <v>0</v>
      </c>
      <c r="AF126" s="2056">
        <f>0</f>
        <v>0</v>
      </c>
      <c r="AG126" s="2056">
        <f>0</f>
        <v>0</v>
      </c>
      <c r="AH126" s="2056">
        <f>0</f>
        <v>0</v>
      </c>
      <c r="AI126" s="2079">
        <f>0</f>
        <v>0</v>
      </c>
      <c r="AJ126" s="2079">
        <f>(1-f_E)*i_P_BIO</f>
        <v>1.84E-2</v>
      </c>
      <c r="AK126" s="2056">
        <f>0</f>
        <v>0</v>
      </c>
      <c r="AL126" s="2056">
        <f>0</f>
        <v>0</v>
      </c>
      <c r="AM126" s="2056">
        <f>0</f>
        <v>0</v>
      </c>
      <c r="AN126" s="2056">
        <f>0</f>
        <v>0</v>
      </c>
      <c r="AO126" s="2079">
        <f>(1-f_E)*(i_CIT_BIO-i_CIT_XBe)</f>
        <v>6.0720000000000003E-2</v>
      </c>
      <c r="AP126" s="2056">
        <f>0</f>
        <v>0</v>
      </c>
      <c r="AQ126" s="2076">
        <f>0</f>
        <v>0</v>
      </c>
      <c r="AR126" s="2076">
        <f>0</f>
        <v>0</v>
      </c>
      <c r="AS126" s="2076">
        <f>0</f>
        <v>0</v>
      </c>
      <c r="AT126" s="2076">
        <f>0</f>
        <v>0</v>
      </c>
      <c r="AU126" s="2076">
        <f>0</f>
        <v>0</v>
      </c>
      <c r="AV126" s="2076">
        <f>0</f>
        <v>0</v>
      </c>
      <c r="AW126" s="2076">
        <f>0</f>
        <v>0</v>
      </c>
      <c r="AX126" s="2076">
        <f>0</f>
        <v>0</v>
      </c>
      <c r="AY126" s="2076">
        <f>0</f>
        <v>0</v>
      </c>
      <c r="AZ126" s="2076">
        <f>0</f>
        <v>0</v>
      </c>
      <c r="BA126" s="2076">
        <f>0</f>
        <v>0</v>
      </c>
      <c r="BB126" s="2076">
        <f>0</f>
        <v>0</v>
      </c>
      <c r="BC126" s="2076">
        <f>0</f>
        <v>0</v>
      </c>
      <c r="BD126" s="2076">
        <f>0</f>
        <v>0</v>
      </c>
      <c r="BE126" s="2076">
        <f>0</f>
        <v>0</v>
      </c>
      <c r="BF126" s="2076">
        <f>0</f>
        <v>0</v>
      </c>
      <c r="BG126" s="2076">
        <f>0</f>
        <v>0</v>
      </c>
      <c r="BH126" s="2076">
        <f>0</f>
        <v>0</v>
      </c>
      <c r="BI126" s="2076">
        <f>0</f>
        <v>0</v>
      </c>
      <c r="BJ126" s="2076">
        <f>0</f>
        <v>0</v>
      </c>
      <c r="BK126" s="2076">
        <f>0</f>
        <v>0</v>
      </c>
      <c r="BL126" s="2076">
        <f>0</f>
        <v>0</v>
      </c>
      <c r="BM126" s="2076">
        <f>0</f>
        <v>0</v>
      </c>
      <c r="BN126" s="2076">
        <f>0</f>
        <v>0</v>
      </c>
      <c r="BO126" s="2076">
        <f>0</f>
        <v>0</v>
      </c>
      <c r="BP126" s="2111">
        <f>0</f>
        <v>0</v>
      </c>
      <c r="BQ126" s="2111">
        <f>0</f>
        <v>0</v>
      </c>
      <c r="BR126" s="2111">
        <f>0</f>
        <v>0</v>
      </c>
      <c r="BS126" s="2111">
        <f>0</f>
        <v>0</v>
      </c>
      <c r="BT126" s="2076">
        <f>0</f>
        <v>0</v>
      </c>
      <c r="BU126" s="2076">
        <f>0</f>
        <v>0</v>
      </c>
      <c r="BV126" s="2076">
        <f>0</f>
        <v>0</v>
      </c>
      <c r="BW126" s="2076">
        <f>0</f>
        <v>0</v>
      </c>
      <c r="BX126" s="2076">
        <f>0</f>
        <v>0</v>
      </c>
      <c r="BY126" s="2076">
        <f>0</f>
        <v>0</v>
      </c>
      <c r="BZ126" s="2076">
        <f>0</f>
        <v>0</v>
      </c>
      <c r="CA126" s="2076">
        <f>0</f>
        <v>0</v>
      </c>
      <c r="CB126" s="2076">
        <f>0</f>
        <v>0</v>
      </c>
      <c r="CC126" s="2076">
        <f>0</f>
        <v>0</v>
      </c>
      <c r="CD126" s="2076">
        <f>0</f>
        <v>0</v>
      </c>
      <c r="CE126" s="2076">
        <f>0</f>
        <v>0</v>
      </c>
      <c r="CF126" s="2076">
        <f>0</f>
        <v>0</v>
      </c>
      <c r="CG126" s="2076">
        <f>0</f>
        <v>0</v>
      </c>
      <c r="CH126" s="2076">
        <f>0</f>
        <v>0</v>
      </c>
      <c r="CI126" s="2138">
        <f>b_MEOLO_T*X_MEOLO*(η_b_ana*M_inhSNOx_KNOx_MEOLO*M_inhSO2_KiO2_MEOLO+m_tox_ana)</f>
        <v>1.8183581438200072E-6</v>
      </c>
      <c r="CK126" s="1950">
        <f>E210*E126+F210*F126+G210*G126+H210*H126+I210*I126+J210*J126+K210*K126+L210*L126+M210*M126+N210*N126+O210*O126+P210*P126+Q210*Q126+R210*R126+S210*S126+T210*T126+U210*U126+V210*V126+W210*W126+X210*X126+Y210*Y126+Z210*Z126+AA210*AA126+AB210*AB126+AC210*AC126+AD210*AD126+AE210*AE126+AF210*AF126+AG210*AG126+AH210*AH126+AI210*AI126+AJ210*AJ126+AK210*AK126+AL210*AL126+AM210*AM126+AN210*AN126+AO210*AO126+AP210*AP126+AQ210*AQ126+AR210*AR126+AS210*AS126+AT210*AT126+AU210*AU126+AV210*AV126+AW210*AW126+AX210*AX126+AY210*AY126+AZ210*AZ126+BA210*BA126+BB210*BB126+BC210*BC126+BD210*BD126+BE210*BE126+BF210*BF126+BG210*BG126+BH210*BH126+BI210*BI126+BJ210*BJ126+BK210*BK126+BL210*BL126+BM210*BM126+BN210*BN126+BO210*BO126+BP210*BP126+BQ210*BQ126+BR210*BR126+BS210*BS126+BT210*BT126+BU210*BU126+BV210*BV126+BW210*BW126+BX210*BX126+BY210*BY126+BZ210*BZ126+CA210*CA126+CB210*CB126+CC210*CC126+CD210*CD126+CE210*CE126+CF210*CF126+CG210*CG126+CH210*CH126</f>
        <v>0</v>
      </c>
      <c r="CL126" s="1950">
        <f>E211*E126+F211*F126+G211*G126+H211*H126+I211*I126+J211*J126+K211*K126+L211*L126+M211*M126+N211*N126+O211*O126+P211*P126+Q211*Q126+R211*R126+S211*S126+T211*T126+U211*U126+V211*V126+W211*W126+X211*X126+Y211*Y126+Z211*Z126+AA211*AA126+AB211*AB126+AC211*AC126+AD211*AD126+AE211*AE126+AF211*AF126+AG211*AG126+AH211*AH126+AI211*AI126+AJ211*AJ126+AK211*AK126+AL211*AL126+AM211*AM126+AN211*AN126+AO211*AO126+AP211*AP126+AQ211*AQ126+AR211*AR126+AS211*AS126+AT211*AT126+AU211*AU126+AV211*AV126+AW211*AW126+AX211*AX126+AY211*AY126+AZ211*AZ126+BA211*BA126+BB211*BB126+BC211*BC126+BD211*BD126+BE211*BE126+BF211*BF126+BG211*BG126+BH211*BH126+BI211*BI126+BJ211*BJ126+BK211*BK126+BL211*BL126+BM211*BM126+BN211*BN126+BO211*BO126+BP211*BP126+BQ211*BQ126+BR211*BR126+BS211*BS126+BT211*BT126+BU211*BU126+BV211*BV126+BW211*BW126+BX211*BX126+BY211*BY126+BZ211*BZ126+CA211*CA126+CB211*CB126+CC211*CC126+CD211*CD126+CE211*CE126+CF211*CF126+CG211*CG126+CH211*CH126</f>
        <v>6.9388939039072284E-18</v>
      </c>
      <c r="CM126" s="1951">
        <f>E212*E126+F212*F126+G212*G126+H212*H126+I212*I126+J212*J126+K212*K126+L212*L126+M212*M126+N212*N126+O212*O126+P212*P126+Q212*Q126+R212*R126+S212*S126+T212*T126+U212*U126+V212*V126+W212*W126+X212*X126+Y212*Y126+Z212*Z126+AA212*AA126+AB212*AB126+AC212*AC126+AD212*AD126+AE212*AE126+AF212*AF126+AG212*AG126+AH212*AH126+AI212*AI126+AJ212*AJ126+AK212*AK126+AL212*AL126+AM212*AM126+AN212*AN126+AO212*AO126+AP212*AP126+AQ212*AQ126+AR212*AR126+AS212*AS126+AT212*AT126+AU212*AU126+AV212*AV126+AW212*AW126+AX212*AX126+AY212*AY126+AZ212*AZ126+BA212*BA126+BB212*BB126+BC212*BC126+BD212*BD126+BE212*BE126+BF212*BF126+BG212*BG126+BH212*BH126+BI212*BI126+BJ212*BJ126+BK212*BK126+BL212*BL126+BM212*BM126+BN212*BN126+BO212*BO126+BP212*BP126+BQ212*BQ126+BR212*BR126+BS212*BS126+BT212*BT126+BU212*BU126+BV212*BV126+BW212*BW126+BX212*BX126+BY212*BY126+BZ212*BZ126+CA212*CA126+CB212*CB126+CC212*CC126+CD212*CD126+CE212*CE126+CF212*CF126+CG212*CG126+CH212*CH126</f>
        <v>0</v>
      </c>
      <c r="CN126" s="1952">
        <f>E213*E126+F213*F126+G213*G126+H213*H126+I213*I126+J213*J126+K213*K126+L213*L126+M213*M126+N213*N126+O213*O126+P213*P126+Q213*Q126+R213*R126+S213*S126+T213*T126+U213*U126+V213*V126+W213*W126+X213*X126+Y213*Y126+Z213*Z126+AA213*AA126+AB213*AB126+AC213*AC126+AD213*AD126+AE213*AE126+AF213*AF126+AG213*AG126+AH213*AH126+AI213*AI126+AJ213*AJ126+AK213*AK126+AL213*AL126+AM213*AM126+AN213*AN126+AO213*AO126+AP213*AP126+AQ213*AQ126+AR213*AR126+AS213*AS126+AT213*AT126+AU213*AU126+AV213*AV126+AW213*AW126+AX213*AX126+AY213*AY126+AZ213*AZ126+BA213*BA126+BB213*BB126+BC213*BC126+BD213*BD126+BE213*BE126+BF213*BF126+BG213*BG126+BH213*BH126+BI213*BI126+BJ213*BJ126+BK213*BK126+BL213*BL126+BM213*BM126+BN213*BN126+BO213*BO126+BP213*BP126+BQ213*BQ126+BR213*BR126+BS213*BS126+BT213*BT126+BU213*BU126+BV213*BV126+BW213*BW126+BX213*BX126+BY213*BY126+BZ213*BZ126+CA213*CA126+CB213*CB126+CC213*CC126+CD213*CD126+CE213*CE126+CF213*CF126+CG213*CG126+CH213*CH126</f>
        <v>0</v>
      </c>
      <c r="CO126" s="1952">
        <f>E214*E126+F214*F126+G214*G126+H214*H126+I214*I126+J214*J126+K214*K126+L214*L126+M214*M126+N214*N126+O214*O126+P214*P126+Q214*Q126+R214*R126+S214*S126+T214*T126+U214*U126+V214*V126+W214*W126+X214*X126+Y214*Y126+Z214*Z126+AA214*AA126+AB214*AB126+AC214*AC126+AD214*AD126+AE214*AE126+AF214*AF126+AG214*AG126+AH214*AH126+AI214*AI126+AJ214*AJ126+AK214*AK126+AL214*AL126+AM214*AM126+AN214*AN126+AO214*AO126+AP214*AP126+AQ214*AQ126+AR214*AR126+AS214*AS126+AT214*AT126+AU214*AU126+AV214*AV126+AW214*AW126+AX214*AX126+AY214*AY126+AZ214*AZ126+BA214*BA126+BB214*BB126+BC214*BC126+BD214*BD126+BE214*BE126+BF214*BF126+BG214*BG126+BH214*BH126+BI214*BI126+BJ214*BJ126+BK214*BK126+BL214*BL126+BM214*BM126+BN214*BN126+BO214*BO126+BP214*BP126+BQ214*BQ126+BR214*BR126+BS214*BS126+BT214*BT126+BU214*BU126+BV214*BV126+BW214*BW126+BX214*BX126+BY214*BY126+BZ214*BZ126+CA214*CA126+CB214*CB126+CC214*CC126+CD214*CD126+CE214*CE126+CF214*CF126+CG214*CG126+CH214*CH126</f>
        <v>0</v>
      </c>
      <c r="CP126" s="1952">
        <f>E215*E126+F215*F126+G215*G126+H215*H126+I215*I126+J215*J126+K215*K126+L215*L126+M215*M126+N215*N126+O215*O126+P215*P126+Q215*Q126+R215*R126+S215*S126+T215*T126+U215*U126+V215*V126+W215*W126+X215*X126+Y215*Y126+Z215*Z126+AA215*AA126+AB215*AB126+AC215*AC126+AD215*AD126+AE215*AE126+AF215*AF126+AG215*AG126+AH215*AH126+AI215*AI126+AJ215*AJ126+AK215*AK126+AL215*AL126+AM215*AM126+AN215*AN126+AO215*AO126+AP215*AP126+AQ215*AQ126+AR215*AR126+AS215*AS126+AT215*AT126+AU215*AU126+AV215*AV126+AW215*AW126+AX215*AX126+AY215*AY126+AZ215*AZ126+BA215*BA126+BB215*BB126+BC215*BC126+BD215*BD126+BE215*BE126+BF215*BF126+BG215*BG126+BH215*BH126+BI215*BI126+BJ215*BJ126+BK215*BK126+BL215*BL126+BM215*BM126+BN215*BN126+BO215*BO126+BP215*BP126+BQ215*BQ126+BR215*BR126+BS215*BS126+BT215*BT126+BU215*BU126+BV215*BV126+BW215*BW126+BX215*BX126+BY215*BY126+BZ215*BZ126+CA215*CA126+CB215*CB126+CC215*CC126+CD215*CD126+CE215*CE126+CF215*CF126+CG215*CG126+CH215*CH126</f>
        <v>0</v>
      </c>
      <c r="CQ126" s="1952">
        <f>E216*E126+F216*F126+G216*G126+H216*H126+I216*I126+J216*J126+K216*K126+L216*L126+M216*M126+N216*N126+O216*O126+P216*P126+Q216*Q126+R216*R126+S216*S126+T216*T126+U216*U126+V216*V126+W216*W126+X216*X126+Y216*Y126+Z216*Z126+AA216*AA126+AB216*AB126+AC216*AC126+AD216*AD126+AE216*AE126+AF216*AF126+AG216*AG126+AH216*AH126+AI216*AI126+AJ216*AJ126+AK216*AK126+AL216*AL126+AM216*AM126+AN216*AN126+AO216*AO126+AP216*AP126+AQ216*AQ126+AR216*AR126+AS216*AS126+AT216*AT126+AU216*AU126+AV216*AV126+AW216*AW126+AX216*AX126+AY216*AY126+AZ216*AZ126+BA216*BA126+BB216*BB126+BC216*BC126+BD216*BD126+BE216*BE126+BF216*BF126+BG216*BG126+BH216*BH126+BI216*BI126+BJ216*BJ126+BK216*BK126+BL216*BL126+BM216*BM126+BN216*BN126+BO216*BO126+BP216*BP126+BQ216*BQ126+BR216*BR126+BS216*BS126+BT216*BT126+BU216*BU126+BV216*BV126+BW216*BW126+BX216*BX126+BY216*BY126+BZ216*BZ126+CA216*CA126+CB216*CB126+CC216*CC126+CD216*CD126+CE216*CE126+CF216*CF126+CG216*CG126+CH216*CH126</f>
        <v>0</v>
      </c>
      <c r="CR126" s="1952">
        <f>E217*E126+F217*F126+G217*G126+H217*H126+I217*I126+J217*J126+K217*K126+L217*L126+M217*M126+N217*N126+O217*O126+P217*P126+Q217*Q126+R217*R126+S217*S126+T217*T126+U217*U126+V217*V126+W217*W126+X217*X126+Y217*Y126+Z217*Z126+AA217*AA126+AB217*AB126+AC217*AC126+AD217*AD126+AE217*AE126+AF217*AF126+AG217*AG126+AH217*AH126+AI217*AI126+AJ217*AJ126+AK217*AK126+AL217*AL126+AM217*AM126+AN217*AN126+AO217*AO126+AP217*AP126+AQ217*AQ126+AR217*AR126+AS217*AS126+AT217*AT126+AU217*AU126+AV217*AV126+AW217*AW126+AX217*AX126+AY217*AY126+AZ217*AZ126+BA217*BA126+BB217*BB126+BC217*BC126+BD217*BD126+BE217*BE126+BF217*BF126+BG217*BG126+BH217*BH126+BI217*BI126+BJ217*BJ126+BK217*BK126+BL217*BL126+BM217*BM126+BN217*BN126+BO217*BO126+BP217*BP126+BQ217*BQ126+BR217*BR126+BS217*BS126+BT217*BT126+BU217*BU126+BV217*BV126+BW217*BW126+BX217*BX126+BY217*BY126+BZ217*BZ126+CA217*CA126+CB217*CB126+CC217*CC126+CD217*CD126+CE217*CE126+CF217*CF126+CG217*CG126+CH217*CH126</f>
        <v>0</v>
      </c>
      <c r="CS126" s="1952">
        <f>E218*E126+F218*F126+G218*G126+H218*H126+I218*I126+J218*J126+K218*K126+L218*L126+M218*M126+N218*N126+O218*O126+P218*P126+Q218*Q126+R218*R126+S218*S126+T218*T126+U218*U126+V218*V126+W218*W126+X218*X126+Y218*Y126+Z218*Z126+AA218*AA126+AB218*AB126+AC218*AC126+AD218*AD126+AE218*AE126+AF218*AF126+AG218*AG126+AH218*AH126+AI218*AI126+AJ218*AJ126+AK218*AK126+AL218*AL126+AM218*AM126+AN218*AN126+AO218*AO126+AP218*AP126+AQ218*AQ126+AR218*AR126+AS218*AS126+AT218*AT126+AU218*AU126+AV218*AV126+AW218*AW126+AX218*AX126+AY218*AY126+AZ218*AZ126+BA218*BA126+BB218*BB126+BC218*BC126+BD218*BD126+BE218*BE126+BF218*BF126+BG218*BG126+BH218*BH126+BI218*BI126+BJ218*BJ126+BK218*BK126+BL218*BL126+BM218*BM126+BN218*BN126+BO218*BO126+BP218*BP126+BQ218*BQ126+BR218*BR126+BS218*BS126+BT218*BT126+BU218*BU126+BV218*BV126+BW218*BW126+BX218*BX126+BY218*BY126+BZ218*BZ126+CA218*CA126+CB218*CB126+CC218*CC126+CD218*CD126+CE218*CE126+CF218*CF126+CG218*CG126+CH218*CH126</f>
        <v>0</v>
      </c>
      <c r="CT126" s="1952">
        <f>E219*E126+F219*F126+G219*G126+H219*H126+I219*I126+J219*J126+K219*K126+L219*L126+M219*M126+N219*N126+O219*O126+P219*P126+Q219*Q126+R219*R126+S219*S126+T219*T126+U219*U126+V219*V126+W219*W126+X219*X126+Y219*Y126+Z219*Z126+AA219*AA126+AB219*AB126+AC219*AC126+AD219*AD126+AE219*AE126+AF219*AF126+AG219*AG126+AH219*AH126+AI219*AI126+AJ219*AJ126+AK219*AK126+AL219*AL126+AM219*AM126+AN219*AN126+AO219*AO126+AP219*AP126+AQ219*AQ126+AR219*AR126+AS219*AS126+AT219*AT126+AU219*AU126+AV219*AV126+AW219*AW126+AX219*AX126+AY219*AY126+AZ219*AZ126+BA219*BA126+BB219*BB126+BC219*BC126+BD219*BD126+BE219*BE126+BF219*BF126+BG219*BG126+BH219*BH126+BI219*BI126+BJ219*BJ126+BK219*BK126+BL219*BL126+BM219*BM126+BN219*BN126+BO219*BO126+BP219*BP126+BQ219*BQ126+BR219*BR126+BS219*BS126+BT219*BT126+BU219*BU126+BV219*BV126+BW219*BW126+BX219*BX126+BY219*BY126+BZ219*BZ126+CA219*CA126+CB219*CB126+CC219*CC126+CD219*CD126+CE219*CE126+CF219*CF126+CG219*CG126+CH219*CH126</f>
        <v>0</v>
      </c>
      <c r="CU126" s="1952">
        <f>E220*E126+F220*F126+G220*G126+H220*H126+I220*I126+J220*J126+K220*K126+L220*L126+M220*M126+N220*N126+O220*O126+P220*P126+Q220*Q126+R220*R126+S220*S126+T220*T126+U220*U126+V220*V126+W220*W126+X220*X126+Y220*Y126+Z220*Z126+AA220*AA126+AB220*AB126+AC220*AC126+AD220*AD126+AE220*AE126+AF220*AF126+AG220*AG126+AH220*AH126+AI220*AI126+AJ220*AJ126+AK220*AK126+AL220*AL126+AM220*AM126+AN220*AN126+AO220*AO126+AP220*AP126+AQ220*AQ126+AR220*AR126+AS220*AS126+AT220*AT126+AU220*AU126+AV220*AV126+AW220*AW126+AX220*AX126+AY220*AY126+AZ220*AZ126+BA220*BA126+BB220*BB126+BC220*BC126+BD220*BD126+BE220*BE126+BF220*BF126+BG220*BG126+BH220*BH126+BI220*BI126+BJ220*BJ126+BK220*BK126+BL220*BL126+BM220*BM126+BN220*BN126+BO220*BO126+BP220*BP126+BQ220*BQ126+BR220*BR126+BS220*BS126+BT220*BT126+BU220*BU126+BV220*BV126+BW220*BW126+BX220*BX126+BY220*BY126+BZ220*BZ126+CA220*CA126+CB220*CB126+CC220*CC126+CD220*CD126+CE220*CE126+CF220*CF126+CG220*CG126+CH220*CH126</f>
        <v>0</v>
      </c>
    </row>
    <row r="127" spans="2:99" ht="18" x14ac:dyDescent="0.25">
      <c r="B127" s="1033">
        <v>13</v>
      </c>
      <c r="C127" s="1098" t="s">
        <v>235</v>
      </c>
      <c r="D127" s="1099" t="s">
        <v>4723</v>
      </c>
      <c r="E127" s="2057">
        <f>0</f>
        <v>0</v>
      </c>
      <c r="F127" s="2057">
        <f>0</f>
        <v>0</v>
      </c>
      <c r="G127" s="2057">
        <f>0</f>
        <v>0</v>
      </c>
      <c r="H127" s="2057">
        <f>0</f>
        <v>0</v>
      </c>
      <c r="I127" s="2080">
        <f>0</f>
        <v>0</v>
      </c>
      <c r="J127" s="2080">
        <f>0</f>
        <v>0</v>
      </c>
      <c r="K127" s="2057">
        <f>0</f>
        <v>0</v>
      </c>
      <c r="L127" s="2057">
        <f>0</f>
        <v>0</v>
      </c>
      <c r="M127" s="2057">
        <f>0</f>
        <v>0</v>
      </c>
      <c r="N127" s="2058">
        <f>-(X_PHA_PAO/X_STC)/Y_CASTO_STC_ox</f>
        <v>-1.371742112482853</v>
      </c>
      <c r="O127" s="2058">
        <f>-(X_PHA_GAO/X_STC)/Y_CASTO_STC_ox</f>
        <v>-0.20576131687242796</v>
      </c>
      <c r="P127" s="2057">
        <f>0</f>
        <v>0</v>
      </c>
      <c r="Q127" s="2057">
        <f>0</f>
        <v>0</v>
      </c>
      <c r="R127" s="2057">
        <f>0</f>
        <v>0</v>
      </c>
      <c r="S127" s="2057">
        <f>1</f>
        <v>1</v>
      </c>
      <c r="T127" s="2057">
        <f>0</f>
        <v>0</v>
      </c>
      <c r="U127" s="2057">
        <f>0</f>
        <v>0</v>
      </c>
      <c r="V127" s="2057">
        <f>0</f>
        <v>0</v>
      </c>
      <c r="W127" s="2057">
        <f>0</f>
        <v>0</v>
      </c>
      <c r="X127" s="2057">
        <f>0</f>
        <v>0</v>
      </c>
      <c r="Y127" s="2057">
        <f>-i_N_BIO</f>
        <v>-7.0000000000000007E-2</v>
      </c>
      <c r="Z127" s="2057">
        <f>0</f>
        <v>0</v>
      </c>
      <c r="AA127" s="2057">
        <f>0</f>
        <v>0</v>
      </c>
      <c r="AB127" s="2057">
        <f>0</f>
        <v>0</v>
      </c>
      <c r="AC127" s="2080">
        <f>0</f>
        <v>0</v>
      </c>
      <c r="AD127" s="2080">
        <f>0</f>
        <v>0</v>
      </c>
      <c r="AE127" s="2057">
        <f>0</f>
        <v>0</v>
      </c>
      <c r="AF127" s="2058">
        <f>-i_P_BIO</f>
        <v>-0.02</v>
      </c>
      <c r="AG127" s="2057">
        <f>0</f>
        <v>0</v>
      </c>
      <c r="AH127" s="2057">
        <f>0</f>
        <v>0</v>
      </c>
      <c r="AI127" s="2080">
        <f>0</f>
        <v>0</v>
      </c>
      <c r="AJ127" s="2080">
        <f>0</f>
        <v>0</v>
      </c>
      <c r="AK127" s="2057">
        <f>0</f>
        <v>0</v>
      </c>
      <c r="AL127" s="2058">
        <f>-(1-Y_CASTO_STC_ox)/Y_CASTO_STC_ox</f>
        <v>-0.57750342935528098</v>
      </c>
      <c r="AM127" s="2058">
        <f>0</f>
        <v>0</v>
      </c>
      <c r="AN127" s="2058">
        <f>0</f>
        <v>0</v>
      </c>
      <c r="AO127" s="2058">
        <f>(i_CIT_STC/Y_CASTO_STC_ox)-i_CIT_BIO</f>
        <v>0.1733086419753086</v>
      </c>
      <c r="AP127" s="2058">
        <f>i_INORG</f>
        <v>0.11</v>
      </c>
      <c r="AQ127" s="2058">
        <f>-i_INORG*(1-i_Ca_INORG*(A_MCa+2*A_MCl)/A_MCa-i_Mg_INORG*(A_MMg+2*A_MCl)/A_MMg)*f_Na</f>
        <v>-2.8804303582798466E-2</v>
      </c>
      <c r="AR127" s="2058">
        <f>-i_INORG*(i_Ca_INORG*(2*A_MCl)/A_MCa+i_Mg_INORG*(2*A_MCl)/A_MMg)-i_INORG*(1-i_Ca_INORG*(A_MCa+2*A_MCl)/A_MCa-i_Mg_INORG*(A_MMg+2*A_MCl)/A_MMg)*(1-f_Na)</f>
        <v>-7.0195696417201539E-2</v>
      </c>
      <c r="AS127" s="2058">
        <f>-i_INORG*i_Ca_INORG</f>
        <v>-5.5000000000000005E-3</v>
      </c>
      <c r="AT127" s="2058">
        <f>-i_INORG*i_Mg_INORG</f>
        <v>-5.5000000000000005E-3</v>
      </c>
      <c r="AU127" s="2058">
        <f>0</f>
        <v>0</v>
      </c>
      <c r="AV127" s="2058">
        <f>0</f>
        <v>0</v>
      </c>
      <c r="AW127" s="2058">
        <f>0</f>
        <v>0</v>
      </c>
      <c r="AX127" s="2058">
        <f>0</f>
        <v>0</v>
      </c>
      <c r="AY127" s="2058">
        <f>0</f>
        <v>0</v>
      </c>
      <c r="AZ127" s="2058">
        <f>0</f>
        <v>0</v>
      </c>
      <c r="BA127" s="2058">
        <f>0</f>
        <v>0</v>
      </c>
      <c r="BB127" s="2058">
        <f>0</f>
        <v>0</v>
      </c>
      <c r="BC127" s="2058">
        <f>0</f>
        <v>0</v>
      </c>
      <c r="BD127" s="2058">
        <f>0</f>
        <v>0</v>
      </c>
      <c r="BE127" s="2058">
        <f>0</f>
        <v>0</v>
      </c>
      <c r="BF127" s="2058">
        <f>0</f>
        <v>0</v>
      </c>
      <c r="BG127" s="2058">
        <f>0</f>
        <v>0</v>
      </c>
      <c r="BH127" s="2058">
        <f>0</f>
        <v>0</v>
      </c>
      <c r="BI127" s="2058">
        <f>0</f>
        <v>0</v>
      </c>
      <c r="BJ127" s="2058">
        <f>0</f>
        <v>0</v>
      </c>
      <c r="BK127" s="2058">
        <f>0</f>
        <v>0</v>
      </c>
      <c r="BL127" s="2058">
        <f>0</f>
        <v>0</v>
      </c>
      <c r="BM127" s="2058">
        <f>0</f>
        <v>0</v>
      </c>
      <c r="BN127" s="2058">
        <f>0</f>
        <v>0</v>
      </c>
      <c r="BO127" s="2058">
        <f>0</f>
        <v>0</v>
      </c>
      <c r="BP127" s="2112">
        <f>0</f>
        <v>0</v>
      </c>
      <c r="BQ127" s="2112">
        <f>0</f>
        <v>0</v>
      </c>
      <c r="BR127" s="2112">
        <f>0</f>
        <v>0</v>
      </c>
      <c r="BS127" s="2112">
        <f>0</f>
        <v>0</v>
      </c>
      <c r="BT127" s="2058">
        <f>0</f>
        <v>0</v>
      </c>
      <c r="BU127" s="2058">
        <f>0</f>
        <v>0</v>
      </c>
      <c r="BV127" s="2058">
        <f>0</f>
        <v>0</v>
      </c>
      <c r="BW127" s="2058">
        <f>0</f>
        <v>0</v>
      </c>
      <c r="BX127" s="2058">
        <f>0</f>
        <v>0</v>
      </c>
      <c r="BY127" s="2058">
        <f>0</f>
        <v>0</v>
      </c>
      <c r="BZ127" s="2058">
        <f>0</f>
        <v>0</v>
      </c>
      <c r="CA127" s="2058">
        <f>0</f>
        <v>0</v>
      </c>
      <c r="CB127" s="2058">
        <f>0</f>
        <v>0</v>
      </c>
      <c r="CC127" s="2058">
        <f>0</f>
        <v>0</v>
      </c>
      <c r="CD127" s="2058">
        <f>0</f>
        <v>0</v>
      </c>
      <c r="CE127" s="2058">
        <f>0</f>
        <v>0</v>
      </c>
      <c r="CF127" s="2058">
        <f>0</f>
        <v>0</v>
      </c>
      <c r="CG127" s="2058">
        <f>0</f>
        <v>0</v>
      </c>
      <c r="CH127" s="2058">
        <f>0</f>
        <v>0</v>
      </c>
      <c r="CI127" s="2139">
        <f>µ_CASTO_T*X_CASTO*M_RsatXSTC_XCASTO_KSTC*M_satSO2_KO2_CASTO*M_satSNHx_KNHx_BIO*M_satSPO4_KPO4_BIO*M_satSCAT_KCAT*M_satSAN_KAN*M_satSCa_KCa_PAO*M_satSMg_KMg_PAO*B_ellinhpH</f>
        <v>151.76849076728641</v>
      </c>
      <c r="CK127" s="1950">
        <f>E210*E127+F210*F127+G210*G127+H210*H127+I210*I127+J210*J127+K210*K127+L210*L127+M210*M127+N210*N127+O210*O127+P210*P127+Q210*Q127+R210*R127+S210*S127+T210*T127+U210*U127+V210*V127+W210*W127+X210*X127+Y210*Y127+Z210*Z127+AA210*AA127+AB210*AB127+AC210*AC127+AD210*AD127+AE210*AE127+AF210*AF127+AG210*AG127+AH210*AH127+AI210*AI127+AJ210*AJ127+AK210*AK127+AL210*AL127+AM210*AM127+AN210*AN127+AO210*AO127+AP210*AP127+AQ210*AQ127+AR210*AR127+AS210*AS127+AT210*AT127+AU210*AU127+AV210*AV127+AW210*AW127+AX210*AX127+AY210*AY127+AZ210*AZ127+BA210*BA127+BB210*BB127+BC210*BC127+BD210*BD127+BE210*BE127+BF210*BF127+BG210*BG127+BH210*BH127+BI210*BI127+BJ210*BJ127+BK210*BK127+BL210*BL127+BM210*BM127+BN210*BN127+BO210*BO127+BP210*BP127+BQ210*BQ127+BR210*BR127+BS210*BS127+BT210*BT127+BU210*BU127+BV210*BV127+BW210*BW127+BX210*BX127+BY210*BY127+BZ210*BZ127+CA210*CA127+CB210*CB127+CC210*CC127+CD210*CD127+CE210*CE127+CF210*CF127+CG210*CG127+CH210*CH127</f>
        <v>0</v>
      </c>
      <c r="CL127" s="1950">
        <f>E211*E127+F211*F127+G211*G127+H211*H127+I211*I127+J211*J127+K211*K127+L211*L127+M211*M127+N211*N127+O211*O127+P211*P127+Q211*Q127+R211*R127+S211*S127+T211*T127+U211*U127+V211*V127+W211*W127+X211*X127+Y211*Y127+Z211*Z127+AA211*AA127+AB211*AB127+AC211*AC127+AD211*AD127+AE211*AE127+AF211*AF127+AG211*AG127+AH211*AH127+AI211*AI127+AJ211*AJ127+AK211*AK127+AL211*AL127+AM211*AM127+AN211*AN127+AO211*AO127+AP211*AP127+AQ211*AQ127+AR211*AR127+AS211*AS127+AT211*AT127+AU211*AU127+AV211*AV127+AW211*AW127+AX211*AX127+AY211*AY127+AZ211*AZ127+BA211*BA127+BB211*BB127+BC211*BC127+BD211*BD127+BE211*BE127+BF211*BF127+BG211*BG127+BH211*BH127+BI211*BI127+BJ211*BJ127+BK211*BK127+BL211*BL127+BM211*BM127+BN211*BN127+BO211*BO127+BP211*BP127+BQ211*BQ127+BR211*BR127+BS211*BS127+BT211*BT127+BU211*BU127+BV211*BV127+BW211*BW127+BX211*BX127+BY211*BY127+BZ211*BZ127+CA211*CA127+CB211*CB127+CC211*CC127+CD211*CD127+CE211*CE127+CF211*CF127+CG211*CG127+CH211*CH127</f>
        <v>0</v>
      </c>
      <c r="CM127" s="1951">
        <f>E212*E127+F212*F127+G212*G127+H212*H127+I212*I127+J212*J127+K212*K127+L212*L127+M212*M127+N212*N127+O212*O127+P212*P127+Q212*Q127+R212*R127+S212*S127+T212*T127+U212*U127+V212*V127+W212*W127+X212*X127+Y212*Y127+Z212*Z127+AA212*AA127+AB212*AB127+AC212*AC127+AD212*AD127+AE212*AE127+AF212*AF127+AG212*AG127+AH212*AH127+AI212*AI127+AJ212*AJ127+AK212*AK127+AL212*AL127+AM212*AM127+AN212*AN127+AO212*AO127+AP212*AP127+AQ212*AQ127+AR212*AR127+AS212*AS127+AT212*AT127+AU212*AU127+AV212*AV127+AW212*AW127+AX212*AX127+AY212*AY127+AZ212*AZ127+BA212*BA127+BB212*BB127+BC212*BC127+BD212*BD127+BE212*BE127+BF212*BF127+BG212*BG127+BH212*BH127+BI212*BI127+BJ212*BJ127+BK212*BK127+BL212*BL127+BM212*BM127+BN212*BN127+BO212*BO127+BP212*BP127+BQ212*BQ127+BR212*BR127+BS212*BS127+BT212*BT127+BU212*BU127+BV212*BV127+BW212*BW127+BX212*BX127+BY212*BY127+BZ212*BZ127+CA212*CA127+CB212*CB127+CC212*CC127+CD212*CD127+CE212*CE127+CF212*CF127+CG212*CG127+CH212*CH127</f>
        <v>0</v>
      </c>
      <c r="CN127" s="1952">
        <f>E213*E127+F213*F127+G213*G127+H213*H127+I213*I127+J213*J127+K213*K127+L213*L127+M213*M127+N213*N127+O213*O127+P213*P127+Q213*Q127+R213*R127+S213*S127+T213*T127+U213*U127+V213*V127+W213*W127+X213*X127+Y213*Y127+Z213*Z127+AA213*AA127+AB213*AB127+AC213*AC127+AD213*AD127+AE213*AE127+AF213*AF127+AG213*AG127+AH213*AH127+AI213*AI127+AJ213*AJ127+AK213*AK127+AL213*AL127+AM213*AM127+AN213*AN127+AO213*AO127+AP213*AP127+AQ213*AQ127+AR213*AR127+AS213*AS127+AT213*AT127+AU213*AU127+AV213*AV127+AW213*AW127+AX213*AX127+AY213*AY127+AZ213*AZ127+BA213*BA127+BB213*BB127+BC213*BC127+BD213*BD127+BE213*BE127+BF213*BF127+BG213*BG127+BH213*BH127+BI213*BI127+BJ213*BJ127+BK213*BK127+BL213*BL127+BM213*BM127+BN213*BN127+BO213*BO127+BP213*BP127+BQ213*BQ127+BR213*BR127+BS213*BS127+BT213*BT127+BU213*BU127+BV213*BV127+BW213*BW127+BX213*BX127+BY213*BY127+BZ213*BZ127+CA213*CA127+CB213*CB127+CC213*CC127+CD213*CD127+CE213*CE127+CF213*CF127+CG213*CG127+CH213*CH127</f>
        <v>0</v>
      </c>
      <c r="CO127" s="1952">
        <f>E214*E127+F214*F127+G214*G127+H214*H127+I214*I127+J214*J127+K214*K127+L214*L127+M214*M127+N214*N127+O214*O127+P214*P127+Q214*Q127+R214*R127+S214*S127+T214*T127+U214*U127+V214*V127+W214*W127+X214*X127+Y214*Y127+Z214*Z127+AA214*AA127+AB214*AB127+AC214*AC127+AD214*AD127+AE214*AE127+AF214*AF127+AG214*AG127+AH214*AH127+AI214*AI127+AJ214*AJ127+AK214*AK127+AL214*AL127+AM214*AM127+AN214*AN127+AO214*AO127+AP214*AP127+AQ214*AQ127+AR214*AR127+AS214*AS127+AT214*AT127+AU214*AU127+AV214*AV127+AW214*AW127+AX214*AX127+AY214*AY127+AZ214*AZ127+BA214*BA127+BB214*BB127+BC214*BC127+BD214*BD127+BE214*BE127+BF214*BF127+BG214*BG127+BH214*BH127+BI214*BI127+BJ214*BJ127+BK214*BK127+BL214*BL127+BM214*BM127+BN214*BN127+BO214*BO127+BP214*BP127+BQ214*BQ127+BR214*BR127+BS214*BS127+BT214*BT127+BU214*BU127+BV214*BV127+BW214*BW127+BX214*BX127+BY214*BY127+BZ214*BZ127+CA214*CA127+CB214*CB127+CC214*CC127+CD214*CD127+CE214*CE127+CF214*CF127+CG214*CG127+CH214*CH127</f>
        <v>0</v>
      </c>
      <c r="CP127" s="1952">
        <f>E215*E127+F215*F127+G215*G127+H215*H127+I215*I127+J215*J127+K215*K127+L215*L127+M215*M127+N215*N127+O215*O127+P215*P127+Q215*Q127+R215*R127+S215*S127+T215*T127+U215*U127+V215*V127+W215*W127+X215*X127+Y215*Y127+Z215*Z127+AA215*AA127+AB215*AB127+AC215*AC127+AD215*AD127+AE215*AE127+AF215*AF127+AG215*AG127+AH215*AH127+AI215*AI127+AJ215*AJ127+AK215*AK127+AL215*AL127+AM215*AM127+AN215*AN127+AO215*AO127+AP215*AP127+AQ215*AQ127+AR215*AR127+AS215*AS127+AT215*AT127+AU215*AU127+AV215*AV127+AW215*AW127+AX215*AX127+AY215*AY127+AZ215*AZ127+BA215*BA127+BB215*BB127+BC215*BC127+BD215*BD127+BE215*BE127+BF215*BF127+BG215*BG127+BH215*BH127+BI215*BI127+BJ215*BJ127+BK215*BK127+BL215*BL127+BM215*BM127+BN215*BN127+BO215*BO127+BP215*BP127+BQ215*BQ127+BR215*BR127+BS215*BS127+BT215*BT127+BU215*BU127+BV215*BV127+BW215*BW127+BX215*BX127+BY215*BY127+BZ215*BZ127+CA215*CA127+CB215*CB127+CC215*CC127+CD215*CD127+CE215*CE127+CF215*CF127+CG215*CG127+CH215*CH127</f>
        <v>0</v>
      </c>
      <c r="CQ127" s="1952">
        <f>E216*E127+F216*F127+G216*G127+H216*H127+I216*I127+J216*J127+K216*K127+L216*L127+M216*M127+N216*N127+O216*O127+P216*P127+Q216*Q127+R216*R127+S216*S127+T216*T127+U216*U127+V216*V127+W216*W127+X216*X127+Y216*Y127+Z216*Z127+AA216*AA127+AB216*AB127+AC216*AC127+AD216*AD127+AE216*AE127+AF216*AF127+AG216*AG127+AH216*AH127+AI216*AI127+AJ216*AJ127+AK216*AK127+AL216*AL127+AM216*AM127+AN216*AN127+AO216*AO127+AP216*AP127+AQ216*AQ127+AR216*AR127+AS216*AS127+AT216*AT127+AU216*AU127+AV216*AV127+AW216*AW127+AX216*AX127+AY216*AY127+AZ216*AZ127+BA216*BA127+BB216*BB127+BC216*BC127+BD216*BD127+BE216*BE127+BF216*BF127+BG216*BG127+BH216*BH127+BI216*BI127+BJ216*BJ127+BK216*BK127+BL216*BL127+BM216*BM127+BN216*BN127+BO216*BO127+BP216*BP127+BQ216*BQ127+BR216*BR127+BS216*BS127+BT216*BT127+BU216*BU127+BV216*BV127+BW216*BW127+BX216*BX127+BY216*BY127+BZ216*BZ127+CA216*CA127+CB216*CB127+CC216*CC127+CD216*CD127+CE216*CE127+CF216*CF127+CG216*CG127+CH216*CH127</f>
        <v>0</v>
      </c>
      <c r="CR127" s="1952">
        <f>E217*E127+F217*F127+G217*G127+H217*H127+I217*I127+J217*J127+K217*K127+L217*L127+M217*M127+N217*N127+O217*O127+P217*P127+Q217*Q127+R217*R127+S217*S127+T217*T127+U217*U127+V217*V127+W217*W127+X217*X127+Y217*Y127+Z217*Z127+AA217*AA127+AB217*AB127+AC217*AC127+AD217*AD127+AE217*AE127+AF217*AF127+AG217*AG127+AH217*AH127+AI217*AI127+AJ217*AJ127+AK217*AK127+AL217*AL127+AM217*AM127+AN217*AN127+AO217*AO127+AP217*AP127+AQ217*AQ127+AR217*AR127+AS217*AS127+AT217*AT127+AU217*AU127+AV217*AV127+AW217*AW127+AX217*AX127+AY217*AY127+AZ217*AZ127+BA217*BA127+BB217*BB127+BC217*BC127+BD217*BD127+BE217*BE127+BF217*BF127+BG217*BG127+BH217*BH127+BI217*BI127+BJ217*BJ127+BK217*BK127+BL217*BL127+BM217*BM127+BN217*BN127+BO217*BO127+BP217*BP127+BQ217*BQ127+BR217*BR127+BS217*BS127+BT217*BT127+BU217*BU127+BV217*BV127+BW217*BW127+BX217*BX127+BY217*BY127+BZ217*BZ127+CA217*CA127+CB217*CB127+CC217*CC127+CD217*CD127+CE217*CE127+CF217*CF127+CG217*CG127+CH217*CH127</f>
        <v>0</v>
      </c>
      <c r="CS127" s="1952">
        <f>E218*E127+F218*F127+G218*G127+H218*H127+I218*I127+J218*J127+K218*K127+L218*L127+M218*M127+N218*N127+O218*O127+P218*P127+Q218*Q127+R218*R127+S218*S127+T218*T127+U218*U127+V218*V127+W218*W127+X218*X127+Y218*Y127+Z218*Z127+AA218*AA127+AB218*AB127+AC218*AC127+AD218*AD127+AE218*AE127+AF218*AF127+AG218*AG127+AH218*AH127+AI218*AI127+AJ218*AJ127+AK218*AK127+AL218*AL127+AM218*AM127+AN218*AN127+AO218*AO127+AP218*AP127+AQ218*AQ127+AR218*AR127+AS218*AS127+AT218*AT127+AU218*AU127+AV218*AV127+AW218*AW127+AX218*AX127+AY218*AY127+AZ218*AZ127+BA218*BA127+BB218*BB127+BC218*BC127+BD218*BD127+BE218*BE127+BF218*BF127+BG218*BG127+BH218*BH127+BI218*BI127+BJ218*BJ127+BK218*BK127+BL218*BL127+BM218*BM127+BN218*BN127+BO218*BO127+BP218*BP127+BQ218*BQ127+BR218*BR127+BS218*BS127+BT218*BT127+BU218*BU127+BV218*BV127+BW218*BW127+BX218*BX127+BY218*BY127+BZ218*BZ127+CA218*CA127+CB218*CB127+CC218*CC127+CD218*CD127+CE218*CE127+CF218*CF127+CG218*CG127+CH218*CH127</f>
        <v>0</v>
      </c>
      <c r="CT127" s="1952">
        <f>E219*E127+F219*F127+G219*G127+H219*H127+I219*I127+J219*J127+K219*K127+L219*L127+M219*M127+N219*N127+O219*O127+P219*P127+Q219*Q127+R219*R127+S219*S127+T219*T127+U219*U127+V219*V127+W219*W127+X219*X127+Y219*Y127+Z219*Z127+AA219*AA127+AB219*AB127+AC219*AC127+AD219*AD127+AE219*AE127+AF219*AF127+AG219*AG127+AH219*AH127+AI219*AI127+AJ219*AJ127+AK219*AK127+AL219*AL127+AM219*AM127+AN219*AN127+AO219*AO127+AP219*AP127+AQ219*AQ127+AR219*AR127+AS219*AS127+AT219*AT127+AU219*AU127+AV219*AV127+AW219*AW127+AX219*AX127+AY219*AY127+AZ219*AZ127+BA219*BA127+BB219*BB127+BC219*BC127+BD219*BD127+BE219*BE127+BF219*BF127+BG219*BG127+BH219*BH127+BI219*BI127+BJ219*BJ127+BK219*BK127+BL219*BL127+BM219*BM127+BN219*BN127+BO219*BO127+BP219*BP127+BQ219*BQ127+BR219*BR127+BS219*BS127+BT219*BT127+BU219*BU127+BV219*BV127+BW219*BW127+BX219*BX127+BY219*BY127+BZ219*BZ127+CA219*CA127+CB219*CB127+CC219*CC127+CD219*CD127+CE219*CE127+CF219*CF127+CG219*CG127+CH219*CH127</f>
        <v>0</v>
      </c>
      <c r="CU127" s="1952">
        <f>E220*E127+F220*F127+G220*G127+H220*H127+I220*I127+J220*J127+K220*K127+L220*L127+M220*M127+N220*N127+O220*O127+P220*P127+Q220*Q127+R220*R127+S220*S127+T220*T127+U220*U127+V220*V127+W220*W127+X220*X127+Y220*Y127+Z220*Z127+AA220*AA127+AB220*AB127+AC220*AC127+AD220*AD127+AE220*AE127+AF220*AF127+AG220*AG127+AH220*AH127+AI220*AI127+AJ220*AJ127+AK220*AK127+AL220*AL127+AM220*AM127+AN220*AN127+AO220*AO127+AP220*AP127+AQ220*AQ127+AR220*AR127+AS220*AS127+AT220*AT127+AU220*AU127+AV220*AV127+AW220*AW127+AX220*AX127+AY220*AY127+AZ220*AZ127+BA220*BA127+BB220*BB127+BC220*BC127+BD220*BD127+BE220*BE127+BF220*BF127+BG220*BG127+BH220*BH127+BI220*BI127+BJ220*BJ127+BK220*BK127+BL220*BL127+BM220*BM127+BN220*BN127+BO220*BO127+BP220*BP127+BQ220*BQ127+BR220*BR127+BS220*BS127+BT220*BT127+BU220*BU127+BV220*BV127+BW220*BW127+BX220*BX127+BY220*BY127+BZ220*BZ127+CA220*CA127+CB220*CB127+CC220*CC127+CD220*CD127+CE220*CE127+CF220*CF127+CG220*CG127+CH220*CH127</f>
        <v>0</v>
      </c>
    </row>
    <row r="128" spans="2:99" ht="18" x14ac:dyDescent="0.25">
      <c r="B128" s="1033">
        <v>14</v>
      </c>
      <c r="C128" s="1098" t="s">
        <v>236</v>
      </c>
      <c r="D128" s="1099" t="s">
        <v>4724</v>
      </c>
      <c r="E128" s="2057">
        <f>0</f>
        <v>0</v>
      </c>
      <c r="F128" s="2057">
        <f>0</f>
        <v>0</v>
      </c>
      <c r="G128" s="2057">
        <f>0</f>
        <v>0</v>
      </c>
      <c r="H128" s="2057">
        <f>0</f>
        <v>0</v>
      </c>
      <c r="I128" s="2080">
        <f>0</f>
        <v>0</v>
      </c>
      <c r="J128" s="2080">
        <f>0</f>
        <v>0</v>
      </c>
      <c r="K128" s="2057">
        <f>0</f>
        <v>0</v>
      </c>
      <c r="L128" s="2057">
        <f>0</f>
        <v>0</v>
      </c>
      <c r="M128" s="2057">
        <f>0</f>
        <v>0</v>
      </c>
      <c r="N128" s="2058">
        <f>-(X_PHA_PAO/X_STC)/Y_CASTO_STC_anox</f>
        <v>-1.680672268907563</v>
      </c>
      <c r="O128" s="2058">
        <f>-(X_PHA_GAO/X_STC)/Y_CASTO_STC_anox</f>
        <v>-0.25210084033613445</v>
      </c>
      <c r="P128" s="2057">
        <f>0</f>
        <v>0</v>
      </c>
      <c r="Q128" s="2057">
        <f>0</f>
        <v>0</v>
      </c>
      <c r="R128" s="2057">
        <f>0</f>
        <v>0</v>
      </c>
      <c r="S128" s="2057">
        <f>1</f>
        <v>1</v>
      </c>
      <c r="T128" s="2057">
        <f>0</f>
        <v>0</v>
      </c>
      <c r="U128" s="2057">
        <f>0</f>
        <v>0</v>
      </c>
      <c r="V128" s="2057">
        <f>0</f>
        <v>0</v>
      </c>
      <c r="W128" s="2057">
        <f>0</f>
        <v>0</v>
      </c>
      <c r="X128" s="2057">
        <f>0</f>
        <v>0</v>
      </c>
      <c r="Y128" s="2057">
        <f>-i_N_BIO</f>
        <v>-7.0000000000000007E-2</v>
      </c>
      <c r="Z128" s="2058">
        <f>-(1-Y_CASTO_STC_anox)/(E_EQN2_NO3*Y_CASTO_STC_anox)</f>
        <v>-0.32663907669646858</v>
      </c>
      <c r="AA128" s="2058">
        <f>(1-Y_CASTO_STC_anox)/(E_EQN2_NO3*Y_CASTO_STC_anox)</f>
        <v>0.32663907669646858</v>
      </c>
      <c r="AB128" s="2057">
        <f>0</f>
        <v>0</v>
      </c>
      <c r="AC128" s="2080">
        <f>0</f>
        <v>0</v>
      </c>
      <c r="AD128" s="2080">
        <f>0</f>
        <v>0</v>
      </c>
      <c r="AE128" s="2057">
        <f>0</f>
        <v>0</v>
      </c>
      <c r="AF128" s="2058">
        <f>-i_P_BIO</f>
        <v>-0.02</v>
      </c>
      <c r="AG128" s="2057">
        <f>0</f>
        <v>0</v>
      </c>
      <c r="AH128" s="2057">
        <f>0</f>
        <v>0</v>
      </c>
      <c r="AI128" s="2080">
        <f>0</f>
        <v>0</v>
      </c>
      <c r="AJ128" s="2080">
        <f>0</f>
        <v>0</v>
      </c>
      <c r="AK128" s="2057">
        <f>0</f>
        <v>0</v>
      </c>
      <c r="AL128" s="2057">
        <f>0</f>
        <v>0</v>
      </c>
      <c r="AM128" s="2057">
        <f>0</f>
        <v>0</v>
      </c>
      <c r="AN128" s="2057">
        <f>0</f>
        <v>0</v>
      </c>
      <c r="AO128" s="2058">
        <f>(i_CIT_STC/Y_CASTO_STC_anox)-i_CIT_BIO</f>
        <v>0.29161344537815126</v>
      </c>
      <c r="AP128" s="2058">
        <f>i_INORG</f>
        <v>0.11</v>
      </c>
      <c r="AQ128" s="2058">
        <f>-i_INORG*(1-i_Ca_INORG*(A_MCa+2*A_MCl)/A_MCa-i_Mg_INORG*(A_MMg+2*A_MCl)/A_MMg)*f_Na</f>
        <v>-2.8804303582798466E-2</v>
      </c>
      <c r="AR128" s="2058">
        <f>-i_INORG*(i_Ca_INORG*(2*A_MCl)/A_MCa+i_Mg_INORG*(2*A_MCl)/A_MMg)-i_INORG*(1-i_Ca_INORG*(A_MCa+2*A_MCl)/A_MCa-i_Mg_INORG*(A_MMg+2*A_MCl)/A_MMg)*(1-f_Na)</f>
        <v>-7.0195696417201539E-2</v>
      </c>
      <c r="AS128" s="2058">
        <f>-i_INORG*i_Ca_INORG</f>
        <v>-5.5000000000000005E-3</v>
      </c>
      <c r="AT128" s="2058">
        <f>-i_INORG*i_Mg_INORG</f>
        <v>-5.5000000000000005E-3</v>
      </c>
      <c r="AU128" s="2058">
        <f>0</f>
        <v>0</v>
      </c>
      <c r="AV128" s="2058">
        <f>0</f>
        <v>0</v>
      </c>
      <c r="AW128" s="2058">
        <f>0</f>
        <v>0</v>
      </c>
      <c r="AX128" s="2058">
        <f>0</f>
        <v>0</v>
      </c>
      <c r="AY128" s="2058">
        <f>0</f>
        <v>0</v>
      </c>
      <c r="AZ128" s="2058">
        <f>0</f>
        <v>0</v>
      </c>
      <c r="BA128" s="2058">
        <f>0</f>
        <v>0</v>
      </c>
      <c r="BB128" s="2058">
        <f>0</f>
        <v>0</v>
      </c>
      <c r="BC128" s="2058">
        <f>0</f>
        <v>0</v>
      </c>
      <c r="BD128" s="2058">
        <f>0</f>
        <v>0</v>
      </c>
      <c r="BE128" s="2058">
        <f>0</f>
        <v>0</v>
      </c>
      <c r="BF128" s="2058">
        <f>0</f>
        <v>0</v>
      </c>
      <c r="BG128" s="2058">
        <f>0</f>
        <v>0</v>
      </c>
      <c r="BH128" s="2058">
        <f>0</f>
        <v>0</v>
      </c>
      <c r="BI128" s="2058">
        <f>0</f>
        <v>0</v>
      </c>
      <c r="BJ128" s="2058">
        <f>0</f>
        <v>0</v>
      </c>
      <c r="BK128" s="2058">
        <f>0</f>
        <v>0</v>
      </c>
      <c r="BL128" s="2058">
        <f>0</f>
        <v>0</v>
      </c>
      <c r="BM128" s="2058">
        <f>0</f>
        <v>0</v>
      </c>
      <c r="BN128" s="2058">
        <f>0</f>
        <v>0</v>
      </c>
      <c r="BO128" s="2058">
        <f>0</f>
        <v>0</v>
      </c>
      <c r="BP128" s="2112">
        <f>0</f>
        <v>0</v>
      </c>
      <c r="BQ128" s="2112">
        <f>0</f>
        <v>0</v>
      </c>
      <c r="BR128" s="2112">
        <f>0</f>
        <v>0</v>
      </c>
      <c r="BS128" s="2112">
        <f>0</f>
        <v>0</v>
      </c>
      <c r="BT128" s="2058">
        <f>0</f>
        <v>0</v>
      </c>
      <c r="BU128" s="2058">
        <f>0</f>
        <v>0</v>
      </c>
      <c r="BV128" s="2058">
        <f>0</f>
        <v>0</v>
      </c>
      <c r="BW128" s="2058">
        <f>0</f>
        <v>0</v>
      </c>
      <c r="BX128" s="2058">
        <f>0</f>
        <v>0</v>
      </c>
      <c r="BY128" s="2058">
        <f>0</f>
        <v>0</v>
      </c>
      <c r="BZ128" s="2058">
        <f>0</f>
        <v>0</v>
      </c>
      <c r="CA128" s="2058">
        <f>0</f>
        <v>0</v>
      </c>
      <c r="CB128" s="2058">
        <f>0</f>
        <v>0</v>
      </c>
      <c r="CC128" s="2058">
        <f>0</f>
        <v>0</v>
      </c>
      <c r="CD128" s="2058">
        <f>0</f>
        <v>0</v>
      </c>
      <c r="CE128" s="2058">
        <f>0</f>
        <v>0</v>
      </c>
      <c r="CF128" s="2058">
        <f>0</f>
        <v>0</v>
      </c>
      <c r="CG128" s="2058">
        <f>0</f>
        <v>0</v>
      </c>
      <c r="CH128" s="2058">
        <f>0</f>
        <v>0</v>
      </c>
      <c r="CI128" s="2139">
        <f>µ_CASTO_T*X_CASTO*η_CASTO_anox*M_RsatXSTC_XCASTO_KSTC*M_satSNOx_KNOx_CASTO*M_inhSO2_KO2_CASTO*M_satSNHx_KNHx_BIO*M_satSPO4_KPO4_BIO*M_satSCAT_KCAT*M_satSAN_KAN*M_satSCa_KCa_PAO*M_satSMg_KMg_PAO*B_ellinhpH</f>
        <v>2.4892446298809396</v>
      </c>
      <c r="CK128" s="1950">
        <f>E210*E128+F210*F128+G210*G128+H210*H128+I210*I128+J210*J128+K210*K128+L210*L128+M210*M128+N210*N128+O210*O128+P210*P128+Q210*Q128+R210*R128+S210*S128+T210*T128+U210*U128+V210*V128+W210*W128+X210*X128+Y210*Y128+Z210*Z128+AA210*AA128+AB210*AB128+AC210*AC128+AD210*AD128+AE210*AE128+AF210*AF128+AG210*AG128+AH210*AH128+AI210*AI128+AJ210*AJ128+AK210*AK128+AL210*AL128+AM210*AM128+AN210*AN128+AO210*AO128+AP210*AP128+AQ210*AQ128+AR210*AR128+AS210*AS128+AT210*AT128+AU210*AU128+AV210*AV128+AW210*AW128+AX210*AX128+AY210*AY128+AZ210*AZ128+BA210*BA128+BB210*BB128+BC210*BC128+BD210*BD128+BE210*BE128+BF210*BF128+BG210*BG128+BH210*BH128+BI210*BI128+BJ210*BJ128+BK210*BK128+BL210*BL128+BM210*BM128+BN210*BN128+BO210*BO128+BP210*BP128+BQ210*BQ128+BR210*BR128+BS210*BS128+BT210*BT128+BU210*BU128+BV210*BV128+BW210*BW128+BX210*BX128+BY210*BY128+BZ210*BZ128+CA210*CA128+CB210*CB128+CC210*CC128+CD210*CD128+CE210*CE128+CF210*CF128+CG210*CG128+CH210*CH128</f>
        <v>-2.2204460492503131E-16</v>
      </c>
      <c r="CL128" s="1950">
        <f>E211*E128+F211*F128+G211*G128+H211*H128+I211*I128+J211*J128+K211*K128+L211*L128+M211*M128+N211*N128+O211*O128+P211*P128+Q211*Q128+R211*R128+S211*S128+T211*T128+U211*U128+V211*V128+W211*W128+X211*X128+Y211*Y128+Z211*Z128+AA211*AA128+AB211*AB128+AC211*AC128+AD211*AD128+AE211*AE128+AF211*AF128+AG211*AG128+AH211*AH128+AI211*AI128+AJ211*AJ128+AK211*AK128+AL211*AL128+AM211*AM128+AN211*AN128+AO211*AO128+AP211*AP128+AQ211*AQ128+AR211*AR128+AS211*AS128+AT211*AT128+AU211*AU128+AV211*AV128+AW211*AW128+AX211*AX128+AY211*AY128+AZ211*AZ128+BA211*BA128+BB211*BB128+BC211*BC128+BD211*BD128+BE211*BE128+BF211*BF128+BG211*BG128+BH211*BH128+BI211*BI128+BJ211*BJ128+BK211*BK128+BL211*BL128+BM211*BM128+BN211*BN128+BO211*BO128+BP211*BP128+BQ211*BQ128+BR211*BR128+BS211*BS128+BT211*BT128+BU211*BU128+BV211*BV128+BW211*BW128+BX211*BX128+BY211*BY128+BZ211*BZ128+CA211*CA128+CB211*CB128+CC211*CC128+CD211*CD128+CE211*CE128+CF211*CF128+CG211*CG128+CH211*CH128</f>
        <v>0</v>
      </c>
      <c r="CM128" s="1951">
        <f>E212*E128+F212*F128+G212*G128+H212*H128+I212*I128+J212*J128+K212*K128+L212*L128+M212*M128+N212*N128+O212*O128+P212*P128+Q212*Q128+R212*R128+S212*S128+T212*T128+U212*U128+V212*V128+W212*W128+X212*X128+Y212*Y128+Z212*Z128+AA212*AA128+AB212*AB128+AC212*AC128+AD212*AD128+AE212*AE128+AF212*AF128+AG212*AG128+AH212*AH128+AI212*AI128+AJ212*AJ128+AK212*AK128+AL212*AL128+AM212*AM128+AN212*AN128+AO212*AO128+AP212*AP128+AQ212*AQ128+AR212*AR128+AS212*AS128+AT212*AT128+AU212*AU128+AV212*AV128+AW212*AW128+AX212*AX128+AY212*AY128+AZ212*AZ128+BA212*BA128+BB212*BB128+BC212*BC128+BD212*BD128+BE212*BE128+BF212*BF128+BG212*BG128+BH212*BH128+BI212*BI128+BJ212*BJ128+BK212*BK128+BL212*BL128+BM212*BM128+BN212*BN128+BO212*BO128+BP212*BP128+BQ212*BQ128+BR212*BR128+BS212*BS128+BT212*BT128+BU212*BU128+BV212*BV128+BW212*BW128+BX212*BX128+BY212*BY128+BZ212*BZ128+CA212*CA128+CB212*CB128+CC212*CC128+CD212*CD128+CE212*CE128+CF212*CF128+CG212*CG128+CH212*CH128</f>
        <v>0</v>
      </c>
      <c r="CN128" s="1952">
        <f>E213*E128+F213*F128+G213*G128+H213*H128+I213*I128+J213*J128+K213*K128+L213*L128+M213*M128+N213*N128+O213*O128+P213*P128+Q213*Q128+R213*R128+S213*S128+T213*T128+U213*U128+V213*V128+W213*W128+X213*X128+Y213*Y128+Z213*Z128+AA213*AA128+AB213*AB128+AC213*AC128+AD213*AD128+AE213*AE128+AF213*AF128+AG213*AG128+AH213*AH128+AI213*AI128+AJ213*AJ128+AK213*AK128+AL213*AL128+AM213*AM128+AN213*AN128+AO213*AO128+AP213*AP128+AQ213*AQ128+AR213*AR128+AS213*AS128+AT213*AT128+AU213*AU128+AV213*AV128+AW213*AW128+AX213*AX128+AY213*AY128+AZ213*AZ128+BA213*BA128+BB213*BB128+BC213*BC128+BD213*BD128+BE213*BE128+BF213*BF128+BG213*BG128+BH213*BH128+BI213*BI128+BJ213*BJ128+BK213*BK128+BL213*BL128+BM213*BM128+BN213*BN128+BO213*BO128+BP213*BP128+BQ213*BQ128+BR213*BR128+BS213*BS128+BT213*BT128+BU213*BU128+BV213*BV128+BW213*BW128+BX213*BX128+BY213*BY128+BZ213*BZ128+CA213*CA128+CB213*CB128+CC213*CC128+CD213*CD128+CE213*CE128+CF213*CF128+CG213*CG128+CH213*CH128</f>
        <v>0</v>
      </c>
      <c r="CO128" s="1952">
        <f>E214*E128+F214*F128+G214*G128+H214*H128+I214*I128+J214*J128+K214*K128+L214*L128+M214*M128+N214*N128+O214*O128+P214*P128+Q214*Q128+R214*R128+S214*S128+T214*T128+U214*U128+V214*V128+W214*W128+X214*X128+Y214*Y128+Z214*Z128+AA214*AA128+AB214*AB128+AC214*AC128+AD214*AD128+AE214*AE128+AF214*AF128+AG214*AG128+AH214*AH128+AI214*AI128+AJ214*AJ128+AK214*AK128+AL214*AL128+AM214*AM128+AN214*AN128+AO214*AO128+AP214*AP128+AQ214*AQ128+AR214*AR128+AS214*AS128+AT214*AT128+AU214*AU128+AV214*AV128+AW214*AW128+AX214*AX128+AY214*AY128+AZ214*AZ128+BA214*BA128+BB214*BB128+BC214*BC128+BD214*BD128+BE214*BE128+BF214*BF128+BG214*BG128+BH214*BH128+BI214*BI128+BJ214*BJ128+BK214*BK128+BL214*BL128+BM214*BM128+BN214*BN128+BO214*BO128+BP214*BP128+BQ214*BQ128+BR214*BR128+BS214*BS128+BT214*BT128+BU214*BU128+BV214*BV128+BW214*BW128+BX214*BX128+BY214*BY128+BZ214*BZ128+CA214*CA128+CB214*CB128+CC214*CC128+CD214*CD128+CE214*CE128+CF214*CF128+CG214*CG128+CH214*CH128</f>
        <v>0</v>
      </c>
      <c r="CP128" s="1952">
        <f>E215*E128+F215*F128+G215*G128+H215*H128+I215*I128+J215*J128+K215*K128+L215*L128+M215*M128+N215*N128+O215*O128+P215*P128+Q215*Q128+R215*R128+S215*S128+T215*T128+U215*U128+V215*V128+W215*W128+X215*X128+Y215*Y128+Z215*Z128+AA215*AA128+AB215*AB128+AC215*AC128+AD215*AD128+AE215*AE128+AF215*AF128+AG215*AG128+AH215*AH128+AI215*AI128+AJ215*AJ128+AK215*AK128+AL215*AL128+AM215*AM128+AN215*AN128+AO215*AO128+AP215*AP128+AQ215*AQ128+AR215*AR128+AS215*AS128+AT215*AT128+AU215*AU128+AV215*AV128+AW215*AW128+AX215*AX128+AY215*AY128+AZ215*AZ128+BA215*BA128+BB215*BB128+BC215*BC128+BD215*BD128+BE215*BE128+BF215*BF128+BG215*BG128+BH215*BH128+BI215*BI128+BJ215*BJ128+BK215*BK128+BL215*BL128+BM215*BM128+BN215*BN128+BO215*BO128+BP215*BP128+BQ215*BQ128+BR215*BR128+BS215*BS128+BT215*BT128+BU215*BU128+BV215*BV128+BW215*BW128+BX215*BX128+BY215*BY128+BZ215*BZ128+CA215*CA128+CB215*CB128+CC215*CC128+CD215*CD128+CE215*CE128+CF215*CF128+CG215*CG128+CH215*CH128</f>
        <v>0</v>
      </c>
      <c r="CQ128" s="1952">
        <f>E216*E128+F216*F128+G216*G128+H216*H128+I216*I128+J216*J128+K216*K128+L216*L128+M216*M128+N216*N128+O216*O128+P216*P128+Q216*Q128+R216*R128+S216*S128+T216*T128+U216*U128+V216*V128+W216*W128+X216*X128+Y216*Y128+Z216*Z128+AA216*AA128+AB216*AB128+AC216*AC128+AD216*AD128+AE216*AE128+AF216*AF128+AG216*AG128+AH216*AH128+AI216*AI128+AJ216*AJ128+AK216*AK128+AL216*AL128+AM216*AM128+AN216*AN128+AO216*AO128+AP216*AP128+AQ216*AQ128+AR216*AR128+AS216*AS128+AT216*AT128+AU216*AU128+AV216*AV128+AW216*AW128+AX216*AX128+AY216*AY128+AZ216*AZ128+BA216*BA128+BB216*BB128+BC216*BC128+BD216*BD128+BE216*BE128+BF216*BF128+BG216*BG128+BH216*BH128+BI216*BI128+BJ216*BJ128+BK216*BK128+BL216*BL128+BM216*BM128+BN216*BN128+BO216*BO128+BP216*BP128+BQ216*BQ128+BR216*BR128+BS216*BS128+BT216*BT128+BU216*BU128+BV216*BV128+BW216*BW128+BX216*BX128+BY216*BY128+BZ216*BZ128+CA216*CA128+CB216*CB128+CC216*CC128+CD216*CD128+CE216*CE128+CF216*CF128+CG216*CG128+CH216*CH128</f>
        <v>0</v>
      </c>
      <c r="CR128" s="1952">
        <f>E217*E128+F217*F128+G217*G128+H217*H128+I217*I128+J217*J128+K217*K128+L217*L128+M217*M128+N217*N128+O217*O128+P217*P128+Q217*Q128+R217*R128+S217*S128+T217*T128+U217*U128+V217*V128+W217*W128+X217*X128+Y217*Y128+Z217*Z128+AA217*AA128+AB217*AB128+AC217*AC128+AD217*AD128+AE217*AE128+AF217*AF128+AG217*AG128+AH217*AH128+AI217*AI128+AJ217*AJ128+AK217*AK128+AL217*AL128+AM217*AM128+AN217*AN128+AO217*AO128+AP217*AP128+AQ217*AQ128+AR217*AR128+AS217*AS128+AT217*AT128+AU217*AU128+AV217*AV128+AW217*AW128+AX217*AX128+AY217*AY128+AZ217*AZ128+BA217*BA128+BB217*BB128+BC217*BC128+BD217*BD128+BE217*BE128+BF217*BF128+BG217*BG128+BH217*BH128+BI217*BI128+BJ217*BJ128+BK217*BK128+BL217*BL128+BM217*BM128+BN217*BN128+BO217*BO128+BP217*BP128+BQ217*BQ128+BR217*BR128+BS217*BS128+BT217*BT128+BU217*BU128+BV217*BV128+BW217*BW128+BX217*BX128+BY217*BY128+BZ217*BZ128+CA217*CA128+CB217*CB128+CC217*CC128+CD217*CD128+CE217*CE128+CF217*CF128+CG217*CG128+CH217*CH128</f>
        <v>0</v>
      </c>
      <c r="CS128" s="1952">
        <f>E218*E128+F218*F128+G218*G128+H218*H128+I218*I128+J218*J128+K218*K128+L218*L128+M218*M128+N218*N128+O218*O128+P218*P128+Q218*Q128+R218*R128+S218*S128+T218*T128+U218*U128+V218*V128+W218*W128+X218*X128+Y218*Y128+Z218*Z128+AA218*AA128+AB218*AB128+AC218*AC128+AD218*AD128+AE218*AE128+AF218*AF128+AG218*AG128+AH218*AH128+AI218*AI128+AJ218*AJ128+AK218*AK128+AL218*AL128+AM218*AM128+AN218*AN128+AO218*AO128+AP218*AP128+AQ218*AQ128+AR218*AR128+AS218*AS128+AT218*AT128+AU218*AU128+AV218*AV128+AW218*AW128+AX218*AX128+AY218*AY128+AZ218*AZ128+BA218*BA128+BB218*BB128+BC218*BC128+BD218*BD128+BE218*BE128+BF218*BF128+BG218*BG128+BH218*BH128+BI218*BI128+BJ218*BJ128+BK218*BK128+BL218*BL128+BM218*BM128+BN218*BN128+BO218*BO128+BP218*BP128+BQ218*BQ128+BR218*BR128+BS218*BS128+BT218*BT128+BU218*BU128+BV218*BV128+BW218*BW128+BX218*BX128+BY218*BY128+BZ218*BZ128+CA218*CA128+CB218*CB128+CC218*CC128+CD218*CD128+CE218*CE128+CF218*CF128+CG218*CG128+CH218*CH128</f>
        <v>0</v>
      </c>
      <c r="CT128" s="1952">
        <f>E219*E128+F219*F128+G219*G128+H219*H128+I219*I128+J219*J128+K219*K128+L219*L128+M219*M128+N219*N128+O219*O128+P219*P128+Q219*Q128+R219*R128+S219*S128+T219*T128+U219*U128+V219*V128+W219*W128+X219*X128+Y219*Y128+Z219*Z128+AA219*AA128+AB219*AB128+AC219*AC128+AD219*AD128+AE219*AE128+AF219*AF128+AG219*AG128+AH219*AH128+AI219*AI128+AJ219*AJ128+AK219*AK128+AL219*AL128+AM219*AM128+AN219*AN128+AO219*AO128+AP219*AP128+AQ219*AQ128+AR219*AR128+AS219*AS128+AT219*AT128+AU219*AU128+AV219*AV128+AW219*AW128+AX219*AX128+AY219*AY128+AZ219*AZ128+BA219*BA128+BB219*BB128+BC219*BC128+BD219*BD128+BE219*BE128+BF219*BF128+BG219*BG128+BH219*BH128+BI219*BI128+BJ219*BJ128+BK219*BK128+BL219*BL128+BM219*BM128+BN219*BN128+BO219*BO128+BP219*BP128+BQ219*BQ128+BR219*BR128+BS219*BS128+BT219*BT128+BU219*BU128+BV219*BV128+BW219*BW128+BX219*BX128+BY219*BY128+BZ219*BZ128+CA219*CA128+CB219*CB128+CC219*CC128+CD219*CD128+CE219*CE128+CF219*CF128+CG219*CG128+CH219*CH128</f>
        <v>0</v>
      </c>
      <c r="CU128" s="1952">
        <f>E220*E128+F220*F128+G220*G128+H220*H128+I220*I128+J220*J128+K220*K128+L220*L128+M220*M128+N220*N128+O220*O128+P220*P128+Q220*Q128+R220*R128+S220*S128+T220*T128+U220*U128+V220*V128+W220*W128+X220*X128+Y220*Y128+Z220*Z128+AA220*AA128+AB220*AB128+AC220*AC128+AD220*AD128+AE220*AE128+AF220*AF128+AG220*AG128+AH220*AH128+AI220*AI128+AJ220*AJ128+AK220*AK128+AL220*AL128+AM220*AM128+AN220*AN128+AO220*AO128+AP220*AP128+AQ220*AQ128+AR220*AR128+AS220*AS128+AT220*AT128+AU220*AU128+AV220*AV128+AW220*AW128+AX220*AX128+AY220*AY128+AZ220*AZ128+BA220*BA128+BB220*BB128+BC220*BC128+BD220*BD128+BE220*BE128+BF220*BF128+BG220*BG128+BH220*BH128+BI220*BI128+BJ220*BJ128+BK220*BK128+BL220*BL128+BM220*BM128+BN220*BN128+BO220*BO128+BP220*BP128+BQ220*BQ128+BR220*BR128+BS220*BS128+BT220*BT128+BU220*BU128+BV220*BV128+BW220*BW128+BX220*BX128+BY220*BY128+BZ220*BZ128+CA220*CA128+CB220*CB128+CC220*CC128+CD220*CD128+CE220*CE128+CF220*CF128+CG220*CG128+CH220*CH128</f>
        <v>0</v>
      </c>
    </row>
    <row r="129" spans="2:99" ht="18" x14ac:dyDescent="0.25">
      <c r="B129" s="1033">
        <v>15</v>
      </c>
      <c r="C129" s="1098" t="s">
        <v>237</v>
      </c>
      <c r="D129" s="1099" t="s">
        <v>3855</v>
      </c>
      <c r="E129" s="2057">
        <f>0</f>
        <v>0</v>
      </c>
      <c r="F129" s="2057">
        <f>0</f>
        <v>0</v>
      </c>
      <c r="G129" s="2057">
        <f>0</f>
        <v>0</v>
      </c>
      <c r="H129" s="2057">
        <f>0</f>
        <v>0</v>
      </c>
      <c r="I129" s="2080">
        <f>0</f>
        <v>0</v>
      </c>
      <c r="J129" s="2080">
        <f>0</f>
        <v>0</v>
      </c>
      <c r="K129" s="2057">
        <f>0</f>
        <v>0</v>
      </c>
      <c r="L129" s="2057">
        <f>0</f>
        <v>0</v>
      </c>
      <c r="M129" s="2057">
        <f>0</f>
        <v>0</v>
      </c>
      <c r="N129" s="2058">
        <f>0</f>
        <v>0</v>
      </c>
      <c r="O129" s="2058">
        <f>0</f>
        <v>0</v>
      </c>
      <c r="P129" s="2057">
        <f>0</f>
        <v>0</v>
      </c>
      <c r="Q129" s="2057">
        <f>0</f>
        <v>0</v>
      </c>
      <c r="R129" s="2057">
        <f>0</f>
        <v>0</v>
      </c>
      <c r="S129" s="2058">
        <f>-Y_PP_CASTO_ox</f>
        <v>-0.33</v>
      </c>
      <c r="T129" s="2057">
        <f>0</f>
        <v>0</v>
      </c>
      <c r="U129" s="2057">
        <f>0</f>
        <v>0</v>
      </c>
      <c r="V129" s="2057">
        <f>0</f>
        <v>0</v>
      </c>
      <c r="W129" s="2057">
        <f>0</f>
        <v>0</v>
      </c>
      <c r="X129" s="2057">
        <f>0</f>
        <v>0</v>
      </c>
      <c r="Y129" s="2057">
        <f>i_N_BIO*Y_PP_CASTO_ox</f>
        <v>2.3100000000000002E-2</v>
      </c>
      <c r="Z129" s="2058">
        <f>0</f>
        <v>0</v>
      </c>
      <c r="AA129" s="2058">
        <f>0</f>
        <v>0</v>
      </c>
      <c r="AB129" s="2057">
        <f>0</f>
        <v>0</v>
      </c>
      <c r="AC129" s="2080">
        <f>0</f>
        <v>0</v>
      </c>
      <c r="AD129" s="2080">
        <f>0</f>
        <v>0</v>
      </c>
      <c r="AE129" s="2057">
        <f>0</f>
        <v>0</v>
      </c>
      <c r="AF129" s="2058">
        <f>i_P_BIO*Y_PP_CASTO_ox-1</f>
        <v>-0.99339999999999995</v>
      </c>
      <c r="AG129" s="2057">
        <f>1</f>
        <v>1</v>
      </c>
      <c r="AH129" s="2057">
        <f>0</f>
        <v>0</v>
      </c>
      <c r="AI129" s="2080">
        <f>0</f>
        <v>0</v>
      </c>
      <c r="AJ129" s="2080">
        <f>0</f>
        <v>0</v>
      </c>
      <c r="AK129" s="2057">
        <f>0</f>
        <v>0</v>
      </c>
      <c r="AL129" s="2058">
        <f>-Y_PP_CASTO_ox</f>
        <v>-0.33</v>
      </c>
      <c r="AM129" s="2057">
        <f>0</f>
        <v>0</v>
      </c>
      <c r="AN129" s="2057">
        <f>0</f>
        <v>0</v>
      </c>
      <c r="AO129" s="2058">
        <f>i_CIT_BIO*Y_PP_CASTO_ox</f>
        <v>0.11616</v>
      </c>
      <c r="AP129" s="2058">
        <f>-i_INORG*Y_PP_CASTO_ox</f>
        <v>-3.6299999999999999E-2</v>
      </c>
      <c r="AQ129" s="2058">
        <f>Y_PP_CASTO_ox*i_INORG*(1-i_Ca_INORG*(A_MCa+2*A_MCl)/A_MCa-i_Mg_INORG*(A_MMg+2*A_MCl)/A_MMg)*f_Na</f>
        <v>9.5054201823234919E-3</v>
      </c>
      <c r="AR129" s="2058">
        <f>Y_PP_CASTO_ox*(i_INORG*(i_Ca_INORG*(2*A_MCl)/A_MCa+i_Mg_INORG*(2*A_MCl)/A_MMg)+i_INORG*(1-i_Ca_INORG*(A_MCa+2*A_MCl)/A_MCa-i_Mg_INORG*(A_MMg+2*A_MCl)/A_MMg)*(1-f_Na))</f>
        <v>2.3164579817676507E-2</v>
      </c>
      <c r="AS129" s="2058">
        <f>Y_PP_CASTO_ox*i_INORG*i_Ca_INORG-i_Ca_PP*A_MCa/A_MP</f>
        <v>-0.12757838702613272</v>
      </c>
      <c r="AT129" s="2058">
        <f>Y_PP_CASTO_ox*i_INORG*i_Mg_INORG-i_Mg_PP*A_MMg/A_MP</f>
        <v>-0.27282874347136937</v>
      </c>
      <c r="AU129" s="2058">
        <f>-i_K_PP*A_MK/A_MP</f>
        <v>-0.12623038734377579</v>
      </c>
      <c r="AV129" s="2058">
        <f>0</f>
        <v>0</v>
      </c>
      <c r="AW129" s="2058">
        <f>0</f>
        <v>0</v>
      </c>
      <c r="AX129" s="2058">
        <f>0</f>
        <v>0</v>
      </c>
      <c r="AY129" s="2058">
        <f>0</f>
        <v>0</v>
      </c>
      <c r="AZ129" s="2058">
        <f>0</f>
        <v>0</v>
      </c>
      <c r="BA129" s="2058">
        <f>0</f>
        <v>0</v>
      </c>
      <c r="BB129" s="2058">
        <f>0</f>
        <v>0</v>
      </c>
      <c r="BC129" s="2058">
        <f>0</f>
        <v>0</v>
      </c>
      <c r="BD129" s="2058">
        <f>0</f>
        <v>0</v>
      </c>
      <c r="BE129" s="2058">
        <f>0</f>
        <v>0</v>
      </c>
      <c r="BF129" s="2058">
        <f>0</f>
        <v>0</v>
      </c>
      <c r="BG129" s="2058">
        <f>0</f>
        <v>0</v>
      </c>
      <c r="BH129" s="2058">
        <f>0</f>
        <v>0</v>
      </c>
      <c r="BI129" s="2058">
        <f>0</f>
        <v>0</v>
      </c>
      <c r="BJ129" s="2058">
        <f>0</f>
        <v>0</v>
      </c>
      <c r="BK129" s="2058">
        <f>0</f>
        <v>0</v>
      </c>
      <c r="BL129" s="2058">
        <f>0</f>
        <v>0</v>
      </c>
      <c r="BM129" s="2058">
        <f>0</f>
        <v>0</v>
      </c>
      <c r="BN129" s="2058">
        <f>0</f>
        <v>0</v>
      </c>
      <c r="BO129" s="2058">
        <f>0</f>
        <v>0</v>
      </c>
      <c r="BP129" s="2112">
        <f>0</f>
        <v>0</v>
      </c>
      <c r="BQ129" s="2112">
        <f>0</f>
        <v>0</v>
      </c>
      <c r="BR129" s="2112">
        <f>0</f>
        <v>0</v>
      </c>
      <c r="BS129" s="2112">
        <f>0</f>
        <v>0</v>
      </c>
      <c r="BT129" s="2058">
        <f>0</f>
        <v>0</v>
      </c>
      <c r="BU129" s="2058">
        <f>0</f>
        <v>0</v>
      </c>
      <c r="BV129" s="2058">
        <f>0</f>
        <v>0</v>
      </c>
      <c r="BW129" s="2058">
        <f>0</f>
        <v>0</v>
      </c>
      <c r="BX129" s="2058">
        <f>0</f>
        <v>0</v>
      </c>
      <c r="BY129" s="2058">
        <f>0</f>
        <v>0</v>
      </c>
      <c r="BZ129" s="2058">
        <f>0</f>
        <v>0</v>
      </c>
      <c r="CA129" s="2058">
        <f>0</f>
        <v>0</v>
      </c>
      <c r="CB129" s="2058">
        <f>0</f>
        <v>0</v>
      </c>
      <c r="CC129" s="2058">
        <f>0</f>
        <v>0</v>
      </c>
      <c r="CD129" s="2058">
        <f>0</f>
        <v>0</v>
      </c>
      <c r="CE129" s="2058">
        <f>0</f>
        <v>0</v>
      </c>
      <c r="CF129" s="2058">
        <f>0</f>
        <v>0</v>
      </c>
      <c r="CG129" s="2058">
        <f>0</f>
        <v>0</v>
      </c>
      <c r="CH129" s="2058">
        <f>0</f>
        <v>0</v>
      </c>
      <c r="CI129" s="2139">
        <f>q_PAO_PP_T*X_PAO/(X_PP+X_PP_PAO_min)*X_PAO*M_satSO2_KO2_CASTO*L_ogsatSPO4_KPO4_PAO*L_oginhXPP_XPAO_max*M_satSCa_KCa_PAO*M_satSMg_KMg_PAO*M_satSK_KK_PAO*B_ellinhpH</f>
        <v>306.81443366518283</v>
      </c>
      <c r="CK129" s="1950">
        <f>E210*E129+F210*F129+G210*G129+H210*H129+I210*I129+J210*J129+K210*K129+L210*L129+M210*M129+N210*N129+O210*O129+P210*P129+Q210*Q129+R210*R129+S210*S129+T210*T129+U210*U129+V210*V129+W210*W129+X210*X129+Y210*Y129+Z210*Z129+AA210*AA129+AB210*AB129+AC210*AC129+AD210*AD129+AE210*AE129+AF210*AF129+AG210*AG129+AH210*AH129+AI210*AI129+AJ210*AJ129+AK210*AK129+AL210*AL129+AM210*AM129+AN210*AN129+AO210*AO129+AP210*AP129+AQ210*AQ129+AR210*AR129+AS210*AS129+AT210*AT129+AU210*AU129+AV210*AV129+AW210*AW129+AX210*AX129+AY210*AY129+AZ210*AZ129+BA210*BA129+BB210*BB129+BC210*BC129+BD210*BD129+BE210*BE129+BF210*BF129+BG210*BG129+BH210*BH129+BI210*BI129+BJ210*BJ129+BK210*BK129+BL210*BL129+BM210*BM129+BN210*BN129+BO210*BO129+BP210*BP129+BQ210*BQ129+BR210*BR129+BS210*BS129+BT210*BT129+BU210*BU129+BV210*BV129+BW210*BW129+BX210*BX129+BY210*BY129+BZ210*BZ129+CA210*CA129+CB210*CB129+CC210*CC129+CD210*CD129+CE210*CE129+CF210*CF129+CG210*CG129+CH210*CH129</f>
        <v>0</v>
      </c>
      <c r="CL129" s="1950">
        <f>E211*E129+F211*F129+G211*G129+H211*H129+I211*I129+J211*J129+K211*K129+L211*L129+M211*M129+N211*N129+O211*O129+P211*P129+Q211*Q129+R211*R129+S211*S129+T211*T129+U211*U129+V211*V129+W211*W129+X211*X129+Y211*Y129+Z211*Z129+AA211*AA129+AB211*AB129+AC211*AC129+AD211*AD129+AE211*AE129+AF211*AF129+AG211*AG129+AH211*AH129+AI211*AI129+AJ211*AJ129+AK211*AK129+AL211*AL129+AM211*AM129+AN211*AN129+AO211*AO129+AP211*AP129+AQ211*AQ129+AR211*AR129+AS211*AS129+AT211*AT129+AU211*AU129+AV211*AV129+AW211*AW129+AX211*AX129+AY211*AY129+AZ211*AZ129+BA211*BA129+BB211*BB129+BC211*BC129+BD211*BD129+BE211*BE129+BF211*BF129+BG211*BG129+BH211*BH129+BI211*BI129+BJ211*BJ129+BK211*BK129+BL211*BL129+BM211*BM129+BN211*BN129+BO211*BO129+BP211*BP129+BQ211*BQ129+BR211*BR129+BS211*BS129+BT211*BT129+BU211*BU129+BV211*BV129+BW211*BW129+BX211*BX129+BY211*BY129+BZ211*BZ129+CA211*CA129+CB211*CB129+CC211*CC129+CD211*CD129+CE211*CE129+CF211*CF129+CG211*CG129+CH211*CH129</f>
        <v>0</v>
      </c>
      <c r="CM129" s="1951">
        <f>E212*E129+F212*F129+G212*G129+H212*H129+I212*I129+J212*J129+K212*K129+L212*L129+M212*M129+N212*N129+O212*O129+P212*P129+Q212*Q129+R212*R129+S212*S129+T212*T129+U212*U129+V212*V129+W212*W129+X212*X129+Y212*Y129+Z212*Z129+AA212*AA129+AB212*AB129+AC212*AC129+AD212*AD129+AE212*AE129+AF212*AF129+AG212*AG129+AH212*AH129+AI212*AI129+AJ212*AJ129+AK212*AK129+AL212*AL129+AM212*AM129+AN212*AN129+AO212*AO129+AP212*AP129+AQ212*AQ129+AR212*AR129+AS212*AS129+AT212*AT129+AU212*AU129+AV212*AV129+AW212*AW129+AX212*AX129+AY212*AY129+AZ212*AZ129+BA212*BA129+BB212*BB129+BC212*BC129+BD212*BD129+BE212*BE129+BF212*BF129+BG212*BG129+BH212*BH129+BI212*BI129+BJ212*BJ129+BK212*BK129+BL212*BL129+BM212*BM129+BN212*BN129+BO212*BO129+BP212*BP129+BQ212*BQ129+BR212*BR129+BS212*BS129+BT212*BT129+BU212*BU129+BV212*BV129+BW212*BW129+BX212*BX129+BY212*BY129+BZ212*BZ129+CA212*CA129+CB212*CB129+CC212*CC129+CD212*CD129+CE212*CE129+CF212*CF129+CG212*CG129+CH212*CH129</f>
        <v>0</v>
      </c>
      <c r="CN129" s="1952">
        <f>E213*E129+F213*F129+G213*G129+H213*H129+I213*I129+J213*J129+K213*K129+L213*L129+M213*M129+N213*N129+O213*O129+P213*P129+Q213*Q129+R213*R129+S213*S129+T213*T129+U213*U129+V213*V129+W213*W129+X213*X129+Y213*Y129+Z213*Z129+AA213*AA129+AB213*AB129+AC213*AC129+AD213*AD129+AE213*AE129+AF213*AF129+AG213*AG129+AH213*AH129+AI213*AI129+AJ213*AJ129+AK213*AK129+AL213*AL129+AM213*AM129+AN213*AN129+AO213*AO129+AP213*AP129+AQ213*AQ129+AR213*AR129+AS213*AS129+AT213*AT129+AU213*AU129+AV213*AV129+AW213*AW129+AX213*AX129+AY213*AY129+AZ213*AZ129+BA213*BA129+BB213*BB129+BC213*BC129+BD213*BD129+BE213*BE129+BF213*BF129+BG213*BG129+BH213*BH129+BI213*BI129+BJ213*BJ129+BK213*BK129+BL213*BL129+BM213*BM129+BN213*BN129+BO213*BO129+BP213*BP129+BQ213*BQ129+BR213*BR129+BS213*BS129+BT213*BT129+BU213*BU129+BV213*BV129+BW213*BW129+BX213*BX129+BY213*BY129+BZ213*BZ129+CA213*CA129+CB213*CB129+CC213*CC129+CD213*CD129+CE213*CE129+CF213*CF129+CG213*CG129+CH213*CH129</f>
        <v>0</v>
      </c>
      <c r="CO129" s="1952">
        <f>E214*E129+F214*F129+G214*G129+H214*H129+I214*I129+J214*J129+K214*K129+L214*L129+M214*M129+N214*N129+O214*O129+P214*P129+Q214*Q129+R214*R129+S214*S129+T214*T129+U214*U129+V214*V129+W214*W129+X214*X129+Y214*Y129+Z214*Z129+AA214*AA129+AB214*AB129+AC214*AC129+AD214*AD129+AE214*AE129+AF214*AF129+AG214*AG129+AH214*AH129+AI214*AI129+AJ214*AJ129+AK214*AK129+AL214*AL129+AM214*AM129+AN214*AN129+AO214*AO129+AP214*AP129+AQ214*AQ129+AR214*AR129+AS214*AS129+AT214*AT129+AU214*AU129+AV214*AV129+AW214*AW129+AX214*AX129+AY214*AY129+AZ214*AZ129+BA214*BA129+BB214*BB129+BC214*BC129+BD214*BD129+BE214*BE129+BF214*BF129+BG214*BG129+BH214*BH129+BI214*BI129+BJ214*BJ129+BK214*BK129+BL214*BL129+BM214*BM129+BN214*BN129+BO214*BO129+BP214*BP129+BQ214*BQ129+BR214*BR129+BS214*BS129+BT214*BT129+BU214*BU129+BV214*BV129+BW214*BW129+BX214*BX129+BY214*BY129+BZ214*BZ129+CA214*CA129+CB214*CB129+CC214*CC129+CD214*CD129+CE214*CE129+CF214*CF129+CG214*CG129+CH214*CH129</f>
        <v>-1.7347234759768071E-18</v>
      </c>
      <c r="CP129" s="1952">
        <f>E215*E129+F215*F129+G215*G129+H215*H129+I215*I129+J215*J129+K215*K129+L215*L129+M215*M129+N215*N129+O215*O129+P215*P129+Q215*Q129+R215*R129+S215*S129+T215*T129+U215*U129+V215*V129+W215*W129+X215*X129+Y215*Y129+Z215*Z129+AA215*AA129+AB215*AB129+AC215*AC129+AD215*AD129+AE215*AE129+AF215*AF129+AG215*AG129+AH215*AH129+AI215*AI129+AJ215*AJ129+AK215*AK129+AL215*AL129+AM215*AM129+AN215*AN129+AO215*AO129+AP215*AP129+AQ215*AQ129+AR215*AR129+AS215*AS129+AT215*AT129+AU215*AU129+AV215*AV129+AW215*AW129+AX215*AX129+AY215*AY129+AZ215*AZ129+BA215*BA129+BB215*BB129+BC215*BC129+BD215*BD129+BE215*BE129+BF215*BF129+BG215*BG129+BH215*BH129+BI215*BI129+BJ215*BJ129+BK215*BK129+BL215*BL129+BM215*BM129+BN215*BN129+BO215*BO129+BP215*BP129+BQ215*BQ129+BR215*BR129+BS215*BS129+BT215*BT129+BU215*BU129+BV215*BV129+BW215*BW129+BX215*BX129+BY215*BY129+BZ215*BZ129+CA215*CA129+CB215*CB129+CC215*CC129+CD215*CD129+CE215*CE129+CF215*CF129+CG215*CG129+CH215*CH129</f>
        <v>0</v>
      </c>
      <c r="CQ129" s="1952">
        <f>E216*E129+F216*F129+G216*G129+H216*H129+I216*I129+J216*J129+K216*K129+L216*L129+M216*M129+N216*N129+O216*O129+P216*P129+Q216*Q129+R216*R129+S216*S129+T216*T129+U216*U129+V216*V129+W216*W129+X216*X129+Y216*Y129+Z216*Z129+AA216*AA129+AB216*AB129+AC216*AC129+AD216*AD129+AE216*AE129+AF216*AF129+AG216*AG129+AH216*AH129+AI216*AI129+AJ216*AJ129+AK216*AK129+AL216*AL129+AM216*AM129+AN216*AN129+AO216*AO129+AP216*AP129+AQ216*AQ129+AR216*AR129+AS216*AS129+AT216*AT129+AU216*AU129+AV216*AV129+AW216*AW129+AX216*AX129+AY216*AY129+AZ216*AZ129+BA216*BA129+BB216*BB129+BC216*BC129+BD216*BD129+BE216*BE129+BF216*BF129+BG216*BG129+BH216*BH129+BI216*BI129+BJ216*BJ129+BK216*BK129+BL216*BL129+BM216*BM129+BN216*BN129+BO216*BO129+BP216*BP129+BQ216*BQ129+BR216*BR129+BS216*BS129+BT216*BT129+BU216*BU129+BV216*BV129+BW216*BW129+BX216*BX129+BY216*BY129+BZ216*BZ129+CA216*CA129+CB216*CB129+CC216*CC129+CD216*CD129+CE216*CE129+CF216*CF129+CG216*CG129+CH216*CH129</f>
        <v>0</v>
      </c>
      <c r="CR129" s="1952">
        <f>E217*E129+F217*F129+G217*G129+H217*H129+I217*I129+J217*J129+K217*K129+L217*L129+M217*M129+N217*N129+O217*O129+P217*P129+Q217*Q129+R217*R129+S217*S129+T217*T129+U217*U129+V217*V129+W217*W129+X217*X129+Y217*Y129+Z217*Z129+AA217*AA129+AB217*AB129+AC217*AC129+AD217*AD129+AE217*AE129+AF217*AF129+AG217*AG129+AH217*AH129+AI217*AI129+AJ217*AJ129+AK217*AK129+AL217*AL129+AM217*AM129+AN217*AN129+AO217*AO129+AP217*AP129+AQ217*AQ129+AR217*AR129+AS217*AS129+AT217*AT129+AU217*AU129+AV217*AV129+AW217*AW129+AX217*AX129+AY217*AY129+AZ217*AZ129+BA217*BA129+BB217*BB129+BC217*BC129+BD217*BD129+BE217*BE129+BF217*BF129+BG217*BG129+BH217*BH129+BI217*BI129+BJ217*BJ129+BK217*BK129+BL217*BL129+BM217*BM129+BN217*BN129+BO217*BO129+BP217*BP129+BQ217*BQ129+BR217*BR129+BS217*BS129+BT217*BT129+BU217*BU129+BV217*BV129+BW217*BW129+BX217*BX129+BY217*BY129+BZ217*BZ129+CA217*CA129+CB217*CB129+CC217*CC129+CD217*CD129+CE217*CE129+CF217*CF129+CG217*CG129+CH217*CH129</f>
        <v>0</v>
      </c>
      <c r="CS129" s="1952">
        <f>E218*E129+F218*F129+G218*G129+H218*H129+I218*I129+J218*J129+K218*K129+L218*L129+M218*M129+N218*N129+O218*O129+P218*P129+Q218*Q129+R218*R129+S218*S129+T218*T129+U218*U129+V218*V129+W218*W129+X218*X129+Y218*Y129+Z218*Z129+AA218*AA129+AB218*AB129+AC218*AC129+AD218*AD129+AE218*AE129+AF218*AF129+AG218*AG129+AH218*AH129+AI218*AI129+AJ218*AJ129+AK218*AK129+AL218*AL129+AM218*AM129+AN218*AN129+AO218*AO129+AP218*AP129+AQ218*AQ129+AR218*AR129+AS218*AS129+AT218*AT129+AU218*AU129+AV218*AV129+AW218*AW129+AX218*AX129+AY218*AY129+AZ218*AZ129+BA218*BA129+BB218*BB129+BC218*BC129+BD218*BD129+BE218*BE129+BF218*BF129+BG218*BG129+BH218*BH129+BI218*BI129+BJ218*BJ129+BK218*BK129+BL218*BL129+BM218*BM129+BN218*BN129+BO218*BO129+BP218*BP129+BQ218*BQ129+BR218*BR129+BS218*BS129+BT218*BT129+BU218*BU129+BV218*BV129+BW218*BW129+BX218*BX129+BY218*BY129+BZ218*BZ129+CA218*CA129+CB218*CB129+CC218*CC129+CD218*CD129+CE218*CE129+CF218*CF129+CG218*CG129+CH218*CH129</f>
        <v>0</v>
      </c>
      <c r="CT129" s="1952">
        <f>E219*E129+F219*F129+G219*G129+H219*H129+I219*I129+J219*J129+K219*K129+L219*L129+M219*M129+N219*N129+O219*O129+P219*P129+Q219*Q129+R219*R129+S219*S129+T219*T129+U219*U129+V219*V129+W219*W129+X219*X129+Y219*Y129+Z219*Z129+AA219*AA129+AB219*AB129+AC219*AC129+AD219*AD129+AE219*AE129+AF219*AF129+AG219*AG129+AH219*AH129+AI219*AI129+AJ219*AJ129+AK219*AK129+AL219*AL129+AM219*AM129+AN219*AN129+AO219*AO129+AP219*AP129+AQ219*AQ129+AR219*AR129+AS219*AS129+AT219*AT129+AU219*AU129+AV219*AV129+AW219*AW129+AX219*AX129+AY219*AY129+AZ219*AZ129+BA219*BA129+BB219*BB129+BC219*BC129+BD219*BD129+BE219*BE129+BF219*BF129+BG219*BG129+BH219*BH129+BI219*BI129+BJ219*BJ129+BK219*BK129+BL219*BL129+BM219*BM129+BN219*BN129+BO219*BO129+BP219*BP129+BQ219*BQ129+BR219*BR129+BS219*BS129+BT219*BT129+BU219*BU129+BV219*BV129+BW219*BW129+BX219*BX129+BY219*BY129+BZ219*BZ129+CA219*CA129+CB219*CB129+CC219*CC129+CD219*CD129+CE219*CE129+CF219*CF129+CG219*CG129+CH219*CH129</f>
        <v>0</v>
      </c>
      <c r="CU129" s="1952">
        <f>E220*E129+F220*F129+G220*G129+H220*H129+I220*I129+J220*J129+K220*K129+L220*L129+M220*M129+N220*N129+O220*O129+P220*P129+Q220*Q129+R220*R129+S220*S129+T220*T129+U220*U129+V220*V129+W220*W129+X220*X129+Y220*Y129+Z220*Z129+AA220*AA129+AB220*AB129+AC220*AC129+AD220*AD129+AE220*AE129+AF220*AF129+AG220*AG129+AH220*AH129+AI220*AI129+AJ220*AJ129+AK220*AK129+AL220*AL129+AM220*AM129+AN220*AN129+AO220*AO129+AP220*AP129+AQ220*AQ129+AR220*AR129+AS220*AS129+AT220*AT129+AU220*AU129+AV220*AV129+AW220*AW129+AX220*AX129+AY220*AY129+AZ220*AZ129+BA220*BA129+BB220*BB129+BC220*BC129+BD220*BD129+BE220*BE129+BF220*BF129+BG220*BG129+BH220*BH129+BI220*BI129+BJ220*BJ129+BK220*BK129+BL220*BL129+BM220*BM129+BN220*BN129+BO220*BO129+BP220*BP129+BQ220*BQ129+BR220*BR129+BS220*BS129+BT220*BT129+BU220*BU129+BV220*BV129+BW220*BW129+BX220*BX129+BY220*BY129+BZ220*BZ129+CA220*CA129+CB220*CB129+CC220*CC129+CD220*CD129+CE220*CE129+CF220*CF129+CG220*CG129+CH220*CH129</f>
        <v>0</v>
      </c>
    </row>
    <row r="130" spans="2:99" ht="18" x14ac:dyDescent="0.25">
      <c r="B130" s="1033">
        <v>16</v>
      </c>
      <c r="C130" s="1098" t="s">
        <v>238</v>
      </c>
      <c r="D130" s="1099" t="s">
        <v>3854</v>
      </c>
      <c r="E130" s="2057">
        <f>0</f>
        <v>0</v>
      </c>
      <c r="F130" s="2057">
        <f>0</f>
        <v>0</v>
      </c>
      <c r="G130" s="2057">
        <f>0</f>
        <v>0</v>
      </c>
      <c r="H130" s="2057">
        <f>0</f>
        <v>0</v>
      </c>
      <c r="I130" s="2080">
        <f>0</f>
        <v>0</v>
      </c>
      <c r="J130" s="2080">
        <f>0</f>
        <v>0</v>
      </c>
      <c r="K130" s="2057">
        <f>0</f>
        <v>0</v>
      </c>
      <c r="L130" s="2057">
        <f>0</f>
        <v>0</v>
      </c>
      <c r="M130" s="2057">
        <f>0</f>
        <v>0</v>
      </c>
      <c r="N130" s="2058">
        <f>0</f>
        <v>0</v>
      </c>
      <c r="O130" s="2058">
        <f>0</f>
        <v>0</v>
      </c>
      <c r="P130" s="2057">
        <f>0</f>
        <v>0</v>
      </c>
      <c r="Q130" s="2057">
        <f>0</f>
        <v>0</v>
      </c>
      <c r="R130" s="2057">
        <f>0</f>
        <v>0</v>
      </c>
      <c r="S130" s="2058">
        <f>-Y_PP_CASTO_anox</f>
        <v>-0.23</v>
      </c>
      <c r="T130" s="2057">
        <f>0</f>
        <v>0</v>
      </c>
      <c r="U130" s="2057">
        <f>0</f>
        <v>0</v>
      </c>
      <c r="V130" s="2057">
        <f>0</f>
        <v>0</v>
      </c>
      <c r="W130" s="2057">
        <f>0</f>
        <v>0</v>
      </c>
      <c r="X130" s="2057">
        <f>0</f>
        <v>0</v>
      </c>
      <c r="Y130" s="2057">
        <f>i_N_BIO*Y_PP_CASTO_anox</f>
        <v>1.6100000000000003E-2</v>
      </c>
      <c r="Z130" s="2058">
        <f>-Y_PP_CASTO_anox/E_EQN2_NO3</f>
        <v>-8.0541545307949047E-2</v>
      </c>
      <c r="AA130" s="2058">
        <f>Y_PP_CASTO_anox/E_EQN2_NO3</f>
        <v>8.0541545307949047E-2</v>
      </c>
      <c r="AB130" s="2057">
        <f>0</f>
        <v>0</v>
      </c>
      <c r="AC130" s="2080">
        <f>0</f>
        <v>0</v>
      </c>
      <c r="AD130" s="2080">
        <f>0</f>
        <v>0</v>
      </c>
      <c r="AE130" s="2057">
        <f>0</f>
        <v>0</v>
      </c>
      <c r="AF130" s="2058">
        <f>i_P_BIO*Y_PP_CASTO_anox-1</f>
        <v>-0.99539999999999995</v>
      </c>
      <c r="AG130" s="2057">
        <f>1</f>
        <v>1</v>
      </c>
      <c r="AH130" s="2057">
        <f>0</f>
        <v>0</v>
      </c>
      <c r="AI130" s="2080">
        <f>0</f>
        <v>0</v>
      </c>
      <c r="AJ130" s="2080">
        <f>0</f>
        <v>0</v>
      </c>
      <c r="AK130" s="2057">
        <f>0</f>
        <v>0</v>
      </c>
      <c r="AL130" s="2057">
        <f>0</f>
        <v>0</v>
      </c>
      <c r="AM130" s="2057">
        <f>0</f>
        <v>0</v>
      </c>
      <c r="AN130" s="2057">
        <f>0</f>
        <v>0</v>
      </c>
      <c r="AO130" s="2058">
        <f>i_CIT_BIO*Y_PP_CASTO_anox</f>
        <v>8.0960000000000004E-2</v>
      </c>
      <c r="AP130" s="2058">
        <f>-i_INORG*Y_PP_CASTO_anox</f>
        <v>-2.53E-2</v>
      </c>
      <c r="AQ130" s="2058">
        <f>Y_PP_CASTO_anox*i_INORG*(1-i_Ca_INORG*(A_MCa+2*A_MCl)/A_MCa-i_Mg_INORG*(A_MMg+2*A_MCl)/A_MMg)*f_Na</f>
        <v>6.6249898240436462E-3</v>
      </c>
      <c r="AR130" s="2058">
        <f>Y_PP_CASTO_anox*(i_INORG*(i_Ca_INORG*(2*A_MCl)/A_MCa+i_Mg_INORG*(2*A_MCl)/A_MMg)+i_INORG*(1-i_Ca_INORG*(A_MCa+2*A_MCl)/A_MCa-i_Mg_INORG*(A_MMg+2*A_MCl)/A_MMg)*(1-f_Na))</f>
        <v>1.6145010175956355E-2</v>
      </c>
      <c r="AS130" s="2058">
        <f>Y_PP_CASTO_anox*i_INORG*i_Ca_INORG-i_Ca_PP*A_MCa/A_MP</f>
        <v>-0.12812838702613275</v>
      </c>
      <c r="AT130" s="2058">
        <f>Y_PP_CASTO_anox*i_INORG*i_Mg_INORG-i_Mg_PP*A_MMg/A_MP</f>
        <v>-0.27337874347136937</v>
      </c>
      <c r="AU130" s="2058">
        <f>-i_K_PP*A_MK/A_MP</f>
        <v>-0.12623038734377579</v>
      </c>
      <c r="AV130" s="2058">
        <f>0</f>
        <v>0</v>
      </c>
      <c r="AW130" s="2058">
        <f>0</f>
        <v>0</v>
      </c>
      <c r="AX130" s="2058">
        <f>0</f>
        <v>0</v>
      </c>
      <c r="AY130" s="2058">
        <f>0</f>
        <v>0</v>
      </c>
      <c r="AZ130" s="2058">
        <f>0</f>
        <v>0</v>
      </c>
      <c r="BA130" s="2058">
        <f>0</f>
        <v>0</v>
      </c>
      <c r="BB130" s="2058">
        <f>0</f>
        <v>0</v>
      </c>
      <c r="BC130" s="2058">
        <f>0</f>
        <v>0</v>
      </c>
      <c r="BD130" s="2058">
        <f>0</f>
        <v>0</v>
      </c>
      <c r="BE130" s="2058">
        <f>0</f>
        <v>0</v>
      </c>
      <c r="BF130" s="2058">
        <f>0</f>
        <v>0</v>
      </c>
      <c r="BG130" s="2058">
        <f>0</f>
        <v>0</v>
      </c>
      <c r="BH130" s="2058">
        <f>0</f>
        <v>0</v>
      </c>
      <c r="BI130" s="2058">
        <f>0</f>
        <v>0</v>
      </c>
      <c r="BJ130" s="2058">
        <f>0</f>
        <v>0</v>
      </c>
      <c r="BK130" s="2058">
        <f>0</f>
        <v>0</v>
      </c>
      <c r="BL130" s="2058">
        <f>0</f>
        <v>0</v>
      </c>
      <c r="BM130" s="2058">
        <f>0</f>
        <v>0</v>
      </c>
      <c r="BN130" s="2058">
        <f>0</f>
        <v>0</v>
      </c>
      <c r="BO130" s="2058">
        <f>0</f>
        <v>0</v>
      </c>
      <c r="BP130" s="2112">
        <f>0</f>
        <v>0</v>
      </c>
      <c r="BQ130" s="2112">
        <f>0</f>
        <v>0</v>
      </c>
      <c r="BR130" s="2112">
        <f>0</f>
        <v>0</v>
      </c>
      <c r="BS130" s="2112">
        <f>0</f>
        <v>0</v>
      </c>
      <c r="BT130" s="2058">
        <f>0</f>
        <v>0</v>
      </c>
      <c r="BU130" s="2058">
        <f>0</f>
        <v>0</v>
      </c>
      <c r="BV130" s="2058">
        <f>0</f>
        <v>0</v>
      </c>
      <c r="BW130" s="2058">
        <f>0</f>
        <v>0</v>
      </c>
      <c r="BX130" s="2058">
        <f>0</f>
        <v>0</v>
      </c>
      <c r="BY130" s="2058">
        <f>0</f>
        <v>0</v>
      </c>
      <c r="BZ130" s="2058">
        <f>0</f>
        <v>0</v>
      </c>
      <c r="CA130" s="2058">
        <f>0</f>
        <v>0</v>
      </c>
      <c r="CB130" s="2058">
        <f>0</f>
        <v>0</v>
      </c>
      <c r="CC130" s="2058">
        <f>0</f>
        <v>0</v>
      </c>
      <c r="CD130" s="2058">
        <f>0</f>
        <v>0</v>
      </c>
      <c r="CE130" s="2058">
        <f>0</f>
        <v>0</v>
      </c>
      <c r="CF130" s="2058">
        <f>0</f>
        <v>0</v>
      </c>
      <c r="CG130" s="2058">
        <f>0</f>
        <v>0</v>
      </c>
      <c r="CH130" s="2058">
        <f>0</f>
        <v>0</v>
      </c>
      <c r="CI130" s="2139">
        <f>q_PAO_PP_T*X_PAO/(X_PP+X_PP_PAO_min)*X_PAO*η_CASTO_anox*M_satSNOx_KNOx_CASTO*M_inhSO2_KO2_CASTO*L_ogsatSPO4_KPO4_PAO*L_oginhXPP_XPAO_max*M_satSCa_KCa_PAO*M_satSMg_KMg_PAO*M_satSK_KK_PAO*B_ellinhpH</f>
        <v>5.0322446873514082</v>
      </c>
      <c r="CK130" s="1950">
        <f>E210*E130+F210*F130+G210*G130+H210*H130+I210*I130+J210*J130+K210*K130+L210*L130+M210*M130+N210*N130+O210*O130+P210*P130+Q210*Q130+R210*R130+S210*S130+T210*T130+U210*U130+V210*V130+W210*W130+X210*X130+Y210*Y130+Z210*Z130+AA210*AA130+AB210*AB130+AC210*AC130+AD210*AD130+AE210*AE130+AF210*AF130+AG210*AG130+AH210*AH130+AI210*AI130+AJ210*AJ130+AK210*AK130+AL210*AL130+AM210*AM130+AN210*AN130+AO210*AO130+AP210*AP130+AQ210*AQ130+AR210*AR130+AS210*AS130+AT210*AT130+AU210*AU130+AV210*AV130+AW210*AW130+AX210*AX130+AY210*AY130+AZ210*AZ130+BA210*BA130+BB210*BB130+BC210*BC130+BD210*BD130+BE210*BE130+BF210*BF130+BG210*BG130+BH210*BH130+BI210*BI130+BJ210*BJ130+BK210*BK130+BL210*BL130+BM210*BM130+BN210*BN130+BO210*BO130+BP210*BP130+BQ210*BQ130+BR210*BR130+BS210*BS130+BT210*BT130+BU210*BU130+BV210*BV130+BW210*BW130+BX210*BX130+BY210*BY130+BZ210*BZ130+CA210*CA130+CB210*CB130+CC210*CC130+CD210*CD130+CE210*CE130+CF210*CF130+CG210*CG130+CH210*CH130</f>
        <v>-5.5511151231257827E-17</v>
      </c>
      <c r="CL130" s="1950">
        <f>E211*E130+F211*F130+G211*G130+H211*H130+I211*I130+J211*J130+K211*K130+L211*L130+M211*M130+N211*N130+O211*O130+P211*P130+Q211*Q130+R211*R130+S211*S130+T211*T130+U211*U130+V211*V130+W211*W130+X211*X130+Y211*Y130+Z211*Z130+AA211*AA130+AB211*AB130+AC211*AC130+AD211*AD130+AE211*AE130+AF211*AF130+AG211*AG130+AH211*AH130+AI211*AI130+AJ211*AJ130+AK211*AK130+AL211*AL130+AM211*AM130+AN211*AN130+AO211*AO130+AP211*AP130+AQ211*AQ130+AR211*AR130+AS211*AS130+AT211*AT130+AU211*AU130+AV211*AV130+AW211*AW130+AX211*AX130+AY211*AY130+AZ211*AZ130+BA211*BA130+BB211*BB130+BC211*BC130+BD211*BD130+BE211*BE130+BF211*BF130+BG211*BG130+BH211*BH130+BI211*BI130+BJ211*BJ130+BK211*BK130+BL211*BL130+BM211*BM130+BN211*BN130+BO211*BO130+BP211*BP130+BQ211*BQ130+BR211*BR130+BS211*BS130+BT211*BT130+BU211*BU130+BV211*BV130+BW211*BW130+BX211*BX130+BY211*BY130+BZ211*BZ130+CA211*CA130+CB211*CB130+CC211*CC130+CD211*CD130+CE211*CE130+CF211*CF130+CG211*CG130+CH211*CH130</f>
        <v>0</v>
      </c>
      <c r="CM130" s="1951">
        <f>E212*E130+F212*F130+G212*G130+H212*H130+I212*I130+J212*J130+K212*K130+L212*L130+M212*M130+N212*N130+O212*O130+P212*P130+Q212*Q130+R212*R130+S212*S130+T212*T130+U212*U130+V212*V130+W212*W130+X212*X130+Y212*Y130+Z212*Z130+AA212*AA130+AB212*AB130+AC212*AC130+AD212*AD130+AE212*AE130+AF212*AF130+AG212*AG130+AH212*AH130+AI212*AI130+AJ212*AJ130+AK212*AK130+AL212*AL130+AM212*AM130+AN212*AN130+AO212*AO130+AP212*AP130+AQ212*AQ130+AR212*AR130+AS212*AS130+AT212*AT130+AU212*AU130+AV212*AV130+AW212*AW130+AX212*AX130+AY212*AY130+AZ212*AZ130+BA212*BA130+BB212*BB130+BC212*BC130+BD212*BD130+BE212*BE130+BF212*BF130+BG212*BG130+BH212*BH130+BI212*BI130+BJ212*BJ130+BK212*BK130+BL212*BL130+BM212*BM130+BN212*BN130+BO212*BO130+BP212*BP130+BQ212*BQ130+BR212*BR130+BS212*BS130+BT212*BT130+BU212*BU130+BV212*BV130+BW212*BW130+BX212*BX130+BY212*BY130+BZ212*BZ130+CA212*CA130+CB212*CB130+CC212*CC130+CD212*CD130+CE212*CE130+CF212*CF130+CG212*CG130+CH212*CH130</f>
        <v>0</v>
      </c>
      <c r="CN130" s="1952">
        <f>E213*E130+F213*F130+G213*G130+H213*H130+I213*I130+J213*J130+K213*K130+L213*L130+M213*M130+N213*N130+O213*O130+P213*P130+Q213*Q130+R213*R130+S213*S130+T213*T130+U213*U130+V213*V130+W213*W130+X213*X130+Y213*Y130+Z213*Z130+AA213*AA130+AB213*AB130+AC213*AC130+AD213*AD130+AE213*AE130+AF213*AF130+AG213*AG130+AH213*AH130+AI213*AI130+AJ213*AJ130+AK213*AK130+AL213*AL130+AM213*AM130+AN213*AN130+AO213*AO130+AP213*AP130+AQ213*AQ130+AR213*AR130+AS213*AS130+AT213*AT130+AU213*AU130+AV213*AV130+AW213*AW130+AX213*AX130+AY213*AY130+AZ213*AZ130+BA213*BA130+BB213*BB130+BC213*BC130+BD213*BD130+BE213*BE130+BF213*BF130+BG213*BG130+BH213*BH130+BI213*BI130+BJ213*BJ130+BK213*BK130+BL213*BL130+BM213*BM130+BN213*BN130+BO213*BO130+BP213*BP130+BQ213*BQ130+BR213*BR130+BS213*BS130+BT213*BT130+BU213*BU130+BV213*BV130+BW213*BW130+BX213*BX130+BY213*BY130+BZ213*BZ130+CA213*CA130+CB213*CB130+CC213*CC130+CD213*CD130+CE213*CE130+CF213*CF130+CG213*CG130+CH213*CH130</f>
        <v>0</v>
      </c>
      <c r="CO130" s="1952">
        <f>E214*E130+F214*F130+G214*G130+H214*H130+I214*I130+J214*J130+K214*K130+L214*L130+M214*M130+N214*N130+O214*O130+P214*P130+Q214*Q130+R214*R130+S214*S130+T214*T130+U214*U130+V214*V130+W214*W130+X214*X130+Y214*Y130+Z214*Z130+AA214*AA130+AB214*AB130+AC214*AC130+AD214*AD130+AE214*AE130+AF214*AF130+AG214*AG130+AH214*AH130+AI214*AI130+AJ214*AJ130+AK214*AK130+AL214*AL130+AM214*AM130+AN214*AN130+AO214*AO130+AP214*AP130+AQ214*AQ130+AR214*AR130+AS214*AS130+AT214*AT130+AU214*AU130+AV214*AV130+AW214*AW130+AX214*AX130+AY214*AY130+AZ214*AZ130+BA214*BA130+BB214*BB130+BC214*BC130+BD214*BD130+BE214*BE130+BF214*BF130+BG214*BG130+BH214*BH130+BI214*BI130+BJ214*BJ130+BK214*BK130+BL214*BL130+BM214*BM130+BN214*BN130+BO214*BO130+BP214*BP130+BQ214*BQ130+BR214*BR130+BS214*BS130+BT214*BT130+BU214*BU130+BV214*BV130+BW214*BW130+BX214*BX130+BY214*BY130+BZ214*BZ130+CA214*CA130+CB214*CB130+CC214*CC130+CD214*CD130+CE214*CE130+CF214*CF130+CG214*CG130+CH214*CH130</f>
        <v>-8.6736173798840355E-19</v>
      </c>
      <c r="CP130" s="1952">
        <f>E215*E130+F215*F130+G215*G130+H215*H130+I215*I130+J215*J130+K215*K130+L215*L130+M215*M130+N215*N130+O215*O130+P215*P130+Q215*Q130+R215*R130+S215*S130+T215*T130+U215*U130+V215*V130+W215*W130+X215*X130+Y215*Y130+Z215*Z130+AA215*AA130+AB215*AB130+AC215*AC130+AD215*AD130+AE215*AE130+AF215*AF130+AG215*AG130+AH215*AH130+AI215*AI130+AJ215*AJ130+AK215*AK130+AL215*AL130+AM215*AM130+AN215*AN130+AO215*AO130+AP215*AP130+AQ215*AQ130+AR215*AR130+AS215*AS130+AT215*AT130+AU215*AU130+AV215*AV130+AW215*AW130+AX215*AX130+AY215*AY130+AZ215*AZ130+BA215*BA130+BB215*BB130+BC215*BC130+BD215*BD130+BE215*BE130+BF215*BF130+BG215*BG130+BH215*BH130+BI215*BI130+BJ215*BJ130+BK215*BK130+BL215*BL130+BM215*BM130+BN215*BN130+BO215*BO130+BP215*BP130+BQ215*BQ130+BR215*BR130+BS215*BS130+BT215*BT130+BU215*BU130+BV215*BV130+BW215*BW130+BX215*BX130+BY215*BY130+BZ215*BZ130+CA215*CA130+CB215*CB130+CC215*CC130+CD215*CD130+CE215*CE130+CF215*CF130+CG215*CG130+CH215*CH130</f>
        <v>0</v>
      </c>
      <c r="CQ130" s="1952">
        <f>E216*E130+F216*F130+G216*G130+H216*H130+I216*I130+J216*J130+K216*K130+L216*L130+M216*M130+N216*N130+O216*O130+P216*P130+Q216*Q130+R216*R130+S216*S130+T216*T130+U216*U130+V216*V130+W216*W130+X216*X130+Y216*Y130+Z216*Z130+AA216*AA130+AB216*AB130+AC216*AC130+AD216*AD130+AE216*AE130+AF216*AF130+AG216*AG130+AH216*AH130+AI216*AI130+AJ216*AJ130+AK216*AK130+AL216*AL130+AM216*AM130+AN216*AN130+AO216*AO130+AP216*AP130+AQ216*AQ130+AR216*AR130+AS216*AS130+AT216*AT130+AU216*AU130+AV216*AV130+AW216*AW130+AX216*AX130+AY216*AY130+AZ216*AZ130+BA216*BA130+BB216*BB130+BC216*BC130+BD216*BD130+BE216*BE130+BF216*BF130+BG216*BG130+BH216*BH130+BI216*BI130+BJ216*BJ130+BK216*BK130+BL216*BL130+BM216*BM130+BN216*BN130+BO216*BO130+BP216*BP130+BQ216*BQ130+BR216*BR130+BS216*BS130+BT216*BT130+BU216*BU130+BV216*BV130+BW216*BW130+BX216*BX130+BY216*BY130+BZ216*BZ130+CA216*CA130+CB216*CB130+CC216*CC130+CD216*CD130+CE216*CE130+CF216*CF130+CG216*CG130+CH216*CH130</f>
        <v>0</v>
      </c>
      <c r="CR130" s="1952">
        <f>E217*E130+F217*F130+G217*G130+H217*H130+I217*I130+J217*J130+K217*K130+L217*L130+M217*M130+N217*N130+O217*O130+P217*P130+Q217*Q130+R217*R130+S217*S130+T217*T130+U217*U130+V217*V130+W217*W130+X217*X130+Y217*Y130+Z217*Z130+AA217*AA130+AB217*AB130+AC217*AC130+AD217*AD130+AE217*AE130+AF217*AF130+AG217*AG130+AH217*AH130+AI217*AI130+AJ217*AJ130+AK217*AK130+AL217*AL130+AM217*AM130+AN217*AN130+AO217*AO130+AP217*AP130+AQ217*AQ130+AR217*AR130+AS217*AS130+AT217*AT130+AU217*AU130+AV217*AV130+AW217*AW130+AX217*AX130+AY217*AY130+AZ217*AZ130+BA217*BA130+BB217*BB130+BC217*BC130+BD217*BD130+BE217*BE130+BF217*BF130+BG217*BG130+BH217*BH130+BI217*BI130+BJ217*BJ130+BK217*BK130+BL217*BL130+BM217*BM130+BN217*BN130+BO217*BO130+BP217*BP130+BQ217*BQ130+BR217*BR130+BS217*BS130+BT217*BT130+BU217*BU130+BV217*BV130+BW217*BW130+BX217*BX130+BY217*BY130+BZ217*BZ130+CA217*CA130+CB217*CB130+CC217*CC130+CD217*CD130+CE217*CE130+CF217*CF130+CG217*CG130+CH217*CH130</f>
        <v>0</v>
      </c>
      <c r="CS130" s="1952">
        <f>E218*E130+F218*F130+G218*G130+H218*H130+I218*I130+J218*J130+K218*K130+L218*L130+M218*M130+N218*N130+O218*O130+P218*P130+Q218*Q130+R218*R130+S218*S130+T218*T130+U218*U130+V218*V130+W218*W130+X218*X130+Y218*Y130+Z218*Z130+AA218*AA130+AB218*AB130+AC218*AC130+AD218*AD130+AE218*AE130+AF218*AF130+AG218*AG130+AH218*AH130+AI218*AI130+AJ218*AJ130+AK218*AK130+AL218*AL130+AM218*AM130+AN218*AN130+AO218*AO130+AP218*AP130+AQ218*AQ130+AR218*AR130+AS218*AS130+AT218*AT130+AU218*AU130+AV218*AV130+AW218*AW130+AX218*AX130+AY218*AY130+AZ218*AZ130+BA218*BA130+BB218*BB130+BC218*BC130+BD218*BD130+BE218*BE130+BF218*BF130+BG218*BG130+BH218*BH130+BI218*BI130+BJ218*BJ130+BK218*BK130+BL218*BL130+BM218*BM130+BN218*BN130+BO218*BO130+BP218*BP130+BQ218*BQ130+BR218*BR130+BS218*BS130+BT218*BT130+BU218*BU130+BV218*BV130+BW218*BW130+BX218*BX130+BY218*BY130+BZ218*BZ130+CA218*CA130+CB218*CB130+CC218*CC130+CD218*CD130+CE218*CE130+CF218*CF130+CG218*CG130+CH218*CH130</f>
        <v>0</v>
      </c>
      <c r="CT130" s="1952">
        <f>E219*E130+F219*F130+G219*G130+H219*H130+I219*I130+J219*J130+K219*K130+L219*L130+M219*M130+N219*N130+O219*O130+P219*P130+Q219*Q130+R219*R130+S219*S130+T219*T130+U219*U130+V219*V130+W219*W130+X219*X130+Y219*Y130+Z219*Z130+AA219*AA130+AB219*AB130+AC219*AC130+AD219*AD130+AE219*AE130+AF219*AF130+AG219*AG130+AH219*AH130+AI219*AI130+AJ219*AJ130+AK219*AK130+AL219*AL130+AM219*AM130+AN219*AN130+AO219*AO130+AP219*AP130+AQ219*AQ130+AR219*AR130+AS219*AS130+AT219*AT130+AU219*AU130+AV219*AV130+AW219*AW130+AX219*AX130+AY219*AY130+AZ219*AZ130+BA219*BA130+BB219*BB130+BC219*BC130+BD219*BD130+BE219*BE130+BF219*BF130+BG219*BG130+BH219*BH130+BI219*BI130+BJ219*BJ130+BK219*BK130+BL219*BL130+BM219*BM130+BN219*BN130+BO219*BO130+BP219*BP130+BQ219*BQ130+BR219*BR130+BS219*BS130+BT219*BT130+BU219*BU130+BV219*BV130+BW219*BW130+BX219*BX130+BY219*BY130+BZ219*BZ130+CA219*CA130+CB219*CB130+CC219*CC130+CD219*CD130+CE219*CE130+CF219*CF130+CG219*CG130+CH219*CH130</f>
        <v>0</v>
      </c>
      <c r="CU130" s="1952">
        <f>E220*E130+F220*F130+G220*G130+H220*H130+I220*I130+J220*J130+K220*K130+L220*L130+M220*M130+N220*N130+O220*O130+P220*P130+Q220*Q130+R220*R130+S220*S130+T220*T130+U220*U130+V220*V130+W220*W130+X220*X130+Y220*Y130+Z220*Z130+AA220*AA130+AB220*AB130+AC220*AC130+AD220*AD130+AE220*AE130+AF220*AF130+AG220*AG130+AH220*AH130+AI220*AI130+AJ220*AJ130+AK220*AK130+AL220*AL130+AM220*AM130+AN220*AN130+AO220*AO130+AP220*AP130+AQ220*AQ130+AR220*AR130+AS220*AS130+AT220*AT130+AU220*AU130+AV220*AV130+AW220*AW130+AX220*AX130+AY220*AY130+AZ220*AZ130+BA220*BA130+BB220*BB130+BC220*BC130+BD220*BD130+BE220*BE130+BF220*BF130+BG220*BG130+BH220*BH130+BI220*BI130+BJ220*BJ130+BK220*BK130+BL220*BL130+BM220*BM130+BN220*BN130+BO220*BO130+BP220*BP130+BQ220*BQ130+BR220*BR130+BS220*BS130+BT220*BT130+BU220*BU130+BV220*BV130+BW220*BW130+BX220*BX130+BY220*BY130+BZ220*BZ130+CA220*CA130+CB220*CB130+CC220*CC130+CD220*CD130+CE220*CE130+CF220*CF130+CG220*CG130+CH220*CH130</f>
        <v>0</v>
      </c>
    </row>
    <row r="131" spans="2:99" ht="18" x14ac:dyDescent="0.25">
      <c r="B131" s="1033">
        <v>17</v>
      </c>
      <c r="C131" s="1098" t="s">
        <v>239</v>
      </c>
      <c r="D131" s="1099" t="s">
        <v>1652</v>
      </c>
      <c r="E131" s="2057">
        <f>0</f>
        <v>0</v>
      </c>
      <c r="F131" s="2057">
        <f>0</f>
        <v>0</v>
      </c>
      <c r="G131" s="2057">
        <f>0</f>
        <v>0</v>
      </c>
      <c r="H131" s="2057">
        <f>0</f>
        <v>0</v>
      </c>
      <c r="I131" s="2080">
        <f>0</f>
        <v>0</v>
      </c>
      <c r="J131" s="2080">
        <f>0</f>
        <v>0</v>
      </c>
      <c r="K131" s="2057">
        <f>0</f>
        <v>0</v>
      </c>
      <c r="L131" s="2057">
        <f>0</f>
        <v>0</v>
      </c>
      <c r="M131" s="2057">
        <f>0</f>
        <v>0</v>
      </c>
      <c r="N131" s="2058">
        <f>-1/Y_PAO_PHA_ox</f>
        <v>-1.5649452269170578</v>
      </c>
      <c r="O131" s="2058">
        <f>0</f>
        <v>0</v>
      </c>
      <c r="P131" s="2057">
        <f>0</f>
        <v>0</v>
      </c>
      <c r="Q131" s="2057">
        <f>0</f>
        <v>0</v>
      </c>
      <c r="R131" s="2057">
        <f>0</f>
        <v>0</v>
      </c>
      <c r="S131" s="2057">
        <f>1</f>
        <v>1</v>
      </c>
      <c r="T131" s="2057">
        <f>0</f>
        <v>0</v>
      </c>
      <c r="U131" s="2057">
        <f>0</f>
        <v>0</v>
      </c>
      <c r="V131" s="2057">
        <f>0</f>
        <v>0</v>
      </c>
      <c r="W131" s="2057">
        <f>0</f>
        <v>0</v>
      </c>
      <c r="X131" s="2057">
        <f>0</f>
        <v>0</v>
      </c>
      <c r="Y131" s="2057">
        <f>-i_N_BIO</f>
        <v>-7.0000000000000007E-2</v>
      </c>
      <c r="Z131" s="2057">
        <f>0</f>
        <v>0</v>
      </c>
      <c r="AA131" s="2057">
        <f>0</f>
        <v>0</v>
      </c>
      <c r="AB131" s="2057">
        <f>0</f>
        <v>0</v>
      </c>
      <c r="AC131" s="2080">
        <f>0</f>
        <v>0</v>
      </c>
      <c r="AD131" s="2080">
        <f>0</f>
        <v>0</v>
      </c>
      <c r="AE131" s="2057">
        <f>0</f>
        <v>0</v>
      </c>
      <c r="AF131" s="2057">
        <f>0</f>
        <v>0</v>
      </c>
      <c r="AG131" s="2057">
        <f>-i_P_BIO</f>
        <v>-0.02</v>
      </c>
      <c r="AH131" s="2057">
        <f>0</f>
        <v>0</v>
      </c>
      <c r="AI131" s="2080">
        <f>0</f>
        <v>0</v>
      </c>
      <c r="AJ131" s="2080">
        <f>0</f>
        <v>0</v>
      </c>
      <c r="AK131" s="2057">
        <f>0</f>
        <v>0</v>
      </c>
      <c r="AL131" s="2058">
        <f>-(1-Y_PAO_PHA_ox)/Y_PAO_PHA_ox</f>
        <v>-0.56494522691705784</v>
      </c>
      <c r="AM131" s="2057">
        <f>0</f>
        <v>0</v>
      </c>
      <c r="AN131" s="2057">
        <f>0</f>
        <v>0</v>
      </c>
      <c r="AO131" s="2058">
        <f>(i_CIT_PHA/Y_PAO_PHA_ox)-i_CIT_BIO</f>
        <v>0.16912676056338027</v>
      </c>
      <c r="AP131" s="2057">
        <f>i_INORG</f>
        <v>0.11</v>
      </c>
      <c r="AQ131" s="2058">
        <f>-i_INORG*(1-i_Ca_INORG*(A_MCa+2*A_MCl)/A_MCa-i_Mg_INORG*(A_MMg+2*A_MCl)/A_MMg)*f_Na</f>
        <v>-2.8804303582798466E-2</v>
      </c>
      <c r="AR131" s="2058">
        <f>-i_INORG*(i_Ca_INORG*(2*A_MCl)/A_MCa+i_Mg_INORG*(2*A_MCl)/A_MMg)-i_INORG*(1-i_Ca_INORG*(A_MCa+2*A_MCl)/A_MCa-i_Mg_INORG*(A_MMg+2*A_MCl)/A_MMg)*(1-f_Na)</f>
        <v>-7.0195696417201539E-2</v>
      </c>
      <c r="AS131" s="2058">
        <f>-i_INORG*i_Ca_INORG+i_Ca_PP*A_MCa/A_MP*i_P_BIO</f>
        <v>-2.9121322594773459E-3</v>
      </c>
      <c r="AT131" s="2058">
        <f>-i_INORG*i_Mg_INORG+i_Mg_PP*A_MMg/A_MP*i_P_BIO</f>
        <v>-7.1251305726128047E-6</v>
      </c>
      <c r="AU131" s="2058">
        <f>i_K_PP*A_MK/A_MP*i_P_BIO</f>
        <v>2.5246077468755158E-3</v>
      </c>
      <c r="AV131" s="2058">
        <f>0</f>
        <v>0</v>
      </c>
      <c r="AW131" s="2058">
        <f>0</f>
        <v>0</v>
      </c>
      <c r="AX131" s="2058">
        <f>0</f>
        <v>0</v>
      </c>
      <c r="AY131" s="2058">
        <f>0</f>
        <v>0</v>
      </c>
      <c r="AZ131" s="2058">
        <f>0</f>
        <v>0</v>
      </c>
      <c r="BA131" s="2058">
        <f>0</f>
        <v>0</v>
      </c>
      <c r="BB131" s="2058">
        <f>0</f>
        <v>0</v>
      </c>
      <c r="BC131" s="2058">
        <f>0</f>
        <v>0</v>
      </c>
      <c r="BD131" s="2058">
        <f>0</f>
        <v>0</v>
      </c>
      <c r="BE131" s="2058">
        <f>0</f>
        <v>0</v>
      </c>
      <c r="BF131" s="2058">
        <f>0</f>
        <v>0</v>
      </c>
      <c r="BG131" s="2058">
        <f>0</f>
        <v>0</v>
      </c>
      <c r="BH131" s="2058">
        <f>0</f>
        <v>0</v>
      </c>
      <c r="BI131" s="2058">
        <f>0</f>
        <v>0</v>
      </c>
      <c r="BJ131" s="2058">
        <f>0</f>
        <v>0</v>
      </c>
      <c r="BK131" s="2058">
        <f>0</f>
        <v>0</v>
      </c>
      <c r="BL131" s="2058">
        <f>0</f>
        <v>0</v>
      </c>
      <c r="BM131" s="2058">
        <f>0</f>
        <v>0</v>
      </c>
      <c r="BN131" s="2058">
        <f>0</f>
        <v>0</v>
      </c>
      <c r="BO131" s="2058">
        <f>0</f>
        <v>0</v>
      </c>
      <c r="BP131" s="2112">
        <f>0</f>
        <v>0</v>
      </c>
      <c r="BQ131" s="2112">
        <f>0</f>
        <v>0</v>
      </c>
      <c r="BR131" s="2112">
        <f>0</f>
        <v>0</v>
      </c>
      <c r="BS131" s="2112">
        <f>0</f>
        <v>0</v>
      </c>
      <c r="BT131" s="2058">
        <f>0</f>
        <v>0</v>
      </c>
      <c r="BU131" s="2058">
        <f>0</f>
        <v>0</v>
      </c>
      <c r="BV131" s="2058">
        <f>0</f>
        <v>0</v>
      </c>
      <c r="BW131" s="2058">
        <f>0</f>
        <v>0</v>
      </c>
      <c r="BX131" s="2058">
        <f>0</f>
        <v>0</v>
      </c>
      <c r="BY131" s="2058">
        <f>0</f>
        <v>0</v>
      </c>
      <c r="BZ131" s="2058">
        <f>0</f>
        <v>0</v>
      </c>
      <c r="CA131" s="2058">
        <f>0</f>
        <v>0</v>
      </c>
      <c r="CB131" s="2058">
        <f>0</f>
        <v>0</v>
      </c>
      <c r="CC131" s="2058">
        <f>0</f>
        <v>0</v>
      </c>
      <c r="CD131" s="2058">
        <f>0</f>
        <v>0</v>
      </c>
      <c r="CE131" s="2058">
        <f>0</f>
        <v>0</v>
      </c>
      <c r="CF131" s="2058">
        <f>0</f>
        <v>0</v>
      </c>
      <c r="CG131" s="2058">
        <f>0</f>
        <v>0</v>
      </c>
      <c r="CH131" s="2058">
        <f>0</f>
        <v>0</v>
      </c>
      <c r="CI131" s="2139">
        <f>µ_PAO_lim_T*X_PAO*M_RsatXPHA_XPAO_KPHA*M_satSO2_KO2_CASTO*M_satSNHx_KNHx_BIO*M_inhSPO4_KiPO4_lim*M_satXPP_KPP_lim*M_satSCAT_KCAT*M_satSAN_KAN*M_satSCa_KCa*M_satSMg_KMg*B_ellinhpH</f>
        <v>1.6759891744191493</v>
      </c>
      <c r="CK131" s="1950">
        <f>E210*E131+F210*F131+G210*G131+H210*H131+I210*I131+J210*J131+K210*K131+L210*L131+M210*M131+N210*N131+O210*O131+P210*P131+Q210*Q131+R210*R131+S210*S131+T210*T131+U210*U131+V210*V131+W210*W131+X210*X131+Y210*Y131+Z210*Z131+AA210*AA131+AB210*AB131+AC210*AC131+AD210*AD131+AE210*AE131+AF210*AF131+AG210*AG131+AH210*AH131+AI210*AI131+AJ210*AJ131+AK210*AK131+AL210*AL131+AM210*AM131+AN210*AN131+AO210*AO131+AP210*AP131+AQ210*AQ131+AR210*AR131+AS210*AS131+AT210*AT131+AU210*AU131+AV210*AV131+AW210*AW131+AX210*AX131+AY210*AY131+AZ210*AZ131+BA210*BA131+BB210*BB131+BC210*BC131+BD210*BD131+BE210*BE131+BF210*BF131+BG210*BG131+BH210*BH131+BI210*BI131+BJ210*BJ131+BK210*BK131+BL210*BL131+BM210*BM131+BN210*BN131+BO210*BO131+BP210*BP131+BQ210*BQ131+BR210*BR131+BS210*BS131+BT210*BT131+BU210*BU131+BV210*BV131+BW210*BW131+BX210*BX131+BY210*BY131+BZ210*BZ131+CA210*CA131+CB210*CB131+CC210*CC131+CD210*CD131+CE210*CE131+CF210*CF131+CG210*CG131+CH210*CH131</f>
        <v>0</v>
      </c>
      <c r="CL131" s="1950">
        <f>E211*E131+F211*F131+G211*G131+H211*H131+I211*I131+J211*J131+K211*K131+L211*L131+M211*M131+N211*N131+O211*O131+P211*P131+Q211*Q131+R211*R131+S211*S131+T211*T131+U211*U131+V211*V131+W211*W131+X211*X131+Y211*Y131+Z211*Z131+AA211*AA131+AB211*AB131+AC211*AC131+AD211*AD131+AE211*AE131+AF211*AF131+AG211*AG131+AH211*AH131+AI211*AI131+AJ211*AJ131+AK211*AK131+AL211*AL131+AM211*AM131+AN211*AN131+AO211*AO131+AP211*AP131+AQ211*AQ131+AR211*AR131+AS211*AS131+AT211*AT131+AU211*AU131+AV211*AV131+AW211*AW131+AX211*AX131+AY211*AY131+AZ211*AZ131+BA211*BA131+BB211*BB131+BC211*BC131+BD211*BD131+BE211*BE131+BF211*BF131+BG211*BG131+BH211*BH131+BI211*BI131+BJ211*BJ131+BK211*BK131+BL211*BL131+BM211*BM131+BN211*BN131+BO211*BO131+BP211*BP131+BQ211*BQ131+BR211*BR131+BS211*BS131+BT211*BT131+BU211*BU131+BV211*BV131+BW211*BW131+BX211*BX131+BY211*BY131+BZ211*BZ131+CA211*CA131+CB211*CB131+CC211*CC131+CD211*CD131+CE211*CE131+CF211*CF131+CG211*CG131+CH211*CH131</f>
        <v>0</v>
      </c>
      <c r="CM131" s="1951">
        <f>E212*E131+F212*F131+G212*G131+H212*H131+I212*I131+J212*J131+K212*K131+L212*L131+M212*M131+N212*N131+O212*O131+P212*P131+Q212*Q131+R212*R131+S212*S131+T212*T131+U212*U131+V212*V131+W212*W131+X212*X131+Y212*Y131+Z212*Z131+AA212*AA131+AB212*AB131+AC212*AC131+AD212*AD131+AE212*AE131+AF212*AF131+AG212*AG131+AH212*AH131+AI212*AI131+AJ212*AJ131+AK212*AK131+AL212*AL131+AM212*AM131+AN212*AN131+AO212*AO131+AP212*AP131+AQ212*AQ131+AR212*AR131+AS212*AS131+AT212*AT131+AU212*AU131+AV212*AV131+AW212*AW131+AX212*AX131+AY212*AY131+AZ212*AZ131+BA212*BA131+BB212*BB131+BC212*BC131+BD212*BD131+BE212*BE131+BF212*BF131+BG212*BG131+BH212*BH131+BI212*BI131+BJ212*BJ131+BK212*BK131+BL212*BL131+BM212*BM131+BN212*BN131+BO212*BO131+BP212*BP131+BQ212*BQ131+BR212*BR131+BS212*BS131+BT212*BT131+BU212*BU131+BV212*BV131+BW212*BW131+BX212*BX131+BY212*BY131+BZ212*BZ131+CA212*CA131+CB212*CB131+CC212*CC131+CD212*CD131+CE212*CE131+CF212*CF131+CG212*CG131+CH212*CH131</f>
        <v>0</v>
      </c>
      <c r="CN131" s="1952">
        <f>E213*E131+F213*F131+G213*G131+H213*H131+I213*I131+J213*J131+K213*K131+L213*L131+M213*M131+N213*N131+O213*O131+P213*P131+Q213*Q131+R213*R131+S213*S131+T213*T131+U213*U131+V213*V131+W213*W131+X213*X131+Y213*Y131+Z213*Z131+AA213*AA131+AB213*AB131+AC213*AC131+AD213*AD131+AE213*AE131+AF213*AF131+AG213*AG131+AH213*AH131+AI213*AI131+AJ213*AJ131+AK213*AK131+AL213*AL131+AM213*AM131+AN213*AN131+AO213*AO131+AP213*AP131+AQ213*AQ131+AR213*AR131+AS213*AS131+AT213*AT131+AU213*AU131+AV213*AV131+AW213*AW131+AX213*AX131+AY213*AY131+AZ213*AZ131+BA213*BA131+BB213*BB131+BC213*BC131+BD213*BD131+BE213*BE131+BF213*BF131+BG213*BG131+BH213*BH131+BI213*BI131+BJ213*BJ131+BK213*BK131+BL213*BL131+BM213*BM131+BN213*BN131+BO213*BO131+BP213*BP131+BQ213*BQ131+BR213*BR131+BS213*BS131+BT213*BT131+BU213*BU131+BV213*BV131+BW213*BW131+BX213*BX131+BY213*BY131+BZ213*BZ131+CA213*CA131+CB213*CB131+CC213*CC131+CD213*CD131+CE213*CE131+CF213*CF131+CG213*CG131+CH213*CH131</f>
        <v>0</v>
      </c>
      <c r="CO131" s="1952">
        <f>E214*E131+F214*F131+G214*G131+H214*H131+I214*I131+J214*J131+K214*K131+L214*L131+M214*M131+N214*N131+O214*O131+P214*P131+Q214*Q131+R214*R131+S214*S131+T214*T131+U214*U131+V214*V131+W214*W131+X214*X131+Y214*Y131+Z214*Z131+AA214*AA131+AB214*AB131+AC214*AC131+AD214*AD131+AE214*AE131+AF214*AF131+AG214*AG131+AH214*AH131+AI214*AI131+AJ214*AJ131+AK214*AK131+AL214*AL131+AM214*AM131+AN214*AN131+AO214*AO131+AP214*AP131+AQ214*AQ131+AR214*AR131+AS214*AS131+AT214*AT131+AU214*AU131+AV214*AV131+AW214*AW131+AX214*AX131+AY214*AY131+AZ214*AZ131+BA214*BA131+BB214*BB131+BC214*BC131+BD214*BD131+BE214*BE131+BF214*BF131+BG214*BG131+BH214*BH131+BI214*BI131+BJ214*BJ131+BK214*BK131+BL214*BL131+BM214*BM131+BN214*BN131+BO214*BO131+BP214*BP131+BQ214*BQ131+BR214*BR131+BS214*BS131+BT214*BT131+BU214*BU131+BV214*BV131+BW214*BW131+BX214*BX131+BY214*BY131+BZ214*BZ131+CA214*CA131+CB214*CB131+CC214*CC131+CD214*CD131+CE214*CE131+CF214*CF131+CG214*CG131+CH214*CH131</f>
        <v>0</v>
      </c>
      <c r="CP131" s="1952">
        <f>E215*E131+F215*F131+G215*G131+H215*H131+I215*I131+J215*J131+K215*K131+L215*L131+M215*M131+N215*N131+O215*O131+P215*P131+Q215*Q131+R215*R131+S215*S131+T215*T131+U215*U131+V215*V131+W215*W131+X215*X131+Y215*Y131+Z215*Z131+AA215*AA131+AB215*AB131+AC215*AC131+AD215*AD131+AE215*AE131+AF215*AF131+AG215*AG131+AH215*AH131+AI215*AI131+AJ215*AJ131+AK215*AK131+AL215*AL131+AM215*AM131+AN215*AN131+AO215*AO131+AP215*AP131+AQ215*AQ131+AR215*AR131+AS215*AS131+AT215*AT131+AU215*AU131+AV215*AV131+AW215*AW131+AX215*AX131+AY215*AY131+AZ215*AZ131+BA215*BA131+BB215*BB131+BC215*BC131+BD215*BD131+BE215*BE131+BF215*BF131+BG215*BG131+BH215*BH131+BI215*BI131+BJ215*BJ131+BK215*BK131+BL215*BL131+BM215*BM131+BN215*BN131+BO215*BO131+BP215*BP131+BQ215*BQ131+BR215*BR131+BS215*BS131+BT215*BT131+BU215*BU131+BV215*BV131+BW215*BW131+BX215*BX131+BY215*BY131+BZ215*BZ131+CA215*CA131+CB215*CB131+CC215*CC131+CD215*CD131+CE215*CE131+CF215*CF131+CG215*CG131+CH215*CH131</f>
        <v>0</v>
      </c>
      <c r="CQ131" s="1952">
        <f>E216*E131+F216*F131+G216*G131+H216*H131+I216*I131+J216*J131+K216*K131+L216*L131+M216*M131+N216*N131+O216*O131+P216*P131+Q216*Q131+R216*R131+S216*S131+T216*T131+U216*U131+V216*V131+W216*W131+X216*X131+Y216*Y131+Z216*Z131+AA216*AA131+AB216*AB131+AC216*AC131+AD216*AD131+AE216*AE131+AF216*AF131+AG216*AG131+AH216*AH131+AI216*AI131+AJ216*AJ131+AK216*AK131+AL216*AL131+AM216*AM131+AN216*AN131+AO216*AO131+AP216*AP131+AQ216*AQ131+AR216*AR131+AS216*AS131+AT216*AT131+AU216*AU131+AV216*AV131+AW216*AW131+AX216*AX131+AY216*AY131+AZ216*AZ131+BA216*BA131+BB216*BB131+BC216*BC131+BD216*BD131+BE216*BE131+BF216*BF131+BG216*BG131+BH216*BH131+BI216*BI131+BJ216*BJ131+BK216*BK131+BL216*BL131+BM216*BM131+BN216*BN131+BO216*BO131+BP216*BP131+BQ216*BQ131+BR216*BR131+BS216*BS131+BT216*BT131+BU216*BU131+BV216*BV131+BW216*BW131+BX216*BX131+BY216*BY131+BZ216*BZ131+CA216*CA131+CB216*CB131+CC216*CC131+CD216*CD131+CE216*CE131+CF216*CF131+CG216*CG131+CH216*CH131</f>
        <v>0</v>
      </c>
      <c r="CR131" s="1952">
        <f>E217*E131+F217*F131+G217*G131+H217*H131+I217*I131+J217*J131+K217*K131+L217*L131+M217*M131+N217*N131+O217*O131+P217*P131+Q217*Q131+R217*R131+S217*S131+T217*T131+U217*U131+V217*V131+W217*W131+X217*X131+Y217*Y131+Z217*Z131+AA217*AA131+AB217*AB131+AC217*AC131+AD217*AD131+AE217*AE131+AF217*AF131+AG217*AG131+AH217*AH131+AI217*AI131+AJ217*AJ131+AK217*AK131+AL217*AL131+AM217*AM131+AN217*AN131+AO217*AO131+AP217*AP131+AQ217*AQ131+AR217*AR131+AS217*AS131+AT217*AT131+AU217*AU131+AV217*AV131+AW217*AW131+AX217*AX131+AY217*AY131+AZ217*AZ131+BA217*BA131+BB217*BB131+BC217*BC131+BD217*BD131+BE217*BE131+BF217*BF131+BG217*BG131+BH217*BH131+BI217*BI131+BJ217*BJ131+BK217*BK131+BL217*BL131+BM217*BM131+BN217*BN131+BO217*BO131+BP217*BP131+BQ217*BQ131+BR217*BR131+BS217*BS131+BT217*BT131+BU217*BU131+BV217*BV131+BW217*BW131+BX217*BX131+BY217*BY131+BZ217*BZ131+CA217*CA131+CB217*CB131+CC217*CC131+CD217*CD131+CE217*CE131+CF217*CF131+CG217*CG131+CH217*CH131</f>
        <v>0</v>
      </c>
      <c r="CS131" s="1952">
        <f>E218*E131+F218*F131+G218*G131+H218*H131+I218*I131+J218*J131+K218*K131+L218*L131+M218*M131+N218*N131+O218*O131+P218*P131+Q218*Q131+R218*R131+S218*S131+T218*T131+U218*U131+V218*V131+W218*W131+X218*X131+Y218*Y131+Z218*Z131+AA218*AA131+AB218*AB131+AC218*AC131+AD218*AD131+AE218*AE131+AF218*AF131+AG218*AG131+AH218*AH131+AI218*AI131+AJ218*AJ131+AK218*AK131+AL218*AL131+AM218*AM131+AN218*AN131+AO218*AO131+AP218*AP131+AQ218*AQ131+AR218*AR131+AS218*AS131+AT218*AT131+AU218*AU131+AV218*AV131+AW218*AW131+AX218*AX131+AY218*AY131+AZ218*AZ131+BA218*BA131+BB218*BB131+BC218*BC131+BD218*BD131+BE218*BE131+BF218*BF131+BG218*BG131+BH218*BH131+BI218*BI131+BJ218*BJ131+BK218*BK131+BL218*BL131+BM218*BM131+BN218*BN131+BO218*BO131+BP218*BP131+BQ218*BQ131+BR218*BR131+BS218*BS131+BT218*BT131+BU218*BU131+BV218*BV131+BW218*BW131+BX218*BX131+BY218*BY131+BZ218*BZ131+CA218*CA131+CB218*CB131+CC218*CC131+CD218*CD131+CE218*CE131+CF218*CF131+CG218*CG131+CH218*CH131</f>
        <v>0</v>
      </c>
      <c r="CT131" s="1952">
        <f>E219*E131+F219*F131+G219*G131+H219*H131+I219*I131+J219*J131+K219*K131+L219*L131+M219*M131+N219*N131+O219*O131+P219*P131+Q219*Q131+R219*R131+S219*S131+T219*T131+U219*U131+V219*V131+W219*W131+X219*X131+Y219*Y131+Z219*Z131+AA219*AA131+AB219*AB131+AC219*AC131+AD219*AD131+AE219*AE131+AF219*AF131+AG219*AG131+AH219*AH131+AI219*AI131+AJ219*AJ131+AK219*AK131+AL219*AL131+AM219*AM131+AN219*AN131+AO219*AO131+AP219*AP131+AQ219*AQ131+AR219*AR131+AS219*AS131+AT219*AT131+AU219*AU131+AV219*AV131+AW219*AW131+AX219*AX131+AY219*AY131+AZ219*AZ131+BA219*BA131+BB219*BB131+BC219*BC131+BD219*BD131+BE219*BE131+BF219*BF131+BG219*BG131+BH219*BH131+BI219*BI131+BJ219*BJ131+BK219*BK131+BL219*BL131+BM219*BM131+BN219*BN131+BO219*BO131+BP219*BP131+BQ219*BQ131+BR219*BR131+BS219*BS131+BT219*BT131+BU219*BU131+BV219*BV131+BW219*BW131+BX219*BX131+BY219*BY131+BZ219*BZ131+CA219*CA131+CB219*CB131+CC219*CC131+CD219*CD131+CE219*CE131+CF219*CF131+CG219*CG131+CH219*CH131</f>
        <v>0</v>
      </c>
      <c r="CU131" s="1952">
        <f>E220*E131+F220*F131+G220*G131+H220*H131+I220*I131+J220*J131+K220*K131+L220*L131+M220*M131+N220*N131+O220*O131+P220*P131+Q220*Q131+R220*R131+S220*S131+T220*T131+U220*U131+V220*V131+W220*W131+X220*X131+Y220*Y131+Z220*Z131+AA220*AA131+AB220*AB131+AC220*AC131+AD220*AD131+AE220*AE131+AF220*AF131+AG220*AG131+AH220*AH131+AI220*AI131+AJ220*AJ131+AK220*AK131+AL220*AL131+AM220*AM131+AN220*AN131+AO220*AO131+AP220*AP131+AQ220*AQ131+AR220*AR131+AS220*AS131+AT220*AT131+AU220*AU131+AV220*AV131+AW220*AW131+AX220*AX131+AY220*AY131+AZ220*AZ131+BA220*BA131+BB220*BB131+BC220*BC131+BD220*BD131+BE220*BE131+BF220*BF131+BG220*BG131+BH220*BH131+BI220*BI131+BJ220*BJ131+BK220*BK131+BL220*BL131+BM220*BM131+BN220*BN131+BO220*BO131+BP220*BP131+BQ220*BQ131+BR220*BR131+BS220*BS131+BT220*BT131+BU220*BU131+BV220*BV131+BW220*BW131+BX220*BX131+BY220*BY131+BZ220*BZ131+CA220*CA131+CB220*CB131+CC220*CC131+CD220*CD131+CE220*CE131+CF220*CF131+CG220*CG131+CH220*CH131</f>
        <v>0</v>
      </c>
    </row>
    <row r="132" spans="2:99" ht="18" x14ac:dyDescent="0.25">
      <c r="B132" s="1033">
        <v>18</v>
      </c>
      <c r="C132" s="1098" t="s">
        <v>240</v>
      </c>
      <c r="D132" s="1099" t="s">
        <v>2581</v>
      </c>
      <c r="E132" s="2057">
        <f>0</f>
        <v>0</v>
      </c>
      <c r="F132" s="2057">
        <f>0</f>
        <v>0</v>
      </c>
      <c r="G132" s="2057">
        <f>0</f>
        <v>0</v>
      </c>
      <c r="H132" s="2057">
        <f>0</f>
        <v>0</v>
      </c>
      <c r="I132" s="2080">
        <f>0</f>
        <v>0</v>
      </c>
      <c r="J132" s="2080">
        <f>0</f>
        <v>0</v>
      </c>
      <c r="K132" s="2057">
        <f>0</f>
        <v>0</v>
      </c>
      <c r="L132" s="2057">
        <f>0</f>
        <v>0</v>
      </c>
      <c r="M132" s="2057">
        <f>0</f>
        <v>0</v>
      </c>
      <c r="N132" s="2058">
        <f>-1/Y_PAO_PHA_anox</f>
        <v>-1.9230769230769229</v>
      </c>
      <c r="O132" s="2058">
        <f>0</f>
        <v>0</v>
      </c>
      <c r="P132" s="2057">
        <f>0</f>
        <v>0</v>
      </c>
      <c r="Q132" s="2057">
        <f>0</f>
        <v>0</v>
      </c>
      <c r="R132" s="2057">
        <f>0</f>
        <v>0</v>
      </c>
      <c r="S132" s="2057">
        <f>1</f>
        <v>1</v>
      </c>
      <c r="T132" s="2057">
        <f>0</f>
        <v>0</v>
      </c>
      <c r="U132" s="2057">
        <f>0</f>
        <v>0</v>
      </c>
      <c r="V132" s="2057">
        <f>0</f>
        <v>0</v>
      </c>
      <c r="W132" s="2057">
        <f>0</f>
        <v>0</v>
      </c>
      <c r="X132" s="2057">
        <f>0</f>
        <v>0</v>
      </c>
      <c r="Y132" s="2057">
        <f>-i_N_BIO</f>
        <v>-7.0000000000000007E-2</v>
      </c>
      <c r="Z132" s="2058">
        <f>-(1-Y_PAO_PHA_anox)/(E_EQN2_NO3*Y_PAO_PHA_anox)</f>
        <v>-0.32324366009879213</v>
      </c>
      <c r="AA132" s="2058">
        <f>(1-Y_PAO_PHA_anox)/(E_EQN2_NO3*Y_PAO_PHA_anox)</f>
        <v>0.32324366009879213</v>
      </c>
      <c r="AB132" s="2057">
        <f>0</f>
        <v>0</v>
      </c>
      <c r="AC132" s="2080">
        <f>0</f>
        <v>0</v>
      </c>
      <c r="AD132" s="2080">
        <f>0</f>
        <v>0</v>
      </c>
      <c r="AE132" s="2057">
        <f>0</f>
        <v>0</v>
      </c>
      <c r="AF132" s="2057">
        <f>0</f>
        <v>0</v>
      </c>
      <c r="AG132" s="2057">
        <f>-i_P_BIO</f>
        <v>-0.02</v>
      </c>
      <c r="AH132" s="2057">
        <f>0</f>
        <v>0</v>
      </c>
      <c r="AI132" s="2080">
        <f>0</f>
        <v>0</v>
      </c>
      <c r="AJ132" s="2080">
        <f>0</f>
        <v>0</v>
      </c>
      <c r="AK132" s="2057">
        <f>0</f>
        <v>0</v>
      </c>
      <c r="AL132" s="2057">
        <f>0</f>
        <v>0</v>
      </c>
      <c r="AM132" s="2057">
        <f>0</f>
        <v>0</v>
      </c>
      <c r="AN132" s="2057">
        <f>0</f>
        <v>0</v>
      </c>
      <c r="AO132" s="2058">
        <f>(i_CIT_PHA/Y_PAO_PHA_anox)-i_CIT_BIO</f>
        <v>0.28838461538461546</v>
      </c>
      <c r="AP132" s="2057">
        <f>i_INORG</f>
        <v>0.11</v>
      </c>
      <c r="AQ132" s="2058">
        <f>-i_INORG*(1-i_Ca_INORG*(A_MCa+2*A_MCl)/A_MCa-i_Mg_INORG*(A_MMg+2*A_MCl)/A_MMg)*f_Na</f>
        <v>-2.8804303582798466E-2</v>
      </c>
      <c r="AR132" s="2058">
        <f>-i_INORG*(i_Ca_INORG*(2*A_MCl)/A_MCa+i_Mg_INORG*(2*A_MCl)/A_MMg)-i_INORG*(1-i_Ca_INORG*(A_MCa+2*A_MCl)/A_MCa-i_Mg_INORG*(A_MMg+2*A_MCl)/A_MMg)*(1-f_Na)</f>
        <v>-7.0195696417201539E-2</v>
      </c>
      <c r="AS132" s="2058">
        <f>-i_INORG*i_Ca_INORG+i_Ca_PP*A_MCa/A_MP*i_P_BIO</f>
        <v>-2.9121322594773459E-3</v>
      </c>
      <c r="AT132" s="2058">
        <f>-i_INORG*i_Mg_INORG+i_Mg_PP*A_MMg/A_MP*i_P_BIO</f>
        <v>-7.1251305726128047E-6</v>
      </c>
      <c r="AU132" s="2058">
        <f>i_K_PP*A_MK/A_MP*i_P_BIO</f>
        <v>2.5246077468755158E-3</v>
      </c>
      <c r="AV132" s="2058">
        <f>0</f>
        <v>0</v>
      </c>
      <c r="AW132" s="2058">
        <f>0</f>
        <v>0</v>
      </c>
      <c r="AX132" s="2058">
        <f>0</f>
        <v>0</v>
      </c>
      <c r="AY132" s="2058">
        <f>0</f>
        <v>0</v>
      </c>
      <c r="AZ132" s="2058">
        <f>0</f>
        <v>0</v>
      </c>
      <c r="BA132" s="2058">
        <f>0</f>
        <v>0</v>
      </c>
      <c r="BB132" s="2058">
        <f>0</f>
        <v>0</v>
      </c>
      <c r="BC132" s="2058">
        <f>0</f>
        <v>0</v>
      </c>
      <c r="BD132" s="2058">
        <f>0</f>
        <v>0</v>
      </c>
      <c r="BE132" s="2058">
        <f>0</f>
        <v>0</v>
      </c>
      <c r="BF132" s="2058">
        <f>0</f>
        <v>0</v>
      </c>
      <c r="BG132" s="2058">
        <f>0</f>
        <v>0</v>
      </c>
      <c r="BH132" s="2058">
        <f>0</f>
        <v>0</v>
      </c>
      <c r="BI132" s="2058">
        <f>0</f>
        <v>0</v>
      </c>
      <c r="BJ132" s="2058">
        <f>0</f>
        <v>0</v>
      </c>
      <c r="BK132" s="2058">
        <f>0</f>
        <v>0</v>
      </c>
      <c r="BL132" s="2058">
        <f>0</f>
        <v>0</v>
      </c>
      <c r="BM132" s="2058">
        <f>0</f>
        <v>0</v>
      </c>
      <c r="BN132" s="2058">
        <f>0</f>
        <v>0</v>
      </c>
      <c r="BO132" s="2058">
        <f>0</f>
        <v>0</v>
      </c>
      <c r="BP132" s="2112">
        <f>0</f>
        <v>0</v>
      </c>
      <c r="BQ132" s="2112">
        <f>0</f>
        <v>0</v>
      </c>
      <c r="BR132" s="2112">
        <f>0</f>
        <v>0</v>
      </c>
      <c r="BS132" s="2112">
        <f>0</f>
        <v>0</v>
      </c>
      <c r="BT132" s="2058">
        <f>0</f>
        <v>0</v>
      </c>
      <c r="BU132" s="2058">
        <f>0</f>
        <v>0</v>
      </c>
      <c r="BV132" s="2058">
        <f>0</f>
        <v>0</v>
      </c>
      <c r="BW132" s="2058">
        <f>0</f>
        <v>0</v>
      </c>
      <c r="BX132" s="2058">
        <f>0</f>
        <v>0</v>
      </c>
      <c r="BY132" s="2058">
        <f>0</f>
        <v>0</v>
      </c>
      <c r="BZ132" s="2058">
        <f>0</f>
        <v>0</v>
      </c>
      <c r="CA132" s="2058">
        <f>0</f>
        <v>0</v>
      </c>
      <c r="CB132" s="2058">
        <f>0</f>
        <v>0</v>
      </c>
      <c r="CC132" s="2058">
        <f>0</f>
        <v>0</v>
      </c>
      <c r="CD132" s="2058">
        <f>0</f>
        <v>0</v>
      </c>
      <c r="CE132" s="2058">
        <f>0</f>
        <v>0</v>
      </c>
      <c r="CF132" s="2058">
        <f>0</f>
        <v>0</v>
      </c>
      <c r="CG132" s="2058">
        <f>0</f>
        <v>0</v>
      </c>
      <c r="CH132" s="2058">
        <f>0</f>
        <v>0</v>
      </c>
      <c r="CI132" s="2139">
        <f>µ_PAO_lim_T*X_PAO*η_CASTO_anox*M_RsatXPHA_XPAO_KPHA*M_inhSO2_KO2_CASTO*M_satSNOx_KNOx_CASTO*M_satSNHx_KNHx_BIO*M_inhSPO4_KiPO4_lim*M_satXPP_KPP_lim*M_satSCAT_KCAT*M_satSAN_KAN*M_satSCa_KCa*M_satSMg_KMg*B_ellinhpH</f>
        <v>2.7488888049618257E-2</v>
      </c>
      <c r="CK132" s="1950">
        <f>E210*E132+F210*F132+G210*G132+H210*H132+I210*I132+J210*J132+K210*K132+L210*L132+M210*M132+N210*N132+O210*O132+P210*P132+Q210*Q132+R210*R132+S210*S132+T210*T132+U210*U132+V210*V132+W210*W132+X210*X132+Y210*Y132+Z210*Z132+AA210*AA132+AB210*AB132+AC210*AC132+AD210*AD132+AE210*AE132+AF210*AF132+AG210*AG132+AH210*AH132+AI210*AI132+AJ210*AJ132+AK210*AK132+AL210*AL132+AM210*AM132+AN210*AN132+AO210*AO132+AP210*AP132+AQ210*AQ132+AR210*AR132+AS210*AS132+AT210*AT132+AU210*AU132+AV210*AV132+AW210*AW132+AX210*AX132+AY210*AY132+AZ210*AZ132+BA210*BA132+BB210*BB132+BC210*BC132+BD210*BD132+BE210*BE132+BF210*BF132+BG210*BG132+BH210*BH132+BI210*BI132+BJ210*BJ132+BK210*BK132+BL210*BL132+BM210*BM132+BN210*BN132+BO210*BO132+BP210*BP132+BQ210*BQ132+BR210*BR132+BS210*BS132+BT210*BT132+BU210*BU132+BV210*BV132+BW210*BW132+BX210*BX132+BY210*BY132+BZ210*BZ132+CA210*CA132+CB210*CB132+CC210*CC132+CD210*CD132+CE210*CE132+CF210*CF132+CG210*CG132+CH210*CH132</f>
        <v>0</v>
      </c>
      <c r="CL132" s="1950">
        <f>E211*E132+F211*F132+G211*G132+H211*H132+I211*I132+J211*J132+K211*K132+L211*L132+M211*M132+N211*N132+O211*O132+P211*P132+Q211*Q132+R211*R132+S211*S132+T211*T132+U211*U132+V211*V132+W211*W132+X211*X132+Y211*Y132+Z211*Z132+AA211*AA132+AB211*AB132+AC211*AC132+AD211*AD132+AE211*AE132+AF211*AF132+AG211*AG132+AH211*AH132+AI211*AI132+AJ211*AJ132+AK211*AK132+AL211*AL132+AM211*AM132+AN211*AN132+AO211*AO132+AP211*AP132+AQ211*AQ132+AR211*AR132+AS211*AS132+AT211*AT132+AU211*AU132+AV211*AV132+AW211*AW132+AX211*AX132+AY211*AY132+AZ211*AZ132+BA211*BA132+BB211*BB132+BC211*BC132+BD211*BD132+BE211*BE132+BF211*BF132+BG211*BG132+BH211*BH132+BI211*BI132+BJ211*BJ132+BK211*BK132+BL211*BL132+BM211*BM132+BN211*BN132+BO211*BO132+BP211*BP132+BQ211*BQ132+BR211*BR132+BS211*BS132+BT211*BT132+BU211*BU132+BV211*BV132+BW211*BW132+BX211*BX132+BY211*BY132+BZ211*BZ132+CA211*CA132+CB211*CB132+CC211*CC132+CD211*CD132+CE211*CE132+CF211*CF132+CG211*CG132+CH211*CH132</f>
        <v>1.1102230246251565E-16</v>
      </c>
      <c r="CM132" s="1951">
        <f>E212*E132+F212*F132+G212*G132+H212*H132+I212*I132+J212*J132+K212*K132+L212*L132+M212*M132+N212*N132+O212*O132+P212*P132+Q212*Q132+R212*R132+S212*S132+T212*T132+U212*U132+V212*V132+W212*W132+X212*X132+Y212*Y132+Z212*Z132+AA212*AA132+AB212*AB132+AC212*AC132+AD212*AD132+AE212*AE132+AF212*AF132+AG212*AG132+AH212*AH132+AI212*AI132+AJ212*AJ132+AK212*AK132+AL212*AL132+AM212*AM132+AN212*AN132+AO212*AO132+AP212*AP132+AQ212*AQ132+AR212*AR132+AS212*AS132+AT212*AT132+AU212*AU132+AV212*AV132+AW212*AW132+AX212*AX132+AY212*AY132+AZ212*AZ132+BA212*BA132+BB212*BB132+BC212*BC132+BD212*BD132+BE212*BE132+BF212*BF132+BG212*BG132+BH212*BH132+BI212*BI132+BJ212*BJ132+BK212*BK132+BL212*BL132+BM212*BM132+BN212*BN132+BO212*BO132+BP212*BP132+BQ212*BQ132+BR212*BR132+BS212*BS132+BT212*BT132+BU212*BU132+BV212*BV132+BW212*BW132+BX212*BX132+BY212*BY132+BZ212*BZ132+CA212*CA132+CB212*CB132+CC212*CC132+CD212*CD132+CE212*CE132+CF212*CF132+CG212*CG132+CH212*CH132</f>
        <v>0</v>
      </c>
      <c r="CN132" s="1952">
        <f>E213*E132+F213*F132+G213*G132+H213*H132+I213*I132+J213*J132+K213*K132+L213*L132+M213*M132+N213*N132+O213*O132+P213*P132+Q213*Q132+R213*R132+S213*S132+T213*T132+U213*U132+V213*V132+W213*W132+X213*X132+Y213*Y132+Z213*Z132+AA213*AA132+AB213*AB132+AC213*AC132+AD213*AD132+AE213*AE132+AF213*AF132+AG213*AG132+AH213*AH132+AI213*AI132+AJ213*AJ132+AK213*AK132+AL213*AL132+AM213*AM132+AN213*AN132+AO213*AO132+AP213*AP132+AQ213*AQ132+AR213*AR132+AS213*AS132+AT213*AT132+AU213*AU132+AV213*AV132+AW213*AW132+AX213*AX132+AY213*AY132+AZ213*AZ132+BA213*BA132+BB213*BB132+BC213*BC132+BD213*BD132+BE213*BE132+BF213*BF132+BG213*BG132+BH213*BH132+BI213*BI132+BJ213*BJ132+BK213*BK132+BL213*BL132+BM213*BM132+BN213*BN132+BO213*BO132+BP213*BP132+BQ213*BQ132+BR213*BR132+BS213*BS132+BT213*BT132+BU213*BU132+BV213*BV132+BW213*BW132+BX213*BX132+BY213*BY132+BZ213*BZ132+CA213*CA132+CB213*CB132+CC213*CC132+CD213*CD132+CE213*CE132+CF213*CF132+CG213*CG132+CH213*CH132</f>
        <v>0</v>
      </c>
      <c r="CO132" s="1952">
        <f>E214*E132+F214*F132+G214*G132+H214*H132+I214*I132+J214*J132+K214*K132+L214*L132+M214*M132+N214*N132+O214*O132+P214*P132+Q214*Q132+R214*R132+S214*S132+T214*T132+U214*U132+V214*V132+W214*W132+X214*X132+Y214*Y132+Z214*Z132+AA214*AA132+AB214*AB132+AC214*AC132+AD214*AD132+AE214*AE132+AF214*AF132+AG214*AG132+AH214*AH132+AI214*AI132+AJ214*AJ132+AK214*AK132+AL214*AL132+AM214*AM132+AN214*AN132+AO214*AO132+AP214*AP132+AQ214*AQ132+AR214*AR132+AS214*AS132+AT214*AT132+AU214*AU132+AV214*AV132+AW214*AW132+AX214*AX132+AY214*AY132+AZ214*AZ132+BA214*BA132+BB214*BB132+BC214*BC132+BD214*BD132+BE214*BE132+BF214*BF132+BG214*BG132+BH214*BH132+BI214*BI132+BJ214*BJ132+BK214*BK132+BL214*BL132+BM214*BM132+BN214*BN132+BO214*BO132+BP214*BP132+BQ214*BQ132+BR214*BR132+BS214*BS132+BT214*BT132+BU214*BU132+BV214*BV132+BW214*BW132+BX214*BX132+BY214*BY132+BZ214*BZ132+CA214*CA132+CB214*CB132+CC214*CC132+CD214*CD132+CE214*CE132+CF214*CF132+CG214*CG132+CH214*CH132</f>
        <v>0</v>
      </c>
      <c r="CP132" s="1952">
        <f>E215*E132+F215*F132+G215*G132+H215*H132+I215*I132+J215*J132+K215*K132+L215*L132+M215*M132+N215*N132+O215*O132+P215*P132+Q215*Q132+R215*R132+S215*S132+T215*T132+U215*U132+V215*V132+W215*W132+X215*X132+Y215*Y132+Z215*Z132+AA215*AA132+AB215*AB132+AC215*AC132+AD215*AD132+AE215*AE132+AF215*AF132+AG215*AG132+AH215*AH132+AI215*AI132+AJ215*AJ132+AK215*AK132+AL215*AL132+AM215*AM132+AN215*AN132+AO215*AO132+AP215*AP132+AQ215*AQ132+AR215*AR132+AS215*AS132+AT215*AT132+AU215*AU132+AV215*AV132+AW215*AW132+AX215*AX132+AY215*AY132+AZ215*AZ132+BA215*BA132+BB215*BB132+BC215*BC132+BD215*BD132+BE215*BE132+BF215*BF132+BG215*BG132+BH215*BH132+BI215*BI132+BJ215*BJ132+BK215*BK132+BL215*BL132+BM215*BM132+BN215*BN132+BO215*BO132+BP215*BP132+BQ215*BQ132+BR215*BR132+BS215*BS132+BT215*BT132+BU215*BU132+BV215*BV132+BW215*BW132+BX215*BX132+BY215*BY132+BZ215*BZ132+CA215*CA132+CB215*CB132+CC215*CC132+CD215*CD132+CE215*CE132+CF215*CF132+CG215*CG132+CH215*CH132</f>
        <v>0</v>
      </c>
      <c r="CQ132" s="1952">
        <f>E216*E132+F216*F132+G216*G132+H216*H132+I216*I132+J216*J132+K216*K132+L216*L132+M216*M132+N216*N132+O216*O132+P216*P132+Q216*Q132+R216*R132+S216*S132+T216*T132+U216*U132+V216*V132+W216*W132+X216*X132+Y216*Y132+Z216*Z132+AA216*AA132+AB216*AB132+AC216*AC132+AD216*AD132+AE216*AE132+AF216*AF132+AG216*AG132+AH216*AH132+AI216*AI132+AJ216*AJ132+AK216*AK132+AL216*AL132+AM216*AM132+AN216*AN132+AO216*AO132+AP216*AP132+AQ216*AQ132+AR216*AR132+AS216*AS132+AT216*AT132+AU216*AU132+AV216*AV132+AW216*AW132+AX216*AX132+AY216*AY132+AZ216*AZ132+BA216*BA132+BB216*BB132+BC216*BC132+BD216*BD132+BE216*BE132+BF216*BF132+BG216*BG132+BH216*BH132+BI216*BI132+BJ216*BJ132+BK216*BK132+BL216*BL132+BM216*BM132+BN216*BN132+BO216*BO132+BP216*BP132+BQ216*BQ132+BR216*BR132+BS216*BS132+BT216*BT132+BU216*BU132+BV216*BV132+BW216*BW132+BX216*BX132+BY216*BY132+BZ216*BZ132+CA216*CA132+CB216*CB132+CC216*CC132+CD216*CD132+CE216*CE132+CF216*CF132+CG216*CG132+CH216*CH132</f>
        <v>0</v>
      </c>
      <c r="CR132" s="1952">
        <f>E217*E132+F217*F132+G217*G132+H217*H132+I217*I132+J217*J132+K217*K132+L217*L132+M217*M132+N217*N132+O217*O132+P217*P132+Q217*Q132+R217*R132+S217*S132+T217*T132+U217*U132+V217*V132+W217*W132+X217*X132+Y217*Y132+Z217*Z132+AA217*AA132+AB217*AB132+AC217*AC132+AD217*AD132+AE217*AE132+AF217*AF132+AG217*AG132+AH217*AH132+AI217*AI132+AJ217*AJ132+AK217*AK132+AL217*AL132+AM217*AM132+AN217*AN132+AO217*AO132+AP217*AP132+AQ217*AQ132+AR217*AR132+AS217*AS132+AT217*AT132+AU217*AU132+AV217*AV132+AW217*AW132+AX217*AX132+AY217*AY132+AZ217*AZ132+BA217*BA132+BB217*BB132+BC217*BC132+BD217*BD132+BE217*BE132+BF217*BF132+BG217*BG132+BH217*BH132+BI217*BI132+BJ217*BJ132+BK217*BK132+BL217*BL132+BM217*BM132+BN217*BN132+BO217*BO132+BP217*BP132+BQ217*BQ132+BR217*BR132+BS217*BS132+BT217*BT132+BU217*BU132+BV217*BV132+BW217*BW132+BX217*BX132+BY217*BY132+BZ217*BZ132+CA217*CA132+CB217*CB132+CC217*CC132+CD217*CD132+CE217*CE132+CF217*CF132+CG217*CG132+CH217*CH132</f>
        <v>0</v>
      </c>
      <c r="CS132" s="1952">
        <f>E218*E132+F218*F132+G218*G132+H218*H132+I218*I132+J218*J132+K218*K132+L218*L132+M218*M132+N218*N132+O218*O132+P218*P132+Q218*Q132+R218*R132+S218*S132+T218*T132+U218*U132+V218*V132+W218*W132+X218*X132+Y218*Y132+Z218*Z132+AA218*AA132+AB218*AB132+AC218*AC132+AD218*AD132+AE218*AE132+AF218*AF132+AG218*AG132+AH218*AH132+AI218*AI132+AJ218*AJ132+AK218*AK132+AL218*AL132+AM218*AM132+AN218*AN132+AO218*AO132+AP218*AP132+AQ218*AQ132+AR218*AR132+AS218*AS132+AT218*AT132+AU218*AU132+AV218*AV132+AW218*AW132+AX218*AX132+AY218*AY132+AZ218*AZ132+BA218*BA132+BB218*BB132+BC218*BC132+BD218*BD132+BE218*BE132+BF218*BF132+BG218*BG132+BH218*BH132+BI218*BI132+BJ218*BJ132+BK218*BK132+BL218*BL132+BM218*BM132+BN218*BN132+BO218*BO132+BP218*BP132+BQ218*BQ132+BR218*BR132+BS218*BS132+BT218*BT132+BU218*BU132+BV218*BV132+BW218*BW132+BX218*BX132+BY218*BY132+BZ218*BZ132+CA218*CA132+CB218*CB132+CC218*CC132+CD218*CD132+CE218*CE132+CF218*CF132+CG218*CG132+CH218*CH132</f>
        <v>0</v>
      </c>
      <c r="CT132" s="1952">
        <f>E219*E132+F219*F132+G219*G132+H219*H132+I219*I132+J219*J132+K219*K132+L219*L132+M219*M132+N219*N132+O219*O132+P219*P132+Q219*Q132+R219*R132+S219*S132+T219*T132+U219*U132+V219*V132+W219*W132+X219*X132+Y219*Y132+Z219*Z132+AA219*AA132+AB219*AB132+AC219*AC132+AD219*AD132+AE219*AE132+AF219*AF132+AG219*AG132+AH219*AH132+AI219*AI132+AJ219*AJ132+AK219*AK132+AL219*AL132+AM219*AM132+AN219*AN132+AO219*AO132+AP219*AP132+AQ219*AQ132+AR219*AR132+AS219*AS132+AT219*AT132+AU219*AU132+AV219*AV132+AW219*AW132+AX219*AX132+AY219*AY132+AZ219*AZ132+BA219*BA132+BB219*BB132+BC219*BC132+BD219*BD132+BE219*BE132+BF219*BF132+BG219*BG132+BH219*BH132+BI219*BI132+BJ219*BJ132+BK219*BK132+BL219*BL132+BM219*BM132+BN219*BN132+BO219*BO132+BP219*BP132+BQ219*BQ132+BR219*BR132+BS219*BS132+BT219*BT132+BU219*BU132+BV219*BV132+BW219*BW132+BX219*BX132+BY219*BY132+BZ219*BZ132+CA219*CA132+CB219*CB132+CC219*CC132+CD219*CD132+CE219*CE132+CF219*CF132+CG219*CG132+CH219*CH132</f>
        <v>0</v>
      </c>
      <c r="CU132" s="1952">
        <f>E220*E132+F220*F132+G220*G132+H220*H132+I220*I132+J220*J132+K220*K132+L220*L132+M220*M132+N220*N132+O220*O132+P220*P132+Q220*Q132+R220*R132+S220*S132+T220*T132+U220*U132+V220*V132+W220*W132+X220*X132+Y220*Y132+Z220*Z132+AA220*AA132+AB220*AB132+AC220*AC132+AD220*AD132+AE220*AE132+AF220*AF132+AG220*AG132+AH220*AH132+AI220*AI132+AJ220*AJ132+AK220*AK132+AL220*AL132+AM220*AM132+AN220*AN132+AO220*AO132+AP220*AP132+AQ220*AQ132+AR220*AR132+AS220*AS132+AT220*AT132+AU220*AU132+AV220*AV132+AW220*AW132+AX220*AX132+AY220*AY132+AZ220*AZ132+BA220*BA132+BB220*BB132+BC220*BC132+BD220*BD132+BE220*BE132+BF220*BF132+BG220*BG132+BH220*BH132+BI220*BI132+BJ220*BJ132+BK220*BK132+BL220*BL132+BM220*BM132+BN220*BN132+BO220*BO132+BP220*BP132+BQ220*BQ132+BR220*BR132+BS220*BS132+BT220*BT132+BU220*BU132+BV220*BV132+BW220*BW132+BX220*BX132+BY220*BY132+BZ220*BZ132+CA220*CA132+CB220*CB132+CC220*CC132+CD220*CD132+CE220*CE132+CF220*CF132+CG220*CG132+CH220*CH132</f>
        <v>0</v>
      </c>
    </row>
    <row r="133" spans="2:99" ht="18" x14ac:dyDescent="0.25">
      <c r="B133" s="1033">
        <v>19</v>
      </c>
      <c r="C133" s="1098" t="s">
        <v>241</v>
      </c>
      <c r="D133" s="1099" t="s">
        <v>3738</v>
      </c>
      <c r="E133" s="2057">
        <f>-1</f>
        <v>-1</v>
      </c>
      <c r="F133" s="2057">
        <f>0</f>
        <v>0</v>
      </c>
      <c r="G133" s="2057">
        <f>0</f>
        <v>0</v>
      </c>
      <c r="H133" s="2057">
        <f>0</f>
        <v>0</v>
      </c>
      <c r="I133" s="2080">
        <f>0</f>
        <v>0</v>
      </c>
      <c r="J133" s="2080">
        <f>0</f>
        <v>0</v>
      </c>
      <c r="K133" s="2057">
        <f>0</f>
        <v>0</v>
      </c>
      <c r="L133" s="2057">
        <f>0</f>
        <v>0</v>
      </c>
      <c r="M133" s="2057">
        <f>0</f>
        <v>0</v>
      </c>
      <c r="N133" s="2057">
        <f>1</f>
        <v>1</v>
      </c>
      <c r="O133" s="2057">
        <f>0</f>
        <v>0</v>
      </c>
      <c r="P133" s="2057">
        <f>0</f>
        <v>0</v>
      </c>
      <c r="Q133" s="2057">
        <f>0</f>
        <v>0</v>
      </c>
      <c r="R133" s="2057">
        <f>0</f>
        <v>0</v>
      </c>
      <c r="S133" s="2057">
        <f>0</f>
        <v>0</v>
      </c>
      <c r="T133" s="2057">
        <f>0</f>
        <v>0</v>
      </c>
      <c r="U133" s="2057">
        <f>0</f>
        <v>0</v>
      </c>
      <c r="V133" s="2057">
        <f>0</f>
        <v>0</v>
      </c>
      <c r="W133" s="2057">
        <f>0</f>
        <v>0</v>
      </c>
      <c r="X133" s="2057">
        <f>0</f>
        <v>0</v>
      </c>
      <c r="Y133" s="2057">
        <f>0</f>
        <v>0</v>
      </c>
      <c r="Z133" s="2057">
        <f>0</f>
        <v>0</v>
      </c>
      <c r="AA133" s="2057">
        <f>0</f>
        <v>0</v>
      </c>
      <c r="AB133" s="2057">
        <f>0</f>
        <v>0</v>
      </c>
      <c r="AC133" s="2080">
        <f>0</f>
        <v>0</v>
      </c>
      <c r="AD133" s="2080">
        <f>0</f>
        <v>0</v>
      </c>
      <c r="AE133" s="2057">
        <f>0</f>
        <v>0</v>
      </c>
      <c r="AF133" s="2057">
        <f>f_P_VFA</f>
        <v>0.65</v>
      </c>
      <c r="AG133" s="2058">
        <f>-f_P_VFA</f>
        <v>-0.65</v>
      </c>
      <c r="AH133" s="2057">
        <f>0</f>
        <v>0</v>
      </c>
      <c r="AI133" s="2080">
        <f>0</f>
        <v>0</v>
      </c>
      <c r="AJ133" s="2080">
        <f>0</f>
        <v>0</v>
      </c>
      <c r="AK133" s="2057">
        <f>0</f>
        <v>0</v>
      </c>
      <c r="AL133" s="2057">
        <f>0</f>
        <v>0</v>
      </c>
      <c r="AM133" s="2057">
        <f>0</f>
        <v>0</v>
      </c>
      <c r="AN133" s="2057">
        <f>0</f>
        <v>0</v>
      </c>
      <c r="AO133" s="2057">
        <f>i_CIT_VFA-i_CIT_PHA</f>
        <v>4.1999999999999982E-2</v>
      </c>
      <c r="AP133" s="2057">
        <f>0</f>
        <v>0</v>
      </c>
      <c r="AQ133" s="2058">
        <f>0</f>
        <v>0</v>
      </c>
      <c r="AR133" s="2058">
        <f>0</f>
        <v>0</v>
      </c>
      <c r="AS133" s="2058">
        <f>i_Ca_PP*A_MCa/A_MP*f_P_VFA</f>
        <v>8.4105701566986282E-2</v>
      </c>
      <c r="AT133" s="2058">
        <f>i_Mg_PP*A_MMg/A_MP*f_P_VFA</f>
        <v>0.17851843325639011</v>
      </c>
      <c r="AU133" s="2058">
        <f>i_K_PP*A_MK/A_MP*f_P_VFA</f>
        <v>8.2049751773454263E-2</v>
      </c>
      <c r="AV133" s="2057">
        <f>0</f>
        <v>0</v>
      </c>
      <c r="AW133" s="2057">
        <f>0</f>
        <v>0</v>
      </c>
      <c r="AX133" s="2057">
        <f>0</f>
        <v>0</v>
      </c>
      <c r="AY133" s="2057">
        <f>0</f>
        <v>0</v>
      </c>
      <c r="AZ133" s="2057">
        <f>0</f>
        <v>0</v>
      </c>
      <c r="BA133" s="2057">
        <f>0</f>
        <v>0</v>
      </c>
      <c r="BB133" s="2057">
        <f>0</f>
        <v>0</v>
      </c>
      <c r="BC133" s="2057">
        <f>0</f>
        <v>0</v>
      </c>
      <c r="BD133" s="2057">
        <f>0</f>
        <v>0</v>
      </c>
      <c r="BE133" s="2057">
        <f>0</f>
        <v>0</v>
      </c>
      <c r="BF133" s="2057">
        <f>0</f>
        <v>0</v>
      </c>
      <c r="BG133" s="2057">
        <f>0</f>
        <v>0</v>
      </c>
      <c r="BH133" s="2057">
        <f>0</f>
        <v>0</v>
      </c>
      <c r="BI133" s="2057">
        <f>0</f>
        <v>0</v>
      </c>
      <c r="BJ133" s="2057">
        <f>0</f>
        <v>0</v>
      </c>
      <c r="BK133" s="2057">
        <f>0</f>
        <v>0</v>
      </c>
      <c r="BL133" s="2057">
        <f>0</f>
        <v>0</v>
      </c>
      <c r="BM133" s="2057">
        <f>0</f>
        <v>0</v>
      </c>
      <c r="BN133" s="2057">
        <f>0</f>
        <v>0</v>
      </c>
      <c r="BO133" s="2057">
        <f>0</f>
        <v>0</v>
      </c>
      <c r="BP133" s="2113">
        <f>0</f>
        <v>0</v>
      </c>
      <c r="BQ133" s="2113">
        <f>0</f>
        <v>0</v>
      </c>
      <c r="BR133" s="2113">
        <f>0</f>
        <v>0</v>
      </c>
      <c r="BS133" s="2113">
        <f>0</f>
        <v>0</v>
      </c>
      <c r="BT133" s="2057">
        <f>0</f>
        <v>0</v>
      </c>
      <c r="BU133" s="2057">
        <f>0</f>
        <v>0</v>
      </c>
      <c r="BV133" s="2057">
        <f>0</f>
        <v>0</v>
      </c>
      <c r="BW133" s="2057">
        <f>0</f>
        <v>0</v>
      </c>
      <c r="BX133" s="2057">
        <f>0</f>
        <v>0</v>
      </c>
      <c r="BY133" s="2057">
        <f>0</f>
        <v>0</v>
      </c>
      <c r="BZ133" s="2057">
        <f>0</f>
        <v>0</v>
      </c>
      <c r="CA133" s="2057">
        <f>0</f>
        <v>0</v>
      </c>
      <c r="CB133" s="2057">
        <f>0</f>
        <v>0</v>
      </c>
      <c r="CC133" s="2057">
        <f>0</f>
        <v>0</v>
      </c>
      <c r="CD133" s="2057">
        <f>0</f>
        <v>0</v>
      </c>
      <c r="CE133" s="2057">
        <f>0</f>
        <v>0</v>
      </c>
      <c r="CF133" s="2057">
        <f>0</f>
        <v>0</v>
      </c>
      <c r="CG133" s="2057">
        <f>0</f>
        <v>0</v>
      </c>
      <c r="CH133" s="2057">
        <f>0</f>
        <v>0</v>
      </c>
      <c r="CI133" s="2139">
        <f>q_PAO_PHA_T*X_CASTO*actsto_PAO_ORP*M_satSVFA_KVFA_CASTO*M_RsatXPP_XPAO_KPP*L_oginhXPHA_XPAO_max</f>
        <v>0.33972825925009087</v>
      </c>
      <c r="CK133" s="1950">
        <f>E210*E133+F210*F133+G210*G133+H210*H133+I210*I133+J210*J133+K210*K133+L210*L133+M210*M133+N210*N133+O210*O133+P210*P133+Q210*Q133+R210*R133+S210*S133+T210*T133+U210*U133+V210*V133+W210*W133+X210*X133+Y210*Y133+Z210*Z133+AA210*AA133+AB210*AB133+AC210*AC133+AD210*AD133+AE210*AE133+AF210*AF133+AG210*AG133+AH210*AH133+AI210*AI133+AJ210*AJ133+AK210*AK133+AL210*AL133+AM210*AM133+AN210*AN133+AO210*AO133+AP210*AP133+AQ210*AQ133+AR210*AR133+AS210*AS133+AT210*AT133+AU210*AU133+AV210*AV133+AW210*AW133+AX210*AX133+AY210*AY133+AZ210*AZ133+BA210*BA133+BB210*BB133+BC210*BC133+BD210*BD133+BE210*BE133+BF210*BF133+BG210*BG133+BH210*BH133+BI210*BI133+BJ210*BJ133+BK210*BK133+BL210*BL133+BM210*BM133+BN210*BN133+BO210*BO133+BP210*BP133+BQ210*BQ133+BR210*BR133+BS210*BS133+BT210*BT133+BU210*BU133+BV210*BV133+BW210*BW133+BX210*BX133+BY210*BY133+BZ210*BZ133+CA210*CA133+CB210*CB133+CC210*CC133+CD210*CD133+CE210*CE133+CF210*CF133+CG210*CG133+CH210*CH133</f>
        <v>0</v>
      </c>
      <c r="CL133" s="1950">
        <f>E211*E133+F211*F133+G211*G133+H211*H133+I211*I133+J211*J133+K211*K133+L211*L133+M211*M133+N211*N133+O211*O133+P211*P133+Q211*Q133+R211*R133+S211*S133+T211*T133+U211*U133+V211*V133+W211*W133+X211*X133+Y211*Y133+Z211*Z133+AA211*AA133+AB211*AB133+AC211*AC133+AD211*AD133+AE211*AE133+AF211*AF133+AG211*AG133+AH211*AH133+AI211*AI133+AJ211*AJ133+AK211*AK133+AL211*AL133+AM211*AM133+AN211*AN133+AO211*AO133+AP211*AP133+AQ211*AQ133+AR211*AR133+AS211*AS133+AT211*AT133+AU211*AU133+AV211*AV133+AW211*AW133+AX211*AX133+AY211*AY133+AZ211*AZ133+BA211*BA133+BB211*BB133+BC211*BC133+BD211*BD133+BE211*BE133+BF211*BF133+BG211*BG133+BH211*BH133+BI211*BI133+BJ211*BJ133+BK211*BK133+BL211*BL133+BM211*BM133+BN211*BN133+BO211*BO133+BP211*BP133+BQ211*BQ133+BR211*BR133+BS211*BS133+BT211*BT133+BU211*BU133+BV211*BV133+BW211*BW133+BX211*BX133+BY211*BY133+BZ211*BZ133+CA211*CA133+CB211*CB133+CC211*CC133+CD211*CD133+CE211*CE133+CF211*CF133+CG211*CG133+CH211*CH133</f>
        <v>0</v>
      </c>
      <c r="CM133" s="1951">
        <f>E212*E133+F212*F133+G212*G133+H212*H133+I212*I133+J212*J133+K212*K133+L212*L133+M212*M133+N212*N133+O212*O133+P212*P133+Q212*Q133+R212*R133+S212*S133+T212*T133+U212*U133+V212*V133+W212*W133+X212*X133+Y212*Y133+Z212*Z133+AA212*AA133+AB212*AB133+AC212*AC133+AD212*AD133+AE212*AE133+AF212*AF133+AG212*AG133+AH212*AH133+AI212*AI133+AJ212*AJ133+AK212*AK133+AL212*AL133+AM212*AM133+AN212*AN133+AO212*AO133+AP212*AP133+AQ212*AQ133+AR212*AR133+AS212*AS133+AT212*AT133+AU212*AU133+AV212*AV133+AW212*AW133+AX212*AX133+AY212*AY133+AZ212*AZ133+BA212*BA133+BB212*BB133+BC212*BC133+BD212*BD133+BE212*BE133+BF212*BF133+BG212*BG133+BH212*BH133+BI212*BI133+BJ212*BJ133+BK212*BK133+BL212*BL133+BM212*BM133+BN212*BN133+BO212*BO133+BP212*BP133+BQ212*BQ133+BR212*BR133+BS212*BS133+BT212*BT133+BU212*BU133+BV212*BV133+BW212*BW133+BX212*BX133+BY212*BY133+BZ212*BZ133+CA212*CA133+CB212*CB133+CC212*CC133+CD212*CD133+CE212*CE133+CF212*CF133+CG212*CG133+CH212*CH133</f>
        <v>0</v>
      </c>
      <c r="CN133" s="1952">
        <f>E213*E133+F213*F133+G213*G133+H213*H133+I213*I133+J213*J133+K213*K133+L213*L133+M213*M133+N213*N133+O213*O133+P213*P133+Q213*Q133+R213*R133+S213*S133+T213*T133+U213*U133+V213*V133+W213*W133+X213*X133+Y213*Y133+Z213*Z133+AA213*AA133+AB213*AB133+AC213*AC133+AD213*AD133+AE213*AE133+AF213*AF133+AG213*AG133+AH213*AH133+AI213*AI133+AJ213*AJ133+AK213*AK133+AL213*AL133+AM213*AM133+AN213*AN133+AO213*AO133+AP213*AP133+AQ213*AQ133+AR213*AR133+AS213*AS133+AT213*AT133+AU213*AU133+AV213*AV133+AW213*AW133+AX213*AX133+AY213*AY133+AZ213*AZ133+BA213*BA133+BB213*BB133+BC213*BC133+BD213*BD133+BE213*BE133+BF213*BF133+BG213*BG133+BH213*BH133+BI213*BI133+BJ213*BJ133+BK213*BK133+BL213*BL133+BM213*BM133+BN213*BN133+BO213*BO133+BP213*BP133+BQ213*BQ133+BR213*BR133+BS213*BS133+BT213*BT133+BU213*BU133+BV213*BV133+BW213*BW133+BX213*BX133+BY213*BY133+BZ213*BZ133+CA213*CA133+CB213*CB133+CC213*CC133+CD213*CD133+CE213*CE133+CF213*CF133+CG213*CG133+CH213*CH133</f>
        <v>0</v>
      </c>
      <c r="CO133" s="1952">
        <f>E214*E133+F214*F133+G214*G133+H214*H133+I214*I133+J214*J133+K214*K133+L214*L133+M214*M133+N214*N133+O214*O133+P214*P133+Q214*Q133+R214*R133+S214*S133+T214*T133+U214*U133+V214*V133+W214*W133+X214*X133+Y214*Y133+Z214*Z133+AA214*AA133+AB214*AB133+AC214*AC133+AD214*AD133+AE214*AE133+AF214*AF133+AG214*AG133+AH214*AH133+AI214*AI133+AJ214*AJ133+AK214*AK133+AL214*AL133+AM214*AM133+AN214*AN133+AO214*AO133+AP214*AP133+AQ214*AQ133+AR214*AR133+AS214*AS133+AT214*AT133+AU214*AU133+AV214*AV133+AW214*AW133+AX214*AX133+AY214*AY133+AZ214*AZ133+BA214*BA133+BB214*BB133+BC214*BC133+BD214*BD133+BE214*BE133+BF214*BF133+BG214*BG133+BH214*BH133+BI214*BI133+BJ214*BJ133+BK214*BK133+BL214*BL133+BM214*BM133+BN214*BN133+BO214*BO133+BP214*BP133+BQ214*BQ133+BR214*BR133+BS214*BS133+BT214*BT133+BU214*BU133+BV214*BV133+BW214*BW133+BX214*BX133+BY214*BY133+BZ214*BZ133+CA214*CA133+CB214*CB133+CC214*CC133+CD214*CD133+CE214*CE133+CF214*CF133+CG214*CG133+CH214*CH133</f>
        <v>0</v>
      </c>
      <c r="CP133" s="1952">
        <f>E215*E133+F215*F133+G215*G133+H215*H133+I215*I133+J215*J133+K215*K133+L215*L133+M215*M133+N215*N133+O215*O133+P215*P133+Q215*Q133+R215*R133+S215*S133+T215*T133+U215*U133+V215*V133+W215*W133+X215*X133+Y215*Y133+Z215*Z133+AA215*AA133+AB215*AB133+AC215*AC133+AD215*AD133+AE215*AE133+AF215*AF133+AG215*AG133+AH215*AH133+AI215*AI133+AJ215*AJ133+AK215*AK133+AL215*AL133+AM215*AM133+AN215*AN133+AO215*AO133+AP215*AP133+AQ215*AQ133+AR215*AR133+AS215*AS133+AT215*AT133+AU215*AU133+AV215*AV133+AW215*AW133+AX215*AX133+AY215*AY133+AZ215*AZ133+BA215*BA133+BB215*BB133+BC215*BC133+BD215*BD133+BE215*BE133+BF215*BF133+BG215*BG133+BH215*BH133+BI215*BI133+BJ215*BJ133+BK215*BK133+BL215*BL133+BM215*BM133+BN215*BN133+BO215*BO133+BP215*BP133+BQ215*BQ133+BR215*BR133+BS215*BS133+BT215*BT133+BU215*BU133+BV215*BV133+BW215*BW133+BX215*BX133+BY215*BY133+BZ215*BZ133+CA215*CA133+CB215*CB133+CC215*CC133+CD215*CD133+CE215*CE133+CF215*CF133+CG215*CG133+CH215*CH133</f>
        <v>0</v>
      </c>
      <c r="CQ133" s="1952">
        <f>E216*E133+F216*F133+G216*G133+H216*H133+I216*I133+J216*J133+K216*K133+L216*L133+M216*M133+N216*N133+O216*O133+P216*P133+Q216*Q133+R216*R133+S216*S133+T216*T133+U216*U133+V216*V133+W216*W133+X216*X133+Y216*Y133+Z216*Z133+AA216*AA133+AB216*AB133+AC216*AC133+AD216*AD133+AE216*AE133+AF216*AF133+AG216*AG133+AH216*AH133+AI216*AI133+AJ216*AJ133+AK216*AK133+AL216*AL133+AM216*AM133+AN216*AN133+AO216*AO133+AP216*AP133+AQ216*AQ133+AR216*AR133+AS216*AS133+AT216*AT133+AU216*AU133+AV216*AV133+AW216*AW133+AX216*AX133+AY216*AY133+AZ216*AZ133+BA216*BA133+BB216*BB133+BC216*BC133+BD216*BD133+BE216*BE133+BF216*BF133+BG216*BG133+BH216*BH133+BI216*BI133+BJ216*BJ133+BK216*BK133+BL216*BL133+BM216*BM133+BN216*BN133+BO216*BO133+BP216*BP133+BQ216*BQ133+BR216*BR133+BS216*BS133+BT216*BT133+BU216*BU133+BV216*BV133+BW216*BW133+BX216*BX133+BY216*BY133+BZ216*BZ133+CA216*CA133+CB216*CB133+CC216*CC133+CD216*CD133+CE216*CE133+CF216*CF133+CG216*CG133+CH216*CH133</f>
        <v>0</v>
      </c>
      <c r="CR133" s="1952">
        <f>E217*E133+F217*F133+G217*G133+H217*H133+I217*I133+J217*J133+K217*K133+L217*L133+M217*M133+N217*N133+O217*O133+P217*P133+Q217*Q133+R217*R133+S217*S133+T217*T133+U217*U133+V217*V133+W217*W133+X217*X133+Y217*Y133+Z217*Z133+AA217*AA133+AB217*AB133+AC217*AC133+AD217*AD133+AE217*AE133+AF217*AF133+AG217*AG133+AH217*AH133+AI217*AI133+AJ217*AJ133+AK217*AK133+AL217*AL133+AM217*AM133+AN217*AN133+AO217*AO133+AP217*AP133+AQ217*AQ133+AR217*AR133+AS217*AS133+AT217*AT133+AU217*AU133+AV217*AV133+AW217*AW133+AX217*AX133+AY217*AY133+AZ217*AZ133+BA217*BA133+BB217*BB133+BC217*BC133+BD217*BD133+BE217*BE133+BF217*BF133+BG217*BG133+BH217*BH133+BI217*BI133+BJ217*BJ133+BK217*BK133+BL217*BL133+BM217*BM133+BN217*BN133+BO217*BO133+BP217*BP133+BQ217*BQ133+BR217*BR133+BS217*BS133+BT217*BT133+BU217*BU133+BV217*BV133+BW217*BW133+BX217*BX133+BY217*BY133+BZ217*BZ133+CA217*CA133+CB217*CB133+CC217*CC133+CD217*CD133+CE217*CE133+CF217*CF133+CG217*CG133+CH217*CH133</f>
        <v>0</v>
      </c>
      <c r="CS133" s="1952">
        <f>E218*E133+F218*F133+G218*G133+H218*H133+I218*I133+J218*J133+K218*K133+L218*L133+M218*M133+N218*N133+O218*O133+P218*P133+Q218*Q133+R218*R133+S218*S133+T218*T133+U218*U133+V218*V133+W218*W133+X218*X133+Y218*Y133+Z218*Z133+AA218*AA133+AB218*AB133+AC218*AC133+AD218*AD133+AE218*AE133+AF218*AF133+AG218*AG133+AH218*AH133+AI218*AI133+AJ218*AJ133+AK218*AK133+AL218*AL133+AM218*AM133+AN218*AN133+AO218*AO133+AP218*AP133+AQ218*AQ133+AR218*AR133+AS218*AS133+AT218*AT133+AU218*AU133+AV218*AV133+AW218*AW133+AX218*AX133+AY218*AY133+AZ218*AZ133+BA218*BA133+BB218*BB133+BC218*BC133+BD218*BD133+BE218*BE133+BF218*BF133+BG218*BG133+BH218*BH133+BI218*BI133+BJ218*BJ133+BK218*BK133+BL218*BL133+BM218*BM133+BN218*BN133+BO218*BO133+BP218*BP133+BQ218*BQ133+BR218*BR133+BS218*BS133+BT218*BT133+BU218*BU133+BV218*BV133+BW218*BW133+BX218*BX133+BY218*BY133+BZ218*BZ133+CA218*CA133+CB218*CB133+CC218*CC133+CD218*CD133+CE218*CE133+CF218*CF133+CG218*CG133+CH218*CH133</f>
        <v>0</v>
      </c>
      <c r="CT133" s="1952">
        <f>E219*E133+F219*F133+G219*G133+H219*H133+I219*I133+J219*J133+K219*K133+L219*L133+M219*M133+N219*N133+O219*O133+P219*P133+Q219*Q133+R219*R133+S219*S133+T219*T133+U219*U133+V219*V133+W219*W133+X219*X133+Y219*Y133+Z219*Z133+AA219*AA133+AB219*AB133+AC219*AC133+AD219*AD133+AE219*AE133+AF219*AF133+AG219*AG133+AH219*AH133+AI219*AI133+AJ219*AJ133+AK219*AK133+AL219*AL133+AM219*AM133+AN219*AN133+AO219*AO133+AP219*AP133+AQ219*AQ133+AR219*AR133+AS219*AS133+AT219*AT133+AU219*AU133+AV219*AV133+AW219*AW133+AX219*AX133+AY219*AY133+AZ219*AZ133+BA219*BA133+BB219*BB133+BC219*BC133+BD219*BD133+BE219*BE133+BF219*BF133+BG219*BG133+BH219*BH133+BI219*BI133+BJ219*BJ133+BK219*BK133+BL219*BL133+BM219*BM133+BN219*BN133+BO219*BO133+BP219*BP133+BQ219*BQ133+BR219*BR133+BS219*BS133+BT219*BT133+BU219*BU133+BV219*BV133+BW219*BW133+BX219*BX133+BY219*BY133+BZ219*BZ133+CA219*CA133+CB219*CB133+CC219*CC133+CD219*CD133+CE219*CE133+CF219*CF133+CG219*CG133+CH219*CH133</f>
        <v>0</v>
      </c>
      <c r="CU133" s="1952">
        <f>E220*E133+F220*F133+G220*G133+H220*H133+I220*I133+J220*J133+K220*K133+L220*L133+M220*M133+N220*N133+O220*O133+P220*P133+Q220*Q133+R220*R133+S220*S133+T220*T133+U220*U133+V220*V133+W220*W133+X220*X133+Y220*Y133+Z220*Z133+AA220*AA133+AB220*AB133+AC220*AC133+AD220*AD133+AE220*AE133+AF220*AF133+AG220*AG133+AH220*AH133+AI220*AI133+AJ220*AJ133+AK220*AK133+AL220*AL133+AM220*AM133+AN220*AN133+AO220*AO133+AP220*AP133+AQ220*AQ133+AR220*AR133+AS220*AS133+AT220*AT133+AU220*AU133+AV220*AV133+AW220*AW133+AX220*AX133+AY220*AY133+AZ220*AZ133+BA220*BA133+BB220*BB133+BC220*BC133+BD220*BD133+BE220*BE133+BF220*BF133+BG220*BG133+BH220*BH133+BI220*BI133+BJ220*BJ133+BK220*BK133+BL220*BL133+BM220*BM133+BN220*BN133+BO220*BO133+BP220*BP133+BQ220*BQ133+BR220*BR133+BS220*BS133+BT220*BT133+BU220*BU133+BV220*BV133+BW220*BW133+BX220*BX133+BY220*BY133+BZ220*BZ133+CA220*CA133+CB220*CB133+CC220*CC133+CD220*CD133+CE220*CE133+CF220*CF133+CG220*CG133+CH220*CH133</f>
        <v>0</v>
      </c>
    </row>
    <row r="134" spans="2:99" ht="18" x14ac:dyDescent="0.25">
      <c r="B134" s="1033">
        <v>20</v>
      </c>
      <c r="C134" s="1098" t="s">
        <v>242</v>
      </c>
      <c r="D134" s="1099" t="s">
        <v>4749</v>
      </c>
      <c r="E134" s="2057">
        <f>-1</f>
        <v>-1</v>
      </c>
      <c r="F134" s="2057">
        <f>0</f>
        <v>0</v>
      </c>
      <c r="G134" s="2057">
        <f>0</f>
        <v>0</v>
      </c>
      <c r="H134" s="2057">
        <f>0</f>
        <v>0</v>
      </c>
      <c r="I134" s="2080">
        <f>0</f>
        <v>0</v>
      </c>
      <c r="J134" s="2080">
        <f>0</f>
        <v>0</v>
      </c>
      <c r="K134" s="2057">
        <f>0</f>
        <v>0</v>
      </c>
      <c r="L134" s="2057">
        <f>0</f>
        <v>0</v>
      </c>
      <c r="M134" s="2057">
        <f>0</f>
        <v>0</v>
      </c>
      <c r="N134" s="2057">
        <f>0</f>
        <v>0</v>
      </c>
      <c r="O134" s="2057">
        <f>1</f>
        <v>1</v>
      </c>
      <c r="P134" s="2057">
        <f>0</f>
        <v>0</v>
      </c>
      <c r="Q134" s="2057">
        <f>0</f>
        <v>0</v>
      </c>
      <c r="R134" s="2057">
        <f>0</f>
        <v>0</v>
      </c>
      <c r="S134" s="2057">
        <f>0</f>
        <v>0</v>
      </c>
      <c r="T134" s="2057">
        <f>0</f>
        <v>0</v>
      </c>
      <c r="U134" s="2057">
        <f>0</f>
        <v>0</v>
      </c>
      <c r="V134" s="2057">
        <f>0</f>
        <v>0</v>
      </c>
      <c r="W134" s="2057">
        <f>0</f>
        <v>0</v>
      </c>
      <c r="X134" s="2057">
        <f>0</f>
        <v>0</v>
      </c>
      <c r="Y134" s="2057">
        <f>0</f>
        <v>0</v>
      </c>
      <c r="Z134" s="2057">
        <f>0</f>
        <v>0</v>
      </c>
      <c r="AA134" s="2057">
        <f>0</f>
        <v>0</v>
      </c>
      <c r="AB134" s="2057">
        <f>0</f>
        <v>0</v>
      </c>
      <c r="AC134" s="2080">
        <f>0</f>
        <v>0</v>
      </c>
      <c r="AD134" s="2080">
        <f>0</f>
        <v>0</v>
      </c>
      <c r="AE134" s="2057">
        <f>0</f>
        <v>0</v>
      </c>
      <c r="AF134" s="2057">
        <f>0</f>
        <v>0</v>
      </c>
      <c r="AG134" s="2058">
        <f>0</f>
        <v>0</v>
      </c>
      <c r="AH134" s="2057">
        <f>0</f>
        <v>0</v>
      </c>
      <c r="AI134" s="2080">
        <f>0</f>
        <v>0</v>
      </c>
      <c r="AJ134" s="2080">
        <f>0</f>
        <v>0</v>
      </c>
      <c r="AK134" s="2057">
        <f>0</f>
        <v>0</v>
      </c>
      <c r="AL134" s="2057">
        <f>0</f>
        <v>0</v>
      </c>
      <c r="AM134" s="2057">
        <f>0</f>
        <v>0</v>
      </c>
      <c r="AN134" s="2057">
        <f>0</f>
        <v>0</v>
      </c>
      <c r="AO134" s="2057">
        <f>i_CIT_VFA-i_CIT_PHA</f>
        <v>4.1999999999999982E-2</v>
      </c>
      <c r="AP134" s="2057">
        <f>0</f>
        <v>0</v>
      </c>
      <c r="AQ134" s="2058">
        <f>0</f>
        <v>0</v>
      </c>
      <c r="AR134" s="2058">
        <f>0</f>
        <v>0</v>
      </c>
      <c r="AS134" s="2058">
        <f>0</f>
        <v>0</v>
      </c>
      <c r="AT134" s="2058">
        <f>0</f>
        <v>0</v>
      </c>
      <c r="AU134" s="2058">
        <f>0</f>
        <v>0</v>
      </c>
      <c r="AV134" s="2057">
        <f>0</f>
        <v>0</v>
      </c>
      <c r="AW134" s="2057">
        <f>0</f>
        <v>0</v>
      </c>
      <c r="AX134" s="2057">
        <f>0</f>
        <v>0</v>
      </c>
      <c r="AY134" s="2057">
        <f>0</f>
        <v>0</v>
      </c>
      <c r="AZ134" s="2057">
        <f>0</f>
        <v>0</v>
      </c>
      <c r="BA134" s="2057">
        <f>0</f>
        <v>0</v>
      </c>
      <c r="BB134" s="2057">
        <f>0</f>
        <v>0</v>
      </c>
      <c r="BC134" s="2057">
        <f>0</f>
        <v>0</v>
      </c>
      <c r="BD134" s="2057">
        <f>0</f>
        <v>0</v>
      </c>
      <c r="BE134" s="2057">
        <f>0</f>
        <v>0</v>
      </c>
      <c r="BF134" s="2057">
        <f>0</f>
        <v>0</v>
      </c>
      <c r="BG134" s="2057">
        <f>0</f>
        <v>0</v>
      </c>
      <c r="BH134" s="2057">
        <f>0</f>
        <v>0</v>
      </c>
      <c r="BI134" s="2057">
        <f>0</f>
        <v>0</v>
      </c>
      <c r="BJ134" s="2057">
        <f>0</f>
        <v>0</v>
      </c>
      <c r="BK134" s="2057">
        <f>0</f>
        <v>0</v>
      </c>
      <c r="BL134" s="2057">
        <f>0</f>
        <v>0</v>
      </c>
      <c r="BM134" s="2057">
        <f>0</f>
        <v>0</v>
      </c>
      <c r="BN134" s="2057">
        <f>0</f>
        <v>0</v>
      </c>
      <c r="BO134" s="2057">
        <f>0</f>
        <v>0</v>
      </c>
      <c r="BP134" s="2113">
        <f>0</f>
        <v>0</v>
      </c>
      <c r="BQ134" s="2113">
        <f>0</f>
        <v>0</v>
      </c>
      <c r="BR134" s="2113">
        <f>0</f>
        <v>0</v>
      </c>
      <c r="BS134" s="2113">
        <f>0</f>
        <v>0</v>
      </c>
      <c r="BT134" s="2057">
        <f>0</f>
        <v>0</v>
      </c>
      <c r="BU134" s="2057">
        <f>0</f>
        <v>0</v>
      </c>
      <c r="BV134" s="2057">
        <f>0</f>
        <v>0</v>
      </c>
      <c r="BW134" s="2057">
        <f>0</f>
        <v>0</v>
      </c>
      <c r="BX134" s="2057">
        <f>0</f>
        <v>0</v>
      </c>
      <c r="BY134" s="2057">
        <f>0</f>
        <v>0</v>
      </c>
      <c r="BZ134" s="2057">
        <f>0</f>
        <v>0</v>
      </c>
      <c r="CA134" s="2057">
        <f>0</f>
        <v>0</v>
      </c>
      <c r="CB134" s="2057">
        <f>0</f>
        <v>0</v>
      </c>
      <c r="CC134" s="2057">
        <f>0</f>
        <v>0</v>
      </c>
      <c r="CD134" s="2057">
        <f>0</f>
        <v>0</v>
      </c>
      <c r="CE134" s="2057">
        <f>0</f>
        <v>0</v>
      </c>
      <c r="CF134" s="2057">
        <f>0</f>
        <v>0</v>
      </c>
      <c r="CG134" s="2057">
        <f>0</f>
        <v>0</v>
      </c>
      <c r="CH134" s="2057">
        <f>0</f>
        <v>0</v>
      </c>
      <c r="CI134" s="2139">
        <f>q_GAO_PHA_T*X_CASTO*actsto_GAO_ORP*M_satSVFA_KVFA_CASTO*L_oginhXPHA_XGAO_max</f>
        <v>3.7838181114634031</v>
      </c>
      <c r="CK134" s="1950">
        <f>E210*E134+F210*F134+G210*G134+H210*H134+I210*I134+J210*J134+K210*K134+L210*L134+M210*M134+N210*N134+O210*O134+P210*P134+Q210*Q134+R210*R134+S210*S134+T210*T134+U210*U134+V210*V134+W210*W134+X210*X134+Y210*Y134+Z210*Z134+AA210*AA134+AB210*AB134+AC210*AC134+AD210*AD134+AE210*AE134+AF210*AF134+AG210*AG134+AH210*AH134+AI210*AI134+AJ210*AJ134+AK210*AK134+AL210*AL134+AM210*AM134+AN210*AN134+AO210*AO134+AP210*AP134+AQ210*AQ134+AR210*AR134+AS210*AS134+AT210*AT134+AU210*AU134+AV210*AV134+AW210*AW134+AX210*AX134+AY210*AY134+AZ210*AZ134+BA210*BA134+BB210*BB134+BC210*BC134+BD210*BD134+BE210*BE134+BF210*BF134+BG210*BG134+BH210*BH134+BI210*BI134+BJ210*BJ134+BK210*BK134+BL210*BL134+BM210*BM134+BN210*BN134+BO210*BO134+BP210*BP134+BQ210*BQ134+BR210*BR134+BS210*BS134+BT210*BT134+BU210*BU134+BV210*BV134+BW210*BW134+BX210*BX134+BY210*BY134+BZ210*BZ134+CA210*CA134+CB210*CB134+CC210*CC134+CD210*CD134+CE210*CE134+CF210*CF134+CG210*CG134+CH210*CH134</f>
        <v>0</v>
      </c>
      <c r="CL134" s="1950">
        <f>E211*E134+F211*F134+G211*G134+H211*H134+I211*I134+J211*J134+K211*K134+L211*L134+M211*M134+N211*N134+O211*O134+P211*P134+Q211*Q134+R211*R134+S211*S134+T211*T134+U211*U134+V211*V134+W211*W134+X211*X134+Y211*Y134+Z211*Z134+AA211*AA134+AB211*AB134+AC211*AC134+AD211*AD134+AE211*AE134+AF211*AF134+AG211*AG134+AH211*AH134+AI211*AI134+AJ211*AJ134+AK211*AK134+AL211*AL134+AM211*AM134+AN211*AN134+AO211*AO134+AP211*AP134+AQ211*AQ134+AR211*AR134+AS211*AS134+AT211*AT134+AU211*AU134+AV211*AV134+AW211*AW134+AX211*AX134+AY211*AY134+AZ211*AZ134+BA211*BA134+BB211*BB134+BC211*BC134+BD211*BD134+BE211*BE134+BF211*BF134+BG211*BG134+BH211*BH134+BI211*BI134+BJ211*BJ134+BK211*BK134+BL211*BL134+BM211*BM134+BN211*BN134+BO211*BO134+BP211*BP134+BQ211*BQ134+BR211*BR134+BS211*BS134+BT211*BT134+BU211*BU134+BV211*BV134+BW211*BW134+BX211*BX134+BY211*BY134+BZ211*BZ134+CA211*CA134+CB211*CB134+CC211*CC134+CD211*CD134+CE211*CE134+CF211*CF134+CG211*CG134+CH211*CH134</f>
        <v>0</v>
      </c>
      <c r="CM134" s="1951">
        <f>E212*E134+F212*F134+G212*G134+H212*H134+I212*I134+J212*J134+K212*K134+L212*L134+M212*M134+N212*N134+O212*O134+P212*P134+Q212*Q134+R212*R134+S212*S134+T212*T134+U212*U134+V212*V134+W212*W134+X212*X134+Y212*Y134+Z212*Z134+AA212*AA134+AB212*AB134+AC212*AC134+AD212*AD134+AE212*AE134+AF212*AF134+AG212*AG134+AH212*AH134+AI212*AI134+AJ212*AJ134+AK212*AK134+AL212*AL134+AM212*AM134+AN212*AN134+AO212*AO134+AP212*AP134+AQ212*AQ134+AR212*AR134+AS212*AS134+AT212*AT134+AU212*AU134+AV212*AV134+AW212*AW134+AX212*AX134+AY212*AY134+AZ212*AZ134+BA212*BA134+BB212*BB134+BC212*BC134+BD212*BD134+BE212*BE134+BF212*BF134+BG212*BG134+BH212*BH134+BI212*BI134+BJ212*BJ134+BK212*BK134+BL212*BL134+BM212*BM134+BN212*BN134+BO212*BO134+BP212*BP134+BQ212*BQ134+BR212*BR134+BS212*BS134+BT212*BT134+BU212*BU134+BV212*BV134+BW212*BW134+BX212*BX134+BY212*BY134+BZ212*BZ134+CA212*CA134+CB212*CB134+CC212*CC134+CD212*CD134+CE212*CE134+CF212*CF134+CG212*CG134+CH212*CH134</f>
        <v>0</v>
      </c>
      <c r="CN134" s="1952">
        <f>E213*E134+F213*F134+G213*G134+H213*H134+I213*I134+J213*J134+K213*K134+L213*L134+M213*M134+N213*N134+O213*O134+P213*P134+Q213*Q134+R213*R134+S213*S134+T213*T134+U213*U134+V213*V134+W213*W134+X213*X134+Y213*Y134+Z213*Z134+AA213*AA134+AB213*AB134+AC213*AC134+AD213*AD134+AE213*AE134+AF213*AF134+AG213*AG134+AH213*AH134+AI213*AI134+AJ213*AJ134+AK213*AK134+AL213*AL134+AM213*AM134+AN213*AN134+AO213*AO134+AP213*AP134+AQ213*AQ134+AR213*AR134+AS213*AS134+AT213*AT134+AU213*AU134+AV213*AV134+AW213*AW134+AX213*AX134+AY213*AY134+AZ213*AZ134+BA213*BA134+BB213*BB134+BC213*BC134+BD213*BD134+BE213*BE134+BF213*BF134+BG213*BG134+BH213*BH134+BI213*BI134+BJ213*BJ134+BK213*BK134+BL213*BL134+BM213*BM134+BN213*BN134+BO213*BO134+BP213*BP134+BQ213*BQ134+BR213*BR134+BS213*BS134+BT213*BT134+BU213*BU134+BV213*BV134+BW213*BW134+BX213*BX134+BY213*BY134+BZ213*BZ134+CA213*CA134+CB213*CB134+CC213*CC134+CD213*CD134+CE213*CE134+CF213*CF134+CG213*CG134+CH213*CH134</f>
        <v>0</v>
      </c>
      <c r="CO134" s="1952">
        <f>E214*E134+F214*F134+G214*G134+H214*H134+I214*I134+J214*J134+K214*K134+L214*L134+M214*M134+N214*N134+O214*O134+P214*P134+Q214*Q134+R214*R134+S214*S134+T214*T134+U214*U134+V214*V134+W214*W134+X214*X134+Y214*Y134+Z214*Z134+AA214*AA134+AB214*AB134+AC214*AC134+AD214*AD134+AE214*AE134+AF214*AF134+AG214*AG134+AH214*AH134+AI214*AI134+AJ214*AJ134+AK214*AK134+AL214*AL134+AM214*AM134+AN214*AN134+AO214*AO134+AP214*AP134+AQ214*AQ134+AR214*AR134+AS214*AS134+AT214*AT134+AU214*AU134+AV214*AV134+AW214*AW134+AX214*AX134+AY214*AY134+AZ214*AZ134+BA214*BA134+BB214*BB134+BC214*BC134+BD214*BD134+BE214*BE134+BF214*BF134+BG214*BG134+BH214*BH134+BI214*BI134+BJ214*BJ134+BK214*BK134+BL214*BL134+BM214*BM134+BN214*BN134+BO214*BO134+BP214*BP134+BQ214*BQ134+BR214*BR134+BS214*BS134+BT214*BT134+BU214*BU134+BV214*BV134+BW214*BW134+BX214*BX134+BY214*BY134+BZ214*BZ134+CA214*CA134+CB214*CB134+CC214*CC134+CD214*CD134+CE214*CE134+CF214*CF134+CG214*CG134+CH214*CH134</f>
        <v>0</v>
      </c>
      <c r="CP134" s="1952">
        <f>E215*E134+F215*F134+G215*G134+H215*H134+I215*I134+J215*J134+K215*K134+L215*L134+M215*M134+N215*N134+O215*O134+P215*P134+Q215*Q134+R215*R134+S215*S134+T215*T134+U215*U134+V215*V134+W215*W134+X215*X134+Y215*Y134+Z215*Z134+AA215*AA134+AB215*AB134+AC215*AC134+AD215*AD134+AE215*AE134+AF215*AF134+AG215*AG134+AH215*AH134+AI215*AI134+AJ215*AJ134+AK215*AK134+AL215*AL134+AM215*AM134+AN215*AN134+AO215*AO134+AP215*AP134+AQ215*AQ134+AR215*AR134+AS215*AS134+AT215*AT134+AU215*AU134+AV215*AV134+AW215*AW134+AX215*AX134+AY215*AY134+AZ215*AZ134+BA215*BA134+BB215*BB134+BC215*BC134+BD215*BD134+BE215*BE134+BF215*BF134+BG215*BG134+BH215*BH134+BI215*BI134+BJ215*BJ134+BK215*BK134+BL215*BL134+BM215*BM134+BN215*BN134+BO215*BO134+BP215*BP134+BQ215*BQ134+BR215*BR134+BS215*BS134+BT215*BT134+BU215*BU134+BV215*BV134+BW215*BW134+BX215*BX134+BY215*BY134+BZ215*BZ134+CA215*CA134+CB215*CB134+CC215*CC134+CD215*CD134+CE215*CE134+CF215*CF134+CG215*CG134+CH215*CH134</f>
        <v>0</v>
      </c>
      <c r="CQ134" s="1952">
        <f>E216*E134+F216*F134+G216*G134+H216*H134+I216*I134+J216*J134+K216*K134+L216*L134+M216*M134+N216*N134+O216*O134+P216*P134+Q216*Q134+R216*R134+S216*S134+T216*T134+U216*U134+V216*V134+W216*W134+X216*X134+Y216*Y134+Z216*Z134+AA216*AA134+AB216*AB134+AC216*AC134+AD216*AD134+AE216*AE134+AF216*AF134+AG216*AG134+AH216*AH134+AI216*AI134+AJ216*AJ134+AK216*AK134+AL216*AL134+AM216*AM134+AN216*AN134+AO216*AO134+AP216*AP134+AQ216*AQ134+AR216*AR134+AS216*AS134+AT216*AT134+AU216*AU134+AV216*AV134+AW216*AW134+AX216*AX134+AY216*AY134+AZ216*AZ134+BA216*BA134+BB216*BB134+BC216*BC134+BD216*BD134+BE216*BE134+BF216*BF134+BG216*BG134+BH216*BH134+BI216*BI134+BJ216*BJ134+BK216*BK134+BL216*BL134+BM216*BM134+BN216*BN134+BO216*BO134+BP216*BP134+BQ216*BQ134+BR216*BR134+BS216*BS134+BT216*BT134+BU216*BU134+BV216*BV134+BW216*BW134+BX216*BX134+BY216*BY134+BZ216*BZ134+CA216*CA134+CB216*CB134+CC216*CC134+CD216*CD134+CE216*CE134+CF216*CF134+CG216*CG134+CH216*CH134</f>
        <v>0</v>
      </c>
      <c r="CR134" s="1952">
        <f>E217*E134+F217*F134+G217*G134+H217*H134+I217*I134+J217*J134+K217*K134+L217*L134+M217*M134+N217*N134+O217*O134+P217*P134+Q217*Q134+R217*R134+S217*S134+T217*T134+U217*U134+V217*V134+W217*W134+X217*X134+Y217*Y134+Z217*Z134+AA217*AA134+AB217*AB134+AC217*AC134+AD217*AD134+AE217*AE134+AF217*AF134+AG217*AG134+AH217*AH134+AI217*AI134+AJ217*AJ134+AK217*AK134+AL217*AL134+AM217*AM134+AN217*AN134+AO217*AO134+AP217*AP134+AQ217*AQ134+AR217*AR134+AS217*AS134+AT217*AT134+AU217*AU134+AV217*AV134+AW217*AW134+AX217*AX134+AY217*AY134+AZ217*AZ134+BA217*BA134+BB217*BB134+BC217*BC134+BD217*BD134+BE217*BE134+BF217*BF134+BG217*BG134+BH217*BH134+BI217*BI134+BJ217*BJ134+BK217*BK134+BL217*BL134+BM217*BM134+BN217*BN134+BO217*BO134+BP217*BP134+BQ217*BQ134+BR217*BR134+BS217*BS134+BT217*BT134+BU217*BU134+BV217*BV134+BW217*BW134+BX217*BX134+BY217*BY134+BZ217*BZ134+CA217*CA134+CB217*CB134+CC217*CC134+CD217*CD134+CE217*CE134+CF217*CF134+CG217*CG134+CH217*CH134</f>
        <v>0</v>
      </c>
      <c r="CS134" s="1952">
        <f>E218*E134+F218*F134+G218*G134+H218*H134+I218*I134+J218*J134+K218*K134+L218*L134+M218*M134+N218*N134+O218*O134+P218*P134+Q218*Q134+R218*R134+S218*S134+T218*T134+U218*U134+V218*V134+W218*W134+X218*X134+Y218*Y134+Z218*Z134+AA218*AA134+AB218*AB134+AC218*AC134+AD218*AD134+AE218*AE134+AF218*AF134+AG218*AG134+AH218*AH134+AI218*AI134+AJ218*AJ134+AK218*AK134+AL218*AL134+AM218*AM134+AN218*AN134+AO218*AO134+AP218*AP134+AQ218*AQ134+AR218*AR134+AS218*AS134+AT218*AT134+AU218*AU134+AV218*AV134+AW218*AW134+AX218*AX134+AY218*AY134+AZ218*AZ134+BA218*BA134+BB218*BB134+BC218*BC134+BD218*BD134+BE218*BE134+BF218*BF134+BG218*BG134+BH218*BH134+BI218*BI134+BJ218*BJ134+BK218*BK134+BL218*BL134+BM218*BM134+BN218*BN134+BO218*BO134+BP218*BP134+BQ218*BQ134+BR218*BR134+BS218*BS134+BT218*BT134+BU218*BU134+BV218*BV134+BW218*BW134+BX218*BX134+BY218*BY134+BZ218*BZ134+CA218*CA134+CB218*CB134+CC218*CC134+CD218*CD134+CE218*CE134+CF218*CF134+CG218*CG134+CH218*CH134</f>
        <v>0</v>
      </c>
      <c r="CT134" s="1952">
        <f>E219*E134+F219*F134+G219*G134+H219*H134+I219*I134+J219*J134+K219*K134+L219*L134+M219*M134+N219*N134+O219*O134+P219*P134+Q219*Q134+R219*R134+S219*S134+T219*T134+U219*U134+V219*V134+W219*W134+X219*X134+Y219*Y134+Z219*Z134+AA219*AA134+AB219*AB134+AC219*AC134+AD219*AD134+AE219*AE134+AF219*AF134+AG219*AG134+AH219*AH134+AI219*AI134+AJ219*AJ134+AK219*AK134+AL219*AL134+AM219*AM134+AN219*AN134+AO219*AO134+AP219*AP134+AQ219*AQ134+AR219*AR134+AS219*AS134+AT219*AT134+AU219*AU134+AV219*AV134+AW219*AW134+AX219*AX134+AY219*AY134+AZ219*AZ134+BA219*BA134+BB219*BB134+BC219*BC134+BD219*BD134+BE219*BE134+BF219*BF134+BG219*BG134+BH219*BH134+BI219*BI134+BJ219*BJ134+BK219*BK134+BL219*BL134+BM219*BM134+BN219*BN134+BO219*BO134+BP219*BP134+BQ219*BQ134+BR219*BR134+BS219*BS134+BT219*BT134+BU219*BU134+BV219*BV134+BW219*BW134+BX219*BX134+BY219*BY134+BZ219*BZ134+CA219*CA134+CB219*CB134+CC219*CC134+CD219*CD134+CE219*CE134+CF219*CF134+CG219*CG134+CH219*CH134</f>
        <v>0</v>
      </c>
      <c r="CU134" s="1952">
        <f>E220*E134+F220*F134+G220*G134+H220*H134+I220*I134+J220*J134+K220*K134+L220*L134+M220*M134+N220*N134+O220*O134+P220*P134+Q220*Q134+R220*R134+S220*S134+T220*T134+U220*U134+V220*V134+W220*W134+X220*X134+Y220*Y134+Z220*Z134+AA220*AA134+AB220*AB134+AC220*AC134+AD220*AD134+AE220*AE134+AF220*AF134+AG220*AG134+AH220*AH134+AI220*AI134+AJ220*AJ134+AK220*AK134+AL220*AL134+AM220*AM134+AN220*AN134+AO220*AO134+AP220*AP134+AQ220*AQ134+AR220*AR134+AS220*AS134+AT220*AT134+AU220*AU134+AV220*AV134+AW220*AW134+AX220*AX134+AY220*AY134+AZ220*AZ134+BA220*BA134+BB220*BB134+BC220*BC134+BD220*BD134+BE220*BE134+BF220*BF134+BG220*BG134+BH220*BH134+BI220*BI134+BJ220*BJ134+BK220*BK134+BL220*BL134+BM220*BM134+BN220*BN134+BO220*BO134+BP220*BP134+BQ220*BQ134+BR220*BR134+BS220*BS134+BT220*BT134+BU220*BU134+BV220*BV134+BW220*BW134+BX220*BX134+BY220*BY134+BZ220*BZ134+CA220*CA134+CB220*CB134+CC220*CC134+CD220*CD134+CE220*CE134+CF220*CF134+CG220*CG134+CH220*CH134</f>
        <v>0</v>
      </c>
    </row>
    <row r="135" spans="2:99" ht="18" x14ac:dyDescent="0.25">
      <c r="B135" s="1033">
        <v>21</v>
      </c>
      <c r="C135" s="1098" t="s">
        <v>243</v>
      </c>
      <c r="D135" s="1099" t="s">
        <v>3893</v>
      </c>
      <c r="E135" s="2057">
        <f>0</f>
        <v>0</v>
      </c>
      <c r="F135" s="2057">
        <f>0</f>
        <v>0</v>
      </c>
      <c r="G135" s="2057">
        <f>0</f>
        <v>0</v>
      </c>
      <c r="H135" s="2057">
        <f>0</f>
        <v>0</v>
      </c>
      <c r="I135" s="2080">
        <f>0</f>
        <v>0</v>
      </c>
      <c r="J135" s="2080">
        <f>0</f>
        <v>0</v>
      </c>
      <c r="K135" s="2057">
        <f>0</f>
        <v>0</v>
      </c>
      <c r="L135" s="2057">
        <f>0</f>
        <v>0</v>
      </c>
      <c r="M135" s="2057">
        <f>0</f>
        <v>0</v>
      </c>
      <c r="N135" s="2058">
        <f>-X_PHA_PAO/X_STC</f>
        <v>-0.86956521739130432</v>
      </c>
      <c r="O135" s="2058">
        <f>-X_PHA_GAO/X_STC</f>
        <v>-0.13043478260869565</v>
      </c>
      <c r="P135" s="2057">
        <f>0</f>
        <v>0</v>
      </c>
      <c r="Q135" s="2057">
        <f>0</f>
        <v>0</v>
      </c>
      <c r="R135" s="2057">
        <f>0</f>
        <v>0</v>
      </c>
      <c r="S135" s="2057">
        <f>0</f>
        <v>0</v>
      </c>
      <c r="T135" s="2057">
        <f>0</f>
        <v>0</v>
      </c>
      <c r="U135" s="2057">
        <f>0</f>
        <v>0</v>
      </c>
      <c r="V135" s="2057">
        <f>0</f>
        <v>0</v>
      </c>
      <c r="W135" s="2057">
        <f>0</f>
        <v>0</v>
      </c>
      <c r="X135" s="2057">
        <f>0</f>
        <v>0</v>
      </c>
      <c r="Y135" s="2057">
        <f>0</f>
        <v>0</v>
      </c>
      <c r="Z135" s="2057">
        <f>0</f>
        <v>0</v>
      </c>
      <c r="AA135" s="2057">
        <f>0</f>
        <v>0</v>
      </c>
      <c r="AB135" s="2057">
        <f>0</f>
        <v>0</v>
      </c>
      <c r="AC135" s="2080">
        <f>0</f>
        <v>0</v>
      </c>
      <c r="AD135" s="2080">
        <f>0</f>
        <v>0</v>
      </c>
      <c r="AE135" s="2057">
        <f>0</f>
        <v>0</v>
      </c>
      <c r="AF135" s="2057">
        <f>0</f>
        <v>0</v>
      </c>
      <c r="AG135" s="2058">
        <f>0</f>
        <v>0</v>
      </c>
      <c r="AH135" s="2057">
        <f>0</f>
        <v>0</v>
      </c>
      <c r="AI135" s="2080">
        <f>0</f>
        <v>0</v>
      </c>
      <c r="AJ135" s="2080">
        <f>0</f>
        <v>0</v>
      </c>
      <c r="AK135" s="2057">
        <f>0</f>
        <v>0</v>
      </c>
      <c r="AL135" s="2057">
        <f>-1</f>
        <v>-1</v>
      </c>
      <c r="AM135" s="2057">
        <f>0</f>
        <v>0</v>
      </c>
      <c r="AN135" s="2057">
        <f>0</f>
        <v>0</v>
      </c>
      <c r="AO135" s="2057">
        <f>i_CIT_STC</f>
        <v>0.33300000000000002</v>
      </c>
      <c r="AP135" s="2057">
        <f>0</f>
        <v>0</v>
      </c>
      <c r="AQ135" s="2058">
        <f>0</f>
        <v>0</v>
      </c>
      <c r="AR135" s="2058">
        <f>0</f>
        <v>0</v>
      </c>
      <c r="AS135" s="2058">
        <f>0</f>
        <v>0</v>
      </c>
      <c r="AT135" s="2058">
        <f>0</f>
        <v>0</v>
      </c>
      <c r="AU135" s="2058">
        <f>0</f>
        <v>0</v>
      </c>
      <c r="AV135" s="2057">
        <f>0</f>
        <v>0</v>
      </c>
      <c r="AW135" s="2057">
        <f>0</f>
        <v>0</v>
      </c>
      <c r="AX135" s="2057">
        <f>0</f>
        <v>0</v>
      </c>
      <c r="AY135" s="2057">
        <f>0</f>
        <v>0</v>
      </c>
      <c r="AZ135" s="2057">
        <f>0</f>
        <v>0</v>
      </c>
      <c r="BA135" s="2057">
        <f>0</f>
        <v>0</v>
      </c>
      <c r="BB135" s="2057">
        <f>0</f>
        <v>0</v>
      </c>
      <c r="BC135" s="2057">
        <f>0</f>
        <v>0</v>
      </c>
      <c r="BD135" s="2057">
        <f>0</f>
        <v>0</v>
      </c>
      <c r="BE135" s="2057">
        <f>0</f>
        <v>0</v>
      </c>
      <c r="BF135" s="2057">
        <f>0</f>
        <v>0</v>
      </c>
      <c r="BG135" s="2057">
        <f>0</f>
        <v>0</v>
      </c>
      <c r="BH135" s="2057">
        <f>0</f>
        <v>0</v>
      </c>
      <c r="BI135" s="2057">
        <f>0</f>
        <v>0</v>
      </c>
      <c r="BJ135" s="2057">
        <f>0</f>
        <v>0</v>
      </c>
      <c r="BK135" s="2057">
        <f>0</f>
        <v>0</v>
      </c>
      <c r="BL135" s="2057">
        <f>0</f>
        <v>0</v>
      </c>
      <c r="BM135" s="2057">
        <f>0</f>
        <v>0</v>
      </c>
      <c r="BN135" s="2057">
        <f>0</f>
        <v>0</v>
      </c>
      <c r="BO135" s="2057">
        <f>0</f>
        <v>0</v>
      </c>
      <c r="BP135" s="2113">
        <f>0</f>
        <v>0</v>
      </c>
      <c r="BQ135" s="2113">
        <f>0</f>
        <v>0</v>
      </c>
      <c r="BR135" s="2113">
        <f>0</f>
        <v>0</v>
      </c>
      <c r="BS135" s="2113">
        <f>0</f>
        <v>0</v>
      </c>
      <c r="BT135" s="2057">
        <f>0</f>
        <v>0</v>
      </c>
      <c r="BU135" s="2057">
        <f>0</f>
        <v>0</v>
      </c>
      <c r="BV135" s="2057">
        <f>0</f>
        <v>0</v>
      </c>
      <c r="BW135" s="2057">
        <f>0</f>
        <v>0</v>
      </c>
      <c r="BX135" s="2057">
        <f>0</f>
        <v>0</v>
      </c>
      <c r="BY135" s="2057">
        <f>0</f>
        <v>0</v>
      </c>
      <c r="BZ135" s="2057">
        <f>0</f>
        <v>0</v>
      </c>
      <c r="CA135" s="2057">
        <f>0</f>
        <v>0</v>
      </c>
      <c r="CB135" s="2057">
        <f>0</f>
        <v>0</v>
      </c>
      <c r="CC135" s="2057">
        <f>0</f>
        <v>0</v>
      </c>
      <c r="CD135" s="2057">
        <f>0</f>
        <v>0</v>
      </c>
      <c r="CE135" s="2057">
        <f>0</f>
        <v>0</v>
      </c>
      <c r="CF135" s="2057">
        <f>0</f>
        <v>0</v>
      </c>
      <c r="CG135" s="2057">
        <f>0</f>
        <v>0</v>
      </c>
      <c r="CH135" s="2057">
        <f>0</f>
        <v>0</v>
      </c>
      <c r="CI135" s="2139">
        <f>b_STC_T*X_CASTO*M_satSO2_KO2_CASTO*M_RsatXSTC_XCASTO_KSTC</f>
        <v>10.7584363514868</v>
      </c>
      <c r="CK135" s="1950">
        <f>E210*E135+F210*F135+G210*G135+H210*H135+I210*I135+J210*J135+K210*K135+L210*L135+M210*M135+N210*N135+O210*O135+P210*P135+Q210*Q135+R210*R135+S210*S135+T210*T135+U210*U135+V210*V135+W210*W135+X210*X135+Y210*Y135+Z210*Z135+AA210*AA135+AB210*AB135+AC210*AC135+AD210*AD135+AE210*AE135+AF210*AF135+AG210*AG135+AH210*AH135+AI210*AI135+AJ210*AJ135+AK210*AK135+AL210*AL135+AM210*AM135+AN210*AN135+AO210*AO135+AP210*AP135+AQ210*AQ135+AR210*AR135+AS210*AS135+AT210*AT135+AU210*AU135+AV210*AV135+AW210*AW135+AX210*AX135+AY210*AY135+AZ210*AZ135+BA210*BA135+BB210*BB135+BC210*BC135+BD210*BD135+BE210*BE135+BF210*BF135+BG210*BG135+BH210*BH135+BI210*BI135+BJ210*BJ135+BK210*BK135+BL210*BL135+BM210*BM135+BN210*BN135+BO210*BO135+BP210*BP135+BQ210*BQ135+BR210*BR135+BS210*BS135+BT210*BT135+BU210*BU135+BV210*BV135+BW210*BW135+BX210*BX135+BY210*BY135+BZ210*BZ135+CA210*CA135+CB210*CB135+CC210*CC135+CD210*CD135+CE210*CE135+CF210*CF135+CG210*CG135+CH210*CH135</f>
        <v>0</v>
      </c>
      <c r="CL135" s="1950">
        <f>E211*E135+F211*F135+G211*G135+H211*H135+I211*I135+J211*J135+K211*K135+L211*L135+M211*M135+N211*N135+O211*O135+P211*P135+Q211*Q135+R211*R135+S211*S135+T211*T135+U211*U135+V211*V135+W211*W135+X211*X135+Y211*Y135+Z211*Z135+AA211*AA135+AB211*AB135+AC211*AC135+AD211*AD135+AE211*AE135+AF211*AF135+AG211*AG135+AH211*AH135+AI211*AI135+AJ211*AJ135+AK211*AK135+AL211*AL135+AM211*AM135+AN211*AN135+AO211*AO135+AP211*AP135+AQ211*AQ135+AR211*AR135+AS211*AS135+AT211*AT135+AU211*AU135+AV211*AV135+AW211*AW135+AX211*AX135+AY211*AY135+AZ211*AZ135+BA211*BA135+BB211*BB135+BC211*BC135+BD211*BD135+BE211*BE135+BF211*BF135+BG211*BG135+BH211*BH135+BI211*BI135+BJ211*BJ135+BK211*BK135+BL211*BL135+BM211*BM135+BN211*BN135+BO211*BO135+BP211*BP135+BQ211*BQ135+BR211*BR135+BS211*BS135+BT211*BT135+BU211*BU135+BV211*BV135+BW211*BW135+BX211*BX135+BY211*BY135+BZ211*BZ135+CA211*CA135+CB211*CB135+CC211*CC135+CD211*CD135+CE211*CE135+CF211*CF135+CG211*CG135+CH211*CH135</f>
        <v>0</v>
      </c>
      <c r="CM135" s="1951">
        <f>E212*E135+F212*F135+G212*G135+H212*H135+I212*I135+J212*J135+K212*K135+L212*L135+M212*M135+N212*N135+O212*O135+P212*P135+Q212*Q135+R212*R135+S212*S135+T212*T135+U212*U135+V212*V135+W212*W135+X212*X135+Y212*Y135+Z212*Z135+AA212*AA135+AB212*AB135+AC212*AC135+AD212*AD135+AE212*AE135+AF212*AF135+AG212*AG135+AH212*AH135+AI212*AI135+AJ212*AJ135+AK212*AK135+AL212*AL135+AM212*AM135+AN212*AN135+AO212*AO135+AP212*AP135+AQ212*AQ135+AR212*AR135+AS212*AS135+AT212*AT135+AU212*AU135+AV212*AV135+AW212*AW135+AX212*AX135+AY212*AY135+AZ212*AZ135+BA212*BA135+BB212*BB135+BC212*BC135+BD212*BD135+BE212*BE135+BF212*BF135+BG212*BG135+BH212*BH135+BI212*BI135+BJ212*BJ135+BK212*BK135+BL212*BL135+BM212*BM135+BN212*BN135+BO212*BO135+BP212*BP135+BQ212*BQ135+BR212*BR135+BS212*BS135+BT212*BT135+BU212*BU135+BV212*BV135+BW212*BW135+BX212*BX135+BY212*BY135+BZ212*BZ135+CA212*CA135+CB212*CB135+CC212*CC135+CD212*CD135+CE212*CE135+CF212*CF135+CG212*CG135+CH212*CH135</f>
        <v>0</v>
      </c>
      <c r="CN135" s="1952">
        <f>E213*E135+F213*F135+G213*G135+H213*H135+I213*I135+J213*J135+K213*K135+L213*L135+M213*M135+N213*N135+O213*O135+P213*P135+Q213*Q135+R213*R135+S213*S135+T213*T135+U213*U135+V213*V135+W213*W135+X213*X135+Y213*Y135+Z213*Z135+AA213*AA135+AB213*AB135+AC213*AC135+AD213*AD135+AE213*AE135+AF213*AF135+AG213*AG135+AH213*AH135+AI213*AI135+AJ213*AJ135+AK213*AK135+AL213*AL135+AM213*AM135+AN213*AN135+AO213*AO135+AP213*AP135+AQ213*AQ135+AR213*AR135+AS213*AS135+AT213*AT135+AU213*AU135+AV213*AV135+AW213*AW135+AX213*AX135+AY213*AY135+AZ213*AZ135+BA213*BA135+BB213*BB135+BC213*BC135+BD213*BD135+BE213*BE135+BF213*BF135+BG213*BG135+BH213*BH135+BI213*BI135+BJ213*BJ135+BK213*BK135+BL213*BL135+BM213*BM135+BN213*BN135+BO213*BO135+BP213*BP135+BQ213*BQ135+BR213*BR135+BS213*BS135+BT213*BT135+BU213*BU135+BV213*BV135+BW213*BW135+BX213*BX135+BY213*BY135+BZ213*BZ135+CA213*CA135+CB213*CB135+CC213*CC135+CD213*CD135+CE213*CE135+CF213*CF135+CG213*CG135+CH213*CH135</f>
        <v>0</v>
      </c>
      <c r="CO135" s="1952">
        <f>E214*E135+F214*F135+G214*G135+H214*H135+I214*I135+J214*J135+K214*K135+L214*L135+M214*M135+N214*N135+O214*O135+P214*P135+Q214*Q135+R214*R135+S214*S135+T214*T135+U214*U135+V214*V135+W214*W135+X214*X135+Y214*Y135+Z214*Z135+AA214*AA135+AB214*AB135+AC214*AC135+AD214*AD135+AE214*AE135+AF214*AF135+AG214*AG135+AH214*AH135+AI214*AI135+AJ214*AJ135+AK214*AK135+AL214*AL135+AM214*AM135+AN214*AN135+AO214*AO135+AP214*AP135+AQ214*AQ135+AR214*AR135+AS214*AS135+AT214*AT135+AU214*AU135+AV214*AV135+AW214*AW135+AX214*AX135+AY214*AY135+AZ214*AZ135+BA214*BA135+BB214*BB135+BC214*BC135+BD214*BD135+BE214*BE135+BF214*BF135+BG214*BG135+BH214*BH135+BI214*BI135+BJ214*BJ135+BK214*BK135+BL214*BL135+BM214*BM135+BN214*BN135+BO214*BO135+BP214*BP135+BQ214*BQ135+BR214*BR135+BS214*BS135+BT214*BT135+BU214*BU135+BV214*BV135+BW214*BW135+BX214*BX135+BY214*BY135+BZ214*BZ135+CA214*CA135+CB214*CB135+CC214*CC135+CD214*CD135+CE214*CE135+CF214*CF135+CG214*CG135+CH214*CH135</f>
        <v>0</v>
      </c>
      <c r="CP135" s="1952">
        <f>E215*E135+F215*F135+G215*G135+H215*H135+I215*I135+J215*J135+K215*K135+L215*L135+M215*M135+N215*N135+O215*O135+P215*P135+Q215*Q135+R215*R135+S215*S135+T215*T135+U215*U135+V215*V135+W215*W135+X215*X135+Y215*Y135+Z215*Z135+AA215*AA135+AB215*AB135+AC215*AC135+AD215*AD135+AE215*AE135+AF215*AF135+AG215*AG135+AH215*AH135+AI215*AI135+AJ215*AJ135+AK215*AK135+AL215*AL135+AM215*AM135+AN215*AN135+AO215*AO135+AP215*AP135+AQ215*AQ135+AR215*AR135+AS215*AS135+AT215*AT135+AU215*AU135+AV215*AV135+AW215*AW135+AX215*AX135+AY215*AY135+AZ215*AZ135+BA215*BA135+BB215*BB135+BC215*BC135+BD215*BD135+BE215*BE135+BF215*BF135+BG215*BG135+BH215*BH135+BI215*BI135+BJ215*BJ135+BK215*BK135+BL215*BL135+BM215*BM135+BN215*BN135+BO215*BO135+BP215*BP135+BQ215*BQ135+BR215*BR135+BS215*BS135+BT215*BT135+BU215*BU135+BV215*BV135+BW215*BW135+BX215*BX135+BY215*BY135+BZ215*BZ135+CA215*CA135+CB215*CB135+CC215*CC135+CD215*CD135+CE215*CE135+CF215*CF135+CG215*CG135+CH215*CH135</f>
        <v>0</v>
      </c>
      <c r="CQ135" s="1952">
        <f>E216*E135+F216*F135+G216*G135+H216*H135+I216*I135+J216*J135+K216*K135+L216*L135+M216*M135+N216*N135+O216*O135+P216*P135+Q216*Q135+R216*R135+S216*S135+T216*T135+U216*U135+V216*V135+W216*W135+X216*X135+Y216*Y135+Z216*Z135+AA216*AA135+AB216*AB135+AC216*AC135+AD216*AD135+AE216*AE135+AF216*AF135+AG216*AG135+AH216*AH135+AI216*AI135+AJ216*AJ135+AK216*AK135+AL216*AL135+AM216*AM135+AN216*AN135+AO216*AO135+AP216*AP135+AQ216*AQ135+AR216*AR135+AS216*AS135+AT216*AT135+AU216*AU135+AV216*AV135+AW216*AW135+AX216*AX135+AY216*AY135+AZ216*AZ135+BA216*BA135+BB216*BB135+BC216*BC135+BD216*BD135+BE216*BE135+BF216*BF135+BG216*BG135+BH216*BH135+BI216*BI135+BJ216*BJ135+BK216*BK135+BL216*BL135+BM216*BM135+BN216*BN135+BO216*BO135+BP216*BP135+BQ216*BQ135+BR216*BR135+BS216*BS135+BT216*BT135+BU216*BU135+BV216*BV135+BW216*BW135+BX216*BX135+BY216*BY135+BZ216*BZ135+CA216*CA135+CB216*CB135+CC216*CC135+CD216*CD135+CE216*CE135+CF216*CF135+CG216*CG135+CH216*CH135</f>
        <v>0</v>
      </c>
      <c r="CR135" s="1952">
        <f>E217*E135+F217*F135+G217*G135+H217*H135+I217*I135+J217*J135+K217*K135+L217*L135+M217*M135+N217*N135+O217*O135+P217*P135+Q217*Q135+R217*R135+S217*S135+T217*T135+U217*U135+V217*V135+W217*W135+X217*X135+Y217*Y135+Z217*Z135+AA217*AA135+AB217*AB135+AC217*AC135+AD217*AD135+AE217*AE135+AF217*AF135+AG217*AG135+AH217*AH135+AI217*AI135+AJ217*AJ135+AK217*AK135+AL217*AL135+AM217*AM135+AN217*AN135+AO217*AO135+AP217*AP135+AQ217*AQ135+AR217*AR135+AS217*AS135+AT217*AT135+AU217*AU135+AV217*AV135+AW217*AW135+AX217*AX135+AY217*AY135+AZ217*AZ135+BA217*BA135+BB217*BB135+BC217*BC135+BD217*BD135+BE217*BE135+BF217*BF135+BG217*BG135+BH217*BH135+BI217*BI135+BJ217*BJ135+BK217*BK135+BL217*BL135+BM217*BM135+BN217*BN135+BO217*BO135+BP217*BP135+BQ217*BQ135+BR217*BR135+BS217*BS135+BT217*BT135+BU217*BU135+BV217*BV135+BW217*BW135+BX217*BX135+BY217*BY135+BZ217*BZ135+CA217*CA135+CB217*CB135+CC217*CC135+CD217*CD135+CE217*CE135+CF217*CF135+CG217*CG135+CH217*CH135</f>
        <v>0</v>
      </c>
      <c r="CS135" s="1952">
        <f>E218*E135+F218*F135+G218*G135+H218*H135+I218*I135+J218*J135+K218*K135+L218*L135+M218*M135+N218*N135+O218*O135+P218*P135+Q218*Q135+R218*R135+S218*S135+T218*T135+U218*U135+V218*V135+W218*W135+X218*X135+Y218*Y135+Z218*Z135+AA218*AA135+AB218*AB135+AC218*AC135+AD218*AD135+AE218*AE135+AF218*AF135+AG218*AG135+AH218*AH135+AI218*AI135+AJ218*AJ135+AK218*AK135+AL218*AL135+AM218*AM135+AN218*AN135+AO218*AO135+AP218*AP135+AQ218*AQ135+AR218*AR135+AS218*AS135+AT218*AT135+AU218*AU135+AV218*AV135+AW218*AW135+AX218*AX135+AY218*AY135+AZ218*AZ135+BA218*BA135+BB218*BB135+BC218*BC135+BD218*BD135+BE218*BE135+BF218*BF135+BG218*BG135+BH218*BH135+BI218*BI135+BJ218*BJ135+BK218*BK135+BL218*BL135+BM218*BM135+BN218*BN135+BO218*BO135+BP218*BP135+BQ218*BQ135+BR218*BR135+BS218*BS135+BT218*BT135+BU218*BU135+BV218*BV135+BW218*BW135+BX218*BX135+BY218*BY135+BZ218*BZ135+CA218*CA135+CB218*CB135+CC218*CC135+CD218*CD135+CE218*CE135+CF218*CF135+CG218*CG135+CH218*CH135</f>
        <v>0</v>
      </c>
      <c r="CT135" s="1952">
        <f>E219*E135+F219*F135+G219*G135+H219*H135+I219*I135+J219*J135+K219*K135+L219*L135+M219*M135+N219*N135+O219*O135+P219*P135+Q219*Q135+R219*R135+S219*S135+T219*T135+U219*U135+V219*V135+W219*W135+X219*X135+Y219*Y135+Z219*Z135+AA219*AA135+AB219*AB135+AC219*AC135+AD219*AD135+AE219*AE135+AF219*AF135+AG219*AG135+AH219*AH135+AI219*AI135+AJ219*AJ135+AK219*AK135+AL219*AL135+AM219*AM135+AN219*AN135+AO219*AO135+AP219*AP135+AQ219*AQ135+AR219*AR135+AS219*AS135+AT219*AT135+AU219*AU135+AV219*AV135+AW219*AW135+AX219*AX135+AY219*AY135+AZ219*AZ135+BA219*BA135+BB219*BB135+BC219*BC135+BD219*BD135+BE219*BE135+BF219*BF135+BG219*BG135+BH219*BH135+BI219*BI135+BJ219*BJ135+BK219*BK135+BL219*BL135+BM219*BM135+BN219*BN135+BO219*BO135+BP219*BP135+BQ219*BQ135+BR219*BR135+BS219*BS135+BT219*BT135+BU219*BU135+BV219*BV135+BW219*BW135+BX219*BX135+BY219*BY135+BZ219*BZ135+CA219*CA135+CB219*CB135+CC219*CC135+CD219*CD135+CE219*CE135+CF219*CF135+CG219*CG135+CH219*CH135</f>
        <v>0</v>
      </c>
      <c r="CU135" s="1952">
        <f>E220*E135+F220*F135+G220*G135+H220*H135+I220*I135+J220*J135+K220*K135+L220*L135+M220*M135+N220*N135+O220*O135+P220*P135+Q220*Q135+R220*R135+S220*S135+T220*T135+U220*U135+V220*V135+W220*W135+X220*X135+Y220*Y135+Z220*Z135+AA220*AA135+AB220*AB135+AC220*AC135+AD220*AD135+AE220*AE135+AF220*AF135+AG220*AG135+AH220*AH135+AI220*AI135+AJ220*AJ135+AK220*AK135+AL220*AL135+AM220*AM135+AN220*AN135+AO220*AO135+AP220*AP135+AQ220*AQ135+AR220*AR135+AS220*AS135+AT220*AT135+AU220*AU135+AV220*AV135+AW220*AW135+AX220*AX135+AY220*AY135+AZ220*AZ135+BA220*BA135+BB220*BB135+BC220*BC135+BD220*BD135+BE220*BE135+BF220*BF135+BG220*BG135+BH220*BH135+BI220*BI135+BJ220*BJ135+BK220*BK135+BL220*BL135+BM220*BM135+BN220*BN135+BO220*BO135+BP220*BP135+BQ220*BQ135+BR220*BR135+BS220*BS135+BT220*BT135+BU220*BU135+BV220*BV135+BW220*BW135+BX220*BX135+BY220*BY135+BZ220*BZ135+CA220*CA135+CB220*CB135+CC220*CC135+CD220*CD135+CE220*CE135+CF220*CF135+CG220*CG135+CH220*CH135</f>
        <v>0</v>
      </c>
    </row>
    <row r="136" spans="2:99" ht="18" x14ac:dyDescent="0.25">
      <c r="B136" s="1033">
        <v>22</v>
      </c>
      <c r="C136" s="1098" t="s">
        <v>244</v>
      </c>
      <c r="D136" s="1099" t="s">
        <v>3894</v>
      </c>
      <c r="E136" s="2057">
        <f>0</f>
        <v>0</v>
      </c>
      <c r="F136" s="2057">
        <f>0</f>
        <v>0</v>
      </c>
      <c r="G136" s="2057">
        <f>0</f>
        <v>0</v>
      </c>
      <c r="H136" s="2057">
        <f>0</f>
        <v>0</v>
      </c>
      <c r="I136" s="2080">
        <f>0</f>
        <v>0</v>
      </c>
      <c r="J136" s="2080">
        <f>0</f>
        <v>0</v>
      </c>
      <c r="K136" s="2057">
        <f>0</f>
        <v>0</v>
      </c>
      <c r="L136" s="2057">
        <f>0</f>
        <v>0</v>
      </c>
      <c r="M136" s="2057">
        <f>0</f>
        <v>0</v>
      </c>
      <c r="N136" s="2058">
        <f>-X_PHA_PAO/X_STC</f>
        <v>-0.86956521739130432</v>
      </c>
      <c r="O136" s="2058">
        <f>-X_PHA_GAO/X_STC</f>
        <v>-0.13043478260869565</v>
      </c>
      <c r="P136" s="2057">
        <f>0</f>
        <v>0</v>
      </c>
      <c r="Q136" s="2057">
        <f>0</f>
        <v>0</v>
      </c>
      <c r="R136" s="2057">
        <f>0</f>
        <v>0</v>
      </c>
      <c r="S136" s="2057">
        <f>0</f>
        <v>0</v>
      </c>
      <c r="T136" s="2057">
        <f>0</f>
        <v>0</v>
      </c>
      <c r="U136" s="2057">
        <f>0</f>
        <v>0</v>
      </c>
      <c r="V136" s="2057">
        <f>0</f>
        <v>0</v>
      </c>
      <c r="W136" s="2057">
        <f>0</f>
        <v>0</v>
      </c>
      <c r="X136" s="2057">
        <f>0</f>
        <v>0</v>
      </c>
      <c r="Y136" s="2057">
        <f>0</f>
        <v>0</v>
      </c>
      <c r="Z136" s="2058">
        <f>-1/E_EQN2_NO3</f>
        <v>-0.35018063177369152</v>
      </c>
      <c r="AA136" s="2058">
        <f>1/E_EQN2_NO3</f>
        <v>0.35018063177369152</v>
      </c>
      <c r="AB136" s="2057">
        <f>0</f>
        <v>0</v>
      </c>
      <c r="AC136" s="2080">
        <f>0</f>
        <v>0</v>
      </c>
      <c r="AD136" s="2080">
        <f>0</f>
        <v>0</v>
      </c>
      <c r="AE136" s="2057">
        <f>0</f>
        <v>0</v>
      </c>
      <c r="AF136" s="2057">
        <f>0</f>
        <v>0</v>
      </c>
      <c r="AG136" s="2058">
        <f>0</f>
        <v>0</v>
      </c>
      <c r="AH136" s="2057">
        <f>0</f>
        <v>0</v>
      </c>
      <c r="AI136" s="2080">
        <f>0</f>
        <v>0</v>
      </c>
      <c r="AJ136" s="2080">
        <f>0</f>
        <v>0</v>
      </c>
      <c r="AK136" s="2057">
        <f>0</f>
        <v>0</v>
      </c>
      <c r="AL136" s="2057">
        <f>0</f>
        <v>0</v>
      </c>
      <c r="AM136" s="2057">
        <f>0</f>
        <v>0</v>
      </c>
      <c r="AN136" s="2057">
        <f>0</f>
        <v>0</v>
      </c>
      <c r="AO136" s="2057">
        <f>i_CIT_STC</f>
        <v>0.33300000000000002</v>
      </c>
      <c r="AP136" s="2057">
        <f>0</f>
        <v>0</v>
      </c>
      <c r="AQ136" s="2058">
        <f>0</f>
        <v>0</v>
      </c>
      <c r="AR136" s="2058">
        <f>0</f>
        <v>0</v>
      </c>
      <c r="AS136" s="2058">
        <f>0</f>
        <v>0</v>
      </c>
      <c r="AT136" s="2058">
        <f>0</f>
        <v>0</v>
      </c>
      <c r="AU136" s="2058">
        <f>0</f>
        <v>0</v>
      </c>
      <c r="AV136" s="2057">
        <f>0</f>
        <v>0</v>
      </c>
      <c r="AW136" s="2057">
        <f>0</f>
        <v>0</v>
      </c>
      <c r="AX136" s="2057">
        <f>0</f>
        <v>0</v>
      </c>
      <c r="AY136" s="2057">
        <f>0</f>
        <v>0</v>
      </c>
      <c r="AZ136" s="2057">
        <f>0</f>
        <v>0</v>
      </c>
      <c r="BA136" s="2057">
        <f>0</f>
        <v>0</v>
      </c>
      <c r="BB136" s="2057">
        <f>0</f>
        <v>0</v>
      </c>
      <c r="BC136" s="2057">
        <f>0</f>
        <v>0</v>
      </c>
      <c r="BD136" s="2057">
        <f>0</f>
        <v>0</v>
      </c>
      <c r="BE136" s="2057">
        <f>0</f>
        <v>0</v>
      </c>
      <c r="BF136" s="2057">
        <f>0</f>
        <v>0</v>
      </c>
      <c r="BG136" s="2057">
        <f>0</f>
        <v>0</v>
      </c>
      <c r="BH136" s="2057">
        <f>0</f>
        <v>0</v>
      </c>
      <c r="BI136" s="2057">
        <f>0</f>
        <v>0</v>
      </c>
      <c r="BJ136" s="2057">
        <f>0</f>
        <v>0</v>
      </c>
      <c r="BK136" s="2057">
        <f>0</f>
        <v>0</v>
      </c>
      <c r="BL136" s="2057">
        <f>0</f>
        <v>0</v>
      </c>
      <c r="BM136" s="2057">
        <f>0</f>
        <v>0</v>
      </c>
      <c r="BN136" s="2057">
        <f>0</f>
        <v>0</v>
      </c>
      <c r="BO136" s="2057">
        <f>0</f>
        <v>0</v>
      </c>
      <c r="BP136" s="2113">
        <f>0</f>
        <v>0</v>
      </c>
      <c r="BQ136" s="2113">
        <f>0</f>
        <v>0</v>
      </c>
      <c r="BR136" s="2113">
        <f>0</f>
        <v>0</v>
      </c>
      <c r="BS136" s="2113">
        <f>0</f>
        <v>0</v>
      </c>
      <c r="BT136" s="2057">
        <f>0</f>
        <v>0</v>
      </c>
      <c r="BU136" s="2057">
        <f>0</f>
        <v>0</v>
      </c>
      <c r="BV136" s="2057">
        <f>0</f>
        <v>0</v>
      </c>
      <c r="BW136" s="2057">
        <f>0</f>
        <v>0</v>
      </c>
      <c r="BX136" s="2057">
        <f>0</f>
        <v>0</v>
      </c>
      <c r="BY136" s="2057">
        <f>0</f>
        <v>0</v>
      </c>
      <c r="BZ136" s="2057">
        <f>0</f>
        <v>0</v>
      </c>
      <c r="CA136" s="2057">
        <f>0</f>
        <v>0</v>
      </c>
      <c r="CB136" s="2057">
        <f>0</f>
        <v>0</v>
      </c>
      <c r="CC136" s="2057">
        <f>0</f>
        <v>0</v>
      </c>
      <c r="CD136" s="2057">
        <f>0</f>
        <v>0</v>
      </c>
      <c r="CE136" s="2057">
        <f>0</f>
        <v>0</v>
      </c>
      <c r="CF136" s="2057">
        <f>0</f>
        <v>0</v>
      </c>
      <c r="CG136" s="2057">
        <f>0</f>
        <v>0</v>
      </c>
      <c r="CH136" s="2057">
        <f>0</f>
        <v>0</v>
      </c>
      <c r="CI136" s="2139">
        <f>b_STC_T*η_bSTC_anox*X_CASTO*M_inhSO2_KO2_CASTO*M_satSNOx_KNOx_CASTO*M_RsatXSTC_XCASTO_KSTC</f>
        <v>0.17645546699754697</v>
      </c>
      <c r="CK136" s="1950">
        <f>E210*E136+F210*F136+G210*G136+H210*H136+I210*I136+J210*J136+K210*K136+L210*L136+M210*M136+N210*N136+O210*O136+P210*P136+Q210*Q136+R210*R136+S210*S136+T210*T136+U210*U136+V210*V136+W210*W136+X210*X136+Y210*Y136+Z210*Z136+AA210*AA136+AB210*AB136+AC210*AC136+AD210*AD136+AE210*AE136+AF210*AF136+AG210*AG136+AH210*AH136+AI210*AI136+AJ210*AJ136+AK210*AK136+AL210*AL136+AM210*AM136+AN210*AN136+AO210*AO136+AP210*AP136+AQ210*AQ136+AR210*AR136+AS210*AS136+AT210*AT136+AU210*AU136+AV210*AV136+AW210*AW136+AX210*AX136+AY210*AY136+AZ210*AZ136+BA210*BA136+BB210*BB136+BC210*BC136+BD210*BD136+BE210*BE136+BF210*BF136+BG210*BG136+BH210*BH136+BI210*BI136+BJ210*BJ136+BK210*BK136+BL210*BL136+BM210*BM136+BN210*BN136+BO210*BO136+BP210*BP136+BQ210*BQ136+BR210*BR136+BS210*BS136+BT210*BT136+BU210*BU136+BV210*BV136+BW210*BW136+BX210*BX136+BY210*BY136+BZ210*BZ136+CA210*CA136+CB210*CB136+CC210*CC136+CD210*CD136+CE210*CE136+CF210*CF136+CG210*CG136+CH210*CH136</f>
        <v>-1.1102230246251565E-16</v>
      </c>
      <c r="CL136" s="1950">
        <f>E211*E136+F211*F136+G211*G136+H211*H136+I211*I136+J211*J136+K211*K136+L211*L136+M211*M136+N211*N136+O211*O136+P211*P136+Q211*Q136+R211*R136+S211*S136+T211*T136+U211*U136+V211*V136+W211*W136+X211*X136+Y211*Y136+Z211*Z136+AA211*AA136+AB211*AB136+AC211*AC136+AD211*AD136+AE211*AE136+AF211*AF136+AG211*AG136+AH211*AH136+AI211*AI136+AJ211*AJ136+AK211*AK136+AL211*AL136+AM211*AM136+AN211*AN136+AO211*AO136+AP211*AP136+AQ211*AQ136+AR211*AR136+AS211*AS136+AT211*AT136+AU211*AU136+AV211*AV136+AW211*AW136+AX211*AX136+AY211*AY136+AZ211*AZ136+BA211*BA136+BB211*BB136+BC211*BC136+BD211*BD136+BE211*BE136+BF211*BF136+BG211*BG136+BH211*BH136+BI211*BI136+BJ211*BJ136+BK211*BK136+BL211*BL136+BM211*BM136+BN211*BN136+BO211*BO136+BP211*BP136+BQ211*BQ136+BR211*BR136+BS211*BS136+BT211*BT136+BU211*BU136+BV211*BV136+BW211*BW136+BX211*BX136+BY211*BY136+BZ211*BZ136+CA211*CA136+CB211*CB136+CC211*CC136+CD211*CD136+CE211*CE136+CF211*CF136+CG211*CG136+CH211*CH136</f>
        <v>0</v>
      </c>
      <c r="CM136" s="1951">
        <f>E212*E136+F212*F136+G212*G136+H212*H136+I212*I136+J212*J136+K212*K136+L212*L136+M212*M136+N212*N136+O212*O136+P212*P136+Q212*Q136+R212*R136+S212*S136+T212*T136+U212*U136+V212*V136+W212*W136+X212*X136+Y212*Y136+Z212*Z136+AA212*AA136+AB212*AB136+AC212*AC136+AD212*AD136+AE212*AE136+AF212*AF136+AG212*AG136+AH212*AH136+AI212*AI136+AJ212*AJ136+AK212*AK136+AL212*AL136+AM212*AM136+AN212*AN136+AO212*AO136+AP212*AP136+AQ212*AQ136+AR212*AR136+AS212*AS136+AT212*AT136+AU212*AU136+AV212*AV136+AW212*AW136+AX212*AX136+AY212*AY136+AZ212*AZ136+BA212*BA136+BB212*BB136+BC212*BC136+BD212*BD136+BE212*BE136+BF212*BF136+BG212*BG136+BH212*BH136+BI212*BI136+BJ212*BJ136+BK212*BK136+BL212*BL136+BM212*BM136+BN212*BN136+BO212*BO136+BP212*BP136+BQ212*BQ136+BR212*BR136+BS212*BS136+BT212*BT136+BU212*BU136+BV212*BV136+BW212*BW136+BX212*BX136+BY212*BY136+BZ212*BZ136+CA212*CA136+CB212*CB136+CC212*CC136+CD212*CD136+CE212*CE136+CF212*CF136+CG212*CG136+CH212*CH136</f>
        <v>0</v>
      </c>
      <c r="CN136" s="1952">
        <f>E213*E136+F213*F136+G213*G136+H213*H136+I213*I136+J213*J136+K213*K136+L213*L136+M213*M136+N213*N136+O213*O136+P213*P136+Q213*Q136+R213*R136+S213*S136+T213*T136+U213*U136+V213*V136+W213*W136+X213*X136+Y213*Y136+Z213*Z136+AA213*AA136+AB213*AB136+AC213*AC136+AD213*AD136+AE213*AE136+AF213*AF136+AG213*AG136+AH213*AH136+AI213*AI136+AJ213*AJ136+AK213*AK136+AL213*AL136+AM213*AM136+AN213*AN136+AO213*AO136+AP213*AP136+AQ213*AQ136+AR213*AR136+AS213*AS136+AT213*AT136+AU213*AU136+AV213*AV136+AW213*AW136+AX213*AX136+AY213*AY136+AZ213*AZ136+BA213*BA136+BB213*BB136+BC213*BC136+BD213*BD136+BE213*BE136+BF213*BF136+BG213*BG136+BH213*BH136+BI213*BI136+BJ213*BJ136+BK213*BK136+BL213*BL136+BM213*BM136+BN213*BN136+BO213*BO136+BP213*BP136+BQ213*BQ136+BR213*BR136+BS213*BS136+BT213*BT136+BU213*BU136+BV213*BV136+BW213*BW136+BX213*BX136+BY213*BY136+BZ213*BZ136+CA213*CA136+CB213*CB136+CC213*CC136+CD213*CD136+CE213*CE136+CF213*CF136+CG213*CG136+CH213*CH136</f>
        <v>0</v>
      </c>
      <c r="CO136" s="1952">
        <f>E214*E136+F214*F136+G214*G136+H214*H136+I214*I136+J214*J136+K214*K136+L214*L136+M214*M136+N214*N136+O214*O136+P214*P136+Q214*Q136+R214*R136+S214*S136+T214*T136+U214*U136+V214*V136+W214*W136+X214*X136+Y214*Y136+Z214*Z136+AA214*AA136+AB214*AB136+AC214*AC136+AD214*AD136+AE214*AE136+AF214*AF136+AG214*AG136+AH214*AH136+AI214*AI136+AJ214*AJ136+AK214*AK136+AL214*AL136+AM214*AM136+AN214*AN136+AO214*AO136+AP214*AP136+AQ214*AQ136+AR214*AR136+AS214*AS136+AT214*AT136+AU214*AU136+AV214*AV136+AW214*AW136+AX214*AX136+AY214*AY136+AZ214*AZ136+BA214*BA136+BB214*BB136+BC214*BC136+BD214*BD136+BE214*BE136+BF214*BF136+BG214*BG136+BH214*BH136+BI214*BI136+BJ214*BJ136+BK214*BK136+BL214*BL136+BM214*BM136+BN214*BN136+BO214*BO136+BP214*BP136+BQ214*BQ136+BR214*BR136+BS214*BS136+BT214*BT136+BU214*BU136+BV214*BV136+BW214*BW136+BX214*BX136+BY214*BY136+BZ214*BZ136+CA214*CA136+CB214*CB136+CC214*CC136+CD214*CD136+CE214*CE136+CF214*CF136+CG214*CG136+CH214*CH136</f>
        <v>0</v>
      </c>
      <c r="CP136" s="1952">
        <f>E215*E136+F215*F136+G215*G136+H215*H136+I215*I136+J215*J136+K215*K136+L215*L136+M215*M136+N215*N136+O215*O136+P215*P136+Q215*Q136+R215*R136+S215*S136+T215*T136+U215*U136+V215*V136+W215*W136+X215*X136+Y215*Y136+Z215*Z136+AA215*AA136+AB215*AB136+AC215*AC136+AD215*AD136+AE215*AE136+AF215*AF136+AG215*AG136+AH215*AH136+AI215*AI136+AJ215*AJ136+AK215*AK136+AL215*AL136+AM215*AM136+AN215*AN136+AO215*AO136+AP215*AP136+AQ215*AQ136+AR215*AR136+AS215*AS136+AT215*AT136+AU215*AU136+AV215*AV136+AW215*AW136+AX215*AX136+AY215*AY136+AZ215*AZ136+BA215*BA136+BB215*BB136+BC215*BC136+BD215*BD136+BE215*BE136+BF215*BF136+BG215*BG136+BH215*BH136+BI215*BI136+BJ215*BJ136+BK215*BK136+BL215*BL136+BM215*BM136+BN215*BN136+BO215*BO136+BP215*BP136+BQ215*BQ136+BR215*BR136+BS215*BS136+BT215*BT136+BU215*BU136+BV215*BV136+BW215*BW136+BX215*BX136+BY215*BY136+BZ215*BZ136+CA215*CA136+CB215*CB136+CC215*CC136+CD215*CD136+CE215*CE136+CF215*CF136+CG215*CG136+CH215*CH136</f>
        <v>0</v>
      </c>
      <c r="CQ136" s="1952">
        <f>E216*E136+F216*F136+G216*G136+H216*H136+I216*I136+J216*J136+K216*K136+L216*L136+M216*M136+N216*N136+O216*O136+P216*P136+Q216*Q136+R216*R136+S216*S136+T216*T136+U216*U136+V216*V136+W216*W136+X216*X136+Y216*Y136+Z216*Z136+AA216*AA136+AB216*AB136+AC216*AC136+AD216*AD136+AE216*AE136+AF216*AF136+AG216*AG136+AH216*AH136+AI216*AI136+AJ216*AJ136+AK216*AK136+AL216*AL136+AM216*AM136+AN216*AN136+AO216*AO136+AP216*AP136+AQ216*AQ136+AR216*AR136+AS216*AS136+AT216*AT136+AU216*AU136+AV216*AV136+AW216*AW136+AX216*AX136+AY216*AY136+AZ216*AZ136+BA216*BA136+BB216*BB136+BC216*BC136+BD216*BD136+BE216*BE136+BF216*BF136+BG216*BG136+BH216*BH136+BI216*BI136+BJ216*BJ136+BK216*BK136+BL216*BL136+BM216*BM136+BN216*BN136+BO216*BO136+BP216*BP136+BQ216*BQ136+BR216*BR136+BS216*BS136+BT216*BT136+BU216*BU136+BV216*BV136+BW216*BW136+BX216*BX136+BY216*BY136+BZ216*BZ136+CA216*CA136+CB216*CB136+CC216*CC136+CD216*CD136+CE216*CE136+CF216*CF136+CG216*CG136+CH216*CH136</f>
        <v>0</v>
      </c>
      <c r="CR136" s="1952">
        <f>E217*E136+F217*F136+G217*G136+H217*H136+I217*I136+J217*J136+K217*K136+L217*L136+M217*M136+N217*N136+O217*O136+P217*P136+Q217*Q136+R217*R136+S217*S136+T217*T136+U217*U136+V217*V136+W217*W136+X217*X136+Y217*Y136+Z217*Z136+AA217*AA136+AB217*AB136+AC217*AC136+AD217*AD136+AE217*AE136+AF217*AF136+AG217*AG136+AH217*AH136+AI217*AI136+AJ217*AJ136+AK217*AK136+AL217*AL136+AM217*AM136+AN217*AN136+AO217*AO136+AP217*AP136+AQ217*AQ136+AR217*AR136+AS217*AS136+AT217*AT136+AU217*AU136+AV217*AV136+AW217*AW136+AX217*AX136+AY217*AY136+AZ217*AZ136+BA217*BA136+BB217*BB136+BC217*BC136+BD217*BD136+BE217*BE136+BF217*BF136+BG217*BG136+BH217*BH136+BI217*BI136+BJ217*BJ136+BK217*BK136+BL217*BL136+BM217*BM136+BN217*BN136+BO217*BO136+BP217*BP136+BQ217*BQ136+BR217*BR136+BS217*BS136+BT217*BT136+BU217*BU136+BV217*BV136+BW217*BW136+BX217*BX136+BY217*BY136+BZ217*BZ136+CA217*CA136+CB217*CB136+CC217*CC136+CD217*CD136+CE217*CE136+CF217*CF136+CG217*CG136+CH217*CH136</f>
        <v>0</v>
      </c>
      <c r="CS136" s="1952">
        <f>E218*E136+F218*F136+G218*G136+H218*H136+I218*I136+J218*J136+K218*K136+L218*L136+M218*M136+N218*N136+O218*O136+P218*P136+Q218*Q136+R218*R136+S218*S136+T218*T136+U218*U136+V218*V136+W218*W136+X218*X136+Y218*Y136+Z218*Z136+AA218*AA136+AB218*AB136+AC218*AC136+AD218*AD136+AE218*AE136+AF218*AF136+AG218*AG136+AH218*AH136+AI218*AI136+AJ218*AJ136+AK218*AK136+AL218*AL136+AM218*AM136+AN218*AN136+AO218*AO136+AP218*AP136+AQ218*AQ136+AR218*AR136+AS218*AS136+AT218*AT136+AU218*AU136+AV218*AV136+AW218*AW136+AX218*AX136+AY218*AY136+AZ218*AZ136+BA218*BA136+BB218*BB136+BC218*BC136+BD218*BD136+BE218*BE136+BF218*BF136+BG218*BG136+BH218*BH136+BI218*BI136+BJ218*BJ136+BK218*BK136+BL218*BL136+BM218*BM136+BN218*BN136+BO218*BO136+BP218*BP136+BQ218*BQ136+BR218*BR136+BS218*BS136+BT218*BT136+BU218*BU136+BV218*BV136+BW218*BW136+BX218*BX136+BY218*BY136+BZ218*BZ136+CA218*CA136+CB218*CB136+CC218*CC136+CD218*CD136+CE218*CE136+CF218*CF136+CG218*CG136+CH218*CH136</f>
        <v>0</v>
      </c>
      <c r="CT136" s="1952">
        <f>E219*E136+F219*F136+G219*G136+H219*H136+I219*I136+J219*J136+K219*K136+L219*L136+M219*M136+N219*N136+O219*O136+P219*P136+Q219*Q136+R219*R136+S219*S136+T219*T136+U219*U136+V219*V136+W219*W136+X219*X136+Y219*Y136+Z219*Z136+AA219*AA136+AB219*AB136+AC219*AC136+AD219*AD136+AE219*AE136+AF219*AF136+AG219*AG136+AH219*AH136+AI219*AI136+AJ219*AJ136+AK219*AK136+AL219*AL136+AM219*AM136+AN219*AN136+AO219*AO136+AP219*AP136+AQ219*AQ136+AR219*AR136+AS219*AS136+AT219*AT136+AU219*AU136+AV219*AV136+AW219*AW136+AX219*AX136+AY219*AY136+AZ219*AZ136+BA219*BA136+BB219*BB136+BC219*BC136+BD219*BD136+BE219*BE136+BF219*BF136+BG219*BG136+BH219*BH136+BI219*BI136+BJ219*BJ136+BK219*BK136+BL219*BL136+BM219*BM136+BN219*BN136+BO219*BO136+BP219*BP136+BQ219*BQ136+BR219*BR136+BS219*BS136+BT219*BT136+BU219*BU136+BV219*BV136+BW219*BW136+BX219*BX136+BY219*BY136+BZ219*BZ136+CA219*CA136+CB219*CB136+CC219*CC136+CD219*CD136+CE219*CE136+CF219*CF136+CG219*CG136+CH219*CH136</f>
        <v>0</v>
      </c>
      <c r="CU136" s="1952">
        <f>E220*E136+F220*F136+G220*G136+H220*H136+I220*I136+J220*J136+K220*K136+L220*L136+M220*M136+N220*N136+O220*O136+P220*P136+Q220*Q136+R220*R136+S220*S136+T220*T136+U220*U136+V220*V136+W220*W136+X220*X136+Y220*Y136+Z220*Z136+AA220*AA136+AB220*AB136+AC220*AC136+AD220*AD136+AE220*AE136+AF220*AF136+AG220*AG136+AH220*AH136+AI220*AI136+AJ220*AJ136+AK220*AK136+AL220*AL136+AM220*AM136+AN220*AN136+AO220*AO136+AP220*AP136+AQ220*AQ136+AR220*AR136+AS220*AS136+AT220*AT136+AU220*AU136+AV220*AV136+AW220*AW136+AX220*AX136+AY220*AY136+AZ220*AZ136+BA220*BA136+BB220*BB136+BC220*BC136+BD220*BD136+BE220*BE136+BF220*BF136+BG220*BG136+BH220*BH136+BI220*BI136+BJ220*BJ136+BK220*BK136+BL220*BL136+BM220*BM136+BN220*BN136+BO220*BO136+BP220*BP136+BQ220*BQ136+BR220*BR136+BS220*BS136+BT220*BT136+BU220*BU136+BV220*BV136+BW220*BW136+BX220*BX136+BY220*BY136+BZ220*BZ136+CA220*CA136+CB220*CB136+CC220*CC136+CD220*CD136+CE220*CE136+CF220*CF136+CG220*CG136+CH220*CH136</f>
        <v>0</v>
      </c>
    </row>
    <row r="137" spans="2:99" ht="18" x14ac:dyDescent="0.25">
      <c r="B137" s="1033">
        <v>23</v>
      </c>
      <c r="C137" s="1098" t="s">
        <v>245</v>
      </c>
      <c r="D137" s="1099" t="s">
        <v>3747</v>
      </c>
      <c r="E137" s="2057">
        <f>1</f>
        <v>1</v>
      </c>
      <c r="F137" s="2057">
        <f>0</f>
        <v>0</v>
      </c>
      <c r="G137" s="2057">
        <f>0</f>
        <v>0</v>
      </c>
      <c r="H137" s="2057">
        <f>0</f>
        <v>0</v>
      </c>
      <c r="I137" s="2080">
        <f>0</f>
        <v>0</v>
      </c>
      <c r="J137" s="2080">
        <f>0</f>
        <v>0</v>
      </c>
      <c r="K137" s="2057">
        <f>0</f>
        <v>0</v>
      </c>
      <c r="L137" s="2057">
        <f>0</f>
        <v>0</v>
      </c>
      <c r="M137" s="2057">
        <f>0</f>
        <v>0</v>
      </c>
      <c r="N137" s="2057">
        <f>0</f>
        <v>0</v>
      </c>
      <c r="O137" s="2057">
        <f>-1</f>
        <v>-1</v>
      </c>
      <c r="P137" s="2057">
        <f>0</f>
        <v>0</v>
      </c>
      <c r="Q137" s="2057">
        <f>0</f>
        <v>0</v>
      </c>
      <c r="R137" s="2057">
        <f>0</f>
        <v>0</v>
      </c>
      <c r="S137" s="2057">
        <f>0</f>
        <v>0</v>
      </c>
      <c r="T137" s="2057">
        <f>0</f>
        <v>0</v>
      </c>
      <c r="U137" s="2057">
        <f>0</f>
        <v>0</v>
      </c>
      <c r="V137" s="2057">
        <f>0</f>
        <v>0</v>
      </c>
      <c r="W137" s="2057">
        <f>0</f>
        <v>0</v>
      </c>
      <c r="X137" s="2057">
        <f>0</f>
        <v>0</v>
      </c>
      <c r="Y137" s="2057">
        <f>0</f>
        <v>0</v>
      </c>
      <c r="Z137" s="2058">
        <f>0</f>
        <v>0</v>
      </c>
      <c r="AA137" s="2058">
        <f>0</f>
        <v>0</v>
      </c>
      <c r="AB137" s="2057">
        <f>0</f>
        <v>0</v>
      </c>
      <c r="AC137" s="2080">
        <f>0</f>
        <v>0</v>
      </c>
      <c r="AD137" s="2080">
        <f>0</f>
        <v>0</v>
      </c>
      <c r="AE137" s="2057">
        <f>0</f>
        <v>0</v>
      </c>
      <c r="AF137" s="2057">
        <f>0</f>
        <v>0</v>
      </c>
      <c r="AG137" s="2058">
        <f>0</f>
        <v>0</v>
      </c>
      <c r="AH137" s="2057">
        <f>0</f>
        <v>0</v>
      </c>
      <c r="AI137" s="2080">
        <f>0</f>
        <v>0</v>
      </c>
      <c r="AJ137" s="2080">
        <f>0</f>
        <v>0</v>
      </c>
      <c r="AK137" s="2057">
        <f>0</f>
        <v>0</v>
      </c>
      <c r="AL137" s="2057">
        <f>0</f>
        <v>0</v>
      </c>
      <c r="AM137" s="2057">
        <f>0</f>
        <v>0</v>
      </c>
      <c r="AN137" s="2057">
        <f>0</f>
        <v>0</v>
      </c>
      <c r="AO137" s="2133">
        <f>i_CIT_PHA-i_CIT_VFA</f>
        <v>-4.1999999999999982E-2</v>
      </c>
      <c r="AP137" s="2057">
        <f>0</f>
        <v>0</v>
      </c>
      <c r="AQ137" s="2058">
        <f>0</f>
        <v>0</v>
      </c>
      <c r="AR137" s="2058">
        <f>0</f>
        <v>0</v>
      </c>
      <c r="AS137" s="2058">
        <f>0</f>
        <v>0</v>
      </c>
      <c r="AT137" s="2058">
        <f>0</f>
        <v>0</v>
      </c>
      <c r="AU137" s="2058">
        <f>0</f>
        <v>0</v>
      </c>
      <c r="AV137" s="2057">
        <f>0</f>
        <v>0</v>
      </c>
      <c r="AW137" s="2057">
        <f>0</f>
        <v>0</v>
      </c>
      <c r="AX137" s="2057">
        <f>0</f>
        <v>0</v>
      </c>
      <c r="AY137" s="2057">
        <f>0</f>
        <v>0</v>
      </c>
      <c r="AZ137" s="2057">
        <f>0</f>
        <v>0</v>
      </c>
      <c r="BA137" s="2057">
        <f>0</f>
        <v>0</v>
      </c>
      <c r="BB137" s="2057">
        <f>0</f>
        <v>0</v>
      </c>
      <c r="BC137" s="2057">
        <f>0</f>
        <v>0</v>
      </c>
      <c r="BD137" s="2057">
        <f>0</f>
        <v>0</v>
      </c>
      <c r="BE137" s="2057">
        <f>0</f>
        <v>0</v>
      </c>
      <c r="BF137" s="2057">
        <f>0</f>
        <v>0</v>
      </c>
      <c r="BG137" s="2057">
        <f>0</f>
        <v>0</v>
      </c>
      <c r="BH137" s="2057">
        <f>0</f>
        <v>0</v>
      </c>
      <c r="BI137" s="2057">
        <f>0</f>
        <v>0</v>
      </c>
      <c r="BJ137" s="2057">
        <f>0</f>
        <v>0</v>
      </c>
      <c r="BK137" s="2057">
        <f>0</f>
        <v>0</v>
      </c>
      <c r="BL137" s="2057">
        <f>0</f>
        <v>0</v>
      </c>
      <c r="BM137" s="2057">
        <f>0</f>
        <v>0</v>
      </c>
      <c r="BN137" s="2057">
        <f>0</f>
        <v>0</v>
      </c>
      <c r="BO137" s="2057">
        <f>0</f>
        <v>0</v>
      </c>
      <c r="BP137" s="2113">
        <f>0</f>
        <v>0</v>
      </c>
      <c r="BQ137" s="2113">
        <f>0</f>
        <v>0</v>
      </c>
      <c r="BR137" s="2113">
        <f>0</f>
        <v>0</v>
      </c>
      <c r="BS137" s="2113">
        <f>0</f>
        <v>0</v>
      </c>
      <c r="BT137" s="2057">
        <f>0</f>
        <v>0</v>
      </c>
      <c r="BU137" s="2057">
        <f>0</f>
        <v>0</v>
      </c>
      <c r="BV137" s="2057">
        <f>0</f>
        <v>0</v>
      </c>
      <c r="BW137" s="2057">
        <f>0</f>
        <v>0</v>
      </c>
      <c r="BX137" s="2057">
        <f>0</f>
        <v>0</v>
      </c>
      <c r="BY137" s="2057">
        <f>0</f>
        <v>0</v>
      </c>
      <c r="BZ137" s="2057">
        <f>0</f>
        <v>0</v>
      </c>
      <c r="CA137" s="2057">
        <f>0</f>
        <v>0</v>
      </c>
      <c r="CB137" s="2057">
        <f>0</f>
        <v>0</v>
      </c>
      <c r="CC137" s="2057">
        <f>0</f>
        <v>0</v>
      </c>
      <c r="CD137" s="2057">
        <f>0</f>
        <v>0</v>
      </c>
      <c r="CE137" s="2057">
        <f>0</f>
        <v>0</v>
      </c>
      <c r="CF137" s="2057">
        <f>0</f>
        <v>0</v>
      </c>
      <c r="CG137" s="2057">
        <f>0</f>
        <v>0</v>
      </c>
      <c r="CH137" s="2057">
        <f>0</f>
        <v>0</v>
      </c>
      <c r="CI137" s="2139">
        <f>b_STC_T*η_bPHA_ana*X_GAO*M_inhSO2_KO2_CASTO*M_inhSNOx_KNOx_CASTO*M_RsatXPHA_XGAO_KPHA</f>
        <v>3.1821267516850122E-5</v>
      </c>
      <c r="CK137" s="1950">
        <f>E210*E137+F210*F137+G210*G137+H210*H137+I210*I137+J210*J137+K210*K137+L210*L137+M210*M137+N210*N137+O210*O137+P210*P137+Q210*Q137+R210*R137+S210*S137+T210*T137+U210*U137+V210*V137+W210*W137+X210*X137+Y210*Y137+Z210*Z137+AA210*AA137+AB210*AB137+AC210*AC137+AD210*AD137+AE210*AE137+AF210*AF137+AG210*AG137+AH210*AH137+AI210*AI137+AJ210*AJ137+AK210*AK137+AL210*AL137+AM210*AM137+AN210*AN137+AO210*AO137+AP210*AP137+AQ210*AQ137+AR210*AR137+AS210*AS137+AT210*AT137+AU210*AU137+AV210*AV137+AW210*AW137+AX210*AX137+AY210*AY137+AZ210*AZ137+BA210*BA137+BB210*BB137+BC210*BC137+BD210*BD137+BE210*BE137+BF210*BF137+BG210*BG137+BH210*BH137+BI210*BI137+BJ210*BJ137+BK210*BK137+BL210*BL137+BM210*BM137+BN210*BN137+BO210*BO137+BP210*BP137+BQ210*BQ137+BR210*BR137+BS210*BS137+BT210*BT137+BU210*BU137+BV210*BV137+BW210*BW137+BX210*BX137+BY210*BY137+BZ210*BZ137+CA210*CA137+CB210*CB137+CC210*CC137+CD210*CD137+CE210*CE137+CF210*CF137+CG210*CG137+CH210*CH137</f>
        <v>0</v>
      </c>
      <c r="CL137" s="1950">
        <f>E211*E137+F211*F137+G211*G137+H211*H137+I211*I137+J211*J137+K211*K137+L211*L137+M211*M137+N211*N137+O211*O137+P211*P137+Q211*Q137+R211*R137+S211*S137+T211*T137+U211*U137+V211*V137+W211*W137+X211*X137+Y211*Y137+Z211*Z137+AA211*AA137+AB211*AB137+AC211*AC137+AD211*AD137+AE211*AE137+AF211*AF137+AG211*AG137+AH211*AH137+AI211*AI137+AJ211*AJ137+AK211*AK137+AL211*AL137+AM211*AM137+AN211*AN137+AO211*AO137+AP211*AP137+AQ211*AQ137+AR211*AR137+AS211*AS137+AT211*AT137+AU211*AU137+AV211*AV137+AW211*AW137+AX211*AX137+AY211*AY137+AZ211*AZ137+BA211*BA137+BB211*BB137+BC211*BC137+BD211*BD137+BE211*BE137+BF211*BF137+BG211*BG137+BH211*BH137+BI211*BI137+BJ211*BJ137+BK211*BK137+BL211*BL137+BM211*BM137+BN211*BN137+BO211*BO137+BP211*BP137+BQ211*BQ137+BR211*BR137+BS211*BS137+BT211*BT137+BU211*BU137+BV211*BV137+BW211*BW137+BX211*BX137+BY211*BY137+BZ211*BZ137+CA211*CA137+CB211*CB137+CC211*CC137+CD211*CD137+CE211*CE137+CF211*CF137+CG211*CG137+CH211*CH137</f>
        <v>0</v>
      </c>
      <c r="CM137" s="1951">
        <f>E212*E137+F212*F137+G212*G137+H212*H137+I212*I137+J212*J137+K212*K137+L212*L137+M212*M137+N212*N137+O212*O137+P212*P137+Q212*Q137+R212*R137+S212*S137+T212*T137+U212*U137+V212*V137+W212*W137+X212*X137+Y212*Y137+Z212*Z137+AA212*AA137+AB212*AB137+AC212*AC137+AD212*AD137+AE212*AE137+AF212*AF137+AG212*AG137+AH212*AH137+AI212*AI137+AJ212*AJ137+AK212*AK137+AL212*AL137+AM212*AM137+AN212*AN137+AO212*AO137+AP212*AP137+AQ212*AQ137+AR212*AR137+AS212*AS137+AT212*AT137+AU212*AU137+AV212*AV137+AW212*AW137+AX212*AX137+AY212*AY137+AZ212*AZ137+BA212*BA137+BB212*BB137+BC212*BC137+BD212*BD137+BE212*BE137+BF212*BF137+BG212*BG137+BH212*BH137+BI212*BI137+BJ212*BJ137+BK212*BK137+BL212*BL137+BM212*BM137+BN212*BN137+BO212*BO137+BP212*BP137+BQ212*BQ137+BR212*BR137+BS212*BS137+BT212*BT137+BU212*BU137+BV212*BV137+BW212*BW137+BX212*BX137+BY212*BY137+BZ212*BZ137+CA212*CA137+CB212*CB137+CC212*CC137+CD212*CD137+CE212*CE137+CF212*CF137+CG212*CG137+CH212*CH137</f>
        <v>0</v>
      </c>
      <c r="CN137" s="1952">
        <f>E213*E137+F213*F137+G213*G137+H213*H137+I213*I137+J213*J137+K213*K137+L213*L137+M213*M137+N213*N137+O213*O137+P213*P137+Q213*Q137+R213*R137+S213*S137+T213*T137+U213*U137+V213*V137+W213*W137+X213*X137+Y213*Y137+Z213*Z137+AA213*AA137+AB213*AB137+AC213*AC137+AD213*AD137+AE213*AE137+AF213*AF137+AG213*AG137+AH213*AH137+AI213*AI137+AJ213*AJ137+AK213*AK137+AL213*AL137+AM213*AM137+AN213*AN137+AO213*AO137+AP213*AP137+AQ213*AQ137+AR213*AR137+AS213*AS137+AT213*AT137+AU213*AU137+AV213*AV137+AW213*AW137+AX213*AX137+AY213*AY137+AZ213*AZ137+BA213*BA137+BB213*BB137+BC213*BC137+BD213*BD137+BE213*BE137+BF213*BF137+BG213*BG137+BH213*BH137+BI213*BI137+BJ213*BJ137+BK213*BK137+BL213*BL137+BM213*BM137+BN213*BN137+BO213*BO137+BP213*BP137+BQ213*BQ137+BR213*BR137+BS213*BS137+BT213*BT137+BU213*BU137+BV213*BV137+BW213*BW137+BX213*BX137+BY213*BY137+BZ213*BZ137+CA213*CA137+CB213*CB137+CC213*CC137+CD213*CD137+CE213*CE137+CF213*CF137+CG213*CG137+CH213*CH137</f>
        <v>0</v>
      </c>
      <c r="CO137" s="1952">
        <f>E214*E137+F214*F137+G214*G137+H214*H137+I214*I137+J214*J137+K214*K137+L214*L137+M214*M137+N214*N137+O214*O137+P214*P137+Q214*Q137+R214*R137+S214*S137+T214*T137+U214*U137+V214*V137+W214*W137+X214*X137+Y214*Y137+Z214*Z137+AA214*AA137+AB214*AB137+AC214*AC137+AD214*AD137+AE214*AE137+AF214*AF137+AG214*AG137+AH214*AH137+AI214*AI137+AJ214*AJ137+AK214*AK137+AL214*AL137+AM214*AM137+AN214*AN137+AO214*AO137+AP214*AP137+AQ214*AQ137+AR214*AR137+AS214*AS137+AT214*AT137+AU214*AU137+AV214*AV137+AW214*AW137+AX214*AX137+AY214*AY137+AZ214*AZ137+BA214*BA137+BB214*BB137+BC214*BC137+BD214*BD137+BE214*BE137+BF214*BF137+BG214*BG137+BH214*BH137+BI214*BI137+BJ214*BJ137+BK214*BK137+BL214*BL137+BM214*BM137+BN214*BN137+BO214*BO137+BP214*BP137+BQ214*BQ137+BR214*BR137+BS214*BS137+BT214*BT137+BU214*BU137+BV214*BV137+BW214*BW137+BX214*BX137+BY214*BY137+BZ214*BZ137+CA214*CA137+CB214*CB137+CC214*CC137+CD214*CD137+CE214*CE137+CF214*CF137+CG214*CG137+CH214*CH137</f>
        <v>0</v>
      </c>
      <c r="CP137" s="1952">
        <f>E215*E137+F215*F137+G215*G137+H215*H137+I215*I137+J215*J137+K215*K137+L215*L137+M215*M137+N215*N137+O215*O137+P215*P137+Q215*Q137+R215*R137+S215*S137+T215*T137+U215*U137+V215*V137+W215*W137+X215*X137+Y215*Y137+Z215*Z137+AA215*AA137+AB215*AB137+AC215*AC137+AD215*AD137+AE215*AE137+AF215*AF137+AG215*AG137+AH215*AH137+AI215*AI137+AJ215*AJ137+AK215*AK137+AL215*AL137+AM215*AM137+AN215*AN137+AO215*AO137+AP215*AP137+AQ215*AQ137+AR215*AR137+AS215*AS137+AT215*AT137+AU215*AU137+AV215*AV137+AW215*AW137+AX215*AX137+AY215*AY137+AZ215*AZ137+BA215*BA137+BB215*BB137+BC215*BC137+BD215*BD137+BE215*BE137+BF215*BF137+BG215*BG137+BH215*BH137+BI215*BI137+BJ215*BJ137+BK215*BK137+BL215*BL137+BM215*BM137+BN215*BN137+BO215*BO137+BP215*BP137+BQ215*BQ137+BR215*BR137+BS215*BS137+BT215*BT137+BU215*BU137+BV215*BV137+BW215*BW137+BX215*BX137+BY215*BY137+BZ215*BZ137+CA215*CA137+CB215*CB137+CC215*CC137+CD215*CD137+CE215*CE137+CF215*CF137+CG215*CG137+CH215*CH137</f>
        <v>0</v>
      </c>
      <c r="CQ137" s="1952">
        <f>E216*E137+F216*F137+G216*G137+H216*H137+I216*I137+J216*J137+K216*K137+L216*L137+M216*M137+N216*N137+O216*O137+P216*P137+Q216*Q137+R216*R137+S216*S137+T216*T137+U216*U137+V216*V137+W216*W137+X216*X137+Y216*Y137+Z216*Z137+AA216*AA137+AB216*AB137+AC216*AC137+AD216*AD137+AE216*AE137+AF216*AF137+AG216*AG137+AH216*AH137+AI216*AI137+AJ216*AJ137+AK216*AK137+AL216*AL137+AM216*AM137+AN216*AN137+AO216*AO137+AP216*AP137+AQ216*AQ137+AR216*AR137+AS216*AS137+AT216*AT137+AU216*AU137+AV216*AV137+AW216*AW137+AX216*AX137+AY216*AY137+AZ216*AZ137+BA216*BA137+BB216*BB137+BC216*BC137+BD216*BD137+BE216*BE137+BF216*BF137+BG216*BG137+BH216*BH137+BI216*BI137+BJ216*BJ137+BK216*BK137+BL216*BL137+BM216*BM137+BN216*BN137+BO216*BO137+BP216*BP137+BQ216*BQ137+BR216*BR137+BS216*BS137+BT216*BT137+BU216*BU137+BV216*BV137+BW216*BW137+BX216*BX137+BY216*BY137+BZ216*BZ137+CA216*CA137+CB216*CB137+CC216*CC137+CD216*CD137+CE216*CE137+CF216*CF137+CG216*CG137+CH216*CH137</f>
        <v>0</v>
      </c>
      <c r="CR137" s="1952">
        <f>E217*E137+F217*F137+G217*G137+H217*H137+I217*I137+J217*J137+K217*K137+L217*L137+M217*M137+N217*N137+O217*O137+P217*P137+Q217*Q137+R217*R137+S217*S137+T217*T137+U217*U137+V217*V137+W217*W137+X217*X137+Y217*Y137+Z217*Z137+AA217*AA137+AB217*AB137+AC217*AC137+AD217*AD137+AE217*AE137+AF217*AF137+AG217*AG137+AH217*AH137+AI217*AI137+AJ217*AJ137+AK217*AK137+AL217*AL137+AM217*AM137+AN217*AN137+AO217*AO137+AP217*AP137+AQ217*AQ137+AR217*AR137+AS217*AS137+AT217*AT137+AU217*AU137+AV217*AV137+AW217*AW137+AX217*AX137+AY217*AY137+AZ217*AZ137+BA217*BA137+BB217*BB137+BC217*BC137+BD217*BD137+BE217*BE137+BF217*BF137+BG217*BG137+BH217*BH137+BI217*BI137+BJ217*BJ137+BK217*BK137+BL217*BL137+BM217*BM137+BN217*BN137+BO217*BO137+BP217*BP137+BQ217*BQ137+BR217*BR137+BS217*BS137+BT217*BT137+BU217*BU137+BV217*BV137+BW217*BW137+BX217*BX137+BY217*BY137+BZ217*BZ137+CA217*CA137+CB217*CB137+CC217*CC137+CD217*CD137+CE217*CE137+CF217*CF137+CG217*CG137+CH217*CH137</f>
        <v>0</v>
      </c>
      <c r="CS137" s="1952">
        <f>E218*E137+F218*F137+G218*G137+H218*H137+I218*I137+J218*J137+K218*K137+L218*L137+M218*M137+N218*N137+O218*O137+P218*P137+Q218*Q137+R218*R137+S218*S137+T218*T137+U218*U137+V218*V137+W218*W137+X218*X137+Y218*Y137+Z218*Z137+AA218*AA137+AB218*AB137+AC218*AC137+AD218*AD137+AE218*AE137+AF218*AF137+AG218*AG137+AH218*AH137+AI218*AI137+AJ218*AJ137+AK218*AK137+AL218*AL137+AM218*AM137+AN218*AN137+AO218*AO137+AP218*AP137+AQ218*AQ137+AR218*AR137+AS218*AS137+AT218*AT137+AU218*AU137+AV218*AV137+AW218*AW137+AX218*AX137+AY218*AY137+AZ218*AZ137+BA218*BA137+BB218*BB137+BC218*BC137+BD218*BD137+BE218*BE137+BF218*BF137+BG218*BG137+BH218*BH137+BI218*BI137+BJ218*BJ137+BK218*BK137+BL218*BL137+BM218*BM137+BN218*BN137+BO218*BO137+BP218*BP137+BQ218*BQ137+BR218*BR137+BS218*BS137+BT218*BT137+BU218*BU137+BV218*BV137+BW218*BW137+BX218*BX137+BY218*BY137+BZ218*BZ137+CA218*CA137+CB218*CB137+CC218*CC137+CD218*CD137+CE218*CE137+CF218*CF137+CG218*CG137+CH218*CH137</f>
        <v>0</v>
      </c>
      <c r="CT137" s="1952">
        <f>E219*E137+F219*F137+G219*G137+H219*H137+I219*I137+J219*J137+K219*K137+L219*L137+M219*M137+N219*N137+O219*O137+P219*P137+Q219*Q137+R219*R137+S219*S137+T219*T137+U219*U137+V219*V137+W219*W137+X219*X137+Y219*Y137+Z219*Z137+AA219*AA137+AB219*AB137+AC219*AC137+AD219*AD137+AE219*AE137+AF219*AF137+AG219*AG137+AH219*AH137+AI219*AI137+AJ219*AJ137+AK219*AK137+AL219*AL137+AM219*AM137+AN219*AN137+AO219*AO137+AP219*AP137+AQ219*AQ137+AR219*AR137+AS219*AS137+AT219*AT137+AU219*AU137+AV219*AV137+AW219*AW137+AX219*AX137+AY219*AY137+AZ219*AZ137+BA219*BA137+BB219*BB137+BC219*BC137+BD219*BD137+BE219*BE137+BF219*BF137+BG219*BG137+BH219*BH137+BI219*BI137+BJ219*BJ137+BK219*BK137+BL219*BL137+BM219*BM137+BN219*BN137+BO219*BO137+BP219*BP137+BQ219*BQ137+BR219*BR137+BS219*BS137+BT219*BT137+BU219*BU137+BV219*BV137+BW219*BW137+BX219*BX137+BY219*BY137+BZ219*BZ137+CA219*CA137+CB219*CB137+CC219*CC137+CD219*CD137+CE219*CE137+CF219*CF137+CG219*CG137+CH219*CH137</f>
        <v>0</v>
      </c>
      <c r="CU137" s="1952">
        <f>E220*E137+F220*F137+G220*G137+H220*H137+I220*I137+J220*J137+K220*K137+L220*L137+M220*M137+N220*N137+O220*O137+P220*P137+Q220*Q137+R220*R137+S220*S137+T220*T137+U220*U137+V220*V137+W220*W137+X220*X137+Y220*Y137+Z220*Z137+AA220*AA137+AB220*AB137+AC220*AC137+AD220*AD137+AE220*AE137+AF220*AF137+AG220*AG137+AH220*AH137+AI220*AI137+AJ220*AJ137+AK220*AK137+AL220*AL137+AM220*AM137+AN220*AN137+AO220*AO137+AP220*AP137+AQ220*AQ137+AR220*AR137+AS220*AS137+AT220*AT137+AU220*AU137+AV220*AV137+AW220*AW137+AX220*AX137+AY220*AY137+AZ220*AZ137+BA220*BA137+BB220*BB137+BC220*BC137+BD220*BD137+BE220*BE137+BF220*BF137+BG220*BG137+BH220*BH137+BI220*BI137+BJ220*BJ137+BK220*BK137+BL220*BL137+BM220*BM137+BN220*BN137+BO220*BO137+BP220*BP137+BQ220*BQ137+BR220*BR137+BS220*BS137+BT220*BT137+BU220*BU137+BV220*BV137+BW220*BW137+BX220*BX137+BY220*BY137+BZ220*BZ137+CA220*CA137+CB220*CB137+CC220*CC137+CD220*CD137+CE220*CE137+CF220*CF137+CG220*CG137+CH220*CH137</f>
        <v>0</v>
      </c>
    </row>
    <row r="138" spans="2:99" ht="18" x14ac:dyDescent="0.25">
      <c r="B138" s="1033">
        <v>24</v>
      </c>
      <c r="C138" s="1098" t="s">
        <v>246</v>
      </c>
      <c r="D138" s="1099" t="s">
        <v>2182</v>
      </c>
      <c r="E138" s="2057">
        <f>0</f>
        <v>0</v>
      </c>
      <c r="F138" s="2057">
        <f>0</f>
        <v>0</v>
      </c>
      <c r="G138" s="2057">
        <f>0</f>
        <v>0</v>
      </c>
      <c r="H138" s="2057">
        <f>0</f>
        <v>0</v>
      </c>
      <c r="I138" s="2080">
        <f>0</f>
        <v>0</v>
      </c>
      <c r="J138" s="2080">
        <f>0</f>
        <v>0</v>
      </c>
      <c r="K138" s="2057">
        <f>0</f>
        <v>0</v>
      </c>
      <c r="L138" s="2057">
        <f>0</f>
        <v>0</v>
      </c>
      <c r="M138" s="2057">
        <f>0</f>
        <v>0</v>
      </c>
      <c r="N138" s="2057">
        <f>0</f>
        <v>0</v>
      </c>
      <c r="O138" s="2057">
        <f>0</f>
        <v>0</v>
      </c>
      <c r="P138" s="2057">
        <f>0</f>
        <v>0</v>
      </c>
      <c r="Q138" s="2057">
        <f>0</f>
        <v>0</v>
      </c>
      <c r="R138" s="2057">
        <f>0</f>
        <v>0</v>
      </c>
      <c r="S138" s="2057">
        <f>0</f>
        <v>0</v>
      </c>
      <c r="T138" s="2057">
        <f>0</f>
        <v>0</v>
      </c>
      <c r="U138" s="2057">
        <f>0</f>
        <v>0</v>
      </c>
      <c r="V138" s="2057">
        <f>0</f>
        <v>0</v>
      </c>
      <c r="W138" s="2057">
        <f>0</f>
        <v>0</v>
      </c>
      <c r="X138" s="2057">
        <f>0</f>
        <v>0</v>
      </c>
      <c r="Y138" s="2057">
        <f>0</f>
        <v>0</v>
      </c>
      <c r="Z138" s="2057">
        <f>0</f>
        <v>0</v>
      </c>
      <c r="AA138" s="2057">
        <f>0</f>
        <v>0</v>
      </c>
      <c r="AB138" s="2057">
        <f>0</f>
        <v>0</v>
      </c>
      <c r="AC138" s="2080">
        <f>0</f>
        <v>0</v>
      </c>
      <c r="AD138" s="2080">
        <f>0</f>
        <v>0</v>
      </c>
      <c r="AE138" s="2057">
        <f>0</f>
        <v>0</v>
      </c>
      <c r="AF138" s="2057">
        <f>1</f>
        <v>1</v>
      </c>
      <c r="AG138" s="2057">
        <f>-1</f>
        <v>-1</v>
      </c>
      <c r="AH138" s="2057">
        <f>0</f>
        <v>0</v>
      </c>
      <c r="AI138" s="2080">
        <f>0</f>
        <v>0</v>
      </c>
      <c r="AJ138" s="2080">
        <f>0</f>
        <v>0</v>
      </c>
      <c r="AK138" s="2057">
        <f>0</f>
        <v>0</v>
      </c>
      <c r="AL138" s="2057">
        <f>0</f>
        <v>0</v>
      </c>
      <c r="AM138" s="2057">
        <f>0</f>
        <v>0</v>
      </c>
      <c r="AN138" s="2057">
        <f>0</f>
        <v>0</v>
      </c>
      <c r="AO138" s="2057">
        <f>0</f>
        <v>0</v>
      </c>
      <c r="AP138" s="2057">
        <f>0</f>
        <v>0</v>
      </c>
      <c r="AQ138" s="2058">
        <f>0</f>
        <v>0</v>
      </c>
      <c r="AR138" s="2058">
        <f>0</f>
        <v>0</v>
      </c>
      <c r="AS138" s="2058">
        <f>i_Ca_PP*A_MCa/A_MP</f>
        <v>0.12939338702613273</v>
      </c>
      <c r="AT138" s="2058">
        <f>i_Mg_PP*A_MMg/A_MP</f>
        <v>0.27464374347136938</v>
      </c>
      <c r="AU138" s="2058">
        <f>i_K_PP*A_MK/A_MP</f>
        <v>0.12623038734377579</v>
      </c>
      <c r="AV138" s="2057">
        <f>0</f>
        <v>0</v>
      </c>
      <c r="AW138" s="2057">
        <f>0</f>
        <v>0</v>
      </c>
      <c r="AX138" s="2057">
        <f>0</f>
        <v>0</v>
      </c>
      <c r="AY138" s="2057">
        <f>0</f>
        <v>0</v>
      </c>
      <c r="AZ138" s="2057">
        <f>0</f>
        <v>0</v>
      </c>
      <c r="BA138" s="2057">
        <f>0</f>
        <v>0</v>
      </c>
      <c r="BB138" s="2057">
        <f>0</f>
        <v>0</v>
      </c>
      <c r="BC138" s="2057">
        <f>0</f>
        <v>0</v>
      </c>
      <c r="BD138" s="2057">
        <f>0</f>
        <v>0</v>
      </c>
      <c r="BE138" s="2057">
        <f>0</f>
        <v>0</v>
      </c>
      <c r="BF138" s="2057">
        <f>0</f>
        <v>0</v>
      </c>
      <c r="BG138" s="2057">
        <f>0</f>
        <v>0</v>
      </c>
      <c r="BH138" s="2057">
        <f>0</f>
        <v>0</v>
      </c>
      <c r="BI138" s="2057">
        <f>0</f>
        <v>0</v>
      </c>
      <c r="BJ138" s="2057">
        <f>0</f>
        <v>0</v>
      </c>
      <c r="BK138" s="2057">
        <f>0</f>
        <v>0</v>
      </c>
      <c r="BL138" s="2057">
        <f>0</f>
        <v>0</v>
      </c>
      <c r="BM138" s="2057">
        <f>0</f>
        <v>0</v>
      </c>
      <c r="BN138" s="2057">
        <f>0</f>
        <v>0</v>
      </c>
      <c r="BO138" s="2057">
        <f>0</f>
        <v>0</v>
      </c>
      <c r="BP138" s="2113">
        <f>0</f>
        <v>0</v>
      </c>
      <c r="BQ138" s="2113">
        <f>0</f>
        <v>0</v>
      </c>
      <c r="BR138" s="2113">
        <f>0</f>
        <v>0</v>
      </c>
      <c r="BS138" s="2113">
        <f>0</f>
        <v>0</v>
      </c>
      <c r="BT138" s="2057">
        <f>0</f>
        <v>0</v>
      </c>
      <c r="BU138" s="2057">
        <f>0</f>
        <v>0</v>
      </c>
      <c r="BV138" s="2057">
        <f>0</f>
        <v>0</v>
      </c>
      <c r="BW138" s="2057">
        <f>0</f>
        <v>0</v>
      </c>
      <c r="BX138" s="2057">
        <f>0</f>
        <v>0</v>
      </c>
      <c r="BY138" s="2057">
        <f>0</f>
        <v>0</v>
      </c>
      <c r="BZ138" s="2057">
        <f>0</f>
        <v>0</v>
      </c>
      <c r="CA138" s="2057">
        <f>0</f>
        <v>0</v>
      </c>
      <c r="CB138" s="2057">
        <f>0</f>
        <v>0</v>
      </c>
      <c r="CC138" s="2057">
        <f>0</f>
        <v>0</v>
      </c>
      <c r="CD138" s="2057">
        <f>0</f>
        <v>0</v>
      </c>
      <c r="CE138" s="2057">
        <f>0</f>
        <v>0</v>
      </c>
      <c r="CF138" s="2057">
        <f>0</f>
        <v>0</v>
      </c>
      <c r="CG138" s="2057">
        <f>0</f>
        <v>0</v>
      </c>
      <c r="CH138" s="2057">
        <f>0</f>
        <v>0</v>
      </c>
      <c r="CI138" s="2139">
        <f>b_PP_ana_T*X_PAO*L_ogsatXPP_KPO4_PAO*(η_bPP_aer*M_RinhXPHA_XPAO_KPHA_cle*M_satSO2_KO2_CASTO+η_bPP_anox*M_inhSO2_KO2_CASTO*M_satSNOx_KNOx_CASTO+M_inhSO2_KO2_CASTO*M_inhSNOx_KNOx_CASTO)</f>
        <v>0.3898354812221112</v>
      </c>
      <c r="CK138" s="1950">
        <f>E210*E138+F210*F138+G210*G138+H210*H138+I210*I138+J210*J138+K210*K138+L210*L138+M210*M138+N210*N138+O210*O138+P210*P138+Q210*Q138+R210*R138+S210*S138+T210*T138+U210*U138+V210*V138+W210*W138+X210*X138+Y210*Y138+Z210*Z138+AA210*AA138+AB210*AB138+AC210*AC138+AD210*AD138+AE210*AE138+AF210*AF138+AG210*AG138+AH210*AH138+AI210*AI138+AJ210*AJ138+AK210*AK138+AL210*AL138+AM210*AM138+AN210*AN138+AO210*AO138+AP210*AP138+AQ210*AQ138+AR210*AR138+AS210*AS138+AT210*AT138+AU210*AU138+AV210*AV138+AW210*AW138+AX210*AX138+AY210*AY138+AZ210*AZ138+BA210*BA138+BB210*BB138+BC210*BC138+BD210*BD138+BE210*BE138+BF210*BF138+BG210*BG138+BH210*BH138+BI210*BI138+BJ210*BJ138+BK210*BK138+BL210*BL138+BM210*BM138+BN210*BN138+BO210*BO138+BP210*BP138+BQ210*BQ138+BR210*BR138+BS210*BS138+BT210*BT138+BU210*BU138+BV210*BV138+BW210*BW138+BX210*BX138+BY210*BY138+BZ210*BZ138+CA210*CA138+CB210*CB138+CC210*CC138+CD210*CD138+CE210*CE138+CF210*CF138+CG210*CG138+CH210*CH138</f>
        <v>0</v>
      </c>
      <c r="CL138" s="1950">
        <f>E211*E138+F211*F138+G211*G138+H211*H138+I211*I138+J211*J138+K211*K138+L211*L138+M211*M138+N211*N138+O211*O138+P211*P138+Q211*Q138+R211*R138+S211*S138+T211*T138+U211*U138+V211*V138+W211*W138+X211*X138+Y211*Y138+Z211*Z138+AA211*AA138+AB211*AB138+AC211*AC138+AD211*AD138+AE211*AE138+AF211*AF138+AG211*AG138+AH211*AH138+AI211*AI138+AJ211*AJ138+AK211*AK138+AL211*AL138+AM211*AM138+AN211*AN138+AO211*AO138+AP211*AP138+AQ211*AQ138+AR211*AR138+AS211*AS138+AT211*AT138+AU211*AU138+AV211*AV138+AW211*AW138+AX211*AX138+AY211*AY138+AZ211*AZ138+BA211*BA138+BB211*BB138+BC211*BC138+BD211*BD138+BE211*BE138+BF211*BF138+BG211*BG138+BH211*BH138+BI211*BI138+BJ211*BJ138+BK211*BK138+BL211*BL138+BM211*BM138+BN211*BN138+BO211*BO138+BP211*BP138+BQ211*BQ138+BR211*BR138+BS211*BS138+BT211*BT138+BU211*BU138+BV211*BV138+BW211*BW138+BX211*BX138+BY211*BY138+BZ211*BZ138+CA211*CA138+CB211*CB138+CC211*CC138+CD211*CD138+CE211*CE138+CF211*CF138+CG211*CG138+CH211*CH138</f>
        <v>0</v>
      </c>
      <c r="CM138" s="1951">
        <f>E212*E138+F212*F138+G212*G138+H212*H138+I212*I138+J212*J138+K212*K138+L212*L138+M212*M138+N212*N138+O212*O138+P212*P138+Q212*Q138+R212*R138+S212*S138+T212*T138+U212*U138+V212*V138+W212*W138+X212*X138+Y212*Y138+Z212*Z138+AA212*AA138+AB212*AB138+AC212*AC138+AD212*AD138+AE212*AE138+AF212*AF138+AG212*AG138+AH212*AH138+AI212*AI138+AJ212*AJ138+AK212*AK138+AL212*AL138+AM212*AM138+AN212*AN138+AO212*AO138+AP212*AP138+AQ212*AQ138+AR212*AR138+AS212*AS138+AT212*AT138+AU212*AU138+AV212*AV138+AW212*AW138+AX212*AX138+AY212*AY138+AZ212*AZ138+BA212*BA138+BB212*BB138+BC212*BC138+BD212*BD138+BE212*BE138+BF212*BF138+BG212*BG138+BH212*BH138+BI212*BI138+BJ212*BJ138+BK212*BK138+BL212*BL138+BM212*BM138+BN212*BN138+BO212*BO138+BP212*BP138+BQ212*BQ138+BR212*BR138+BS212*BS138+BT212*BT138+BU212*BU138+BV212*BV138+BW212*BW138+BX212*BX138+BY212*BY138+BZ212*BZ138+CA212*CA138+CB212*CB138+CC212*CC138+CD212*CD138+CE212*CE138+CF212*CF138+CG212*CG138+CH212*CH138</f>
        <v>0</v>
      </c>
      <c r="CN138" s="1952">
        <f>E213*E138+F213*F138+G213*G138+H213*H138+I213*I138+J213*J138+K213*K138+L213*L138+M213*M138+N213*N138+O213*O138+P213*P138+Q213*Q138+R213*R138+S213*S138+T213*T138+U213*U138+V213*V138+W213*W138+X213*X138+Y213*Y138+Z213*Z138+AA213*AA138+AB213*AB138+AC213*AC138+AD213*AD138+AE213*AE138+AF213*AF138+AG213*AG138+AH213*AH138+AI213*AI138+AJ213*AJ138+AK213*AK138+AL213*AL138+AM213*AM138+AN213*AN138+AO213*AO138+AP213*AP138+AQ213*AQ138+AR213*AR138+AS213*AS138+AT213*AT138+AU213*AU138+AV213*AV138+AW213*AW138+AX213*AX138+AY213*AY138+AZ213*AZ138+BA213*BA138+BB213*BB138+BC213*BC138+BD213*BD138+BE213*BE138+BF213*BF138+BG213*BG138+BH213*BH138+BI213*BI138+BJ213*BJ138+BK213*BK138+BL213*BL138+BM213*BM138+BN213*BN138+BO213*BO138+BP213*BP138+BQ213*BQ138+BR213*BR138+BS213*BS138+BT213*BT138+BU213*BU138+BV213*BV138+BW213*BW138+BX213*BX138+BY213*BY138+BZ213*BZ138+CA213*CA138+CB213*CB138+CC213*CC138+CD213*CD138+CE213*CE138+CF213*CF138+CG213*CG138+CH213*CH138</f>
        <v>0</v>
      </c>
      <c r="CO138" s="1952">
        <f>E214*E138+F214*F138+G214*G138+H214*H138+I214*I138+J214*J138+K214*K138+L214*L138+M214*M138+N214*N138+O214*O138+P214*P138+Q214*Q138+R214*R138+S214*S138+T214*T138+U214*U138+V214*V138+W214*W138+X214*X138+Y214*Y138+Z214*Z138+AA214*AA138+AB214*AB138+AC214*AC138+AD214*AD138+AE214*AE138+AF214*AF138+AG214*AG138+AH214*AH138+AI214*AI138+AJ214*AJ138+AK214*AK138+AL214*AL138+AM214*AM138+AN214*AN138+AO214*AO138+AP214*AP138+AQ214*AQ138+AR214*AR138+AS214*AS138+AT214*AT138+AU214*AU138+AV214*AV138+AW214*AW138+AX214*AX138+AY214*AY138+AZ214*AZ138+BA214*BA138+BB214*BB138+BC214*BC138+BD214*BD138+BE214*BE138+BF214*BF138+BG214*BG138+BH214*BH138+BI214*BI138+BJ214*BJ138+BK214*BK138+BL214*BL138+BM214*BM138+BN214*BN138+BO214*BO138+BP214*BP138+BQ214*BQ138+BR214*BR138+BS214*BS138+BT214*BT138+BU214*BU138+BV214*BV138+BW214*BW138+BX214*BX138+BY214*BY138+BZ214*BZ138+CA214*CA138+CB214*CB138+CC214*CC138+CD214*CD138+CE214*CE138+CF214*CF138+CG214*CG138+CH214*CH138</f>
        <v>0</v>
      </c>
      <c r="CP138" s="1952">
        <f>E215*E138+F215*F138+G215*G138+H215*H138+I215*I138+J215*J138+K215*K138+L215*L138+M215*M138+N215*N138+O215*O138+P215*P138+Q215*Q138+R215*R138+S215*S138+T215*T138+U215*U138+V215*V138+W215*W138+X215*X138+Y215*Y138+Z215*Z138+AA215*AA138+AB215*AB138+AC215*AC138+AD215*AD138+AE215*AE138+AF215*AF138+AG215*AG138+AH215*AH138+AI215*AI138+AJ215*AJ138+AK215*AK138+AL215*AL138+AM215*AM138+AN215*AN138+AO215*AO138+AP215*AP138+AQ215*AQ138+AR215*AR138+AS215*AS138+AT215*AT138+AU215*AU138+AV215*AV138+AW215*AW138+AX215*AX138+AY215*AY138+AZ215*AZ138+BA215*BA138+BB215*BB138+BC215*BC138+BD215*BD138+BE215*BE138+BF215*BF138+BG215*BG138+BH215*BH138+BI215*BI138+BJ215*BJ138+BK215*BK138+BL215*BL138+BM215*BM138+BN215*BN138+BO215*BO138+BP215*BP138+BQ215*BQ138+BR215*BR138+BS215*BS138+BT215*BT138+BU215*BU138+BV215*BV138+BW215*BW138+BX215*BX138+BY215*BY138+BZ215*BZ138+CA215*CA138+CB215*CB138+CC215*CC138+CD215*CD138+CE215*CE138+CF215*CF138+CG215*CG138+CH215*CH138</f>
        <v>0</v>
      </c>
      <c r="CQ138" s="1952">
        <f>E216*E138+F216*F138+G216*G138+H216*H138+I216*I138+J216*J138+K216*K138+L216*L138+M216*M138+N216*N138+O216*O138+P216*P138+Q216*Q138+R216*R138+S216*S138+T216*T138+U216*U138+V216*V138+W216*W138+X216*X138+Y216*Y138+Z216*Z138+AA216*AA138+AB216*AB138+AC216*AC138+AD216*AD138+AE216*AE138+AF216*AF138+AG216*AG138+AH216*AH138+AI216*AI138+AJ216*AJ138+AK216*AK138+AL216*AL138+AM216*AM138+AN216*AN138+AO216*AO138+AP216*AP138+AQ216*AQ138+AR216*AR138+AS216*AS138+AT216*AT138+AU216*AU138+AV216*AV138+AW216*AW138+AX216*AX138+AY216*AY138+AZ216*AZ138+BA216*BA138+BB216*BB138+BC216*BC138+BD216*BD138+BE216*BE138+BF216*BF138+BG216*BG138+BH216*BH138+BI216*BI138+BJ216*BJ138+BK216*BK138+BL216*BL138+BM216*BM138+BN216*BN138+BO216*BO138+BP216*BP138+BQ216*BQ138+BR216*BR138+BS216*BS138+BT216*BT138+BU216*BU138+BV216*BV138+BW216*BW138+BX216*BX138+BY216*BY138+BZ216*BZ138+CA216*CA138+CB216*CB138+CC216*CC138+CD216*CD138+CE216*CE138+CF216*CF138+CG216*CG138+CH216*CH138</f>
        <v>0</v>
      </c>
      <c r="CR138" s="1952">
        <f>E217*E138+F217*F138+G217*G138+H217*H138+I217*I138+J217*J138+K217*K138+L217*L138+M217*M138+N217*N138+O217*O138+P217*P138+Q217*Q138+R217*R138+S217*S138+T217*T138+U217*U138+V217*V138+W217*W138+X217*X138+Y217*Y138+Z217*Z138+AA217*AA138+AB217*AB138+AC217*AC138+AD217*AD138+AE217*AE138+AF217*AF138+AG217*AG138+AH217*AH138+AI217*AI138+AJ217*AJ138+AK217*AK138+AL217*AL138+AM217*AM138+AN217*AN138+AO217*AO138+AP217*AP138+AQ217*AQ138+AR217*AR138+AS217*AS138+AT217*AT138+AU217*AU138+AV217*AV138+AW217*AW138+AX217*AX138+AY217*AY138+AZ217*AZ138+BA217*BA138+BB217*BB138+BC217*BC138+BD217*BD138+BE217*BE138+BF217*BF138+BG217*BG138+BH217*BH138+BI217*BI138+BJ217*BJ138+BK217*BK138+BL217*BL138+BM217*BM138+BN217*BN138+BO217*BO138+BP217*BP138+BQ217*BQ138+BR217*BR138+BS217*BS138+BT217*BT138+BU217*BU138+BV217*BV138+BW217*BW138+BX217*BX138+BY217*BY138+BZ217*BZ138+CA217*CA138+CB217*CB138+CC217*CC138+CD217*CD138+CE217*CE138+CF217*CF138+CG217*CG138+CH217*CH138</f>
        <v>0</v>
      </c>
      <c r="CS138" s="1952">
        <f>E218*E138+F218*F138+G218*G138+H218*H138+I218*I138+J218*J138+K218*K138+L218*L138+M218*M138+N218*N138+O218*O138+P218*P138+Q218*Q138+R218*R138+S218*S138+T218*T138+U218*U138+V218*V138+W218*W138+X218*X138+Y218*Y138+Z218*Z138+AA218*AA138+AB218*AB138+AC218*AC138+AD218*AD138+AE218*AE138+AF218*AF138+AG218*AG138+AH218*AH138+AI218*AI138+AJ218*AJ138+AK218*AK138+AL218*AL138+AM218*AM138+AN218*AN138+AO218*AO138+AP218*AP138+AQ218*AQ138+AR218*AR138+AS218*AS138+AT218*AT138+AU218*AU138+AV218*AV138+AW218*AW138+AX218*AX138+AY218*AY138+AZ218*AZ138+BA218*BA138+BB218*BB138+BC218*BC138+BD218*BD138+BE218*BE138+BF218*BF138+BG218*BG138+BH218*BH138+BI218*BI138+BJ218*BJ138+BK218*BK138+BL218*BL138+BM218*BM138+BN218*BN138+BO218*BO138+BP218*BP138+BQ218*BQ138+BR218*BR138+BS218*BS138+BT218*BT138+BU218*BU138+BV218*BV138+BW218*BW138+BX218*BX138+BY218*BY138+BZ218*BZ138+CA218*CA138+CB218*CB138+CC218*CC138+CD218*CD138+CE218*CE138+CF218*CF138+CG218*CG138+CH218*CH138</f>
        <v>0</v>
      </c>
      <c r="CT138" s="1952">
        <f>E219*E138+F219*F138+G219*G138+H219*H138+I219*I138+J219*J138+K219*K138+L219*L138+M219*M138+N219*N138+O219*O138+P219*P138+Q219*Q138+R219*R138+S219*S138+T219*T138+U219*U138+V219*V138+W219*W138+X219*X138+Y219*Y138+Z219*Z138+AA219*AA138+AB219*AB138+AC219*AC138+AD219*AD138+AE219*AE138+AF219*AF138+AG219*AG138+AH219*AH138+AI219*AI138+AJ219*AJ138+AK219*AK138+AL219*AL138+AM219*AM138+AN219*AN138+AO219*AO138+AP219*AP138+AQ219*AQ138+AR219*AR138+AS219*AS138+AT219*AT138+AU219*AU138+AV219*AV138+AW219*AW138+AX219*AX138+AY219*AY138+AZ219*AZ138+BA219*BA138+BB219*BB138+BC219*BC138+BD219*BD138+BE219*BE138+BF219*BF138+BG219*BG138+BH219*BH138+BI219*BI138+BJ219*BJ138+BK219*BK138+BL219*BL138+BM219*BM138+BN219*BN138+BO219*BO138+BP219*BP138+BQ219*BQ138+BR219*BR138+BS219*BS138+BT219*BT138+BU219*BU138+BV219*BV138+BW219*BW138+BX219*BX138+BY219*BY138+BZ219*BZ138+CA219*CA138+CB219*CB138+CC219*CC138+CD219*CD138+CE219*CE138+CF219*CF138+CG219*CG138+CH219*CH138</f>
        <v>0</v>
      </c>
      <c r="CU138" s="1952">
        <f>E220*E138+F220*F138+G220*G138+H220*H138+I220*I138+J220*J138+K220*K138+L220*L138+M220*M138+N220*N138+O220*O138+P220*P138+Q220*Q138+R220*R138+S220*S138+T220*T138+U220*U138+V220*V138+W220*W138+X220*X138+Y220*Y138+Z220*Z138+AA220*AA138+AB220*AB138+AC220*AC138+AD220*AD138+AE220*AE138+AF220*AF138+AG220*AG138+AH220*AH138+AI220*AI138+AJ220*AJ138+AK220*AK138+AL220*AL138+AM220*AM138+AN220*AN138+AO220*AO138+AP220*AP138+AQ220*AQ138+AR220*AR138+AS220*AS138+AT220*AT138+AU220*AU138+AV220*AV138+AW220*AW138+AX220*AX138+AY220*AY138+AZ220*AZ138+BA220*BA138+BB220*BB138+BC220*BC138+BD220*BD138+BE220*BE138+BF220*BF138+BG220*BG138+BH220*BH138+BI220*BI138+BJ220*BJ138+BK220*BK138+BL220*BL138+BM220*BM138+BN220*BN138+BO220*BO138+BP220*BP138+BQ220*BQ138+BR220*BR138+BS220*BS138+BT220*BT138+BU220*BU138+BV220*BV138+BW220*BW138+BX220*BX138+BY220*BY138+BZ220*BZ138+CA220*CA138+CB220*CB138+CC220*CC138+CD220*CD138+CE220*CE138+CF220*CF138+CG220*CG138+CH220*CH138</f>
        <v>0</v>
      </c>
    </row>
    <row r="139" spans="2:99" ht="18" x14ac:dyDescent="0.25">
      <c r="B139" s="1033">
        <v>25</v>
      </c>
      <c r="C139" s="1098" t="s">
        <v>247</v>
      </c>
      <c r="D139" s="1099" t="s">
        <v>2643</v>
      </c>
      <c r="E139" s="2057">
        <f>(1-Y_CASTO_SB_ana-Y_CASTO_H2_ana_high)/Y_CASTO_SB_ana</f>
        <v>5.5</v>
      </c>
      <c r="F139" s="2058">
        <f>-1/Y_CASTO_SB_ana</f>
        <v>-10</v>
      </c>
      <c r="G139" s="2057">
        <f>0</f>
        <v>0</v>
      </c>
      <c r="H139" s="2057">
        <f>0</f>
        <v>0</v>
      </c>
      <c r="I139" s="2080">
        <f>0</f>
        <v>0</v>
      </c>
      <c r="J139" s="2080">
        <f>0</f>
        <v>0</v>
      </c>
      <c r="K139" s="2057">
        <f>0</f>
        <v>0</v>
      </c>
      <c r="L139" s="2057">
        <f>0</f>
        <v>0</v>
      </c>
      <c r="M139" s="2057">
        <f>0</f>
        <v>0</v>
      </c>
      <c r="N139" s="2057">
        <f>1</f>
        <v>1</v>
      </c>
      <c r="O139" s="2057">
        <f>0</f>
        <v>0</v>
      </c>
      <c r="P139" s="2057">
        <f>0</f>
        <v>0</v>
      </c>
      <c r="Q139" s="2057">
        <f>0</f>
        <v>0</v>
      </c>
      <c r="R139" s="2057">
        <f>0</f>
        <v>0</v>
      </c>
      <c r="S139" s="2057">
        <f>0</f>
        <v>0</v>
      </c>
      <c r="T139" s="2057">
        <f>0</f>
        <v>0</v>
      </c>
      <c r="U139" s="2057">
        <f>0</f>
        <v>0</v>
      </c>
      <c r="V139" s="2057">
        <f>0</f>
        <v>0</v>
      </c>
      <c r="W139" s="2057">
        <f>0</f>
        <v>0</v>
      </c>
      <c r="X139" s="2057">
        <f>0</f>
        <v>0</v>
      </c>
      <c r="Y139" s="2057">
        <f>0</f>
        <v>0</v>
      </c>
      <c r="Z139" s="2057">
        <f>0</f>
        <v>0</v>
      </c>
      <c r="AA139" s="2057">
        <f>0</f>
        <v>0</v>
      </c>
      <c r="AB139" s="2057">
        <f>0</f>
        <v>0</v>
      </c>
      <c r="AC139" s="2080">
        <f>0</f>
        <v>0</v>
      </c>
      <c r="AD139" s="2080">
        <f>0</f>
        <v>0</v>
      </c>
      <c r="AE139" s="2057">
        <f>0</f>
        <v>0</v>
      </c>
      <c r="AF139" s="2057">
        <f>0</f>
        <v>0</v>
      </c>
      <c r="AG139" s="2058">
        <f>0</f>
        <v>0</v>
      </c>
      <c r="AH139" s="2057">
        <f>0</f>
        <v>0</v>
      </c>
      <c r="AI139" s="2080">
        <f>0</f>
        <v>0</v>
      </c>
      <c r="AJ139" s="2080">
        <f>0</f>
        <v>0</v>
      </c>
      <c r="AK139" s="2057">
        <f>0</f>
        <v>0</v>
      </c>
      <c r="AL139" s="2057">
        <f>0</f>
        <v>0</v>
      </c>
      <c r="AM139" s="2057">
        <f>0</f>
        <v>0</v>
      </c>
      <c r="AN139" s="2057">
        <f>Y_CASTO_H2_ana_high/Y_CASTO_SB_ana</f>
        <v>3.4999999999999996</v>
      </c>
      <c r="AO139" s="2057">
        <f>(i_CIT_SB-i_CIT_VFA*(1-Y_CASTO_SB_ana-Y_CASTO_H2_ana_high)-i_CIT_PHA*Y_CASTO_SB_ana)/Y_CASTO_SB_ana</f>
        <v>0.46449999999999952</v>
      </c>
      <c r="AP139" s="2058">
        <f>i_INORG</f>
        <v>0.11</v>
      </c>
      <c r="AQ139" s="2058">
        <f>-i_INORG*(1-i_Ca_INORG*(A_MCa+2*A_MCl)/A_MCa-i_Mg_INORG*(A_MMg+2*A_MCl)/A_MMg)*f_Na</f>
        <v>-2.8804303582798466E-2</v>
      </c>
      <c r="AR139" s="2058">
        <f>-i_INORG*(i_Ca_INORG*(2*A_MCl)/A_MCa+i_Mg_INORG*(2*A_MCl)/A_MMg)-i_INORG*(1-i_Ca_INORG*(A_MCa+2*A_MCl)/A_MCa-i_Mg_INORG*(A_MMg+2*A_MCl)/A_MMg)*(1-f_Na)</f>
        <v>-7.0195696417201539E-2</v>
      </c>
      <c r="AS139" s="2058">
        <f>-i_INORG*i_Ca_INORG</f>
        <v>-5.5000000000000005E-3</v>
      </c>
      <c r="AT139" s="2058">
        <f>-i_INORG*i_Mg_INORG</f>
        <v>-5.5000000000000005E-3</v>
      </c>
      <c r="AU139" s="2058">
        <f>0</f>
        <v>0</v>
      </c>
      <c r="AV139" s="2057">
        <f>0</f>
        <v>0</v>
      </c>
      <c r="AW139" s="2057">
        <f>0</f>
        <v>0</v>
      </c>
      <c r="AX139" s="2057">
        <f>0</f>
        <v>0</v>
      </c>
      <c r="AY139" s="2057">
        <f>0</f>
        <v>0</v>
      </c>
      <c r="AZ139" s="2057">
        <f>0</f>
        <v>0</v>
      </c>
      <c r="BA139" s="2057">
        <f>0</f>
        <v>0</v>
      </c>
      <c r="BB139" s="2057">
        <f>0</f>
        <v>0</v>
      </c>
      <c r="BC139" s="2057">
        <f>0</f>
        <v>0</v>
      </c>
      <c r="BD139" s="2057">
        <f>0</f>
        <v>0</v>
      </c>
      <c r="BE139" s="2057">
        <f>0</f>
        <v>0</v>
      </c>
      <c r="BF139" s="2057">
        <f>0</f>
        <v>0</v>
      </c>
      <c r="BG139" s="2057">
        <f>0</f>
        <v>0</v>
      </c>
      <c r="BH139" s="2057">
        <f>0</f>
        <v>0</v>
      </c>
      <c r="BI139" s="2057">
        <f>0</f>
        <v>0</v>
      </c>
      <c r="BJ139" s="2057">
        <f>0</f>
        <v>0</v>
      </c>
      <c r="BK139" s="2057">
        <f>0</f>
        <v>0</v>
      </c>
      <c r="BL139" s="2057">
        <f>0</f>
        <v>0</v>
      </c>
      <c r="BM139" s="2057">
        <f>0</f>
        <v>0</v>
      </c>
      <c r="BN139" s="2057">
        <f>0</f>
        <v>0</v>
      </c>
      <c r="BO139" s="2057">
        <f>0</f>
        <v>0</v>
      </c>
      <c r="BP139" s="2113">
        <f>0</f>
        <v>0</v>
      </c>
      <c r="BQ139" s="2113">
        <f>0</f>
        <v>0</v>
      </c>
      <c r="BR139" s="2113">
        <f>0</f>
        <v>0</v>
      </c>
      <c r="BS139" s="2113">
        <f>0</f>
        <v>0</v>
      </c>
      <c r="BT139" s="2057">
        <f>0</f>
        <v>0</v>
      </c>
      <c r="BU139" s="2057">
        <f>0</f>
        <v>0</v>
      </c>
      <c r="BV139" s="2057">
        <f>0</f>
        <v>0</v>
      </c>
      <c r="BW139" s="2057">
        <f>0</f>
        <v>0</v>
      </c>
      <c r="BX139" s="2057">
        <f>0</f>
        <v>0</v>
      </c>
      <c r="BY139" s="2057">
        <f>0</f>
        <v>0</v>
      </c>
      <c r="BZ139" s="2057">
        <f>0</f>
        <v>0</v>
      </c>
      <c r="CA139" s="2057">
        <f>0</f>
        <v>0</v>
      </c>
      <c r="CB139" s="2057">
        <f>0</f>
        <v>0</v>
      </c>
      <c r="CC139" s="2057">
        <f>0</f>
        <v>0</v>
      </c>
      <c r="CD139" s="2057">
        <f>0</f>
        <v>0</v>
      </c>
      <c r="CE139" s="2057">
        <f>0</f>
        <v>0</v>
      </c>
      <c r="CF139" s="2057">
        <f>0</f>
        <v>0</v>
      </c>
      <c r="CG139" s="2057">
        <f>0</f>
        <v>0</v>
      </c>
      <c r="CH139" s="2057">
        <f>0</f>
        <v>0</v>
      </c>
      <c r="CI139" s="2139">
        <f>µ_FERM_PAO_T*X_CASTO*actferm_PAO_ORP*L_ogsatSVFA_KVFA_FERM*M_satSB_KSB_ana*M_satSNHx_KNHx_BIO*M_satSPO4_KPO4_BIO*M_satSCAT_KCAT*M_satSAN_KAN*M_satSCa_KCa*M_satSMg_KMg*B_ellinhpH</f>
        <v>1.7821732482926844E-225</v>
      </c>
      <c r="CK139" s="1950">
        <f>E210*E139+F210*F139+G210*G139+H210*H139+I210*I139+J210*J139+K210*K139+L210*L139+M210*M139+N210*N139+O210*O139+P210*P139+Q210*Q139+R210*R139+S210*S139+T210*T139+U210*U139+V210*V139+W210*W139+X210*X139+Y210*Y139+Z210*Z139+AA210*AA139+AB210*AB139+AC210*AC139+AD210*AD139+AE210*AE139+AF210*AF139+AG210*AG139+AH210*AH139+AI210*AI139+AJ210*AJ139+AK210*AK139+AL210*AL139+AM210*AM139+AN210*AN139+AO210*AO139+AP210*AP139+AQ210*AQ139+AR210*AR139+AS210*AS139+AT210*AT139+AU210*AU139+AV210*AV139+AW210*AW139+AX210*AX139+AY210*AY139+AZ210*AZ139+BA210*BA139+BB210*BB139+BC210*BC139+BD210*BD139+BE210*BE139+BF210*BF139+BG210*BG139+BH210*BH139+BI210*BI139+BJ210*BJ139+BK210*BK139+BL210*BL139+BM210*BM139+BN210*BN139+BO210*BO139+BP210*BP139+BQ210*BQ139+BR210*BR139+BS210*BS139+BT210*BT139+BU210*BU139+BV210*BV139+BW210*BW139+BX210*BX139+BY210*BY139+BZ210*BZ139+CA210*CA139+CB210*CB139+CC210*CC139+CD210*CD139+CE210*CE139+CF210*CF139+CG210*CG139+CH210*CH139</f>
        <v>-4.4408920985006262E-16</v>
      </c>
      <c r="CL139" s="1950">
        <f>E211*E139+F211*F139+G211*G139+H211*H139+I211*I139+J211*J139+K211*K139+L211*L139+M211*M139+N211*N139+O211*O139+P211*P139+Q211*Q139+R211*R139+S211*S139+T211*T139+U211*U139+V211*V139+W211*W139+X211*X139+Y211*Y139+Z211*Z139+AA211*AA139+AB211*AB139+AC211*AC139+AD211*AD139+AE211*AE139+AF211*AF139+AG211*AG139+AH211*AH139+AI211*AI139+AJ211*AJ139+AK211*AK139+AL211*AL139+AM211*AM139+AN211*AN139+AO211*AO139+AP211*AP139+AQ211*AQ139+AR211*AR139+AS211*AS139+AT211*AT139+AU211*AU139+AV211*AV139+AW211*AW139+AX211*AX139+AY211*AY139+AZ211*AZ139+BA211*BA139+BB211*BB139+BC211*BC139+BD211*BD139+BE211*BE139+BF211*BF139+BG211*BG139+BH211*BH139+BI211*BI139+BJ211*BJ139+BK211*BK139+BL211*BL139+BM211*BM139+BN211*BN139+BO211*BO139+BP211*BP139+BQ211*BQ139+BR211*BR139+BS211*BS139+BT211*BT139+BU211*BU139+BV211*BV139+BW211*BW139+BX211*BX139+BY211*BY139+BZ211*BZ139+CA211*CA139+CB211*CB139+CC211*CC139+CD211*CD139+CE211*CE139+CF211*CF139+CG211*CG139+CH211*CH139</f>
        <v>-3.3306690738754696E-16</v>
      </c>
      <c r="CM139" s="1951">
        <f>E212*E139+F212*F139+G212*G139+H212*H139+I212*I139+J212*J139+K212*K139+L212*L139+M212*M139+N212*N139+O212*O139+P212*P139+Q212*Q139+R212*R139+S212*S139+T212*T139+U212*U139+V212*V139+W212*W139+X212*X139+Y212*Y139+Z212*Z139+AA212*AA139+AB212*AB139+AC212*AC139+AD212*AD139+AE212*AE139+AF212*AF139+AG212*AG139+AH212*AH139+AI212*AI139+AJ212*AJ139+AK212*AK139+AL212*AL139+AM212*AM139+AN212*AN139+AO212*AO139+AP212*AP139+AQ212*AQ139+AR212*AR139+AS212*AS139+AT212*AT139+AU212*AU139+AV212*AV139+AW212*AW139+AX212*AX139+AY212*AY139+AZ212*AZ139+BA212*BA139+BB212*BB139+BC212*BC139+BD212*BD139+BE212*BE139+BF212*BF139+BG212*BG139+BH212*BH139+BI212*BI139+BJ212*BJ139+BK212*BK139+BL212*BL139+BM212*BM139+BN212*BN139+BO212*BO139+BP212*BP139+BQ212*BQ139+BR212*BR139+BS212*BS139+BT212*BT139+BU212*BU139+BV212*BV139+BW212*BW139+BX212*BX139+BY212*BY139+BZ212*BZ139+CA212*CA139+CB212*CB139+CC212*CC139+CD212*CD139+CE212*CE139+CF212*CF139+CG212*CG139+CH212*CH139</f>
        <v>0</v>
      </c>
      <c r="CN139" s="1952">
        <f>E213*E139+F213*F139+G213*G139+H213*H139+I213*I139+J213*J139+K213*K139+L213*L139+M213*M139+N213*N139+O213*O139+P213*P139+Q213*Q139+R213*R139+S213*S139+T213*T139+U213*U139+V213*V139+W213*W139+X213*X139+Y213*Y139+Z213*Z139+AA213*AA139+AB213*AB139+AC213*AC139+AD213*AD139+AE213*AE139+AF213*AF139+AG213*AG139+AH213*AH139+AI213*AI139+AJ213*AJ139+AK213*AK139+AL213*AL139+AM213*AM139+AN213*AN139+AO213*AO139+AP213*AP139+AQ213*AQ139+AR213*AR139+AS213*AS139+AT213*AT139+AU213*AU139+AV213*AV139+AW213*AW139+AX213*AX139+AY213*AY139+AZ213*AZ139+BA213*BA139+BB213*BB139+BC213*BC139+BD213*BD139+BE213*BE139+BF213*BF139+BG213*BG139+BH213*BH139+BI213*BI139+BJ213*BJ139+BK213*BK139+BL213*BL139+BM213*BM139+BN213*BN139+BO213*BO139+BP213*BP139+BQ213*BQ139+BR213*BR139+BS213*BS139+BT213*BT139+BU213*BU139+BV213*BV139+BW213*BW139+BX213*BX139+BY213*BY139+BZ213*BZ139+CA213*CA139+CB213*CB139+CC213*CC139+CD213*CD139+CE213*CE139+CF213*CF139+CG213*CG139+CH213*CH139</f>
        <v>0</v>
      </c>
      <c r="CO139" s="1952">
        <f>E214*E139+F214*F139+G214*G139+H214*H139+I214*I139+J214*J139+K214*K139+L214*L139+M214*M139+N214*N139+O214*O139+P214*P139+Q214*Q139+R214*R139+S214*S139+T214*T139+U214*U139+V214*V139+W214*W139+X214*X139+Y214*Y139+Z214*Z139+AA214*AA139+AB214*AB139+AC214*AC139+AD214*AD139+AE214*AE139+AF214*AF139+AG214*AG139+AH214*AH139+AI214*AI139+AJ214*AJ139+AK214*AK139+AL214*AL139+AM214*AM139+AN214*AN139+AO214*AO139+AP214*AP139+AQ214*AQ139+AR214*AR139+AS214*AS139+AT214*AT139+AU214*AU139+AV214*AV139+AW214*AW139+AX214*AX139+AY214*AY139+AZ214*AZ139+BA214*BA139+BB214*BB139+BC214*BC139+BD214*BD139+BE214*BE139+BF214*BF139+BG214*BG139+BH214*BH139+BI214*BI139+BJ214*BJ139+BK214*BK139+BL214*BL139+BM214*BM139+BN214*BN139+BO214*BO139+BP214*BP139+BQ214*BQ139+BR214*BR139+BS214*BS139+BT214*BT139+BU214*BU139+BV214*BV139+BW214*BW139+BX214*BX139+BY214*BY139+BZ214*BZ139+CA214*CA139+CB214*CB139+CC214*CC139+CD214*CD139+CE214*CE139+CF214*CF139+CG214*CG139+CH214*CH139</f>
        <v>0</v>
      </c>
      <c r="CP139" s="1952">
        <f>E215*E139+F215*F139+G215*G139+H215*H139+I215*I139+J215*J139+K215*K139+L215*L139+M215*M139+N215*N139+O215*O139+P215*P139+Q215*Q139+R215*R139+S215*S139+T215*T139+U215*U139+V215*V139+W215*W139+X215*X139+Y215*Y139+Z215*Z139+AA215*AA139+AB215*AB139+AC215*AC139+AD215*AD139+AE215*AE139+AF215*AF139+AG215*AG139+AH215*AH139+AI215*AI139+AJ215*AJ139+AK215*AK139+AL215*AL139+AM215*AM139+AN215*AN139+AO215*AO139+AP215*AP139+AQ215*AQ139+AR215*AR139+AS215*AS139+AT215*AT139+AU215*AU139+AV215*AV139+AW215*AW139+AX215*AX139+AY215*AY139+AZ215*AZ139+BA215*BA139+BB215*BB139+BC215*BC139+BD215*BD139+BE215*BE139+BF215*BF139+BG215*BG139+BH215*BH139+BI215*BI139+BJ215*BJ139+BK215*BK139+BL215*BL139+BM215*BM139+BN215*BN139+BO215*BO139+BP215*BP139+BQ215*BQ139+BR215*BR139+BS215*BS139+BT215*BT139+BU215*BU139+BV215*BV139+BW215*BW139+BX215*BX139+BY215*BY139+BZ215*BZ139+CA215*CA139+CB215*CB139+CC215*CC139+CD215*CD139+CE215*CE139+CF215*CF139+CG215*CG139+CH215*CH139</f>
        <v>0</v>
      </c>
      <c r="CQ139" s="1952">
        <f>E216*E139+F216*F139+G216*G139+H216*H139+I216*I139+J216*J139+K216*K139+L216*L139+M216*M139+N216*N139+O216*O139+P216*P139+Q216*Q139+R216*R139+S216*S139+T216*T139+U216*U139+V216*V139+W216*W139+X216*X139+Y216*Y139+Z216*Z139+AA216*AA139+AB216*AB139+AC216*AC139+AD216*AD139+AE216*AE139+AF216*AF139+AG216*AG139+AH216*AH139+AI216*AI139+AJ216*AJ139+AK216*AK139+AL216*AL139+AM216*AM139+AN216*AN139+AO216*AO139+AP216*AP139+AQ216*AQ139+AR216*AR139+AS216*AS139+AT216*AT139+AU216*AU139+AV216*AV139+AW216*AW139+AX216*AX139+AY216*AY139+AZ216*AZ139+BA216*BA139+BB216*BB139+BC216*BC139+BD216*BD139+BE216*BE139+BF216*BF139+BG216*BG139+BH216*BH139+BI216*BI139+BJ216*BJ139+BK216*BK139+BL216*BL139+BM216*BM139+BN216*BN139+BO216*BO139+BP216*BP139+BQ216*BQ139+BR216*BR139+BS216*BS139+BT216*BT139+BU216*BU139+BV216*BV139+BW216*BW139+BX216*BX139+BY216*BY139+BZ216*BZ139+CA216*CA139+CB216*CB139+CC216*CC139+CD216*CD139+CE216*CE139+CF216*CF139+CG216*CG139+CH216*CH139</f>
        <v>0</v>
      </c>
      <c r="CR139" s="1952">
        <f>E217*E139+F217*F139+G217*G139+H217*H139+I217*I139+J217*J139+K217*K139+L217*L139+M217*M139+N217*N139+O217*O139+P217*P139+Q217*Q139+R217*R139+S217*S139+T217*T139+U217*U139+V217*V139+W217*W139+X217*X139+Y217*Y139+Z217*Z139+AA217*AA139+AB217*AB139+AC217*AC139+AD217*AD139+AE217*AE139+AF217*AF139+AG217*AG139+AH217*AH139+AI217*AI139+AJ217*AJ139+AK217*AK139+AL217*AL139+AM217*AM139+AN217*AN139+AO217*AO139+AP217*AP139+AQ217*AQ139+AR217*AR139+AS217*AS139+AT217*AT139+AU217*AU139+AV217*AV139+AW217*AW139+AX217*AX139+AY217*AY139+AZ217*AZ139+BA217*BA139+BB217*BB139+BC217*BC139+BD217*BD139+BE217*BE139+BF217*BF139+BG217*BG139+BH217*BH139+BI217*BI139+BJ217*BJ139+BK217*BK139+BL217*BL139+BM217*BM139+BN217*BN139+BO217*BO139+BP217*BP139+BQ217*BQ139+BR217*BR139+BS217*BS139+BT217*BT139+BU217*BU139+BV217*BV139+BW217*BW139+BX217*BX139+BY217*BY139+BZ217*BZ139+CA217*CA139+CB217*CB139+CC217*CC139+CD217*CD139+CE217*CE139+CF217*CF139+CG217*CG139+CH217*CH139</f>
        <v>0</v>
      </c>
      <c r="CS139" s="1952">
        <f>E218*E139+F218*F139+G218*G139+H218*H139+I218*I139+J218*J139+K218*K139+L218*L139+M218*M139+N218*N139+O218*O139+P218*P139+Q218*Q139+R218*R139+S218*S139+T218*T139+U218*U139+V218*V139+W218*W139+X218*X139+Y218*Y139+Z218*Z139+AA218*AA139+AB218*AB139+AC218*AC139+AD218*AD139+AE218*AE139+AF218*AF139+AG218*AG139+AH218*AH139+AI218*AI139+AJ218*AJ139+AK218*AK139+AL218*AL139+AM218*AM139+AN218*AN139+AO218*AO139+AP218*AP139+AQ218*AQ139+AR218*AR139+AS218*AS139+AT218*AT139+AU218*AU139+AV218*AV139+AW218*AW139+AX218*AX139+AY218*AY139+AZ218*AZ139+BA218*BA139+BB218*BB139+BC218*BC139+BD218*BD139+BE218*BE139+BF218*BF139+BG218*BG139+BH218*BH139+BI218*BI139+BJ218*BJ139+BK218*BK139+BL218*BL139+BM218*BM139+BN218*BN139+BO218*BO139+BP218*BP139+BQ218*BQ139+BR218*BR139+BS218*BS139+BT218*BT139+BU218*BU139+BV218*BV139+BW218*BW139+BX218*BX139+BY218*BY139+BZ218*BZ139+CA218*CA139+CB218*CB139+CC218*CC139+CD218*CD139+CE218*CE139+CF218*CF139+CG218*CG139+CH218*CH139</f>
        <v>0</v>
      </c>
      <c r="CT139" s="1952">
        <f>E219*E139+F219*F139+G219*G139+H219*H139+I219*I139+J219*J139+K219*K139+L219*L139+M219*M139+N219*N139+O219*O139+P219*P139+Q219*Q139+R219*R139+S219*S139+T219*T139+U219*U139+V219*V139+W219*W139+X219*X139+Y219*Y139+Z219*Z139+AA219*AA139+AB219*AB139+AC219*AC139+AD219*AD139+AE219*AE139+AF219*AF139+AG219*AG139+AH219*AH139+AI219*AI139+AJ219*AJ139+AK219*AK139+AL219*AL139+AM219*AM139+AN219*AN139+AO219*AO139+AP219*AP139+AQ219*AQ139+AR219*AR139+AS219*AS139+AT219*AT139+AU219*AU139+AV219*AV139+AW219*AW139+AX219*AX139+AY219*AY139+AZ219*AZ139+BA219*BA139+BB219*BB139+BC219*BC139+BD219*BD139+BE219*BE139+BF219*BF139+BG219*BG139+BH219*BH139+BI219*BI139+BJ219*BJ139+BK219*BK139+BL219*BL139+BM219*BM139+BN219*BN139+BO219*BO139+BP219*BP139+BQ219*BQ139+BR219*BR139+BS219*BS139+BT219*BT139+BU219*BU139+BV219*BV139+BW219*BW139+BX219*BX139+BY219*BY139+BZ219*BZ139+CA219*CA139+CB219*CB139+CC219*CC139+CD219*CD139+CE219*CE139+CF219*CF139+CG219*CG139+CH219*CH139</f>
        <v>0</v>
      </c>
      <c r="CU139" s="1952">
        <f>E220*E139+F220*F139+G220*G139+H220*H139+I220*I139+J220*J139+K220*K139+L220*L139+M220*M139+N220*N139+O220*O139+P220*P139+Q220*Q139+R220*R139+S220*S139+T220*T139+U220*U139+V220*V139+W220*W139+X220*X139+Y220*Y139+Z220*Z139+AA220*AA139+AB220*AB139+AC220*AC139+AD220*AD139+AE220*AE139+AF220*AF139+AG220*AG139+AH220*AH139+AI220*AI139+AJ220*AJ139+AK220*AK139+AL220*AL139+AM220*AM139+AN220*AN139+AO220*AO139+AP220*AP139+AQ220*AQ139+AR220*AR139+AS220*AS139+AT220*AT139+AU220*AU139+AV220*AV139+AW220*AW139+AX220*AX139+AY220*AY139+AZ220*AZ139+BA220*BA139+BB220*BB139+BC220*BC139+BD220*BD139+BE220*BE139+BF220*BF139+BG220*BG139+BH220*BH139+BI220*BI139+BJ220*BJ139+BK220*BK139+BL220*BL139+BM220*BM139+BN220*BN139+BO220*BO139+BP220*BP139+BQ220*BQ139+BR220*BR139+BS220*BS139+BT220*BT139+BU220*BU139+BV220*BV139+BW220*BW139+BX220*BX139+BY220*BY139+BZ220*BZ139+CA220*CA139+CB220*CB139+CC220*CC139+CD220*CD139+CE220*CE139+CF220*CF139+CG220*CG139+CH220*CH139</f>
        <v>0</v>
      </c>
    </row>
    <row r="140" spans="2:99" ht="18" x14ac:dyDescent="0.25">
      <c r="B140" s="1033">
        <v>26</v>
      </c>
      <c r="C140" s="1098" t="s">
        <v>248</v>
      </c>
      <c r="D140" s="1099" t="s">
        <v>2644</v>
      </c>
      <c r="E140" s="2057">
        <f>(1-Y_CASTO_SB_ana-Y_CASTO_H2_ana_low)/Y_CASTO_SB_ana</f>
        <v>8</v>
      </c>
      <c r="F140" s="2058">
        <f>-1/Y_CASTO_SB_ana</f>
        <v>-10</v>
      </c>
      <c r="G140" s="2057">
        <f>0</f>
        <v>0</v>
      </c>
      <c r="H140" s="2057">
        <f>0</f>
        <v>0</v>
      </c>
      <c r="I140" s="2080">
        <f>0</f>
        <v>0</v>
      </c>
      <c r="J140" s="2080">
        <f>0</f>
        <v>0</v>
      </c>
      <c r="K140" s="2057">
        <f>0</f>
        <v>0</v>
      </c>
      <c r="L140" s="2057">
        <f>0</f>
        <v>0</v>
      </c>
      <c r="M140" s="2057">
        <f>0</f>
        <v>0</v>
      </c>
      <c r="N140" s="2057">
        <f>1</f>
        <v>1</v>
      </c>
      <c r="O140" s="2057">
        <f>0</f>
        <v>0</v>
      </c>
      <c r="P140" s="2057">
        <f>0</f>
        <v>0</v>
      </c>
      <c r="Q140" s="2057">
        <f>0</f>
        <v>0</v>
      </c>
      <c r="R140" s="2057">
        <f>0</f>
        <v>0</v>
      </c>
      <c r="S140" s="2057">
        <f>0</f>
        <v>0</v>
      </c>
      <c r="T140" s="2057">
        <f>0</f>
        <v>0</v>
      </c>
      <c r="U140" s="2057">
        <f>0</f>
        <v>0</v>
      </c>
      <c r="V140" s="2057">
        <f>0</f>
        <v>0</v>
      </c>
      <c r="W140" s="2057">
        <f>0</f>
        <v>0</v>
      </c>
      <c r="X140" s="2057">
        <f>0</f>
        <v>0</v>
      </c>
      <c r="Y140" s="2057">
        <f>0</f>
        <v>0</v>
      </c>
      <c r="Z140" s="2058">
        <f>0</f>
        <v>0</v>
      </c>
      <c r="AA140" s="2058">
        <f>0</f>
        <v>0</v>
      </c>
      <c r="AB140" s="2057">
        <f>0</f>
        <v>0</v>
      </c>
      <c r="AC140" s="2080">
        <f>0</f>
        <v>0</v>
      </c>
      <c r="AD140" s="2080">
        <f>0</f>
        <v>0</v>
      </c>
      <c r="AE140" s="2057">
        <f>0</f>
        <v>0</v>
      </c>
      <c r="AF140" s="2057">
        <f>0</f>
        <v>0</v>
      </c>
      <c r="AG140" s="2058">
        <f>0</f>
        <v>0</v>
      </c>
      <c r="AH140" s="2057">
        <f>0</f>
        <v>0</v>
      </c>
      <c r="AI140" s="2080">
        <f>0</f>
        <v>0</v>
      </c>
      <c r="AJ140" s="2080">
        <f>0</f>
        <v>0</v>
      </c>
      <c r="AK140" s="2057">
        <f>0</f>
        <v>0</v>
      </c>
      <c r="AL140" s="2057">
        <f>0</f>
        <v>0</v>
      </c>
      <c r="AM140" s="2057">
        <f>0</f>
        <v>0</v>
      </c>
      <c r="AN140" s="2057">
        <f>Y_CASTO_H2_ana_low/Y_CASTO_SB_ana</f>
        <v>1</v>
      </c>
      <c r="AO140" s="2057">
        <f>(i_CIT_SB-i_CIT_VFA*(1-Y_CASTO_SB_ana-Y_CASTO_H2_ana_low)-i_CIT_PHA*Y_CASTO_SB_ana)/Y_CASTO_SB_ana</f>
        <v>-0.4730000000000007</v>
      </c>
      <c r="AP140" s="2058">
        <f>i_INORG</f>
        <v>0.11</v>
      </c>
      <c r="AQ140" s="2058">
        <f>-i_INORG*(1-i_Ca_INORG*(A_MCa+2*A_MCl)/A_MCa-i_Mg_INORG*(A_MMg+2*A_MCl)/A_MMg)*f_Na</f>
        <v>-2.8804303582798466E-2</v>
      </c>
      <c r="AR140" s="2058">
        <f>-i_INORG*(i_Ca_INORG*(2*A_MCl)/A_MCa+i_Mg_INORG*(2*A_MCl)/A_MMg)-i_INORG*(1-i_Ca_INORG*(A_MCa+2*A_MCl)/A_MCa-i_Mg_INORG*(A_MMg+2*A_MCl)/A_MMg)*(1-f_Na)</f>
        <v>-7.0195696417201539E-2</v>
      </c>
      <c r="AS140" s="2058">
        <f>-i_INORG*i_Ca_INORG</f>
        <v>-5.5000000000000005E-3</v>
      </c>
      <c r="AT140" s="2058">
        <f>-i_INORG*i_Mg_INORG</f>
        <v>-5.5000000000000005E-3</v>
      </c>
      <c r="AU140" s="2058">
        <f>0</f>
        <v>0</v>
      </c>
      <c r="AV140" s="2057">
        <f>0</f>
        <v>0</v>
      </c>
      <c r="AW140" s="2057">
        <f>0</f>
        <v>0</v>
      </c>
      <c r="AX140" s="2057">
        <f>0</f>
        <v>0</v>
      </c>
      <c r="AY140" s="2057">
        <f>0</f>
        <v>0</v>
      </c>
      <c r="AZ140" s="2057">
        <f>0</f>
        <v>0</v>
      </c>
      <c r="BA140" s="2057">
        <f>0</f>
        <v>0</v>
      </c>
      <c r="BB140" s="2057">
        <f>0</f>
        <v>0</v>
      </c>
      <c r="BC140" s="2057">
        <f>0</f>
        <v>0</v>
      </c>
      <c r="BD140" s="2057">
        <f>0</f>
        <v>0</v>
      </c>
      <c r="BE140" s="2057">
        <f>0</f>
        <v>0</v>
      </c>
      <c r="BF140" s="2057">
        <f>0</f>
        <v>0</v>
      </c>
      <c r="BG140" s="2057">
        <f>0</f>
        <v>0</v>
      </c>
      <c r="BH140" s="2057">
        <f>0</f>
        <v>0</v>
      </c>
      <c r="BI140" s="2057">
        <f>0</f>
        <v>0</v>
      </c>
      <c r="BJ140" s="2057">
        <f>0</f>
        <v>0</v>
      </c>
      <c r="BK140" s="2057">
        <f>0</f>
        <v>0</v>
      </c>
      <c r="BL140" s="2057">
        <f>0</f>
        <v>0</v>
      </c>
      <c r="BM140" s="2057">
        <f>0</f>
        <v>0</v>
      </c>
      <c r="BN140" s="2057">
        <f>0</f>
        <v>0</v>
      </c>
      <c r="BO140" s="2057">
        <f>0</f>
        <v>0</v>
      </c>
      <c r="BP140" s="2113">
        <f>0</f>
        <v>0</v>
      </c>
      <c r="BQ140" s="2113">
        <f>0</f>
        <v>0</v>
      </c>
      <c r="BR140" s="2113">
        <f>0</f>
        <v>0</v>
      </c>
      <c r="BS140" s="2113">
        <f>0</f>
        <v>0</v>
      </c>
      <c r="BT140" s="2057">
        <f>0</f>
        <v>0</v>
      </c>
      <c r="BU140" s="2057">
        <f>0</f>
        <v>0</v>
      </c>
      <c r="BV140" s="2057">
        <f>0</f>
        <v>0</v>
      </c>
      <c r="BW140" s="2057">
        <f>0</f>
        <v>0</v>
      </c>
      <c r="BX140" s="2057">
        <f>0</f>
        <v>0</v>
      </c>
      <c r="BY140" s="2057">
        <f>0</f>
        <v>0</v>
      </c>
      <c r="BZ140" s="2057">
        <f>0</f>
        <v>0</v>
      </c>
      <c r="CA140" s="2057">
        <f>0</f>
        <v>0</v>
      </c>
      <c r="CB140" s="2057">
        <f>0</f>
        <v>0</v>
      </c>
      <c r="CC140" s="2057">
        <f>0</f>
        <v>0</v>
      </c>
      <c r="CD140" s="2057">
        <f>0</f>
        <v>0</v>
      </c>
      <c r="CE140" s="2057">
        <f>0</f>
        <v>0</v>
      </c>
      <c r="CF140" s="2057">
        <f>0</f>
        <v>0</v>
      </c>
      <c r="CG140" s="2057">
        <f>0</f>
        <v>0</v>
      </c>
      <c r="CH140" s="2057">
        <f>0</f>
        <v>0</v>
      </c>
      <c r="CI140" s="2139">
        <f>µ_FERM_PAO_T*X_CASTO*actferm_PAO_ORP*L_oginhSVFA_KVFA_FERM*M_satSB_KSB_ana*M_satSNHx_KNHx_BIO*M_satSPO4_KPO4_BIO*M_satSCAT_KCAT*M_satSAN_KAN*M_satSCa_KCa*M_satSMg_KMg*M_satSCO2_KCO2_BIO*B_ellinhpH</f>
        <v>3.917406641298463E-9</v>
      </c>
      <c r="CK140" s="1950">
        <f>E210*E140+F210*F140+G210*G140+H210*H140+I210*I140+J210*J140+K210*K140+L210*L140+M210*M140+N210*N140+O210*O140+P210*P140+Q210*Q140+R210*R140+S210*S140+T210*T140+U210*U140+V210*V140+W210*W140+X210*X140+Y210*Y140+Z210*Z140+AA210*AA140+AB210*AB140+AC210*AC140+AD210*AD140+AE210*AE140+AF210*AF140+AG210*AG140+AH210*AH140+AI210*AI140+AJ210*AJ140+AK210*AK140+AL210*AL140+AM210*AM140+AN210*AN140+AO210*AO140+AP210*AP140+AQ210*AQ140+AR210*AR140+AS210*AS140+AT210*AT140+AU210*AU140+AV210*AV140+AW210*AW140+AX210*AX140+AY210*AY140+AZ210*AZ140+BA210*BA140+BB210*BB140+BC210*BC140+BD210*BD140+BE210*BE140+BF210*BF140+BG210*BG140+BH210*BH140+BI210*BI140+BJ210*BJ140+BK210*BK140+BL210*BL140+BM210*BM140+BN210*BN140+BO210*BO140+BP210*BP140+BQ210*BQ140+BR210*BR140+BS210*BS140+BT210*BT140+BU210*BU140+BV210*BV140+BW210*BW140+BX210*BX140+BY210*BY140+BZ210*BZ140+CA210*CA140+CB210*CB140+CC210*CC140+CD210*CD140+CE210*CE140+CF210*CF140+CG210*CG140+CH210*CH140</f>
        <v>0</v>
      </c>
      <c r="CL140" s="1950">
        <f>E211*E140+F211*F140+G211*G140+H211*H140+I211*I140+J211*J140+K211*K140+L211*L140+M211*M140+N211*N140+O211*O140+P211*P140+Q211*Q140+R211*R140+S211*S140+T211*T140+U211*U140+V211*V140+W211*W140+X211*X140+Y211*Y140+Z211*Z140+AA211*AA140+AB211*AB140+AC211*AC140+AD211*AD140+AE211*AE140+AF211*AF140+AG211*AG140+AH211*AH140+AI211*AI140+AJ211*AJ140+AK211*AK140+AL211*AL140+AM211*AM140+AN211*AN140+AO211*AO140+AP211*AP140+AQ211*AQ140+AR211*AR140+AS211*AS140+AT211*AT140+AU211*AU140+AV211*AV140+AW211*AW140+AX211*AX140+AY211*AY140+AZ211*AZ140+BA211*BA140+BB211*BB140+BC211*BC140+BD211*BD140+BE211*BE140+BF211*BF140+BG211*BG140+BH211*BH140+BI211*BI140+BJ211*BJ140+BK211*BK140+BL211*BL140+BM211*BM140+BN211*BN140+BO211*BO140+BP211*BP140+BQ211*BQ140+BR211*BR140+BS211*BS140+BT211*BT140+BU211*BU140+BV211*BV140+BW211*BW140+BX211*BX140+BY211*BY140+BZ211*BZ140+CA211*CA140+CB211*CB140+CC211*CC140+CD211*CD140+CE211*CE140+CF211*CF140+CG211*CG140+CH211*CH140</f>
        <v>-5.5511151231257827E-16</v>
      </c>
      <c r="CM140" s="1951">
        <f>E212*E140+F212*F140+G212*G140+H212*H140+I212*I140+J212*J140+K212*K140+L212*L140+M212*M140+N212*N140+O212*O140+P212*P140+Q212*Q140+R212*R140+S212*S140+T212*T140+U212*U140+V212*V140+W212*W140+X212*X140+Y212*Y140+Z212*Z140+AA212*AA140+AB212*AB140+AC212*AC140+AD212*AD140+AE212*AE140+AF212*AF140+AG212*AG140+AH212*AH140+AI212*AI140+AJ212*AJ140+AK212*AK140+AL212*AL140+AM212*AM140+AN212*AN140+AO212*AO140+AP212*AP140+AQ212*AQ140+AR212*AR140+AS212*AS140+AT212*AT140+AU212*AU140+AV212*AV140+AW212*AW140+AX212*AX140+AY212*AY140+AZ212*AZ140+BA212*BA140+BB212*BB140+BC212*BC140+BD212*BD140+BE212*BE140+BF212*BF140+BG212*BG140+BH212*BH140+BI212*BI140+BJ212*BJ140+BK212*BK140+BL212*BL140+BM212*BM140+BN212*BN140+BO212*BO140+BP212*BP140+BQ212*BQ140+BR212*BR140+BS212*BS140+BT212*BT140+BU212*BU140+BV212*BV140+BW212*BW140+BX212*BX140+BY212*BY140+BZ212*BZ140+CA212*CA140+CB212*CB140+CC212*CC140+CD212*CD140+CE212*CE140+CF212*CF140+CG212*CG140+CH212*CH140</f>
        <v>0</v>
      </c>
      <c r="CN140" s="1952">
        <f>E213*E140+F213*F140+G213*G140+H213*H140+I213*I140+J213*J140+K213*K140+L213*L140+M213*M140+N213*N140+O213*O140+P213*P140+Q213*Q140+R213*R140+S213*S140+T213*T140+U213*U140+V213*V140+W213*W140+X213*X140+Y213*Y140+Z213*Z140+AA213*AA140+AB213*AB140+AC213*AC140+AD213*AD140+AE213*AE140+AF213*AF140+AG213*AG140+AH213*AH140+AI213*AI140+AJ213*AJ140+AK213*AK140+AL213*AL140+AM213*AM140+AN213*AN140+AO213*AO140+AP213*AP140+AQ213*AQ140+AR213*AR140+AS213*AS140+AT213*AT140+AU213*AU140+AV213*AV140+AW213*AW140+AX213*AX140+AY213*AY140+AZ213*AZ140+BA213*BA140+BB213*BB140+BC213*BC140+BD213*BD140+BE213*BE140+BF213*BF140+BG213*BG140+BH213*BH140+BI213*BI140+BJ213*BJ140+BK213*BK140+BL213*BL140+BM213*BM140+BN213*BN140+BO213*BO140+BP213*BP140+BQ213*BQ140+BR213*BR140+BS213*BS140+BT213*BT140+BU213*BU140+BV213*BV140+BW213*BW140+BX213*BX140+BY213*BY140+BZ213*BZ140+CA213*CA140+CB213*CB140+CC213*CC140+CD213*CD140+CE213*CE140+CF213*CF140+CG213*CG140+CH213*CH140</f>
        <v>0</v>
      </c>
      <c r="CO140" s="1952">
        <f>E214*E140+F214*F140+G214*G140+H214*H140+I214*I140+J214*J140+K214*K140+L214*L140+M214*M140+N214*N140+O214*O140+P214*P140+Q214*Q140+R214*R140+S214*S140+T214*T140+U214*U140+V214*V140+W214*W140+X214*X140+Y214*Y140+Z214*Z140+AA214*AA140+AB214*AB140+AC214*AC140+AD214*AD140+AE214*AE140+AF214*AF140+AG214*AG140+AH214*AH140+AI214*AI140+AJ214*AJ140+AK214*AK140+AL214*AL140+AM214*AM140+AN214*AN140+AO214*AO140+AP214*AP140+AQ214*AQ140+AR214*AR140+AS214*AS140+AT214*AT140+AU214*AU140+AV214*AV140+AW214*AW140+AX214*AX140+AY214*AY140+AZ214*AZ140+BA214*BA140+BB214*BB140+BC214*BC140+BD214*BD140+BE214*BE140+BF214*BF140+BG214*BG140+BH214*BH140+BI214*BI140+BJ214*BJ140+BK214*BK140+BL214*BL140+BM214*BM140+BN214*BN140+BO214*BO140+BP214*BP140+BQ214*BQ140+BR214*BR140+BS214*BS140+BT214*BT140+BU214*BU140+BV214*BV140+BW214*BW140+BX214*BX140+BY214*BY140+BZ214*BZ140+CA214*CA140+CB214*CB140+CC214*CC140+CD214*CD140+CE214*CE140+CF214*CF140+CG214*CG140+CH214*CH140</f>
        <v>0</v>
      </c>
      <c r="CP140" s="1952">
        <f>E215*E140+F215*F140+G215*G140+H215*H140+I215*I140+J215*J140+K215*K140+L215*L140+M215*M140+N215*N140+O215*O140+P215*P140+Q215*Q140+R215*R140+S215*S140+T215*T140+U215*U140+V215*V140+W215*W140+X215*X140+Y215*Y140+Z215*Z140+AA215*AA140+AB215*AB140+AC215*AC140+AD215*AD140+AE215*AE140+AF215*AF140+AG215*AG140+AH215*AH140+AI215*AI140+AJ215*AJ140+AK215*AK140+AL215*AL140+AM215*AM140+AN215*AN140+AO215*AO140+AP215*AP140+AQ215*AQ140+AR215*AR140+AS215*AS140+AT215*AT140+AU215*AU140+AV215*AV140+AW215*AW140+AX215*AX140+AY215*AY140+AZ215*AZ140+BA215*BA140+BB215*BB140+BC215*BC140+BD215*BD140+BE215*BE140+BF215*BF140+BG215*BG140+BH215*BH140+BI215*BI140+BJ215*BJ140+BK215*BK140+BL215*BL140+BM215*BM140+BN215*BN140+BO215*BO140+BP215*BP140+BQ215*BQ140+BR215*BR140+BS215*BS140+BT215*BT140+BU215*BU140+BV215*BV140+BW215*BW140+BX215*BX140+BY215*BY140+BZ215*BZ140+CA215*CA140+CB215*CB140+CC215*CC140+CD215*CD140+CE215*CE140+CF215*CF140+CG215*CG140+CH215*CH140</f>
        <v>0</v>
      </c>
      <c r="CQ140" s="1952">
        <f>E216*E140+F216*F140+G216*G140+H216*H140+I216*I140+J216*J140+K216*K140+L216*L140+M216*M140+N216*N140+O216*O140+P216*P140+Q216*Q140+R216*R140+S216*S140+T216*T140+U216*U140+V216*V140+W216*W140+X216*X140+Y216*Y140+Z216*Z140+AA216*AA140+AB216*AB140+AC216*AC140+AD216*AD140+AE216*AE140+AF216*AF140+AG216*AG140+AH216*AH140+AI216*AI140+AJ216*AJ140+AK216*AK140+AL216*AL140+AM216*AM140+AN216*AN140+AO216*AO140+AP216*AP140+AQ216*AQ140+AR216*AR140+AS216*AS140+AT216*AT140+AU216*AU140+AV216*AV140+AW216*AW140+AX216*AX140+AY216*AY140+AZ216*AZ140+BA216*BA140+BB216*BB140+BC216*BC140+BD216*BD140+BE216*BE140+BF216*BF140+BG216*BG140+BH216*BH140+BI216*BI140+BJ216*BJ140+BK216*BK140+BL216*BL140+BM216*BM140+BN216*BN140+BO216*BO140+BP216*BP140+BQ216*BQ140+BR216*BR140+BS216*BS140+BT216*BT140+BU216*BU140+BV216*BV140+BW216*BW140+BX216*BX140+BY216*BY140+BZ216*BZ140+CA216*CA140+CB216*CB140+CC216*CC140+CD216*CD140+CE216*CE140+CF216*CF140+CG216*CG140+CH216*CH140</f>
        <v>0</v>
      </c>
      <c r="CR140" s="1952">
        <f>E217*E140+F217*F140+G217*G140+H217*H140+I217*I140+J217*J140+K217*K140+L217*L140+M217*M140+N217*N140+O217*O140+P217*P140+Q217*Q140+R217*R140+S217*S140+T217*T140+U217*U140+V217*V140+W217*W140+X217*X140+Y217*Y140+Z217*Z140+AA217*AA140+AB217*AB140+AC217*AC140+AD217*AD140+AE217*AE140+AF217*AF140+AG217*AG140+AH217*AH140+AI217*AI140+AJ217*AJ140+AK217*AK140+AL217*AL140+AM217*AM140+AN217*AN140+AO217*AO140+AP217*AP140+AQ217*AQ140+AR217*AR140+AS217*AS140+AT217*AT140+AU217*AU140+AV217*AV140+AW217*AW140+AX217*AX140+AY217*AY140+AZ217*AZ140+BA217*BA140+BB217*BB140+BC217*BC140+BD217*BD140+BE217*BE140+BF217*BF140+BG217*BG140+BH217*BH140+BI217*BI140+BJ217*BJ140+BK217*BK140+BL217*BL140+BM217*BM140+BN217*BN140+BO217*BO140+BP217*BP140+BQ217*BQ140+BR217*BR140+BS217*BS140+BT217*BT140+BU217*BU140+BV217*BV140+BW217*BW140+BX217*BX140+BY217*BY140+BZ217*BZ140+CA217*CA140+CB217*CB140+CC217*CC140+CD217*CD140+CE217*CE140+CF217*CF140+CG217*CG140+CH217*CH140</f>
        <v>0</v>
      </c>
      <c r="CS140" s="1952">
        <f>E218*E140+F218*F140+G218*G140+H218*H140+I218*I140+J218*J140+K218*K140+L218*L140+M218*M140+N218*N140+O218*O140+P218*P140+Q218*Q140+R218*R140+S218*S140+T218*T140+U218*U140+V218*V140+W218*W140+X218*X140+Y218*Y140+Z218*Z140+AA218*AA140+AB218*AB140+AC218*AC140+AD218*AD140+AE218*AE140+AF218*AF140+AG218*AG140+AH218*AH140+AI218*AI140+AJ218*AJ140+AK218*AK140+AL218*AL140+AM218*AM140+AN218*AN140+AO218*AO140+AP218*AP140+AQ218*AQ140+AR218*AR140+AS218*AS140+AT218*AT140+AU218*AU140+AV218*AV140+AW218*AW140+AX218*AX140+AY218*AY140+AZ218*AZ140+BA218*BA140+BB218*BB140+BC218*BC140+BD218*BD140+BE218*BE140+BF218*BF140+BG218*BG140+BH218*BH140+BI218*BI140+BJ218*BJ140+BK218*BK140+BL218*BL140+BM218*BM140+BN218*BN140+BO218*BO140+BP218*BP140+BQ218*BQ140+BR218*BR140+BS218*BS140+BT218*BT140+BU218*BU140+BV218*BV140+BW218*BW140+BX218*BX140+BY218*BY140+BZ218*BZ140+CA218*CA140+CB218*CB140+CC218*CC140+CD218*CD140+CE218*CE140+CF218*CF140+CG218*CG140+CH218*CH140</f>
        <v>0</v>
      </c>
      <c r="CT140" s="1952">
        <f>E219*E140+F219*F140+G219*G140+H219*H140+I219*I140+J219*J140+K219*K140+L219*L140+M219*M140+N219*N140+O219*O140+P219*P140+Q219*Q140+R219*R140+S219*S140+T219*T140+U219*U140+V219*V140+W219*W140+X219*X140+Y219*Y140+Z219*Z140+AA219*AA140+AB219*AB140+AC219*AC140+AD219*AD140+AE219*AE140+AF219*AF140+AG219*AG140+AH219*AH140+AI219*AI140+AJ219*AJ140+AK219*AK140+AL219*AL140+AM219*AM140+AN219*AN140+AO219*AO140+AP219*AP140+AQ219*AQ140+AR219*AR140+AS219*AS140+AT219*AT140+AU219*AU140+AV219*AV140+AW219*AW140+AX219*AX140+AY219*AY140+AZ219*AZ140+BA219*BA140+BB219*BB140+BC219*BC140+BD219*BD140+BE219*BE140+BF219*BF140+BG219*BG140+BH219*BH140+BI219*BI140+BJ219*BJ140+BK219*BK140+BL219*BL140+BM219*BM140+BN219*BN140+BO219*BO140+BP219*BP140+BQ219*BQ140+BR219*BR140+BS219*BS140+BT219*BT140+BU219*BU140+BV219*BV140+BW219*BW140+BX219*BX140+BY219*BY140+BZ219*BZ140+CA219*CA140+CB219*CB140+CC219*CC140+CD219*CD140+CE219*CE140+CF219*CF140+CG219*CG140+CH219*CH140</f>
        <v>0</v>
      </c>
      <c r="CU140" s="1952">
        <f>E220*E140+F220*F140+G220*G140+H220*H140+I220*I140+J220*J140+K220*K140+L220*L140+M220*M140+N220*N140+O220*O140+P220*P140+Q220*Q140+R220*R140+S220*S140+T220*T140+U220*U140+V220*V140+W220*W140+X220*X140+Y220*Y140+Z220*Z140+AA220*AA140+AB220*AB140+AC220*AC140+AD220*AD140+AE220*AE140+AF220*AF140+AG220*AG140+AH220*AH140+AI220*AI140+AJ220*AJ140+AK220*AK140+AL220*AL140+AM220*AM140+AN220*AN140+AO220*AO140+AP220*AP140+AQ220*AQ140+AR220*AR140+AS220*AS140+AT220*AT140+AU220*AU140+AV220*AV140+AW220*AW140+AX220*AX140+AY220*AY140+AZ220*AZ140+BA220*BA140+BB220*BB140+BC220*BC140+BD220*BD140+BE220*BE140+BF220*BF140+BG220*BG140+BH220*BH140+BI220*BI140+BJ220*BJ140+BK220*BK140+BL220*BL140+BM220*BM140+BN220*BN140+BO220*BO140+BP220*BP140+BQ220*BQ140+BR220*BR140+BS220*BS140+BT220*BT140+BU220*BU140+BV220*BV140+BW220*BW140+BX220*BX140+BY220*BY140+BZ220*BZ140+CA220*CA140+CB220*CB140+CC220*CC140+CD220*CD140+CE220*CE140+CF220*CF140+CG220*CG140+CH220*CH140</f>
        <v>0</v>
      </c>
    </row>
    <row r="141" spans="2:99" ht="18" x14ac:dyDescent="0.25">
      <c r="B141" s="1033">
        <v>27</v>
      </c>
      <c r="C141" s="1098" t="s">
        <v>3923</v>
      </c>
      <c r="D141" s="1099" t="s">
        <v>3852</v>
      </c>
      <c r="E141" s="2058">
        <f>X_STC/X_CASTO</f>
        <v>4.5999999999999999E-2</v>
      </c>
      <c r="F141" s="2057">
        <f>0</f>
        <v>0</v>
      </c>
      <c r="G141" s="2057">
        <f>0</f>
        <v>0</v>
      </c>
      <c r="H141" s="2057">
        <f>0</f>
        <v>0</v>
      </c>
      <c r="I141" s="2080">
        <f>0</f>
        <v>0</v>
      </c>
      <c r="J141" s="2080">
        <f>1-f_E</f>
        <v>0.92</v>
      </c>
      <c r="K141" s="2057">
        <f>0</f>
        <v>0</v>
      </c>
      <c r="L141" s="2057">
        <f>0</f>
        <v>0</v>
      </c>
      <c r="M141" s="2057">
        <f>0</f>
        <v>0</v>
      </c>
      <c r="N141" s="2058">
        <f>-X_PHA_PAO/X_CASTO</f>
        <v>-0.04</v>
      </c>
      <c r="O141" s="2058">
        <f>-X_PHA_GAO/X_CASTO</f>
        <v>-6.0000000000000001E-3</v>
      </c>
      <c r="P141" s="2057">
        <f>f_E</f>
        <v>0.08</v>
      </c>
      <c r="Q141" s="2057">
        <f>0</f>
        <v>0</v>
      </c>
      <c r="R141" s="2057">
        <f>0</f>
        <v>0</v>
      </c>
      <c r="S141" s="2057">
        <f>-1</f>
        <v>-1</v>
      </c>
      <c r="T141" s="2057">
        <f>0</f>
        <v>0</v>
      </c>
      <c r="U141" s="2057">
        <f>0</f>
        <v>0</v>
      </c>
      <c r="V141" s="2057">
        <f>0</f>
        <v>0</v>
      </c>
      <c r="W141" s="2057">
        <f>0</f>
        <v>0</v>
      </c>
      <c r="X141" s="2057">
        <f>0</f>
        <v>0</v>
      </c>
      <c r="Y141" s="2057">
        <f>-f_E*(i_N_XE-i_N_BIO)</f>
        <v>8.0000000000000069E-4</v>
      </c>
      <c r="Z141" s="2057">
        <f>0</f>
        <v>0</v>
      </c>
      <c r="AA141" s="2057">
        <f>0</f>
        <v>0</v>
      </c>
      <c r="AB141" s="2057">
        <f>0</f>
        <v>0</v>
      </c>
      <c r="AC141" s="2080">
        <f>0</f>
        <v>0</v>
      </c>
      <c r="AD141" s="2080">
        <f>(1-f_E)*i_N_BIO</f>
        <v>6.4400000000000013E-2</v>
      </c>
      <c r="AE141" s="2057">
        <f>0</f>
        <v>0</v>
      </c>
      <c r="AF141" s="2058">
        <f>X_PP/X_CASTO</f>
        <v>0.12</v>
      </c>
      <c r="AG141" s="2058">
        <f>-X_PP/X_CASTO</f>
        <v>-0.12</v>
      </c>
      <c r="AH141" s="2057">
        <f>0</f>
        <v>0</v>
      </c>
      <c r="AI141" s="2080">
        <f>0</f>
        <v>0</v>
      </c>
      <c r="AJ141" s="2080">
        <f>(1-f_E)*i_P_BIO</f>
        <v>1.84E-2</v>
      </c>
      <c r="AK141" s="2057">
        <f>0</f>
        <v>0</v>
      </c>
      <c r="AL141" s="2057">
        <f>0</f>
        <v>0</v>
      </c>
      <c r="AM141" s="2057">
        <f>0</f>
        <v>0</v>
      </c>
      <c r="AN141" s="2057">
        <f>0</f>
        <v>0</v>
      </c>
      <c r="AO141" s="2057">
        <f>(1-f_E)*(i_CIT_BIO-i_CIT_XBe)+(i_CIT_STC-i_CIT_VFA)*X_STC/X_CASTO</f>
        <v>5.8788000000000007E-2</v>
      </c>
      <c r="AP141" s="2057">
        <f>0</f>
        <v>0</v>
      </c>
      <c r="AQ141" s="2058">
        <f>0</f>
        <v>0</v>
      </c>
      <c r="AR141" s="2058">
        <f>0</f>
        <v>0</v>
      </c>
      <c r="AS141" s="2106">
        <f>X_PP*A_MCa/A_MP*i_Ca_PP/X_CASTO</f>
        <v>1.5527206443135931E-2</v>
      </c>
      <c r="AT141" s="2106">
        <f>X_PP*A_MMg/A_MP*i_Mg_PP/X_CASTO</f>
        <v>3.295724921656433E-2</v>
      </c>
      <c r="AU141" s="2058">
        <f>X_PP*A_MK/A_MP*i_K_PP/X_CASTO</f>
        <v>1.5147646481253094E-2</v>
      </c>
      <c r="AV141" s="2057">
        <f>0</f>
        <v>0</v>
      </c>
      <c r="AW141" s="2057">
        <f>0</f>
        <v>0</v>
      </c>
      <c r="AX141" s="2057">
        <f>0</f>
        <v>0</v>
      </c>
      <c r="AY141" s="2057">
        <f>0</f>
        <v>0</v>
      </c>
      <c r="AZ141" s="2057">
        <f>0</f>
        <v>0</v>
      </c>
      <c r="BA141" s="2057">
        <f>0</f>
        <v>0</v>
      </c>
      <c r="BB141" s="2057">
        <f>0</f>
        <v>0</v>
      </c>
      <c r="BC141" s="2057">
        <f>0</f>
        <v>0</v>
      </c>
      <c r="BD141" s="2057">
        <f>0</f>
        <v>0</v>
      </c>
      <c r="BE141" s="2057">
        <f>0</f>
        <v>0</v>
      </c>
      <c r="BF141" s="2057">
        <f>0</f>
        <v>0</v>
      </c>
      <c r="BG141" s="2057">
        <f>0</f>
        <v>0</v>
      </c>
      <c r="BH141" s="2057">
        <f>0</f>
        <v>0</v>
      </c>
      <c r="BI141" s="2057">
        <f>0</f>
        <v>0</v>
      </c>
      <c r="BJ141" s="2057">
        <f>0</f>
        <v>0</v>
      </c>
      <c r="BK141" s="2057">
        <f>0</f>
        <v>0</v>
      </c>
      <c r="BL141" s="2057">
        <f>0</f>
        <v>0</v>
      </c>
      <c r="BM141" s="2057">
        <f>0</f>
        <v>0</v>
      </c>
      <c r="BN141" s="2057">
        <f>0</f>
        <v>0</v>
      </c>
      <c r="BO141" s="2057">
        <f>0</f>
        <v>0</v>
      </c>
      <c r="BP141" s="2113">
        <f>0</f>
        <v>0</v>
      </c>
      <c r="BQ141" s="2113">
        <f>0</f>
        <v>0</v>
      </c>
      <c r="BR141" s="2113">
        <f>0</f>
        <v>0</v>
      </c>
      <c r="BS141" s="2113">
        <f>0</f>
        <v>0</v>
      </c>
      <c r="BT141" s="2057">
        <f>0</f>
        <v>0</v>
      </c>
      <c r="BU141" s="2057">
        <f>0</f>
        <v>0</v>
      </c>
      <c r="BV141" s="2057">
        <f>0</f>
        <v>0</v>
      </c>
      <c r="BW141" s="2057">
        <f>0</f>
        <v>0</v>
      </c>
      <c r="BX141" s="2057">
        <f>0</f>
        <v>0</v>
      </c>
      <c r="BY141" s="2057">
        <f>0</f>
        <v>0</v>
      </c>
      <c r="BZ141" s="2057">
        <f>0</f>
        <v>0</v>
      </c>
      <c r="CA141" s="2057">
        <f>0</f>
        <v>0</v>
      </c>
      <c r="CB141" s="2057">
        <f>0</f>
        <v>0</v>
      </c>
      <c r="CC141" s="2057">
        <f>0</f>
        <v>0</v>
      </c>
      <c r="CD141" s="2057">
        <f>0</f>
        <v>0</v>
      </c>
      <c r="CE141" s="2057">
        <f>0</f>
        <v>0</v>
      </c>
      <c r="CF141" s="2057">
        <f>0</f>
        <v>0</v>
      </c>
      <c r="CG141" s="2057">
        <f>0</f>
        <v>0</v>
      </c>
      <c r="CH141" s="2057">
        <f>0</f>
        <v>0</v>
      </c>
      <c r="CI141" s="2139">
        <f>b_CASTO_T*M_RinhXSTC_XCASTO_KSTC*(X_CASTO*M_satSO2_KO2_CASTO+η_bCASTO_anox*(X_GAO+X_PAO*M_RinhXPP_XPAO_KPP)*M_satSNOx_KNOx_CASTO*M_inhSO2_KO2_CASTO)</f>
        <v>26.791867966670143</v>
      </c>
      <c r="CK141" s="1950">
        <f>E210*E141+F210*F141+G210*G141+H210*H141+I210*I141+J210*J141+K210*K141+L210*L141+M210*M141+N210*N141+O210*O141+P210*P141+Q210*Q141+R210*R141+S210*S141+T210*T141+U210*U141+V210*V141+W210*W141+X210*X141+Y210*Y141+Z210*Z141+AA210*AA141+AB210*AB141+AC210*AC141+AD210*AD141+AE210*AE141+AF210*AF141+AG210*AG141+AH210*AH141+AI210*AI141+AJ210*AJ141+AK210*AK141+AL210*AL141+AM210*AM141+AN210*AN141+AO210*AO141+AP210*AP141+AQ210*AQ141+AR210*AR141+AS210*AS141+AT210*AT141+AU210*AU141+AV210*AV141+AW210*AW141+AX210*AX141+AY210*AY141+AZ210*AZ141+BA210*BA141+BB210*BB141+BC210*BC141+BD210*BD141+BE210*BE141+BF210*BF141+BG210*BG141+BH210*BH141+BI210*BI141+BJ210*BJ141+BK210*BK141+BL210*BL141+BM210*BM141+BN210*BN141+BO210*BO141+BP210*BP141+BQ210*BQ141+BR210*BR141+BS210*BS141+BT210*BT141+BU210*BU141+BV210*BV141+BW210*BW141+BX210*BX141+BY210*BY141+BZ210*BZ141+CA210*CA141+CB210*CB141+CC210*CC141+CD210*CD141+CE210*CE141+CF210*CF141+CG210*CG141+CH210*CH141</f>
        <v>0</v>
      </c>
      <c r="CL141" s="1950">
        <f>E211*E141+F211*F141+G211*G141+H211*H141+I211*I141+J211*J141+K211*K141+L211*L141+M211*M141+N211*N141+O211*O141+P211*P141+Q211*Q141+R211*R141+S211*S141+T211*T141+U211*U141+V211*V141+W211*W141+X211*X141+Y211*Y141+Z211*Z141+AA211*AA141+AB211*AB141+AC211*AC141+AD211*AD141+AE211*AE141+AF211*AF141+AG211*AG141+AH211*AH141+AI211*AI141+AJ211*AJ141+AK211*AK141+AL211*AL141+AM211*AM141+AN211*AN141+AO211*AO141+AP211*AP141+AQ211*AQ141+AR211*AR141+AS211*AS141+AT211*AT141+AU211*AU141+AV211*AV141+AW211*AW141+AX211*AX141+AY211*AY141+AZ211*AZ141+BA211*BA141+BB211*BB141+BC211*BC141+BD211*BD141+BE211*BE141+BF211*BF141+BG211*BG141+BH211*BH141+BI211*BI141+BJ211*BJ141+BK211*BK141+BL211*BL141+BM211*BM141+BN211*BN141+BO211*BO141+BP211*BP141+BQ211*BQ141+BR211*BR141+BS211*BS141+BT211*BT141+BU211*BU141+BV211*BV141+BW211*BW141+BX211*BX141+BY211*BY141+BZ211*BZ141+CA211*CA141+CB211*CB141+CC211*CC141+CD211*CD141+CE211*CE141+CF211*CF141+CG211*CG141+CH211*CH141</f>
        <v>0</v>
      </c>
      <c r="CM141" s="1951">
        <f>E212*E141+F212*F141+G212*G141+H212*H141+I212*I141+J212*J141+K212*K141+L212*L141+M212*M141+N212*N141+O212*O141+P212*P141+Q212*Q141+R212*R141+S212*S141+T212*T141+U212*U141+V212*V141+W212*W141+X212*X141+Y212*Y141+Z212*Z141+AA212*AA141+AB212*AB141+AC212*AC141+AD212*AD141+AE212*AE141+AF212*AF141+AG212*AG141+AH212*AH141+AI212*AI141+AJ212*AJ141+AK212*AK141+AL212*AL141+AM212*AM141+AN212*AN141+AO212*AO141+AP212*AP141+AQ212*AQ141+AR212*AR141+AS212*AS141+AT212*AT141+AU212*AU141+AV212*AV141+AW212*AW141+AX212*AX141+AY212*AY141+AZ212*AZ141+BA212*BA141+BB212*BB141+BC212*BC141+BD212*BD141+BE212*BE141+BF212*BF141+BG212*BG141+BH212*BH141+BI212*BI141+BJ212*BJ141+BK212*BK141+BL212*BL141+BM212*BM141+BN212*BN141+BO212*BO141+BP212*BP141+BQ212*BQ141+BR212*BR141+BS212*BS141+BT212*BT141+BU212*BU141+BV212*BV141+BW212*BW141+BX212*BX141+BY212*BY141+BZ212*BZ141+CA212*CA141+CB212*CB141+CC212*CC141+CD212*CD141+CE212*CE141+CF212*CF141+CG212*CG141+CH212*CH141</f>
        <v>0</v>
      </c>
      <c r="CN141" s="1952">
        <f>E213*E141+F213*F141+G213*G141+H213*H141+I213*I141+J213*J141+K213*K141+L213*L141+M213*M141+N213*N141+O213*O141+P213*P141+Q213*Q141+R213*R141+S213*S141+T213*T141+U213*U141+V213*V141+W213*W141+X213*X141+Y213*Y141+Z213*Z141+AA213*AA141+AB213*AB141+AC213*AC141+AD213*AD141+AE213*AE141+AF213*AF141+AG213*AG141+AH213*AH141+AI213*AI141+AJ213*AJ141+AK213*AK141+AL213*AL141+AM213*AM141+AN213*AN141+AO213*AO141+AP213*AP141+AQ213*AQ141+AR213*AR141+AS213*AS141+AT213*AT141+AU213*AU141+AV213*AV141+AW213*AW141+AX213*AX141+AY213*AY141+AZ213*AZ141+BA213*BA141+BB213*BB141+BC213*BC141+BD213*BD141+BE213*BE141+BF213*BF141+BG213*BG141+BH213*BH141+BI213*BI141+BJ213*BJ141+BK213*BK141+BL213*BL141+BM213*BM141+BN213*BN141+BO213*BO141+BP213*BP141+BQ213*BQ141+BR213*BR141+BS213*BS141+BT213*BT141+BU213*BU141+BV213*BV141+BW213*BW141+BX213*BX141+BY213*BY141+BZ213*BZ141+CA213*CA141+CB213*CB141+CC213*CC141+CD213*CD141+CE213*CE141+CF213*CF141+CG213*CG141+CH213*CH141</f>
        <v>0</v>
      </c>
      <c r="CO141" s="1952">
        <f>E214*E141+F214*F141+G214*G141+H214*H141+I214*I141+J214*J141+K214*K141+L214*L141+M214*M141+N214*N141+O214*O141+P214*P141+Q214*Q141+R214*R141+S214*S141+T214*T141+U214*U141+V214*V141+W214*W141+X214*X141+Y214*Y141+Z214*Z141+AA214*AA141+AB214*AB141+AC214*AC141+AD214*AD141+AE214*AE141+AF214*AF141+AG214*AG141+AH214*AH141+AI214*AI141+AJ214*AJ141+AK214*AK141+AL214*AL141+AM214*AM141+AN214*AN141+AO214*AO141+AP214*AP141+AQ214*AQ141+AR214*AR141+AS214*AS141+AT214*AT141+AU214*AU141+AV214*AV141+AW214*AW141+AX214*AX141+AY214*AY141+AZ214*AZ141+BA214*BA141+BB214*BB141+BC214*BC141+BD214*BD141+BE214*BE141+BF214*BF141+BG214*BG141+BH214*BH141+BI214*BI141+BJ214*BJ141+BK214*BK141+BL214*BL141+BM214*BM141+BN214*BN141+BO214*BO141+BP214*BP141+BQ214*BQ141+BR214*BR141+BS214*BS141+BT214*BT141+BU214*BU141+BV214*BV141+BW214*BW141+BX214*BX141+BY214*BY141+BZ214*BZ141+CA214*CA141+CB214*CB141+CC214*CC141+CD214*CD141+CE214*CE141+CF214*CF141+CG214*CG141+CH214*CH141</f>
        <v>0</v>
      </c>
      <c r="CP141" s="1952">
        <f>E215*E141+F215*F141+G215*G141+H215*H141+I215*I141+J215*J141+K215*K141+L215*L141+M215*M141+N215*N141+O215*O141+P215*P141+Q215*Q141+R215*R141+S215*S141+T215*T141+U215*U141+V215*V141+W215*W141+X215*X141+Y215*Y141+Z215*Z141+AA215*AA141+AB215*AB141+AC215*AC141+AD215*AD141+AE215*AE141+AF215*AF141+AG215*AG141+AH215*AH141+AI215*AI141+AJ215*AJ141+AK215*AK141+AL215*AL141+AM215*AM141+AN215*AN141+AO215*AO141+AP215*AP141+AQ215*AQ141+AR215*AR141+AS215*AS141+AT215*AT141+AU215*AU141+AV215*AV141+AW215*AW141+AX215*AX141+AY215*AY141+AZ215*AZ141+BA215*BA141+BB215*BB141+BC215*BC141+BD215*BD141+BE215*BE141+BF215*BF141+BG215*BG141+BH215*BH141+BI215*BI141+BJ215*BJ141+BK215*BK141+BL215*BL141+BM215*BM141+BN215*BN141+BO215*BO141+BP215*BP141+BQ215*BQ141+BR215*BR141+BS215*BS141+BT215*BT141+BU215*BU141+BV215*BV141+BW215*BW141+BX215*BX141+BY215*BY141+BZ215*BZ141+CA215*CA141+CB215*CB141+CC215*CC141+CD215*CD141+CE215*CE141+CF215*CF141+CG215*CG141+CH215*CH141</f>
        <v>0</v>
      </c>
      <c r="CQ141" s="1952">
        <f>E216*E141+F216*F141+G216*G141+H216*H141+I216*I141+J216*J141+K216*K141+L216*L141+M216*M141+N216*N141+O216*O141+P216*P141+Q216*Q141+R216*R141+S216*S141+T216*T141+U216*U141+V216*V141+W216*W141+X216*X141+Y216*Y141+Z216*Z141+AA216*AA141+AB216*AB141+AC216*AC141+AD216*AD141+AE216*AE141+AF216*AF141+AG216*AG141+AH216*AH141+AI216*AI141+AJ216*AJ141+AK216*AK141+AL216*AL141+AM216*AM141+AN216*AN141+AO216*AO141+AP216*AP141+AQ216*AQ141+AR216*AR141+AS216*AS141+AT216*AT141+AU216*AU141+AV216*AV141+AW216*AW141+AX216*AX141+AY216*AY141+AZ216*AZ141+BA216*BA141+BB216*BB141+BC216*BC141+BD216*BD141+BE216*BE141+BF216*BF141+BG216*BG141+BH216*BH141+BI216*BI141+BJ216*BJ141+BK216*BK141+BL216*BL141+BM216*BM141+BN216*BN141+BO216*BO141+BP216*BP141+BQ216*BQ141+BR216*BR141+BS216*BS141+BT216*BT141+BU216*BU141+BV216*BV141+BW216*BW141+BX216*BX141+BY216*BY141+BZ216*BZ141+CA216*CA141+CB216*CB141+CC216*CC141+CD216*CD141+CE216*CE141+CF216*CF141+CG216*CG141+CH216*CH141</f>
        <v>3.4694469519536142E-18</v>
      </c>
      <c r="CR141" s="1952">
        <f>E217*E141+F217*F141+G217*G141+H217*H141+I217*I141+J217*J141+K217*K141+L217*L141+M217*M141+N217*N141+O217*O141+P217*P141+Q217*Q141+R217*R141+S217*S141+T217*T141+U217*U141+V217*V141+W217*W141+X217*X141+Y217*Y141+Z217*Z141+AA217*AA141+AB217*AB141+AC217*AC141+AD217*AD141+AE217*AE141+AF217*AF141+AG217*AG141+AH217*AH141+AI217*AI141+AJ217*AJ141+AK217*AK141+AL217*AL141+AM217*AM141+AN217*AN141+AO217*AO141+AP217*AP141+AQ217*AQ141+AR217*AR141+AS217*AS141+AT217*AT141+AU217*AU141+AV217*AV141+AW217*AW141+AX217*AX141+AY217*AY141+AZ217*AZ141+BA217*BA141+BB217*BB141+BC217*BC141+BD217*BD141+BE217*BE141+BF217*BF141+BG217*BG141+BH217*BH141+BI217*BI141+BJ217*BJ141+BK217*BK141+BL217*BL141+BM217*BM141+BN217*BN141+BO217*BO141+BP217*BP141+BQ217*BQ141+BR217*BR141+BS217*BS141+BT217*BT141+BU217*BU141+BV217*BV141+BW217*BW141+BX217*BX141+BY217*BY141+BZ217*BZ141+CA217*CA141+CB217*CB141+CC217*CC141+CD217*CD141+CE217*CE141+CF217*CF141+CG217*CG141+CH217*CH141</f>
        <v>6.9388939039072284E-18</v>
      </c>
      <c r="CS141" s="1952">
        <f>E218*E141+F218*F141+G218*G141+H218*H141+I218*I141+J218*J141+K218*K141+L218*L141+M218*M141+N218*N141+O218*O141+P218*P141+Q218*Q141+R218*R141+S218*S141+T218*T141+U218*U141+V218*V141+W218*W141+X218*X141+Y218*Y141+Z218*Z141+AA218*AA141+AB218*AB141+AC218*AC141+AD218*AD141+AE218*AE141+AF218*AF141+AG218*AG141+AH218*AH141+AI218*AI141+AJ218*AJ141+AK218*AK141+AL218*AL141+AM218*AM141+AN218*AN141+AO218*AO141+AP218*AP141+AQ218*AQ141+AR218*AR141+AS218*AS141+AT218*AT141+AU218*AU141+AV218*AV141+AW218*AW141+AX218*AX141+AY218*AY141+AZ218*AZ141+BA218*BA141+BB218*BB141+BC218*BC141+BD218*BD141+BE218*BE141+BF218*BF141+BG218*BG141+BH218*BH141+BI218*BI141+BJ218*BJ141+BK218*BK141+BL218*BL141+BM218*BM141+BN218*BN141+BO218*BO141+BP218*BP141+BQ218*BQ141+BR218*BR141+BS218*BS141+BT218*BT141+BU218*BU141+BV218*BV141+BW218*BW141+BX218*BX141+BY218*BY141+BZ218*BZ141+CA218*CA141+CB218*CB141+CC218*CC141+CD218*CD141+CE218*CE141+CF218*CF141+CG218*CG141+CH218*CH141</f>
        <v>0</v>
      </c>
      <c r="CT141" s="1952">
        <f>E219*E141+F219*F141+G219*G141+H219*H141+I219*I141+J219*J141+K219*K141+L219*L141+M219*M141+N219*N141+O219*O141+P219*P141+Q219*Q141+R219*R141+S219*S141+T219*T141+U219*U141+V219*V141+W219*W141+X219*X141+Y219*Y141+Z219*Z141+AA219*AA141+AB219*AB141+AC219*AC141+AD219*AD141+AE219*AE141+AF219*AF141+AG219*AG141+AH219*AH141+AI219*AI141+AJ219*AJ141+AK219*AK141+AL219*AL141+AM219*AM141+AN219*AN141+AO219*AO141+AP219*AP141+AQ219*AQ141+AR219*AR141+AS219*AS141+AT219*AT141+AU219*AU141+AV219*AV141+AW219*AW141+AX219*AX141+AY219*AY141+AZ219*AZ141+BA219*BA141+BB219*BB141+BC219*BC141+BD219*BD141+BE219*BE141+BF219*BF141+BG219*BG141+BH219*BH141+BI219*BI141+BJ219*BJ141+BK219*BK141+BL219*BL141+BM219*BM141+BN219*BN141+BO219*BO141+BP219*BP141+BQ219*BQ141+BR219*BR141+BS219*BS141+BT219*BT141+BU219*BU141+BV219*BV141+BW219*BW141+BX219*BX141+BY219*BY141+BZ219*BZ141+CA219*CA141+CB219*CB141+CC219*CC141+CD219*CD141+CE219*CE141+CF219*CF141+CG219*CG141+CH219*CH141</f>
        <v>0</v>
      </c>
      <c r="CU141" s="1952">
        <f>E220*E141+F220*F141+G220*G141+H220*H141+I220*I141+J220*J141+K220*K141+L220*L141+M220*M141+N220*N141+O220*O141+P220*P141+Q220*Q141+R220*R141+S220*S141+T220*T141+U220*U141+V220*V141+W220*W141+X220*X141+Y220*Y141+Z220*Z141+AA220*AA141+AB220*AB141+AC220*AC141+AD220*AD141+AE220*AE141+AF220*AF141+AG220*AG141+AH220*AH141+AI220*AI141+AJ220*AJ141+AK220*AK141+AL220*AL141+AM220*AM141+AN220*AN141+AO220*AO141+AP220*AP141+AQ220*AQ141+AR220*AR141+AS220*AS141+AT220*AT141+AU220*AU141+AV220*AV141+AW220*AW141+AX220*AX141+AY220*AY141+AZ220*AZ141+BA220*BA141+BB220*BB141+BC220*BC141+BD220*BD141+BE220*BE141+BF220*BF141+BG220*BG141+BH220*BH141+BI220*BI141+BJ220*BJ141+BK220*BK141+BL220*BL141+BM220*BM141+BN220*BN141+BO220*BO141+BP220*BP141+BQ220*BQ141+BR220*BR141+BS220*BS141+BT220*BT141+BU220*BU141+BV220*BV141+BW220*BW141+BX220*BX141+BY220*BY141+BZ220*BZ141+CA220*CA141+CB220*CB141+CC220*CC141+CD220*CD141+CE220*CE141+CF220*CF141+CG220*CG141+CH220*CH141</f>
        <v>0</v>
      </c>
    </row>
    <row r="142" spans="2:99" ht="18" x14ac:dyDescent="0.25">
      <c r="B142" s="1033">
        <v>28</v>
      </c>
      <c r="C142" s="1098" t="s">
        <v>3924</v>
      </c>
      <c r="D142" s="1099" t="s">
        <v>3853</v>
      </c>
      <c r="E142" s="2058">
        <f>X_STC/X_CASTO</f>
        <v>4.5999999999999999E-2</v>
      </c>
      <c r="F142" s="2057">
        <f>0</f>
        <v>0</v>
      </c>
      <c r="G142" s="2057">
        <f>0</f>
        <v>0</v>
      </c>
      <c r="H142" s="2057">
        <f>0</f>
        <v>0</v>
      </c>
      <c r="I142" s="2080">
        <f>0</f>
        <v>0</v>
      </c>
      <c r="J142" s="2080">
        <f>1-f_E</f>
        <v>0.92</v>
      </c>
      <c r="K142" s="2057">
        <f>0</f>
        <v>0</v>
      </c>
      <c r="L142" s="2057">
        <f>0</f>
        <v>0</v>
      </c>
      <c r="M142" s="2057">
        <f>0</f>
        <v>0</v>
      </c>
      <c r="N142" s="2058">
        <f>-X_PHA_PAO/X_CASTO</f>
        <v>-0.04</v>
      </c>
      <c r="O142" s="2058">
        <f>-X_PHA_GAO/X_CASTO</f>
        <v>-6.0000000000000001E-3</v>
      </c>
      <c r="P142" s="2057">
        <f>0</f>
        <v>0</v>
      </c>
      <c r="Q142" s="2057">
        <f>f_E</f>
        <v>0.08</v>
      </c>
      <c r="R142" s="2057">
        <f>0</f>
        <v>0</v>
      </c>
      <c r="S142" s="2057">
        <f>-1</f>
        <v>-1</v>
      </c>
      <c r="T142" s="2057">
        <f>0</f>
        <v>0</v>
      </c>
      <c r="U142" s="2057">
        <f>0</f>
        <v>0</v>
      </c>
      <c r="V142" s="2057">
        <f>0</f>
        <v>0</v>
      </c>
      <c r="W142" s="2057">
        <f>0</f>
        <v>0</v>
      </c>
      <c r="X142" s="2057">
        <f>0</f>
        <v>0</v>
      </c>
      <c r="Y142" s="2057">
        <f>-f_E*(i_N_XE-i_N_BIO)</f>
        <v>8.0000000000000069E-4</v>
      </c>
      <c r="Z142" s="2057">
        <f>0</f>
        <v>0</v>
      </c>
      <c r="AA142" s="2057">
        <f>0</f>
        <v>0</v>
      </c>
      <c r="AB142" s="2057">
        <f>0</f>
        <v>0</v>
      </c>
      <c r="AC142" s="2080">
        <f>0</f>
        <v>0</v>
      </c>
      <c r="AD142" s="2080">
        <f>(1-f_E)*i_N_BIO</f>
        <v>6.4400000000000013E-2</v>
      </c>
      <c r="AE142" s="2057">
        <f>0</f>
        <v>0</v>
      </c>
      <c r="AF142" s="2058">
        <f>X_PP/X_CASTO</f>
        <v>0.12</v>
      </c>
      <c r="AG142" s="2058">
        <f>-X_PP/X_CASTO</f>
        <v>-0.12</v>
      </c>
      <c r="AH142" s="2057">
        <f>0</f>
        <v>0</v>
      </c>
      <c r="AI142" s="2080">
        <f>0</f>
        <v>0</v>
      </c>
      <c r="AJ142" s="2080">
        <f>(1-f_E)*i_P_BIO</f>
        <v>1.84E-2</v>
      </c>
      <c r="AK142" s="2057">
        <f>0</f>
        <v>0</v>
      </c>
      <c r="AL142" s="2057">
        <f>0</f>
        <v>0</v>
      </c>
      <c r="AM142" s="2057">
        <f>0</f>
        <v>0</v>
      </c>
      <c r="AN142" s="2057">
        <f>0</f>
        <v>0</v>
      </c>
      <c r="AO142" s="2057">
        <f>(1-f_E)*(i_CIT_BIO-i_CIT_XBe)+(i_CIT_STC-i_CIT_VFA)*X_STC/X_CASTO</f>
        <v>5.8788000000000007E-2</v>
      </c>
      <c r="AP142" s="2057">
        <f>0</f>
        <v>0</v>
      </c>
      <c r="AQ142" s="2058">
        <f>0</f>
        <v>0</v>
      </c>
      <c r="AR142" s="2058">
        <f>0</f>
        <v>0</v>
      </c>
      <c r="AS142" s="2106">
        <f>X_PP*A_MCa/A_MP*i_Ca_PP/X_CASTO</f>
        <v>1.5527206443135931E-2</v>
      </c>
      <c r="AT142" s="2106">
        <f>X_PP*A_MMg/A_MP*i_Mg_PP/X_CASTO</f>
        <v>3.295724921656433E-2</v>
      </c>
      <c r="AU142" s="2058">
        <f>X_PP*A_MK/A_MP*i_K_PP/X_CASTO</f>
        <v>1.5147646481253094E-2</v>
      </c>
      <c r="AV142" s="2057">
        <f>0</f>
        <v>0</v>
      </c>
      <c r="AW142" s="2057">
        <f>0</f>
        <v>0</v>
      </c>
      <c r="AX142" s="2057">
        <f>0</f>
        <v>0</v>
      </c>
      <c r="AY142" s="2057">
        <f>0</f>
        <v>0</v>
      </c>
      <c r="AZ142" s="2057">
        <f>0</f>
        <v>0</v>
      </c>
      <c r="BA142" s="2057">
        <f>0</f>
        <v>0</v>
      </c>
      <c r="BB142" s="2057">
        <f>0</f>
        <v>0</v>
      </c>
      <c r="BC142" s="2057">
        <f>0</f>
        <v>0</v>
      </c>
      <c r="BD142" s="2057">
        <f>0</f>
        <v>0</v>
      </c>
      <c r="BE142" s="2057">
        <f>0</f>
        <v>0</v>
      </c>
      <c r="BF142" s="2057">
        <f>0</f>
        <v>0</v>
      </c>
      <c r="BG142" s="2057">
        <f>0</f>
        <v>0</v>
      </c>
      <c r="BH142" s="2057">
        <f>0</f>
        <v>0</v>
      </c>
      <c r="BI142" s="2057">
        <f>0</f>
        <v>0</v>
      </c>
      <c r="BJ142" s="2057">
        <f>0</f>
        <v>0</v>
      </c>
      <c r="BK142" s="2057">
        <f>0</f>
        <v>0</v>
      </c>
      <c r="BL142" s="2057">
        <f>0</f>
        <v>0</v>
      </c>
      <c r="BM142" s="2057">
        <f>0</f>
        <v>0</v>
      </c>
      <c r="BN142" s="2057">
        <f>0</f>
        <v>0</v>
      </c>
      <c r="BO142" s="2057">
        <f>0</f>
        <v>0</v>
      </c>
      <c r="BP142" s="2113">
        <f>0</f>
        <v>0</v>
      </c>
      <c r="BQ142" s="2113">
        <f>0</f>
        <v>0</v>
      </c>
      <c r="BR142" s="2113">
        <f>0</f>
        <v>0</v>
      </c>
      <c r="BS142" s="2113">
        <f>0</f>
        <v>0</v>
      </c>
      <c r="BT142" s="2057">
        <f>0</f>
        <v>0</v>
      </c>
      <c r="BU142" s="2057">
        <f>0</f>
        <v>0</v>
      </c>
      <c r="BV142" s="2057">
        <f>0</f>
        <v>0</v>
      </c>
      <c r="BW142" s="2057">
        <f>0</f>
        <v>0</v>
      </c>
      <c r="BX142" s="2057">
        <f>0</f>
        <v>0</v>
      </c>
      <c r="BY142" s="2057">
        <f>0</f>
        <v>0</v>
      </c>
      <c r="BZ142" s="2057">
        <f>0</f>
        <v>0</v>
      </c>
      <c r="CA142" s="2057">
        <f>0</f>
        <v>0</v>
      </c>
      <c r="CB142" s="2057">
        <f>0</f>
        <v>0</v>
      </c>
      <c r="CC142" s="2057">
        <f>0</f>
        <v>0</v>
      </c>
      <c r="CD142" s="2057">
        <f>0</f>
        <v>0</v>
      </c>
      <c r="CE142" s="2057">
        <f>0</f>
        <v>0</v>
      </c>
      <c r="CF142" s="2057">
        <f>0</f>
        <v>0</v>
      </c>
      <c r="CG142" s="2057">
        <f>0</f>
        <v>0</v>
      </c>
      <c r="CH142" s="2057">
        <f>0</f>
        <v>0</v>
      </c>
      <c r="CI142" s="2139">
        <f>b_CASTO_T*(η_bCASTO_ana*(X_PAO*M_RinhXPP_XPAO_KPP+X_GAO*M_RinhXPHA_XGAO_KPHA)*M_inhSNOx_KNOx_CASTO*M_inhSO2_KO2_CASTO+X_CASTO*m_tox_ana)</f>
        <v>1.8429305511689261E-4</v>
      </c>
      <c r="CK142" s="1950">
        <f>E210*E142+F210*F142+G210*G142+H210*H142+I210*I142+J210*J142+K210*K142+L210*L142+M210*M142+N210*N142+O210*O142+P210*P142+Q210*Q142+R210*R142+S210*S142+T210*T142+U210*U142+V210*V142+W210*W142+X210*X142+Y210*Y142+Z210*Z142+AA210*AA142+AB210*AB142+AC210*AC142+AD210*AD142+AE210*AE142+AF210*AF142+AG210*AG142+AH210*AH142+AI210*AI142+AJ210*AJ142+AK210*AK142+AL210*AL142+AM210*AM142+AN210*AN142+AO210*AO142+AP210*AP142+AQ210*AQ142+AR210*AR142+AS210*AS142+AT210*AT142+AU210*AU142+AV210*AV142+AW210*AW142+AX210*AX142+AY210*AY142+AZ210*AZ142+BA210*BA142+BB210*BB142+BC210*BC142+BD210*BD142+BE210*BE142+BF210*BF142+BG210*BG142+BH210*BH142+BI210*BI142+BJ210*BJ142+BK210*BK142+BL210*BL142+BM210*BM142+BN210*BN142+BO210*BO142+BP210*BP142+BQ210*BQ142+BR210*BR142+BS210*BS142+BT210*BT142+BU210*BU142+BV210*BV142+BW210*BW142+BX210*BX142+BY210*BY142+BZ210*BZ142+CA210*CA142+CB210*CB142+CC210*CC142+CD210*CD142+CE210*CE142+CF210*CF142+CG210*CG142+CH210*CH142</f>
        <v>0</v>
      </c>
      <c r="CL142" s="1950">
        <f>E211*E142+F211*F142+G211*G142+H211*H142+I211*I142+J211*J142+K211*K142+L211*L142+M211*M142+N211*N142+O211*O142+P211*P142+Q211*Q142+R211*R142+S211*S142+T211*T142+U211*U142+V211*V142+W211*W142+X211*X142+Y211*Y142+Z211*Z142+AA211*AA142+AB211*AB142+AC211*AC142+AD211*AD142+AE211*AE142+AF211*AF142+AG211*AG142+AH211*AH142+AI211*AI142+AJ211*AJ142+AK211*AK142+AL211*AL142+AM211*AM142+AN211*AN142+AO211*AO142+AP211*AP142+AQ211*AQ142+AR211*AR142+AS211*AS142+AT211*AT142+AU211*AU142+AV211*AV142+AW211*AW142+AX211*AX142+AY211*AY142+AZ211*AZ142+BA211*BA142+BB211*BB142+BC211*BC142+BD211*BD142+BE211*BE142+BF211*BF142+BG211*BG142+BH211*BH142+BI211*BI142+BJ211*BJ142+BK211*BK142+BL211*BL142+BM211*BM142+BN211*BN142+BO211*BO142+BP211*BP142+BQ211*BQ142+BR211*BR142+BS211*BS142+BT211*BT142+BU211*BU142+BV211*BV142+BW211*BW142+BX211*BX142+BY211*BY142+BZ211*BZ142+CA211*CA142+CB211*CB142+CC211*CC142+CD211*CD142+CE211*CE142+CF211*CF142+CG211*CG142+CH211*CH142</f>
        <v>0</v>
      </c>
      <c r="CM142" s="1951">
        <f>E212*E142+F212*F142+G212*G142+H212*H142+I212*I142+J212*J142+K212*K142+L212*L142+M212*M142+N212*N142+O212*O142+P212*P142+Q212*Q142+R212*R142+S212*S142+T212*T142+U212*U142+V212*V142+W212*W142+X212*X142+Y212*Y142+Z212*Z142+AA212*AA142+AB212*AB142+AC212*AC142+AD212*AD142+AE212*AE142+AF212*AF142+AG212*AG142+AH212*AH142+AI212*AI142+AJ212*AJ142+AK212*AK142+AL212*AL142+AM212*AM142+AN212*AN142+AO212*AO142+AP212*AP142+AQ212*AQ142+AR212*AR142+AS212*AS142+AT212*AT142+AU212*AU142+AV212*AV142+AW212*AW142+AX212*AX142+AY212*AY142+AZ212*AZ142+BA212*BA142+BB212*BB142+BC212*BC142+BD212*BD142+BE212*BE142+BF212*BF142+BG212*BG142+BH212*BH142+BI212*BI142+BJ212*BJ142+BK212*BK142+BL212*BL142+BM212*BM142+BN212*BN142+BO212*BO142+BP212*BP142+BQ212*BQ142+BR212*BR142+BS212*BS142+BT212*BT142+BU212*BU142+BV212*BV142+BW212*BW142+BX212*BX142+BY212*BY142+BZ212*BZ142+CA212*CA142+CB212*CB142+CC212*CC142+CD212*CD142+CE212*CE142+CF212*CF142+CG212*CG142+CH212*CH142</f>
        <v>0</v>
      </c>
      <c r="CN142" s="1952">
        <f>E213*E142+F213*F142+G213*G142+H213*H142+I213*I142+J213*J142+K213*K142+L213*L142+M213*M142+N213*N142+O213*O142+P213*P142+Q213*Q142+R213*R142+S213*S142+T213*T142+U213*U142+V213*V142+W213*W142+X213*X142+Y213*Y142+Z213*Z142+AA213*AA142+AB213*AB142+AC213*AC142+AD213*AD142+AE213*AE142+AF213*AF142+AG213*AG142+AH213*AH142+AI213*AI142+AJ213*AJ142+AK213*AK142+AL213*AL142+AM213*AM142+AN213*AN142+AO213*AO142+AP213*AP142+AQ213*AQ142+AR213*AR142+AS213*AS142+AT213*AT142+AU213*AU142+AV213*AV142+AW213*AW142+AX213*AX142+AY213*AY142+AZ213*AZ142+BA213*BA142+BB213*BB142+BC213*BC142+BD213*BD142+BE213*BE142+BF213*BF142+BG213*BG142+BH213*BH142+BI213*BI142+BJ213*BJ142+BK213*BK142+BL213*BL142+BM213*BM142+BN213*BN142+BO213*BO142+BP213*BP142+BQ213*BQ142+BR213*BR142+BS213*BS142+BT213*BT142+BU213*BU142+BV213*BV142+BW213*BW142+BX213*BX142+BY213*BY142+BZ213*BZ142+CA213*CA142+CB213*CB142+CC213*CC142+CD213*CD142+CE213*CE142+CF213*CF142+CG213*CG142+CH213*CH142</f>
        <v>0</v>
      </c>
      <c r="CO142" s="1952">
        <f>E214*E142+F214*F142+G214*G142+H214*H142+I214*I142+J214*J142+K214*K142+L214*L142+M214*M142+N214*N142+O214*O142+P214*P142+Q214*Q142+R214*R142+S214*S142+T214*T142+U214*U142+V214*V142+W214*W142+X214*X142+Y214*Y142+Z214*Z142+AA214*AA142+AB214*AB142+AC214*AC142+AD214*AD142+AE214*AE142+AF214*AF142+AG214*AG142+AH214*AH142+AI214*AI142+AJ214*AJ142+AK214*AK142+AL214*AL142+AM214*AM142+AN214*AN142+AO214*AO142+AP214*AP142+AQ214*AQ142+AR214*AR142+AS214*AS142+AT214*AT142+AU214*AU142+AV214*AV142+AW214*AW142+AX214*AX142+AY214*AY142+AZ214*AZ142+BA214*BA142+BB214*BB142+BC214*BC142+BD214*BD142+BE214*BE142+BF214*BF142+BG214*BG142+BH214*BH142+BI214*BI142+BJ214*BJ142+BK214*BK142+BL214*BL142+BM214*BM142+BN214*BN142+BO214*BO142+BP214*BP142+BQ214*BQ142+BR214*BR142+BS214*BS142+BT214*BT142+BU214*BU142+BV214*BV142+BW214*BW142+BX214*BX142+BY214*BY142+BZ214*BZ142+CA214*CA142+CB214*CB142+CC214*CC142+CD214*CD142+CE214*CE142+CF214*CF142+CG214*CG142+CH214*CH142</f>
        <v>0</v>
      </c>
      <c r="CP142" s="1952">
        <f>E215*E142+F215*F142+G215*G142+H215*H142+I215*I142+J215*J142+K215*K142+L215*L142+M215*M142+N215*N142+O215*O142+P215*P142+Q215*Q142+R215*R142+S215*S142+T215*T142+U215*U142+V215*V142+W215*W142+X215*X142+Y215*Y142+Z215*Z142+AA215*AA142+AB215*AB142+AC215*AC142+AD215*AD142+AE215*AE142+AF215*AF142+AG215*AG142+AH215*AH142+AI215*AI142+AJ215*AJ142+AK215*AK142+AL215*AL142+AM215*AM142+AN215*AN142+AO215*AO142+AP215*AP142+AQ215*AQ142+AR215*AR142+AS215*AS142+AT215*AT142+AU215*AU142+AV215*AV142+AW215*AW142+AX215*AX142+AY215*AY142+AZ215*AZ142+BA215*BA142+BB215*BB142+BC215*BC142+BD215*BD142+BE215*BE142+BF215*BF142+BG215*BG142+BH215*BH142+BI215*BI142+BJ215*BJ142+BK215*BK142+BL215*BL142+BM215*BM142+BN215*BN142+BO215*BO142+BP215*BP142+BQ215*BQ142+BR215*BR142+BS215*BS142+BT215*BT142+BU215*BU142+BV215*BV142+BW215*BW142+BX215*BX142+BY215*BY142+BZ215*BZ142+CA215*CA142+CB215*CB142+CC215*CC142+CD215*CD142+CE215*CE142+CF215*CF142+CG215*CG142+CH215*CH142</f>
        <v>0</v>
      </c>
      <c r="CQ142" s="1952">
        <f>E216*E142+F216*F142+G216*G142+H216*H142+I216*I142+J216*J142+K216*K142+L216*L142+M216*M142+N216*N142+O216*O142+P216*P142+Q216*Q142+R216*R142+S216*S142+T216*T142+U216*U142+V216*V142+W216*W142+X216*X142+Y216*Y142+Z216*Z142+AA216*AA142+AB216*AB142+AC216*AC142+AD216*AD142+AE216*AE142+AF216*AF142+AG216*AG142+AH216*AH142+AI216*AI142+AJ216*AJ142+AK216*AK142+AL216*AL142+AM216*AM142+AN216*AN142+AO216*AO142+AP216*AP142+AQ216*AQ142+AR216*AR142+AS216*AS142+AT216*AT142+AU216*AU142+AV216*AV142+AW216*AW142+AX216*AX142+AY216*AY142+AZ216*AZ142+BA216*BA142+BB216*BB142+BC216*BC142+BD216*BD142+BE216*BE142+BF216*BF142+BG216*BG142+BH216*BH142+BI216*BI142+BJ216*BJ142+BK216*BK142+BL216*BL142+BM216*BM142+BN216*BN142+BO216*BO142+BP216*BP142+BQ216*BQ142+BR216*BR142+BS216*BS142+BT216*BT142+BU216*BU142+BV216*BV142+BW216*BW142+BX216*BX142+BY216*BY142+BZ216*BZ142+CA216*CA142+CB216*CB142+CC216*CC142+CD216*CD142+CE216*CE142+CF216*CF142+CG216*CG142+CH216*CH142</f>
        <v>3.4694469519536142E-18</v>
      </c>
      <c r="CR142" s="1952">
        <f>E217*E142+F217*F142+G217*G142+H217*H142+I217*I142+J217*J142+K217*K142+L217*L142+M217*M142+N217*N142+O217*O142+P217*P142+Q217*Q142+R217*R142+S217*S142+T217*T142+U217*U142+V217*V142+W217*W142+X217*X142+Y217*Y142+Z217*Z142+AA217*AA142+AB217*AB142+AC217*AC142+AD217*AD142+AE217*AE142+AF217*AF142+AG217*AG142+AH217*AH142+AI217*AI142+AJ217*AJ142+AK217*AK142+AL217*AL142+AM217*AM142+AN217*AN142+AO217*AO142+AP217*AP142+AQ217*AQ142+AR217*AR142+AS217*AS142+AT217*AT142+AU217*AU142+AV217*AV142+AW217*AW142+AX217*AX142+AY217*AY142+AZ217*AZ142+BA217*BA142+BB217*BB142+BC217*BC142+BD217*BD142+BE217*BE142+BF217*BF142+BG217*BG142+BH217*BH142+BI217*BI142+BJ217*BJ142+BK217*BK142+BL217*BL142+BM217*BM142+BN217*BN142+BO217*BO142+BP217*BP142+BQ217*BQ142+BR217*BR142+BS217*BS142+BT217*BT142+BU217*BU142+BV217*BV142+BW217*BW142+BX217*BX142+BY217*BY142+BZ217*BZ142+CA217*CA142+CB217*CB142+CC217*CC142+CD217*CD142+CE217*CE142+CF217*CF142+CG217*CG142+CH217*CH142</f>
        <v>6.9388939039072284E-18</v>
      </c>
      <c r="CS142" s="1952">
        <f>E218*E142+F218*F142+G218*G142+H218*H142+I218*I142+J218*J142+K218*K142+L218*L142+M218*M142+N218*N142+O218*O142+P218*P142+Q218*Q142+R218*R142+S218*S142+T218*T142+U218*U142+V218*V142+W218*W142+X218*X142+Y218*Y142+Z218*Z142+AA218*AA142+AB218*AB142+AC218*AC142+AD218*AD142+AE218*AE142+AF218*AF142+AG218*AG142+AH218*AH142+AI218*AI142+AJ218*AJ142+AK218*AK142+AL218*AL142+AM218*AM142+AN218*AN142+AO218*AO142+AP218*AP142+AQ218*AQ142+AR218*AR142+AS218*AS142+AT218*AT142+AU218*AU142+AV218*AV142+AW218*AW142+AX218*AX142+AY218*AY142+AZ218*AZ142+BA218*BA142+BB218*BB142+BC218*BC142+BD218*BD142+BE218*BE142+BF218*BF142+BG218*BG142+BH218*BH142+BI218*BI142+BJ218*BJ142+BK218*BK142+BL218*BL142+BM218*BM142+BN218*BN142+BO218*BO142+BP218*BP142+BQ218*BQ142+BR218*BR142+BS218*BS142+BT218*BT142+BU218*BU142+BV218*BV142+BW218*BW142+BX218*BX142+BY218*BY142+BZ218*BZ142+CA218*CA142+CB218*CB142+CC218*CC142+CD218*CD142+CE218*CE142+CF218*CF142+CG218*CG142+CH218*CH142</f>
        <v>0</v>
      </c>
      <c r="CT142" s="1952">
        <f>E219*E142+F219*F142+G219*G142+H219*H142+I219*I142+J219*J142+K219*K142+L219*L142+M219*M142+N219*N142+O219*O142+P219*P142+Q219*Q142+R219*R142+S219*S142+T219*T142+U219*U142+V219*V142+W219*W142+X219*X142+Y219*Y142+Z219*Z142+AA219*AA142+AB219*AB142+AC219*AC142+AD219*AD142+AE219*AE142+AF219*AF142+AG219*AG142+AH219*AH142+AI219*AI142+AJ219*AJ142+AK219*AK142+AL219*AL142+AM219*AM142+AN219*AN142+AO219*AO142+AP219*AP142+AQ219*AQ142+AR219*AR142+AS219*AS142+AT219*AT142+AU219*AU142+AV219*AV142+AW219*AW142+AX219*AX142+AY219*AY142+AZ219*AZ142+BA219*BA142+BB219*BB142+BC219*BC142+BD219*BD142+BE219*BE142+BF219*BF142+BG219*BG142+BH219*BH142+BI219*BI142+BJ219*BJ142+BK219*BK142+BL219*BL142+BM219*BM142+BN219*BN142+BO219*BO142+BP219*BP142+BQ219*BQ142+BR219*BR142+BS219*BS142+BT219*BT142+BU219*BU142+BV219*BV142+BW219*BW142+BX219*BX142+BY219*BY142+BZ219*BZ142+CA219*CA142+CB219*CB142+CC219*CC142+CD219*CD142+CE219*CE142+CF219*CF142+CG219*CG142+CH219*CH142</f>
        <v>0</v>
      </c>
      <c r="CU142" s="1952">
        <f>E220*E142+F220*F142+G220*G142+H220*H142+I220*I142+J220*J142+K220*K142+L220*L142+M220*M142+N220*N142+O220*O142+P220*P142+Q220*Q142+R220*R142+S220*S142+T220*T142+U220*U142+V220*V142+W220*W142+X220*X142+Y220*Y142+Z220*Z142+AA220*AA142+AB220*AB142+AC220*AC142+AD220*AD142+AE220*AE142+AF220*AF142+AG220*AG142+AH220*AH142+AI220*AI142+AJ220*AJ142+AK220*AK142+AL220*AL142+AM220*AM142+AN220*AN142+AO220*AO142+AP220*AP142+AQ220*AQ142+AR220*AR142+AS220*AS142+AT220*AT142+AU220*AU142+AV220*AV142+AW220*AW142+AX220*AX142+AY220*AY142+AZ220*AZ142+BA220*BA142+BB220*BB142+BC220*BC142+BD220*BD142+BE220*BE142+BF220*BF142+BG220*BG142+BH220*BH142+BI220*BI142+BJ220*BJ142+BK220*BK142+BL220*BL142+BM220*BM142+BN220*BN142+BO220*BO142+BP220*BP142+BQ220*BQ142+BR220*BR142+BS220*BS142+BT220*BT142+BU220*BU142+BV220*BV142+BW220*BW142+BX220*BX142+BY220*BY142+BZ220*BZ142+CA220*CA142+CB220*CB142+CC220*CC142+CD220*CD142+CE220*CE142+CF220*CF142+CG220*CG142+CH220*CH142</f>
        <v>0</v>
      </c>
    </row>
    <row r="143" spans="2:99" ht="18" x14ac:dyDescent="0.25">
      <c r="B143" s="1036">
        <v>29</v>
      </c>
      <c r="C143" s="1102" t="s">
        <v>249</v>
      </c>
      <c r="D143" s="1103" t="s">
        <v>4244</v>
      </c>
      <c r="E143" s="2057">
        <f>0</f>
        <v>0</v>
      </c>
      <c r="F143" s="2057">
        <f>0</f>
        <v>0</v>
      </c>
      <c r="G143" s="2057">
        <f>0</f>
        <v>0</v>
      </c>
      <c r="H143" s="2057">
        <f>0</f>
        <v>0</v>
      </c>
      <c r="I143" s="2080">
        <f>0</f>
        <v>0</v>
      </c>
      <c r="J143" s="2080">
        <f>0</f>
        <v>0</v>
      </c>
      <c r="K143" s="2057">
        <f>0</f>
        <v>0</v>
      </c>
      <c r="L143" s="2057">
        <f>0</f>
        <v>0</v>
      </c>
      <c r="M143" s="2057">
        <f>0</f>
        <v>0</v>
      </c>
      <c r="N143" s="2057">
        <f>0</f>
        <v>0</v>
      </c>
      <c r="O143" s="2057">
        <f>0</f>
        <v>0</v>
      </c>
      <c r="P143" s="2057">
        <f>0</f>
        <v>0</v>
      </c>
      <c r="Q143" s="2057">
        <f>0</f>
        <v>0</v>
      </c>
      <c r="R143" s="2058">
        <f>0</f>
        <v>0</v>
      </c>
      <c r="S143" s="2057">
        <f>0</f>
        <v>0</v>
      </c>
      <c r="T143" s="2057">
        <f>0</f>
        <v>0</v>
      </c>
      <c r="U143" s="2057">
        <f>0</f>
        <v>0</v>
      </c>
      <c r="V143" s="2057">
        <f>0</f>
        <v>0</v>
      </c>
      <c r="W143" s="2057">
        <f>0</f>
        <v>0</v>
      </c>
      <c r="X143" s="2057">
        <f>0</f>
        <v>0</v>
      </c>
      <c r="Y143" s="2058">
        <f>0</f>
        <v>0</v>
      </c>
      <c r="Z143" s="2057">
        <f>0</f>
        <v>0</v>
      </c>
      <c r="AA143" s="2057">
        <f>0</f>
        <v>0</v>
      </c>
      <c r="AB143" s="2057">
        <f>0</f>
        <v>0</v>
      </c>
      <c r="AC143" s="2080">
        <f>0</f>
        <v>0</v>
      </c>
      <c r="AD143" s="2080">
        <f>0</f>
        <v>0</v>
      </c>
      <c r="AE143" s="2057">
        <f>0</f>
        <v>0</v>
      </c>
      <c r="AF143" s="2058">
        <f>0</f>
        <v>0</v>
      </c>
      <c r="AG143" s="2057">
        <f>0</f>
        <v>0</v>
      </c>
      <c r="AH143" s="2057">
        <f>0</f>
        <v>0</v>
      </c>
      <c r="AI143" s="2080">
        <f>0</f>
        <v>0</v>
      </c>
      <c r="AJ143" s="2080">
        <f>0</f>
        <v>0</v>
      </c>
      <c r="AK143" s="2057">
        <f>0</f>
        <v>0</v>
      </c>
      <c r="AL143" s="2057">
        <f>0</f>
        <v>0</v>
      </c>
      <c r="AM143" s="2057">
        <f>0</f>
        <v>0</v>
      </c>
      <c r="AN143" s="2057">
        <f>0</f>
        <v>0</v>
      </c>
      <c r="AO143" s="2057">
        <f>0</f>
        <v>0</v>
      </c>
      <c r="AP143" s="2057">
        <f>0</f>
        <v>0</v>
      </c>
      <c r="AQ143" s="2057">
        <f>0</f>
        <v>0</v>
      </c>
      <c r="AR143" s="2057">
        <f>0</f>
        <v>0</v>
      </c>
      <c r="AS143" s="2057">
        <f>0</f>
        <v>0</v>
      </c>
      <c r="AT143" s="2058">
        <f>0</f>
        <v>0</v>
      </c>
      <c r="AU143" s="2057">
        <f>0</f>
        <v>0</v>
      </c>
      <c r="AV143" s="2058">
        <f>0</f>
        <v>0</v>
      </c>
      <c r="AW143" s="2057">
        <f>0</f>
        <v>0</v>
      </c>
      <c r="AX143" s="2057">
        <f>0</f>
        <v>0</v>
      </c>
      <c r="AY143" s="2058">
        <f>0</f>
        <v>0</v>
      </c>
      <c r="AZ143" s="2058">
        <f>0</f>
        <v>0</v>
      </c>
      <c r="BA143" s="2057">
        <f>0</f>
        <v>0</v>
      </c>
      <c r="BB143" s="2058">
        <f>0</f>
        <v>0</v>
      </c>
      <c r="BC143" s="2058">
        <f>0</f>
        <v>0</v>
      </c>
      <c r="BD143" s="2057">
        <f>0</f>
        <v>0</v>
      </c>
      <c r="BE143" s="2057">
        <f>0</f>
        <v>0</v>
      </c>
      <c r="BF143" s="2058">
        <f>0</f>
        <v>0</v>
      </c>
      <c r="BG143" s="2058">
        <f>0</f>
        <v>0</v>
      </c>
      <c r="BH143" s="2057">
        <f>0</f>
        <v>0</v>
      </c>
      <c r="BI143" s="2058">
        <f>0</f>
        <v>0</v>
      </c>
      <c r="BJ143" s="2058">
        <f>0</f>
        <v>0</v>
      </c>
      <c r="BK143" s="2058">
        <f>0</f>
        <v>0</v>
      </c>
      <c r="BL143" s="2058">
        <f>0</f>
        <v>0</v>
      </c>
      <c r="BM143" s="2058">
        <f>0</f>
        <v>0</v>
      </c>
      <c r="BN143" s="2058">
        <f>0</f>
        <v>0</v>
      </c>
      <c r="BO143" s="2058">
        <f>0</f>
        <v>0</v>
      </c>
      <c r="BP143" s="2112">
        <f>0</f>
        <v>0</v>
      </c>
      <c r="BQ143" s="2112">
        <f>0</f>
        <v>0</v>
      </c>
      <c r="BR143" s="2112">
        <f>0</f>
        <v>0</v>
      </c>
      <c r="BS143" s="2112">
        <f>0</f>
        <v>0</v>
      </c>
      <c r="BT143" s="2058">
        <f>0</f>
        <v>0</v>
      </c>
      <c r="BU143" s="2058">
        <f>0</f>
        <v>0</v>
      </c>
      <c r="BV143" s="2058">
        <f>1</f>
        <v>1</v>
      </c>
      <c r="BW143" s="2058">
        <f>0</f>
        <v>0</v>
      </c>
      <c r="BX143" s="2058">
        <f>0</f>
        <v>0</v>
      </c>
      <c r="BY143" s="2058">
        <f>0</f>
        <v>0</v>
      </c>
      <c r="BZ143" s="2058">
        <f>0</f>
        <v>0</v>
      </c>
      <c r="CA143" s="2058">
        <f>0</f>
        <v>0</v>
      </c>
      <c r="CB143" s="2058">
        <f>0</f>
        <v>0</v>
      </c>
      <c r="CC143" s="2058">
        <f>0</f>
        <v>0</v>
      </c>
      <c r="CD143" s="2058">
        <f>0</f>
        <v>0</v>
      </c>
      <c r="CE143" s="2058">
        <f>0</f>
        <v>0</v>
      </c>
      <c r="CF143" s="2058">
        <f>0</f>
        <v>0</v>
      </c>
      <c r="CG143" s="2058">
        <f>0</f>
        <v>0</v>
      </c>
      <c r="CH143" s="2058">
        <f>0</f>
        <v>0</v>
      </c>
      <c r="CI143" s="2139">
        <f>k_ORPswitch*(O_RP+o_ffsetORPswitch-S_ORPswitch)</f>
        <v>6848.780487804881</v>
      </c>
      <c r="CK143" s="1950">
        <f>E210*E143+F210*F143+G210*G143+H210*H143+I210*I143+J210*J143+K210*K143+L210*L143+M210*M143+N210*N143+O210*O143+P210*P143+Q210*Q143+R210*R143+S210*S143+T210*T143+U210*U143+V210*V143+W210*W143+X210*X143+Y210*Y143+Z210*Z143+AA210*AA143+AB210*AB143+AC210*AC143+AD210*AD143+AE210*AE143+AF210*AF143+AG210*AG143+AH210*AH143+AI210*AI143+AJ210*AJ143+AK210*AK143+AL210*AL143+AM210*AM143+AN210*AN143+AO210*AO143+AP210*AP143+AQ210*AQ143+AR210*AR143+AS210*AS143+AT210*AT143+AU210*AU143+AV210*AV143+AW210*AW143+AX210*AX143+AY210*AY143+AZ210*AZ143+BA210*BA143+BB210*BB143+BC210*BC143+BD210*BD143+BE210*BE143+BF210*BF143+BG210*BG143+BH210*BH143+BI210*BI143+BJ210*BJ143+BK210*BK143+BL210*BL143+BM210*BM143+BN210*BN143+BO210*BO143+BP210*BP143+BQ210*BQ143+BR210*BR143+BS210*BS143+BT210*BT143+BU210*BU143+BV210*BV143+BW210*BW143+BX210*BX143+BY210*BY143+BZ210*BZ143+CA210*CA143+CB210*CB143+CC210*CC143+CD210*CD143+CE210*CE143+CF210*CF143+CG210*CG143+CH210*CH143</f>
        <v>0</v>
      </c>
      <c r="CL143" s="1950">
        <f>E211*E143+F211*F143+G211*G143+H211*H143+I211*I143+J211*J143+K211*K143+L211*L143+M211*M143+N211*N143+O211*O143+P211*P143+Q211*Q143+R211*R143+S211*S143+T211*T143+U211*U143+V211*V143+W211*W143+X211*X143+Y211*Y143+Z211*Z143+AA211*AA143+AB211*AB143+AC211*AC143+AD211*AD143+AE211*AE143+AF211*AF143+AG211*AG143+AH211*AH143+AI211*AI143+AJ211*AJ143+AK211*AK143+AL211*AL143+AM211*AM143+AN211*AN143+AO211*AO143+AP211*AP143+AQ211*AQ143+AR211*AR143+AS211*AS143+AT211*AT143+AU211*AU143+AV211*AV143+AW211*AW143+AX211*AX143+AY211*AY143+AZ211*AZ143+BA211*BA143+BB211*BB143+BC211*BC143+BD211*BD143+BE211*BE143+BF211*BF143+BG211*BG143+BH211*BH143+BI211*BI143+BJ211*BJ143+BK211*BK143+BL211*BL143+BM211*BM143+BN211*BN143+BO211*BO143+BP211*BP143+BQ211*BQ143+BR211*BR143+BS211*BS143+BT211*BT143+BU211*BU143+BV211*BV143+BW211*BW143+BX211*BX143+BY211*BY143+BZ211*BZ143+CA211*CA143+CB211*CB143+CC211*CC143+CD211*CD143+CE211*CE143+CF211*CF143+CG211*CG143+CH211*CH143</f>
        <v>0</v>
      </c>
      <c r="CM143" s="1951">
        <f>E212*E143+F212*F143+G212*G143+H212*H143+I212*I143+J212*J143+K212*K143+L212*L143+M212*M143+N212*N143+O212*O143+P212*P143+Q212*Q143+R212*R143+S212*S143+T212*T143+U212*U143+V212*V143+W212*W143+X212*X143+Y212*Y143+Z212*Z143+AA212*AA143+AB212*AB143+AC212*AC143+AD212*AD143+AE212*AE143+AF212*AF143+AG212*AG143+AH212*AH143+AI212*AI143+AJ212*AJ143+AK212*AK143+AL212*AL143+AM212*AM143+AN212*AN143+AO212*AO143+AP212*AP143+AQ212*AQ143+AR212*AR143+AS212*AS143+AT212*AT143+AU212*AU143+AV212*AV143+AW212*AW143+AX212*AX143+AY212*AY143+AZ212*AZ143+BA212*BA143+BB212*BB143+BC212*BC143+BD212*BD143+BE212*BE143+BF212*BF143+BG212*BG143+BH212*BH143+BI212*BI143+BJ212*BJ143+BK212*BK143+BL212*BL143+BM212*BM143+BN212*BN143+BO212*BO143+BP212*BP143+BQ212*BQ143+BR212*BR143+BS212*BS143+BT212*BT143+BU212*BU143+BV212*BV143+BW212*BW143+BX212*BX143+BY212*BY143+BZ212*BZ143+CA212*CA143+CB212*CB143+CC212*CC143+CD212*CD143+CE212*CE143+CF212*CF143+CG212*CG143+CH212*CH143</f>
        <v>0</v>
      </c>
      <c r="CN143" s="1952">
        <f>E213*E143+F213*F143+G213*G143+H213*H143+I213*I143+J213*J143+K213*K143+L213*L143+M213*M143+N213*N143+O213*O143+P213*P143+Q213*Q143+R213*R143+S213*S143+T213*T143+U213*U143+V213*V143+W213*W143+X213*X143+Y213*Y143+Z213*Z143+AA213*AA143+AB213*AB143+AC213*AC143+AD213*AD143+AE213*AE143+AF213*AF143+AG213*AG143+AH213*AH143+AI213*AI143+AJ213*AJ143+AK213*AK143+AL213*AL143+AM213*AM143+AN213*AN143+AO213*AO143+AP213*AP143+AQ213*AQ143+AR213*AR143+AS213*AS143+AT213*AT143+AU213*AU143+AV213*AV143+AW213*AW143+AX213*AX143+AY213*AY143+AZ213*AZ143+BA213*BA143+BB213*BB143+BC213*BC143+BD213*BD143+BE213*BE143+BF213*BF143+BG213*BG143+BH213*BH143+BI213*BI143+BJ213*BJ143+BK213*BK143+BL213*BL143+BM213*BM143+BN213*BN143+BO213*BO143+BP213*BP143+BQ213*BQ143+BR213*BR143+BS213*BS143+BT213*BT143+BU213*BU143+BV213*BV143+BW213*BW143+BX213*BX143+BY213*BY143+BZ213*BZ143+CA213*CA143+CB213*CB143+CC213*CC143+CD213*CD143+CE213*CE143+CF213*CF143+CG213*CG143+CH213*CH143</f>
        <v>0</v>
      </c>
      <c r="CO143" s="1952">
        <f>E214*E143+F214*F143+G214*G143+H214*H143+I214*I143+J214*J143+K214*K143+L214*L143+M214*M143+N214*N143+O214*O143+P214*P143+Q214*Q143+R214*R143+S214*S143+T214*T143+U214*U143+V214*V143+W214*W143+X214*X143+Y214*Y143+Z214*Z143+AA214*AA143+AB214*AB143+AC214*AC143+AD214*AD143+AE214*AE143+AF214*AF143+AG214*AG143+AH214*AH143+AI214*AI143+AJ214*AJ143+AK214*AK143+AL214*AL143+AM214*AM143+AN214*AN143+AO214*AO143+AP214*AP143+AQ214*AQ143+AR214*AR143+AS214*AS143+AT214*AT143+AU214*AU143+AV214*AV143+AW214*AW143+AX214*AX143+AY214*AY143+AZ214*AZ143+BA214*BA143+BB214*BB143+BC214*BC143+BD214*BD143+BE214*BE143+BF214*BF143+BG214*BG143+BH214*BH143+BI214*BI143+BJ214*BJ143+BK214*BK143+BL214*BL143+BM214*BM143+BN214*BN143+BO214*BO143+BP214*BP143+BQ214*BQ143+BR214*BR143+BS214*BS143+BT214*BT143+BU214*BU143+BV214*BV143+BW214*BW143+BX214*BX143+BY214*BY143+BZ214*BZ143+CA214*CA143+CB214*CB143+CC214*CC143+CD214*CD143+CE214*CE143+CF214*CF143+CG214*CG143+CH214*CH143</f>
        <v>0</v>
      </c>
      <c r="CP143" s="1952">
        <f>E215*E143+F215*F143+G215*G143+H215*H143+I215*I143+J215*J143+K215*K143+L215*L143+M215*M143+N215*N143+O215*O143+P215*P143+Q215*Q143+R215*R143+S215*S143+T215*T143+U215*U143+V215*V143+W215*W143+X215*X143+Y215*Y143+Z215*Z143+AA215*AA143+AB215*AB143+AC215*AC143+AD215*AD143+AE215*AE143+AF215*AF143+AG215*AG143+AH215*AH143+AI215*AI143+AJ215*AJ143+AK215*AK143+AL215*AL143+AM215*AM143+AN215*AN143+AO215*AO143+AP215*AP143+AQ215*AQ143+AR215*AR143+AS215*AS143+AT215*AT143+AU215*AU143+AV215*AV143+AW215*AW143+AX215*AX143+AY215*AY143+AZ215*AZ143+BA215*BA143+BB215*BB143+BC215*BC143+BD215*BD143+BE215*BE143+BF215*BF143+BG215*BG143+BH215*BH143+BI215*BI143+BJ215*BJ143+BK215*BK143+BL215*BL143+BM215*BM143+BN215*BN143+BO215*BO143+BP215*BP143+BQ215*BQ143+BR215*BR143+BS215*BS143+BT215*BT143+BU215*BU143+BV215*BV143+BW215*BW143+BX215*BX143+BY215*BY143+BZ215*BZ143+CA215*CA143+CB215*CB143+CC215*CC143+CD215*CD143+CE215*CE143+CF215*CF143+CG215*CG143+CH215*CH143</f>
        <v>0</v>
      </c>
      <c r="CQ143" s="1952">
        <f>E216*E143+F216*F143+G216*G143+H216*H143+I216*I143+J216*J143+K216*K143+L216*L143+M216*M143+N216*N143+O216*O143+P216*P143+Q216*Q143+R216*R143+S216*S143+T216*T143+U216*U143+V216*V143+W216*W143+X216*X143+Y216*Y143+Z216*Z143+AA216*AA143+AB216*AB143+AC216*AC143+AD216*AD143+AE216*AE143+AF216*AF143+AG216*AG143+AH216*AH143+AI216*AI143+AJ216*AJ143+AK216*AK143+AL216*AL143+AM216*AM143+AN216*AN143+AO216*AO143+AP216*AP143+AQ216*AQ143+AR216*AR143+AS216*AS143+AT216*AT143+AU216*AU143+AV216*AV143+AW216*AW143+AX216*AX143+AY216*AY143+AZ216*AZ143+BA216*BA143+BB216*BB143+BC216*BC143+BD216*BD143+BE216*BE143+BF216*BF143+BG216*BG143+BH216*BH143+BI216*BI143+BJ216*BJ143+BK216*BK143+BL216*BL143+BM216*BM143+BN216*BN143+BO216*BO143+BP216*BP143+BQ216*BQ143+BR216*BR143+BS216*BS143+BT216*BT143+BU216*BU143+BV216*BV143+BW216*BW143+BX216*BX143+BY216*BY143+BZ216*BZ143+CA216*CA143+CB216*CB143+CC216*CC143+CD216*CD143+CE216*CE143+CF216*CF143+CG216*CG143+CH216*CH143</f>
        <v>0</v>
      </c>
      <c r="CR143" s="1952">
        <f>E217*E143+F217*F143+G217*G143+H217*H143+I217*I143+J217*J143+K217*K143+L217*L143+M217*M143+N217*N143+O217*O143+P217*P143+Q217*Q143+R217*R143+S217*S143+T217*T143+U217*U143+V217*V143+W217*W143+X217*X143+Y217*Y143+Z217*Z143+AA217*AA143+AB217*AB143+AC217*AC143+AD217*AD143+AE217*AE143+AF217*AF143+AG217*AG143+AH217*AH143+AI217*AI143+AJ217*AJ143+AK217*AK143+AL217*AL143+AM217*AM143+AN217*AN143+AO217*AO143+AP217*AP143+AQ217*AQ143+AR217*AR143+AS217*AS143+AT217*AT143+AU217*AU143+AV217*AV143+AW217*AW143+AX217*AX143+AY217*AY143+AZ217*AZ143+BA217*BA143+BB217*BB143+BC217*BC143+BD217*BD143+BE217*BE143+BF217*BF143+BG217*BG143+BH217*BH143+BI217*BI143+BJ217*BJ143+BK217*BK143+BL217*BL143+BM217*BM143+BN217*BN143+BO217*BO143+BP217*BP143+BQ217*BQ143+BR217*BR143+BS217*BS143+BT217*BT143+BU217*BU143+BV217*BV143+BW217*BW143+BX217*BX143+BY217*BY143+BZ217*BZ143+CA217*CA143+CB217*CB143+CC217*CC143+CD217*CD143+CE217*CE143+CF217*CF143+CG217*CG143+CH217*CH143</f>
        <v>0</v>
      </c>
      <c r="CS143" s="1952">
        <f>E218*E143+F218*F143+G218*G143+H218*H143+I218*I143+J218*J143+K218*K143+L218*L143+M218*M143+N218*N143+O218*O143+P218*P143+Q218*Q143+R218*R143+S218*S143+T218*T143+U218*U143+V218*V143+W218*W143+X218*X143+Y218*Y143+Z218*Z143+AA218*AA143+AB218*AB143+AC218*AC143+AD218*AD143+AE218*AE143+AF218*AF143+AG218*AG143+AH218*AH143+AI218*AI143+AJ218*AJ143+AK218*AK143+AL218*AL143+AM218*AM143+AN218*AN143+AO218*AO143+AP218*AP143+AQ218*AQ143+AR218*AR143+AS218*AS143+AT218*AT143+AU218*AU143+AV218*AV143+AW218*AW143+AX218*AX143+AY218*AY143+AZ218*AZ143+BA218*BA143+BB218*BB143+BC218*BC143+BD218*BD143+BE218*BE143+BF218*BF143+BG218*BG143+BH218*BH143+BI218*BI143+BJ218*BJ143+BK218*BK143+BL218*BL143+BM218*BM143+BN218*BN143+BO218*BO143+BP218*BP143+BQ218*BQ143+BR218*BR143+BS218*BS143+BT218*BT143+BU218*BU143+BV218*BV143+BW218*BW143+BX218*BX143+BY218*BY143+BZ218*BZ143+CA218*CA143+CB218*CB143+CC218*CC143+CD218*CD143+CE218*CE143+CF218*CF143+CG218*CG143+CH218*CH143</f>
        <v>0</v>
      </c>
      <c r="CT143" s="1952">
        <f>E219*E143+F219*F143+G219*G143+H219*H143+I219*I143+J219*J143+K219*K143+L219*L143+M219*M143+N219*N143+O219*O143+P219*P143+Q219*Q143+R219*R143+S219*S143+T219*T143+U219*U143+V219*V143+W219*W143+X219*X143+Y219*Y143+Z219*Z143+AA219*AA143+AB219*AB143+AC219*AC143+AD219*AD143+AE219*AE143+AF219*AF143+AG219*AG143+AH219*AH143+AI219*AI143+AJ219*AJ143+AK219*AK143+AL219*AL143+AM219*AM143+AN219*AN143+AO219*AO143+AP219*AP143+AQ219*AQ143+AR219*AR143+AS219*AS143+AT219*AT143+AU219*AU143+AV219*AV143+AW219*AW143+AX219*AX143+AY219*AY143+AZ219*AZ143+BA219*BA143+BB219*BB143+BC219*BC143+BD219*BD143+BE219*BE143+BF219*BF143+BG219*BG143+BH219*BH143+BI219*BI143+BJ219*BJ143+BK219*BK143+BL219*BL143+BM219*BM143+BN219*BN143+BO219*BO143+BP219*BP143+BQ219*BQ143+BR219*BR143+BS219*BS143+BT219*BT143+BU219*BU143+BV219*BV143+BW219*BW143+BX219*BX143+BY219*BY143+BZ219*BZ143+CA219*CA143+CB219*CB143+CC219*CC143+CD219*CD143+CE219*CE143+CF219*CF143+CG219*CG143+CH219*CH143</f>
        <v>0</v>
      </c>
      <c r="CU143" s="1952">
        <f>E220*E143+F220*F143+G220*G143+H220*H143+I220*I143+J220*J143+K220*K143+L220*L143+M220*M143+N220*N143+O220*O143+P220*P143+Q220*Q143+R220*R143+S220*S143+T220*T143+U220*U143+V220*V143+W220*W143+X220*X143+Y220*Y143+Z220*Z143+AA220*AA143+AB220*AB143+AC220*AC143+AD220*AD143+AE220*AE143+AF220*AF143+AG220*AG143+AH220*AH143+AI220*AI143+AJ220*AJ143+AK220*AK143+AL220*AL143+AM220*AM143+AN220*AN143+AO220*AO143+AP220*AP143+AQ220*AQ143+AR220*AR143+AS220*AS143+AT220*AT143+AU220*AU143+AV220*AV143+AW220*AW143+AX220*AX143+AY220*AY143+AZ220*AZ143+BA220*BA143+BB220*BB143+BC220*BC143+BD220*BD143+BE220*BE143+BF220*BF143+BG220*BG143+BH220*BH143+BI220*BI143+BJ220*BJ143+BK220*BK143+BL220*BL143+BM220*BM143+BN220*BN143+BO220*BO143+BP220*BP143+BQ220*BQ143+BR220*BR143+BS220*BS143+BT220*BT143+BU220*BU143+BV220*BV143+BW220*BW143+BX220*BX143+BY220*BY143+BZ220*BZ143+CA220*CA143+CB220*CB143+CC220*CC143+CD220*CD143+CE220*CE143+CF220*CF143+CG220*CG143+CH220*CH143</f>
        <v>0</v>
      </c>
    </row>
    <row r="144" spans="2:99" ht="18" x14ac:dyDescent="0.25">
      <c r="B144" s="1037">
        <v>30</v>
      </c>
      <c r="C144" s="1104" t="s">
        <v>3927</v>
      </c>
      <c r="D144" s="1105" t="s">
        <v>281</v>
      </c>
      <c r="E144" s="2059">
        <f>0</f>
        <v>0</v>
      </c>
      <c r="F144" s="2059">
        <f>0</f>
        <v>0</v>
      </c>
      <c r="G144" s="2059">
        <f>0</f>
        <v>0</v>
      </c>
      <c r="H144" s="2059">
        <f>0</f>
        <v>0</v>
      </c>
      <c r="I144" s="2081">
        <f>0</f>
        <v>0</v>
      </c>
      <c r="J144" s="2081">
        <f>0</f>
        <v>0</v>
      </c>
      <c r="K144" s="2059">
        <f>0</f>
        <v>0</v>
      </c>
      <c r="L144" s="2059">
        <f>0</f>
        <v>0</v>
      </c>
      <c r="M144" s="2059">
        <f>0</f>
        <v>0</v>
      </c>
      <c r="N144" s="2059">
        <f>0</f>
        <v>0</v>
      </c>
      <c r="O144" s="2059">
        <f>0</f>
        <v>0</v>
      </c>
      <c r="P144" s="2059">
        <f>0</f>
        <v>0</v>
      </c>
      <c r="Q144" s="2059">
        <f>0</f>
        <v>0</v>
      </c>
      <c r="R144" s="2059">
        <f>0</f>
        <v>0</v>
      </c>
      <c r="S144" s="2059">
        <f>0</f>
        <v>0</v>
      </c>
      <c r="T144" s="2059">
        <f>0</f>
        <v>0</v>
      </c>
      <c r="U144" s="2059">
        <f>1</f>
        <v>1</v>
      </c>
      <c r="V144" s="2059">
        <f>0</f>
        <v>0</v>
      </c>
      <c r="W144" s="2059">
        <f>0</f>
        <v>0</v>
      </c>
      <c r="X144" s="2059">
        <f>0</f>
        <v>0</v>
      </c>
      <c r="Y144" s="2059">
        <f>-1/Y_NITO-i_N_BIO</f>
        <v>-4.2366666666666672</v>
      </c>
      <c r="Z144" s="2097">
        <f>1/Y_NITO</f>
        <v>4.166666666666667</v>
      </c>
      <c r="AA144" s="2059">
        <f>0</f>
        <v>0</v>
      </c>
      <c r="AB144" s="2059">
        <f>0</f>
        <v>0</v>
      </c>
      <c r="AC144" s="2081">
        <f>0</f>
        <v>0</v>
      </c>
      <c r="AD144" s="2081">
        <f>0</f>
        <v>0</v>
      </c>
      <c r="AE144" s="2059">
        <f>0</f>
        <v>0</v>
      </c>
      <c r="AF144" s="2097">
        <f>-i_P_BIO</f>
        <v>-0.02</v>
      </c>
      <c r="AG144" s="2059">
        <f>0</f>
        <v>0</v>
      </c>
      <c r="AH144" s="2059">
        <f>0</f>
        <v>0</v>
      </c>
      <c r="AI144" s="2081">
        <f>0</f>
        <v>0</v>
      </c>
      <c r="AJ144" s="2081">
        <f>0</f>
        <v>0</v>
      </c>
      <c r="AK144" s="2059">
        <f>0</f>
        <v>0</v>
      </c>
      <c r="AL144" s="2097">
        <f>-(E_EQNO3-Y_NITO)/Y_NITO</f>
        <v>-18.037793817720566</v>
      </c>
      <c r="AM144" s="2097">
        <f>0</f>
        <v>0</v>
      </c>
      <c r="AN144" s="2097">
        <f>0</f>
        <v>0</v>
      </c>
      <c r="AO144" s="2097">
        <f>-i_CIT_BIO</f>
        <v>-0.35199999999999998</v>
      </c>
      <c r="AP144" s="2097">
        <f>i_INORG</f>
        <v>0.11</v>
      </c>
      <c r="AQ144" s="2097">
        <f>-i_INORG*(1-i_Ca_INORG*(A_MCa+2*A_MCl)/A_MCa-i_Mg_INORG*(A_MMg+2*A_MCl)/A_MMg)*f_Na</f>
        <v>-2.8804303582798466E-2</v>
      </c>
      <c r="AR144" s="2097">
        <f>-i_INORG*(i_Ca_INORG*(2*A_MCl)/A_MCa+i_Mg_INORG*(2*A_MCl)/A_MMg)-i_INORG*(1-i_Ca_INORG*(A_MCa+2*A_MCl)/A_MCa-i_Mg_INORG*(A_MMg+2*A_MCl)/A_MMg)*(1-f_Na)</f>
        <v>-7.0195696417201539E-2</v>
      </c>
      <c r="AS144" s="2097">
        <f>-i_INORG*i_Ca_INORG</f>
        <v>-5.5000000000000005E-3</v>
      </c>
      <c r="AT144" s="2097">
        <f>-i_INORG*i_Mg_INORG</f>
        <v>-5.5000000000000005E-3</v>
      </c>
      <c r="AU144" s="2097">
        <f>0</f>
        <v>0</v>
      </c>
      <c r="AV144" s="2097">
        <f>0</f>
        <v>0</v>
      </c>
      <c r="AW144" s="2097">
        <f>0</f>
        <v>0</v>
      </c>
      <c r="AX144" s="2097">
        <f>0</f>
        <v>0</v>
      </c>
      <c r="AY144" s="2097">
        <f>0</f>
        <v>0</v>
      </c>
      <c r="AZ144" s="2097">
        <f>0</f>
        <v>0</v>
      </c>
      <c r="BA144" s="2097">
        <f>0</f>
        <v>0</v>
      </c>
      <c r="BB144" s="2097">
        <f>0</f>
        <v>0</v>
      </c>
      <c r="BC144" s="2097">
        <f>0</f>
        <v>0</v>
      </c>
      <c r="BD144" s="2097">
        <f>0</f>
        <v>0</v>
      </c>
      <c r="BE144" s="2097">
        <f>0</f>
        <v>0</v>
      </c>
      <c r="BF144" s="2097">
        <f>0</f>
        <v>0</v>
      </c>
      <c r="BG144" s="2097">
        <f>0</f>
        <v>0</v>
      </c>
      <c r="BH144" s="2097">
        <f>0</f>
        <v>0</v>
      </c>
      <c r="BI144" s="2097">
        <f>0</f>
        <v>0</v>
      </c>
      <c r="BJ144" s="2097">
        <f>0</f>
        <v>0</v>
      </c>
      <c r="BK144" s="2097">
        <f>0</f>
        <v>0</v>
      </c>
      <c r="BL144" s="2097">
        <f>0</f>
        <v>0</v>
      </c>
      <c r="BM144" s="2097">
        <f>0</f>
        <v>0</v>
      </c>
      <c r="BN144" s="2097">
        <f>0</f>
        <v>0</v>
      </c>
      <c r="BO144" s="2097">
        <f>0</f>
        <v>0</v>
      </c>
      <c r="BP144" s="2114">
        <f>0</f>
        <v>0</v>
      </c>
      <c r="BQ144" s="2114">
        <f>0</f>
        <v>0</v>
      </c>
      <c r="BR144" s="2114">
        <f>0</f>
        <v>0</v>
      </c>
      <c r="BS144" s="2114">
        <f>0</f>
        <v>0</v>
      </c>
      <c r="BT144" s="2097">
        <f>0</f>
        <v>0</v>
      </c>
      <c r="BU144" s="2097">
        <f>0</f>
        <v>0</v>
      </c>
      <c r="BV144" s="2097">
        <f>0</f>
        <v>0</v>
      </c>
      <c r="BW144" s="2097">
        <f>0</f>
        <v>0</v>
      </c>
      <c r="BX144" s="2097">
        <f>0</f>
        <v>0</v>
      </c>
      <c r="BY144" s="2097">
        <f>0</f>
        <v>0</v>
      </c>
      <c r="BZ144" s="2097">
        <f>0</f>
        <v>0</v>
      </c>
      <c r="CA144" s="2097">
        <f>0</f>
        <v>0</v>
      </c>
      <c r="CB144" s="2097">
        <f>0</f>
        <v>0</v>
      </c>
      <c r="CC144" s="2097">
        <f>0</f>
        <v>0</v>
      </c>
      <c r="CD144" s="2097">
        <f>0</f>
        <v>0</v>
      </c>
      <c r="CE144" s="2097">
        <f>0</f>
        <v>0</v>
      </c>
      <c r="CF144" s="2097">
        <f>0</f>
        <v>0</v>
      </c>
      <c r="CG144" s="2097">
        <f>0</f>
        <v>0</v>
      </c>
      <c r="CH144" s="2097">
        <f>0</f>
        <v>0</v>
      </c>
      <c r="CI144" s="2134">
        <f>µ_NITO_T*X_NITO*M_satSNHx_KNHx_NITO*L_ogsatpHCO2_NITO*M_satSO2_KO2_NITO*M_satSPO4_KPO4_BIO*M_satSCAT_KCAT*M_satSAN_KAN*M_satSCa_KCa*M_satSMg_KMg*M_inhpHNH3_NITO*B_ellinhpH_NITO</f>
        <v>37.163637664526227</v>
      </c>
      <c r="CK144" s="1950">
        <f>E210*E144+F210*F144+G210*G144+H210*H144+I210*I144+J210*J144+K210*K144+L210*L144+M210*M144+N210*N144+O210*O144+P210*P144+Q210*Q144+R210*R144+S210*S144+T210*T144+U210*U144+V210*V144+W210*W144+X210*X144+Y210*Y144+Z210*Z144+AA210*AA144+AB210*AB144+AC210*AC144+AD210*AD144+AE210*AE144+AF210*AF144+AG210*AG144+AH210*AH144+AI210*AI144+AJ210*AJ144+AK210*AK144+AL210*AL144+AM210*AM144+AN210*AN144+AO210*AO144+AP210*AP144+AQ210*AQ144+AR210*AR144+AS210*AS144+AT210*AT144+AU210*AU144+AV210*AV144+AW210*AW144+AX210*AX144+AY210*AY144+AZ210*AZ144+BA210*BA144+BB210*BB144+BC210*BC144+BD210*BD144+BE210*BE144+BF210*BF144+BG210*BG144+BH210*BH144+BI210*BI144+BJ210*BJ144+BK210*BK144+BL210*BL144+BM210*BM144+BN210*BN144+BO210*BO144+BP210*BP144+BQ210*BQ144+BR210*BR144+BS210*BS144+BT210*BT144+BU210*BU144+BV210*BV144+BW210*BW144+BX210*BX144+BY210*BY144+BZ210*BZ144+CA210*CA144+CB210*CB144+CC210*CC144+CD210*CD144+CE210*CE144+CF210*CF144+CG210*CG144+CH210*CH144</f>
        <v>0</v>
      </c>
      <c r="CL144" s="1950">
        <f>E211*E144+F211*F144+G211*G144+H211*H144+I211*I144+J211*J144+K211*K144+L211*L144+M211*M144+N211*N144+O211*O144+P211*P144+Q211*Q144+R211*R144+S211*S144+T211*T144+U211*U144+V211*V144+W211*W144+X211*X144+Y211*Y144+Z211*Z144+AA211*AA144+AB211*AB144+AC211*AC144+AD211*AD144+AE211*AE144+AF211*AF144+AG211*AG144+AH211*AH144+AI211*AI144+AJ211*AJ144+AK211*AK144+AL211*AL144+AM211*AM144+AN211*AN144+AO211*AO144+AP211*AP144+AQ211*AQ144+AR211*AR144+AS211*AS144+AT211*AT144+AU211*AU144+AV211*AV144+AW211*AW144+AX211*AX144+AY211*AY144+AZ211*AZ144+BA211*BA144+BB211*BB144+BC211*BC144+BD211*BD144+BE211*BE144+BF211*BF144+BG211*BG144+BH211*BH144+BI211*BI144+BJ211*BJ144+BK211*BK144+BL211*BL144+BM211*BM144+BN211*BN144+BO211*BO144+BP211*BP144+BQ211*BQ144+BR211*BR144+BS211*BS144+BT211*BT144+BU211*BU144+BV211*BV144+BW211*BW144+BX211*BX144+BY211*BY144+BZ211*BZ144+CA211*CA144+CB211*CB144+CC211*CC144+CD211*CD144+CE211*CE144+CF211*CF144+CG211*CG144+CH211*CH144</f>
        <v>0</v>
      </c>
      <c r="CM144" s="1951">
        <f>E212*E144+F212*F144+G212*G144+H212*H144+I212*I144+J212*J144+K212*K144+L212*L144+M212*M144+N212*N144+O212*O144+P212*P144+Q212*Q144+R212*R144+S212*S144+T212*T144+U212*U144+V212*V144+W212*W144+X212*X144+Y212*Y144+Z212*Z144+AA212*AA144+AB212*AB144+AC212*AC144+AD212*AD144+AE212*AE144+AF212*AF144+AG212*AG144+AH212*AH144+AI212*AI144+AJ212*AJ144+AK212*AK144+AL212*AL144+AM212*AM144+AN212*AN144+AO212*AO144+AP212*AP144+AQ212*AQ144+AR212*AR144+AS212*AS144+AT212*AT144+AU212*AU144+AV212*AV144+AW212*AW144+AX212*AX144+AY212*AY144+AZ212*AZ144+BA212*BA144+BB212*BB144+BC212*BC144+BD212*BD144+BE212*BE144+BF212*BF144+BG212*BG144+BH212*BH144+BI212*BI144+BJ212*BJ144+BK212*BK144+BL212*BL144+BM212*BM144+BN212*BN144+BO212*BO144+BP212*BP144+BQ212*BQ144+BR212*BR144+BS212*BS144+BT212*BT144+BU212*BU144+BV212*BV144+BW212*BW144+BX212*BX144+BY212*BY144+BZ212*BZ144+CA212*CA144+CB212*CB144+CC212*CC144+CD212*CD144+CE212*CE144+CF212*CF144+CG212*CG144+CH212*CH144</f>
        <v>0</v>
      </c>
      <c r="CN144" s="1952">
        <f>E213*E144+F213*F144+G213*G144+H213*H144+I213*I144+J213*J144+K213*K144+L213*L144+M213*M144+N213*N144+O213*O144+P213*P144+Q213*Q144+R213*R144+S213*S144+T213*T144+U213*U144+V213*V144+W213*W144+X213*X144+Y213*Y144+Z213*Z144+AA213*AA144+AB213*AB144+AC213*AC144+AD213*AD144+AE213*AE144+AF213*AF144+AG213*AG144+AH213*AH144+AI213*AI144+AJ213*AJ144+AK213*AK144+AL213*AL144+AM213*AM144+AN213*AN144+AO213*AO144+AP213*AP144+AQ213*AQ144+AR213*AR144+AS213*AS144+AT213*AT144+AU213*AU144+AV213*AV144+AW213*AW144+AX213*AX144+AY213*AY144+AZ213*AZ144+BA213*BA144+BB213*BB144+BC213*BC144+BD213*BD144+BE213*BE144+BF213*BF144+BG213*BG144+BH213*BH144+BI213*BI144+BJ213*BJ144+BK213*BK144+BL213*BL144+BM213*BM144+BN213*BN144+BO213*BO144+BP213*BP144+BQ213*BQ144+BR213*BR144+BS213*BS144+BT213*BT144+BU213*BU144+BV213*BV144+BW213*BW144+BX213*BX144+BY213*BY144+BZ213*BZ144+CA213*CA144+CB213*CB144+CC213*CC144+CD213*CD144+CE213*CE144+CF213*CF144+CG213*CG144+CH213*CH144</f>
        <v>0</v>
      </c>
      <c r="CO144" s="1952">
        <f>E214*E144+F214*F144+G214*G144+H214*H144+I214*I144+J214*J144+K214*K144+L214*L144+M214*M144+N214*N144+O214*O144+P214*P144+Q214*Q144+R214*R144+S214*S144+T214*T144+U214*U144+V214*V144+W214*W144+X214*X144+Y214*Y144+Z214*Z144+AA214*AA144+AB214*AB144+AC214*AC144+AD214*AD144+AE214*AE144+AF214*AF144+AG214*AG144+AH214*AH144+AI214*AI144+AJ214*AJ144+AK214*AK144+AL214*AL144+AM214*AM144+AN214*AN144+AO214*AO144+AP214*AP144+AQ214*AQ144+AR214*AR144+AS214*AS144+AT214*AT144+AU214*AU144+AV214*AV144+AW214*AW144+AX214*AX144+AY214*AY144+AZ214*AZ144+BA214*BA144+BB214*BB144+BC214*BC144+BD214*BD144+BE214*BE144+BF214*BF144+BG214*BG144+BH214*BH144+BI214*BI144+BJ214*BJ144+BK214*BK144+BL214*BL144+BM214*BM144+BN214*BN144+BO214*BO144+BP214*BP144+BQ214*BQ144+BR214*BR144+BS214*BS144+BT214*BT144+BU214*BU144+BV214*BV144+BW214*BW144+BX214*BX144+BY214*BY144+BZ214*BZ144+CA214*CA144+CB214*CB144+CC214*CC144+CD214*CD144+CE214*CE144+CF214*CF144+CG214*CG144+CH214*CH144</f>
        <v>0</v>
      </c>
      <c r="CP144" s="1952">
        <f>E215*E144+F215*F144+G215*G144+H215*H144+I215*I144+J215*J144+K215*K144+L215*L144+M215*M144+N215*N144+O215*O144+P215*P144+Q215*Q144+R215*R144+S215*S144+T215*T144+U215*U144+V215*V144+W215*W144+X215*X144+Y215*Y144+Z215*Z144+AA215*AA144+AB215*AB144+AC215*AC144+AD215*AD144+AE215*AE144+AF215*AF144+AG215*AG144+AH215*AH144+AI215*AI144+AJ215*AJ144+AK215*AK144+AL215*AL144+AM215*AM144+AN215*AN144+AO215*AO144+AP215*AP144+AQ215*AQ144+AR215*AR144+AS215*AS144+AT215*AT144+AU215*AU144+AV215*AV144+AW215*AW144+AX215*AX144+AY215*AY144+AZ215*AZ144+BA215*BA144+BB215*BB144+BC215*BC144+BD215*BD144+BE215*BE144+BF215*BF144+BG215*BG144+BH215*BH144+BI215*BI144+BJ215*BJ144+BK215*BK144+BL215*BL144+BM215*BM144+BN215*BN144+BO215*BO144+BP215*BP144+BQ215*BQ144+BR215*BR144+BS215*BS144+BT215*BT144+BU215*BU144+BV215*BV144+BW215*BW144+BX215*BX144+BY215*BY144+BZ215*BZ144+CA215*CA144+CB215*CB144+CC215*CC144+CD215*CD144+CE215*CE144+CF215*CF144+CG215*CG144+CH215*CH144</f>
        <v>0</v>
      </c>
      <c r="CQ144" s="1952">
        <f>E216*E144+F216*F144+G216*G144+H216*H144+I216*I144+J216*J144+K216*K144+L216*L144+M216*M144+N216*N144+O216*O144+P216*P144+Q216*Q144+R216*R144+S216*S144+T216*T144+U216*U144+V216*V144+W216*W144+X216*X144+Y216*Y144+Z216*Z144+AA216*AA144+AB216*AB144+AC216*AC144+AD216*AD144+AE216*AE144+AF216*AF144+AG216*AG144+AH216*AH144+AI216*AI144+AJ216*AJ144+AK216*AK144+AL216*AL144+AM216*AM144+AN216*AN144+AO216*AO144+AP216*AP144+AQ216*AQ144+AR216*AR144+AS216*AS144+AT216*AT144+AU216*AU144+AV216*AV144+AW216*AW144+AX216*AX144+AY216*AY144+AZ216*AZ144+BA216*BA144+BB216*BB144+BC216*BC144+BD216*BD144+BE216*BE144+BF216*BF144+BG216*BG144+BH216*BH144+BI216*BI144+BJ216*BJ144+BK216*BK144+BL216*BL144+BM216*BM144+BN216*BN144+BO216*BO144+BP216*BP144+BQ216*BQ144+BR216*BR144+BS216*BS144+BT216*BT144+BU216*BU144+BV216*BV144+BW216*BW144+BX216*BX144+BY216*BY144+BZ216*BZ144+CA216*CA144+CB216*CB144+CC216*CC144+CD216*CD144+CE216*CE144+CF216*CF144+CG216*CG144+CH216*CH144</f>
        <v>0</v>
      </c>
      <c r="CR144" s="1952">
        <f>E217*E144+F217*F144+G217*G144+H217*H144+I217*I144+J217*J144+K217*K144+L217*L144+M217*M144+N217*N144+O217*O144+P217*P144+Q217*Q144+R217*R144+S217*S144+T217*T144+U217*U144+V217*V144+W217*W144+X217*X144+Y217*Y144+Z217*Z144+AA217*AA144+AB217*AB144+AC217*AC144+AD217*AD144+AE217*AE144+AF217*AF144+AG217*AG144+AH217*AH144+AI217*AI144+AJ217*AJ144+AK217*AK144+AL217*AL144+AM217*AM144+AN217*AN144+AO217*AO144+AP217*AP144+AQ217*AQ144+AR217*AR144+AS217*AS144+AT217*AT144+AU217*AU144+AV217*AV144+AW217*AW144+AX217*AX144+AY217*AY144+AZ217*AZ144+BA217*BA144+BB217*BB144+BC217*BC144+BD217*BD144+BE217*BE144+BF217*BF144+BG217*BG144+BH217*BH144+BI217*BI144+BJ217*BJ144+BK217*BK144+BL217*BL144+BM217*BM144+BN217*BN144+BO217*BO144+BP217*BP144+BQ217*BQ144+BR217*BR144+BS217*BS144+BT217*BT144+BU217*BU144+BV217*BV144+BW217*BW144+BX217*BX144+BY217*BY144+BZ217*BZ144+CA217*CA144+CB217*CB144+CC217*CC144+CD217*CD144+CE217*CE144+CF217*CF144+CG217*CG144+CH217*CH144</f>
        <v>0</v>
      </c>
      <c r="CS144" s="1952">
        <f>E218*E144+F218*F144+G218*G144+H218*H144+I218*I144+J218*J144+K218*K144+L218*L144+M218*M144+N218*N144+O218*O144+P218*P144+Q218*Q144+R218*R144+S218*S144+T218*T144+U218*U144+V218*V144+W218*W144+X218*X144+Y218*Y144+Z218*Z144+AA218*AA144+AB218*AB144+AC218*AC144+AD218*AD144+AE218*AE144+AF218*AF144+AG218*AG144+AH218*AH144+AI218*AI144+AJ218*AJ144+AK218*AK144+AL218*AL144+AM218*AM144+AN218*AN144+AO218*AO144+AP218*AP144+AQ218*AQ144+AR218*AR144+AS218*AS144+AT218*AT144+AU218*AU144+AV218*AV144+AW218*AW144+AX218*AX144+AY218*AY144+AZ218*AZ144+BA218*BA144+BB218*BB144+BC218*BC144+BD218*BD144+BE218*BE144+BF218*BF144+BG218*BG144+BH218*BH144+BI218*BI144+BJ218*BJ144+BK218*BK144+BL218*BL144+BM218*BM144+BN218*BN144+BO218*BO144+BP218*BP144+BQ218*BQ144+BR218*BR144+BS218*BS144+BT218*BT144+BU218*BU144+BV218*BV144+BW218*BW144+BX218*BX144+BY218*BY144+BZ218*BZ144+CA218*CA144+CB218*CB144+CC218*CC144+CD218*CD144+CE218*CE144+CF218*CF144+CG218*CG144+CH218*CH144</f>
        <v>0</v>
      </c>
      <c r="CT144" s="1952">
        <f>E219*E144+F219*F144+G219*G144+H219*H144+I219*I144+J219*J144+K219*K144+L219*L144+M219*M144+N219*N144+O219*O144+P219*P144+Q219*Q144+R219*R144+S219*S144+T219*T144+U219*U144+V219*V144+W219*W144+X219*X144+Y219*Y144+Z219*Z144+AA219*AA144+AB219*AB144+AC219*AC144+AD219*AD144+AE219*AE144+AF219*AF144+AG219*AG144+AH219*AH144+AI219*AI144+AJ219*AJ144+AK219*AK144+AL219*AL144+AM219*AM144+AN219*AN144+AO219*AO144+AP219*AP144+AQ219*AQ144+AR219*AR144+AS219*AS144+AT219*AT144+AU219*AU144+AV219*AV144+AW219*AW144+AX219*AX144+AY219*AY144+AZ219*AZ144+BA219*BA144+BB219*BB144+BC219*BC144+BD219*BD144+BE219*BE144+BF219*BF144+BG219*BG144+BH219*BH144+BI219*BI144+BJ219*BJ144+BK219*BK144+BL219*BL144+BM219*BM144+BN219*BN144+BO219*BO144+BP219*BP144+BQ219*BQ144+BR219*BR144+BS219*BS144+BT219*BT144+BU219*BU144+BV219*BV144+BW219*BW144+BX219*BX144+BY219*BY144+BZ219*BZ144+CA219*CA144+CB219*CB144+CC219*CC144+CD219*CD144+CE219*CE144+CF219*CF144+CG219*CG144+CH219*CH144</f>
        <v>0</v>
      </c>
      <c r="CU144" s="1952">
        <f>E220*E144+F220*F144+G220*G144+H220*H144+I220*I144+J220*J144+K220*K144+L220*L144+M220*M144+N220*N144+O220*O144+P220*P144+Q220*Q144+R220*R144+S220*S144+T220*T144+U220*U144+V220*V144+W220*W144+X220*X144+Y220*Y144+Z220*Z144+AA220*AA144+AB220*AB144+AC220*AC144+AD220*AD144+AE220*AE144+AF220*AF144+AG220*AG144+AH220*AH144+AI220*AI144+AJ220*AJ144+AK220*AK144+AL220*AL144+AM220*AM144+AN220*AN144+AO220*AO144+AP220*AP144+AQ220*AQ144+AR220*AR144+AS220*AS144+AT220*AT144+AU220*AU144+AV220*AV144+AW220*AW144+AX220*AX144+AY220*AY144+AZ220*AZ144+BA220*BA144+BB220*BB144+BC220*BC144+BD220*BD144+BE220*BE144+BF220*BF144+BG220*BG144+BH220*BH144+BI220*BI144+BJ220*BJ144+BK220*BK144+BL220*BL144+BM220*BM144+BN220*BN144+BO220*BO144+BP220*BP144+BQ220*BQ144+BR220*BR144+BS220*BS144+BT220*BT144+BU220*BU144+BV220*BV144+BW220*BW144+BX220*BX144+BY220*BY144+BZ220*BZ144+CA220*CA144+CB220*CB144+CC220*CC144+CD220*CD144+CE220*CE144+CF220*CF144+CG220*CG144+CH220*CH144</f>
        <v>0</v>
      </c>
    </row>
    <row r="145" spans="2:99" ht="18" x14ac:dyDescent="0.25">
      <c r="B145" s="1037">
        <v>31</v>
      </c>
      <c r="C145" s="1104" t="s">
        <v>3928</v>
      </c>
      <c r="D145" s="1105" t="s">
        <v>290</v>
      </c>
      <c r="E145" s="2059">
        <f>0</f>
        <v>0</v>
      </c>
      <c r="F145" s="2059">
        <f>0</f>
        <v>0</v>
      </c>
      <c r="G145" s="2059">
        <f>0</f>
        <v>0</v>
      </c>
      <c r="H145" s="2059">
        <f>0</f>
        <v>0</v>
      </c>
      <c r="I145" s="2081">
        <f>0</f>
        <v>0</v>
      </c>
      <c r="J145" s="2081">
        <f>1-f_E</f>
        <v>0.92</v>
      </c>
      <c r="K145" s="2059">
        <f>0</f>
        <v>0</v>
      </c>
      <c r="L145" s="2059">
        <f>0</f>
        <v>0</v>
      </c>
      <c r="M145" s="2059">
        <f>0</f>
        <v>0</v>
      </c>
      <c r="N145" s="2059">
        <f>0</f>
        <v>0</v>
      </c>
      <c r="O145" s="2059">
        <f>0</f>
        <v>0</v>
      </c>
      <c r="P145" s="2059">
        <f>f_E</f>
        <v>0.08</v>
      </c>
      <c r="Q145" s="2059">
        <f>0</f>
        <v>0</v>
      </c>
      <c r="R145" s="2059">
        <f>0</f>
        <v>0</v>
      </c>
      <c r="S145" s="2059">
        <f>0</f>
        <v>0</v>
      </c>
      <c r="T145" s="2059">
        <f>0</f>
        <v>0</v>
      </c>
      <c r="U145" s="2059">
        <f>-1</f>
        <v>-1</v>
      </c>
      <c r="V145" s="2059">
        <f>0</f>
        <v>0</v>
      </c>
      <c r="W145" s="2059">
        <f>0</f>
        <v>0</v>
      </c>
      <c r="X145" s="2059">
        <f>0</f>
        <v>0</v>
      </c>
      <c r="Y145" s="2059">
        <f>-f_E*(i_N_XE-i_N_BIO)</f>
        <v>8.0000000000000069E-4</v>
      </c>
      <c r="Z145" s="2059">
        <f>0</f>
        <v>0</v>
      </c>
      <c r="AA145" s="2059">
        <f>0</f>
        <v>0</v>
      </c>
      <c r="AB145" s="2059">
        <f>0</f>
        <v>0</v>
      </c>
      <c r="AC145" s="2081">
        <f>0</f>
        <v>0</v>
      </c>
      <c r="AD145" s="2081">
        <f>(1-f_E)*i_N_BIO</f>
        <v>6.4400000000000013E-2</v>
      </c>
      <c r="AE145" s="2059">
        <f>0</f>
        <v>0</v>
      </c>
      <c r="AF145" s="2059">
        <f>0</f>
        <v>0</v>
      </c>
      <c r="AG145" s="2059">
        <f>0</f>
        <v>0</v>
      </c>
      <c r="AH145" s="2059">
        <f>0</f>
        <v>0</v>
      </c>
      <c r="AI145" s="2081">
        <f>0</f>
        <v>0</v>
      </c>
      <c r="AJ145" s="2081">
        <f>(1-f_E)*i_P_BIO</f>
        <v>1.84E-2</v>
      </c>
      <c r="AK145" s="2059">
        <f>0</f>
        <v>0</v>
      </c>
      <c r="AL145" s="2059">
        <f>0</f>
        <v>0</v>
      </c>
      <c r="AM145" s="2059">
        <f>0</f>
        <v>0</v>
      </c>
      <c r="AN145" s="2059">
        <f>0</f>
        <v>0</v>
      </c>
      <c r="AO145" s="2081">
        <f>(1-f_E)*(i_CIT_BIO-i_CIT_XBe)</f>
        <v>6.0720000000000003E-2</v>
      </c>
      <c r="AP145" s="2059">
        <f>0</f>
        <v>0</v>
      </c>
      <c r="AQ145" s="2059">
        <f>0</f>
        <v>0</v>
      </c>
      <c r="AR145" s="2059">
        <f>0</f>
        <v>0</v>
      </c>
      <c r="AS145" s="2059">
        <f>0</f>
        <v>0</v>
      </c>
      <c r="AT145" s="2059">
        <f>0</f>
        <v>0</v>
      </c>
      <c r="AU145" s="2059">
        <f>0</f>
        <v>0</v>
      </c>
      <c r="AV145" s="2059">
        <f>0</f>
        <v>0</v>
      </c>
      <c r="AW145" s="2059">
        <f>0</f>
        <v>0</v>
      </c>
      <c r="AX145" s="2059">
        <f>0</f>
        <v>0</v>
      </c>
      <c r="AY145" s="2059">
        <f>0</f>
        <v>0</v>
      </c>
      <c r="AZ145" s="2059">
        <f>0</f>
        <v>0</v>
      </c>
      <c r="BA145" s="2059">
        <f>0</f>
        <v>0</v>
      </c>
      <c r="BB145" s="2059">
        <f>0</f>
        <v>0</v>
      </c>
      <c r="BC145" s="2059">
        <f>0</f>
        <v>0</v>
      </c>
      <c r="BD145" s="2059">
        <f>0</f>
        <v>0</v>
      </c>
      <c r="BE145" s="2059">
        <f>0</f>
        <v>0</v>
      </c>
      <c r="BF145" s="2059">
        <f>0</f>
        <v>0</v>
      </c>
      <c r="BG145" s="2059">
        <f>0</f>
        <v>0</v>
      </c>
      <c r="BH145" s="2059">
        <f>0</f>
        <v>0</v>
      </c>
      <c r="BI145" s="2059">
        <f>0</f>
        <v>0</v>
      </c>
      <c r="BJ145" s="2059">
        <f>0</f>
        <v>0</v>
      </c>
      <c r="BK145" s="2059">
        <f>0</f>
        <v>0</v>
      </c>
      <c r="BL145" s="2059">
        <f>0</f>
        <v>0</v>
      </c>
      <c r="BM145" s="2059">
        <f>0</f>
        <v>0</v>
      </c>
      <c r="BN145" s="2059">
        <f>0</f>
        <v>0</v>
      </c>
      <c r="BO145" s="2059">
        <f>0</f>
        <v>0</v>
      </c>
      <c r="BP145" s="2115">
        <f>0</f>
        <v>0</v>
      </c>
      <c r="BQ145" s="2115">
        <f>0</f>
        <v>0</v>
      </c>
      <c r="BR145" s="2115">
        <f>0</f>
        <v>0</v>
      </c>
      <c r="BS145" s="2115">
        <f>0</f>
        <v>0</v>
      </c>
      <c r="BT145" s="2059">
        <f>0</f>
        <v>0</v>
      </c>
      <c r="BU145" s="2059">
        <f>0</f>
        <v>0</v>
      </c>
      <c r="BV145" s="2059">
        <f>0</f>
        <v>0</v>
      </c>
      <c r="BW145" s="2059">
        <f>0</f>
        <v>0</v>
      </c>
      <c r="BX145" s="2059">
        <f>0</f>
        <v>0</v>
      </c>
      <c r="BY145" s="2059">
        <f>0</f>
        <v>0</v>
      </c>
      <c r="BZ145" s="2059">
        <f>0</f>
        <v>0</v>
      </c>
      <c r="CA145" s="2059">
        <f>0</f>
        <v>0</v>
      </c>
      <c r="CB145" s="2059">
        <f>0</f>
        <v>0</v>
      </c>
      <c r="CC145" s="2059">
        <f>0</f>
        <v>0</v>
      </c>
      <c r="CD145" s="2059">
        <f>0</f>
        <v>0</v>
      </c>
      <c r="CE145" s="2059">
        <f>0</f>
        <v>0</v>
      </c>
      <c r="CF145" s="2059">
        <f>0</f>
        <v>0</v>
      </c>
      <c r="CG145" s="2059">
        <f>0</f>
        <v>0</v>
      </c>
      <c r="CH145" s="2059">
        <f>0</f>
        <v>0</v>
      </c>
      <c r="CI145" s="2134">
        <f>b_NITO_T*X_NITO*(M_satSO2_KO2_NITO+η_b_anox*M_satSNOx_KNOx_NITO*M_inhSO2_KO2_NITO)</f>
        <v>13.760874751491054</v>
      </c>
      <c r="CK145" s="1950">
        <f>E210*E145+F210*F145+G210*G145+H210*H145+I210*I145+J210*J145+K210*K145+L210*L145+M210*M145+N210*N145+O210*O145+P210*P145+Q210*Q145+R210*R145+S210*S145+T210*T145+U210*U145+V210*V145+W210*W145+X210*X145+Y210*Y145+Z210*Z145+AA210*AA145+AB210*AB145+AC210*AC145+AD210*AD145+AE210*AE145+AF210*AF145+AG210*AG145+AH210*AH145+AI210*AI145+AJ210*AJ145+AK210*AK145+AL210*AL145+AM210*AM145+AN210*AN145+AO210*AO145+AP210*AP145+AQ210*AQ145+AR210*AR145+AS210*AS145+AT210*AT145+AU210*AU145+AV210*AV145+AW210*AW145+AX210*AX145+AY210*AY145+AZ210*AZ145+BA210*BA145+BB210*BB145+BC210*BC145+BD210*BD145+BE210*BE145+BF210*BF145+BG210*BG145+BH210*BH145+BI210*BI145+BJ210*BJ145+BK210*BK145+BL210*BL145+BM210*BM145+BN210*BN145+BO210*BO145+BP210*BP145+BQ210*BQ145+BR210*BR145+BS210*BS145+BT210*BT145+BU210*BU145+BV210*BV145+BW210*BW145+BX210*BX145+BY210*BY145+BZ210*BZ145+CA210*CA145+CB210*CB145+CC210*CC145+CD210*CD145+CE210*CE145+CF210*CF145+CG210*CG145+CH210*CH145</f>
        <v>0</v>
      </c>
      <c r="CL145" s="1950">
        <f>E211*E145+F211*F145+G211*G145+H211*H145+I211*I145+J211*J145+K211*K145+L211*L145+M211*M145+N211*N145+O211*O145+P211*P145+Q211*Q145+R211*R145+S211*S145+T211*T145+U211*U145+V211*V145+W211*W145+X211*X145+Y211*Y145+Z211*Z145+AA211*AA145+AB211*AB145+AC211*AC145+AD211*AD145+AE211*AE145+AF211*AF145+AG211*AG145+AH211*AH145+AI211*AI145+AJ211*AJ145+AK211*AK145+AL211*AL145+AM211*AM145+AN211*AN145+AO211*AO145+AP211*AP145+AQ211*AQ145+AR211*AR145+AS211*AS145+AT211*AT145+AU211*AU145+AV211*AV145+AW211*AW145+AX211*AX145+AY211*AY145+AZ211*AZ145+BA211*BA145+BB211*BB145+BC211*BC145+BD211*BD145+BE211*BE145+BF211*BF145+BG211*BG145+BH211*BH145+BI211*BI145+BJ211*BJ145+BK211*BK145+BL211*BL145+BM211*BM145+BN211*BN145+BO211*BO145+BP211*BP145+BQ211*BQ145+BR211*BR145+BS211*BS145+BT211*BT145+BU211*BU145+BV211*BV145+BW211*BW145+BX211*BX145+BY211*BY145+BZ211*BZ145+CA211*CA145+CB211*CB145+CC211*CC145+CD211*CD145+CE211*CE145+CF211*CF145+CG211*CG145+CH211*CH145</f>
        <v>6.9388939039072284E-18</v>
      </c>
      <c r="CM145" s="1951">
        <f>E212*E145+F212*F145+G212*G145+H212*H145+I212*I145+J212*J145+K212*K145+L212*L145+M212*M145+N212*N145+O212*O145+P212*P145+Q212*Q145+R212*R145+S212*S145+T212*T145+U212*U145+V212*V145+W212*W145+X212*X145+Y212*Y145+Z212*Z145+AA212*AA145+AB212*AB145+AC212*AC145+AD212*AD145+AE212*AE145+AF212*AF145+AG212*AG145+AH212*AH145+AI212*AI145+AJ212*AJ145+AK212*AK145+AL212*AL145+AM212*AM145+AN212*AN145+AO212*AO145+AP212*AP145+AQ212*AQ145+AR212*AR145+AS212*AS145+AT212*AT145+AU212*AU145+AV212*AV145+AW212*AW145+AX212*AX145+AY212*AY145+AZ212*AZ145+BA212*BA145+BB212*BB145+BC212*BC145+BD212*BD145+BE212*BE145+BF212*BF145+BG212*BG145+BH212*BH145+BI212*BI145+BJ212*BJ145+BK212*BK145+BL212*BL145+BM212*BM145+BN212*BN145+BO212*BO145+BP212*BP145+BQ212*BQ145+BR212*BR145+BS212*BS145+BT212*BT145+BU212*BU145+BV212*BV145+BW212*BW145+BX212*BX145+BY212*BY145+BZ212*BZ145+CA212*CA145+CB212*CB145+CC212*CC145+CD212*CD145+CE212*CE145+CF212*CF145+CG212*CG145+CH212*CH145</f>
        <v>0</v>
      </c>
      <c r="CN145" s="1952">
        <f>E213*E145+F213*F145+G213*G145+H213*H145+I213*I145+J213*J145+K213*K145+L213*L145+M213*M145+N213*N145+O213*O145+P213*P145+Q213*Q145+R213*R145+S213*S145+T213*T145+U213*U145+V213*V145+W213*W145+X213*X145+Y213*Y145+Z213*Z145+AA213*AA145+AB213*AB145+AC213*AC145+AD213*AD145+AE213*AE145+AF213*AF145+AG213*AG145+AH213*AH145+AI213*AI145+AJ213*AJ145+AK213*AK145+AL213*AL145+AM213*AM145+AN213*AN145+AO213*AO145+AP213*AP145+AQ213*AQ145+AR213*AR145+AS213*AS145+AT213*AT145+AU213*AU145+AV213*AV145+AW213*AW145+AX213*AX145+AY213*AY145+AZ213*AZ145+BA213*BA145+BB213*BB145+BC213*BC145+BD213*BD145+BE213*BE145+BF213*BF145+BG213*BG145+BH213*BH145+BI213*BI145+BJ213*BJ145+BK213*BK145+BL213*BL145+BM213*BM145+BN213*BN145+BO213*BO145+BP213*BP145+BQ213*BQ145+BR213*BR145+BS213*BS145+BT213*BT145+BU213*BU145+BV213*BV145+BW213*BW145+BX213*BX145+BY213*BY145+BZ213*BZ145+CA213*CA145+CB213*CB145+CC213*CC145+CD213*CD145+CE213*CE145+CF213*CF145+CG213*CG145+CH213*CH145</f>
        <v>0</v>
      </c>
      <c r="CO145" s="1952">
        <f>E214*E145+F214*F145+G214*G145+H214*H145+I214*I145+J214*J145+K214*K145+L214*L145+M214*M145+N214*N145+O214*O145+P214*P145+Q214*Q145+R214*R145+S214*S145+T214*T145+U214*U145+V214*V145+W214*W145+X214*X145+Y214*Y145+Z214*Z145+AA214*AA145+AB214*AB145+AC214*AC145+AD214*AD145+AE214*AE145+AF214*AF145+AG214*AG145+AH214*AH145+AI214*AI145+AJ214*AJ145+AK214*AK145+AL214*AL145+AM214*AM145+AN214*AN145+AO214*AO145+AP214*AP145+AQ214*AQ145+AR214*AR145+AS214*AS145+AT214*AT145+AU214*AU145+AV214*AV145+AW214*AW145+AX214*AX145+AY214*AY145+AZ214*AZ145+BA214*BA145+BB214*BB145+BC214*BC145+BD214*BD145+BE214*BE145+BF214*BF145+BG214*BG145+BH214*BH145+BI214*BI145+BJ214*BJ145+BK214*BK145+BL214*BL145+BM214*BM145+BN214*BN145+BO214*BO145+BP214*BP145+BQ214*BQ145+BR214*BR145+BS214*BS145+BT214*BT145+BU214*BU145+BV214*BV145+BW214*BW145+BX214*BX145+BY214*BY145+BZ214*BZ145+CA214*CA145+CB214*CB145+CC214*CC145+CD214*CD145+CE214*CE145+CF214*CF145+CG214*CG145+CH214*CH145</f>
        <v>0</v>
      </c>
      <c r="CP145" s="1952">
        <f>E215*E145+F215*F145+G215*G145+H215*H145+I215*I145+J215*J145+K215*K145+L215*L145+M215*M145+N215*N145+O215*O145+P215*P145+Q215*Q145+R215*R145+S215*S145+T215*T145+U215*U145+V215*V145+W215*W145+X215*X145+Y215*Y145+Z215*Z145+AA215*AA145+AB215*AB145+AC215*AC145+AD215*AD145+AE215*AE145+AF215*AF145+AG215*AG145+AH215*AH145+AI215*AI145+AJ215*AJ145+AK215*AK145+AL215*AL145+AM215*AM145+AN215*AN145+AO215*AO145+AP215*AP145+AQ215*AQ145+AR215*AR145+AS215*AS145+AT215*AT145+AU215*AU145+AV215*AV145+AW215*AW145+AX215*AX145+AY215*AY145+AZ215*AZ145+BA215*BA145+BB215*BB145+BC215*BC145+BD215*BD145+BE215*BE145+BF215*BF145+BG215*BG145+BH215*BH145+BI215*BI145+BJ215*BJ145+BK215*BK145+BL215*BL145+BM215*BM145+BN215*BN145+BO215*BO145+BP215*BP145+BQ215*BQ145+BR215*BR145+BS215*BS145+BT215*BT145+BU215*BU145+BV215*BV145+BW215*BW145+BX215*BX145+BY215*BY145+BZ215*BZ145+CA215*CA145+CB215*CB145+CC215*CC145+CD215*CD145+CE215*CE145+CF215*CF145+CG215*CG145+CH215*CH145</f>
        <v>0</v>
      </c>
      <c r="CQ145" s="1952">
        <f>E216*E145+F216*F145+G216*G145+H216*H145+I216*I145+J216*J145+K216*K145+L216*L145+M216*M145+N216*N145+O216*O145+P216*P145+Q216*Q145+R216*R145+S216*S145+T216*T145+U216*U145+V216*V145+W216*W145+X216*X145+Y216*Y145+Z216*Z145+AA216*AA145+AB216*AB145+AC216*AC145+AD216*AD145+AE216*AE145+AF216*AF145+AG216*AG145+AH216*AH145+AI216*AI145+AJ216*AJ145+AK216*AK145+AL216*AL145+AM216*AM145+AN216*AN145+AO216*AO145+AP216*AP145+AQ216*AQ145+AR216*AR145+AS216*AS145+AT216*AT145+AU216*AU145+AV216*AV145+AW216*AW145+AX216*AX145+AY216*AY145+AZ216*AZ145+BA216*BA145+BB216*BB145+BC216*BC145+BD216*BD145+BE216*BE145+BF216*BF145+BG216*BG145+BH216*BH145+BI216*BI145+BJ216*BJ145+BK216*BK145+BL216*BL145+BM216*BM145+BN216*BN145+BO216*BO145+BP216*BP145+BQ216*BQ145+BR216*BR145+BS216*BS145+BT216*BT145+BU216*BU145+BV216*BV145+BW216*BW145+BX216*BX145+BY216*BY145+BZ216*BZ145+CA216*CA145+CB216*CB145+CC216*CC145+CD216*CD145+CE216*CE145+CF216*CF145+CG216*CG145+CH216*CH145</f>
        <v>0</v>
      </c>
      <c r="CR145" s="1952">
        <f>E217*E145+F217*F145+G217*G145+H217*H145+I217*I145+J217*J145+K217*K145+L217*L145+M217*M145+N217*N145+O217*O145+P217*P145+Q217*Q145+R217*R145+S217*S145+T217*T145+U217*U145+V217*V145+W217*W145+X217*X145+Y217*Y145+Z217*Z145+AA217*AA145+AB217*AB145+AC217*AC145+AD217*AD145+AE217*AE145+AF217*AF145+AG217*AG145+AH217*AH145+AI217*AI145+AJ217*AJ145+AK217*AK145+AL217*AL145+AM217*AM145+AN217*AN145+AO217*AO145+AP217*AP145+AQ217*AQ145+AR217*AR145+AS217*AS145+AT217*AT145+AU217*AU145+AV217*AV145+AW217*AW145+AX217*AX145+AY217*AY145+AZ217*AZ145+BA217*BA145+BB217*BB145+BC217*BC145+BD217*BD145+BE217*BE145+BF217*BF145+BG217*BG145+BH217*BH145+BI217*BI145+BJ217*BJ145+BK217*BK145+BL217*BL145+BM217*BM145+BN217*BN145+BO217*BO145+BP217*BP145+BQ217*BQ145+BR217*BR145+BS217*BS145+BT217*BT145+BU217*BU145+BV217*BV145+BW217*BW145+BX217*BX145+BY217*BY145+BZ217*BZ145+CA217*CA145+CB217*CB145+CC217*CC145+CD217*CD145+CE217*CE145+CF217*CF145+CG217*CG145+CH217*CH145</f>
        <v>0</v>
      </c>
      <c r="CS145" s="1952">
        <f>E218*E145+F218*F145+G218*G145+H218*H145+I218*I145+J218*J145+K218*K145+L218*L145+M218*M145+N218*N145+O218*O145+P218*P145+Q218*Q145+R218*R145+S218*S145+T218*T145+U218*U145+V218*V145+W218*W145+X218*X145+Y218*Y145+Z218*Z145+AA218*AA145+AB218*AB145+AC218*AC145+AD218*AD145+AE218*AE145+AF218*AF145+AG218*AG145+AH218*AH145+AI218*AI145+AJ218*AJ145+AK218*AK145+AL218*AL145+AM218*AM145+AN218*AN145+AO218*AO145+AP218*AP145+AQ218*AQ145+AR218*AR145+AS218*AS145+AT218*AT145+AU218*AU145+AV218*AV145+AW218*AW145+AX218*AX145+AY218*AY145+AZ218*AZ145+BA218*BA145+BB218*BB145+BC218*BC145+BD218*BD145+BE218*BE145+BF218*BF145+BG218*BG145+BH218*BH145+BI218*BI145+BJ218*BJ145+BK218*BK145+BL218*BL145+BM218*BM145+BN218*BN145+BO218*BO145+BP218*BP145+BQ218*BQ145+BR218*BR145+BS218*BS145+BT218*BT145+BU218*BU145+BV218*BV145+BW218*BW145+BX218*BX145+BY218*BY145+BZ218*BZ145+CA218*CA145+CB218*CB145+CC218*CC145+CD218*CD145+CE218*CE145+CF218*CF145+CG218*CG145+CH218*CH145</f>
        <v>0</v>
      </c>
      <c r="CT145" s="1952">
        <f>E219*E145+F219*F145+G219*G145+H219*H145+I219*I145+J219*J145+K219*K145+L219*L145+M219*M145+N219*N145+O219*O145+P219*P145+Q219*Q145+R219*R145+S219*S145+T219*T145+U219*U145+V219*V145+W219*W145+X219*X145+Y219*Y145+Z219*Z145+AA219*AA145+AB219*AB145+AC219*AC145+AD219*AD145+AE219*AE145+AF219*AF145+AG219*AG145+AH219*AH145+AI219*AI145+AJ219*AJ145+AK219*AK145+AL219*AL145+AM219*AM145+AN219*AN145+AO219*AO145+AP219*AP145+AQ219*AQ145+AR219*AR145+AS219*AS145+AT219*AT145+AU219*AU145+AV219*AV145+AW219*AW145+AX219*AX145+AY219*AY145+AZ219*AZ145+BA219*BA145+BB219*BB145+BC219*BC145+BD219*BD145+BE219*BE145+BF219*BF145+BG219*BG145+BH219*BH145+BI219*BI145+BJ219*BJ145+BK219*BK145+BL219*BL145+BM219*BM145+BN219*BN145+BO219*BO145+BP219*BP145+BQ219*BQ145+BR219*BR145+BS219*BS145+BT219*BT145+BU219*BU145+BV219*BV145+BW219*BW145+BX219*BX145+BY219*BY145+BZ219*BZ145+CA219*CA145+CB219*CB145+CC219*CC145+CD219*CD145+CE219*CE145+CF219*CF145+CG219*CG145+CH219*CH145</f>
        <v>0</v>
      </c>
      <c r="CU145" s="1952">
        <f>E220*E145+F220*F145+G220*G145+H220*H145+I220*I145+J220*J145+K220*K145+L220*L145+M220*M145+N220*N145+O220*O145+P220*P145+Q220*Q145+R220*R145+S220*S145+T220*T145+U220*U145+V220*V145+W220*W145+X220*X145+Y220*Y145+Z220*Z145+AA220*AA145+AB220*AB145+AC220*AC145+AD220*AD145+AE220*AE145+AF220*AF145+AG220*AG145+AH220*AH145+AI220*AI145+AJ220*AJ145+AK220*AK145+AL220*AL145+AM220*AM145+AN220*AN145+AO220*AO145+AP220*AP145+AQ220*AQ145+AR220*AR145+AS220*AS145+AT220*AT145+AU220*AU145+AV220*AV145+AW220*AW145+AX220*AX145+AY220*AY145+AZ220*AZ145+BA220*BA145+BB220*BB145+BC220*BC145+BD220*BD145+BE220*BE145+BF220*BF145+BG220*BG145+BH220*BH145+BI220*BI145+BJ220*BJ145+BK220*BK145+BL220*BL145+BM220*BM145+BN220*BN145+BO220*BO145+BP220*BP145+BQ220*BQ145+BR220*BR145+BS220*BS145+BT220*BT145+BU220*BU145+BV220*BV145+BW220*BW145+BX220*BX145+BY220*BY145+BZ220*BZ145+CA220*CA145+CB220*CB145+CC220*CC145+CD220*CD145+CE220*CE145+CF220*CF145+CG220*CG145+CH220*CH145</f>
        <v>0</v>
      </c>
    </row>
    <row r="146" spans="2:99" ht="18" x14ac:dyDescent="0.25">
      <c r="B146" s="1037">
        <v>32</v>
      </c>
      <c r="C146" s="1104" t="s">
        <v>3746</v>
      </c>
      <c r="D146" s="1105" t="s">
        <v>2668</v>
      </c>
      <c r="E146" s="2059">
        <f>0</f>
        <v>0</v>
      </c>
      <c r="F146" s="2059">
        <f>0</f>
        <v>0</v>
      </c>
      <c r="G146" s="2059">
        <f>0</f>
        <v>0</v>
      </c>
      <c r="H146" s="2059">
        <f>0</f>
        <v>0</v>
      </c>
      <c r="I146" s="2081">
        <f>0</f>
        <v>0</v>
      </c>
      <c r="J146" s="2081">
        <f>1-f_E</f>
        <v>0.92</v>
      </c>
      <c r="K146" s="2059">
        <f>0</f>
        <v>0</v>
      </c>
      <c r="L146" s="2059">
        <f>0</f>
        <v>0</v>
      </c>
      <c r="M146" s="2059">
        <f>0</f>
        <v>0</v>
      </c>
      <c r="N146" s="2059">
        <f>0</f>
        <v>0</v>
      </c>
      <c r="O146" s="2059">
        <f>0</f>
        <v>0</v>
      </c>
      <c r="P146" s="2059">
        <f>0</f>
        <v>0</v>
      </c>
      <c r="Q146" s="2059">
        <f>f_E</f>
        <v>0.08</v>
      </c>
      <c r="R146" s="2059">
        <f>0</f>
        <v>0</v>
      </c>
      <c r="S146" s="2059">
        <f>0</f>
        <v>0</v>
      </c>
      <c r="T146" s="2059">
        <f>0</f>
        <v>0</v>
      </c>
      <c r="U146" s="2059">
        <f>-1</f>
        <v>-1</v>
      </c>
      <c r="V146" s="2059">
        <f>0</f>
        <v>0</v>
      </c>
      <c r="W146" s="2059">
        <f>0</f>
        <v>0</v>
      </c>
      <c r="X146" s="2059">
        <f>0</f>
        <v>0</v>
      </c>
      <c r="Y146" s="2059">
        <f>-f_E*(i_N_XE-i_N_BIO)</f>
        <v>8.0000000000000069E-4</v>
      </c>
      <c r="Z146" s="2059">
        <f>0</f>
        <v>0</v>
      </c>
      <c r="AA146" s="2059">
        <f>0</f>
        <v>0</v>
      </c>
      <c r="AB146" s="2059">
        <f>0</f>
        <v>0</v>
      </c>
      <c r="AC146" s="2081">
        <f>0</f>
        <v>0</v>
      </c>
      <c r="AD146" s="2081">
        <f>(1-f_E)*i_N_BIO</f>
        <v>6.4400000000000013E-2</v>
      </c>
      <c r="AE146" s="2059">
        <f>0</f>
        <v>0</v>
      </c>
      <c r="AF146" s="2059">
        <f>0</f>
        <v>0</v>
      </c>
      <c r="AG146" s="2059">
        <f>0</f>
        <v>0</v>
      </c>
      <c r="AH146" s="2059">
        <f>0</f>
        <v>0</v>
      </c>
      <c r="AI146" s="2081">
        <f>0</f>
        <v>0</v>
      </c>
      <c r="AJ146" s="2081">
        <f>(1-f_E)*i_P_BIO</f>
        <v>1.84E-2</v>
      </c>
      <c r="AK146" s="2059">
        <f>0</f>
        <v>0</v>
      </c>
      <c r="AL146" s="2059">
        <f>0</f>
        <v>0</v>
      </c>
      <c r="AM146" s="2059">
        <f>0</f>
        <v>0</v>
      </c>
      <c r="AN146" s="2059">
        <f>0</f>
        <v>0</v>
      </c>
      <c r="AO146" s="2081">
        <f>(1-f_E)*(i_CIT_BIO-i_CIT_XBe)</f>
        <v>6.0720000000000003E-2</v>
      </c>
      <c r="AP146" s="2059">
        <f>0</f>
        <v>0</v>
      </c>
      <c r="AQ146" s="2059">
        <f>0</f>
        <v>0</v>
      </c>
      <c r="AR146" s="2059">
        <f>0</f>
        <v>0</v>
      </c>
      <c r="AS146" s="2059">
        <f>0</f>
        <v>0</v>
      </c>
      <c r="AT146" s="2059">
        <f>0</f>
        <v>0</v>
      </c>
      <c r="AU146" s="2059">
        <f>0</f>
        <v>0</v>
      </c>
      <c r="AV146" s="2059">
        <f>0</f>
        <v>0</v>
      </c>
      <c r="AW146" s="2059">
        <f>0</f>
        <v>0</v>
      </c>
      <c r="AX146" s="2059">
        <f>0</f>
        <v>0</v>
      </c>
      <c r="AY146" s="2059">
        <f>0</f>
        <v>0</v>
      </c>
      <c r="AZ146" s="2059">
        <f>0</f>
        <v>0</v>
      </c>
      <c r="BA146" s="2059">
        <f>0</f>
        <v>0</v>
      </c>
      <c r="BB146" s="2059">
        <f>0</f>
        <v>0</v>
      </c>
      <c r="BC146" s="2059">
        <f>0</f>
        <v>0</v>
      </c>
      <c r="BD146" s="2059">
        <f>0</f>
        <v>0</v>
      </c>
      <c r="BE146" s="2059">
        <f>0</f>
        <v>0</v>
      </c>
      <c r="BF146" s="2059">
        <f>0</f>
        <v>0</v>
      </c>
      <c r="BG146" s="2059">
        <f>0</f>
        <v>0</v>
      </c>
      <c r="BH146" s="2059">
        <f>0</f>
        <v>0</v>
      </c>
      <c r="BI146" s="2059">
        <f>0</f>
        <v>0</v>
      </c>
      <c r="BJ146" s="2059">
        <f>0</f>
        <v>0</v>
      </c>
      <c r="BK146" s="2059">
        <f>0</f>
        <v>0</v>
      </c>
      <c r="BL146" s="2059">
        <f>0</f>
        <v>0</v>
      </c>
      <c r="BM146" s="2059">
        <f>0</f>
        <v>0</v>
      </c>
      <c r="BN146" s="2059">
        <f>0</f>
        <v>0</v>
      </c>
      <c r="BO146" s="2059">
        <f>0</f>
        <v>0</v>
      </c>
      <c r="BP146" s="2115">
        <f>0</f>
        <v>0</v>
      </c>
      <c r="BQ146" s="2115">
        <f>0</f>
        <v>0</v>
      </c>
      <c r="BR146" s="2115">
        <f>0</f>
        <v>0</v>
      </c>
      <c r="BS146" s="2115">
        <f>0</f>
        <v>0</v>
      </c>
      <c r="BT146" s="2059">
        <f>0</f>
        <v>0</v>
      </c>
      <c r="BU146" s="2059">
        <f>0</f>
        <v>0</v>
      </c>
      <c r="BV146" s="2059">
        <f>0</f>
        <v>0</v>
      </c>
      <c r="BW146" s="2059">
        <f>0</f>
        <v>0</v>
      </c>
      <c r="BX146" s="2059">
        <f>0</f>
        <v>0</v>
      </c>
      <c r="BY146" s="2059">
        <f>0</f>
        <v>0</v>
      </c>
      <c r="BZ146" s="2059">
        <f>0</f>
        <v>0</v>
      </c>
      <c r="CA146" s="2059">
        <f>0</f>
        <v>0</v>
      </c>
      <c r="CB146" s="2059">
        <f>0</f>
        <v>0</v>
      </c>
      <c r="CC146" s="2059">
        <f>0</f>
        <v>0</v>
      </c>
      <c r="CD146" s="2059">
        <f>0</f>
        <v>0</v>
      </c>
      <c r="CE146" s="2059">
        <f>0</f>
        <v>0</v>
      </c>
      <c r="CF146" s="2059">
        <f>0</f>
        <v>0</v>
      </c>
      <c r="CG146" s="2059">
        <f>0</f>
        <v>0</v>
      </c>
      <c r="CH146" s="2059">
        <f>0</f>
        <v>0</v>
      </c>
      <c r="CI146" s="2134">
        <f>b_NITO_T*X_NITO*(η_b_ana*M_inhSNOx_KNOx_NITO*M_inhSO2_KO2_NITO+m_tox_ana)</f>
        <v>4.5626242544731617E-3</v>
      </c>
      <c r="CK146" s="1950">
        <f>E210*E146+F210*F146+G210*G146+H210*H146+I210*I146+J210*J146+K210*K146+L210*L146+M210*M146+N210*N146+O210*O146+P210*P146+Q210*Q146+R210*R146+S210*S146+T210*T146+U210*U146+V210*V146+W210*W146+X210*X146+Y210*Y146+Z210*Z146+AA210*AA146+AB210*AB146+AC210*AC146+AD210*AD146+AE210*AE146+AF210*AF146+AG210*AG146+AH210*AH146+AI210*AI146+AJ210*AJ146+AK210*AK146+AL210*AL146+AM210*AM146+AN210*AN146+AO210*AO146+AP210*AP146+AQ210*AQ146+AR210*AR146+AS210*AS146+AT210*AT146+AU210*AU146+AV210*AV146+AW210*AW146+AX210*AX146+AY210*AY146+AZ210*AZ146+BA210*BA146+BB210*BB146+BC210*BC146+BD210*BD146+BE210*BE146+BF210*BF146+BG210*BG146+BH210*BH146+BI210*BI146+BJ210*BJ146+BK210*BK146+BL210*BL146+BM210*BM146+BN210*BN146+BO210*BO146+BP210*BP146+BQ210*BQ146+BR210*BR146+BS210*BS146+BT210*BT146+BU210*BU146+BV210*BV146+BW210*BW146+BX210*BX146+BY210*BY146+BZ210*BZ146+CA210*CA146+CB210*CB146+CC210*CC146+CD210*CD146+CE210*CE146+CF210*CF146+CG210*CG146+CH210*CH146</f>
        <v>0</v>
      </c>
      <c r="CL146" s="1950">
        <f>E211*E146+F211*F146+G211*G146+H211*H146+I211*I146+J211*J146+K211*K146+L211*L146+M211*M146+N211*N146+O211*O146+P211*P146+Q211*Q146+R211*R146+S211*S146+T211*T146+U211*U146+V211*V146+W211*W146+X211*X146+Y211*Y146+Z211*Z146+AA211*AA146+AB211*AB146+AC211*AC146+AD211*AD146+AE211*AE146+AF211*AF146+AG211*AG146+AH211*AH146+AI211*AI146+AJ211*AJ146+AK211*AK146+AL211*AL146+AM211*AM146+AN211*AN146+AO211*AO146+AP211*AP146+AQ211*AQ146+AR211*AR146+AS211*AS146+AT211*AT146+AU211*AU146+AV211*AV146+AW211*AW146+AX211*AX146+AY211*AY146+AZ211*AZ146+BA211*BA146+BB211*BB146+BC211*BC146+BD211*BD146+BE211*BE146+BF211*BF146+BG211*BG146+BH211*BH146+BI211*BI146+BJ211*BJ146+BK211*BK146+BL211*BL146+BM211*BM146+BN211*BN146+BO211*BO146+BP211*BP146+BQ211*BQ146+BR211*BR146+BS211*BS146+BT211*BT146+BU211*BU146+BV211*BV146+BW211*BW146+BX211*BX146+BY211*BY146+BZ211*BZ146+CA211*CA146+CB211*CB146+CC211*CC146+CD211*CD146+CE211*CE146+CF211*CF146+CG211*CG146+CH211*CH146</f>
        <v>6.9388939039072284E-18</v>
      </c>
      <c r="CM146" s="1951">
        <f>E212*E146+F212*F146+G212*G146+H212*H146+I212*I146+J212*J146+K212*K146+L212*L146+M212*M146+N212*N146+O212*O146+P212*P146+Q212*Q146+R212*R146+S212*S146+T212*T146+U212*U146+V212*V146+W212*W146+X212*X146+Y212*Y146+Z212*Z146+AA212*AA146+AB212*AB146+AC212*AC146+AD212*AD146+AE212*AE146+AF212*AF146+AG212*AG146+AH212*AH146+AI212*AI146+AJ212*AJ146+AK212*AK146+AL212*AL146+AM212*AM146+AN212*AN146+AO212*AO146+AP212*AP146+AQ212*AQ146+AR212*AR146+AS212*AS146+AT212*AT146+AU212*AU146+AV212*AV146+AW212*AW146+AX212*AX146+AY212*AY146+AZ212*AZ146+BA212*BA146+BB212*BB146+BC212*BC146+BD212*BD146+BE212*BE146+BF212*BF146+BG212*BG146+BH212*BH146+BI212*BI146+BJ212*BJ146+BK212*BK146+BL212*BL146+BM212*BM146+BN212*BN146+BO212*BO146+BP212*BP146+BQ212*BQ146+BR212*BR146+BS212*BS146+BT212*BT146+BU212*BU146+BV212*BV146+BW212*BW146+BX212*BX146+BY212*BY146+BZ212*BZ146+CA212*CA146+CB212*CB146+CC212*CC146+CD212*CD146+CE212*CE146+CF212*CF146+CG212*CG146+CH212*CH146</f>
        <v>0</v>
      </c>
      <c r="CN146" s="1952">
        <f>E213*E146+F213*F146+G213*G146+H213*H146+I213*I146+J213*J146+K213*K146+L213*L146+M213*M146+N213*N146+O213*O146+P213*P146+Q213*Q146+R213*R146+S213*S146+T213*T146+U213*U146+V213*V146+W213*W146+X213*X146+Y213*Y146+Z213*Z146+AA213*AA146+AB213*AB146+AC213*AC146+AD213*AD146+AE213*AE146+AF213*AF146+AG213*AG146+AH213*AH146+AI213*AI146+AJ213*AJ146+AK213*AK146+AL213*AL146+AM213*AM146+AN213*AN146+AO213*AO146+AP213*AP146+AQ213*AQ146+AR213*AR146+AS213*AS146+AT213*AT146+AU213*AU146+AV213*AV146+AW213*AW146+AX213*AX146+AY213*AY146+AZ213*AZ146+BA213*BA146+BB213*BB146+BC213*BC146+BD213*BD146+BE213*BE146+BF213*BF146+BG213*BG146+BH213*BH146+BI213*BI146+BJ213*BJ146+BK213*BK146+BL213*BL146+BM213*BM146+BN213*BN146+BO213*BO146+BP213*BP146+BQ213*BQ146+BR213*BR146+BS213*BS146+BT213*BT146+BU213*BU146+BV213*BV146+BW213*BW146+BX213*BX146+BY213*BY146+BZ213*BZ146+CA213*CA146+CB213*CB146+CC213*CC146+CD213*CD146+CE213*CE146+CF213*CF146+CG213*CG146+CH213*CH146</f>
        <v>0</v>
      </c>
      <c r="CO146" s="1952">
        <f>E214*E146+F214*F146+G214*G146+H214*H146+I214*I146+J214*J146+K214*K146+L214*L146+M214*M146+N214*N146+O214*O146+P214*P146+Q214*Q146+R214*R146+S214*S146+T214*T146+U214*U146+V214*V146+W214*W146+X214*X146+Y214*Y146+Z214*Z146+AA214*AA146+AB214*AB146+AC214*AC146+AD214*AD146+AE214*AE146+AF214*AF146+AG214*AG146+AH214*AH146+AI214*AI146+AJ214*AJ146+AK214*AK146+AL214*AL146+AM214*AM146+AN214*AN146+AO214*AO146+AP214*AP146+AQ214*AQ146+AR214*AR146+AS214*AS146+AT214*AT146+AU214*AU146+AV214*AV146+AW214*AW146+AX214*AX146+AY214*AY146+AZ214*AZ146+BA214*BA146+BB214*BB146+BC214*BC146+BD214*BD146+BE214*BE146+BF214*BF146+BG214*BG146+BH214*BH146+BI214*BI146+BJ214*BJ146+BK214*BK146+BL214*BL146+BM214*BM146+BN214*BN146+BO214*BO146+BP214*BP146+BQ214*BQ146+BR214*BR146+BS214*BS146+BT214*BT146+BU214*BU146+BV214*BV146+BW214*BW146+BX214*BX146+BY214*BY146+BZ214*BZ146+CA214*CA146+CB214*CB146+CC214*CC146+CD214*CD146+CE214*CE146+CF214*CF146+CG214*CG146+CH214*CH146</f>
        <v>0</v>
      </c>
      <c r="CP146" s="1952">
        <f>E215*E146+F215*F146+G215*G146+H215*H146+I215*I146+J215*J146+K215*K146+L215*L146+M215*M146+N215*N146+O215*O146+P215*P146+Q215*Q146+R215*R146+S215*S146+T215*T146+U215*U146+V215*V146+W215*W146+X215*X146+Y215*Y146+Z215*Z146+AA215*AA146+AB215*AB146+AC215*AC146+AD215*AD146+AE215*AE146+AF215*AF146+AG215*AG146+AH215*AH146+AI215*AI146+AJ215*AJ146+AK215*AK146+AL215*AL146+AM215*AM146+AN215*AN146+AO215*AO146+AP215*AP146+AQ215*AQ146+AR215*AR146+AS215*AS146+AT215*AT146+AU215*AU146+AV215*AV146+AW215*AW146+AX215*AX146+AY215*AY146+AZ215*AZ146+BA215*BA146+BB215*BB146+BC215*BC146+BD215*BD146+BE215*BE146+BF215*BF146+BG215*BG146+BH215*BH146+BI215*BI146+BJ215*BJ146+BK215*BK146+BL215*BL146+BM215*BM146+BN215*BN146+BO215*BO146+BP215*BP146+BQ215*BQ146+BR215*BR146+BS215*BS146+BT215*BT146+BU215*BU146+BV215*BV146+BW215*BW146+BX215*BX146+BY215*BY146+BZ215*BZ146+CA215*CA146+CB215*CB146+CC215*CC146+CD215*CD146+CE215*CE146+CF215*CF146+CG215*CG146+CH215*CH146</f>
        <v>0</v>
      </c>
      <c r="CQ146" s="1952">
        <f>E216*E146+F216*F146+G216*G146+H216*H146+I216*I146+J216*J146+K216*K146+L216*L146+M216*M146+N216*N146+O216*O146+P216*P146+Q216*Q146+R216*R146+S216*S146+T216*T146+U216*U146+V216*V146+W216*W146+X216*X146+Y216*Y146+Z216*Z146+AA216*AA146+AB216*AB146+AC216*AC146+AD216*AD146+AE216*AE146+AF216*AF146+AG216*AG146+AH216*AH146+AI216*AI146+AJ216*AJ146+AK216*AK146+AL216*AL146+AM216*AM146+AN216*AN146+AO216*AO146+AP216*AP146+AQ216*AQ146+AR216*AR146+AS216*AS146+AT216*AT146+AU216*AU146+AV216*AV146+AW216*AW146+AX216*AX146+AY216*AY146+AZ216*AZ146+BA216*BA146+BB216*BB146+BC216*BC146+BD216*BD146+BE216*BE146+BF216*BF146+BG216*BG146+BH216*BH146+BI216*BI146+BJ216*BJ146+BK216*BK146+BL216*BL146+BM216*BM146+BN216*BN146+BO216*BO146+BP216*BP146+BQ216*BQ146+BR216*BR146+BS216*BS146+BT216*BT146+BU216*BU146+BV216*BV146+BW216*BW146+BX216*BX146+BY216*BY146+BZ216*BZ146+CA216*CA146+CB216*CB146+CC216*CC146+CD216*CD146+CE216*CE146+CF216*CF146+CG216*CG146+CH216*CH146</f>
        <v>0</v>
      </c>
      <c r="CR146" s="1952">
        <f>E217*E146+F217*F146+G217*G146+H217*H146+I217*I146+J217*J146+K217*K146+L217*L146+M217*M146+N217*N146+O217*O146+P217*P146+Q217*Q146+R217*R146+S217*S146+T217*T146+U217*U146+V217*V146+W217*W146+X217*X146+Y217*Y146+Z217*Z146+AA217*AA146+AB217*AB146+AC217*AC146+AD217*AD146+AE217*AE146+AF217*AF146+AG217*AG146+AH217*AH146+AI217*AI146+AJ217*AJ146+AK217*AK146+AL217*AL146+AM217*AM146+AN217*AN146+AO217*AO146+AP217*AP146+AQ217*AQ146+AR217*AR146+AS217*AS146+AT217*AT146+AU217*AU146+AV217*AV146+AW217*AW146+AX217*AX146+AY217*AY146+AZ217*AZ146+BA217*BA146+BB217*BB146+BC217*BC146+BD217*BD146+BE217*BE146+BF217*BF146+BG217*BG146+BH217*BH146+BI217*BI146+BJ217*BJ146+BK217*BK146+BL217*BL146+BM217*BM146+BN217*BN146+BO217*BO146+BP217*BP146+BQ217*BQ146+BR217*BR146+BS217*BS146+BT217*BT146+BU217*BU146+BV217*BV146+BW217*BW146+BX217*BX146+BY217*BY146+BZ217*BZ146+CA217*CA146+CB217*CB146+CC217*CC146+CD217*CD146+CE217*CE146+CF217*CF146+CG217*CG146+CH217*CH146</f>
        <v>0</v>
      </c>
      <c r="CS146" s="1952">
        <f>E218*E146+F218*F146+G218*G146+H218*H146+I218*I146+J218*J146+K218*K146+L218*L146+M218*M146+N218*N146+O218*O146+P218*P146+Q218*Q146+R218*R146+S218*S146+T218*T146+U218*U146+V218*V146+W218*W146+X218*X146+Y218*Y146+Z218*Z146+AA218*AA146+AB218*AB146+AC218*AC146+AD218*AD146+AE218*AE146+AF218*AF146+AG218*AG146+AH218*AH146+AI218*AI146+AJ218*AJ146+AK218*AK146+AL218*AL146+AM218*AM146+AN218*AN146+AO218*AO146+AP218*AP146+AQ218*AQ146+AR218*AR146+AS218*AS146+AT218*AT146+AU218*AU146+AV218*AV146+AW218*AW146+AX218*AX146+AY218*AY146+AZ218*AZ146+BA218*BA146+BB218*BB146+BC218*BC146+BD218*BD146+BE218*BE146+BF218*BF146+BG218*BG146+BH218*BH146+BI218*BI146+BJ218*BJ146+BK218*BK146+BL218*BL146+BM218*BM146+BN218*BN146+BO218*BO146+BP218*BP146+BQ218*BQ146+BR218*BR146+BS218*BS146+BT218*BT146+BU218*BU146+BV218*BV146+BW218*BW146+BX218*BX146+BY218*BY146+BZ218*BZ146+CA218*CA146+CB218*CB146+CC218*CC146+CD218*CD146+CE218*CE146+CF218*CF146+CG218*CG146+CH218*CH146</f>
        <v>0</v>
      </c>
      <c r="CT146" s="1952">
        <f>E219*E146+F219*F146+G219*G146+H219*H146+I219*I146+J219*J146+K219*K146+L219*L146+M219*M146+N219*N146+O219*O146+P219*P146+Q219*Q146+R219*R146+S219*S146+T219*T146+U219*U146+V219*V146+W219*W146+X219*X146+Y219*Y146+Z219*Z146+AA219*AA146+AB219*AB146+AC219*AC146+AD219*AD146+AE219*AE146+AF219*AF146+AG219*AG146+AH219*AH146+AI219*AI146+AJ219*AJ146+AK219*AK146+AL219*AL146+AM219*AM146+AN219*AN146+AO219*AO146+AP219*AP146+AQ219*AQ146+AR219*AR146+AS219*AS146+AT219*AT146+AU219*AU146+AV219*AV146+AW219*AW146+AX219*AX146+AY219*AY146+AZ219*AZ146+BA219*BA146+BB219*BB146+BC219*BC146+BD219*BD146+BE219*BE146+BF219*BF146+BG219*BG146+BH219*BH146+BI219*BI146+BJ219*BJ146+BK219*BK146+BL219*BL146+BM219*BM146+BN219*BN146+BO219*BO146+BP219*BP146+BQ219*BQ146+BR219*BR146+BS219*BS146+BT219*BT146+BU219*BU146+BV219*BV146+BW219*BW146+BX219*BX146+BY219*BY146+BZ219*BZ146+CA219*CA146+CB219*CB146+CC219*CC146+CD219*CD146+CE219*CE146+CF219*CF146+CG219*CG146+CH219*CH146</f>
        <v>0</v>
      </c>
      <c r="CU146" s="1952">
        <f>E220*E146+F220*F146+G220*G146+H220*H146+I220*I146+J220*J146+K220*K146+L220*L146+M220*M146+N220*N146+O220*O146+P220*P146+Q220*Q146+R220*R146+S220*S146+T220*T146+U220*U146+V220*V146+W220*W146+X220*X146+Y220*Y146+Z220*Z146+AA220*AA146+AB220*AB146+AC220*AC146+AD220*AD146+AE220*AE146+AF220*AF146+AG220*AG146+AH220*AH146+AI220*AI146+AJ220*AJ146+AK220*AK146+AL220*AL146+AM220*AM146+AN220*AN146+AO220*AO146+AP220*AP146+AQ220*AQ146+AR220*AR146+AS220*AS146+AT220*AT146+AU220*AU146+AV220*AV146+AW220*AW146+AX220*AX146+AY220*AY146+AZ220*AZ146+BA220*BA146+BB220*BB146+BC220*BC146+BD220*BD146+BE220*BE146+BF220*BF146+BG220*BG146+BH220*BH146+BI220*BI146+BJ220*BJ146+BK220*BK146+BL220*BL146+BM220*BM146+BN220*BN146+BO220*BO146+BP220*BP146+BQ220*BQ146+BR220*BR146+BS220*BS146+BT220*BT146+BU220*BU146+BV220*BV146+BW220*BW146+BX220*BX146+BY220*BY146+BZ220*BZ146+CA220*CA146+CB220*CB146+CC220*CC146+CD220*CD146+CE220*CE146+CF220*CF146+CG220*CG146+CH220*CH146</f>
        <v>0</v>
      </c>
    </row>
    <row r="147" spans="2:99" ht="18" x14ac:dyDescent="0.25">
      <c r="B147" s="1040">
        <v>33</v>
      </c>
      <c r="C147" s="1108" t="s">
        <v>3929</v>
      </c>
      <c r="D147" s="1109" t="s">
        <v>306</v>
      </c>
      <c r="E147" s="2060">
        <f>-1/Y_AMETO</f>
        <v>-10</v>
      </c>
      <c r="F147" s="2061">
        <f>0</f>
        <v>0</v>
      </c>
      <c r="G147" s="2061">
        <f>0</f>
        <v>0</v>
      </c>
      <c r="H147" s="2061">
        <f>0</f>
        <v>0</v>
      </c>
      <c r="I147" s="2082">
        <f>0</f>
        <v>0</v>
      </c>
      <c r="J147" s="2082">
        <f>0</f>
        <v>0</v>
      </c>
      <c r="K147" s="2061">
        <f>0</f>
        <v>0</v>
      </c>
      <c r="L147" s="2061">
        <f>0</f>
        <v>0</v>
      </c>
      <c r="M147" s="2061">
        <f>0</f>
        <v>0</v>
      </c>
      <c r="N147" s="2061">
        <f>0</f>
        <v>0</v>
      </c>
      <c r="O147" s="2061">
        <f>0</f>
        <v>0</v>
      </c>
      <c r="P147" s="2061">
        <f>0</f>
        <v>0</v>
      </c>
      <c r="Q147" s="2061">
        <f>0</f>
        <v>0</v>
      </c>
      <c r="R147" s="2061">
        <f>0</f>
        <v>0</v>
      </c>
      <c r="S147" s="2061">
        <f>0</f>
        <v>0</v>
      </c>
      <c r="T147" s="2061">
        <f>0</f>
        <v>0</v>
      </c>
      <c r="U147" s="2061">
        <f>0</f>
        <v>0</v>
      </c>
      <c r="V147" s="2061">
        <f>1</f>
        <v>1</v>
      </c>
      <c r="W147" s="2061">
        <f>0</f>
        <v>0</v>
      </c>
      <c r="X147" s="2061">
        <f>0</f>
        <v>0</v>
      </c>
      <c r="Y147" s="2061">
        <f>-i_N_BIO</f>
        <v>-7.0000000000000007E-2</v>
      </c>
      <c r="Z147" s="2061">
        <f>0</f>
        <v>0</v>
      </c>
      <c r="AA147" s="2061">
        <f>0</f>
        <v>0</v>
      </c>
      <c r="AB147" s="2061">
        <f>0</f>
        <v>0</v>
      </c>
      <c r="AC147" s="2082">
        <f>0</f>
        <v>0</v>
      </c>
      <c r="AD147" s="2082">
        <f>0</f>
        <v>0</v>
      </c>
      <c r="AE147" s="2061">
        <f>0</f>
        <v>0</v>
      </c>
      <c r="AF147" s="2060">
        <f>-i_P_BIO</f>
        <v>-0.02</v>
      </c>
      <c r="AG147" s="2061">
        <f>0</f>
        <v>0</v>
      </c>
      <c r="AH147" s="2061">
        <f>0</f>
        <v>0</v>
      </c>
      <c r="AI147" s="2082">
        <f>0</f>
        <v>0</v>
      </c>
      <c r="AJ147" s="2082">
        <f>0</f>
        <v>0</v>
      </c>
      <c r="AK147" s="2061">
        <f>0</f>
        <v>0</v>
      </c>
      <c r="AL147" s="2061">
        <f>0</f>
        <v>0</v>
      </c>
      <c r="AM147" s="2061">
        <f>(1-Y_AMETO)/Y_AMETO</f>
        <v>9</v>
      </c>
      <c r="AN147" s="2061">
        <f>0</f>
        <v>0</v>
      </c>
      <c r="AO147" s="2061">
        <f>i_CIT_VFA*1/Y_AMETO-i_CIT_BIO-i_CIT_CH4*(1-Y_AMETO)/Y_AMETO</f>
        <v>1.706</v>
      </c>
      <c r="AP147" s="2061">
        <f>i_INORG</f>
        <v>0.11</v>
      </c>
      <c r="AQ147" s="2060">
        <f>-i_INORG*(1-i_Ca_INORG*(A_MCa+2*A_MCl)/A_MCa-i_Mg_INORG*(A_MMg+2*A_MCl)/A_MMg)*f_Na</f>
        <v>-2.8804303582798466E-2</v>
      </c>
      <c r="AR147" s="2060">
        <f>-i_INORG*(i_Ca_INORG*(2*A_MCl)/A_MCa+i_Mg_INORG*(2*A_MCl)/A_MMg)-i_INORG*(1-i_Ca_INORG*(A_MCa+2*A_MCl)/A_MCa-i_Mg_INORG*(A_MMg+2*A_MCl)/A_MMg)*(1-f_Na)</f>
        <v>-7.0195696417201539E-2</v>
      </c>
      <c r="AS147" s="2060">
        <f>-i_INORG*i_Ca_INORG</f>
        <v>-5.5000000000000005E-3</v>
      </c>
      <c r="AT147" s="2060">
        <f>-i_INORG*i_Mg_INORG</f>
        <v>-5.5000000000000005E-3</v>
      </c>
      <c r="AU147" s="2060">
        <f>0</f>
        <v>0</v>
      </c>
      <c r="AV147" s="2060">
        <f>0</f>
        <v>0</v>
      </c>
      <c r="AW147" s="2060">
        <f>0</f>
        <v>0</v>
      </c>
      <c r="AX147" s="2060">
        <f>0</f>
        <v>0</v>
      </c>
      <c r="AY147" s="2060">
        <f>0</f>
        <v>0</v>
      </c>
      <c r="AZ147" s="2060">
        <f>0</f>
        <v>0</v>
      </c>
      <c r="BA147" s="2060">
        <f>0</f>
        <v>0</v>
      </c>
      <c r="BB147" s="2060">
        <f>0</f>
        <v>0</v>
      </c>
      <c r="BC147" s="2060">
        <f>0</f>
        <v>0</v>
      </c>
      <c r="BD147" s="2060">
        <f>0</f>
        <v>0</v>
      </c>
      <c r="BE147" s="2060">
        <f>0</f>
        <v>0</v>
      </c>
      <c r="BF147" s="2060">
        <f>0</f>
        <v>0</v>
      </c>
      <c r="BG147" s="2060">
        <f>0</f>
        <v>0</v>
      </c>
      <c r="BH147" s="2060">
        <f>0</f>
        <v>0</v>
      </c>
      <c r="BI147" s="2060">
        <f>0</f>
        <v>0</v>
      </c>
      <c r="BJ147" s="2060">
        <f>0</f>
        <v>0</v>
      </c>
      <c r="BK147" s="2060">
        <f>0</f>
        <v>0</v>
      </c>
      <c r="BL147" s="2060">
        <f>0</f>
        <v>0</v>
      </c>
      <c r="BM147" s="2060">
        <f>0</f>
        <v>0</v>
      </c>
      <c r="BN147" s="2060">
        <f>0</f>
        <v>0</v>
      </c>
      <c r="BO147" s="2060">
        <f>0</f>
        <v>0</v>
      </c>
      <c r="BP147" s="2116">
        <f>0</f>
        <v>0</v>
      </c>
      <c r="BQ147" s="2116">
        <f>0</f>
        <v>0</v>
      </c>
      <c r="BR147" s="2116">
        <f>0</f>
        <v>0</v>
      </c>
      <c r="BS147" s="2116">
        <f>0</f>
        <v>0</v>
      </c>
      <c r="BT147" s="2060">
        <f>0</f>
        <v>0</v>
      </c>
      <c r="BU147" s="2060">
        <f>0</f>
        <v>0</v>
      </c>
      <c r="BV147" s="2060">
        <f>0</f>
        <v>0</v>
      </c>
      <c r="BW147" s="2060">
        <f>0</f>
        <v>0</v>
      </c>
      <c r="BX147" s="2060">
        <f>0</f>
        <v>0</v>
      </c>
      <c r="BY147" s="2060">
        <f>0</f>
        <v>0</v>
      </c>
      <c r="BZ147" s="2060">
        <f>0</f>
        <v>0</v>
      </c>
      <c r="CA147" s="2060">
        <f>0</f>
        <v>0</v>
      </c>
      <c r="CB147" s="2060">
        <f>0</f>
        <v>0</v>
      </c>
      <c r="CC147" s="2060">
        <f>0</f>
        <v>0</v>
      </c>
      <c r="CD147" s="2060">
        <f>0</f>
        <v>0</v>
      </c>
      <c r="CE147" s="2060">
        <f>0</f>
        <v>0</v>
      </c>
      <c r="CF147" s="2060">
        <f>0</f>
        <v>0</v>
      </c>
      <c r="CG147" s="2060">
        <f>0</f>
        <v>0</v>
      </c>
      <c r="CH147" s="2060">
        <f>0</f>
        <v>0</v>
      </c>
      <c r="CI147" s="2140">
        <f>µ_AMETO_T*X_AMETO*H_satSVFA_AMETO*M_inhSO2_KiO2_AMETO*M_inhSNOx_KNOx_AMETO*L_oginhpHNH3_AMETO*M_satSNHx_KNHx_BIO*M_satSPO4_KPO4_BIO*M_satSCAT_KCAT*M_satSAN_KAN*M_satSCa_KCa*M_satSMg_KMg*B_ellinhpH_AMETO</f>
        <v>5.3621688842583149E-10</v>
      </c>
      <c r="CK147" s="1950">
        <f>E210*E147+F210*F147+G210*G147+H210*H147+I210*I147+J210*J147+K210*K147+L210*L147+M210*M147+N210*N147+O210*O147+P210*P147+Q210*Q147+R210*R147+S210*S147+T210*T147+U210*U147+V210*V147+W210*W147+X210*X147+Y210*Y147+Z210*Z147+AA210*AA147+AB210*AB147+AC210*AC147+AD210*AD147+AE210*AE147+AF210*AF147+AG210*AG147+AH210*AH147+AI210*AI147+AJ210*AJ147+AK210*AK147+AL210*AL147+AM210*AM147+AN210*AN147+AO210*AO147+AP210*AP147+AQ210*AQ147+AR210*AR147+AS210*AS147+AT210*AT147+AU210*AU147+AV210*AV147+AW210*AW147+AX210*AX147+AY210*AY147+AZ210*AZ147+BA210*BA147+BB210*BB147+BC210*BC147+BD210*BD147+BE210*BE147+BF210*BF147+BG210*BG147+BH210*BH147+BI210*BI147+BJ210*BJ147+BK210*BK147+BL210*BL147+BM210*BM147+BN210*BN147+BO210*BO147+BP210*BP147+BQ210*BQ147+BR210*BR147+BS210*BS147+BT210*BT147+BU210*BU147+BV210*BV147+BW210*BW147+BX210*BX147+BY210*BY147+BZ210*BZ147+CA210*CA147+CB210*CB147+CC210*CC147+CD210*CD147+CE210*CE147+CF210*CF147+CG210*CG147+CH210*CH147</f>
        <v>0</v>
      </c>
      <c r="CL147" s="1950">
        <f>E211*E147+F211*F147+G211*G147+H211*H147+I211*I147+J211*J147+K211*K147+L211*L147+M211*M147+N211*N147+O211*O147+P211*P147+Q211*Q147+R211*R147+S211*S147+T211*T147+U211*U147+V211*V147+W211*W147+X211*X147+Y211*Y147+Z211*Z147+AA211*AA147+AB211*AB147+AC211*AC147+AD211*AD147+AE211*AE147+AF211*AF147+AG211*AG147+AH211*AH147+AI211*AI147+AJ211*AJ147+AK211*AK147+AL211*AL147+AM211*AM147+AN211*AN147+AO211*AO147+AP211*AP147+AQ211*AQ147+AR211*AR147+AS211*AS147+AT211*AT147+AU211*AU147+AV211*AV147+AW211*AW147+AX211*AX147+AY211*AY147+AZ211*AZ147+BA211*BA147+BB211*BB147+BC211*BC147+BD211*BD147+BE211*BE147+BF211*BF147+BG211*BG147+BH211*BH147+BI211*BI147+BJ211*BJ147+BK211*BK147+BL211*BL147+BM211*BM147+BN211*BN147+BO211*BO147+BP211*BP147+BQ211*BQ147+BR211*BR147+BS211*BS147+BT211*BT147+BU211*BU147+BV211*BV147+BW211*BW147+BX211*BX147+BY211*BY147+BZ211*BZ147+CA211*CA147+CB211*CB147+CC211*CC147+CD211*CD147+CE211*CE147+CF211*CF147+CG211*CG147+CH211*CH147</f>
        <v>-2.2204460492503131E-16</v>
      </c>
      <c r="CM147" s="1951">
        <f>E212*E147+F212*F147+G212*G147+H212*H147+I212*I147+J212*J147+K212*K147+L212*L147+M212*M147+N212*N147+O212*O147+P212*P147+Q212*Q147+R212*R147+S212*S147+T212*T147+U212*U147+V212*V147+W212*W147+X212*X147+Y212*Y147+Z212*Z147+AA212*AA147+AB212*AB147+AC212*AC147+AD212*AD147+AE212*AE147+AF212*AF147+AG212*AG147+AH212*AH147+AI212*AI147+AJ212*AJ147+AK212*AK147+AL212*AL147+AM212*AM147+AN212*AN147+AO212*AO147+AP212*AP147+AQ212*AQ147+AR212*AR147+AS212*AS147+AT212*AT147+AU212*AU147+AV212*AV147+AW212*AW147+AX212*AX147+AY212*AY147+AZ212*AZ147+BA212*BA147+BB212*BB147+BC212*BC147+BD212*BD147+BE212*BE147+BF212*BF147+BG212*BG147+BH212*BH147+BI212*BI147+BJ212*BJ147+BK212*BK147+BL212*BL147+BM212*BM147+BN212*BN147+BO212*BO147+BP212*BP147+BQ212*BQ147+BR212*BR147+BS212*BS147+BT212*BT147+BU212*BU147+BV212*BV147+BW212*BW147+BX212*BX147+BY212*BY147+BZ212*BZ147+CA212*CA147+CB212*CB147+CC212*CC147+CD212*CD147+CE212*CE147+CF212*CF147+CG212*CG147+CH212*CH147</f>
        <v>0</v>
      </c>
      <c r="CN147" s="1952">
        <f>E213*E147+F213*F147+G213*G147+H213*H147+I213*I147+J213*J147+K213*K147+L213*L147+M213*M147+N213*N147+O213*O147+P213*P147+Q213*Q147+R213*R147+S213*S147+T213*T147+U213*U147+V213*V147+W213*W147+X213*X147+Y213*Y147+Z213*Z147+AA213*AA147+AB213*AB147+AC213*AC147+AD213*AD147+AE213*AE147+AF213*AF147+AG213*AG147+AH213*AH147+AI213*AI147+AJ213*AJ147+AK213*AK147+AL213*AL147+AM213*AM147+AN213*AN147+AO213*AO147+AP213*AP147+AQ213*AQ147+AR213*AR147+AS213*AS147+AT213*AT147+AU213*AU147+AV213*AV147+AW213*AW147+AX213*AX147+AY213*AY147+AZ213*AZ147+BA213*BA147+BB213*BB147+BC213*BC147+BD213*BD147+BE213*BE147+BF213*BF147+BG213*BG147+BH213*BH147+BI213*BI147+BJ213*BJ147+BK213*BK147+BL213*BL147+BM213*BM147+BN213*BN147+BO213*BO147+BP213*BP147+BQ213*BQ147+BR213*BR147+BS213*BS147+BT213*BT147+BU213*BU147+BV213*BV147+BW213*BW147+BX213*BX147+BY213*BY147+BZ213*BZ147+CA213*CA147+CB213*CB147+CC213*CC147+CD213*CD147+CE213*CE147+CF213*CF147+CG213*CG147+CH213*CH147</f>
        <v>0</v>
      </c>
      <c r="CO147" s="1952">
        <f>E214*E147+F214*F147+G214*G147+H214*H147+I214*I147+J214*J147+K214*K147+L214*L147+M214*M147+N214*N147+O214*O147+P214*P147+Q214*Q147+R214*R147+S214*S147+T214*T147+U214*U147+V214*V147+W214*W147+X214*X147+Y214*Y147+Z214*Z147+AA214*AA147+AB214*AB147+AC214*AC147+AD214*AD147+AE214*AE147+AF214*AF147+AG214*AG147+AH214*AH147+AI214*AI147+AJ214*AJ147+AK214*AK147+AL214*AL147+AM214*AM147+AN214*AN147+AO214*AO147+AP214*AP147+AQ214*AQ147+AR214*AR147+AS214*AS147+AT214*AT147+AU214*AU147+AV214*AV147+AW214*AW147+AX214*AX147+AY214*AY147+AZ214*AZ147+BA214*BA147+BB214*BB147+BC214*BC147+BD214*BD147+BE214*BE147+BF214*BF147+BG214*BG147+BH214*BH147+BI214*BI147+BJ214*BJ147+BK214*BK147+BL214*BL147+BM214*BM147+BN214*BN147+BO214*BO147+BP214*BP147+BQ214*BQ147+BR214*BR147+BS214*BS147+BT214*BT147+BU214*BU147+BV214*BV147+BW214*BW147+BX214*BX147+BY214*BY147+BZ214*BZ147+CA214*CA147+CB214*CB147+CC214*CC147+CD214*CD147+CE214*CE147+CF214*CF147+CG214*CG147+CH214*CH147</f>
        <v>0</v>
      </c>
      <c r="CP147" s="1952">
        <f>E215*E147+F215*F147+G215*G147+H215*H147+I215*I147+J215*J147+K215*K147+L215*L147+M215*M147+N215*N147+O215*O147+P215*P147+Q215*Q147+R215*R147+S215*S147+T215*T147+U215*U147+V215*V147+W215*W147+X215*X147+Y215*Y147+Z215*Z147+AA215*AA147+AB215*AB147+AC215*AC147+AD215*AD147+AE215*AE147+AF215*AF147+AG215*AG147+AH215*AH147+AI215*AI147+AJ215*AJ147+AK215*AK147+AL215*AL147+AM215*AM147+AN215*AN147+AO215*AO147+AP215*AP147+AQ215*AQ147+AR215*AR147+AS215*AS147+AT215*AT147+AU215*AU147+AV215*AV147+AW215*AW147+AX215*AX147+AY215*AY147+AZ215*AZ147+BA215*BA147+BB215*BB147+BC215*BC147+BD215*BD147+BE215*BE147+BF215*BF147+BG215*BG147+BH215*BH147+BI215*BI147+BJ215*BJ147+BK215*BK147+BL215*BL147+BM215*BM147+BN215*BN147+BO215*BO147+BP215*BP147+BQ215*BQ147+BR215*BR147+BS215*BS147+BT215*BT147+BU215*BU147+BV215*BV147+BW215*BW147+BX215*BX147+BY215*BY147+BZ215*BZ147+CA215*CA147+CB215*CB147+CC215*CC147+CD215*CD147+CE215*CE147+CF215*CF147+CG215*CG147+CH215*CH147</f>
        <v>0</v>
      </c>
      <c r="CQ147" s="1952">
        <f>E216*E147+F216*F147+G216*G147+H216*H147+I216*I147+J216*J147+K216*K147+L216*L147+M216*M147+N216*N147+O216*O147+P216*P147+Q216*Q147+R216*R147+S216*S147+T216*T147+U216*U147+V216*V147+W216*W147+X216*X147+Y216*Y147+Z216*Z147+AA216*AA147+AB216*AB147+AC216*AC147+AD216*AD147+AE216*AE147+AF216*AF147+AG216*AG147+AH216*AH147+AI216*AI147+AJ216*AJ147+AK216*AK147+AL216*AL147+AM216*AM147+AN216*AN147+AO216*AO147+AP216*AP147+AQ216*AQ147+AR216*AR147+AS216*AS147+AT216*AT147+AU216*AU147+AV216*AV147+AW216*AW147+AX216*AX147+AY216*AY147+AZ216*AZ147+BA216*BA147+BB216*BB147+BC216*BC147+BD216*BD147+BE216*BE147+BF216*BF147+BG216*BG147+BH216*BH147+BI216*BI147+BJ216*BJ147+BK216*BK147+BL216*BL147+BM216*BM147+BN216*BN147+BO216*BO147+BP216*BP147+BQ216*BQ147+BR216*BR147+BS216*BS147+BT216*BT147+BU216*BU147+BV216*BV147+BW216*BW147+BX216*BX147+BY216*BY147+BZ216*BZ147+CA216*CA147+CB216*CB147+CC216*CC147+CD216*CD147+CE216*CE147+CF216*CF147+CG216*CG147+CH216*CH147</f>
        <v>0</v>
      </c>
      <c r="CR147" s="1952">
        <f>E217*E147+F217*F147+G217*G147+H217*H147+I217*I147+J217*J147+K217*K147+L217*L147+M217*M147+N217*N147+O217*O147+P217*P147+Q217*Q147+R217*R147+S217*S147+T217*T147+U217*U147+V217*V147+W217*W147+X217*X147+Y217*Y147+Z217*Z147+AA217*AA147+AB217*AB147+AC217*AC147+AD217*AD147+AE217*AE147+AF217*AF147+AG217*AG147+AH217*AH147+AI217*AI147+AJ217*AJ147+AK217*AK147+AL217*AL147+AM217*AM147+AN217*AN147+AO217*AO147+AP217*AP147+AQ217*AQ147+AR217*AR147+AS217*AS147+AT217*AT147+AU217*AU147+AV217*AV147+AW217*AW147+AX217*AX147+AY217*AY147+AZ217*AZ147+BA217*BA147+BB217*BB147+BC217*BC147+BD217*BD147+BE217*BE147+BF217*BF147+BG217*BG147+BH217*BH147+BI217*BI147+BJ217*BJ147+BK217*BK147+BL217*BL147+BM217*BM147+BN217*BN147+BO217*BO147+BP217*BP147+BQ217*BQ147+BR217*BR147+BS217*BS147+BT217*BT147+BU217*BU147+BV217*BV147+BW217*BW147+BX217*BX147+BY217*BY147+BZ217*BZ147+CA217*CA147+CB217*CB147+CC217*CC147+CD217*CD147+CE217*CE147+CF217*CF147+CG217*CG147+CH217*CH147</f>
        <v>0</v>
      </c>
      <c r="CS147" s="1952">
        <f>E218*E147+F218*F147+G218*G147+H218*H147+I218*I147+J218*J147+K218*K147+L218*L147+M218*M147+N218*N147+O218*O147+P218*P147+Q218*Q147+R218*R147+S218*S147+T218*T147+U218*U147+V218*V147+W218*W147+X218*X147+Y218*Y147+Z218*Z147+AA218*AA147+AB218*AB147+AC218*AC147+AD218*AD147+AE218*AE147+AF218*AF147+AG218*AG147+AH218*AH147+AI218*AI147+AJ218*AJ147+AK218*AK147+AL218*AL147+AM218*AM147+AN218*AN147+AO218*AO147+AP218*AP147+AQ218*AQ147+AR218*AR147+AS218*AS147+AT218*AT147+AU218*AU147+AV218*AV147+AW218*AW147+AX218*AX147+AY218*AY147+AZ218*AZ147+BA218*BA147+BB218*BB147+BC218*BC147+BD218*BD147+BE218*BE147+BF218*BF147+BG218*BG147+BH218*BH147+BI218*BI147+BJ218*BJ147+BK218*BK147+BL218*BL147+BM218*BM147+BN218*BN147+BO218*BO147+BP218*BP147+BQ218*BQ147+BR218*BR147+BS218*BS147+BT218*BT147+BU218*BU147+BV218*BV147+BW218*BW147+BX218*BX147+BY218*BY147+BZ218*BZ147+CA218*CA147+CB218*CB147+CC218*CC147+CD218*CD147+CE218*CE147+CF218*CF147+CG218*CG147+CH218*CH147</f>
        <v>0</v>
      </c>
      <c r="CT147" s="1952">
        <f>E219*E147+F219*F147+G219*G147+H219*H147+I219*I147+J219*J147+K219*K147+L219*L147+M219*M147+N219*N147+O219*O147+P219*P147+Q219*Q147+R219*R147+S219*S147+T219*T147+U219*U147+V219*V147+W219*W147+X219*X147+Y219*Y147+Z219*Z147+AA219*AA147+AB219*AB147+AC219*AC147+AD219*AD147+AE219*AE147+AF219*AF147+AG219*AG147+AH219*AH147+AI219*AI147+AJ219*AJ147+AK219*AK147+AL219*AL147+AM219*AM147+AN219*AN147+AO219*AO147+AP219*AP147+AQ219*AQ147+AR219*AR147+AS219*AS147+AT219*AT147+AU219*AU147+AV219*AV147+AW219*AW147+AX219*AX147+AY219*AY147+AZ219*AZ147+BA219*BA147+BB219*BB147+BC219*BC147+BD219*BD147+BE219*BE147+BF219*BF147+BG219*BG147+BH219*BH147+BI219*BI147+BJ219*BJ147+BK219*BK147+BL219*BL147+BM219*BM147+BN219*BN147+BO219*BO147+BP219*BP147+BQ219*BQ147+BR219*BR147+BS219*BS147+BT219*BT147+BU219*BU147+BV219*BV147+BW219*BW147+BX219*BX147+BY219*BY147+BZ219*BZ147+CA219*CA147+CB219*CB147+CC219*CC147+CD219*CD147+CE219*CE147+CF219*CF147+CG219*CG147+CH219*CH147</f>
        <v>0</v>
      </c>
      <c r="CU147" s="1952">
        <f>E220*E147+F220*F147+G220*G147+H220*H147+I220*I147+J220*J147+K220*K147+L220*L147+M220*M147+N220*N147+O220*O147+P220*P147+Q220*Q147+R220*R147+S220*S147+T220*T147+U220*U147+V220*V147+W220*W147+X220*X147+Y220*Y147+Z220*Z147+AA220*AA147+AB220*AB147+AC220*AC147+AD220*AD147+AE220*AE147+AF220*AF147+AG220*AG147+AH220*AH147+AI220*AI147+AJ220*AJ147+AK220*AK147+AL220*AL147+AM220*AM147+AN220*AN147+AO220*AO147+AP220*AP147+AQ220*AQ147+AR220*AR147+AS220*AS147+AT220*AT147+AU220*AU147+AV220*AV147+AW220*AW147+AX220*AX147+AY220*AY147+AZ220*AZ147+BA220*BA147+BB220*BB147+BC220*BC147+BD220*BD147+BE220*BE147+BF220*BF147+BG220*BG147+BH220*BH147+BI220*BI147+BJ220*BJ147+BK220*BK147+BL220*BL147+BM220*BM147+BN220*BN147+BO220*BO147+BP220*BP147+BQ220*BQ147+BR220*BR147+BS220*BS147+BT220*BT147+BU220*BU147+BV220*BV147+BW220*BW147+BX220*BX147+BY220*BY147+BZ220*BZ147+CA220*CA147+CB220*CB147+CC220*CC147+CD220*CD147+CE220*CE147+CF220*CF147+CG220*CG147+CH220*CH147</f>
        <v>0</v>
      </c>
    </row>
    <row r="148" spans="2:99" ht="18" x14ac:dyDescent="0.25">
      <c r="B148" s="1040">
        <v>34</v>
      </c>
      <c r="C148" s="1108" t="s">
        <v>3930</v>
      </c>
      <c r="D148" s="1109" t="s">
        <v>294</v>
      </c>
      <c r="E148" s="2061">
        <f>0</f>
        <v>0</v>
      </c>
      <c r="F148" s="2061">
        <f>0</f>
        <v>0</v>
      </c>
      <c r="G148" s="2061">
        <f>0</f>
        <v>0</v>
      </c>
      <c r="H148" s="2061">
        <f>0</f>
        <v>0</v>
      </c>
      <c r="I148" s="2082">
        <f>0</f>
        <v>0</v>
      </c>
      <c r="J148" s="2082">
        <f>1-f_E</f>
        <v>0.92</v>
      </c>
      <c r="K148" s="2061">
        <f>0</f>
        <v>0</v>
      </c>
      <c r="L148" s="2061">
        <f>0</f>
        <v>0</v>
      </c>
      <c r="M148" s="2061">
        <f>0</f>
        <v>0</v>
      </c>
      <c r="N148" s="2061">
        <f>0</f>
        <v>0</v>
      </c>
      <c r="O148" s="2061">
        <f>0</f>
        <v>0</v>
      </c>
      <c r="P148" s="2061">
        <f>f_E</f>
        <v>0.08</v>
      </c>
      <c r="Q148" s="2061">
        <f>0</f>
        <v>0</v>
      </c>
      <c r="R148" s="2061">
        <f>0</f>
        <v>0</v>
      </c>
      <c r="S148" s="2061">
        <f>0</f>
        <v>0</v>
      </c>
      <c r="T148" s="2061">
        <f>0</f>
        <v>0</v>
      </c>
      <c r="U148" s="2061">
        <f>0</f>
        <v>0</v>
      </c>
      <c r="V148" s="2061">
        <f>-1</f>
        <v>-1</v>
      </c>
      <c r="W148" s="2061">
        <f>0</f>
        <v>0</v>
      </c>
      <c r="X148" s="2061">
        <f>0</f>
        <v>0</v>
      </c>
      <c r="Y148" s="2061">
        <f>-f_E*(i_N_XE-i_N_BIO)</f>
        <v>8.0000000000000069E-4</v>
      </c>
      <c r="Z148" s="2061">
        <f>0</f>
        <v>0</v>
      </c>
      <c r="AA148" s="2061">
        <f>0</f>
        <v>0</v>
      </c>
      <c r="AB148" s="2061">
        <f>0</f>
        <v>0</v>
      </c>
      <c r="AC148" s="2082">
        <f>0</f>
        <v>0</v>
      </c>
      <c r="AD148" s="2082">
        <f>(1-f_E)*i_N_BIO</f>
        <v>6.4400000000000013E-2</v>
      </c>
      <c r="AE148" s="2061">
        <f>0</f>
        <v>0</v>
      </c>
      <c r="AF148" s="2060">
        <f>0</f>
        <v>0</v>
      </c>
      <c r="AG148" s="2061">
        <f>0</f>
        <v>0</v>
      </c>
      <c r="AH148" s="2061">
        <f>0</f>
        <v>0</v>
      </c>
      <c r="AI148" s="2082">
        <f>0</f>
        <v>0</v>
      </c>
      <c r="AJ148" s="2082">
        <f>(1-f_E)*i_P_BIO</f>
        <v>1.84E-2</v>
      </c>
      <c r="AK148" s="2061">
        <f>0</f>
        <v>0</v>
      </c>
      <c r="AL148" s="2061">
        <f>0</f>
        <v>0</v>
      </c>
      <c r="AM148" s="2061">
        <f>0</f>
        <v>0</v>
      </c>
      <c r="AN148" s="2061">
        <f>0</f>
        <v>0</v>
      </c>
      <c r="AO148" s="2082">
        <f>(1-f_E)*(i_CIT_BIO-i_CIT_XBe)</f>
        <v>6.0720000000000003E-2</v>
      </c>
      <c r="AP148" s="2061">
        <f>0</f>
        <v>0</v>
      </c>
      <c r="AQ148" s="2061">
        <f>0</f>
        <v>0</v>
      </c>
      <c r="AR148" s="2061">
        <f>0</f>
        <v>0</v>
      </c>
      <c r="AS148" s="2061">
        <f>0</f>
        <v>0</v>
      </c>
      <c r="AT148" s="2061">
        <f>0</f>
        <v>0</v>
      </c>
      <c r="AU148" s="2061">
        <f>0</f>
        <v>0</v>
      </c>
      <c r="AV148" s="2061">
        <f>0</f>
        <v>0</v>
      </c>
      <c r="AW148" s="2061">
        <f>0</f>
        <v>0</v>
      </c>
      <c r="AX148" s="2061">
        <f>0</f>
        <v>0</v>
      </c>
      <c r="AY148" s="2061">
        <f>0</f>
        <v>0</v>
      </c>
      <c r="AZ148" s="2061">
        <f>0</f>
        <v>0</v>
      </c>
      <c r="BA148" s="2061">
        <f>0</f>
        <v>0</v>
      </c>
      <c r="BB148" s="2061">
        <f>0</f>
        <v>0</v>
      </c>
      <c r="BC148" s="2061">
        <f>0</f>
        <v>0</v>
      </c>
      <c r="BD148" s="2061">
        <f>0</f>
        <v>0</v>
      </c>
      <c r="BE148" s="2061">
        <f>0</f>
        <v>0</v>
      </c>
      <c r="BF148" s="2061">
        <f>0</f>
        <v>0</v>
      </c>
      <c r="BG148" s="2061">
        <f>0</f>
        <v>0</v>
      </c>
      <c r="BH148" s="2061">
        <f>0</f>
        <v>0</v>
      </c>
      <c r="BI148" s="2061">
        <f>0</f>
        <v>0</v>
      </c>
      <c r="BJ148" s="2061">
        <f>0</f>
        <v>0</v>
      </c>
      <c r="BK148" s="2061">
        <f>0</f>
        <v>0</v>
      </c>
      <c r="BL148" s="2061">
        <f>0</f>
        <v>0</v>
      </c>
      <c r="BM148" s="2061">
        <f>0</f>
        <v>0</v>
      </c>
      <c r="BN148" s="2061">
        <f>0</f>
        <v>0</v>
      </c>
      <c r="BO148" s="2061">
        <f>0</f>
        <v>0</v>
      </c>
      <c r="BP148" s="2117">
        <f>0</f>
        <v>0</v>
      </c>
      <c r="BQ148" s="2117">
        <f>0</f>
        <v>0</v>
      </c>
      <c r="BR148" s="2117">
        <f>0</f>
        <v>0</v>
      </c>
      <c r="BS148" s="2117">
        <f>0</f>
        <v>0</v>
      </c>
      <c r="BT148" s="2061">
        <f>0</f>
        <v>0</v>
      </c>
      <c r="BU148" s="2061">
        <f>0</f>
        <v>0</v>
      </c>
      <c r="BV148" s="2061">
        <f>0</f>
        <v>0</v>
      </c>
      <c r="BW148" s="2061">
        <f>0</f>
        <v>0</v>
      </c>
      <c r="BX148" s="2061">
        <f>0</f>
        <v>0</v>
      </c>
      <c r="BY148" s="2061">
        <f>0</f>
        <v>0</v>
      </c>
      <c r="BZ148" s="2061">
        <f>0</f>
        <v>0</v>
      </c>
      <c r="CA148" s="2061">
        <f>0</f>
        <v>0</v>
      </c>
      <c r="CB148" s="2061">
        <f>0</f>
        <v>0</v>
      </c>
      <c r="CC148" s="2061">
        <f>0</f>
        <v>0</v>
      </c>
      <c r="CD148" s="2061">
        <f>0</f>
        <v>0</v>
      </c>
      <c r="CE148" s="2061">
        <f>0</f>
        <v>0</v>
      </c>
      <c r="CF148" s="2061">
        <f>0</f>
        <v>0</v>
      </c>
      <c r="CG148" s="2061">
        <f>0</f>
        <v>0</v>
      </c>
      <c r="CH148" s="2061">
        <f>0</f>
        <v>0</v>
      </c>
      <c r="CI148" s="2140">
        <f>b_AMETO_T*X_AMETO*(m_tox_aer*M_satSO2_KiO2_AMETO+m_tox_anox*M_satSNOx_KNOx_AMETO*M_inhSO2_KiO2_AMETO)</f>
        <v>8.8891572084037682E-2</v>
      </c>
      <c r="CK148" s="1950">
        <f>E210*E148+F210*F148+G210*G148+H210*H148+I210*I148+J210*J148+K210*K148+L210*L148+M210*M148+N210*N148+O210*O148+P210*P148+Q210*Q148+R210*R148+S210*S148+T210*T148+U210*U148+V210*V148+W210*W148+X210*X148+Y210*Y148+Z210*Z148+AA210*AA148+AB210*AB148+AC210*AC148+AD210*AD148+AE210*AE148+AF210*AF148+AG210*AG148+AH210*AH148+AI210*AI148+AJ210*AJ148+AK210*AK148+AL210*AL148+AM210*AM148+AN210*AN148+AO210*AO148+AP210*AP148+AQ210*AQ148+AR210*AR148+AS210*AS148+AT210*AT148+AU210*AU148+AV210*AV148+AW210*AW148+AX210*AX148+AY210*AY148+AZ210*AZ148+BA210*BA148+BB210*BB148+BC210*BC148+BD210*BD148+BE210*BE148+BF210*BF148+BG210*BG148+BH210*BH148+BI210*BI148+BJ210*BJ148+BK210*BK148+BL210*BL148+BM210*BM148+BN210*BN148+BO210*BO148+BP210*BP148+BQ210*BQ148+BR210*BR148+BS210*BS148+BT210*BT148+BU210*BU148+BV210*BV148+BW210*BW148+BX210*BX148+BY210*BY148+BZ210*BZ148+CA210*CA148+CB210*CB148+CC210*CC148+CD210*CD148+CE210*CE148+CF210*CF148+CG210*CG148+CH210*CH148</f>
        <v>0</v>
      </c>
      <c r="CL148" s="1950">
        <f>E211*E148+F211*F148+G211*G148+H211*H148+I211*I148+J211*J148+K211*K148+L211*L148+M211*M148+N211*N148+O211*O148+P211*P148+Q211*Q148+R211*R148+S211*S148+T211*T148+U211*U148+V211*V148+W211*W148+X211*X148+Y211*Y148+Z211*Z148+AA211*AA148+AB211*AB148+AC211*AC148+AD211*AD148+AE211*AE148+AF211*AF148+AG211*AG148+AH211*AH148+AI211*AI148+AJ211*AJ148+AK211*AK148+AL211*AL148+AM211*AM148+AN211*AN148+AO211*AO148+AP211*AP148+AQ211*AQ148+AR211*AR148+AS211*AS148+AT211*AT148+AU211*AU148+AV211*AV148+AW211*AW148+AX211*AX148+AY211*AY148+AZ211*AZ148+BA211*BA148+BB211*BB148+BC211*BC148+BD211*BD148+BE211*BE148+BF211*BF148+BG211*BG148+BH211*BH148+BI211*BI148+BJ211*BJ148+BK211*BK148+BL211*BL148+BM211*BM148+BN211*BN148+BO211*BO148+BP211*BP148+BQ211*BQ148+BR211*BR148+BS211*BS148+BT211*BT148+BU211*BU148+BV211*BV148+BW211*BW148+BX211*BX148+BY211*BY148+BZ211*BZ148+CA211*CA148+CB211*CB148+CC211*CC148+CD211*CD148+CE211*CE148+CF211*CF148+CG211*CG148+CH211*CH148</f>
        <v>6.9388939039072284E-18</v>
      </c>
      <c r="CM148" s="1951">
        <f>E212*E148+F212*F148+G212*G148+H212*H148+I212*I148+J212*J148+K212*K148+L212*L148+M212*M148+N212*N148+O212*O148+P212*P148+Q212*Q148+R212*R148+S212*S148+T212*T148+U212*U148+V212*V148+W212*W148+X212*X148+Y212*Y148+Z212*Z148+AA212*AA148+AB212*AB148+AC212*AC148+AD212*AD148+AE212*AE148+AF212*AF148+AG212*AG148+AH212*AH148+AI212*AI148+AJ212*AJ148+AK212*AK148+AL212*AL148+AM212*AM148+AN212*AN148+AO212*AO148+AP212*AP148+AQ212*AQ148+AR212*AR148+AS212*AS148+AT212*AT148+AU212*AU148+AV212*AV148+AW212*AW148+AX212*AX148+AY212*AY148+AZ212*AZ148+BA212*BA148+BB212*BB148+BC212*BC148+BD212*BD148+BE212*BE148+BF212*BF148+BG212*BG148+BH212*BH148+BI212*BI148+BJ212*BJ148+BK212*BK148+BL212*BL148+BM212*BM148+BN212*BN148+BO212*BO148+BP212*BP148+BQ212*BQ148+BR212*BR148+BS212*BS148+BT212*BT148+BU212*BU148+BV212*BV148+BW212*BW148+BX212*BX148+BY212*BY148+BZ212*BZ148+CA212*CA148+CB212*CB148+CC212*CC148+CD212*CD148+CE212*CE148+CF212*CF148+CG212*CG148+CH212*CH148</f>
        <v>0</v>
      </c>
      <c r="CN148" s="1952">
        <f>E213*E148+F213*F148+G213*G148+H213*H148+I213*I148+J213*J148+K213*K148+L213*L148+M213*M148+N213*N148+O213*O148+P213*P148+Q213*Q148+R213*R148+S213*S148+T213*T148+U213*U148+V213*V148+W213*W148+X213*X148+Y213*Y148+Z213*Z148+AA213*AA148+AB213*AB148+AC213*AC148+AD213*AD148+AE213*AE148+AF213*AF148+AG213*AG148+AH213*AH148+AI213*AI148+AJ213*AJ148+AK213*AK148+AL213*AL148+AM213*AM148+AN213*AN148+AO213*AO148+AP213*AP148+AQ213*AQ148+AR213*AR148+AS213*AS148+AT213*AT148+AU213*AU148+AV213*AV148+AW213*AW148+AX213*AX148+AY213*AY148+AZ213*AZ148+BA213*BA148+BB213*BB148+BC213*BC148+BD213*BD148+BE213*BE148+BF213*BF148+BG213*BG148+BH213*BH148+BI213*BI148+BJ213*BJ148+BK213*BK148+BL213*BL148+BM213*BM148+BN213*BN148+BO213*BO148+BP213*BP148+BQ213*BQ148+BR213*BR148+BS213*BS148+BT213*BT148+BU213*BU148+BV213*BV148+BW213*BW148+BX213*BX148+BY213*BY148+BZ213*BZ148+CA213*CA148+CB213*CB148+CC213*CC148+CD213*CD148+CE213*CE148+CF213*CF148+CG213*CG148+CH213*CH148</f>
        <v>0</v>
      </c>
      <c r="CO148" s="1952">
        <f>E214*E148+F214*F148+G214*G148+H214*H148+I214*I148+J214*J148+K214*K148+L214*L148+M214*M148+N214*N148+O214*O148+P214*P148+Q214*Q148+R214*R148+S214*S148+T214*T148+U214*U148+V214*V148+W214*W148+X214*X148+Y214*Y148+Z214*Z148+AA214*AA148+AB214*AB148+AC214*AC148+AD214*AD148+AE214*AE148+AF214*AF148+AG214*AG148+AH214*AH148+AI214*AI148+AJ214*AJ148+AK214*AK148+AL214*AL148+AM214*AM148+AN214*AN148+AO214*AO148+AP214*AP148+AQ214*AQ148+AR214*AR148+AS214*AS148+AT214*AT148+AU214*AU148+AV214*AV148+AW214*AW148+AX214*AX148+AY214*AY148+AZ214*AZ148+BA214*BA148+BB214*BB148+BC214*BC148+BD214*BD148+BE214*BE148+BF214*BF148+BG214*BG148+BH214*BH148+BI214*BI148+BJ214*BJ148+BK214*BK148+BL214*BL148+BM214*BM148+BN214*BN148+BO214*BO148+BP214*BP148+BQ214*BQ148+BR214*BR148+BS214*BS148+BT214*BT148+BU214*BU148+BV214*BV148+BW214*BW148+BX214*BX148+BY214*BY148+BZ214*BZ148+CA214*CA148+CB214*CB148+CC214*CC148+CD214*CD148+CE214*CE148+CF214*CF148+CG214*CG148+CH214*CH148</f>
        <v>0</v>
      </c>
      <c r="CP148" s="1952">
        <f>E215*E148+F215*F148+G215*G148+H215*H148+I215*I148+J215*J148+K215*K148+L215*L148+M215*M148+N215*N148+O215*O148+P215*P148+Q215*Q148+R215*R148+S215*S148+T215*T148+U215*U148+V215*V148+W215*W148+X215*X148+Y215*Y148+Z215*Z148+AA215*AA148+AB215*AB148+AC215*AC148+AD215*AD148+AE215*AE148+AF215*AF148+AG215*AG148+AH215*AH148+AI215*AI148+AJ215*AJ148+AK215*AK148+AL215*AL148+AM215*AM148+AN215*AN148+AO215*AO148+AP215*AP148+AQ215*AQ148+AR215*AR148+AS215*AS148+AT215*AT148+AU215*AU148+AV215*AV148+AW215*AW148+AX215*AX148+AY215*AY148+AZ215*AZ148+BA215*BA148+BB215*BB148+BC215*BC148+BD215*BD148+BE215*BE148+BF215*BF148+BG215*BG148+BH215*BH148+BI215*BI148+BJ215*BJ148+BK215*BK148+BL215*BL148+BM215*BM148+BN215*BN148+BO215*BO148+BP215*BP148+BQ215*BQ148+BR215*BR148+BS215*BS148+BT215*BT148+BU215*BU148+BV215*BV148+BW215*BW148+BX215*BX148+BY215*BY148+BZ215*BZ148+CA215*CA148+CB215*CB148+CC215*CC148+CD215*CD148+CE215*CE148+CF215*CF148+CG215*CG148+CH215*CH148</f>
        <v>0</v>
      </c>
      <c r="CQ148" s="1952">
        <f>E216*E148+F216*F148+G216*G148+H216*H148+I216*I148+J216*J148+K216*K148+L216*L148+M216*M148+N216*N148+O216*O148+P216*P148+Q216*Q148+R216*R148+S216*S148+T216*T148+U216*U148+V216*V148+W216*W148+X216*X148+Y216*Y148+Z216*Z148+AA216*AA148+AB216*AB148+AC216*AC148+AD216*AD148+AE216*AE148+AF216*AF148+AG216*AG148+AH216*AH148+AI216*AI148+AJ216*AJ148+AK216*AK148+AL216*AL148+AM216*AM148+AN216*AN148+AO216*AO148+AP216*AP148+AQ216*AQ148+AR216*AR148+AS216*AS148+AT216*AT148+AU216*AU148+AV216*AV148+AW216*AW148+AX216*AX148+AY216*AY148+AZ216*AZ148+BA216*BA148+BB216*BB148+BC216*BC148+BD216*BD148+BE216*BE148+BF216*BF148+BG216*BG148+BH216*BH148+BI216*BI148+BJ216*BJ148+BK216*BK148+BL216*BL148+BM216*BM148+BN216*BN148+BO216*BO148+BP216*BP148+BQ216*BQ148+BR216*BR148+BS216*BS148+BT216*BT148+BU216*BU148+BV216*BV148+BW216*BW148+BX216*BX148+BY216*BY148+BZ216*BZ148+CA216*CA148+CB216*CB148+CC216*CC148+CD216*CD148+CE216*CE148+CF216*CF148+CG216*CG148+CH216*CH148</f>
        <v>0</v>
      </c>
      <c r="CR148" s="1952">
        <f>E217*E148+F217*F148+G217*G148+H217*H148+I217*I148+J217*J148+K217*K148+L217*L148+M217*M148+N217*N148+O217*O148+P217*P148+Q217*Q148+R217*R148+S217*S148+T217*T148+U217*U148+V217*V148+W217*W148+X217*X148+Y217*Y148+Z217*Z148+AA217*AA148+AB217*AB148+AC217*AC148+AD217*AD148+AE217*AE148+AF217*AF148+AG217*AG148+AH217*AH148+AI217*AI148+AJ217*AJ148+AK217*AK148+AL217*AL148+AM217*AM148+AN217*AN148+AO217*AO148+AP217*AP148+AQ217*AQ148+AR217*AR148+AS217*AS148+AT217*AT148+AU217*AU148+AV217*AV148+AW217*AW148+AX217*AX148+AY217*AY148+AZ217*AZ148+BA217*BA148+BB217*BB148+BC217*BC148+BD217*BD148+BE217*BE148+BF217*BF148+BG217*BG148+BH217*BH148+BI217*BI148+BJ217*BJ148+BK217*BK148+BL217*BL148+BM217*BM148+BN217*BN148+BO217*BO148+BP217*BP148+BQ217*BQ148+BR217*BR148+BS217*BS148+BT217*BT148+BU217*BU148+BV217*BV148+BW217*BW148+BX217*BX148+BY217*BY148+BZ217*BZ148+CA217*CA148+CB217*CB148+CC217*CC148+CD217*CD148+CE217*CE148+CF217*CF148+CG217*CG148+CH217*CH148</f>
        <v>0</v>
      </c>
      <c r="CS148" s="1952">
        <f>E218*E148+F218*F148+G218*G148+H218*H148+I218*I148+J218*J148+K218*K148+L218*L148+M218*M148+N218*N148+O218*O148+P218*P148+Q218*Q148+R218*R148+S218*S148+T218*T148+U218*U148+V218*V148+W218*W148+X218*X148+Y218*Y148+Z218*Z148+AA218*AA148+AB218*AB148+AC218*AC148+AD218*AD148+AE218*AE148+AF218*AF148+AG218*AG148+AH218*AH148+AI218*AI148+AJ218*AJ148+AK218*AK148+AL218*AL148+AM218*AM148+AN218*AN148+AO218*AO148+AP218*AP148+AQ218*AQ148+AR218*AR148+AS218*AS148+AT218*AT148+AU218*AU148+AV218*AV148+AW218*AW148+AX218*AX148+AY218*AY148+AZ218*AZ148+BA218*BA148+BB218*BB148+BC218*BC148+BD218*BD148+BE218*BE148+BF218*BF148+BG218*BG148+BH218*BH148+BI218*BI148+BJ218*BJ148+BK218*BK148+BL218*BL148+BM218*BM148+BN218*BN148+BO218*BO148+BP218*BP148+BQ218*BQ148+BR218*BR148+BS218*BS148+BT218*BT148+BU218*BU148+BV218*BV148+BW218*BW148+BX218*BX148+BY218*BY148+BZ218*BZ148+CA218*CA148+CB218*CB148+CC218*CC148+CD218*CD148+CE218*CE148+CF218*CF148+CG218*CG148+CH218*CH148</f>
        <v>0</v>
      </c>
      <c r="CT148" s="1952">
        <f>E219*E148+F219*F148+G219*G148+H219*H148+I219*I148+J219*J148+K219*K148+L219*L148+M219*M148+N219*N148+O219*O148+P219*P148+Q219*Q148+R219*R148+S219*S148+T219*T148+U219*U148+V219*V148+W219*W148+X219*X148+Y219*Y148+Z219*Z148+AA219*AA148+AB219*AB148+AC219*AC148+AD219*AD148+AE219*AE148+AF219*AF148+AG219*AG148+AH219*AH148+AI219*AI148+AJ219*AJ148+AK219*AK148+AL219*AL148+AM219*AM148+AN219*AN148+AO219*AO148+AP219*AP148+AQ219*AQ148+AR219*AR148+AS219*AS148+AT219*AT148+AU219*AU148+AV219*AV148+AW219*AW148+AX219*AX148+AY219*AY148+AZ219*AZ148+BA219*BA148+BB219*BB148+BC219*BC148+BD219*BD148+BE219*BE148+BF219*BF148+BG219*BG148+BH219*BH148+BI219*BI148+BJ219*BJ148+BK219*BK148+BL219*BL148+BM219*BM148+BN219*BN148+BO219*BO148+BP219*BP148+BQ219*BQ148+BR219*BR148+BS219*BS148+BT219*BT148+BU219*BU148+BV219*BV148+BW219*BW148+BX219*BX148+BY219*BY148+BZ219*BZ148+CA219*CA148+CB219*CB148+CC219*CC148+CD219*CD148+CE219*CE148+CF219*CF148+CG219*CG148+CH219*CH148</f>
        <v>0</v>
      </c>
      <c r="CU148" s="1952">
        <f>E220*E148+F220*F148+G220*G148+H220*H148+I220*I148+J220*J148+K220*K148+L220*L148+M220*M148+N220*N148+O220*O148+P220*P148+Q220*Q148+R220*R148+S220*S148+T220*T148+U220*U148+V220*V148+W220*W148+X220*X148+Y220*Y148+Z220*Z148+AA220*AA148+AB220*AB148+AC220*AC148+AD220*AD148+AE220*AE148+AF220*AF148+AG220*AG148+AH220*AH148+AI220*AI148+AJ220*AJ148+AK220*AK148+AL220*AL148+AM220*AM148+AN220*AN148+AO220*AO148+AP220*AP148+AQ220*AQ148+AR220*AR148+AS220*AS148+AT220*AT148+AU220*AU148+AV220*AV148+AW220*AW148+AX220*AX148+AY220*AY148+AZ220*AZ148+BA220*BA148+BB220*BB148+BC220*BC148+BD220*BD148+BE220*BE148+BF220*BF148+BG220*BG148+BH220*BH148+BI220*BI148+BJ220*BJ148+BK220*BK148+BL220*BL148+BM220*BM148+BN220*BN148+BO220*BO148+BP220*BP148+BQ220*BQ148+BR220*BR148+BS220*BS148+BT220*BT148+BU220*BU148+BV220*BV148+BW220*BW148+BX220*BX148+BY220*BY148+BZ220*BZ148+CA220*CA148+CB220*CB148+CC220*CC148+CD220*CD148+CE220*CE148+CF220*CF148+CG220*CG148+CH220*CH148</f>
        <v>0</v>
      </c>
    </row>
    <row r="149" spans="2:99" ht="18" x14ac:dyDescent="0.25">
      <c r="B149" s="1040">
        <v>35</v>
      </c>
      <c r="C149" s="1108" t="s">
        <v>296</v>
      </c>
      <c r="D149" s="1109" t="s">
        <v>2669</v>
      </c>
      <c r="E149" s="2061">
        <f>0</f>
        <v>0</v>
      </c>
      <c r="F149" s="2061">
        <f>0</f>
        <v>0</v>
      </c>
      <c r="G149" s="2061">
        <f>0</f>
        <v>0</v>
      </c>
      <c r="H149" s="2061">
        <f>0</f>
        <v>0</v>
      </c>
      <c r="I149" s="2082">
        <f>0</f>
        <v>0</v>
      </c>
      <c r="J149" s="2082">
        <f>1-f_E</f>
        <v>0.92</v>
      </c>
      <c r="K149" s="2061">
        <f>0</f>
        <v>0</v>
      </c>
      <c r="L149" s="2061">
        <f>0</f>
        <v>0</v>
      </c>
      <c r="M149" s="2061">
        <f>0</f>
        <v>0</v>
      </c>
      <c r="N149" s="2061">
        <f>0</f>
        <v>0</v>
      </c>
      <c r="O149" s="2061">
        <f>0</f>
        <v>0</v>
      </c>
      <c r="P149" s="2061">
        <f>0</f>
        <v>0</v>
      </c>
      <c r="Q149" s="2061">
        <f>f_E</f>
        <v>0.08</v>
      </c>
      <c r="R149" s="2061">
        <f>0</f>
        <v>0</v>
      </c>
      <c r="S149" s="2061">
        <f>0</f>
        <v>0</v>
      </c>
      <c r="T149" s="2061">
        <f>0</f>
        <v>0</v>
      </c>
      <c r="U149" s="2061">
        <f>0</f>
        <v>0</v>
      </c>
      <c r="V149" s="2061">
        <f>-1</f>
        <v>-1</v>
      </c>
      <c r="W149" s="2061">
        <f>0</f>
        <v>0</v>
      </c>
      <c r="X149" s="2061">
        <f>0</f>
        <v>0</v>
      </c>
      <c r="Y149" s="2061">
        <f>-f_E*(i_N_XE-i_N_BIO)</f>
        <v>8.0000000000000069E-4</v>
      </c>
      <c r="Z149" s="2061">
        <f>0</f>
        <v>0</v>
      </c>
      <c r="AA149" s="2061">
        <f>0</f>
        <v>0</v>
      </c>
      <c r="AB149" s="2061">
        <f>0</f>
        <v>0</v>
      </c>
      <c r="AC149" s="2082">
        <f>0</f>
        <v>0</v>
      </c>
      <c r="AD149" s="2082">
        <f>(1-f_E)*i_N_BIO</f>
        <v>6.4400000000000013E-2</v>
      </c>
      <c r="AE149" s="2061">
        <f>0</f>
        <v>0</v>
      </c>
      <c r="AF149" s="2060">
        <f>0</f>
        <v>0</v>
      </c>
      <c r="AG149" s="2061">
        <f>0</f>
        <v>0</v>
      </c>
      <c r="AH149" s="2061">
        <f>0</f>
        <v>0</v>
      </c>
      <c r="AI149" s="2082">
        <f>0</f>
        <v>0</v>
      </c>
      <c r="AJ149" s="2082">
        <f>(1-f_E)*i_P_BIO</f>
        <v>1.84E-2</v>
      </c>
      <c r="AK149" s="2061">
        <f>0</f>
        <v>0</v>
      </c>
      <c r="AL149" s="2061">
        <f>0</f>
        <v>0</v>
      </c>
      <c r="AM149" s="2061">
        <f>0</f>
        <v>0</v>
      </c>
      <c r="AN149" s="2061">
        <f>0</f>
        <v>0</v>
      </c>
      <c r="AO149" s="2082">
        <f>(1-f_E)*(i_CIT_BIO-i_CIT_XBe)</f>
        <v>6.0720000000000003E-2</v>
      </c>
      <c r="AP149" s="2061">
        <f>0</f>
        <v>0</v>
      </c>
      <c r="AQ149" s="2061">
        <f>0</f>
        <v>0</v>
      </c>
      <c r="AR149" s="2061">
        <f>0</f>
        <v>0</v>
      </c>
      <c r="AS149" s="2061">
        <f>0</f>
        <v>0</v>
      </c>
      <c r="AT149" s="2061">
        <f>0</f>
        <v>0</v>
      </c>
      <c r="AU149" s="2061">
        <f>0</f>
        <v>0</v>
      </c>
      <c r="AV149" s="2061">
        <f>0</f>
        <v>0</v>
      </c>
      <c r="AW149" s="2061">
        <f>0</f>
        <v>0</v>
      </c>
      <c r="AX149" s="2061">
        <f>0</f>
        <v>0</v>
      </c>
      <c r="AY149" s="2061">
        <f>0</f>
        <v>0</v>
      </c>
      <c r="AZ149" s="2061">
        <f>0</f>
        <v>0</v>
      </c>
      <c r="BA149" s="2061">
        <f>0</f>
        <v>0</v>
      </c>
      <c r="BB149" s="2061">
        <f>0</f>
        <v>0</v>
      </c>
      <c r="BC149" s="2061">
        <f>0</f>
        <v>0</v>
      </c>
      <c r="BD149" s="2061">
        <f>0</f>
        <v>0</v>
      </c>
      <c r="BE149" s="2061">
        <f>0</f>
        <v>0</v>
      </c>
      <c r="BF149" s="2061">
        <f>0</f>
        <v>0</v>
      </c>
      <c r="BG149" s="2061">
        <f>0</f>
        <v>0</v>
      </c>
      <c r="BH149" s="2061">
        <f>0</f>
        <v>0</v>
      </c>
      <c r="BI149" s="2061">
        <f>0</f>
        <v>0</v>
      </c>
      <c r="BJ149" s="2061">
        <f>0</f>
        <v>0</v>
      </c>
      <c r="BK149" s="2061">
        <f>0</f>
        <v>0</v>
      </c>
      <c r="BL149" s="2061">
        <f>0</f>
        <v>0</v>
      </c>
      <c r="BM149" s="2061">
        <f>0</f>
        <v>0</v>
      </c>
      <c r="BN149" s="2061">
        <f>0</f>
        <v>0</v>
      </c>
      <c r="BO149" s="2061">
        <f>0</f>
        <v>0</v>
      </c>
      <c r="BP149" s="2117">
        <f>0</f>
        <v>0</v>
      </c>
      <c r="BQ149" s="2117">
        <f>0</f>
        <v>0</v>
      </c>
      <c r="BR149" s="2117">
        <f>0</f>
        <v>0</v>
      </c>
      <c r="BS149" s="2117">
        <f>0</f>
        <v>0</v>
      </c>
      <c r="BT149" s="2061">
        <f>0</f>
        <v>0</v>
      </c>
      <c r="BU149" s="2061">
        <f>0</f>
        <v>0</v>
      </c>
      <c r="BV149" s="2061">
        <f>0</f>
        <v>0</v>
      </c>
      <c r="BW149" s="2061">
        <f>0</f>
        <v>0</v>
      </c>
      <c r="BX149" s="2061">
        <f>0</f>
        <v>0</v>
      </c>
      <c r="BY149" s="2061">
        <f>0</f>
        <v>0</v>
      </c>
      <c r="BZ149" s="2061">
        <f>0</f>
        <v>0</v>
      </c>
      <c r="CA149" s="2061">
        <f>0</f>
        <v>0</v>
      </c>
      <c r="CB149" s="2061">
        <f>0</f>
        <v>0</v>
      </c>
      <c r="CC149" s="2061">
        <f>0</f>
        <v>0</v>
      </c>
      <c r="CD149" s="2061">
        <f>0</f>
        <v>0</v>
      </c>
      <c r="CE149" s="2061">
        <f>0</f>
        <v>0</v>
      </c>
      <c r="CF149" s="2061">
        <f>0</f>
        <v>0</v>
      </c>
      <c r="CG149" s="2061">
        <f>0</f>
        <v>0</v>
      </c>
      <c r="CH149" s="2061">
        <f>0</f>
        <v>0</v>
      </c>
      <c r="CI149" s="2140">
        <f>b_AMETO_T*X_AMETO*M_inhSNOx_KNOx_AMETO*M_inhSO2_KiO2_AMETO</f>
        <v>2.1733880705143687E-6</v>
      </c>
      <c r="CK149" s="1950">
        <f>E210*E149+F210*F149+G210*G149+H210*H149+I210*I149+J210*J149+K210*K149+L210*L149+M210*M149+N210*N149+O210*O149+P210*P149+Q210*Q149+R210*R149+S210*S149+T210*T149+U210*U149+V210*V149+W210*W149+X210*X149+Y210*Y149+Z210*Z149+AA210*AA149+AB210*AB149+AC210*AC149+AD210*AD149+AE210*AE149+AF210*AF149+AG210*AG149+AH210*AH149+AI210*AI149+AJ210*AJ149+AK210*AK149+AL210*AL149+AM210*AM149+AN210*AN149+AO210*AO149+AP210*AP149+AQ210*AQ149+AR210*AR149+AS210*AS149+AT210*AT149+AU210*AU149+AV210*AV149+AW210*AW149+AX210*AX149+AY210*AY149+AZ210*AZ149+BA210*BA149+BB210*BB149+BC210*BC149+BD210*BD149+BE210*BE149+BF210*BF149+BG210*BG149+BH210*BH149+BI210*BI149+BJ210*BJ149+BK210*BK149+BL210*BL149+BM210*BM149+BN210*BN149+BO210*BO149+BP210*BP149+BQ210*BQ149+BR210*BR149+BS210*BS149+BT210*BT149+BU210*BU149+BV210*BV149+BW210*BW149+BX210*BX149+BY210*BY149+BZ210*BZ149+CA210*CA149+CB210*CB149+CC210*CC149+CD210*CD149+CE210*CE149+CF210*CF149+CG210*CG149+CH210*CH149</f>
        <v>0</v>
      </c>
      <c r="CL149" s="1950">
        <f>E211*E149+F211*F149+G211*G149+H211*H149+I211*I149+J211*J149+K211*K149+L211*L149+M211*M149+N211*N149+O211*O149+P211*P149+Q211*Q149+R211*R149+S211*S149+T211*T149+U211*U149+V211*V149+W211*W149+X211*X149+Y211*Y149+Z211*Z149+AA211*AA149+AB211*AB149+AC211*AC149+AD211*AD149+AE211*AE149+AF211*AF149+AG211*AG149+AH211*AH149+AI211*AI149+AJ211*AJ149+AK211*AK149+AL211*AL149+AM211*AM149+AN211*AN149+AO211*AO149+AP211*AP149+AQ211*AQ149+AR211*AR149+AS211*AS149+AT211*AT149+AU211*AU149+AV211*AV149+AW211*AW149+AX211*AX149+AY211*AY149+AZ211*AZ149+BA211*BA149+BB211*BB149+BC211*BC149+BD211*BD149+BE211*BE149+BF211*BF149+BG211*BG149+BH211*BH149+BI211*BI149+BJ211*BJ149+BK211*BK149+BL211*BL149+BM211*BM149+BN211*BN149+BO211*BO149+BP211*BP149+BQ211*BQ149+BR211*BR149+BS211*BS149+BT211*BT149+BU211*BU149+BV211*BV149+BW211*BW149+BX211*BX149+BY211*BY149+BZ211*BZ149+CA211*CA149+CB211*CB149+CC211*CC149+CD211*CD149+CE211*CE149+CF211*CF149+CG211*CG149+CH211*CH149</f>
        <v>6.9388939039072284E-18</v>
      </c>
      <c r="CM149" s="1951">
        <f>E212*E149+F212*F149+G212*G149+H212*H149+I212*I149+J212*J149+K212*K149+L212*L149+M212*M149+N212*N149+O212*O149+P212*P149+Q212*Q149+R212*R149+S212*S149+T212*T149+U212*U149+V212*V149+W212*W149+X212*X149+Y212*Y149+Z212*Z149+AA212*AA149+AB212*AB149+AC212*AC149+AD212*AD149+AE212*AE149+AF212*AF149+AG212*AG149+AH212*AH149+AI212*AI149+AJ212*AJ149+AK212*AK149+AL212*AL149+AM212*AM149+AN212*AN149+AO212*AO149+AP212*AP149+AQ212*AQ149+AR212*AR149+AS212*AS149+AT212*AT149+AU212*AU149+AV212*AV149+AW212*AW149+AX212*AX149+AY212*AY149+AZ212*AZ149+BA212*BA149+BB212*BB149+BC212*BC149+BD212*BD149+BE212*BE149+BF212*BF149+BG212*BG149+BH212*BH149+BI212*BI149+BJ212*BJ149+BK212*BK149+BL212*BL149+BM212*BM149+BN212*BN149+BO212*BO149+BP212*BP149+BQ212*BQ149+BR212*BR149+BS212*BS149+BT212*BT149+BU212*BU149+BV212*BV149+BW212*BW149+BX212*BX149+BY212*BY149+BZ212*BZ149+CA212*CA149+CB212*CB149+CC212*CC149+CD212*CD149+CE212*CE149+CF212*CF149+CG212*CG149+CH212*CH149</f>
        <v>0</v>
      </c>
      <c r="CN149" s="1952">
        <f>E213*E149+F213*F149+G213*G149+H213*H149+I213*I149+J213*J149+K213*K149+L213*L149+M213*M149+N213*N149+O213*O149+P213*P149+Q213*Q149+R213*R149+S213*S149+T213*T149+U213*U149+V213*V149+W213*W149+X213*X149+Y213*Y149+Z213*Z149+AA213*AA149+AB213*AB149+AC213*AC149+AD213*AD149+AE213*AE149+AF213*AF149+AG213*AG149+AH213*AH149+AI213*AI149+AJ213*AJ149+AK213*AK149+AL213*AL149+AM213*AM149+AN213*AN149+AO213*AO149+AP213*AP149+AQ213*AQ149+AR213*AR149+AS213*AS149+AT213*AT149+AU213*AU149+AV213*AV149+AW213*AW149+AX213*AX149+AY213*AY149+AZ213*AZ149+BA213*BA149+BB213*BB149+BC213*BC149+BD213*BD149+BE213*BE149+BF213*BF149+BG213*BG149+BH213*BH149+BI213*BI149+BJ213*BJ149+BK213*BK149+BL213*BL149+BM213*BM149+BN213*BN149+BO213*BO149+BP213*BP149+BQ213*BQ149+BR213*BR149+BS213*BS149+BT213*BT149+BU213*BU149+BV213*BV149+BW213*BW149+BX213*BX149+BY213*BY149+BZ213*BZ149+CA213*CA149+CB213*CB149+CC213*CC149+CD213*CD149+CE213*CE149+CF213*CF149+CG213*CG149+CH213*CH149</f>
        <v>0</v>
      </c>
      <c r="CO149" s="1952">
        <f>E214*E149+F214*F149+G214*G149+H214*H149+I214*I149+J214*J149+K214*K149+L214*L149+M214*M149+N214*N149+O214*O149+P214*P149+Q214*Q149+R214*R149+S214*S149+T214*T149+U214*U149+V214*V149+W214*W149+X214*X149+Y214*Y149+Z214*Z149+AA214*AA149+AB214*AB149+AC214*AC149+AD214*AD149+AE214*AE149+AF214*AF149+AG214*AG149+AH214*AH149+AI214*AI149+AJ214*AJ149+AK214*AK149+AL214*AL149+AM214*AM149+AN214*AN149+AO214*AO149+AP214*AP149+AQ214*AQ149+AR214*AR149+AS214*AS149+AT214*AT149+AU214*AU149+AV214*AV149+AW214*AW149+AX214*AX149+AY214*AY149+AZ214*AZ149+BA214*BA149+BB214*BB149+BC214*BC149+BD214*BD149+BE214*BE149+BF214*BF149+BG214*BG149+BH214*BH149+BI214*BI149+BJ214*BJ149+BK214*BK149+BL214*BL149+BM214*BM149+BN214*BN149+BO214*BO149+BP214*BP149+BQ214*BQ149+BR214*BR149+BS214*BS149+BT214*BT149+BU214*BU149+BV214*BV149+BW214*BW149+BX214*BX149+BY214*BY149+BZ214*BZ149+CA214*CA149+CB214*CB149+CC214*CC149+CD214*CD149+CE214*CE149+CF214*CF149+CG214*CG149+CH214*CH149</f>
        <v>0</v>
      </c>
      <c r="CP149" s="1952">
        <f>E215*E149+F215*F149+G215*G149+H215*H149+I215*I149+J215*J149+K215*K149+L215*L149+M215*M149+N215*N149+O215*O149+P215*P149+Q215*Q149+R215*R149+S215*S149+T215*T149+U215*U149+V215*V149+W215*W149+X215*X149+Y215*Y149+Z215*Z149+AA215*AA149+AB215*AB149+AC215*AC149+AD215*AD149+AE215*AE149+AF215*AF149+AG215*AG149+AH215*AH149+AI215*AI149+AJ215*AJ149+AK215*AK149+AL215*AL149+AM215*AM149+AN215*AN149+AO215*AO149+AP215*AP149+AQ215*AQ149+AR215*AR149+AS215*AS149+AT215*AT149+AU215*AU149+AV215*AV149+AW215*AW149+AX215*AX149+AY215*AY149+AZ215*AZ149+BA215*BA149+BB215*BB149+BC215*BC149+BD215*BD149+BE215*BE149+BF215*BF149+BG215*BG149+BH215*BH149+BI215*BI149+BJ215*BJ149+BK215*BK149+BL215*BL149+BM215*BM149+BN215*BN149+BO215*BO149+BP215*BP149+BQ215*BQ149+BR215*BR149+BS215*BS149+BT215*BT149+BU215*BU149+BV215*BV149+BW215*BW149+BX215*BX149+BY215*BY149+BZ215*BZ149+CA215*CA149+CB215*CB149+CC215*CC149+CD215*CD149+CE215*CE149+CF215*CF149+CG215*CG149+CH215*CH149</f>
        <v>0</v>
      </c>
      <c r="CQ149" s="1952">
        <f>E216*E149+F216*F149+G216*G149+H216*H149+I216*I149+J216*J149+K216*K149+L216*L149+M216*M149+N216*N149+O216*O149+P216*P149+Q216*Q149+R216*R149+S216*S149+T216*T149+U216*U149+V216*V149+W216*W149+X216*X149+Y216*Y149+Z216*Z149+AA216*AA149+AB216*AB149+AC216*AC149+AD216*AD149+AE216*AE149+AF216*AF149+AG216*AG149+AH216*AH149+AI216*AI149+AJ216*AJ149+AK216*AK149+AL216*AL149+AM216*AM149+AN216*AN149+AO216*AO149+AP216*AP149+AQ216*AQ149+AR216*AR149+AS216*AS149+AT216*AT149+AU216*AU149+AV216*AV149+AW216*AW149+AX216*AX149+AY216*AY149+AZ216*AZ149+BA216*BA149+BB216*BB149+BC216*BC149+BD216*BD149+BE216*BE149+BF216*BF149+BG216*BG149+BH216*BH149+BI216*BI149+BJ216*BJ149+BK216*BK149+BL216*BL149+BM216*BM149+BN216*BN149+BO216*BO149+BP216*BP149+BQ216*BQ149+BR216*BR149+BS216*BS149+BT216*BT149+BU216*BU149+BV216*BV149+BW216*BW149+BX216*BX149+BY216*BY149+BZ216*BZ149+CA216*CA149+CB216*CB149+CC216*CC149+CD216*CD149+CE216*CE149+CF216*CF149+CG216*CG149+CH216*CH149</f>
        <v>0</v>
      </c>
      <c r="CR149" s="1952">
        <f>E217*E149+F217*F149+G217*G149+H217*H149+I217*I149+J217*J149+K217*K149+L217*L149+M217*M149+N217*N149+O217*O149+P217*P149+Q217*Q149+R217*R149+S217*S149+T217*T149+U217*U149+V217*V149+W217*W149+X217*X149+Y217*Y149+Z217*Z149+AA217*AA149+AB217*AB149+AC217*AC149+AD217*AD149+AE217*AE149+AF217*AF149+AG217*AG149+AH217*AH149+AI217*AI149+AJ217*AJ149+AK217*AK149+AL217*AL149+AM217*AM149+AN217*AN149+AO217*AO149+AP217*AP149+AQ217*AQ149+AR217*AR149+AS217*AS149+AT217*AT149+AU217*AU149+AV217*AV149+AW217*AW149+AX217*AX149+AY217*AY149+AZ217*AZ149+BA217*BA149+BB217*BB149+BC217*BC149+BD217*BD149+BE217*BE149+BF217*BF149+BG217*BG149+BH217*BH149+BI217*BI149+BJ217*BJ149+BK217*BK149+BL217*BL149+BM217*BM149+BN217*BN149+BO217*BO149+BP217*BP149+BQ217*BQ149+BR217*BR149+BS217*BS149+BT217*BT149+BU217*BU149+BV217*BV149+BW217*BW149+BX217*BX149+BY217*BY149+BZ217*BZ149+CA217*CA149+CB217*CB149+CC217*CC149+CD217*CD149+CE217*CE149+CF217*CF149+CG217*CG149+CH217*CH149</f>
        <v>0</v>
      </c>
      <c r="CS149" s="1952">
        <f>E218*E149+F218*F149+G218*G149+H218*H149+I218*I149+J218*J149+K218*K149+L218*L149+M218*M149+N218*N149+O218*O149+P218*P149+Q218*Q149+R218*R149+S218*S149+T218*T149+U218*U149+V218*V149+W218*W149+X218*X149+Y218*Y149+Z218*Z149+AA218*AA149+AB218*AB149+AC218*AC149+AD218*AD149+AE218*AE149+AF218*AF149+AG218*AG149+AH218*AH149+AI218*AI149+AJ218*AJ149+AK218*AK149+AL218*AL149+AM218*AM149+AN218*AN149+AO218*AO149+AP218*AP149+AQ218*AQ149+AR218*AR149+AS218*AS149+AT218*AT149+AU218*AU149+AV218*AV149+AW218*AW149+AX218*AX149+AY218*AY149+AZ218*AZ149+BA218*BA149+BB218*BB149+BC218*BC149+BD218*BD149+BE218*BE149+BF218*BF149+BG218*BG149+BH218*BH149+BI218*BI149+BJ218*BJ149+BK218*BK149+BL218*BL149+BM218*BM149+BN218*BN149+BO218*BO149+BP218*BP149+BQ218*BQ149+BR218*BR149+BS218*BS149+BT218*BT149+BU218*BU149+BV218*BV149+BW218*BW149+BX218*BX149+BY218*BY149+BZ218*BZ149+CA218*CA149+CB218*CB149+CC218*CC149+CD218*CD149+CE218*CE149+CF218*CF149+CG218*CG149+CH218*CH149</f>
        <v>0</v>
      </c>
      <c r="CT149" s="1952">
        <f>E219*E149+F219*F149+G219*G149+H219*H149+I219*I149+J219*J149+K219*K149+L219*L149+M219*M149+N219*N149+O219*O149+P219*P149+Q219*Q149+R219*R149+S219*S149+T219*T149+U219*U149+V219*V149+W219*W149+X219*X149+Y219*Y149+Z219*Z149+AA219*AA149+AB219*AB149+AC219*AC149+AD219*AD149+AE219*AE149+AF219*AF149+AG219*AG149+AH219*AH149+AI219*AI149+AJ219*AJ149+AK219*AK149+AL219*AL149+AM219*AM149+AN219*AN149+AO219*AO149+AP219*AP149+AQ219*AQ149+AR219*AR149+AS219*AS149+AT219*AT149+AU219*AU149+AV219*AV149+AW219*AW149+AX219*AX149+AY219*AY149+AZ219*AZ149+BA219*BA149+BB219*BB149+BC219*BC149+BD219*BD149+BE219*BE149+BF219*BF149+BG219*BG149+BH219*BH149+BI219*BI149+BJ219*BJ149+BK219*BK149+BL219*BL149+BM219*BM149+BN219*BN149+BO219*BO149+BP219*BP149+BQ219*BQ149+BR219*BR149+BS219*BS149+BT219*BT149+BU219*BU149+BV219*BV149+BW219*BW149+BX219*BX149+BY219*BY149+BZ219*BZ149+CA219*CA149+CB219*CB149+CC219*CC149+CD219*CD149+CE219*CE149+CF219*CF149+CG219*CG149+CH219*CH149</f>
        <v>0</v>
      </c>
      <c r="CU149" s="1952">
        <f>E220*E149+F220*F149+G220*G149+H220*H149+I220*I149+J220*J149+K220*K149+L220*L149+M220*M149+N220*N149+O220*O149+P220*P149+Q220*Q149+R220*R149+S220*S149+T220*T149+U220*U149+V220*V149+W220*W149+X220*X149+Y220*Y149+Z220*Z149+AA220*AA149+AB220*AB149+AC220*AC149+AD220*AD149+AE220*AE149+AF220*AF149+AG220*AG149+AH220*AH149+AI220*AI149+AJ220*AJ149+AK220*AK149+AL220*AL149+AM220*AM149+AN220*AN149+AO220*AO149+AP220*AP149+AQ220*AQ149+AR220*AR149+AS220*AS149+AT220*AT149+AU220*AU149+AV220*AV149+AW220*AW149+AX220*AX149+AY220*AY149+AZ220*AZ149+BA220*BA149+BB220*BB149+BC220*BC149+BD220*BD149+BE220*BE149+BF220*BF149+BG220*BG149+BH220*BH149+BI220*BI149+BJ220*BJ149+BK220*BK149+BL220*BL149+BM220*BM149+BN220*BN149+BO220*BO149+BP220*BP149+BQ220*BQ149+BR220*BR149+BS220*BS149+BT220*BT149+BU220*BU149+BV220*BV149+BW220*BW149+BX220*BX149+BY220*BY149+BZ220*BZ149+CA220*CA149+CB220*CB149+CC220*CC149+CD220*CD149+CE220*CE149+CF220*CF149+CG220*CG149+CH220*CH149</f>
        <v>0</v>
      </c>
    </row>
    <row r="150" spans="2:99" ht="18" x14ac:dyDescent="0.25">
      <c r="B150" s="1043">
        <v>36</v>
      </c>
      <c r="C150" s="1112" t="s">
        <v>297</v>
      </c>
      <c r="D150" s="1113" t="s">
        <v>307</v>
      </c>
      <c r="E150" s="2062">
        <f>0</f>
        <v>0</v>
      </c>
      <c r="F150" s="2062">
        <f>0</f>
        <v>0</v>
      </c>
      <c r="G150" s="2062">
        <f>0</f>
        <v>0</v>
      </c>
      <c r="H150" s="2062">
        <f>0</f>
        <v>0</v>
      </c>
      <c r="I150" s="2083">
        <f>0</f>
        <v>0</v>
      </c>
      <c r="J150" s="2083">
        <f>0</f>
        <v>0</v>
      </c>
      <c r="K150" s="2062">
        <f>0</f>
        <v>0</v>
      </c>
      <c r="L150" s="2062">
        <f>0</f>
        <v>0</v>
      </c>
      <c r="M150" s="2062">
        <f>0</f>
        <v>0</v>
      </c>
      <c r="N150" s="2062">
        <f>0</f>
        <v>0</v>
      </c>
      <c r="O150" s="2062">
        <f>0</f>
        <v>0</v>
      </c>
      <c r="P150" s="2062">
        <f>0</f>
        <v>0</v>
      </c>
      <c r="Q150" s="2062">
        <f>0</f>
        <v>0</v>
      </c>
      <c r="R150" s="2062">
        <f>0</f>
        <v>0</v>
      </c>
      <c r="S150" s="2062">
        <f>0</f>
        <v>0</v>
      </c>
      <c r="T150" s="2062">
        <f>0</f>
        <v>0</v>
      </c>
      <c r="U150" s="2062">
        <f>0</f>
        <v>0</v>
      </c>
      <c r="V150" s="2062">
        <f>0</f>
        <v>0</v>
      </c>
      <c r="W150" s="2062">
        <f>1</f>
        <v>1</v>
      </c>
      <c r="X150" s="2062">
        <f>0</f>
        <v>0</v>
      </c>
      <c r="Y150" s="2062">
        <f>-i_N_BIO</f>
        <v>-7.0000000000000007E-2</v>
      </c>
      <c r="Z150" s="2062">
        <f>0</f>
        <v>0</v>
      </c>
      <c r="AA150" s="2062">
        <f>0</f>
        <v>0</v>
      </c>
      <c r="AB150" s="2062">
        <f>0</f>
        <v>0</v>
      </c>
      <c r="AC150" s="2083">
        <f>0</f>
        <v>0</v>
      </c>
      <c r="AD150" s="2083">
        <f>0</f>
        <v>0</v>
      </c>
      <c r="AE150" s="2062">
        <f>0</f>
        <v>0</v>
      </c>
      <c r="AF150" s="2100">
        <f>-i_P_BIO</f>
        <v>-0.02</v>
      </c>
      <c r="AG150" s="2062">
        <f>0</f>
        <v>0</v>
      </c>
      <c r="AH150" s="2062">
        <f>0</f>
        <v>0</v>
      </c>
      <c r="AI150" s="2083">
        <f>0</f>
        <v>0</v>
      </c>
      <c r="AJ150" s="2083">
        <f>0</f>
        <v>0</v>
      </c>
      <c r="AK150" s="2062">
        <f>0</f>
        <v>0</v>
      </c>
      <c r="AL150" s="2062">
        <f>0</f>
        <v>0</v>
      </c>
      <c r="AM150" s="2062">
        <f>(1-Y_HMETO)/Y_HMETO</f>
        <v>9</v>
      </c>
      <c r="AN150" s="2100">
        <f>-1/Y_HMETO</f>
        <v>-10</v>
      </c>
      <c r="AO150" s="2100">
        <f>-i_CIT_BIO-i_CIT_CH4*(1-Y_HMETO)/Y_HMETO</f>
        <v>-2.044</v>
      </c>
      <c r="AP150" s="2100">
        <f>i_INORG</f>
        <v>0.11</v>
      </c>
      <c r="AQ150" s="2100">
        <f>-i_INORG*(1-i_Ca_INORG*(A_MCa+2*A_MCl)/A_MCa-i_Mg_INORG*(A_MMg+2*A_MCl)/A_MMg)*f_Na</f>
        <v>-2.8804303582798466E-2</v>
      </c>
      <c r="AR150" s="2100">
        <f>-i_INORG*(i_Ca_INORG*(2*A_MCl)/A_MCa+i_Mg_INORG*(2*A_MCl)/A_MMg)-i_INORG*(1-i_Ca_INORG*(A_MCa+2*A_MCl)/A_MCa-i_Mg_INORG*(A_MMg+2*A_MCl)/A_MMg)*(1-f_Na)</f>
        <v>-7.0195696417201539E-2</v>
      </c>
      <c r="AS150" s="2100">
        <f>-i_INORG*i_Ca_INORG</f>
        <v>-5.5000000000000005E-3</v>
      </c>
      <c r="AT150" s="2100">
        <f>-i_INORG*i_Mg_INORG</f>
        <v>-5.5000000000000005E-3</v>
      </c>
      <c r="AU150" s="2100">
        <f>0</f>
        <v>0</v>
      </c>
      <c r="AV150" s="2100">
        <f>0</f>
        <v>0</v>
      </c>
      <c r="AW150" s="2100">
        <f>0</f>
        <v>0</v>
      </c>
      <c r="AX150" s="2100">
        <f>0</f>
        <v>0</v>
      </c>
      <c r="AY150" s="2100">
        <f>0</f>
        <v>0</v>
      </c>
      <c r="AZ150" s="2100">
        <f>0</f>
        <v>0</v>
      </c>
      <c r="BA150" s="2100">
        <f>0</f>
        <v>0</v>
      </c>
      <c r="BB150" s="2100">
        <f>0</f>
        <v>0</v>
      </c>
      <c r="BC150" s="2100">
        <f>0</f>
        <v>0</v>
      </c>
      <c r="BD150" s="2100">
        <f>0</f>
        <v>0</v>
      </c>
      <c r="BE150" s="2100">
        <f>0</f>
        <v>0</v>
      </c>
      <c r="BF150" s="2100">
        <f>0</f>
        <v>0</v>
      </c>
      <c r="BG150" s="2100">
        <f>0</f>
        <v>0</v>
      </c>
      <c r="BH150" s="2100">
        <f>0</f>
        <v>0</v>
      </c>
      <c r="BI150" s="2100">
        <f>0</f>
        <v>0</v>
      </c>
      <c r="BJ150" s="2100">
        <f>0</f>
        <v>0</v>
      </c>
      <c r="BK150" s="2100">
        <f>0</f>
        <v>0</v>
      </c>
      <c r="BL150" s="2100">
        <f>0</f>
        <v>0</v>
      </c>
      <c r="BM150" s="2100">
        <f>0</f>
        <v>0</v>
      </c>
      <c r="BN150" s="2100">
        <f>0</f>
        <v>0</v>
      </c>
      <c r="BO150" s="2100">
        <f>0</f>
        <v>0</v>
      </c>
      <c r="BP150" s="2118">
        <f>0</f>
        <v>0</v>
      </c>
      <c r="BQ150" s="2118">
        <f>0</f>
        <v>0</v>
      </c>
      <c r="BR150" s="2118">
        <f>0</f>
        <v>0</v>
      </c>
      <c r="BS150" s="2118">
        <f>0</f>
        <v>0</v>
      </c>
      <c r="BT150" s="2100">
        <f>0</f>
        <v>0</v>
      </c>
      <c r="BU150" s="2100">
        <f>0</f>
        <v>0</v>
      </c>
      <c r="BV150" s="2100">
        <f>0</f>
        <v>0</v>
      </c>
      <c r="BW150" s="2100">
        <f>0</f>
        <v>0</v>
      </c>
      <c r="BX150" s="2100">
        <f>0</f>
        <v>0</v>
      </c>
      <c r="BY150" s="2100">
        <f>0</f>
        <v>0</v>
      </c>
      <c r="BZ150" s="2100">
        <f>0</f>
        <v>0</v>
      </c>
      <c r="CA150" s="2100">
        <f>0</f>
        <v>0</v>
      </c>
      <c r="CB150" s="2100">
        <f>0</f>
        <v>0</v>
      </c>
      <c r="CC150" s="2100">
        <f>0</f>
        <v>0</v>
      </c>
      <c r="CD150" s="2100">
        <f>0</f>
        <v>0</v>
      </c>
      <c r="CE150" s="2100">
        <f>0</f>
        <v>0</v>
      </c>
      <c r="CF150" s="2100">
        <f>0</f>
        <v>0</v>
      </c>
      <c r="CG150" s="2100">
        <f>0</f>
        <v>0</v>
      </c>
      <c r="CH150" s="2100">
        <f>0</f>
        <v>0</v>
      </c>
      <c r="CI150" s="2141">
        <f>µ_HMETO_T*X_HMETO*M_satSCO2_KCO2_BIO*M_satSH2_KH2_HMETO*M_inhSO2_KiO2_HMETO*M_inhSNOx_KNOx_HMETO*M_satSNHx_KNHx_BIO*M_satSPO4_KPO4_BIO*M_satSCAT_KCAT*M_satSAN_KAN*M_satSCa_KCa*M_satSMg_KMg*B_ellinhpH_HMETO</f>
        <v>5.5432360056211722E-6</v>
      </c>
      <c r="CK150" s="1950">
        <f>E210*E150+F210*F150+G210*G150+H210*H150+I210*I150+J210*J150+K210*K150+L210*L150+M210*M150+N210*N150+O210*O150+P210*P150+Q210*Q150+R210*R150+S210*S150+T210*T150+U210*U150+V210*V150+W210*W150+X210*X150+Y210*Y150+Z210*Z150+AA210*AA150+AB210*AB150+AC210*AC150+AD210*AD150+AE210*AE150+AF210*AF150+AG210*AG150+AH210*AH150+AI210*AI150+AJ210*AJ150+AK210*AK150+AL210*AL150+AM210*AM150+AN210*AN150+AO210*AO150+AP210*AP150+AQ210*AQ150+AR210*AR150+AS210*AS150+AT210*AT150+AU210*AU150+AV210*AV150+AW210*AW150+AX210*AX150+AY210*AY150+AZ210*AZ150+BA210*BA150+BB210*BB150+BC210*BC150+BD210*BD150+BE210*BE150+BF210*BF150+BG210*BG150+BH210*BH150+BI210*BI150+BJ210*BJ150+BK210*BK150+BL210*BL150+BM210*BM150+BN210*BN150+BO210*BO150+BP210*BP150+BQ210*BQ150+BR210*BR150+BS210*BS150+BT210*BT150+BU210*BU150+BV210*BV150+BW210*BW150+BX210*BX150+BY210*BY150+BZ210*BZ150+CA210*CA150+CB210*CB150+CC210*CC150+CD210*CD150+CE210*CE150+CF210*CF150+CG210*CG150+CH210*CH150</f>
        <v>0</v>
      </c>
      <c r="CL150" s="1950">
        <f>E211*E150+F211*F150+G211*G150+H211*H150+I211*I150+J211*J150+K211*K150+L211*L150+M211*M150+N211*N150+O211*O150+P211*P150+Q211*Q150+R211*R150+S211*S150+T211*T150+U211*U150+V211*V150+W211*W150+X211*X150+Y211*Y150+Z211*Z150+AA211*AA150+AB211*AB150+AC211*AC150+AD211*AD150+AE211*AE150+AF211*AF150+AG211*AG150+AH211*AH150+AI211*AI150+AJ211*AJ150+AK211*AK150+AL211*AL150+AM211*AM150+AN211*AN150+AO211*AO150+AP211*AP150+AQ211*AQ150+AR211*AR150+AS211*AS150+AT211*AT150+AU211*AU150+AV211*AV150+AW211*AW150+AX211*AX150+AY211*AY150+AZ211*AZ150+BA211*BA150+BB211*BB150+BC211*BC150+BD211*BD150+BE211*BE150+BF211*BF150+BG211*BG150+BH211*BH150+BI211*BI150+BJ211*BJ150+BK211*BK150+BL211*BL150+BM211*BM150+BN211*BN150+BO211*BO150+BP211*BP150+BQ211*BQ150+BR211*BR150+BS211*BS150+BT211*BT150+BU211*BU150+BV211*BV150+BW211*BW150+BX211*BX150+BY211*BY150+BZ211*BZ150+CA211*CA150+CB211*CB150+CC211*CC150+CD211*CD150+CE211*CE150+CF211*CF150+CG211*CG150+CH211*CH150</f>
        <v>0</v>
      </c>
      <c r="CM150" s="1951">
        <f>E212*E150+F212*F150+G212*G150+H212*H150+I212*I150+J212*J150+K212*K150+L212*L150+M212*M150+N212*N150+O212*O150+P212*P150+Q212*Q150+R212*R150+S212*S150+T212*T150+U212*U150+V212*V150+W212*W150+X212*X150+Y212*Y150+Z212*Z150+AA212*AA150+AB212*AB150+AC212*AC150+AD212*AD150+AE212*AE150+AF212*AF150+AG212*AG150+AH212*AH150+AI212*AI150+AJ212*AJ150+AK212*AK150+AL212*AL150+AM212*AM150+AN212*AN150+AO212*AO150+AP212*AP150+AQ212*AQ150+AR212*AR150+AS212*AS150+AT212*AT150+AU212*AU150+AV212*AV150+AW212*AW150+AX212*AX150+AY212*AY150+AZ212*AZ150+BA212*BA150+BB212*BB150+BC212*BC150+BD212*BD150+BE212*BE150+BF212*BF150+BG212*BG150+BH212*BH150+BI212*BI150+BJ212*BJ150+BK212*BK150+BL212*BL150+BM212*BM150+BN212*BN150+BO212*BO150+BP212*BP150+BQ212*BQ150+BR212*BR150+BS212*BS150+BT212*BT150+BU212*BU150+BV212*BV150+BW212*BW150+BX212*BX150+BY212*BY150+BZ212*BZ150+CA212*CA150+CB212*CB150+CC212*CC150+CD212*CD150+CE212*CE150+CF212*CF150+CG212*CG150+CH212*CH150</f>
        <v>0</v>
      </c>
      <c r="CN150" s="1952">
        <f>E213*E150+F213*F150+G213*G150+H213*H150+I213*I150+J213*J150+K213*K150+L213*L150+M213*M150+N213*N150+O213*O150+P213*P150+Q213*Q150+R213*R150+S213*S150+T213*T150+U213*U150+V213*V150+W213*W150+X213*X150+Y213*Y150+Z213*Z150+AA213*AA150+AB213*AB150+AC213*AC150+AD213*AD150+AE213*AE150+AF213*AF150+AG213*AG150+AH213*AH150+AI213*AI150+AJ213*AJ150+AK213*AK150+AL213*AL150+AM213*AM150+AN213*AN150+AO213*AO150+AP213*AP150+AQ213*AQ150+AR213*AR150+AS213*AS150+AT213*AT150+AU213*AU150+AV213*AV150+AW213*AW150+AX213*AX150+AY213*AY150+AZ213*AZ150+BA213*BA150+BB213*BB150+BC213*BC150+BD213*BD150+BE213*BE150+BF213*BF150+BG213*BG150+BH213*BH150+BI213*BI150+BJ213*BJ150+BK213*BK150+BL213*BL150+BM213*BM150+BN213*BN150+BO213*BO150+BP213*BP150+BQ213*BQ150+BR213*BR150+BS213*BS150+BT213*BT150+BU213*BU150+BV213*BV150+BW213*BW150+BX213*BX150+BY213*BY150+BZ213*BZ150+CA213*CA150+CB213*CB150+CC213*CC150+CD213*CD150+CE213*CE150+CF213*CF150+CG213*CG150+CH213*CH150</f>
        <v>0</v>
      </c>
      <c r="CO150" s="1952">
        <f>E214*E150+F214*F150+G214*G150+H214*H150+I214*I150+J214*J150+K214*K150+L214*L150+M214*M150+N214*N150+O214*O150+P214*P150+Q214*Q150+R214*R150+S214*S150+T214*T150+U214*U150+V214*V150+W214*W150+X214*X150+Y214*Y150+Z214*Z150+AA214*AA150+AB214*AB150+AC214*AC150+AD214*AD150+AE214*AE150+AF214*AF150+AG214*AG150+AH214*AH150+AI214*AI150+AJ214*AJ150+AK214*AK150+AL214*AL150+AM214*AM150+AN214*AN150+AO214*AO150+AP214*AP150+AQ214*AQ150+AR214*AR150+AS214*AS150+AT214*AT150+AU214*AU150+AV214*AV150+AW214*AW150+AX214*AX150+AY214*AY150+AZ214*AZ150+BA214*BA150+BB214*BB150+BC214*BC150+BD214*BD150+BE214*BE150+BF214*BF150+BG214*BG150+BH214*BH150+BI214*BI150+BJ214*BJ150+BK214*BK150+BL214*BL150+BM214*BM150+BN214*BN150+BO214*BO150+BP214*BP150+BQ214*BQ150+BR214*BR150+BS214*BS150+BT214*BT150+BU214*BU150+BV214*BV150+BW214*BW150+BX214*BX150+BY214*BY150+BZ214*BZ150+CA214*CA150+CB214*CB150+CC214*CC150+CD214*CD150+CE214*CE150+CF214*CF150+CG214*CG150+CH214*CH150</f>
        <v>0</v>
      </c>
      <c r="CP150" s="1952">
        <f>E215*E150+F215*F150+G215*G150+H215*H150+I215*I150+J215*J150+K215*K150+L215*L150+M215*M150+N215*N150+O215*O150+P215*P150+Q215*Q150+R215*R150+S215*S150+T215*T150+U215*U150+V215*V150+W215*W150+X215*X150+Y215*Y150+Z215*Z150+AA215*AA150+AB215*AB150+AC215*AC150+AD215*AD150+AE215*AE150+AF215*AF150+AG215*AG150+AH215*AH150+AI215*AI150+AJ215*AJ150+AK215*AK150+AL215*AL150+AM215*AM150+AN215*AN150+AO215*AO150+AP215*AP150+AQ215*AQ150+AR215*AR150+AS215*AS150+AT215*AT150+AU215*AU150+AV215*AV150+AW215*AW150+AX215*AX150+AY215*AY150+AZ215*AZ150+BA215*BA150+BB215*BB150+BC215*BC150+BD215*BD150+BE215*BE150+BF215*BF150+BG215*BG150+BH215*BH150+BI215*BI150+BJ215*BJ150+BK215*BK150+BL215*BL150+BM215*BM150+BN215*BN150+BO215*BO150+BP215*BP150+BQ215*BQ150+BR215*BR150+BS215*BS150+BT215*BT150+BU215*BU150+BV215*BV150+BW215*BW150+BX215*BX150+BY215*BY150+BZ215*BZ150+CA215*CA150+CB215*CB150+CC215*CC150+CD215*CD150+CE215*CE150+CF215*CF150+CG215*CG150+CH215*CH150</f>
        <v>0</v>
      </c>
      <c r="CQ150" s="1952">
        <f>E216*E150+F216*F150+G216*G150+H216*H150+I216*I150+J216*J150+K216*K150+L216*L150+M216*M150+N216*N150+O216*O150+P216*P150+Q216*Q150+R216*R150+S216*S150+T216*T150+U216*U150+V216*V150+W216*W150+X216*X150+Y216*Y150+Z216*Z150+AA216*AA150+AB216*AB150+AC216*AC150+AD216*AD150+AE216*AE150+AF216*AF150+AG216*AG150+AH216*AH150+AI216*AI150+AJ216*AJ150+AK216*AK150+AL216*AL150+AM216*AM150+AN216*AN150+AO216*AO150+AP216*AP150+AQ216*AQ150+AR216*AR150+AS216*AS150+AT216*AT150+AU216*AU150+AV216*AV150+AW216*AW150+AX216*AX150+AY216*AY150+AZ216*AZ150+BA216*BA150+BB216*BB150+BC216*BC150+BD216*BD150+BE216*BE150+BF216*BF150+BG216*BG150+BH216*BH150+BI216*BI150+BJ216*BJ150+BK216*BK150+BL216*BL150+BM216*BM150+BN216*BN150+BO216*BO150+BP216*BP150+BQ216*BQ150+BR216*BR150+BS216*BS150+BT216*BT150+BU216*BU150+BV216*BV150+BW216*BW150+BX216*BX150+BY216*BY150+BZ216*BZ150+CA216*CA150+CB216*CB150+CC216*CC150+CD216*CD150+CE216*CE150+CF216*CF150+CG216*CG150+CH216*CH150</f>
        <v>0</v>
      </c>
      <c r="CR150" s="1952">
        <f>E217*E150+F217*F150+G217*G150+H217*H150+I217*I150+J217*J150+K217*K150+L217*L150+M217*M150+N217*N150+O217*O150+P217*P150+Q217*Q150+R217*R150+S217*S150+T217*T150+U217*U150+V217*V150+W217*W150+X217*X150+Y217*Y150+Z217*Z150+AA217*AA150+AB217*AB150+AC217*AC150+AD217*AD150+AE217*AE150+AF217*AF150+AG217*AG150+AH217*AH150+AI217*AI150+AJ217*AJ150+AK217*AK150+AL217*AL150+AM217*AM150+AN217*AN150+AO217*AO150+AP217*AP150+AQ217*AQ150+AR217*AR150+AS217*AS150+AT217*AT150+AU217*AU150+AV217*AV150+AW217*AW150+AX217*AX150+AY217*AY150+AZ217*AZ150+BA217*BA150+BB217*BB150+BC217*BC150+BD217*BD150+BE217*BE150+BF217*BF150+BG217*BG150+BH217*BH150+BI217*BI150+BJ217*BJ150+BK217*BK150+BL217*BL150+BM217*BM150+BN217*BN150+BO217*BO150+BP217*BP150+BQ217*BQ150+BR217*BR150+BS217*BS150+BT217*BT150+BU217*BU150+BV217*BV150+BW217*BW150+BX217*BX150+BY217*BY150+BZ217*BZ150+CA217*CA150+CB217*CB150+CC217*CC150+CD217*CD150+CE217*CE150+CF217*CF150+CG217*CG150+CH217*CH150</f>
        <v>0</v>
      </c>
      <c r="CS150" s="1952">
        <f>E218*E150+F218*F150+G218*G150+H218*H150+I218*I150+J218*J150+K218*K150+L218*L150+M218*M150+N218*N150+O218*O150+P218*P150+Q218*Q150+R218*R150+S218*S150+T218*T150+U218*U150+V218*V150+W218*W150+X218*X150+Y218*Y150+Z218*Z150+AA218*AA150+AB218*AB150+AC218*AC150+AD218*AD150+AE218*AE150+AF218*AF150+AG218*AG150+AH218*AH150+AI218*AI150+AJ218*AJ150+AK218*AK150+AL218*AL150+AM218*AM150+AN218*AN150+AO218*AO150+AP218*AP150+AQ218*AQ150+AR218*AR150+AS218*AS150+AT218*AT150+AU218*AU150+AV218*AV150+AW218*AW150+AX218*AX150+AY218*AY150+AZ218*AZ150+BA218*BA150+BB218*BB150+BC218*BC150+BD218*BD150+BE218*BE150+BF218*BF150+BG218*BG150+BH218*BH150+BI218*BI150+BJ218*BJ150+BK218*BK150+BL218*BL150+BM218*BM150+BN218*BN150+BO218*BO150+BP218*BP150+BQ218*BQ150+BR218*BR150+BS218*BS150+BT218*BT150+BU218*BU150+BV218*BV150+BW218*BW150+BX218*BX150+BY218*BY150+BZ218*BZ150+CA218*CA150+CB218*CB150+CC218*CC150+CD218*CD150+CE218*CE150+CF218*CF150+CG218*CG150+CH218*CH150</f>
        <v>0</v>
      </c>
      <c r="CT150" s="1952">
        <f>E219*E150+F219*F150+G219*G150+H219*H150+I219*I150+J219*J150+K219*K150+L219*L150+M219*M150+N219*N150+O219*O150+P219*P150+Q219*Q150+R219*R150+S219*S150+T219*T150+U219*U150+V219*V150+W219*W150+X219*X150+Y219*Y150+Z219*Z150+AA219*AA150+AB219*AB150+AC219*AC150+AD219*AD150+AE219*AE150+AF219*AF150+AG219*AG150+AH219*AH150+AI219*AI150+AJ219*AJ150+AK219*AK150+AL219*AL150+AM219*AM150+AN219*AN150+AO219*AO150+AP219*AP150+AQ219*AQ150+AR219*AR150+AS219*AS150+AT219*AT150+AU219*AU150+AV219*AV150+AW219*AW150+AX219*AX150+AY219*AY150+AZ219*AZ150+BA219*BA150+BB219*BB150+BC219*BC150+BD219*BD150+BE219*BE150+BF219*BF150+BG219*BG150+BH219*BH150+BI219*BI150+BJ219*BJ150+BK219*BK150+BL219*BL150+BM219*BM150+BN219*BN150+BO219*BO150+BP219*BP150+BQ219*BQ150+BR219*BR150+BS219*BS150+BT219*BT150+BU219*BU150+BV219*BV150+BW219*BW150+BX219*BX150+BY219*BY150+BZ219*BZ150+CA219*CA150+CB219*CB150+CC219*CC150+CD219*CD150+CE219*CE150+CF219*CF150+CG219*CG150+CH219*CH150</f>
        <v>0</v>
      </c>
      <c r="CU150" s="1952">
        <f>E220*E150+F220*F150+G220*G150+H220*H150+I220*I150+J220*J150+K220*K150+L220*L150+M220*M150+N220*N150+O220*O150+P220*P150+Q220*Q150+R220*R150+S220*S150+T220*T150+U220*U150+V220*V150+W220*W150+X220*X150+Y220*Y150+Z220*Z150+AA220*AA150+AB220*AB150+AC220*AC150+AD220*AD150+AE220*AE150+AF220*AF150+AG220*AG150+AH220*AH150+AI220*AI150+AJ220*AJ150+AK220*AK150+AL220*AL150+AM220*AM150+AN220*AN150+AO220*AO150+AP220*AP150+AQ220*AQ150+AR220*AR150+AS220*AS150+AT220*AT150+AU220*AU150+AV220*AV150+AW220*AW150+AX220*AX150+AY220*AY150+AZ220*AZ150+BA220*BA150+BB220*BB150+BC220*BC150+BD220*BD150+BE220*BE150+BF220*BF150+BG220*BG150+BH220*BH150+BI220*BI150+BJ220*BJ150+BK220*BK150+BL220*BL150+BM220*BM150+BN220*BN150+BO220*BO150+BP220*BP150+BQ220*BQ150+BR220*BR150+BS220*BS150+BT220*BT150+BU220*BU150+BV220*BV150+BW220*BW150+BX220*BX150+BY220*BY150+BZ220*BZ150+CA220*CA150+CB220*CB150+CC220*CC150+CD220*CD150+CE220*CE150+CF220*CF150+CG220*CG150+CH220*CH150</f>
        <v>0</v>
      </c>
    </row>
    <row r="151" spans="2:99" ht="18" x14ac:dyDescent="0.25">
      <c r="B151" s="1043">
        <v>37</v>
      </c>
      <c r="C151" s="1112" t="s">
        <v>298</v>
      </c>
      <c r="D151" s="1113" t="s">
        <v>293</v>
      </c>
      <c r="E151" s="2062">
        <f>0</f>
        <v>0</v>
      </c>
      <c r="F151" s="2062">
        <f>0</f>
        <v>0</v>
      </c>
      <c r="G151" s="2062">
        <f>0</f>
        <v>0</v>
      </c>
      <c r="H151" s="2062">
        <f>0</f>
        <v>0</v>
      </c>
      <c r="I151" s="2083">
        <f>0</f>
        <v>0</v>
      </c>
      <c r="J151" s="2083">
        <f>1-f_E</f>
        <v>0.92</v>
      </c>
      <c r="K151" s="2062">
        <f>0</f>
        <v>0</v>
      </c>
      <c r="L151" s="2062">
        <f>0</f>
        <v>0</v>
      </c>
      <c r="M151" s="2062">
        <f>0</f>
        <v>0</v>
      </c>
      <c r="N151" s="2062">
        <f>0</f>
        <v>0</v>
      </c>
      <c r="O151" s="2062">
        <f>0</f>
        <v>0</v>
      </c>
      <c r="P151" s="2062">
        <f>f_E</f>
        <v>0.08</v>
      </c>
      <c r="Q151" s="2062">
        <f>0</f>
        <v>0</v>
      </c>
      <c r="R151" s="2062">
        <f>0</f>
        <v>0</v>
      </c>
      <c r="S151" s="2062">
        <f>0</f>
        <v>0</v>
      </c>
      <c r="T151" s="2062">
        <f>0</f>
        <v>0</v>
      </c>
      <c r="U151" s="2062">
        <f>0</f>
        <v>0</v>
      </c>
      <c r="V151" s="2062">
        <f>0</f>
        <v>0</v>
      </c>
      <c r="W151" s="2062">
        <f>-1</f>
        <v>-1</v>
      </c>
      <c r="X151" s="2062">
        <f>0</f>
        <v>0</v>
      </c>
      <c r="Y151" s="2062">
        <f>-f_E*(i_N_XE-i_N_BIO)</f>
        <v>8.0000000000000069E-4</v>
      </c>
      <c r="Z151" s="2062">
        <f>0</f>
        <v>0</v>
      </c>
      <c r="AA151" s="2062">
        <f>0</f>
        <v>0</v>
      </c>
      <c r="AB151" s="2062">
        <f>0</f>
        <v>0</v>
      </c>
      <c r="AC151" s="2083">
        <f>0</f>
        <v>0</v>
      </c>
      <c r="AD151" s="2083">
        <f>(1-f_E)*i_N_BIO</f>
        <v>6.4400000000000013E-2</v>
      </c>
      <c r="AE151" s="2062">
        <f>0</f>
        <v>0</v>
      </c>
      <c r="AF151" s="2062">
        <f>0</f>
        <v>0</v>
      </c>
      <c r="AG151" s="2062">
        <f>0</f>
        <v>0</v>
      </c>
      <c r="AH151" s="2062">
        <f>0</f>
        <v>0</v>
      </c>
      <c r="AI151" s="2083">
        <f>0</f>
        <v>0</v>
      </c>
      <c r="AJ151" s="2083">
        <f>(1-f_E)*i_P_BIO</f>
        <v>1.84E-2</v>
      </c>
      <c r="AK151" s="2062">
        <f>0</f>
        <v>0</v>
      </c>
      <c r="AL151" s="2062">
        <f>0</f>
        <v>0</v>
      </c>
      <c r="AM151" s="2062">
        <f>0</f>
        <v>0</v>
      </c>
      <c r="AN151" s="2062">
        <f>0</f>
        <v>0</v>
      </c>
      <c r="AO151" s="2083">
        <f>(1-f_E)*(i_CIT_BIO-i_CIT_XBe)</f>
        <v>6.0720000000000003E-2</v>
      </c>
      <c r="AP151" s="2062">
        <f>0</f>
        <v>0</v>
      </c>
      <c r="AQ151" s="2062">
        <f>0</f>
        <v>0</v>
      </c>
      <c r="AR151" s="2062">
        <f>0</f>
        <v>0</v>
      </c>
      <c r="AS151" s="2062">
        <f>0</f>
        <v>0</v>
      </c>
      <c r="AT151" s="2062">
        <f>0</f>
        <v>0</v>
      </c>
      <c r="AU151" s="2062">
        <f>0</f>
        <v>0</v>
      </c>
      <c r="AV151" s="2062">
        <f>0</f>
        <v>0</v>
      </c>
      <c r="AW151" s="2062">
        <f>0</f>
        <v>0</v>
      </c>
      <c r="AX151" s="2062">
        <f>0</f>
        <v>0</v>
      </c>
      <c r="AY151" s="2062">
        <f>0</f>
        <v>0</v>
      </c>
      <c r="AZ151" s="2062">
        <f>0</f>
        <v>0</v>
      </c>
      <c r="BA151" s="2062">
        <f>0</f>
        <v>0</v>
      </c>
      <c r="BB151" s="2062">
        <f>0</f>
        <v>0</v>
      </c>
      <c r="BC151" s="2062">
        <f>0</f>
        <v>0</v>
      </c>
      <c r="BD151" s="2062">
        <f>0</f>
        <v>0</v>
      </c>
      <c r="BE151" s="2062">
        <f>0</f>
        <v>0</v>
      </c>
      <c r="BF151" s="2062">
        <f>0</f>
        <v>0</v>
      </c>
      <c r="BG151" s="2062">
        <f>0</f>
        <v>0</v>
      </c>
      <c r="BH151" s="2062">
        <f>0</f>
        <v>0</v>
      </c>
      <c r="BI151" s="2062">
        <f>0</f>
        <v>0</v>
      </c>
      <c r="BJ151" s="2062">
        <f>0</f>
        <v>0</v>
      </c>
      <c r="BK151" s="2062">
        <f>0</f>
        <v>0</v>
      </c>
      <c r="BL151" s="2062">
        <f>0</f>
        <v>0</v>
      </c>
      <c r="BM151" s="2062">
        <f>0</f>
        <v>0</v>
      </c>
      <c r="BN151" s="2062">
        <f>0</f>
        <v>0</v>
      </c>
      <c r="BO151" s="2062">
        <f>0</f>
        <v>0</v>
      </c>
      <c r="BP151" s="2119">
        <f>0</f>
        <v>0</v>
      </c>
      <c r="BQ151" s="2119">
        <f>0</f>
        <v>0</v>
      </c>
      <c r="BR151" s="2119">
        <f>0</f>
        <v>0</v>
      </c>
      <c r="BS151" s="2119">
        <f>0</f>
        <v>0</v>
      </c>
      <c r="BT151" s="2062">
        <f>0</f>
        <v>0</v>
      </c>
      <c r="BU151" s="2062">
        <f>0</f>
        <v>0</v>
      </c>
      <c r="BV151" s="2062">
        <f>0</f>
        <v>0</v>
      </c>
      <c r="BW151" s="2062">
        <f>0</f>
        <v>0</v>
      </c>
      <c r="BX151" s="2062">
        <f>0</f>
        <v>0</v>
      </c>
      <c r="BY151" s="2062">
        <f>0</f>
        <v>0</v>
      </c>
      <c r="BZ151" s="2062">
        <f>0</f>
        <v>0</v>
      </c>
      <c r="CA151" s="2062">
        <f>0</f>
        <v>0</v>
      </c>
      <c r="CB151" s="2062">
        <f>0</f>
        <v>0</v>
      </c>
      <c r="CC151" s="2062">
        <f>0</f>
        <v>0</v>
      </c>
      <c r="CD151" s="2062">
        <f>0</f>
        <v>0</v>
      </c>
      <c r="CE151" s="2062">
        <f>0</f>
        <v>0</v>
      </c>
      <c r="CF151" s="2062">
        <f>0</f>
        <v>0</v>
      </c>
      <c r="CG151" s="2062">
        <f>0</f>
        <v>0</v>
      </c>
      <c r="CH151" s="2062">
        <f>0</f>
        <v>0</v>
      </c>
      <c r="CI151" s="2141">
        <f>b_HMETO_T*X_HMETO*(m_tox_aer*M_satSO2_KiO2_HMETO+m_tox_anox*M_satSNOx_KNOx_HMETO*M_inhSO2_KiO2_HMETO)</f>
        <v>0.25679787490944223</v>
      </c>
      <c r="CK151" s="1950">
        <f>E210*E151+F210*F151+G210*G151+H210*H151+I210*I151+J210*J151+K210*K151+L210*L151+M210*M151+N210*N151+O210*O151+P210*P151+Q210*Q151+R210*R151+S210*S151+T210*T151+U210*U151+V210*V151+W210*W151+X210*X151+Y210*Y151+Z210*Z151+AA210*AA151+AB210*AB151+AC210*AC151+AD210*AD151+AE210*AE151+AF210*AF151+AG210*AG151+AH210*AH151+AI210*AI151+AJ210*AJ151+AK210*AK151+AL210*AL151+AM210*AM151+AN210*AN151+AO210*AO151+AP210*AP151+AQ210*AQ151+AR210*AR151+AS210*AS151+AT210*AT151+AU210*AU151+AV210*AV151+AW210*AW151+AX210*AX151+AY210*AY151+AZ210*AZ151+BA210*BA151+BB210*BB151+BC210*BC151+BD210*BD151+BE210*BE151+BF210*BF151+BG210*BG151+BH210*BH151+BI210*BI151+BJ210*BJ151+BK210*BK151+BL210*BL151+BM210*BM151+BN210*BN151+BO210*BO151+BP210*BP151+BQ210*BQ151+BR210*BR151+BS210*BS151+BT210*BT151+BU210*BU151+BV210*BV151+BW210*BW151+BX210*BX151+BY210*BY151+BZ210*BZ151+CA210*CA151+CB210*CB151+CC210*CC151+CD210*CD151+CE210*CE151+CF210*CF151+CG210*CG151+CH210*CH151</f>
        <v>0</v>
      </c>
      <c r="CL151" s="1950">
        <f>E211*E151+F211*F151+G211*G151+H211*H151+I211*I151+J211*J151+K211*K151+L211*L151+M211*M151+N211*N151+O211*O151+P211*P151+Q211*Q151+R211*R151+S211*S151+T211*T151+U211*U151+V211*V151+W211*W151+X211*X151+Y211*Y151+Z211*Z151+AA211*AA151+AB211*AB151+AC211*AC151+AD211*AD151+AE211*AE151+AF211*AF151+AG211*AG151+AH211*AH151+AI211*AI151+AJ211*AJ151+AK211*AK151+AL211*AL151+AM211*AM151+AN211*AN151+AO211*AO151+AP211*AP151+AQ211*AQ151+AR211*AR151+AS211*AS151+AT211*AT151+AU211*AU151+AV211*AV151+AW211*AW151+AX211*AX151+AY211*AY151+AZ211*AZ151+BA211*BA151+BB211*BB151+BC211*BC151+BD211*BD151+BE211*BE151+BF211*BF151+BG211*BG151+BH211*BH151+BI211*BI151+BJ211*BJ151+BK211*BK151+BL211*BL151+BM211*BM151+BN211*BN151+BO211*BO151+BP211*BP151+BQ211*BQ151+BR211*BR151+BS211*BS151+BT211*BT151+BU211*BU151+BV211*BV151+BW211*BW151+BX211*BX151+BY211*BY151+BZ211*BZ151+CA211*CA151+CB211*CB151+CC211*CC151+CD211*CD151+CE211*CE151+CF211*CF151+CG211*CG151+CH211*CH151</f>
        <v>6.9388939039072284E-18</v>
      </c>
      <c r="CM151" s="1951">
        <f>E212*E151+F212*F151+G212*G151+H212*H151+I212*I151+J212*J151+K212*K151+L212*L151+M212*M151+N212*N151+O212*O151+P212*P151+Q212*Q151+R212*R151+S212*S151+T212*T151+U212*U151+V212*V151+W212*W151+X212*X151+Y212*Y151+Z212*Z151+AA212*AA151+AB212*AB151+AC212*AC151+AD212*AD151+AE212*AE151+AF212*AF151+AG212*AG151+AH212*AH151+AI212*AI151+AJ212*AJ151+AK212*AK151+AL212*AL151+AM212*AM151+AN212*AN151+AO212*AO151+AP212*AP151+AQ212*AQ151+AR212*AR151+AS212*AS151+AT212*AT151+AU212*AU151+AV212*AV151+AW212*AW151+AX212*AX151+AY212*AY151+AZ212*AZ151+BA212*BA151+BB212*BB151+BC212*BC151+BD212*BD151+BE212*BE151+BF212*BF151+BG212*BG151+BH212*BH151+BI212*BI151+BJ212*BJ151+BK212*BK151+BL212*BL151+BM212*BM151+BN212*BN151+BO212*BO151+BP212*BP151+BQ212*BQ151+BR212*BR151+BS212*BS151+BT212*BT151+BU212*BU151+BV212*BV151+BW212*BW151+BX212*BX151+BY212*BY151+BZ212*BZ151+CA212*CA151+CB212*CB151+CC212*CC151+CD212*CD151+CE212*CE151+CF212*CF151+CG212*CG151+CH212*CH151</f>
        <v>0</v>
      </c>
      <c r="CN151" s="1952">
        <f>E213*E151+F213*F151+G213*G151+H213*H151+I213*I151+J213*J151+K213*K151+L213*L151+M213*M151+N213*N151+O213*O151+P213*P151+Q213*Q151+R213*R151+S213*S151+T213*T151+U213*U151+V213*V151+W213*W151+X213*X151+Y213*Y151+Z213*Z151+AA213*AA151+AB213*AB151+AC213*AC151+AD213*AD151+AE213*AE151+AF213*AF151+AG213*AG151+AH213*AH151+AI213*AI151+AJ213*AJ151+AK213*AK151+AL213*AL151+AM213*AM151+AN213*AN151+AO213*AO151+AP213*AP151+AQ213*AQ151+AR213*AR151+AS213*AS151+AT213*AT151+AU213*AU151+AV213*AV151+AW213*AW151+AX213*AX151+AY213*AY151+AZ213*AZ151+BA213*BA151+BB213*BB151+BC213*BC151+BD213*BD151+BE213*BE151+BF213*BF151+BG213*BG151+BH213*BH151+BI213*BI151+BJ213*BJ151+BK213*BK151+BL213*BL151+BM213*BM151+BN213*BN151+BO213*BO151+BP213*BP151+BQ213*BQ151+BR213*BR151+BS213*BS151+BT213*BT151+BU213*BU151+BV213*BV151+BW213*BW151+BX213*BX151+BY213*BY151+BZ213*BZ151+CA213*CA151+CB213*CB151+CC213*CC151+CD213*CD151+CE213*CE151+CF213*CF151+CG213*CG151+CH213*CH151</f>
        <v>0</v>
      </c>
      <c r="CO151" s="1952">
        <f>E214*E151+F214*F151+G214*G151+H214*H151+I214*I151+J214*J151+K214*K151+L214*L151+M214*M151+N214*N151+O214*O151+P214*P151+Q214*Q151+R214*R151+S214*S151+T214*T151+U214*U151+V214*V151+W214*W151+X214*X151+Y214*Y151+Z214*Z151+AA214*AA151+AB214*AB151+AC214*AC151+AD214*AD151+AE214*AE151+AF214*AF151+AG214*AG151+AH214*AH151+AI214*AI151+AJ214*AJ151+AK214*AK151+AL214*AL151+AM214*AM151+AN214*AN151+AO214*AO151+AP214*AP151+AQ214*AQ151+AR214*AR151+AS214*AS151+AT214*AT151+AU214*AU151+AV214*AV151+AW214*AW151+AX214*AX151+AY214*AY151+AZ214*AZ151+BA214*BA151+BB214*BB151+BC214*BC151+BD214*BD151+BE214*BE151+BF214*BF151+BG214*BG151+BH214*BH151+BI214*BI151+BJ214*BJ151+BK214*BK151+BL214*BL151+BM214*BM151+BN214*BN151+BO214*BO151+BP214*BP151+BQ214*BQ151+BR214*BR151+BS214*BS151+BT214*BT151+BU214*BU151+BV214*BV151+BW214*BW151+BX214*BX151+BY214*BY151+BZ214*BZ151+CA214*CA151+CB214*CB151+CC214*CC151+CD214*CD151+CE214*CE151+CF214*CF151+CG214*CG151+CH214*CH151</f>
        <v>0</v>
      </c>
      <c r="CP151" s="1952">
        <f>E215*E151+F215*F151+G215*G151+H215*H151+I215*I151+J215*J151+K215*K151+L215*L151+M215*M151+N215*N151+O215*O151+P215*P151+Q215*Q151+R215*R151+S215*S151+T215*T151+U215*U151+V215*V151+W215*W151+X215*X151+Y215*Y151+Z215*Z151+AA215*AA151+AB215*AB151+AC215*AC151+AD215*AD151+AE215*AE151+AF215*AF151+AG215*AG151+AH215*AH151+AI215*AI151+AJ215*AJ151+AK215*AK151+AL215*AL151+AM215*AM151+AN215*AN151+AO215*AO151+AP215*AP151+AQ215*AQ151+AR215*AR151+AS215*AS151+AT215*AT151+AU215*AU151+AV215*AV151+AW215*AW151+AX215*AX151+AY215*AY151+AZ215*AZ151+BA215*BA151+BB215*BB151+BC215*BC151+BD215*BD151+BE215*BE151+BF215*BF151+BG215*BG151+BH215*BH151+BI215*BI151+BJ215*BJ151+BK215*BK151+BL215*BL151+BM215*BM151+BN215*BN151+BO215*BO151+BP215*BP151+BQ215*BQ151+BR215*BR151+BS215*BS151+BT215*BT151+BU215*BU151+BV215*BV151+BW215*BW151+BX215*BX151+BY215*BY151+BZ215*BZ151+CA215*CA151+CB215*CB151+CC215*CC151+CD215*CD151+CE215*CE151+CF215*CF151+CG215*CG151+CH215*CH151</f>
        <v>0</v>
      </c>
      <c r="CQ151" s="1952">
        <f>E216*E151+F216*F151+G216*G151+H216*H151+I216*I151+J216*J151+K216*K151+L216*L151+M216*M151+N216*N151+O216*O151+P216*P151+Q216*Q151+R216*R151+S216*S151+T216*T151+U216*U151+V216*V151+W216*W151+X216*X151+Y216*Y151+Z216*Z151+AA216*AA151+AB216*AB151+AC216*AC151+AD216*AD151+AE216*AE151+AF216*AF151+AG216*AG151+AH216*AH151+AI216*AI151+AJ216*AJ151+AK216*AK151+AL216*AL151+AM216*AM151+AN216*AN151+AO216*AO151+AP216*AP151+AQ216*AQ151+AR216*AR151+AS216*AS151+AT216*AT151+AU216*AU151+AV216*AV151+AW216*AW151+AX216*AX151+AY216*AY151+AZ216*AZ151+BA216*BA151+BB216*BB151+BC216*BC151+BD216*BD151+BE216*BE151+BF216*BF151+BG216*BG151+BH216*BH151+BI216*BI151+BJ216*BJ151+BK216*BK151+BL216*BL151+BM216*BM151+BN216*BN151+BO216*BO151+BP216*BP151+BQ216*BQ151+BR216*BR151+BS216*BS151+BT216*BT151+BU216*BU151+BV216*BV151+BW216*BW151+BX216*BX151+BY216*BY151+BZ216*BZ151+CA216*CA151+CB216*CB151+CC216*CC151+CD216*CD151+CE216*CE151+CF216*CF151+CG216*CG151+CH216*CH151</f>
        <v>0</v>
      </c>
      <c r="CR151" s="1952">
        <f>E217*E151+F217*F151+G217*G151+H217*H151+I217*I151+J217*J151+K217*K151+L217*L151+M217*M151+N217*N151+O217*O151+P217*P151+Q217*Q151+R217*R151+S217*S151+T217*T151+U217*U151+V217*V151+W217*W151+X217*X151+Y217*Y151+Z217*Z151+AA217*AA151+AB217*AB151+AC217*AC151+AD217*AD151+AE217*AE151+AF217*AF151+AG217*AG151+AH217*AH151+AI217*AI151+AJ217*AJ151+AK217*AK151+AL217*AL151+AM217*AM151+AN217*AN151+AO217*AO151+AP217*AP151+AQ217*AQ151+AR217*AR151+AS217*AS151+AT217*AT151+AU217*AU151+AV217*AV151+AW217*AW151+AX217*AX151+AY217*AY151+AZ217*AZ151+BA217*BA151+BB217*BB151+BC217*BC151+BD217*BD151+BE217*BE151+BF217*BF151+BG217*BG151+BH217*BH151+BI217*BI151+BJ217*BJ151+BK217*BK151+BL217*BL151+BM217*BM151+BN217*BN151+BO217*BO151+BP217*BP151+BQ217*BQ151+BR217*BR151+BS217*BS151+BT217*BT151+BU217*BU151+BV217*BV151+BW217*BW151+BX217*BX151+BY217*BY151+BZ217*BZ151+CA217*CA151+CB217*CB151+CC217*CC151+CD217*CD151+CE217*CE151+CF217*CF151+CG217*CG151+CH217*CH151</f>
        <v>0</v>
      </c>
      <c r="CS151" s="1952">
        <f>E218*E151+F218*F151+G218*G151+H218*H151+I218*I151+J218*J151+K218*K151+L218*L151+M218*M151+N218*N151+O218*O151+P218*P151+Q218*Q151+R218*R151+S218*S151+T218*T151+U218*U151+V218*V151+W218*W151+X218*X151+Y218*Y151+Z218*Z151+AA218*AA151+AB218*AB151+AC218*AC151+AD218*AD151+AE218*AE151+AF218*AF151+AG218*AG151+AH218*AH151+AI218*AI151+AJ218*AJ151+AK218*AK151+AL218*AL151+AM218*AM151+AN218*AN151+AO218*AO151+AP218*AP151+AQ218*AQ151+AR218*AR151+AS218*AS151+AT218*AT151+AU218*AU151+AV218*AV151+AW218*AW151+AX218*AX151+AY218*AY151+AZ218*AZ151+BA218*BA151+BB218*BB151+BC218*BC151+BD218*BD151+BE218*BE151+BF218*BF151+BG218*BG151+BH218*BH151+BI218*BI151+BJ218*BJ151+BK218*BK151+BL218*BL151+BM218*BM151+BN218*BN151+BO218*BO151+BP218*BP151+BQ218*BQ151+BR218*BR151+BS218*BS151+BT218*BT151+BU218*BU151+BV218*BV151+BW218*BW151+BX218*BX151+BY218*BY151+BZ218*BZ151+CA218*CA151+CB218*CB151+CC218*CC151+CD218*CD151+CE218*CE151+CF218*CF151+CG218*CG151+CH218*CH151</f>
        <v>0</v>
      </c>
      <c r="CT151" s="1952">
        <f>E219*E151+F219*F151+G219*G151+H219*H151+I219*I151+J219*J151+K219*K151+L219*L151+M219*M151+N219*N151+O219*O151+P219*P151+Q219*Q151+R219*R151+S219*S151+T219*T151+U219*U151+V219*V151+W219*W151+X219*X151+Y219*Y151+Z219*Z151+AA219*AA151+AB219*AB151+AC219*AC151+AD219*AD151+AE219*AE151+AF219*AF151+AG219*AG151+AH219*AH151+AI219*AI151+AJ219*AJ151+AK219*AK151+AL219*AL151+AM219*AM151+AN219*AN151+AO219*AO151+AP219*AP151+AQ219*AQ151+AR219*AR151+AS219*AS151+AT219*AT151+AU219*AU151+AV219*AV151+AW219*AW151+AX219*AX151+AY219*AY151+AZ219*AZ151+BA219*BA151+BB219*BB151+BC219*BC151+BD219*BD151+BE219*BE151+BF219*BF151+BG219*BG151+BH219*BH151+BI219*BI151+BJ219*BJ151+BK219*BK151+BL219*BL151+BM219*BM151+BN219*BN151+BO219*BO151+BP219*BP151+BQ219*BQ151+BR219*BR151+BS219*BS151+BT219*BT151+BU219*BU151+BV219*BV151+BW219*BW151+BX219*BX151+BY219*BY151+BZ219*BZ151+CA219*CA151+CB219*CB151+CC219*CC151+CD219*CD151+CE219*CE151+CF219*CF151+CG219*CG151+CH219*CH151</f>
        <v>0</v>
      </c>
      <c r="CU151" s="1952">
        <f>E220*E151+F220*F151+G220*G151+H220*H151+I220*I151+J220*J151+K220*K151+L220*L151+M220*M151+N220*N151+O220*O151+P220*P151+Q220*Q151+R220*R151+S220*S151+T220*T151+U220*U151+V220*V151+W220*W151+X220*X151+Y220*Y151+Z220*Z151+AA220*AA151+AB220*AB151+AC220*AC151+AD220*AD151+AE220*AE151+AF220*AF151+AG220*AG151+AH220*AH151+AI220*AI151+AJ220*AJ151+AK220*AK151+AL220*AL151+AM220*AM151+AN220*AN151+AO220*AO151+AP220*AP151+AQ220*AQ151+AR220*AR151+AS220*AS151+AT220*AT151+AU220*AU151+AV220*AV151+AW220*AW151+AX220*AX151+AY220*AY151+AZ220*AZ151+BA220*BA151+BB220*BB151+BC220*BC151+BD220*BD151+BE220*BE151+BF220*BF151+BG220*BG151+BH220*BH151+BI220*BI151+BJ220*BJ151+BK220*BK151+BL220*BL151+BM220*BM151+BN220*BN151+BO220*BO151+BP220*BP151+BQ220*BQ151+BR220*BR151+BS220*BS151+BT220*BT151+BU220*BU151+BV220*BV151+BW220*BW151+BX220*BX151+BY220*BY151+BZ220*BZ151+CA220*CA151+CB220*CB151+CC220*CC151+CD220*CD151+CE220*CE151+CF220*CF151+CG220*CG151+CH220*CH151</f>
        <v>0</v>
      </c>
    </row>
    <row r="152" spans="2:99" ht="18" x14ac:dyDescent="0.25">
      <c r="B152" s="1043">
        <v>38</v>
      </c>
      <c r="C152" s="1112" t="s">
        <v>299</v>
      </c>
      <c r="D152" s="1113" t="s">
        <v>2670</v>
      </c>
      <c r="E152" s="2062">
        <f>0</f>
        <v>0</v>
      </c>
      <c r="F152" s="2062">
        <f>0</f>
        <v>0</v>
      </c>
      <c r="G152" s="2062">
        <f>0</f>
        <v>0</v>
      </c>
      <c r="H152" s="2062">
        <f>0</f>
        <v>0</v>
      </c>
      <c r="I152" s="2083">
        <f>0</f>
        <v>0</v>
      </c>
      <c r="J152" s="2083">
        <f>1-f_E</f>
        <v>0.92</v>
      </c>
      <c r="K152" s="2062">
        <f>0</f>
        <v>0</v>
      </c>
      <c r="L152" s="2062">
        <f>0</f>
        <v>0</v>
      </c>
      <c r="M152" s="2062">
        <f>0</f>
        <v>0</v>
      </c>
      <c r="N152" s="2062">
        <f>0</f>
        <v>0</v>
      </c>
      <c r="O152" s="2062">
        <f>0</f>
        <v>0</v>
      </c>
      <c r="P152" s="2062">
        <f>0</f>
        <v>0</v>
      </c>
      <c r="Q152" s="2062">
        <f>f_E</f>
        <v>0.08</v>
      </c>
      <c r="R152" s="2062">
        <f>0</f>
        <v>0</v>
      </c>
      <c r="S152" s="2062">
        <f>0</f>
        <v>0</v>
      </c>
      <c r="T152" s="2062">
        <f>0</f>
        <v>0</v>
      </c>
      <c r="U152" s="2062">
        <f>0</f>
        <v>0</v>
      </c>
      <c r="V152" s="2062">
        <f>0</f>
        <v>0</v>
      </c>
      <c r="W152" s="2062">
        <f>-1</f>
        <v>-1</v>
      </c>
      <c r="X152" s="2062">
        <f>0</f>
        <v>0</v>
      </c>
      <c r="Y152" s="2062">
        <f>-f_E*(i_N_XE-i_N_BIO)</f>
        <v>8.0000000000000069E-4</v>
      </c>
      <c r="Z152" s="2062">
        <f>0</f>
        <v>0</v>
      </c>
      <c r="AA152" s="2062">
        <f>0</f>
        <v>0</v>
      </c>
      <c r="AB152" s="2062">
        <f>0</f>
        <v>0</v>
      </c>
      <c r="AC152" s="2083">
        <f>0</f>
        <v>0</v>
      </c>
      <c r="AD152" s="2083">
        <f>(1-f_E)*i_N_BIO</f>
        <v>6.4400000000000013E-2</v>
      </c>
      <c r="AE152" s="2062">
        <f>0</f>
        <v>0</v>
      </c>
      <c r="AF152" s="2062">
        <f>0</f>
        <v>0</v>
      </c>
      <c r="AG152" s="2062">
        <f>0</f>
        <v>0</v>
      </c>
      <c r="AH152" s="2062">
        <f>0</f>
        <v>0</v>
      </c>
      <c r="AI152" s="2083">
        <f>0</f>
        <v>0</v>
      </c>
      <c r="AJ152" s="2083">
        <f>(1-f_E)*i_P_BIO</f>
        <v>1.84E-2</v>
      </c>
      <c r="AK152" s="2062">
        <f>0</f>
        <v>0</v>
      </c>
      <c r="AL152" s="2062">
        <f>0</f>
        <v>0</v>
      </c>
      <c r="AM152" s="2062">
        <f>0</f>
        <v>0</v>
      </c>
      <c r="AN152" s="2062">
        <f>0</f>
        <v>0</v>
      </c>
      <c r="AO152" s="2083">
        <f>(1-f_E)*(i_CIT_BIO-i_CIT_XBe)</f>
        <v>6.0720000000000003E-2</v>
      </c>
      <c r="AP152" s="2062">
        <f>0</f>
        <v>0</v>
      </c>
      <c r="AQ152" s="2062">
        <f>0</f>
        <v>0</v>
      </c>
      <c r="AR152" s="2062">
        <f>0</f>
        <v>0</v>
      </c>
      <c r="AS152" s="2062">
        <f>0</f>
        <v>0</v>
      </c>
      <c r="AT152" s="2062">
        <f>0</f>
        <v>0</v>
      </c>
      <c r="AU152" s="2062">
        <f>0</f>
        <v>0</v>
      </c>
      <c r="AV152" s="2062">
        <f>0</f>
        <v>0</v>
      </c>
      <c r="AW152" s="2062">
        <f>0</f>
        <v>0</v>
      </c>
      <c r="AX152" s="2062">
        <f>0</f>
        <v>0</v>
      </c>
      <c r="AY152" s="2062">
        <f>0</f>
        <v>0</v>
      </c>
      <c r="AZ152" s="2062">
        <f>0</f>
        <v>0</v>
      </c>
      <c r="BA152" s="2062">
        <f>0</f>
        <v>0</v>
      </c>
      <c r="BB152" s="2062">
        <f>0</f>
        <v>0</v>
      </c>
      <c r="BC152" s="2062">
        <f>0</f>
        <v>0</v>
      </c>
      <c r="BD152" s="2062">
        <f>0</f>
        <v>0</v>
      </c>
      <c r="BE152" s="2062">
        <f>0</f>
        <v>0</v>
      </c>
      <c r="BF152" s="2062">
        <f>0</f>
        <v>0</v>
      </c>
      <c r="BG152" s="2062">
        <f>0</f>
        <v>0</v>
      </c>
      <c r="BH152" s="2062">
        <f>0</f>
        <v>0</v>
      </c>
      <c r="BI152" s="2062">
        <f>0</f>
        <v>0</v>
      </c>
      <c r="BJ152" s="2062">
        <f>0</f>
        <v>0</v>
      </c>
      <c r="BK152" s="2062">
        <f>0</f>
        <v>0</v>
      </c>
      <c r="BL152" s="2062">
        <f>0</f>
        <v>0</v>
      </c>
      <c r="BM152" s="2062">
        <f>0</f>
        <v>0</v>
      </c>
      <c r="BN152" s="2062">
        <f>0</f>
        <v>0</v>
      </c>
      <c r="BO152" s="2062">
        <f>0</f>
        <v>0</v>
      </c>
      <c r="BP152" s="2119">
        <f>0</f>
        <v>0</v>
      </c>
      <c r="BQ152" s="2119">
        <f>0</f>
        <v>0</v>
      </c>
      <c r="BR152" s="2119">
        <f>0</f>
        <v>0</v>
      </c>
      <c r="BS152" s="2119">
        <f>0</f>
        <v>0</v>
      </c>
      <c r="BT152" s="2062">
        <f>0</f>
        <v>0</v>
      </c>
      <c r="BU152" s="2062">
        <f>0</f>
        <v>0</v>
      </c>
      <c r="BV152" s="2062">
        <f>0</f>
        <v>0</v>
      </c>
      <c r="BW152" s="2062">
        <f>0</f>
        <v>0</v>
      </c>
      <c r="BX152" s="2062">
        <f>0</f>
        <v>0</v>
      </c>
      <c r="BY152" s="2062">
        <f>0</f>
        <v>0</v>
      </c>
      <c r="BZ152" s="2062">
        <f>0</f>
        <v>0</v>
      </c>
      <c r="CA152" s="2062">
        <f>0</f>
        <v>0</v>
      </c>
      <c r="CB152" s="2062">
        <f>0</f>
        <v>0</v>
      </c>
      <c r="CC152" s="2062">
        <f>0</f>
        <v>0</v>
      </c>
      <c r="CD152" s="2062">
        <f>0</f>
        <v>0</v>
      </c>
      <c r="CE152" s="2062">
        <f>0</f>
        <v>0</v>
      </c>
      <c r="CF152" s="2062">
        <f>0</f>
        <v>0</v>
      </c>
      <c r="CG152" s="2062">
        <f>0</f>
        <v>0</v>
      </c>
      <c r="CH152" s="2062">
        <f>0</f>
        <v>0</v>
      </c>
      <c r="CI152" s="2141">
        <f>b_HMETO_T*X_HMETO*(M_inhSNOx_KNOx_HMETO*M_inhSO2_KiO2_HMETO)</f>
        <v>6.2786766481526223E-6</v>
      </c>
      <c r="CK152" s="1950">
        <f>E210*E152+F210*F152+G210*G152+H210*H152+I210*I152+J210*J152+K210*K152+L210*L152+M210*M152+N210*N152+O210*O152+P210*P152+Q210*Q152+R210*R152+S210*S152+T210*T152+U210*U152+V210*V152+W210*W152+X210*X152+Y210*Y152+Z210*Z152+AA210*AA152+AB210*AB152+AC210*AC152+AD210*AD152+AE210*AE152+AF210*AF152+AG210*AG152+AH210*AH152+AI210*AI152+AJ210*AJ152+AK210*AK152+AL210*AL152+AM210*AM152+AN210*AN152+AO210*AO152+AP210*AP152+AQ210*AQ152+AR210*AR152+AS210*AS152+AT210*AT152+AU210*AU152+AV210*AV152+AW210*AW152+AX210*AX152+AY210*AY152+AZ210*AZ152+BA210*BA152+BB210*BB152+BC210*BC152+BD210*BD152+BE210*BE152+BF210*BF152+BG210*BG152+BH210*BH152+BI210*BI152+BJ210*BJ152+BK210*BK152+BL210*BL152+BM210*BM152+BN210*BN152+BO210*BO152+BP210*BP152+BQ210*BQ152+BR210*BR152+BS210*BS152+BT210*BT152+BU210*BU152+BV210*BV152+BW210*BW152+BX210*BX152+BY210*BY152+BZ210*BZ152+CA210*CA152+CB210*CB152+CC210*CC152+CD210*CD152+CE210*CE152+CF210*CF152+CG210*CG152+CH210*CH152</f>
        <v>0</v>
      </c>
      <c r="CL152" s="1950">
        <f>E211*E152+F211*F152+G211*G152+H211*H152+I211*I152+J211*J152+K211*K152+L211*L152+M211*M152+N211*N152+O211*O152+P211*P152+Q211*Q152+R211*R152+S211*S152+T211*T152+U211*U152+V211*V152+W211*W152+X211*X152+Y211*Y152+Z211*Z152+AA211*AA152+AB211*AB152+AC211*AC152+AD211*AD152+AE211*AE152+AF211*AF152+AG211*AG152+AH211*AH152+AI211*AI152+AJ211*AJ152+AK211*AK152+AL211*AL152+AM211*AM152+AN211*AN152+AO211*AO152+AP211*AP152+AQ211*AQ152+AR211*AR152+AS211*AS152+AT211*AT152+AU211*AU152+AV211*AV152+AW211*AW152+AX211*AX152+AY211*AY152+AZ211*AZ152+BA211*BA152+BB211*BB152+BC211*BC152+BD211*BD152+BE211*BE152+BF211*BF152+BG211*BG152+BH211*BH152+BI211*BI152+BJ211*BJ152+BK211*BK152+BL211*BL152+BM211*BM152+BN211*BN152+BO211*BO152+BP211*BP152+BQ211*BQ152+BR211*BR152+BS211*BS152+BT211*BT152+BU211*BU152+BV211*BV152+BW211*BW152+BX211*BX152+BY211*BY152+BZ211*BZ152+CA211*CA152+CB211*CB152+CC211*CC152+CD211*CD152+CE211*CE152+CF211*CF152+CG211*CG152+CH211*CH152</f>
        <v>6.9388939039072284E-18</v>
      </c>
      <c r="CM152" s="1951">
        <f>E212*E152+F212*F152+G212*G152+H212*H152+I212*I152+J212*J152+K212*K152+L212*L152+M212*M152+N212*N152+O212*O152+P212*P152+Q212*Q152+R212*R152+S212*S152+T212*T152+U212*U152+V212*V152+W212*W152+X212*X152+Y212*Y152+Z212*Z152+AA212*AA152+AB212*AB152+AC212*AC152+AD212*AD152+AE212*AE152+AF212*AF152+AG212*AG152+AH212*AH152+AI212*AI152+AJ212*AJ152+AK212*AK152+AL212*AL152+AM212*AM152+AN212*AN152+AO212*AO152+AP212*AP152+AQ212*AQ152+AR212*AR152+AS212*AS152+AT212*AT152+AU212*AU152+AV212*AV152+AW212*AW152+AX212*AX152+AY212*AY152+AZ212*AZ152+BA212*BA152+BB212*BB152+BC212*BC152+BD212*BD152+BE212*BE152+BF212*BF152+BG212*BG152+BH212*BH152+BI212*BI152+BJ212*BJ152+BK212*BK152+BL212*BL152+BM212*BM152+BN212*BN152+BO212*BO152+BP212*BP152+BQ212*BQ152+BR212*BR152+BS212*BS152+BT212*BT152+BU212*BU152+BV212*BV152+BW212*BW152+BX212*BX152+BY212*BY152+BZ212*BZ152+CA212*CA152+CB212*CB152+CC212*CC152+CD212*CD152+CE212*CE152+CF212*CF152+CG212*CG152+CH212*CH152</f>
        <v>0</v>
      </c>
      <c r="CN152" s="1952">
        <f>E213*E152+F213*F152+G213*G152+H213*H152+I213*I152+J213*J152+K213*K152+L213*L152+M213*M152+N213*N152+O213*O152+P213*P152+Q213*Q152+R213*R152+S213*S152+T213*T152+U213*U152+V213*V152+W213*W152+X213*X152+Y213*Y152+Z213*Z152+AA213*AA152+AB213*AB152+AC213*AC152+AD213*AD152+AE213*AE152+AF213*AF152+AG213*AG152+AH213*AH152+AI213*AI152+AJ213*AJ152+AK213*AK152+AL213*AL152+AM213*AM152+AN213*AN152+AO213*AO152+AP213*AP152+AQ213*AQ152+AR213*AR152+AS213*AS152+AT213*AT152+AU213*AU152+AV213*AV152+AW213*AW152+AX213*AX152+AY213*AY152+AZ213*AZ152+BA213*BA152+BB213*BB152+BC213*BC152+BD213*BD152+BE213*BE152+BF213*BF152+BG213*BG152+BH213*BH152+BI213*BI152+BJ213*BJ152+BK213*BK152+BL213*BL152+BM213*BM152+BN213*BN152+BO213*BO152+BP213*BP152+BQ213*BQ152+BR213*BR152+BS213*BS152+BT213*BT152+BU213*BU152+BV213*BV152+BW213*BW152+BX213*BX152+BY213*BY152+BZ213*BZ152+CA213*CA152+CB213*CB152+CC213*CC152+CD213*CD152+CE213*CE152+CF213*CF152+CG213*CG152+CH213*CH152</f>
        <v>0</v>
      </c>
      <c r="CO152" s="1952">
        <f>E214*E152+F214*F152+G214*G152+H214*H152+I214*I152+J214*J152+K214*K152+L214*L152+M214*M152+N214*N152+O214*O152+P214*P152+Q214*Q152+R214*R152+S214*S152+T214*T152+U214*U152+V214*V152+W214*W152+X214*X152+Y214*Y152+Z214*Z152+AA214*AA152+AB214*AB152+AC214*AC152+AD214*AD152+AE214*AE152+AF214*AF152+AG214*AG152+AH214*AH152+AI214*AI152+AJ214*AJ152+AK214*AK152+AL214*AL152+AM214*AM152+AN214*AN152+AO214*AO152+AP214*AP152+AQ214*AQ152+AR214*AR152+AS214*AS152+AT214*AT152+AU214*AU152+AV214*AV152+AW214*AW152+AX214*AX152+AY214*AY152+AZ214*AZ152+BA214*BA152+BB214*BB152+BC214*BC152+BD214*BD152+BE214*BE152+BF214*BF152+BG214*BG152+BH214*BH152+BI214*BI152+BJ214*BJ152+BK214*BK152+BL214*BL152+BM214*BM152+BN214*BN152+BO214*BO152+BP214*BP152+BQ214*BQ152+BR214*BR152+BS214*BS152+BT214*BT152+BU214*BU152+BV214*BV152+BW214*BW152+BX214*BX152+BY214*BY152+BZ214*BZ152+CA214*CA152+CB214*CB152+CC214*CC152+CD214*CD152+CE214*CE152+CF214*CF152+CG214*CG152+CH214*CH152</f>
        <v>0</v>
      </c>
      <c r="CP152" s="1952">
        <f>E215*E152+F215*F152+G215*G152+H215*H152+I215*I152+J215*J152+K215*K152+L215*L152+M215*M152+N215*N152+O215*O152+P215*P152+Q215*Q152+R215*R152+S215*S152+T215*T152+U215*U152+V215*V152+W215*W152+X215*X152+Y215*Y152+Z215*Z152+AA215*AA152+AB215*AB152+AC215*AC152+AD215*AD152+AE215*AE152+AF215*AF152+AG215*AG152+AH215*AH152+AI215*AI152+AJ215*AJ152+AK215*AK152+AL215*AL152+AM215*AM152+AN215*AN152+AO215*AO152+AP215*AP152+AQ215*AQ152+AR215*AR152+AS215*AS152+AT215*AT152+AU215*AU152+AV215*AV152+AW215*AW152+AX215*AX152+AY215*AY152+AZ215*AZ152+BA215*BA152+BB215*BB152+BC215*BC152+BD215*BD152+BE215*BE152+BF215*BF152+BG215*BG152+BH215*BH152+BI215*BI152+BJ215*BJ152+BK215*BK152+BL215*BL152+BM215*BM152+BN215*BN152+BO215*BO152+BP215*BP152+BQ215*BQ152+BR215*BR152+BS215*BS152+BT215*BT152+BU215*BU152+BV215*BV152+BW215*BW152+BX215*BX152+BY215*BY152+BZ215*BZ152+CA215*CA152+CB215*CB152+CC215*CC152+CD215*CD152+CE215*CE152+CF215*CF152+CG215*CG152+CH215*CH152</f>
        <v>0</v>
      </c>
      <c r="CQ152" s="1952">
        <f>E216*E152+F216*F152+G216*G152+H216*H152+I216*I152+J216*J152+K216*K152+L216*L152+M216*M152+N216*N152+O216*O152+P216*P152+Q216*Q152+R216*R152+S216*S152+T216*T152+U216*U152+V216*V152+W216*W152+X216*X152+Y216*Y152+Z216*Z152+AA216*AA152+AB216*AB152+AC216*AC152+AD216*AD152+AE216*AE152+AF216*AF152+AG216*AG152+AH216*AH152+AI216*AI152+AJ216*AJ152+AK216*AK152+AL216*AL152+AM216*AM152+AN216*AN152+AO216*AO152+AP216*AP152+AQ216*AQ152+AR216*AR152+AS216*AS152+AT216*AT152+AU216*AU152+AV216*AV152+AW216*AW152+AX216*AX152+AY216*AY152+AZ216*AZ152+BA216*BA152+BB216*BB152+BC216*BC152+BD216*BD152+BE216*BE152+BF216*BF152+BG216*BG152+BH216*BH152+BI216*BI152+BJ216*BJ152+BK216*BK152+BL216*BL152+BM216*BM152+BN216*BN152+BO216*BO152+BP216*BP152+BQ216*BQ152+BR216*BR152+BS216*BS152+BT216*BT152+BU216*BU152+BV216*BV152+BW216*BW152+BX216*BX152+BY216*BY152+BZ216*BZ152+CA216*CA152+CB216*CB152+CC216*CC152+CD216*CD152+CE216*CE152+CF216*CF152+CG216*CG152+CH216*CH152</f>
        <v>0</v>
      </c>
      <c r="CR152" s="1952">
        <f>E217*E152+F217*F152+G217*G152+H217*H152+I217*I152+J217*J152+K217*K152+L217*L152+M217*M152+N217*N152+O217*O152+P217*P152+Q217*Q152+R217*R152+S217*S152+T217*T152+U217*U152+V217*V152+W217*W152+X217*X152+Y217*Y152+Z217*Z152+AA217*AA152+AB217*AB152+AC217*AC152+AD217*AD152+AE217*AE152+AF217*AF152+AG217*AG152+AH217*AH152+AI217*AI152+AJ217*AJ152+AK217*AK152+AL217*AL152+AM217*AM152+AN217*AN152+AO217*AO152+AP217*AP152+AQ217*AQ152+AR217*AR152+AS217*AS152+AT217*AT152+AU217*AU152+AV217*AV152+AW217*AW152+AX217*AX152+AY217*AY152+AZ217*AZ152+BA217*BA152+BB217*BB152+BC217*BC152+BD217*BD152+BE217*BE152+BF217*BF152+BG217*BG152+BH217*BH152+BI217*BI152+BJ217*BJ152+BK217*BK152+BL217*BL152+BM217*BM152+BN217*BN152+BO217*BO152+BP217*BP152+BQ217*BQ152+BR217*BR152+BS217*BS152+BT217*BT152+BU217*BU152+BV217*BV152+BW217*BW152+BX217*BX152+BY217*BY152+BZ217*BZ152+CA217*CA152+CB217*CB152+CC217*CC152+CD217*CD152+CE217*CE152+CF217*CF152+CG217*CG152+CH217*CH152</f>
        <v>0</v>
      </c>
      <c r="CS152" s="1952">
        <f>E218*E152+F218*F152+G218*G152+H218*H152+I218*I152+J218*J152+K218*K152+L218*L152+M218*M152+N218*N152+O218*O152+P218*P152+Q218*Q152+R218*R152+S218*S152+T218*T152+U218*U152+V218*V152+W218*W152+X218*X152+Y218*Y152+Z218*Z152+AA218*AA152+AB218*AB152+AC218*AC152+AD218*AD152+AE218*AE152+AF218*AF152+AG218*AG152+AH218*AH152+AI218*AI152+AJ218*AJ152+AK218*AK152+AL218*AL152+AM218*AM152+AN218*AN152+AO218*AO152+AP218*AP152+AQ218*AQ152+AR218*AR152+AS218*AS152+AT218*AT152+AU218*AU152+AV218*AV152+AW218*AW152+AX218*AX152+AY218*AY152+AZ218*AZ152+BA218*BA152+BB218*BB152+BC218*BC152+BD218*BD152+BE218*BE152+BF218*BF152+BG218*BG152+BH218*BH152+BI218*BI152+BJ218*BJ152+BK218*BK152+BL218*BL152+BM218*BM152+BN218*BN152+BO218*BO152+BP218*BP152+BQ218*BQ152+BR218*BR152+BS218*BS152+BT218*BT152+BU218*BU152+BV218*BV152+BW218*BW152+BX218*BX152+BY218*BY152+BZ218*BZ152+CA218*CA152+CB218*CB152+CC218*CC152+CD218*CD152+CE218*CE152+CF218*CF152+CG218*CG152+CH218*CH152</f>
        <v>0</v>
      </c>
      <c r="CT152" s="1952">
        <f>E219*E152+F219*F152+G219*G152+H219*H152+I219*I152+J219*J152+K219*K152+L219*L152+M219*M152+N219*N152+O219*O152+P219*P152+Q219*Q152+R219*R152+S219*S152+T219*T152+U219*U152+V219*V152+W219*W152+X219*X152+Y219*Y152+Z219*Z152+AA219*AA152+AB219*AB152+AC219*AC152+AD219*AD152+AE219*AE152+AF219*AF152+AG219*AG152+AH219*AH152+AI219*AI152+AJ219*AJ152+AK219*AK152+AL219*AL152+AM219*AM152+AN219*AN152+AO219*AO152+AP219*AP152+AQ219*AQ152+AR219*AR152+AS219*AS152+AT219*AT152+AU219*AU152+AV219*AV152+AW219*AW152+AX219*AX152+AY219*AY152+AZ219*AZ152+BA219*BA152+BB219*BB152+BC219*BC152+BD219*BD152+BE219*BE152+BF219*BF152+BG219*BG152+BH219*BH152+BI219*BI152+BJ219*BJ152+BK219*BK152+BL219*BL152+BM219*BM152+BN219*BN152+BO219*BO152+BP219*BP152+BQ219*BQ152+BR219*BR152+BS219*BS152+BT219*BT152+BU219*BU152+BV219*BV152+BW219*BW152+BX219*BX152+BY219*BY152+BZ219*BZ152+CA219*CA152+CB219*CB152+CC219*CC152+CD219*CD152+CE219*CE152+CF219*CF152+CG219*CG152+CH219*CH152</f>
        <v>0</v>
      </c>
      <c r="CU152" s="1952">
        <f>E220*E152+F220*F152+G220*G152+H220*H152+I220*I152+J220*J152+K220*K152+L220*L152+M220*M152+N220*N152+O220*O152+P220*P152+Q220*Q152+R220*R152+S220*S152+T220*T152+U220*U152+V220*V152+W220*W152+X220*X152+Y220*Y152+Z220*Z152+AA220*AA152+AB220*AB152+AC220*AC152+AD220*AD152+AE220*AE152+AF220*AF152+AG220*AG152+AH220*AH152+AI220*AI152+AJ220*AJ152+AK220*AK152+AL220*AL152+AM220*AM152+AN220*AN152+AO220*AO152+AP220*AP152+AQ220*AQ152+AR220*AR152+AS220*AS152+AT220*AT152+AU220*AU152+AV220*AV152+AW220*AW152+AX220*AX152+AY220*AY152+AZ220*AZ152+BA220*BA152+BB220*BB152+BC220*BC152+BD220*BD152+BE220*BE152+BF220*BF152+BG220*BG152+BH220*BH152+BI220*BI152+BJ220*BJ152+BK220*BK152+BL220*BL152+BM220*BM152+BN220*BN152+BO220*BO152+BP220*BP152+BQ220*BQ152+BR220*BR152+BS220*BS152+BT220*BT152+BU220*BU152+BV220*BV152+BW220*BW152+BX220*BX152+BY220*BY152+BZ220*BZ152+CA220*CA152+CB220*CB152+CC220*CC152+CD220*CD152+CE220*CE152+CF220*CF152+CG220*CG152+CH220*CH152</f>
        <v>0</v>
      </c>
    </row>
    <row r="153" spans="2:99" ht="18" x14ac:dyDescent="0.35">
      <c r="B153" s="1060">
        <v>39</v>
      </c>
      <c r="C153" s="1116" t="s">
        <v>300</v>
      </c>
      <c r="D153" s="1117" t="s">
        <v>4312</v>
      </c>
      <c r="E153" s="2063">
        <f>0</f>
        <v>0</v>
      </c>
      <c r="F153" s="2063">
        <f>0</f>
        <v>0</v>
      </c>
      <c r="G153" s="2063">
        <f>0</f>
        <v>0</v>
      </c>
      <c r="H153" s="2063">
        <f>0</f>
        <v>0</v>
      </c>
      <c r="I153" s="2084">
        <f>0</f>
        <v>0</v>
      </c>
      <c r="J153" s="2084">
        <f>0</f>
        <v>0</v>
      </c>
      <c r="K153" s="2063">
        <f>0</f>
        <v>0</v>
      </c>
      <c r="L153" s="2063">
        <f>0</f>
        <v>0</v>
      </c>
      <c r="M153" s="2063">
        <f>0</f>
        <v>0</v>
      </c>
      <c r="N153" s="2063">
        <f>0</f>
        <v>0</v>
      </c>
      <c r="O153" s="2063">
        <f>0</f>
        <v>0</v>
      </c>
      <c r="P153" s="2063">
        <f>0</f>
        <v>0</v>
      </c>
      <c r="Q153" s="2063">
        <f>0</f>
        <v>0</v>
      </c>
      <c r="R153" s="2063">
        <f>0</f>
        <v>0</v>
      </c>
      <c r="S153" s="2063">
        <f>0</f>
        <v>0</v>
      </c>
      <c r="T153" s="2063">
        <f>0</f>
        <v>0</v>
      </c>
      <c r="U153" s="2063">
        <f>0</f>
        <v>0</v>
      </c>
      <c r="V153" s="2063">
        <f>0</f>
        <v>0</v>
      </c>
      <c r="W153" s="2063">
        <f>0</f>
        <v>0</v>
      </c>
      <c r="X153" s="2063">
        <f>1</f>
        <v>1</v>
      </c>
      <c r="Y153" s="2063">
        <f>0</f>
        <v>0</v>
      </c>
      <c r="Z153" s="2096">
        <f>-i_N_ALGAE</f>
        <v>-7.0000000000000007E-2</v>
      </c>
      <c r="AA153" s="2063">
        <f>0</f>
        <v>0</v>
      </c>
      <c r="AB153" s="2063">
        <f>0</f>
        <v>0</v>
      </c>
      <c r="AC153" s="2084">
        <f>0</f>
        <v>0</v>
      </c>
      <c r="AD153" s="2084">
        <f>0</f>
        <v>0</v>
      </c>
      <c r="AE153" s="2063">
        <f>0</f>
        <v>0</v>
      </c>
      <c r="AF153" s="2096">
        <f>-i_P_ALGAE</f>
        <v>-0.02</v>
      </c>
      <c r="AG153" s="2063">
        <f>0</f>
        <v>0</v>
      </c>
      <c r="AH153" s="2063">
        <f>0</f>
        <v>0</v>
      </c>
      <c r="AI153" s="2084">
        <f>0</f>
        <v>0</v>
      </c>
      <c r="AJ153" s="2084">
        <f>0</f>
        <v>0</v>
      </c>
      <c r="AK153" s="2063">
        <f>0</f>
        <v>0</v>
      </c>
      <c r="AL153" s="2096">
        <f>1+i_N_ALGAE*E_EQNO3</f>
        <v>1.3198349361377055</v>
      </c>
      <c r="AM153" s="2063">
        <f>0</f>
        <v>0</v>
      </c>
      <c r="AN153" s="2063">
        <f>0</f>
        <v>0</v>
      </c>
      <c r="AO153" s="2103">
        <f>-i_CIT_ALGAE</f>
        <v>-0.375</v>
      </c>
      <c r="AP153" s="2063">
        <f>i_INORG</f>
        <v>0.11</v>
      </c>
      <c r="AQ153" s="2105">
        <f>-i_INORG*(1-i_Ca_INORG*(A_MCa+2*A_MCl)/A_MCa-i_Mg_INORG*(A_MMg+2*A_MCl)/A_MMg)*f_Na</f>
        <v>-2.8804303582798466E-2</v>
      </c>
      <c r="AR153" s="2105">
        <f>-i_INORG*(i_Ca_INORG*(2*A_MCl)/A_MCa+i_Mg_INORG*(2*A_MCl)/A_MMg)-i_INORG*(1-i_Ca_INORG*(A_MCa+2*A_MCl)/A_MCa-i_Mg_INORG*(A_MMg+2*A_MCl)/A_MMg)*(1-f_Na)</f>
        <v>-7.0195696417201539E-2</v>
      </c>
      <c r="AS153" s="2105">
        <f>-i_INORG*i_Ca_INORG</f>
        <v>-5.5000000000000005E-3</v>
      </c>
      <c r="AT153" s="2105">
        <f>-i_INORG*i_Mg_INORG</f>
        <v>-5.5000000000000005E-3</v>
      </c>
      <c r="AU153" s="2063">
        <f>0</f>
        <v>0</v>
      </c>
      <c r="AV153" s="2063">
        <f>0</f>
        <v>0</v>
      </c>
      <c r="AW153" s="2063">
        <f>0</f>
        <v>0</v>
      </c>
      <c r="AX153" s="2063">
        <f>0</f>
        <v>0</v>
      </c>
      <c r="AY153" s="2063">
        <f>0</f>
        <v>0</v>
      </c>
      <c r="AZ153" s="2063">
        <f>0</f>
        <v>0</v>
      </c>
      <c r="BA153" s="2063">
        <f>0</f>
        <v>0</v>
      </c>
      <c r="BB153" s="2063">
        <f>0</f>
        <v>0</v>
      </c>
      <c r="BC153" s="2063">
        <f>0</f>
        <v>0</v>
      </c>
      <c r="BD153" s="2063">
        <f>0</f>
        <v>0</v>
      </c>
      <c r="BE153" s="2063">
        <f>0</f>
        <v>0</v>
      </c>
      <c r="BF153" s="2063">
        <f>0</f>
        <v>0</v>
      </c>
      <c r="BG153" s="2063">
        <f>0</f>
        <v>0</v>
      </c>
      <c r="BH153" s="2063">
        <f>0</f>
        <v>0</v>
      </c>
      <c r="BI153" s="2063">
        <f>0</f>
        <v>0</v>
      </c>
      <c r="BJ153" s="2063">
        <f>0</f>
        <v>0</v>
      </c>
      <c r="BK153" s="2063">
        <f>0</f>
        <v>0</v>
      </c>
      <c r="BL153" s="2063">
        <f>0</f>
        <v>0</v>
      </c>
      <c r="BM153" s="2063">
        <f>0</f>
        <v>0</v>
      </c>
      <c r="BN153" s="2063">
        <f>0</f>
        <v>0</v>
      </c>
      <c r="BO153" s="2063">
        <f>0</f>
        <v>0</v>
      </c>
      <c r="BP153" s="2120">
        <f>0</f>
        <v>0</v>
      </c>
      <c r="BQ153" s="2120">
        <f>0</f>
        <v>0</v>
      </c>
      <c r="BR153" s="2120">
        <f>0</f>
        <v>0</v>
      </c>
      <c r="BS153" s="2120">
        <f>0</f>
        <v>0</v>
      </c>
      <c r="BT153" s="2063">
        <f>0</f>
        <v>0</v>
      </c>
      <c r="BU153" s="2063">
        <f>0</f>
        <v>0</v>
      </c>
      <c r="BV153" s="2063">
        <f>0</f>
        <v>0</v>
      </c>
      <c r="BW153" s="2063">
        <f>0</f>
        <v>0</v>
      </c>
      <c r="BX153" s="2063">
        <f>0</f>
        <v>0</v>
      </c>
      <c r="BY153" s="2063">
        <f>0</f>
        <v>0</v>
      </c>
      <c r="BZ153" s="2063">
        <f>0</f>
        <v>0</v>
      </c>
      <c r="CA153" s="2063">
        <f>0</f>
        <v>0</v>
      </c>
      <c r="CB153" s="2063">
        <f>0</f>
        <v>0</v>
      </c>
      <c r="CC153" s="2063">
        <f>0</f>
        <v>0</v>
      </c>
      <c r="CD153" s="2105">
        <f>0</f>
        <v>0</v>
      </c>
      <c r="CE153" s="2063">
        <f>0</f>
        <v>0</v>
      </c>
      <c r="CF153" s="2063">
        <f>0</f>
        <v>0</v>
      </c>
      <c r="CG153" s="2063">
        <f>0</f>
        <v>0</v>
      </c>
      <c r="CH153" s="2131">
        <f>0</f>
        <v>0</v>
      </c>
      <c r="CI153" s="2142">
        <f>µ_ALGAE_T*X_ALGAE*M_satSPO4_KPO4_BIO*M_satSCO2_KCO2_ALGAE*L_ightSwitch*M_satSNOx_KNOx_ALGAE*M_inhSNHx_KiNHx_ALGAE</f>
        <v>0</v>
      </c>
      <c r="CK153" s="1950">
        <f>E210*E153+F210*F153+G210*G153+H210*H153+I210*I153+J210*J153+K210*K153+L210*L153+M210*M153+N210*N153+O210*O153+P210*P153+Q210*Q153+R210*R153+S210*S153+T210*T153+U210*U153+V210*V153+W210*W153+X210*X153+Y210*Y153+Z210*Z153+AA210*AA153+AB210*AB153+AC210*AC153+AD210*AD153+AE210*AE153+AF210*AF153+AG210*AG153+AH210*AH153+AI210*AI153+AJ210*AJ153+AK210*AK153+AL210*AL153+AM210*AM153+AN210*AN153+AO210*AO153+AP210*AP153+AQ210*AQ153+AR210*AR153+AS210*AS153+AT210*AT153+AU210*AU153+AV210*AV153+AW210*AW153+AX210*AX153+AY210*AY153+AZ210*AZ153+BA210*BA153+BB210*BB153+BC210*BC153+BD210*BD153+BE210*BE153+BF210*BF153+BG210*BG153+BH210*BH153+BI210*BI153+BJ210*BJ153+BK210*BK153+BL210*BL153+BM210*BM153+BN210*BN153+BO210*BO153+BP210*BP153+BQ210*BQ153+BR210*BR153+BS210*BS153+BT210*BT153+BU210*BU153+BV210*BV153+BW210*BW153+BX210*BX153+BY210*BY153+BZ210*BZ153+CA210*CA153+CB210*CB153+CC210*CC153+CD210*CD153+CE210*CE153+CF210*CF153+CG210*CG153+CH210*CH153</f>
        <v>0</v>
      </c>
      <c r="CL153" s="1950">
        <f>E211*E153+F211*F153+G211*G153+H211*H153+I211*I153+J211*J153+K211*K153+L211*L153+M211*M153+N211*N153+O211*O153+P211*P153+Q211*Q153+R211*R153+S211*S153+T211*T153+U211*U153+V211*V153+W211*W153+X211*X153+Y211*Y153+Z211*Z153+AA211*AA153+AB211*AB153+AC211*AC153+AD211*AD153+AE211*AE153+AF211*AF153+AG211*AG153+AH211*AH153+AI211*AI153+AJ211*AJ153+AK211*AK153+AL211*AL153+AM211*AM153+AN211*AN153+AO211*AO153+AP211*AP153+AQ211*AQ153+AR211*AR153+AS211*AS153+AT211*AT153+AU211*AU153+AV211*AV153+AW211*AW153+AX211*AX153+AY211*AY153+AZ211*AZ153+BA211*BA153+BB211*BB153+BC211*BC153+BD211*BD153+BE211*BE153+BF211*BF153+BG211*BG153+BH211*BH153+BI211*BI153+BJ211*BJ153+BK211*BK153+BL211*BL153+BM211*BM153+BN211*BN153+BO211*BO153+BP211*BP153+BQ211*BQ153+BR211*BR153+BS211*BS153+BT211*BT153+BU211*BU153+BV211*BV153+BW211*BW153+BX211*BX153+BY211*BY153+BZ211*BZ153+CA211*CA153+CB211*CB153+CC211*CC153+CD211*CD153+CE211*CE153+CF211*CF153+CG211*CG153+CH211*CH153</f>
        <v>0</v>
      </c>
      <c r="CM153" s="1951">
        <f>E212*E153+F212*F153+G212*G153+H212*H153+I212*I153+J212*J153+K212*K153+L212*L153+M212*M153+N212*N153+O212*O153+P212*P153+Q212*Q153+R212*R153+S212*S153+T212*T153+U212*U153+V212*V153+W212*W153+X212*X153+Y212*Y153+Z212*Z153+AA212*AA153+AB212*AB153+AC212*AC153+AD212*AD153+AE212*AE153+AF212*AF153+AG212*AG153+AH212*AH153+AI212*AI153+AJ212*AJ153+AK212*AK153+AL212*AL153+AM212*AM153+AN212*AN153+AO212*AO153+AP212*AP153+AQ212*AQ153+AR212*AR153+AS212*AS153+AT212*AT153+AU212*AU153+AV212*AV153+AW212*AW153+AX212*AX153+AY212*AY153+AZ212*AZ153+BA212*BA153+BB212*BB153+BC212*BC153+BD212*BD153+BE212*BE153+BF212*BF153+BG212*BG153+BH212*BH153+BI212*BI153+BJ212*BJ153+BK212*BK153+BL212*BL153+BM212*BM153+BN212*BN153+BO212*BO153+BP212*BP153+BQ212*BQ153+BR212*BR153+BS212*BS153+BT212*BT153+BU212*BU153+BV212*BV153+BW212*BW153+BX212*BX153+BY212*BY153+BZ212*BZ153+CA212*CA153+CB212*CB153+CC212*CC153+CD212*CD153+CE212*CE153+CF212*CF153+CG212*CG153+CH212*CH153</f>
        <v>0</v>
      </c>
      <c r="CN153" s="1952">
        <f>E213*E153+F213*F153+G213*G153+H213*H153+I213*I153+J213*J153+K213*K153+L213*L153+M213*M153+N213*N153+O213*O153+P213*P153+Q213*Q153+R213*R153+S213*S153+T213*T153+U213*U153+V213*V153+W213*W153+X213*X153+Y213*Y153+Z213*Z153+AA213*AA153+AB213*AB153+AC213*AC153+AD213*AD153+AE213*AE153+AF213*AF153+AG213*AG153+AH213*AH153+AI213*AI153+AJ213*AJ153+AK213*AK153+AL213*AL153+AM213*AM153+AN213*AN153+AO213*AO153+AP213*AP153+AQ213*AQ153+AR213*AR153+AS213*AS153+AT213*AT153+AU213*AU153+AV213*AV153+AW213*AW153+AX213*AX153+AY213*AY153+AZ213*AZ153+BA213*BA153+BB213*BB153+BC213*BC153+BD213*BD153+BE213*BE153+BF213*BF153+BG213*BG153+BH213*BH153+BI213*BI153+BJ213*BJ153+BK213*BK153+BL213*BL153+BM213*BM153+BN213*BN153+BO213*BO153+BP213*BP153+BQ213*BQ153+BR213*BR153+BS213*BS153+BT213*BT153+BU213*BU153+BV213*BV153+BW213*BW153+BX213*BX153+BY213*BY153+BZ213*BZ153+CA213*CA153+CB213*CB153+CC213*CC153+CD213*CD153+CE213*CE153+CF213*CF153+CG213*CG153+CH213*CH153</f>
        <v>0</v>
      </c>
      <c r="CO153" s="1952">
        <f>E214*E153+F214*F153+G214*G153+H214*H153+I214*I153+J214*J153+K214*K153+L214*L153+M214*M153+N214*N153+O214*O153+P214*P153+Q214*Q153+R214*R153+S214*S153+T214*T153+U214*U153+V214*V153+W214*W153+X214*X153+Y214*Y153+Z214*Z153+AA214*AA153+AB214*AB153+AC214*AC153+AD214*AD153+AE214*AE153+AF214*AF153+AG214*AG153+AH214*AH153+AI214*AI153+AJ214*AJ153+AK214*AK153+AL214*AL153+AM214*AM153+AN214*AN153+AO214*AO153+AP214*AP153+AQ214*AQ153+AR214*AR153+AS214*AS153+AT214*AT153+AU214*AU153+AV214*AV153+AW214*AW153+AX214*AX153+AY214*AY153+AZ214*AZ153+BA214*BA153+BB214*BB153+BC214*BC153+BD214*BD153+BE214*BE153+BF214*BF153+BG214*BG153+BH214*BH153+BI214*BI153+BJ214*BJ153+BK214*BK153+BL214*BL153+BM214*BM153+BN214*BN153+BO214*BO153+BP214*BP153+BQ214*BQ153+BR214*BR153+BS214*BS153+BT214*BT153+BU214*BU153+BV214*BV153+BW214*BW153+BX214*BX153+BY214*BY153+BZ214*BZ153+CA214*CA153+CB214*CB153+CC214*CC153+CD214*CD153+CE214*CE153+CF214*CF153+CG214*CG153+CH214*CH153</f>
        <v>0</v>
      </c>
      <c r="CP153" s="1952">
        <f>E215*E153+F215*F153+G215*G153+H215*H153+I215*I153+J215*J153+K215*K153+L215*L153+M215*M153+N215*N153+O215*O153+P215*P153+Q215*Q153+R215*R153+S215*S153+T215*T153+U215*U153+V215*V153+W215*W153+X215*X153+Y215*Y153+Z215*Z153+AA215*AA153+AB215*AB153+AC215*AC153+AD215*AD153+AE215*AE153+AF215*AF153+AG215*AG153+AH215*AH153+AI215*AI153+AJ215*AJ153+AK215*AK153+AL215*AL153+AM215*AM153+AN215*AN153+AO215*AO153+AP215*AP153+AQ215*AQ153+AR215*AR153+AS215*AS153+AT215*AT153+AU215*AU153+AV215*AV153+AW215*AW153+AX215*AX153+AY215*AY153+AZ215*AZ153+BA215*BA153+BB215*BB153+BC215*BC153+BD215*BD153+BE215*BE153+BF215*BF153+BG215*BG153+BH215*BH153+BI215*BI153+BJ215*BJ153+BK215*BK153+BL215*BL153+BM215*BM153+BN215*BN153+BO215*BO153+BP215*BP153+BQ215*BQ153+BR215*BR153+BS215*BS153+BT215*BT153+BU215*BU153+BV215*BV153+BW215*BW153+BX215*BX153+BY215*BY153+BZ215*BZ153+CA215*CA153+CB215*CB153+CC215*CC153+CD215*CD153+CE215*CE153+CF215*CF153+CG215*CG153+CH215*CH153</f>
        <v>0</v>
      </c>
      <c r="CQ153" s="1952">
        <f>E216*E153+F216*F153+G216*G153+H216*H153+I216*I153+J216*J153+K216*K153+L216*L153+M216*M153+N216*N153+O216*O153+P216*P153+Q216*Q153+R216*R153+S216*S153+T216*T153+U216*U153+V216*V153+W216*W153+X216*X153+Y216*Y153+Z216*Z153+AA216*AA153+AB216*AB153+AC216*AC153+AD216*AD153+AE216*AE153+AF216*AF153+AG216*AG153+AH216*AH153+AI216*AI153+AJ216*AJ153+AK216*AK153+AL216*AL153+AM216*AM153+AN216*AN153+AO216*AO153+AP216*AP153+AQ216*AQ153+AR216*AR153+AS216*AS153+AT216*AT153+AU216*AU153+AV216*AV153+AW216*AW153+AX216*AX153+AY216*AY153+AZ216*AZ153+BA216*BA153+BB216*BB153+BC216*BC153+BD216*BD153+BE216*BE153+BF216*BF153+BG216*BG153+BH216*BH153+BI216*BI153+BJ216*BJ153+BK216*BK153+BL216*BL153+BM216*BM153+BN216*BN153+BO216*BO153+BP216*BP153+BQ216*BQ153+BR216*BR153+BS216*BS153+BT216*BT153+BU216*BU153+BV216*BV153+BW216*BW153+BX216*BX153+BY216*BY153+BZ216*BZ153+CA216*CA153+CB216*CB153+CC216*CC153+CD216*CD153+CE216*CE153+CF216*CF153+CG216*CG153+CH216*CH153</f>
        <v>0</v>
      </c>
      <c r="CR153" s="1952">
        <f>E217*E153+F217*F153+G217*G153+H217*H153+I217*I153+J217*J153+K217*K153+L217*L153+M217*M153+N217*N153+O217*O153+P217*P153+Q217*Q153+R217*R153+S217*S153+T217*T153+U217*U153+V217*V153+W217*W153+X217*X153+Y217*Y153+Z217*Z153+AA217*AA153+AB217*AB153+AC217*AC153+AD217*AD153+AE217*AE153+AF217*AF153+AG217*AG153+AH217*AH153+AI217*AI153+AJ217*AJ153+AK217*AK153+AL217*AL153+AM217*AM153+AN217*AN153+AO217*AO153+AP217*AP153+AQ217*AQ153+AR217*AR153+AS217*AS153+AT217*AT153+AU217*AU153+AV217*AV153+AW217*AW153+AX217*AX153+AY217*AY153+AZ217*AZ153+BA217*BA153+BB217*BB153+BC217*BC153+BD217*BD153+BE217*BE153+BF217*BF153+BG217*BG153+BH217*BH153+BI217*BI153+BJ217*BJ153+BK217*BK153+BL217*BL153+BM217*BM153+BN217*BN153+BO217*BO153+BP217*BP153+BQ217*BQ153+BR217*BR153+BS217*BS153+BT217*BT153+BU217*BU153+BV217*BV153+BW217*BW153+BX217*BX153+BY217*BY153+BZ217*BZ153+CA217*CA153+CB217*CB153+CC217*CC153+CD217*CD153+CE217*CE153+CF217*CF153+CG217*CG153+CH217*CH153</f>
        <v>0</v>
      </c>
      <c r="CS153" s="1952">
        <f>E218*E153+F218*F153+G218*G153+H218*H153+I218*I153+J218*J153+K218*K153+L218*L153+M218*M153+N218*N153+O218*O153+P218*P153+Q218*Q153+R218*R153+S218*S153+T218*T153+U218*U153+V218*V153+W218*W153+X218*X153+Y218*Y153+Z218*Z153+AA218*AA153+AB218*AB153+AC218*AC153+AD218*AD153+AE218*AE153+AF218*AF153+AG218*AG153+AH218*AH153+AI218*AI153+AJ218*AJ153+AK218*AK153+AL218*AL153+AM218*AM153+AN218*AN153+AO218*AO153+AP218*AP153+AQ218*AQ153+AR218*AR153+AS218*AS153+AT218*AT153+AU218*AU153+AV218*AV153+AW218*AW153+AX218*AX153+AY218*AY153+AZ218*AZ153+BA218*BA153+BB218*BB153+BC218*BC153+BD218*BD153+BE218*BE153+BF218*BF153+BG218*BG153+BH218*BH153+BI218*BI153+BJ218*BJ153+BK218*BK153+BL218*BL153+BM218*BM153+BN218*BN153+BO218*BO153+BP218*BP153+BQ218*BQ153+BR218*BR153+BS218*BS153+BT218*BT153+BU218*BU153+BV218*BV153+BW218*BW153+BX218*BX153+BY218*BY153+BZ218*BZ153+CA218*CA153+CB218*CB153+CC218*CC153+CD218*CD153+CE218*CE153+CF218*CF153+CG218*CG153+CH218*CH153</f>
        <v>0</v>
      </c>
      <c r="CT153" s="1952">
        <f>E219*E153+F219*F153+G219*G153+H219*H153+I219*I153+J219*J153+K219*K153+L219*L153+M219*M153+N219*N153+O219*O153+P219*P153+Q219*Q153+R219*R153+S219*S153+T219*T153+U219*U153+V219*V153+W219*W153+X219*X153+Y219*Y153+Z219*Z153+AA219*AA153+AB219*AB153+AC219*AC153+AD219*AD153+AE219*AE153+AF219*AF153+AG219*AG153+AH219*AH153+AI219*AI153+AJ219*AJ153+AK219*AK153+AL219*AL153+AM219*AM153+AN219*AN153+AO219*AO153+AP219*AP153+AQ219*AQ153+AR219*AR153+AS219*AS153+AT219*AT153+AU219*AU153+AV219*AV153+AW219*AW153+AX219*AX153+AY219*AY153+AZ219*AZ153+BA219*BA153+BB219*BB153+BC219*BC153+BD219*BD153+BE219*BE153+BF219*BF153+BG219*BG153+BH219*BH153+BI219*BI153+BJ219*BJ153+BK219*BK153+BL219*BL153+BM219*BM153+BN219*BN153+BO219*BO153+BP219*BP153+BQ219*BQ153+BR219*BR153+BS219*BS153+BT219*BT153+BU219*BU153+BV219*BV153+BW219*BW153+BX219*BX153+BY219*BY153+BZ219*BZ153+CA219*CA153+CB219*CB153+CC219*CC153+CD219*CD153+CE219*CE153+CF219*CF153+CG219*CG153+CH219*CH153</f>
        <v>0</v>
      </c>
      <c r="CU153" s="1952">
        <f>E220*E153+F220*F153+G220*G153+H220*H153+I220*I153+J220*J153+K220*K153+L220*L153+M220*M153+N220*N153+O220*O153+P220*P153+Q220*Q153+R220*R153+S220*S153+T220*T153+U220*U153+V220*V153+W220*W153+X220*X153+Y220*Y153+Z220*Z153+AA220*AA153+AB220*AB153+AC220*AC153+AD220*AD153+AE220*AE153+AF220*AF153+AG220*AG153+AH220*AH153+AI220*AI153+AJ220*AJ153+AK220*AK153+AL220*AL153+AM220*AM153+AN220*AN153+AO220*AO153+AP220*AP153+AQ220*AQ153+AR220*AR153+AS220*AS153+AT220*AT153+AU220*AU153+AV220*AV153+AW220*AW153+AX220*AX153+AY220*AY153+AZ220*AZ153+BA220*BA153+BB220*BB153+BC220*BC153+BD220*BD153+BE220*BE153+BF220*BF153+BG220*BG153+BH220*BH153+BI220*BI153+BJ220*BJ153+BK220*BK153+BL220*BL153+BM220*BM153+BN220*BN153+BO220*BO153+BP220*BP153+BQ220*BQ153+BR220*BR153+BS220*BS153+BT220*BT153+BU220*BU153+BV220*BV153+BW220*BW153+BX220*BX153+BY220*BY153+BZ220*BZ153+CA220*CA153+CB220*CB153+CC220*CC153+CD220*CD153+CE220*CE153+CF220*CF153+CG220*CG153+CH220*CH153</f>
        <v>0</v>
      </c>
    </row>
    <row r="154" spans="2:99" ht="18" x14ac:dyDescent="0.35">
      <c r="B154" s="1060">
        <v>40</v>
      </c>
      <c r="C154" s="1116" t="s">
        <v>357</v>
      </c>
      <c r="D154" s="1117" t="s">
        <v>4317</v>
      </c>
      <c r="E154" s="2063">
        <f>0</f>
        <v>0</v>
      </c>
      <c r="F154" s="2063">
        <f>0</f>
        <v>0</v>
      </c>
      <c r="G154" s="2063">
        <f>0</f>
        <v>0</v>
      </c>
      <c r="H154" s="2063">
        <f>0</f>
        <v>0</v>
      </c>
      <c r="I154" s="2084">
        <f>0</f>
        <v>0</v>
      </c>
      <c r="J154" s="2084">
        <f>0</f>
        <v>0</v>
      </c>
      <c r="K154" s="2063">
        <f>0</f>
        <v>0</v>
      </c>
      <c r="L154" s="2063">
        <f>0</f>
        <v>0</v>
      </c>
      <c r="M154" s="2063">
        <f>0</f>
        <v>0</v>
      </c>
      <c r="N154" s="2063">
        <f>0</f>
        <v>0</v>
      </c>
      <c r="O154" s="2063">
        <f>0</f>
        <v>0</v>
      </c>
      <c r="P154" s="2063">
        <f>0</f>
        <v>0</v>
      </c>
      <c r="Q154" s="2063">
        <f>0</f>
        <v>0</v>
      </c>
      <c r="R154" s="2063">
        <f>0</f>
        <v>0</v>
      </c>
      <c r="S154" s="2063">
        <f>0</f>
        <v>0</v>
      </c>
      <c r="T154" s="2063">
        <f>0</f>
        <v>0</v>
      </c>
      <c r="U154" s="2063">
        <f>0</f>
        <v>0</v>
      </c>
      <c r="V154" s="2063">
        <f>0</f>
        <v>0</v>
      </c>
      <c r="W154" s="2063">
        <f>0</f>
        <v>0</v>
      </c>
      <c r="X154" s="2063">
        <f>1</f>
        <v>1</v>
      </c>
      <c r="Y154" s="2096">
        <f>-i_N_ALGAE</f>
        <v>-7.0000000000000007E-2</v>
      </c>
      <c r="Z154" s="2063">
        <f>0</f>
        <v>0</v>
      </c>
      <c r="AA154" s="2063">
        <f>0</f>
        <v>0</v>
      </c>
      <c r="AB154" s="2063">
        <f>0</f>
        <v>0</v>
      </c>
      <c r="AC154" s="2084">
        <f>0</f>
        <v>0</v>
      </c>
      <c r="AD154" s="2084">
        <f>0</f>
        <v>0</v>
      </c>
      <c r="AE154" s="2063">
        <f>0</f>
        <v>0</v>
      </c>
      <c r="AF154" s="2096">
        <f>-i_P_ALGAE</f>
        <v>-0.02</v>
      </c>
      <c r="AG154" s="2063">
        <f>0</f>
        <v>0</v>
      </c>
      <c r="AH154" s="2063">
        <f>0</f>
        <v>0</v>
      </c>
      <c r="AI154" s="2084">
        <f>0</f>
        <v>0</v>
      </c>
      <c r="AJ154" s="2084">
        <f>0</f>
        <v>0</v>
      </c>
      <c r="AK154" s="2063">
        <f>0</f>
        <v>0</v>
      </c>
      <c r="AL154" s="2063">
        <f>1</f>
        <v>1</v>
      </c>
      <c r="AM154" s="2063">
        <f>0</f>
        <v>0</v>
      </c>
      <c r="AN154" s="2063">
        <f>0</f>
        <v>0</v>
      </c>
      <c r="AO154" s="2103">
        <f>-i_CIT_ALGAE</f>
        <v>-0.375</v>
      </c>
      <c r="AP154" s="2063">
        <f>i_INORG</f>
        <v>0.11</v>
      </c>
      <c r="AQ154" s="2105">
        <f>-i_INORG*(1-i_Ca_INORG*(A_MCa+2*A_MCl)/A_MCa-i_Mg_INORG*(A_MMg+2*A_MCl)/A_MMg)*f_Na</f>
        <v>-2.8804303582798466E-2</v>
      </c>
      <c r="AR154" s="2105">
        <f>-i_INORG*(i_Ca_INORG*(2*A_MCl)/A_MCa+i_Mg_INORG*(2*A_MCl)/A_MMg)-i_INORG*(1-i_Ca_INORG*(A_MCa+2*A_MCl)/A_MCa-i_Mg_INORG*(A_MMg+2*A_MCl)/A_MMg)*(1-f_Na)</f>
        <v>-7.0195696417201539E-2</v>
      </c>
      <c r="AS154" s="2105">
        <f>-i_INORG*i_Ca_INORG</f>
        <v>-5.5000000000000005E-3</v>
      </c>
      <c r="AT154" s="2105">
        <f>-i_INORG*i_Mg_INORG</f>
        <v>-5.5000000000000005E-3</v>
      </c>
      <c r="AU154" s="2063">
        <f>0</f>
        <v>0</v>
      </c>
      <c r="AV154" s="2063">
        <f>0</f>
        <v>0</v>
      </c>
      <c r="AW154" s="2063">
        <f>0</f>
        <v>0</v>
      </c>
      <c r="AX154" s="2063">
        <f>0</f>
        <v>0</v>
      </c>
      <c r="AY154" s="2063">
        <f>0</f>
        <v>0</v>
      </c>
      <c r="AZ154" s="2063">
        <f>0</f>
        <v>0</v>
      </c>
      <c r="BA154" s="2063">
        <f>0</f>
        <v>0</v>
      </c>
      <c r="BB154" s="2063">
        <f>0</f>
        <v>0</v>
      </c>
      <c r="BC154" s="2063">
        <f>0</f>
        <v>0</v>
      </c>
      <c r="BD154" s="2063">
        <f>0</f>
        <v>0</v>
      </c>
      <c r="BE154" s="2063">
        <f>0</f>
        <v>0</v>
      </c>
      <c r="BF154" s="2063">
        <f>0</f>
        <v>0</v>
      </c>
      <c r="BG154" s="2063">
        <f>0</f>
        <v>0</v>
      </c>
      <c r="BH154" s="2063">
        <f>0</f>
        <v>0</v>
      </c>
      <c r="BI154" s="2063">
        <f>0</f>
        <v>0</v>
      </c>
      <c r="BJ154" s="2063">
        <f>0</f>
        <v>0</v>
      </c>
      <c r="BK154" s="2063">
        <f>0</f>
        <v>0</v>
      </c>
      <c r="BL154" s="2063">
        <f>0</f>
        <v>0</v>
      </c>
      <c r="BM154" s="2063">
        <f>0</f>
        <v>0</v>
      </c>
      <c r="BN154" s="2063">
        <f>0</f>
        <v>0</v>
      </c>
      <c r="BO154" s="2063">
        <f>0</f>
        <v>0</v>
      </c>
      <c r="BP154" s="2120">
        <f>0</f>
        <v>0</v>
      </c>
      <c r="BQ154" s="2120">
        <f>0</f>
        <v>0</v>
      </c>
      <c r="BR154" s="2120">
        <f>0</f>
        <v>0</v>
      </c>
      <c r="BS154" s="2120">
        <f>0</f>
        <v>0</v>
      </c>
      <c r="BT154" s="2063">
        <f>0</f>
        <v>0</v>
      </c>
      <c r="BU154" s="2063">
        <f>0</f>
        <v>0</v>
      </c>
      <c r="BV154" s="2063">
        <f>0</f>
        <v>0</v>
      </c>
      <c r="BW154" s="2063">
        <f>0</f>
        <v>0</v>
      </c>
      <c r="BX154" s="2063">
        <f>0</f>
        <v>0</v>
      </c>
      <c r="BY154" s="2063">
        <f>0</f>
        <v>0</v>
      </c>
      <c r="BZ154" s="2063">
        <f>0</f>
        <v>0</v>
      </c>
      <c r="CA154" s="2063">
        <f>0</f>
        <v>0</v>
      </c>
      <c r="CB154" s="2063">
        <f>0</f>
        <v>0</v>
      </c>
      <c r="CC154" s="2063">
        <f>0</f>
        <v>0</v>
      </c>
      <c r="CD154" s="2063">
        <f>0</f>
        <v>0</v>
      </c>
      <c r="CE154" s="2105">
        <f>0</f>
        <v>0</v>
      </c>
      <c r="CF154" s="2063">
        <f>0</f>
        <v>0</v>
      </c>
      <c r="CG154" s="2063">
        <f>0</f>
        <v>0</v>
      </c>
      <c r="CH154" s="2131">
        <f>0</f>
        <v>0</v>
      </c>
      <c r="CI154" s="2142">
        <f>µ_ALGAE_T*X_ALGAE*M_satSNHx_KNHx_ALGAE*M_satSPO4_KPO4_BIO*M_satSCO2_KCO2_ALGAE*L_ightSwitch</f>
        <v>0</v>
      </c>
      <c r="CK154" s="1950">
        <f>E210*E154+F210*F154+G210*G154+H210*H154+I210*I154+J210*J154+K210*K154+L210*L154+M210*M154+N210*N154+O210*O154+P210*P154+Q210*Q154+R210*R154+S210*S154+T210*T154+U210*U154+V210*V154+W210*W154+X210*X154+Y210*Y154+Z210*Z154+AA210*AA154+AB210*AB154+AC210*AC154+AD210*AD154+AE210*AE154+AF210*AF154+AG210*AG154+AH210*AH154+AI210*AI154+AJ210*AJ154+AK210*AK154+AL210*AL154+AM210*AM154+AN210*AN154+AO210*AO154+AP210*AP154+AQ210*AQ154+AR210*AR154+AS210*AS154+AT210*AT154+AU210*AU154+AV210*AV154+AW210*AW154+AX210*AX154+AY210*AY154+AZ210*AZ154+BA210*BA154+BB210*BB154+BC210*BC154+BD210*BD154+BE210*BE154+BF210*BF154+BG210*BG154+BH210*BH154+BI210*BI154+BJ210*BJ154+BK210*BK154+BL210*BL154+BM210*BM154+BN210*BN154+BO210*BO154+BP210*BP154+BQ210*BQ154+BR210*BR154+BS210*BS154+BT210*BT154+BU210*BU154+BV210*BV154+BW210*BW154+BX210*BX154+BY210*BY154+BZ210*BZ154+CA210*CA154+CB210*CB154+CC210*CC154+CD210*CD154+CE210*CE154+CF210*CF154+CG210*CG154+CH210*CH154</f>
        <v>0</v>
      </c>
      <c r="CL154" s="1950">
        <f>E211*E154+F211*F154+G211*G154+H211*H154+I211*I154+J211*J154+K211*K154+L211*L154+M211*M154+N211*N154+O211*O154+P211*P154+Q211*Q154+R211*R154+S211*S154+T211*T154+U211*U154+V211*V154+W211*W154+X211*X154+Y211*Y154+Z211*Z154+AA211*AA154+AB211*AB154+AC211*AC154+AD211*AD154+AE211*AE154+AF211*AF154+AG211*AG154+AH211*AH154+AI211*AI154+AJ211*AJ154+AK211*AK154+AL211*AL154+AM211*AM154+AN211*AN154+AO211*AO154+AP211*AP154+AQ211*AQ154+AR211*AR154+AS211*AS154+AT211*AT154+AU211*AU154+AV211*AV154+AW211*AW154+AX211*AX154+AY211*AY154+AZ211*AZ154+BA211*BA154+BB211*BB154+BC211*BC154+BD211*BD154+BE211*BE154+BF211*BF154+BG211*BG154+BH211*BH154+BI211*BI154+BJ211*BJ154+BK211*BK154+BL211*BL154+BM211*BM154+BN211*BN154+BO211*BO154+BP211*BP154+BQ211*BQ154+BR211*BR154+BS211*BS154+BT211*BT154+BU211*BU154+BV211*BV154+BW211*BW154+BX211*BX154+BY211*BY154+BZ211*BZ154+CA211*CA154+CB211*CB154+CC211*CC154+CD211*CD154+CE211*CE154+CF211*CF154+CG211*CG154+CH211*CH154</f>
        <v>0</v>
      </c>
      <c r="CM154" s="1951">
        <f>E212*E154+F212*F154+G212*G154+H212*H154+I212*I154+J212*J154+K212*K154+L212*L154+M212*M154+N212*N154+O212*O154+P212*P154+Q212*Q154+R212*R154+S212*S154+T212*T154+U212*U154+V212*V154+W212*W154+X212*X154+Y212*Y154+Z212*Z154+AA212*AA154+AB212*AB154+AC212*AC154+AD212*AD154+AE212*AE154+AF212*AF154+AG212*AG154+AH212*AH154+AI212*AI154+AJ212*AJ154+AK212*AK154+AL212*AL154+AM212*AM154+AN212*AN154+AO212*AO154+AP212*AP154+AQ212*AQ154+AR212*AR154+AS212*AS154+AT212*AT154+AU212*AU154+AV212*AV154+AW212*AW154+AX212*AX154+AY212*AY154+AZ212*AZ154+BA212*BA154+BB212*BB154+BC212*BC154+BD212*BD154+BE212*BE154+BF212*BF154+BG212*BG154+BH212*BH154+BI212*BI154+BJ212*BJ154+BK212*BK154+BL212*BL154+BM212*BM154+BN212*BN154+BO212*BO154+BP212*BP154+BQ212*BQ154+BR212*BR154+BS212*BS154+BT212*BT154+BU212*BU154+BV212*BV154+BW212*BW154+BX212*BX154+BY212*BY154+BZ212*BZ154+CA212*CA154+CB212*CB154+CC212*CC154+CD212*CD154+CE212*CE154+CF212*CF154+CG212*CG154+CH212*CH154</f>
        <v>0</v>
      </c>
      <c r="CN154" s="1952">
        <f>E213*E154+F213*F154+G213*G154+H213*H154+I213*I154+J213*J154+K213*K154+L213*L154+M213*M154+N213*N154+O213*O154+P213*P154+Q213*Q154+R213*R154+S213*S154+T213*T154+U213*U154+V213*V154+W213*W154+X213*X154+Y213*Y154+Z213*Z154+AA213*AA154+AB213*AB154+AC213*AC154+AD213*AD154+AE213*AE154+AF213*AF154+AG213*AG154+AH213*AH154+AI213*AI154+AJ213*AJ154+AK213*AK154+AL213*AL154+AM213*AM154+AN213*AN154+AO213*AO154+AP213*AP154+AQ213*AQ154+AR213*AR154+AS213*AS154+AT213*AT154+AU213*AU154+AV213*AV154+AW213*AW154+AX213*AX154+AY213*AY154+AZ213*AZ154+BA213*BA154+BB213*BB154+BC213*BC154+BD213*BD154+BE213*BE154+BF213*BF154+BG213*BG154+BH213*BH154+BI213*BI154+BJ213*BJ154+BK213*BK154+BL213*BL154+BM213*BM154+BN213*BN154+BO213*BO154+BP213*BP154+BQ213*BQ154+BR213*BR154+BS213*BS154+BT213*BT154+BU213*BU154+BV213*BV154+BW213*BW154+BX213*BX154+BY213*BY154+BZ213*BZ154+CA213*CA154+CB213*CB154+CC213*CC154+CD213*CD154+CE213*CE154+CF213*CF154+CG213*CG154+CH213*CH154</f>
        <v>0</v>
      </c>
      <c r="CO154" s="1952">
        <f>E214*E154+F214*F154+G214*G154+H214*H154+I214*I154+J214*J154+K214*K154+L214*L154+M214*M154+N214*N154+O214*O154+P214*P154+Q214*Q154+R214*R154+S214*S154+T214*T154+U214*U154+V214*V154+W214*W154+X214*X154+Y214*Y154+Z214*Z154+AA214*AA154+AB214*AB154+AC214*AC154+AD214*AD154+AE214*AE154+AF214*AF154+AG214*AG154+AH214*AH154+AI214*AI154+AJ214*AJ154+AK214*AK154+AL214*AL154+AM214*AM154+AN214*AN154+AO214*AO154+AP214*AP154+AQ214*AQ154+AR214*AR154+AS214*AS154+AT214*AT154+AU214*AU154+AV214*AV154+AW214*AW154+AX214*AX154+AY214*AY154+AZ214*AZ154+BA214*BA154+BB214*BB154+BC214*BC154+BD214*BD154+BE214*BE154+BF214*BF154+BG214*BG154+BH214*BH154+BI214*BI154+BJ214*BJ154+BK214*BK154+BL214*BL154+BM214*BM154+BN214*BN154+BO214*BO154+BP214*BP154+BQ214*BQ154+BR214*BR154+BS214*BS154+BT214*BT154+BU214*BU154+BV214*BV154+BW214*BW154+BX214*BX154+BY214*BY154+BZ214*BZ154+CA214*CA154+CB214*CB154+CC214*CC154+CD214*CD154+CE214*CE154+CF214*CF154+CG214*CG154+CH214*CH154</f>
        <v>0</v>
      </c>
      <c r="CP154" s="1952">
        <f>E215*E154+F215*F154+G215*G154+H215*H154+I215*I154+J215*J154+K215*K154+L215*L154+M215*M154+N215*N154+O215*O154+P215*P154+Q215*Q154+R215*R154+S215*S154+T215*T154+U215*U154+V215*V154+W215*W154+X215*X154+Y215*Y154+Z215*Z154+AA215*AA154+AB215*AB154+AC215*AC154+AD215*AD154+AE215*AE154+AF215*AF154+AG215*AG154+AH215*AH154+AI215*AI154+AJ215*AJ154+AK215*AK154+AL215*AL154+AM215*AM154+AN215*AN154+AO215*AO154+AP215*AP154+AQ215*AQ154+AR215*AR154+AS215*AS154+AT215*AT154+AU215*AU154+AV215*AV154+AW215*AW154+AX215*AX154+AY215*AY154+AZ215*AZ154+BA215*BA154+BB215*BB154+BC215*BC154+BD215*BD154+BE215*BE154+BF215*BF154+BG215*BG154+BH215*BH154+BI215*BI154+BJ215*BJ154+BK215*BK154+BL215*BL154+BM215*BM154+BN215*BN154+BO215*BO154+BP215*BP154+BQ215*BQ154+BR215*BR154+BS215*BS154+BT215*BT154+BU215*BU154+BV215*BV154+BW215*BW154+BX215*BX154+BY215*BY154+BZ215*BZ154+CA215*CA154+CB215*CB154+CC215*CC154+CD215*CD154+CE215*CE154+CF215*CF154+CG215*CG154+CH215*CH154</f>
        <v>0</v>
      </c>
      <c r="CQ154" s="1952">
        <f>E216*E154+F216*F154+G216*G154+H216*H154+I216*I154+J216*J154+K216*K154+L216*L154+M216*M154+N216*N154+O216*O154+P216*P154+Q216*Q154+R216*R154+S216*S154+T216*T154+U216*U154+V216*V154+W216*W154+X216*X154+Y216*Y154+Z216*Z154+AA216*AA154+AB216*AB154+AC216*AC154+AD216*AD154+AE216*AE154+AF216*AF154+AG216*AG154+AH216*AH154+AI216*AI154+AJ216*AJ154+AK216*AK154+AL216*AL154+AM216*AM154+AN216*AN154+AO216*AO154+AP216*AP154+AQ216*AQ154+AR216*AR154+AS216*AS154+AT216*AT154+AU216*AU154+AV216*AV154+AW216*AW154+AX216*AX154+AY216*AY154+AZ216*AZ154+BA216*BA154+BB216*BB154+BC216*BC154+BD216*BD154+BE216*BE154+BF216*BF154+BG216*BG154+BH216*BH154+BI216*BI154+BJ216*BJ154+BK216*BK154+BL216*BL154+BM216*BM154+BN216*BN154+BO216*BO154+BP216*BP154+BQ216*BQ154+BR216*BR154+BS216*BS154+BT216*BT154+BU216*BU154+BV216*BV154+BW216*BW154+BX216*BX154+BY216*BY154+BZ216*BZ154+CA216*CA154+CB216*CB154+CC216*CC154+CD216*CD154+CE216*CE154+CF216*CF154+CG216*CG154+CH216*CH154</f>
        <v>0</v>
      </c>
      <c r="CR154" s="1952">
        <f>E217*E154+F217*F154+G217*G154+H217*H154+I217*I154+J217*J154+K217*K154+L217*L154+M217*M154+N217*N154+O217*O154+P217*P154+Q217*Q154+R217*R154+S217*S154+T217*T154+U217*U154+V217*V154+W217*W154+X217*X154+Y217*Y154+Z217*Z154+AA217*AA154+AB217*AB154+AC217*AC154+AD217*AD154+AE217*AE154+AF217*AF154+AG217*AG154+AH217*AH154+AI217*AI154+AJ217*AJ154+AK217*AK154+AL217*AL154+AM217*AM154+AN217*AN154+AO217*AO154+AP217*AP154+AQ217*AQ154+AR217*AR154+AS217*AS154+AT217*AT154+AU217*AU154+AV217*AV154+AW217*AW154+AX217*AX154+AY217*AY154+AZ217*AZ154+BA217*BA154+BB217*BB154+BC217*BC154+BD217*BD154+BE217*BE154+BF217*BF154+BG217*BG154+BH217*BH154+BI217*BI154+BJ217*BJ154+BK217*BK154+BL217*BL154+BM217*BM154+BN217*BN154+BO217*BO154+BP217*BP154+BQ217*BQ154+BR217*BR154+BS217*BS154+BT217*BT154+BU217*BU154+BV217*BV154+BW217*BW154+BX217*BX154+BY217*BY154+BZ217*BZ154+CA217*CA154+CB217*CB154+CC217*CC154+CD217*CD154+CE217*CE154+CF217*CF154+CG217*CG154+CH217*CH154</f>
        <v>0</v>
      </c>
      <c r="CS154" s="1952">
        <f>E218*E154+F218*F154+G218*G154+H218*H154+I218*I154+J218*J154+K218*K154+L218*L154+M218*M154+N218*N154+O218*O154+P218*P154+Q218*Q154+R218*R154+S218*S154+T218*T154+U218*U154+V218*V154+W218*W154+X218*X154+Y218*Y154+Z218*Z154+AA218*AA154+AB218*AB154+AC218*AC154+AD218*AD154+AE218*AE154+AF218*AF154+AG218*AG154+AH218*AH154+AI218*AI154+AJ218*AJ154+AK218*AK154+AL218*AL154+AM218*AM154+AN218*AN154+AO218*AO154+AP218*AP154+AQ218*AQ154+AR218*AR154+AS218*AS154+AT218*AT154+AU218*AU154+AV218*AV154+AW218*AW154+AX218*AX154+AY218*AY154+AZ218*AZ154+BA218*BA154+BB218*BB154+BC218*BC154+BD218*BD154+BE218*BE154+BF218*BF154+BG218*BG154+BH218*BH154+BI218*BI154+BJ218*BJ154+BK218*BK154+BL218*BL154+BM218*BM154+BN218*BN154+BO218*BO154+BP218*BP154+BQ218*BQ154+BR218*BR154+BS218*BS154+BT218*BT154+BU218*BU154+BV218*BV154+BW218*BW154+BX218*BX154+BY218*BY154+BZ218*BZ154+CA218*CA154+CB218*CB154+CC218*CC154+CD218*CD154+CE218*CE154+CF218*CF154+CG218*CG154+CH218*CH154</f>
        <v>0</v>
      </c>
      <c r="CT154" s="1952">
        <f>E219*E154+F219*F154+G219*G154+H219*H154+I219*I154+J219*J154+K219*K154+L219*L154+M219*M154+N219*N154+O219*O154+P219*P154+Q219*Q154+R219*R154+S219*S154+T219*T154+U219*U154+V219*V154+W219*W154+X219*X154+Y219*Y154+Z219*Z154+AA219*AA154+AB219*AB154+AC219*AC154+AD219*AD154+AE219*AE154+AF219*AF154+AG219*AG154+AH219*AH154+AI219*AI154+AJ219*AJ154+AK219*AK154+AL219*AL154+AM219*AM154+AN219*AN154+AO219*AO154+AP219*AP154+AQ219*AQ154+AR219*AR154+AS219*AS154+AT219*AT154+AU219*AU154+AV219*AV154+AW219*AW154+AX219*AX154+AY219*AY154+AZ219*AZ154+BA219*BA154+BB219*BB154+BC219*BC154+BD219*BD154+BE219*BE154+BF219*BF154+BG219*BG154+BH219*BH154+BI219*BI154+BJ219*BJ154+BK219*BK154+BL219*BL154+BM219*BM154+BN219*BN154+BO219*BO154+BP219*BP154+BQ219*BQ154+BR219*BR154+BS219*BS154+BT219*BT154+BU219*BU154+BV219*BV154+BW219*BW154+BX219*BX154+BY219*BY154+BZ219*BZ154+CA219*CA154+CB219*CB154+CC219*CC154+CD219*CD154+CE219*CE154+CF219*CF154+CG219*CG154+CH219*CH154</f>
        <v>0</v>
      </c>
      <c r="CU154" s="1952">
        <f>E220*E154+F220*F154+G220*G154+H220*H154+I220*I154+J220*J154+K220*K154+L220*L154+M220*M154+N220*N154+O220*O154+P220*P154+Q220*Q154+R220*R154+S220*S154+T220*T154+U220*U154+V220*V154+W220*W154+X220*X154+Y220*Y154+Z220*Z154+AA220*AA154+AB220*AB154+AC220*AC154+AD220*AD154+AE220*AE154+AF220*AF154+AG220*AG154+AH220*AH154+AI220*AI154+AJ220*AJ154+AK220*AK154+AL220*AL154+AM220*AM154+AN220*AN154+AO220*AO154+AP220*AP154+AQ220*AQ154+AR220*AR154+AS220*AS154+AT220*AT154+AU220*AU154+AV220*AV154+AW220*AW154+AX220*AX154+AY220*AY154+AZ220*AZ154+BA220*BA154+BB220*BB154+BC220*BC154+BD220*BD154+BE220*BE154+BF220*BF154+BG220*BG154+BH220*BH154+BI220*BI154+BJ220*BJ154+BK220*BK154+BL220*BL154+BM220*BM154+BN220*BN154+BO220*BO154+BP220*BP154+BQ220*BQ154+BR220*BR154+BS220*BS154+BT220*BT154+BU220*BU154+BV220*BV154+BW220*BW154+BX220*BX154+BY220*BY154+BZ220*BZ154+CA220*CA154+CB220*CB154+CC220*CC154+CD220*CD154+CE220*CE154+CF220*CF154+CG220*CG154+CH220*CH154</f>
        <v>0</v>
      </c>
    </row>
    <row r="155" spans="2:99" ht="18" x14ac:dyDescent="0.35">
      <c r="B155" s="1060">
        <v>41</v>
      </c>
      <c r="C155" s="1116" t="s">
        <v>358</v>
      </c>
      <c r="D155" s="1117" t="s">
        <v>4318</v>
      </c>
      <c r="E155" s="2063">
        <f>0</f>
        <v>0</v>
      </c>
      <c r="F155" s="2063">
        <f>0</f>
        <v>0</v>
      </c>
      <c r="G155" s="2063">
        <f>0</f>
        <v>0</v>
      </c>
      <c r="H155" s="2063">
        <f>0</f>
        <v>0</v>
      </c>
      <c r="I155" s="2084">
        <f>0</f>
        <v>0</v>
      </c>
      <c r="J155" s="2084">
        <f>0</f>
        <v>0</v>
      </c>
      <c r="K155" s="2063">
        <f>0</f>
        <v>0</v>
      </c>
      <c r="L155" s="2063">
        <f>0</f>
        <v>0</v>
      </c>
      <c r="M155" s="2063">
        <f>0</f>
        <v>0</v>
      </c>
      <c r="N155" s="2063">
        <f>0</f>
        <v>0</v>
      </c>
      <c r="O155" s="2063">
        <f>0</f>
        <v>0</v>
      </c>
      <c r="P155" s="2063">
        <f>0</f>
        <v>0</v>
      </c>
      <c r="Q155" s="2063">
        <f>0</f>
        <v>0</v>
      </c>
      <c r="R155" s="2063">
        <f>0</f>
        <v>0</v>
      </c>
      <c r="S155" s="2063">
        <f>0</f>
        <v>0</v>
      </c>
      <c r="T155" s="2063">
        <f>0</f>
        <v>0</v>
      </c>
      <c r="U155" s="2063">
        <f>0</f>
        <v>0</v>
      </c>
      <c r="V155" s="2063">
        <f>0</f>
        <v>0</v>
      </c>
      <c r="W155" s="2063">
        <f>0</f>
        <v>0</v>
      </c>
      <c r="X155" s="2063">
        <f>-1</f>
        <v>-1</v>
      </c>
      <c r="Y155" s="2096">
        <f>i_N_ALGAE</f>
        <v>7.0000000000000007E-2</v>
      </c>
      <c r="Z155" s="2063">
        <f>0</f>
        <v>0</v>
      </c>
      <c r="AA155" s="2063">
        <f>0</f>
        <v>0</v>
      </c>
      <c r="AB155" s="2063">
        <f>0</f>
        <v>0</v>
      </c>
      <c r="AC155" s="2084">
        <f>0</f>
        <v>0</v>
      </c>
      <c r="AD155" s="2084">
        <f>0</f>
        <v>0</v>
      </c>
      <c r="AE155" s="2063">
        <f>0</f>
        <v>0</v>
      </c>
      <c r="AF155" s="2096">
        <f>i_P_ALGAE</f>
        <v>0.02</v>
      </c>
      <c r="AG155" s="2063">
        <f>0</f>
        <v>0</v>
      </c>
      <c r="AH155" s="2063">
        <f>0</f>
        <v>0</v>
      </c>
      <c r="AI155" s="2084">
        <f>0</f>
        <v>0</v>
      </c>
      <c r="AJ155" s="2084">
        <f>0</f>
        <v>0</v>
      </c>
      <c r="AK155" s="2063">
        <f>0</f>
        <v>0</v>
      </c>
      <c r="AL155" s="2063">
        <f>-1</f>
        <v>-1</v>
      </c>
      <c r="AM155" s="2063">
        <f>0</f>
        <v>0</v>
      </c>
      <c r="AN155" s="2063">
        <f>0</f>
        <v>0</v>
      </c>
      <c r="AO155" s="2103">
        <f>i_CIT_ALGAE</f>
        <v>0.375</v>
      </c>
      <c r="AP155" s="2063">
        <f>0</f>
        <v>0</v>
      </c>
      <c r="AQ155" s="2105">
        <f>0</f>
        <v>0</v>
      </c>
      <c r="AR155" s="2105">
        <f>0</f>
        <v>0</v>
      </c>
      <c r="AS155" s="2105">
        <f>0</f>
        <v>0</v>
      </c>
      <c r="AT155" s="2105">
        <f>0</f>
        <v>0</v>
      </c>
      <c r="AU155" s="2063">
        <f>0</f>
        <v>0</v>
      </c>
      <c r="AV155" s="2063">
        <f>0</f>
        <v>0</v>
      </c>
      <c r="AW155" s="2063">
        <f>0</f>
        <v>0</v>
      </c>
      <c r="AX155" s="2063">
        <f>0</f>
        <v>0</v>
      </c>
      <c r="AY155" s="2063">
        <f>0</f>
        <v>0</v>
      </c>
      <c r="AZ155" s="2063">
        <f>0</f>
        <v>0</v>
      </c>
      <c r="BA155" s="2063">
        <f>0</f>
        <v>0</v>
      </c>
      <c r="BB155" s="2063">
        <f>0</f>
        <v>0</v>
      </c>
      <c r="BC155" s="2063">
        <f>0</f>
        <v>0</v>
      </c>
      <c r="BD155" s="2063">
        <f>0</f>
        <v>0</v>
      </c>
      <c r="BE155" s="2063">
        <f>0</f>
        <v>0</v>
      </c>
      <c r="BF155" s="2063">
        <f>0</f>
        <v>0</v>
      </c>
      <c r="BG155" s="2063">
        <f>0</f>
        <v>0</v>
      </c>
      <c r="BH155" s="2063">
        <f>0</f>
        <v>0</v>
      </c>
      <c r="BI155" s="2063">
        <f>0</f>
        <v>0</v>
      </c>
      <c r="BJ155" s="2063">
        <f>0</f>
        <v>0</v>
      </c>
      <c r="BK155" s="2063">
        <f>0</f>
        <v>0</v>
      </c>
      <c r="BL155" s="2063">
        <f>0</f>
        <v>0</v>
      </c>
      <c r="BM155" s="2063">
        <f>0</f>
        <v>0</v>
      </c>
      <c r="BN155" s="2063">
        <f>0</f>
        <v>0</v>
      </c>
      <c r="BO155" s="2063">
        <f>0</f>
        <v>0</v>
      </c>
      <c r="BP155" s="2120">
        <f>0</f>
        <v>0</v>
      </c>
      <c r="BQ155" s="2120">
        <f>0</f>
        <v>0</v>
      </c>
      <c r="BR155" s="2120">
        <f>0</f>
        <v>0</v>
      </c>
      <c r="BS155" s="2120">
        <f>0</f>
        <v>0</v>
      </c>
      <c r="BT155" s="2063">
        <f>0</f>
        <v>0</v>
      </c>
      <c r="BU155" s="2063">
        <f>0</f>
        <v>0</v>
      </c>
      <c r="BV155" s="2063">
        <f>0</f>
        <v>0</v>
      </c>
      <c r="BW155" s="2063">
        <f>0</f>
        <v>0</v>
      </c>
      <c r="BX155" s="2063">
        <f>0</f>
        <v>0</v>
      </c>
      <c r="BY155" s="2063">
        <f>0</f>
        <v>0</v>
      </c>
      <c r="BZ155" s="2063">
        <f>0</f>
        <v>0</v>
      </c>
      <c r="CA155" s="2063">
        <f>0</f>
        <v>0</v>
      </c>
      <c r="CB155" s="2063">
        <f>0</f>
        <v>0</v>
      </c>
      <c r="CC155" s="2063">
        <f>0</f>
        <v>0</v>
      </c>
      <c r="CD155" s="2063">
        <f>0</f>
        <v>0</v>
      </c>
      <c r="CE155" s="2063">
        <f>0</f>
        <v>0</v>
      </c>
      <c r="CF155" s="2105">
        <f>0</f>
        <v>0</v>
      </c>
      <c r="CG155" s="2063">
        <f>0</f>
        <v>0</v>
      </c>
      <c r="CH155" s="2132">
        <f>0</f>
        <v>0</v>
      </c>
      <c r="CI155" s="2143">
        <f>b_ALGAE_T*X_ALGAE*M_satSO2_KO2_ALGAE</f>
        <v>0</v>
      </c>
      <c r="CK155" s="1950">
        <f>E210*E155+F210*F155+G210*G155+H210*H155+I210*I155+J210*J155+K210*K155+L210*L155+M210*M155+N210*N155+O210*O155+P210*P155+Q210*Q155+R210*R155+S210*S155+T210*T155+U210*U155+V210*V155+W210*W155+X210*X155+Y210*Y155+Z210*Z155+AA210*AA155+AB210*AB155+AC210*AC155+AD210*AD155+AE210*AE155+AF210*AF155+AG210*AG155+AH210*AH155+AI210*AI155+AJ210*AJ155+AK210*AK155+AL210*AL155+AM210*AM155+AN210*AN155+AO210*AO155+AP210*AP155+AQ210*AQ155+AR210*AR155+AS210*AS155+AT210*AT155+AU210*AU155+AV210*AV155+AW210*AW155+AX210*AX155+AY210*AY155+AZ210*AZ155+BA210*BA155+BB210*BB155+BC210*BC155+BD210*BD155+BE210*BE155+BF210*BF155+BG210*BG155+BH210*BH155+BI210*BI155+BJ210*BJ155+BK210*BK155+BL210*BL155+BM210*BM155+BN210*BN155+BO210*BO155+BP210*BP155+BQ210*BQ155+BR210*BR155+BS210*BS155+BT210*BT155+BU210*BU155+BV210*BV155+BW210*BW155+BX210*BX155+BY210*BY155+BZ210*BZ155+CA210*CA155+CB210*CB155+CC210*CC155+CD210*CD155+CE210*CE155+CF210*CF155+CG210*CG155+CH210*CH155</f>
        <v>0</v>
      </c>
      <c r="CL155" s="1950">
        <f>E211*E155+F211*F155+G211*G155+H211*H155+I211*I155+J211*J155+K211*K155+L211*L155+M211*M155+N211*N155+O211*O155+P211*P155+Q211*Q155+R211*R155+S211*S155+T211*T155+U211*U155+V211*V155+W211*W155+X211*X155+Y211*Y155+Z211*Z155+AA211*AA155+AB211*AB155+AC211*AC155+AD211*AD155+AE211*AE155+AF211*AF155+AG211*AG155+AH211*AH155+AI211*AI155+AJ211*AJ155+AK211*AK155+AL211*AL155+AM211*AM155+AN211*AN155+AO211*AO155+AP211*AP155+AQ211*AQ155+AR211*AR155+AS211*AS155+AT211*AT155+AU211*AU155+AV211*AV155+AW211*AW155+AX211*AX155+AY211*AY155+AZ211*AZ155+BA211*BA155+BB211*BB155+BC211*BC155+BD211*BD155+BE211*BE155+BF211*BF155+BG211*BG155+BH211*BH155+BI211*BI155+BJ211*BJ155+BK211*BK155+BL211*BL155+BM211*BM155+BN211*BN155+BO211*BO155+BP211*BP155+BQ211*BQ155+BR211*BR155+BS211*BS155+BT211*BT155+BU211*BU155+BV211*BV155+BW211*BW155+BX211*BX155+BY211*BY155+BZ211*BZ155+CA211*CA155+CB211*CB155+CC211*CC155+CD211*CD155+CE211*CE155+CF211*CF155+CG211*CG155+CH211*CH155</f>
        <v>0</v>
      </c>
      <c r="CM155" s="1951">
        <f>E212*E155+F212*F155+G212*G155+H212*H155+I212*I155+J212*J155+K212*K155+L212*L155+M212*M155+N212*N155+O212*O155+P212*P155+Q212*Q155+R212*R155+S212*S155+T212*T155+U212*U155+V212*V155+W212*W155+X212*X155+Y212*Y155+Z212*Z155+AA212*AA155+AB212*AB155+AC212*AC155+AD212*AD155+AE212*AE155+AF212*AF155+AG212*AG155+AH212*AH155+AI212*AI155+AJ212*AJ155+AK212*AK155+AL212*AL155+AM212*AM155+AN212*AN155+AO212*AO155+AP212*AP155+AQ212*AQ155+AR212*AR155+AS212*AS155+AT212*AT155+AU212*AU155+AV212*AV155+AW212*AW155+AX212*AX155+AY212*AY155+AZ212*AZ155+BA212*BA155+BB212*BB155+BC212*BC155+BD212*BD155+BE212*BE155+BF212*BF155+BG212*BG155+BH212*BH155+BI212*BI155+BJ212*BJ155+BK212*BK155+BL212*BL155+BM212*BM155+BN212*BN155+BO212*BO155+BP212*BP155+BQ212*BQ155+BR212*BR155+BS212*BS155+BT212*BT155+BU212*BU155+BV212*BV155+BW212*BW155+BX212*BX155+BY212*BY155+BZ212*BZ155+CA212*CA155+CB212*CB155+CC212*CC155+CD212*CD155+CE212*CE155+CF212*CF155+CG212*CG155+CH212*CH155</f>
        <v>0</v>
      </c>
      <c r="CN155" s="1952">
        <f>E213*E155+F213*F155+G213*G155+H213*H155+I213*I155+J213*J155+K213*K155+L213*L155+M213*M155+N213*N155+O213*O155+P213*P155+Q213*Q155+R213*R155+S213*S155+T213*T155+U213*U155+V213*V155+W213*W155+X213*X155+Y213*Y155+Z213*Z155+AA213*AA155+AB213*AB155+AC213*AC155+AD213*AD155+AE213*AE155+AF213*AF155+AG213*AG155+AH213*AH155+AI213*AI155+AJ213*AJ155+AK213*AK155+AL213*AL155+AM213*AM155+AN213*AN155+AO213*AO155+AP213*AP155+AQ213*AQ155+AR213*AR155+AS213*AS155+AT213*AT155+AU213*AU155+AV213*AV155+AW213*AW155+AX213*AX155+AY213*AY155+AZ213*AZ155+BA213*BA155+BB213*BB155+BC213*BC155+BD213*BD155+BE213*BE155+BF213*BF155+BG213*BG155+BH213*BH155+BI213*BI155+BJ213*BJ155+BK213*BK155+BL213*BL155+BM213*BM155+BN213*BN155+BO213*BO155+BP213*BP155+BQ213*BQ155+BR213*BR155+BS213*BS155+BT213*BT155+BU213*BU155+BV213*BV155+BW213*BW155+BX213*BX155+BY213*BY155+BZ213*BZ155+CA213*CA155+CB213*CB155+CC213*CC155+CD213*CD155+CE213*CE155+CF213*CF155+CG213*CG155+CH213*CH155</f>
        <v>0</v>
      </c>
      <c r="CO155" s="1952">
        <f>E214*E155+F214*F155+G214*G155+H214*H155+I214*I155+J214*J155+K214*K155+L214*L155+M214*M155+N214*N155+O214*O155+P214*P155+Q214*Q155+R214*R155+S214*S155+T214*T155+U214*U155+V214*V155+W214*W155+X214*X155+Y214*Y155+Z214*Z155+AA214*AA155+AB214*AB155+AC214*AC155+AD214*AD155+AE214*AE155+AF214*AF155+AG214*AG155+AH214*AH155+AI214*AI155+AJ214*AJ155+AK214*AK155+AL214*AL155+AM214*AM155+AN214*AN155+AO214*AO155+AP214*AP155+AQ214*AQ155+AR214*AR155+AS214*AS155+AT214*AT155+AU214*AU155+AV214*AV155+AW214*AW155+AX214*AX155+AY214*AY155+AZ214*AZ155+BA214*BA155+BB214*BB155+BC214*BC155+BD214*BD155+BE214*BE155+BF214*BF155+BG214*BG155+BH214*BH155+BI214*BI155+BJ214*BJ155+BK214*BK155+BL214*BL155+BM214*BM155+BN214*BN155+BO214*BO155+BP214*BP155+BQ214*BQ155+BR214*BR155+BS214*BS155+BT214*BT155+BU214*BU155+BV214*BV155+BW214*BW155+BX214*BX155+BY214*BY155+BZ214*BZ155+CA214*CA155+CB214*CB155+CC214*CC155+CD214*CD155+CE214*CE155+CF214*CF155+CG214*CG155+CH214*CH155</f>
        <v>0</v>
      </c>
      <c r="CP155" s="1952">
        <f>E215*E155+F215*F155+G215*G155+H215*H155+I215*I155+J215*J155+K215*K155+L215*L155+M215*M155+N215*N155+O215*O155+P215*P155+Q215*Q155+R215*R155+S215*S155+T215*T155+U215*U155+V215*V155+W215*W155+X215*X155+Y215*Y155+Z215*Z155+AA215*AA155+AB215*AB155+AC215*AC155+AD215*AD155+AE215*AE155+AF215*AF155+AG215*AG155+AH215*AH155+AI215*AI155+AJ215*AJ155+AK215*AK155+AL215*AL155+AM215*AM155+AN215*AN155+AO215*AO155+AP215*AP155+AQ215*AQ155+AR215*AR155+AS215*AS155+AT215*AT155+AU215*AU155+AV215*AV155+AW215*AW155+AX215*AX155+AY215*AY155+AZ215*AZ155+BA215*BA155+BB215*BB155+BC215*BC155+BD215*BD155+BE215*BE155+BF215*BF155+BG215*BG155+BH215*BH155+BI215*BI155+BJ215*BJ155+BK215*BK155+BL215*BL155+BM215*BM155+BN215*BN155+BO215*BO155+BP215*BP155+BQ215*BQ155+BR215*BR155+BS215*BS155+BT215*BT155+BU215*BU155+BV215*BV155+BW215*BW155+BX215*BX155+BY215*BY155+BZ215*BZ155+CA215*CA155+CB215*CB155+CC215*CC155+CD215*CD155+CE215*CE155+CF215*CF155+CG215*CG155+CH215*CH155</f>
        <v>0</v>
      </c>
      <c r="CQ155" s="1952">
        <f>E216*E155+F216*F155+G216*G155+H216*H155+I216*I155+J216*J155+K216*K155+L216*L155+M216*M155+N216*N155+O216*O155+P216*P155+Q216*Q155+R216*R155+S216*S155+T216*T155+U216*U155+V216*V155+W216*W155+X216*X155+Y216*Y155+Z216*Z155+AA216*AA155+AB216*AB155+AC216*AC155+AD216*AD155+AE216*AE155+AF216*AF155+AG216*AG155+AH216*AH155+AI216*AI155+AJ216*AJ155+AK216*AK155+AL216*AL155+AM216*AM155+AN216*AN155+AO216*AO155+AP216*AP155+AQ216*AQ155+AR216*AR155+AS216*AS155+AT216*AT155+AU216*AU155+AV216*AV155+AW216*AW155+AX216*AX155+AY216*AY155+AZ216*AZ155+BA216*BA155+BB216*BB155+BC216*BC155+BD216*BD155+BE216*BE155+BF216*BF155+BG216*BG155+BH216*BH155+BI216*BI155+BJ216*BJ155+BK216*BK155+BL216*BL155+BM216*BM155+BN216*BN155+BO216*BO155+BP216*BP155+BQ216*BQ155+BR216*BR155+BS216*BS155+BT216*BT155+BU216*BU155+BV216*BV155+BW216*BW155+BX216*BX155+BY216*BY155+BZ216*BZ155+CA216*CA155+CB216*CB155+CC216*CC155+CD216*CD155+CE216*CE155+CF216*CF155+CG216*CG155+CH216*CH155</f>
        <v>0</v>
      </c>
      <c r="CR155" s="1952">
        <f>E217*E155+F217*F155+G217*G155+H217*H155+I217*I155+J217*J155+K217*K155+L217*L155+M217*M155+N217*N155+O217*O155+P217*P155+Q217*Q155+R217*R155+S217*S155+T217*T155+U217*U155+V217*V155+W217*W155+X217*X155+Y217*Y155+Z217*Z155+AA217*AA155+AB217*AB155+AC217*AC155+AD217*AD155+AE217*AE155+AF217*AF155+AG217*AG155+AH217*AH155+AI217*AI155+AJ217*AJ155+AK217*AK155+AL217*AL155+AM217*AM155+AN217*AN155+AO217*AO155+AP217*AP155+AQ217*AQ155+AR217*AR155+AS217*AS155+AT217*AT155+AU217*AU155+AV217*AV155+AW217*AW155+AX217*AX155+AY217*AY155+AZ217*AZ155+BA217*BA155+BB217*BB155+BC217*BC155+BD217*BD155+BE217*BE155+BF217*BF155+BG217*BG155+BH217*BH155+BI217*BI155+BJ217*BJ155+BK217*BK155+BL217*BL155+BM217*BM155+BN217*BN155+BO217*BO155+BP217*BP155+BQ217*BQ155+BR217*BR155+BS217*BS155+BT217*BT155+BU217*BU155+BV217*BV155+BW217*BW155+BX217*BX155+BY217*BY155+BZ217*BZ155+CA217*CA155+CB217*CB155+CC217*CC155+CD217*CD155+CE217*CE155+CF217*CF155+CG217*CG155+CH217*CH155</f>
        <v>0</v>
      </c>
      <c r="CS155" s="1952">
        <f>E218*E155+F218*F155+G218*G155+H218*H155+I218*I155+J218*J155+K218*K155+L218*L155+M218*M155+N218*N155+O218*O155+P218*P155+Q218*Q155+R218*R155+S218*S155+T218*T155+U218*U155+V218*V155+W218*W155+X218*X155+Y218*Y155+Z218*Z155+AA218*AA155+AB218*AB155+AC218*AC155+AD218*AD155+AE218*AE155+AF218*AF155+AG218*AG155+AH218*AH155+AI218*AI155+AJ218*AJ155+AK218*AK155+AL218*AL155+AM218*AM155+AN218*AN155+AO218*AO155+AP218*AP155+AQ218*AQ155+AR218*AR155+AS218*AS155+AT218*AT155+AU218*AU155+AV218*AV155+AW218*AW155+AX218*AX155+AY218*AY155+AZ218*AZ155+BA218*BA155+BB218*BB155+BC218*BC155+BD218*BD155+BE218*BE155+BF218*BF155+BG218*BG155+BH218*BH155+BI218*BI155+BJ218*BJ155+BK218*BK155+BL218*BL155+BM218*BM155+BN218*BN155+BO218*BO155+BP218*BP155+BQ218*BQ155+BR218*BR155+BS218*BS155+BT218*BT155+BU218*BU155+BV218*BV155+BW218*BW155+BX218*BX155+BY218*BY155+BZ218*BZ155+CA218*CA155+CB218*CB155+CC218*CC155+CD218*CD155+CE218*CE155+CF218*CF155+CG218*CG155+CH218*CH155</f>
        <v>0</v>
      </c>
      <c r="CT155" s="1952">
        <f>E219*E155+F219*F155+G219*G155+H219*H155+I219*I155+J219*J155+K219*K155+L219*L155+M219*M155+N219*N155+O219*O155+P219*P155+Q219*Q155+R219*R155+S219*S155+T219*T155+U219*U155+V219*V155+W219*W155+X219*X155+Y219*Y155+Z219*Z155+AA219*AA155+AB219*AB155+AC219*AC155+AD219*AD155+AE219*AE155+AF219*AF155+AG219*AG155+AH219*AH155+AI219*AI155+AJ219*AJ155+AK219*AK155+AL219*AL155+AM219*AM155+AN219*AN155+AO219*AO155+AP219*AP155+AQ219*AQ155+AR219*AR155+AS219*AS155+AT219*AT155+AU219*AU155+AV219*AV155+AW219*AW155+AX219*AX155+AY219*AY155+AZ219*AZ155+BA219*BA155+BB219*BB155+BC219*BC155+BD219*BD155+BE219*BE155+BF219*BF155+BG219*BG155+BH219*BH155+BI219*BI155+BJ219*BJ155+BK219*BK155+BL219*BL155+BM219*BM155+BN219*BN155+BO219*BO155+BP219*BP155+BQ219*BQ155+BR219*BR155+BS219*BS155+BT219*BT155+BU219*BU155+BV219*BV155+BW219*BW155+BX219*BX155+BY219*BY155+BZ219*BZ155+CA219*CA155+CB219*CB155+CC219*CC155+CD219*CD155+CE219*CE155+CF219*CF155+CG219*CG155+CH219*CH155</f>
        <v>0</v>
      </c>
      <c r="CU155" s="1952">
        <f>E220*E155+F220*F155+G220*G155+H220*H155+I220*I155+J220*J155+K220*K155+L220*L155+M220*M155+N220*N155+O220*O155+P220*P155+Q220*Q155+R220*R155+S220*S155+T220*T155+U220*U155+V220*V155+W220*W155+X220*X155+Y220*Y155+Z220*Z155+AA220*AA155+AB220*AB155+AC220*AC155+AD220*AD155+AE220*AE155+AF220*AF155+AG220*AG155+AH220*AH155+AI220*AI155+AJ220*AJ155+AK220*AK155+AL220*AL155+AM220*AM155+AN220*AN155+AO220*AO155+AP220*AP155+AQ220*AQ155+AR220*AR155+AS220*AS155+AT220*AT155+AU220*AU155+AV220*AV155+AW220*AW155+AX220*AX155+AY220*AY155+AZ220*AZ155+BA220*BA155+BB220*BB155+BC220*BC155+BD220*BD155+BE220*BE155+BF220*BF155+BG220*BG155+BH220*BH155+BI220*BI155+BJ220*BJ155+BK220*BK155+BL220*BL155+BM220*BM155+BN220*BN155+BO220*BO155+BP220*BP155+BQ220*BQ155+BR220*BR155+BS220*BS155+BT220*BT155+BU220*BU155+BV220*BV155+BW220*BW155+BX220*BX155+BY220*BY155+BZ220*BZ155+CA220*CA155+CB220*CB155+CC220*CC155+CD220*CD155+CE220*CE155+CF220*CF155+CG220*CG155+CH220*CH155</f>
        <v>0</v>
      </c>
    </row>
    <row r="156" spans="2:99" ht="18" x14ac:dyDescent="0.35">
      <c r="B156" s="1060">
        <v>42</v>
      </c>
      <c r="C156" s="1116" t="s">
        <v>442</v>
      </c>
      <c r="D156" s="1117" t="s">
        <v>4339</v>
      </c>
      <c r="E156" s="2063">
        <f>0</f>
        <v>0</v>
      </c>
      <c r="F156" s="2063">
        <f>0</f>
        <v>0</v>
      </c>
      <c r="G156" s="2063">
        <f>0</f>
        <v>0</v>
      </c>
      <c r="H156" s="2063">
        <f>0</f>
        <v>0</v>
      </c>
      <c r="I156" s="2084">
        <f>0</f>
        <v>0</v>
      </c>
      <c r="J156" s="2084">
        <f>1-f_E</f>
        <v>0.92</v>
      </c>
      <c r="K156" s="2063">
        <f>0</f>
        <v>0</v>
      </c>
      <c r="L156" s="2063">
        <f>0</f>
        <v>0</v>
      </c>
      <c r="M156" s="2063">
        <f>0</f>
        <v>0</v>
      </c>
      <c r="N156" s="2063">
        <f>0</f>
        <v>0</v>
      </c>
      <c r="O156" s="2063">
        <f>0</f>
        <v>0</v>
      </c>
      <c r="P156" s="2063">
        <f>f_E</f>
        <v>0.08</v>
      </c>
      <c r="Q156" s="2063">
        <f>0</f>
        <v>0</v>
      </c>
      <c r="R156" s="2063">
        <f>0</f>
        <v>0</v>
      </c>
      <c r="S156" s="2063">
        <f>0</f>
        <v>0</v>
      </c>
      <c r="T156" s="2063">
        <f>0</f>
        <v>0</v>
      </c>
      <c r="U156" s="2063">
        <f>0</f>
        <v>0</v>
      </c>
      <c r="V156" s="2063">
        <f>0</f>
        <v>0</v>
      </c>
      <c r="W156" s="2063">
        <f>0</f>
        <v>0</v>
      </c>
      <c r="X156" s="2063">
        <f>-1</f>
        <v>-1</v>
      </c>
      <c r="Y156" s="2096">
        <f>-f_E*(i_N_XE-i_N_BIO)</f>
        <v>8.0000000000000069E-4</v>
      </c>
      <c r="Z156" s="2063">
        <f>0</f>
        <v>0</v>
      </c>
      <c r="AA156" s="2063">
        <f>0</f>
        <v>0</v>
      </c>
      <c r="AB156" s="2063">
        <f>0</f>
        <v>0</v>
      </c>
      <c r="AC156" s="2084">
        <f>0</f>
        <v>0</v>
      </c>
      <c r="AD156" s="2084">
        <f>(1-f_E)*i_N_BIO</f>
        <v>6.4400000000000013E-2</v>
      </c>
      <c r="AE156" s="2063">
        <f>0</f>
        <v>0</v>
      </c>
      <c r="AF156" s="2096">
        <f>i_P_ALGAE-i_P_BIO</f>
        <v>0</v>
      </c>
      <c r="AG156" s="2063">
        <f>0</f>
        <v>0</v>
      </c>
      <c r="AH156" s="2063">
        <f>0</f>
        <v>0</v>
      </c>
      <c r="AI156" s="2084">
        <f>0</f>
        <v>0</v>
      </c>
      <c r="AJ156" s="2084">
        <f>(1-f_E)*i_P_BIO</f>
        <v>1.84E-2</v>
      </c>
      <c r="AK156" s="2063">
        <f>0</f>
        <v>0</v>
      </c>
      <c r="AL156" s="2063">
        <f>0</f>
        <v>0</v>
      </c>
      <c r="AM156" s="2063">
        <f>0</f>
        <v>0</v>
      </c>
      <c r="AN156" s="2063">
        <f>0</f>
        <v>0</v>
      </c>
      <c r="AO156" s="2104">
        <f>i_CIT_ALGAE-(1-f_E)*i_CIT_XBe-f_E*i_CIT_BIO</f>
        <v>8.3720000000000044E-2</v>
      </c>
      <c r="AP156" s="2063">
        <f>0</f>
        <v>0</v>
      </c>
      <c r="AQ156" s="2105">
        <f>0</f>
        <v>0</v>
      </c>
      <c r="AR156" s="2105">
        <f>0</f>
        <v>0</v>
      </c>
      <c r="AS156" s="2105">
        <f>0</f>
        <v>0</v>
      </c>
      <c r="AT156" s="2105">
        <f>0</f>
        <v>0</v>
      </c>
      <c r="AU156" s="2063">
        <f>0</f>
        <v>0</v>
      </c>
      <c r="AV156" s="2063">
        <f>0</f>
        <v>0</v>
      </c>
      <c r="AW156" s="2063">
        <f>0</f>
        <v>0</v>
      </c>
      <c r="AX156" s="2063">
        <f>0</f>
        <v>0</v>
      </c>
      <c r="AY156" s="2063">
        <f>0</f>
        <v>0</v>
      </c>
      <c r="AZ156" s="2063">
        <f>0</f>
        <v>0</v>
      </c>
      <c r="BA156" s="2063">
        <f>0</f>
        <v>0</v>
      </c>
      <c r="BB156" s="2063">
        <f>0</f>
        <v>0</v>
      </c>
      <c r="BC156" s="2063">
        <f>0</f>
        <v>0</v>
      </c>
      <c r="BD156" s="2063">
        <f>0</f>
        <v>0</v>
      </c>
      <c r="BE156" s="2063">
        <f>0</f>
        <v>0</v>
      </c>
      <c r="BF156" s="2063">
        <f>0</f>
        <v>0</v>
      </c>
      <c r="BG156" s="2063">
        <f>0</f>
        <v>0</v>
      </c>
      <c r="BH156" s="2063">
        <f>0</f>
        <v>0</v>
      </c>
      <c r="BI156" s="2063">
        <f>0</f>
        <v>0</v>
      </c>
      <c r="BJ156" s="2063">
        <f>0</f>
        <v>0</v>
      </c>
      <c r="BK156" s="2063">
        <f>0</f>
        <v>0</v>
      </c>
      <c r="BL156" s="2063">
        <f>0</f>
        <v>0</v>
      </c>
      <c r="BM156" s="2063">
        <f>0</f>
        <v>0</v>
      </c>
      <c r="BN156" s="2063">
        <f>0</f>
        <v>0</v>
      </c>
      <c r="BO156" s="2063">
        <f>0</f>
        <v>0</v>
      </c>
      <c r="BP156" s="2120">
        <f>0</f>
        <v>0</v>
      </c>
      <c r="BQ156" s="2120">
        <f>0</f>
        <v>0</v>
      </c>
      <c r="BR156" s="2120">
        <f>0</f>
        <v>0</v>
      </c>
      <c r="BS156" s="2120">
        <f>0</f>
        <v>0</v>
      </c>
      <c r="BT156" s="2063">
        <f>0</f>
        <v>0</v>
      </c>
      <c r="BU156" s="2063">
        <f>0</f>
        <v>0</v>
      </c>
      <c r="BV156" s="2063">
        <f>0</f>
        <v>0</v>
      </c>
      <c r="BW156" s="2063">
        <f>0</f>
        <v>0</v>
      </c>
      <c r="BX156" s="2063">
        <f>0</f>
        <v>0</v>
      </c>
      <c r="BY156" s="2063">
        <f>0</f>
        <v>0</v>
      </c>
      <c r="BZ156" s="2063">
        <f>0</f>
        <v>0</v>
      </c>
      <c r="CA156" s="2063">
        <f>0</f>
        <v>0</v>
      </c>
      <c r="CB156" s="2063">
        <f>0</f>
        <v>0</v>
      </c>
      <c r="CC156" s="2063">
        <f>0</f>
        <v>0</v>
      </c>
      <c r="CD156" s="2063">
        <f>0</f>
        <v>0</v>
      </c>
      <c r="CE156" s="2063">
        <f>0</f>
        <v>0</v>
      </c>
      <c r="CF156" s="2105">
        <f>0</f>
        <v>0</v>
      </c>
      <c r="CG156" s="2063">
        <f>0</f>
        <v>0</v>
      </c>
      <c r="CH156" s="2132">
        <f>0</f>
        <v>0</v>
      </c>
      <c r="CI156" s="2143">
        <f>b_ALGAE_T*X_ALGAE*M_inhSO2_KO2_ALGAE</f>
        <v>0</v>
      </c>
      <c r="CK156" s="1950">
        <f>E210*E156+F210*F156+G210*G156+H210*H156+I210*I156+J210*J156+K210*K156+L210*L156+M210*M156+N210*N156+O210*O156+P210*P156+Q210*Q156+R210*R156+S210*S156+T210*T156+U210*U156+V210*V156+W210*W156+X210*X156+Y210*Y156+Z210*Z156+AA210*AA156+AB210*AB156+AC210*AC156+AD210*AD156+AE210*AE156+AF210*AF156+AG210*AG156+AH210*AH156+AI210*AI156+AJ210*AJ156+AK210*AK156+AL210*AL156+AM210*AM156+AN210*AN156+AO210*AO156+AP210*AP156+AQ210*AQ156+AR210*AR156+AS210*AS156+AT210*AT156+AU210*AU156+AV210*AV156+AW210*AW156+AX210*AX156+AY210*AY156+AZ210*AZ156+BA210*BA156+BB210*BB156+BC210*BC156+BD210*BD156+BE210*BE156+BF210*BF156+BG210*BG156+BH210*BH156+BI210*BI156+BJ210*BJ156+BK210*BK156+BL210*BL156+BM210*BM156+BN210*BN156+BO210*BO156+BP210*BP156+BQ210*BQ156+BR210*BR156+BS210*BS156+BT210*BT156+BU210*BU156+BV210*BV156+BW210*BW156+BX210*BX156+BY210*BY156+BZ210*BZ156+CA210*CA156+CB210*CB156+CC210*CC156+CD210*CD156+CE210*CE156+CF210*CF156+CG210*CG156+CH210*CH156</f>
        <v>0</v>
      </c>
      <c r="CL156" s="1950">
        <f>E211*E156+F211*F156+G211*G156+H211*H156+I211*I156+J211*J156+K211*K156+L211*L156+M211*M156+N211*N156+O211*O156+P211*P156+Q211*Q156+R211*R156+S211*S156+T211*T156+U211*U156+V211*V156+W211*W156+X211*X156+Y211*Y156+Z211*Z156+AA211*AA156+AB211*AB156+AC211*AC156+AD211*AD156+AE211*AE156+AF211*AF156+AG211*AG156+AH211*AH156+AI211*AI156+AJ211*AJ156+AK211*AK156+AL211*AL156+AM211*AM156+AN211*AN156+AO211*AO156+AP211*AP156+AQ211*AQ156+AR211*AR156+AS211*AS156+AT211*AT156+AU211*AU156+AV211*AV156+AW211*AW156+AX211*AX156+AY211*AY156+AZ211*AZ156+BA211*BA156+BB211*BB156+BC211*BC156+BD211*BD156+BE211*BE156+BF211*BF156+BG211*BG156+BH211*BH156+BI211*BI156+BJ211*BJ156+BK211*BK156+BL211*BL156+BM211*BM156+BN211*BN156+BO211*BO156+BP211*BP156+BQ211*BQ156+BR211*BR156+BS211*BS156+BT211*BT156+BU211*BU156+BV211*BV156+BW211*BW156+BX211*BX156+BY211*BY156+BZ211*BZ156+CA211*CA156+CB211*CB156+CC211*CC156+CD211*CD156+CE211*CE156+CF211*CF156+CG211*CG156+CH211*CH156</f>
        <v>2.7755575615628914E-17</v>
      </c>
      <c r="CM156" s="1951">
        <f>E212*E156+F212*F156+G212*G156+H212*H156+I212*I156+J212*J156+K212*K156+L212*L156+M212*M156+N212*N156+O212*O156+P212*P156+Q212*Q156+R212*R156+S212*S156+T212*T156+U212*U156+V212*V156+W212*W156+X212*X156+Y212*Y156+Z212*Z156+AA212*AA156+AB212*AB156+AC212*AC156+AD212*AD156+AE212*AE156+AF212*AF156+AG212*AG156+AH212*AH156+AI212*AI156+AJ212*AJ156+AK212*AK156+AL212*AL156+AM212*AM156+AN212*AN156+AO212*AO156+AP212*AP156+AQ212*AQ156+AR212*AR156+AS212*AS156+AT212*AT156+AU212*AU156+AV212*AV156+AW212*AW156+AX212*AX156+AY212*AY156+AZ212*AZ156+BA212*BA156+BB212*BB156+BC212*BC156+BD212*BD156+BE212*BE156+BF212*BF156+BG212*BG156+BH212*BH156+BI212*BI156+BJ212*BJ156+BK212*BK156+BL212*BL156+BM212*BM156+BN212*BN156+BO212*BO156+BP212*BP156+BQ212*BQ156+BR212*BR156+BS212*BS156+BT212*BT156+BU212*BU156+BV212*BV156+BW212*BW156+BX212*BX156+BY212*BY156+BZ212*BZ156+CA212*CA156+CB212*CB156+CC212*CC156+CD212*CD156+CE212*CE156+CF212*CF156+CG212*CG156+CH212*CH156</f>
        <v>0</v>
      </c>
      <c r="CN156" s="1952">
        <f>E213*E156+F213*F156+G213*G156+H213*H156+I213*I156+J213*J156+K213*K156+L213*L156+M213*M156+N213*N156+O213*O156+P213*P156+Q213*Q156+R213*R156+S213*S156+T213*T156+U213*U156+V213*V156+W213*W156+X213*X156+Y213*Y156+Z213*Z156+AA213*AA156+AB213*AB156+AC213*AC156+AD213*AD156+AE213*AE156+AF213*AF156+AG213*AG156+AH213*AH156+AI213*AI156+AJ213*AJ156+AK213*AK156+AL213*AL156+AM213*AM156+AN213*AN156+AO213*AO156+AP213*AP156+AQ213*AQ156+AR213*AR156+AS213*AS156+AT213*AT156+AU213*AU156+AV213*AV156+AW213*AW156+AX213*AX156+AY213*AY156+AZ213*AZ156+BA213*BA156+BB213*BB156+BC213*BC156+BD213*BD156+BE213*BE156+BF213*BF156+BG213*BG156+BH213*BH156+BI213*BI156+BJ213*BJ156+BK213*BK156+BL213*BL156+BM213*BM156+BN213*BN156+BO213*BO156+BP213*BP156+BQ213*BQ156+BR213*BR156+BS213*BS156+BT213*BT156+BU213*BU156+BV213*BV156+BW213*BW156+BX213*BX156+BY213*BY156+BZ213*BZ156+CA213*CA156+CB213*CB156+CC213*CC156+CD213*CD156+CE213*CE156+CF213*CF156+CG213*CG156+CH213*CH156</f>
        <v>0</v>
      </c>
      <c r="CO156" s="1952">
        <f>E214*E156+F214*F156+G214*G156+H214*H156+I214*I156+J214*J156+K214*K156+L214*L156+M214*M156+N214*N156+O214*O156+P214*P156+Q214*Q156+R214*R156+S214*S156+T214*T156+U214*U156+V214*V156+W214*W156+X214*X156+Y214*Y156+Z214*Z156+AA214*AA156+AB214*AB156+AC214*AC156+AD214*AD156+AE214*AE156+AF214*AF156+AG214*AG156+AH214*AH156+AI214*AI156+AJ214*AJ156+AK214*AK156+AL214*AL156+AM214*AM156+AN214*AN156+AO214*AO156+AP214*AP156+AQ214*AQ156+AR214*AR156+AS214*AS156+AT214*AT156+AU214*AU156+AV214*AV156+AW214*AW156+AX214*AX156+AY214*AY156+AZ214*AZ156+BA214*BA156+BB214*BB156+BC214*BC156+BD214*BD156+BE214*BE156+BF214*BF156+BG214*BG156+BH214*BH156+BI214*BI156+BJ214*BJ156+BK214*BK156+BL214*BL156+BM214*BM156+BN214*BN156+BO214*BO156+BP214*BP156+BQ214*BQ156+BR214*BR156+BS214*BS156+BT214*BT156+BU214*BU156+BV214*BV156+BW214*BW156+BX214*BX156+BY214*BY156+BZ214*BZ156+CA214*CA156+CB214*CB156+CC214*CC156+CD214*CD156+CE214*CE156+CF214*CF156+CG214*CG156+CH214*CH156</f>
        <v>0</v>
      </c>
      <c r="CP156" s="1952">
        <f>E215*E156+F215*F156+G215*G156+H215*H156+I215*I156+J215*J156+K215*K156+L215*L156+M215*M156+N215*N156+O215*O156+P215*P156+Q215*Q156+R215*R156+S215*S156+T215*T156+U215*U156+V215*V156+W215*W156+X215*X156+Y215*Y156+Z215*Z156+AA215*AA156+AB215*AB156+AC215*AC156+AD215*AD156+AE215*AE156+AF215*AF156+AG215*AG156+AH215*AH156+AI215*AI156+AJ215*AJ156+AK215*AK156+AL215*AL156+AM215*AM156+AN215*AN156+AO215*AO156+AP215*AP156+AQ215*AQ156+AR215*AR156+AS215*AS156+AT215*AT156+AU215*AU156+AV215*AV156+AW215*AW156+AX215*AX156+AY215*AY156+AZ215*AZ156+BA215*BA156+BB215*BB156+BC215*BC156+BD215*BD156+BE215*BE156+BF215*BF156+BG215*BG156+BH215*BH156+BI215*BI156+BJ215*BJ156+BK215*BK156+BL215*BL156+BM215*BM156+BN215*BN156+BO215*BO156+BP215*BP156+BQ215*BQ156+BR215*BR156+BS215*BS156+BT215*BT156+BU215*BU156+BV215*BV156+BW215*BW156+BX215*BX156+BY215*BY156+BZ215*BZ156+CA215*CA156+CB215*CB156+CC215*CC156+CD215*CD156+CE215*CE156+CF215*CF156+CG215*CG156+CH215*CH156</f>
        <v>0</v>
      </c>
      <c r="CQ156" s="1952">
        <f>E216*E156+F216*F156+G216*G156+H216*H156+I216*I156+J216*J156+K216*K156+L216*L156+M216*M156+N216*N156+O216*O156+P216*P156+Q216*Q156+R216*R156+S216*S156+T216*T156+U216*U156+V216*V156+W216*W156+X216*X156+Y216*Y156+Z216*Z156+AA216*AA156+AB216*AB156+AC216*AC156+AD216*AD156+AE216*AE156+AF216*AF156+AG216*AG156+AH216*AH156+AI216*AI156+AJ216*AJ156+AK216*AK156+AL216*AL156+AM216*AM156+AN216*AN156+AO216*AO156+AP216*AP156+AQ216*AQ156+AR216*AR156+AS216*AS156+AT216*AT156+AU216*AU156+AV216*AV156+AW216*AW156+AX216*AX156+AY216*AY156+AZ216*AZ156+BA216*BA156+BB216*BB156+BC216*BC156+BD216*BD156+BE216*BE156+BF216*BF156+BG216*BG156+BH216*BH156+BI216*BI156+BJ216*BJ156+BK216*BK156+BL216*BL156+BM216*BM156+BN216*BN156+BO216*BO156+BP216*BP156+BQ216*BQ156+BR216*BR156+BS216*BS156+BT216*BT156+BU216*BU156+BV216*BV156+BW216*BW156+BX216*BX156+BY216*BY156+BZ216*BZ156+CA216*CA156+CB216*CB156+CC216*CC156+CD216*CD156+CE216*CE156+CF216*CF156+CG216*CG156+CH216*CH156</f>
        <v>0</v>
      </c>
      <c r="CR156" s="1952">
        <f>E217*E156+F217*F156+G217*G156+H217*H156+I217*I156+J217*J156+K217*K156+L217*L156+M217*M156+N217*N156+O217*O156+P217*P156+Q217*Q156+R217*R156+S217*S156+T217*T156+U217*U156+V217*V156+W217*W156+X217*X156+Y217*Y156+Z217*Z156+AA217*AA156+AB217*AB156+AC217*AC156+AD217*AD156+AE217*AE156+AF217*AF156+AG217*AG156+AH217*AH156+AI217*AI156+AJ217*AJ156+AK217*AK156+AL217*AL156+AM217*AM156+AN217*AN156+AO217*AO156+AP217*AP156+AQ217*AQ156+AR217*AR156+AS217*AS156+AT217*AT156+AU217*AU156+AV217*AV156+AW217*AW156+AX217*AX156+AY217*AY156+AZ217*AZ156+BA217*BA156+BB217*BB156+BC217*BC156+BD217*BD156+BE217*BE156+BF217*BF156+BG217*BG156+BH217*BH156+BI217*BI156+BJ217*BJ156+BK217*BK156+BL217*BL156+BM217*BM156+BN217*BN156+BO217*BO156+BP217*BP156+BQ217*BQ156+BR217*BR156+BS217*BS156+BT217*BT156+BU217*BU156+BV217*BV156+BW217*BW156+BX217*BX156+BY217*BY156+BZ217*BZ156+CA217*CA156+CB217*CB156+CC217*CC156+CD217*CD156+CE217*CE156+CF217*CF156+CG217*CG156+CH217*CH156</f>
        <v>0</v>
      </c>
      <c r="CS156" s="1952">
        <f>E218*E156+F218*F156+G218*G156+H218*H156+I218*I156+J218*J156+K218*K156+L218*L156+M218*M156+N218*N156+O218*O156+P218*P156+Q218*Q156+R218*R156+S218*S156+T218*T156+U218*U156+V218*V156+W218*W156+X218*X156+Y218*Y156+Z218*Z156+AA218*AA156+AB218*AB156+AC218*AC156+AD218*AD156+AE218*AE156+AF218*AF156+AG218*AG156+AH218*AH156+AI218*AI156+AJ218*AJ156+AK218*AK156+AL218*AL156+AM218*AM156+AN218*AN156+AO218*AO156+AP218*AP156+AQ218*AQ156+AR218*AR156+AS218*AS156+AT218*AT156+AU218*AU156+AV218*AV156+AW218*AW156+AX218*AX156+AY218*AY156+AZ218*AZ156+BA218*BA156+BB218*BB156+BC218*BC156+BD218*BD156+BE218*BE156+BF218*BF156+BG218*BG156+BH218*BH156+BI218*BI156+BJ218*BJ156+BK218*BK156+BL218*BL156+BM218*BM156+BN218*BN156+BO218*BO156+BP218*BP156+BQ218*BQ156+BR218*BR156+BS218*BS156+BT218*BT156+BU218*BU156+BV218*BV156+BW218*BW156+BX218*BX156+BY218*BY156+BZ218*BZ156+CA218*CA156+CB218*CB156+CC218*CC156+CD218*CD156+CE218*CE156+CF218*CF156+CG218*CG156+CH218*CH156</f>
        <v>0</v>
      </c>
      <c r="CT156" s="1952">
        <f>E219*E156+F219*F156+G219*G156+H219*H156+I219*I156+J219*J156+K219*K156+L219*L156+M219*M156+N219*N156+O219*O156+P219*P156+Q219*Q156+R219*R156+S219*S156+T219*T156+U219*U156+V219*V156+W219*W156+X219*X156+Y219*Y156+Z219*Z156+AA219*AA156+AB219*AB156+AC219*AC156+AD219*AD156+AE219*AE156+AF219*AF156+AG219*AG156+AH219*AH156+AI219*AI156+AJ219*AJ156+AK219*AK156+AL219*AL156+AM219*AM156+AN219*AN156+AO219*AO156+AP219*AP156+AQ219*AQ156+AR219*AR156+AS219*AS156+AT219*AT156+AU219*AU156+AV219*AV156+AW219*AW156+AX219*AX156+AY219*AY156+AZ219*AZ156+BA219*BA156+BB219*BB156+BC219*BC156+BD219*BD156+BE219*BE156+BF219*BF156+BG219*BG156+BH219*BH156+BI219*BI156+BJ219*BJ156+BK219*BK156+BL219*BL156+BM219*BM156+BN219*BN156+BO219*BO156+BP219*BP156+BQ219*BQ156+BR219*BR156+BS219*BS156+BT219*BT156+BU219*BU156+BV219*BV156+BW219*BW156+BX219*BX156+BY219*BY156+BZ219*BZ156+CA219*CA156+CB219*CB156+CC219*CC156+CD219*CD156+CE219*CE156+CF219*CF156+CG219*CG156+CH219*CH156</f>
        <v>0</v>
      </c>
      <c r="CU156" s="1952">
        <f>E220*E156+F220*F156+G220*G156+H220*H156+I220*I156+J220*J156+K220*K156+L220*L156+M220*M156+N220*N156+O220*O156+P220*P156+Q220*Q156+R220*R156+S220*S156+T220*T156+U220*U156+V220*V156+W220*W156+X220*X156+Y220*Y156+Z220*Z156+AA220*AA156+AB220*AB156+AC220*AC156+AD220*AD156+AE220*AE156+AF220*AF156+AG220*AG156+AH220*AH156+AI220*AI156+AJ220*AJ156+AK220*AK156+AL220*AL156+AM220*AM156+AN220*AN156+AO220*AO156+AP220*AP156+AQ220*AQ156+AR220*AR156+AS220*AS156+AT220*AT156+AU220*AU156+AV220*AV156+AW220*AW156+AX220*AX156+AY220*AY156+AZ220*AZ156+BA220*BA156+BB220*BB156+BC220*BC156+BD220*BD156+BE220*BE156+BF220*BF156+BG220*BG156+BH220*BH156+BI220*BI156+BJ220*BJ156+BK220*BK156+BL220*BL156+BM220*BM156+BN220*BN156+BO220*BO156+BP220*BP156+BQ220*BQ156+BR220*BR156+BS220*BS156+BT220*BT156+BU220*BU156+BV220*BV156+BW220*BW156+BX220*BX156+BY220*BY156+BZ220*BZ156+CA220*CA156+CB220*CB156+CC220*CC156+CD220*CD156+CE220*CE156+CF220*CF156+CG220*CG156+CH220*CH156</f>
        <v>0</v>
      </c>
    </row>
    <row r="157" spans="2:99" ht="18" x14ac:dyDescent="0.25">
      <c r="B157" s="1046">
        <v>43</v>
      </c>
      <c r="C157" s="1124" t="s">
        <v>443</v>
      </c>
      <c r="D157" s="1125" t="s">
        <v>1670</v>
      </c>
      <c r="E157" s="2064">
        <f>0</f>
        <v>0</v>
      </c>
      <c r="F157" s="2064">
        <f>0</f>
        <v>0</v>
      </c>
      <c r="G157" s="2064">
        <f>0</f>
        <v>0</v>
      </c>
      <c r="H157" s="2064">
        <f>-1</f>
        <v>-1</v>
      </c>
      <c r="I157" s="2065">
        <f>1</f>
        <v>1</v>
      </c>
      <c r="J157" s="2065">
        <f>0</f>
        <v>0</v>
      </c>
      <c r="K157" s="2064">
        <f>0</f>
        <v>0</v>
      </c>
      <c r="L157" s="2064">
        <f>0</f>
        <v>0</v>
      </c>
      <c r="M157" s="2064">
        <f>0</f>
        <v>0</v>
      </c>
      <c r="N157" s="2064">
        <f>0</f>
        <v>0</v>
      </c>
      <c r="O157" s="2064">
        <f>0</f>
        <v>0</v>
      </c>
      <c r="P157" s="2064">
        <f>0</f>
        <v>0</v>
      </c>
      <c r="Q157" s="2064">
        <f>0</f>
        <v>0</v>
      </c>
      <c r="R157" s="2064">
        <f>0</f>
        <v>0</v>
      </c>
      <c r="S157" s="2064">
        <f>0</f>
        <v>0</v>
      </c>
      <c r="T157" s="2064">
        <f>0</f>
        <v>0</v>
      </c>
      <c r="U157" s="2064">
        <f>0</f>
        <v>0</v>
      </c>
      <c r="V157" s="2064">
        <f>0</f>
        <v>0</v>
      </c>
      <c r="W157" s="2064">
        <f>0</f>
        <v>0</v>
      </c>
      <c r="X157" s="2064">
        <f>0</f>
        <v>0</v>
      </c>
      <c r="Y157" s="2064">
        <f>0</f>
        <v>0</v>
      </c>
      <c r="Z157" s="2064">
        <f>0</f>
        <v>0</v>
      </c>
      <c r="AA157" s="2064">
        <f>0</f>
        <v>0</v>
      </c>
      <c r="AB157" s="2064">
        <f>0</f>
        <v>0</v>
      </c>
      <c r="AC157" s="2065">
        <f>i_N_CB</f>
        <v>0.01</v>
      </c>
      <c r="AD157" s="2065">
        <f>0</f>
        <v>0</v>
      </c>
      <c r="AE157" s="2064">
        <f>0</f>
        <v>0</v>
      </c>
      <c r="AF157" s="2064">
        <f>0</f>
        <v>0</v>
      </c>
      <c r="AG157" s="2064">
        <f>0</f>
        <v>0</v>
      </c>
      <c r="AH157" s="2064">
        <f>0</f>
        <v>0</v>
      </c>
      <c r="AI157" s="2065">
        <f>i_P_CB</f>
        <v>2E-3</v>
      </c>
      <c r="AJ157" s="2065">
        <f>0</f>
        <v>0</v>
      </c>
      <c r="AK157" s="2064">
        <f>0</f>
        <v>0</v>
      </c>
      <c r="AL157" s="2064">
        <f>0</f>
        <v>0</v>
      </c>
      <c r="AM157" s="2064">
        <f>0</f>
        <v>0</v>
      </c>
      <c r="AN157" s="2064">
        <f>0</f>
        <v>0</v>
      </c>
      <c r="AO157" s="2064">
        <f>0</f>
        <v>0</v>
      </c>
      <c r="AP157" s="2064">
        <f>0</f>
        <v>0</v>
      </c>
      <c r="AQ157" s="2064">
        <f>0</f>
        <v>0</v>
      </c>
      <c r="AR157" s="2064">
        <f>0</f>
        <v>0</v>
      </c>
      <c r="AS157" s="2064">
        <f>0</f>
        <v>0</v>
      </c>
      <c r="AT157" s="2064">
        <f>0</f>
        <v>0</v>
      </c>
      <c r="AU157" s="2064">
        <f>0</f>
        <v>0</v>
      </c>
      <c r="AV157" s="2064">
        <f>0</f>
        <v>0</v>
      </c>
      <c r="AW157" s="2064">
        <f>0</f>
        <v>0</v>
      </c>
      <c r="AX157" s="2064">
        <f>0</f>
        <v>0</v>
      </c>
      <c r="AY157" s="2064">
        <f>0</f>
        <v>0</v>
      </c>
      <c r="AZ157" s="2064">
        <f>0</f>
        <v>0</v>
      </c>
      <c r="BA157" s="2064">
        <f>0</f>
        <v>0</v>
      </c>
      <c r="BB157" s="2064">
        <f>0</f>
        <v>0</v>
      </c>
      <c r="BC157" s="2064">
        <f>0</f>
        <v>0</v>
      </c>
      <c r="BD157" s="2064">
        <f>0</f>
        <v>0</v>
      </c>
      <c r="BE157" s="2064">
        <f>0</f>
        <v>0</v>
      </c>
      <c r="BF157" s="2064">
        <f>0</f>
        <v>0</v>
      </c>
      <c r="BG157" s="2064">
        <f>0</f>
        <v>0</v>
      </c>
      <c r="BH157" s="2064">
        <f>0</f>
        <v>0</v>
      </c>
      <c r="BI157" s="2064">
        <f>0</f>
        <v>0</v>
      </c>
      <c r="BJ157" s="2064">
        <f>0</f>
        <v>0</v>
      </c>
      <c r="BK157" s="2064">
        <f>0</f>
        <v>0</v>
      </c>
      <c r="BL157" s="2064">
        <f>0</f>
        <v>0</v>
      </c>
      <c r="BM157" s="2064">
        <f>0</f>
        <v>0</v>
      </c>
      <c r="BN157" s="2064">
        <f>0</f>
        <v>0</v>
      </c>
      <c r="BO157" s="2064">
        <f>0</f>
        <v>0</v>
      </c>
      <c r="BP157" s="2121">
        <f>0</f>
        <v>0</v>
      </c>
      <c r="BQ157" s="2121">
        <f>0</f>
        <v>0</v>
      </c>
      <c r="BR157" s="2121">
        <f>0</f>
        <v>0</v>
      </c>
      <c r="BS157" s="2121">
        <f>0</f>
        <v>0</v>
      </c>
      <c r="BT157" s="2064">
        <f>0</f>
        <v>0</v>
      </c>
      <c r="BU157" s="2064">
        <f>0</f>
        <v>0</v>
      </c>
      <c r="BV157" s="2064">
        <f>0</f>
        <v>0</v>
      </c>
      <c r="BW157" s="2064">
        <f>0</f>
        <v>0</v>
      </c>
      <c r="BX157" s="2064">
        <f>0</f>
        <v>0</v>
      </c>
      <c r="BY157" s="2064">
        <f>0</f>
        <v>0</v>
      </c>
      <c r="BZ157" s="2064">
        <f>0</f>
        <v>0</v>
      </c>
      <c r="CA157" s="2064">
        <f>0</f>
        <v>0</v>
      </c>
      <c r="CB157" s="2064">
        <f>0</f>
        <v>0</v>
      </c>
      <c r="CC157" s="2064">
        <f>0</f>
        <v>0</v>
      </c>
      <c r="CD157" s="2064">
        <f>0</f>
        <v>0</v>
      </c>
      <c r="CE157" s="2064">
        <f>0</f>
        <v>0</v>
      </c>
      <c r="CF157" s="2064">
        <f>0</f>
        <v>0</v>
      </c>
      <c r="CG157" s="2064">
        <f>0</f>
        <v>0</v>
      </c>
      <c r="CH157" s="2064">
        <f>0</f>
        <v>0</v>
      </c>
      <c r="CI157" s="2144">
        <f>q_FLOC_T*X_BIO*M_satCB_KCB_FLOC+q_FLOC_HFO_T*X_HFO*M_satCB_KCB_FLOC_HFO*B_ellinhpH_FLOC_HFO+q_FLOC_HAO_T*X_HAO*M_satCB_KCB_FLOC_HAO*B_ellinhpH_FLOC_HAO</f>
        <v>1.1291572170472532</v>
      </c>
      <c r="CK157" s="1950">
        <f>E210*E157+F210*F157+G210*G157+H210*H157+I210*I157+J210*J157+K210*K157+L210*L157+M210*M157+N210*N157+O210*O157+P210*P157+Q210*Q157+R210*R157+S210*S157+T210*T157+U210*U157+V210*V157+W210*W157+X210*X157+Y210*Y157+Z210*Z157+AA210*AA157+AB210*AB157+AC210*AC157+AD210*AD157+AE210*AE157+AF210*AF157+AG210*AG157+AH210*AH157+AI210*AI157+AJ210*AJ157+AK210*AK157+AL210*AL157+AM210*AM157+AN210*AN157+AO210*AO157+AP210*AP157+AQ210*AQ157+AR210*AR157+AS210*AS157+AT210*AT157+AU210*AU157+AV210*AV157+AW210*AW157+AX210*AX157+AY210*AY157+AZ210*AZ157+BA210*BA157+BB210*BB157+BC210*BC157+BD210*BD157+BE210*BE157+BF210*BF157+BG210*BG157+BH210*BH157+BI210*BI157+BJ210*BJ157+BK210*BK157+BL210*BL157+BM210*BM157+BN210*BN157+BO210*BO157+BP210*BP157+BQ210*BQ157+BR210*BR157+BS210*BS157+BT210*BT157+BU210*BU157+BV210*BV157+BW210*BW157+BX210*BX157+BY210*BY157+BZ210*BZ157+CA210*CA157+CB210*CB157+CC210*CC157+CD210*CD157+CE210*CE157+CF210*CF157+CG210*CG157+CH210*CH157</f>
        <v>0</v>
      </c>
      <c r="CL157" s="1950">
        <f>E211*E157+F211*F157+G211*G157+H211*H157+I211*I157+J211*J157+K211*K157+L211*L157+M211*M157+N211*N157+O211*O157+P211*P157+Q211*Q157+R211*R157+S211*S157+T211*T157+U211*U157+V211*V157+W211*W157+X211*X157+Y211*Y157+Z211*Z157+AA211*AA157+AB211*AB157+AC211*AC157+AD211*AD157+AE211*AE157+AF211*AF157+AG211*AG157+AH211*AH157+AI211*AI157+AJ211*AJ157+AK211*AK157+AL211*AL157+AM211*AM157+AN211*AN157+AO211*AO157+AP211*AP157+AQ211*AQ157+AR211*AR157+AS211*AS157+AT211*AT157+AU211*AU157+AV211*AV157+AW211*AW157+AX211*AX157+AY211*AY157+AZ211*AZ157+BA211*BA157+BB211*BB157+BC211*BC157+BD211*BD157+BE211*BE157+BF211*BF157+BG211*BG157+BH211*BH157+BI211*BI157+BJ211*BJ157+BK211*BK157+BL211*BL157+BM211*BM157+BN211*BN157+BO211*BO157+BP211*BP157+BQ211*BQ157+BR211*BR157+BS211*BS157+BT211*BT157+BU211*BU157+BV211*BV157+BW211*BW157+BX211*BX157+BY211*BY157+BZ211*BZ157+CA211*CA157+CB211*CB157+CC211*CC157+CD211*CD157+CE211*CE157+CF211*CF157+CG211*CG157+CH211*CH157</f>
        <v>0</v>
      </c>
      <c r="CM157" s="1951">
        <f>E212*E157+F212*F157+G212*G157+H212*H157+I212*I157+J212*J157+K212*K157+L212*L157+M212*M157+N212*N157+O212*O157+P212*P157+Q212*Q157+R212*R157+S212*S157+T212*T157+U212*U157+V212*V157+W212*W157+X212*X157+Y212*Y157+Z212*Z157+AA212*AA157+AB212*AB157+AC212*AC157+AD212*AD157+AE212*AE157+AF212*AF157+AG212*AG157+AH212*AH157+AI212*AI157+AJ212*AJ157+AK212*AK157+AL212*AL157+AM212*AM157+AN212*AN157+AO212*AO157+AP212*AP157+AQ212*AQ157+AR212*AR157+AS212*AS157+AT212*AT157+AU212*AU157+AV212*AV157+AW212*AW157+AX212*AX157+AY212*AY157+AZ212*AZ157+BA212*BA157+BB212*BB157+BC212*BC157+BD212*BD157+BE212*BE157+BF212*BF157+BG212*BG157+BH212*BH157+BI212*BI157+BJ212*BJ157+BK212*BK157+BL212*BL157+BM212*BM157+BN212*BN157+BO212*BO157+BP212*BP157+BQ212*BQ157+BR212*BR157+BS212*BS157+BT212*BT157+BU212*BU157+BV212*BV157+BW212*BW157+BX212*BX157+BY212*BY157+BZ212*BZ157+CA212*CA157+CB212*CB157+CC212*CC157+CD212*CD157+CE212*CE157+CF212*CF157+CG212*CG157+CH212*CH157</f>
        <v>0</v>
      </c>
      <c r="CN157" s="1952">
        <f>E213*E157+F213*F157+G213*G157+H213*H157+I213*I157+J213*J157+K213*K157+L213*L157+M213*M157+N213*N157+O213*O157+P213*P157+Q213*Q157+R213*R157+S213*S157+T213*T157+U213*U157+V213*V157+W213*W157+X213*X157+Y213*Y157+Z213*Z157+AA213*AA157+AB213*AB157+AC213*AC157+AD213*AD157+AE213*AE157+AF213*AF157+AG213*AG157+AH213*AH157+AI213*AI157+AJ213*AJ157+AK213*AK157+AL213*AL157+AM213*AM157+AN213*AN157+AO213*AO157+AP213*AP157+AQ213*AQ157+AR213*AR157+AS213*AS157+AT213*AT157+AU213*AU157+AV213*AV157+AW213*AW157+AX213*AX157+AY213*AY157+AZ213*AZ157+BA213*BA157+BB213*BB157+BC213*BC157+BD213*BD157+BE213*BE157+BF213*BF157+BG213*BG157+BH213*BH157+BI213*BI157+BJ213*BJ157+BK213*BK157+BL213*BL157+BM213*BM157+BN213*BN157+BO213*BO157+BP213*BP157+BQ213*BQ157+BR213*BR157+BS213*BS157+BT213*BT157+BU213*BU157+BV213*BV157+BW213*BW157+BX213*BX157+BY213*BY157+BZ213*BZ157+CA213*CA157+CB213*CB157+CC213*CC157+CD213*CD157+CE213*CE157+CF213*CF157+CG213*CG157+CH213*CH157</f>
        <v>0</v>
      </c>
      <c r="CO157" s="1952">
        <f>E214*E157+F214*F157+G214*G157+H214*H157+I214*I157+J214*J157+K214*K157+L214*L157+M214*M157+N214*N157+O214*O157+P214*P157+Q214*Q157+R214*R157+S214*S157+T214*T157+U214*U157+V214*V157+W214*W157+X214*X157+Y214*Y157+Z214*Z157+AA214*AA157+AB214*AB157+AC214*AC157+AD214*AD157+AE214*AE157+AF214*AF157+AG214*AG157+AH214*AH157+AI214*AI157+AJ214*AJ157+AK214*AK157+AL214*AL157+AM214*AM157+AN214*AN157+AO214*AO157+AP214*AP157+AQ214*AQ157+AR214*AR157+AS214*AS157+AT214*AT157+AU214*AU157+AV214*AV157+AW214*AW157+AX214*AX157+AY214*AY157+AZ214*AZ157+BA214*BA157+BB214*BB157+BC214*BC157+BD214*BD157+BE214*BE157+BF214*BF157+BG214*BG157+BH214*BH157+BI214*BI157+BJ214*BJ157+BK214*BK157+BL214*BL157+BM214*BM157+BN214*BN157+BO214*BO157+BP214*BP157+BQ214*BQ157+BR214*BR157+BS214*BS157+BT214*BT157+BU214*BU157+BV214*BV157+BW214*BW157+BX214*BX157+BY214*BY157+BZ214*BZ157+CA214*CA157+CB214*CB157+CC214*CC157+CD214*CD157+CE214*CE157+CF214*CF157+CG214*CG157+CH214*CH157</f>
        <v>0</v>
      </c>
      <c r="CP157" s="1952">
        <f>E215*E157+F215*F157+G215*G157+H215*H157+I215*I157+J215*J157+K215*K157+L215*L157+M215*M157+N215*N157+O215*O157+P215*P157+Q215*Q157+R215*R157+S215*S157+T215*T157+U215*U157+V215*V157+W215*W157+X215*X157+Y215*Y157+Z215*Z157+AA215*AA157+AB215*AB157+AC215*AC157+AD215*AD157+AE215*AE157+AF215*AF157+AG215*AG157+AH215*AH157+AI215*AI157+AJ215*AJ157+AK215*AK157+AL215*AL157+AM215*AM157+AN215*AN157+AO215*AO157+AP215*AP157+AQ215*AQ157+AR215*AR157+AS215*AS157+AT215*AT157+AU215*AU157+AV215*AV157+AW215*AW157+AX215*AX157+AY215*AY157+AZ215*AZ157+BA215*BA157+BB215*BB157+BC215*BC157+BD215*BD157+BE215*BE157+BF215*BF157+BG215*BG157+BH215*BH157+BI215*BI157+BJ215*BJ157+BK215*BK157+BL215*BL157+BM215*BM157+BN215*BN157+BO215*BO157+BP215*BP157+BQ215*BQ157+BR215*BR157+BS215*BS157+BT215*BT157+BU215*BU157+BV215*BV157+BW215*BW157+BX215*BX157+BY215*BY157+BZ215*BZ157+CA215*CA157+CB215*CB157+CC215*CC157+CD215*CD157+CE215*CE157+CF215*CF157+CG215*CG157+CH215*CH157</f>
        <v>0</v>
      </c>
      <c r="CQ157" s="1952">
        <f>E216*E157+F216*F157+G216*G157+H216*H157+I216*I157+J216*J157+K216*K157+L216*L157+M216*M157+N216*N157+O216*O157+P216*P157+Q216*Q157+R216*R157+S216*S157+T216*T157+U216*U157+V216*V157+W216*W157+X216*X157+Y216*Y157+Z216*Z157+AA216*AA157+AB216*AB157+AC216*AC157+AD216*AD157+AE216*AE157+AF216*AF157+AG216*AG157+AH216*AH157+AI216*AI157+AJ216*AJ157+AK216*AK157+AL216*AL157+AM216*AM157+AN216*AN157+AO216*AO157+AP216*AP157+AQ216*AQ157+AR216*AR157+AS216*AS157+AT216*AT157+AU216*AU157+AV216*AV157+AW216*AW157+AX216*AX157+AY216*AY157+AZ216*AZ157+BA216*BA157+BB216*BB157+BC216*BC157+BD216*BD157+BE216*BE157+BF216*BF157+BG216*BG157+BH216*BH157+BI216*BI157+BJ216*BJ157+BK216*BK157+BL216*BL157+BM216*BM157+BN216*BN157+BO216*BO157+BP216*BP157+BQ216*BQ157+BR216*BR157+BS216*BS157+BT216*BT157+BU216*BU157+BV216*BV157+BW216*BW157+BX216*BX157+BY216*BY157+BZ216*BZ157+CA216*CA157+CB216*CB157+CC216*CC157+CD216*CD157+CE216*CE157+CF216*CF157+CG216*CG157+CH216*CH157</f>
        <v>0</v>
      </c>
      <c r="CR157" s="1952">
        <f>E217*E157+F217*F157+G217*G157+H217*H157+I217*I157+J217*J157+K217*K157+L217*L157+M217*M157+N217*N157+O217*O157+P217*P157+Q217*Q157+R217*R157+S217*S157+T217*T157+U217*U157+V217*V157+W217*W157+X217*X157+Y217*Y157+Z217*Z157+AA217*AA157+AB217*AB157+AC217*AC157+AD217*AD157+AE217*AE157+AF217*AF157+AG217*AG157+AH217*AH157+AI217*AI157+AJ217*AJ157+AK217*AK157+AL217*AL157+AM217*AM157+AN217*AN157+AO217*AO157+AP217*AP157+AQ217*AQ157+AR217*AR157+AS217*AS157+AT217*AT157+AU217*AU157+AV217*AV157+AW217*AW157+AX217*AX157+AY217*AY157+AZ217*AZ157+BA217*BA157+BB217*BB157+BC217*BC157+BD217*BD157+BE217*BE157+BF217*BF157+BG217*BG157+BH217*BH157+BI217*BI157+BJ217*BJ157+BK217*BK157+BL217*BL157+BM217*BM157+BN217*BN157+BO217*BO157+BP217*BP157+BQ217*BQ157+BR217*BR157+BS217*BS157+BT217*BT157+BU217*BU157+BV217*BV157+BW217*BW157+BX217*BX157+BY217*BY157+BZ217*BZ157+CA217*CA157+CB217*CB157+CC217*CC157+CD217*CD157+CE217*CE157+CF217*CF157+CG217*CG157+CH217*CH157</f>
        <v>0</v>
      </c>
      <c r="CS157" s="1952">
        <f>E218*E157+F218*F157+G218*G157+H218*H157+I218*I157+J218*J157+K218*K157+L218*L157+M218*M157+N218*N157+O218*O157+P218*P157+Q218*Q157+R218*R157+S218*S157+T218*T157+U218*U157+V218*V157+W218*W157+X218*X157+Y218*Y157+Z218*Z157+AA218*AA157+AB218*AB157+AC218*AC157+AD218*AD157+AE218*AE157+AF218*AF157+AG218*AG157+AH218*AH157+AI218*AI157+AJ218*AJ157+AK218*AK157+AL218*AL157+AM218*AM157+AN218*AN157+AO218*AO157+AP218*AP157+AQ218*AQ157+AR218*AR157+AS218*AS157+AT218*AT157+AU218*AU157+AV218*AV157+AW218*AW157+AX218*AX157+AY218*AY157+AZ218*AZ157+BA218*BA157+BB218*BB157+BC218*BC157+BD218*BD157+BE218*BE157+BF218*BF157+BG218*BG157+BH218*BH157+BI218*BI157+BJ218*BJ157+BK218*BK157+BL218*BL157+BM218*BM157+BN218*BN157+BO218*BO157+BP218*BP157+BQ218*BQ157+BR218*BR157+BS218*BS157+BT218*BT157+BU218*BU157+BV218*BV157+BW218*BW157+BX218*BX157+BY218*BY157+BZ218*BZ157+CA218*CA157+CB218*CB157+CC218*CC157+CD218*CD157+CE218*CE157+CF218*CF157+CG218*CG157+CH218*CH157</f>
        <v>0</v>
      </c>
      <c r="CT157" s="1952">
        <f>E219*E157+F219*F157+G219*G157+H219*H157+I219*I157+J219*J157+K219*K157+L219*L157+M219*M157+N219*N157+O219*O157+P219*P157+Q219*Q157+R219*R157+S219*S157+T219*T157+U219*U157+V219*V157+W219*W157+X219*X157+Y219*Y157+Z219*Z157+AA219*AA157+AB219*AB157+AC219*AC157+AD219*AD157+AE219*AE157+AF219*AF157+AG219*AG157+AH219*AH157+AI219*AI157+AJ219*AJ157+AK219*AK157+AL219*AL157+AM219*AM157+AN219*AN157+AO219*AO157+AP219*AP157+AQ219*AQ157+AR219*AR157+AS219*AS157+AT219*AT157+AU219*AU157+AV219*AV157+AW219*AW157+AX219*AX157+AY219*AY157+AZ219*AZ157+BA219*BA157+BB219*BB157+BC219*BC157+BD219*BD157+BE219*BE157+BF219*BF157+BG219*BG157+BH219*BH157+BI219*BI157+BJ219*BJ157+BK219*BK157+BL219*BL157+BM219*BM157+BN219*BN157+BO219*BO157+BP219*BP157+BQ219*BQ157+BR219*BR157+BS219*BS157+BT219*BT157+BU219*BU157+BV219*BV157+BW219*BW157+BX219*BX157+BY219*BY157+BZ219*BZ157+CA219*CA157+CB219*CB157+CC219*CC157+CD219*CD157+CE219*CE157+CF219*CF157+CG219*CG157+CH219*CH157</f>
        <v>0</v>
      </c>
      <c r="CU157" s="1952">
        <f>E220*E157+F220*F157+G220*G157+H220*H157+I220*I157+J220*J157+K220*K157+L220*L157+M220*M157+N220*N157+O220*O157+P220*P157+Q220*Q157+R220*R157+S220*S157+T220*T157+U220*U157+V220*V157+W220*W157+X220*X157+Y220*Y157+Z220*Z157+AA220*AA157+AB220*AB157+AC220*AC157+AD220*AD157+AE220*AE157+AF220*AF157+AG220*AG157+AH220*AH157+AI220*AI157+AJ220*AJ157+AK220*AK157+AL220*AL157+AM220*AM157+AN220*AN157+AO220*AO157+AP220*AP157+AQ220*AQ157+AR220*AR157+AS220*AS157+AT220*AT157+AU220*AU157+AV220*AV157+AW220*AW157+AX220*AX157+AY220*AY157+AZ220*AZ157+BA220*BA157+BB220*BB157+BC220*BC157+BD220*BD157+BE220*BE157+BF220*BF157+BG220*BG157+BH220*BH157+BI220*BI157+BJ220*BJ157+BK220*BK157+BL220*BL157+BM220*BM157+BN220*BN157+BO220*BO157+BP220*BP157+BQ220*BQ157+BR220*BR157+BS220*BS157+BT220*BT157+BU220*BU157+BV220*BV157+BW220*BW157+BX220*BX157+BY220*BY157+BZ220*BZ157+CA220*CA157+CB220*CB157+CC220*CC157+CD220*CD157+CE220*CE157+CF220*CF157+CG220*CG157+CH220*CH157</f>
        <v>0</v>
      </c>
    </row>
    <row r="158" spans="2:99" ht="18" x14ac:dyDescent="0.25">
      <c r="B158" s="1046">
        <v>44</v>
      </c>
      <c r="C158" s="1124" t="s">
        <v>843</v>
      </c>
      <c r="D158" s="1125" t="s">
        <v>1673</v>
      </c>
      <c r="E158" s="2064">
        <f>0</f>
        <v>0</v>
      </c>
      <c r="F158" s="2064">
        <f>0</f>
        <v>0</v>
      </c>
      <c r="G158" s="2064">
        <f>0</f>
        <v>0</v>
      </c>
      <c r="H158" s="2064">
        <f>0</f>
        <v>0</v>
      </c>
      <c r="I158" s="2065">
        <f>0</f>
        <v>0</v>
      </c>
      <c r="J158" s="2065">
        <f>0</f>
        <v>0</v>
      </c>
      <c r="K158" s="2064">
        <f>0</f>
        <v>0</v>
      </c>
      <c r="L158" s="2064">
        <f>-1</f>
        <v>-1</v>
      </c>
      <c r="M158" s="2064">
        <f>1</f>
        <v>1</v>
      </c>
      <c r="N158" s="2064">
        <f>0</f>
        <v>0</v>
      </c>
      <c r="O158" s="2064">
        <f>0</f>
        <v>0</v>
      </c>
      <c r="P158" s="2064">
        <f>0</f>
        <v>0</v>
      </c>
      <c r="Q158" s="2064">
        <f>0</f>
        <v>0</v>
      </c>
      <c r="R158" s="2064">
        <f>0</f>
        <v>0</v>
      </c>
      <c r="S158" s="2064">
        <f>0</f>
        <v>0</v>
      </c>
      <c r="T158" s="2064">
        <f>0</f>
        <v>0</v>
      </c>
      <c r="U158" s="2064">
        <f>0</f>
        <v>0</v>
      </c>
      <c r="V158" s="2064">
        <f>0</f>
        <v>0</v>
      </c>
      <c r="W158" s="2064">
        <f>0</f>
        <v>0</v>
      </c>
      <c r="X158" s="2064">
        <f>0</f>
        <v>0</v>
      </c>
      <c r="Y158" s="2064">
        <f>0</f>
        <v>0</v>
      </c>
      <c r="Z158" s="2064">
        <f>0</f>
        <v>0</v>
      </c>
      <c r="AA158" s="2064">
        <f>0</f>
        <v>0</v>
      </c>
      <c r="AB158" s="2064">
        <f>0</f>
        <v>0</v>
      </c>
      <c r="AC158" s="2065">
        <f>0</f>
        <v>0</v>
      </c>
      <c r="AD158" s="2065">
        <f>0</f>
        <v>0</v>
      </c>
      <c r="AE158" s="2064">
        <f>i_N_CU</f>
        <v>0.01</v>
      </c>
      <c r="AF158" s="2064">
        <f>0</f>
        <v>0</v>
      </c>
      <c r="AG158" s="2064">
        <f>0</f>
        <v>0</v>
      </c>
      <c r="AH158" s="2064">
        <f>0</f>
        <v>0</v>
      </c>
      <c r="AI158" s="2065">
        <f>0</f>
        <v>0</v>
      </c>
      <c r="AJ158" s="2065">
        <f>0</f>
        <v>0</v>
      </c>
      <c r="AK158" s="2064">
        <f>i_P_CU</f>
        <v>2E-3</v>
      </c>
      <c r="AL158" s="2064">
        <f>0</f>
        <v>0</v>
      </c>
      <c r="AM158" s="2064">
        <f>0</f>
        <v>0</v>
      </c>
      <c r="AN158" s="2064">
        <f>0</f>
        <v>0</v>
      </c>
      <c r="AO158" s="2064">
        <f>0</f>
        <v>0</v>
      </c>
      <c r="AP158" s="2064">
        <f>0</f>
        <v>0</v>
      </c>
      <c r="AQ158" s="2064">
        <f>0</f>
        <v>0</v>
      </c>
      <c r="AR158" s="2064">
        <f>0</f>
        <v>0</v>
      </c>
      <c r="AS158" s="2064">
        <f>0</f>
        <v>0</v>
      </c>
      <c r="AT158" s="2064">
        <f>0</f>
        <v>0</v>
      </c>
      <c r="AU158" s="2064">
        <f>0</f>
        <v>0</v>
      </c>
      <c r="AV158" s="2064">
        <f>0</f>
        <v>0</v>
      </c>
      <c r="AW158" s="2064">
        <f>0</f>
        <v>0</v>
      </c>
      <c r="AX158" s="2064">
        <f>0</f>
        <v>0</v>
      </c>
      <c r="AY158" s="2064">
        <f>0</f>
        <v>0</v>
      </c>
      <c r="AZ158" s="2064">
        <f>0</f>
        <v>0</v>
      </c>
      <c r="BA158" s="2064">
        <f>0</f>
        <v>0</v>
      </c>
      <c r="BB158" s="2064">
        <f>0</f>
        <v>0</v>
      </c>
      <c r="BC158" s="2064">
        <f>0</f>
        <v>0</v>
      </c>
      <c r="BD158" s="2064">
        <f>0</f>
        <v>0</v>
      </c>
      <c r="BE158" s="2064">
        <f>0</f>
        <v>0</v>
      </c>
      <c r="BF158" s="2064">
        <f>0</f>
        <v>0</v>
      </c>
      <c r="BG158" s="2064">
        <f>0</f>
        <v>0</v>
      </c>
      <c r="BH158" s="2064">
        <f>0</f>
        <v>0</v>
      </c>
      <c r="BI158" s="2064">
        <f>0</f>
        <v>0</v>
      </c>
      <c r="BJ158" s="2064">
        <f>0</f>
        <v>0</v>
      </c>
      <c r="BK158" s="2064">
        <f>0</f>
        <v>0</v>
      </c>
      <c r="BL158" s="2064">
        <f>0</f>
        <v>0</v>
      </c>
      <c r="BM158" s="2064">
        <f>0</f>
        <v>0</v>
      </c>
      <c r="BN158" s="2064">
        <f>0</f>
        <v>0</v>
      </c>
      <c r="BO158" s="2064">
        <f>0</f>
        <v>0</v>
      </c>
      <c r="BP158" s="2121">
        <f>0</f>
        <v>0</v>
      </c>
      <c r="BQ158" s="2121">
        <f>0</f>
        <v>0</v>
      </c>
      <c r="BR158" s="2121">
        <f>0</f>
        <v>0</v>
      </c>
      <c r="BS158" s="2121">
        <f>0</f>
        <v>0</v>
      </c>
      <c r="BT158" s="2064">
        <f>0</f>
        <v>0</v>
      </c>
      <c r="BU158" s="2064">
        <f>0</f>
        <v>0</v>
      </c>
      <c r="BV158" s="2064">
        <f>0</f>
        <v>0</v>
      </c>
      <c r="BW158" s="2064">
        <f>0</f>
        <v>0</v>
      </c>
      <c r="BX158" s="2064">
        <f>0</f>
        <v>0</v>
      </c>
      <c r="BY158" s="2064">
        <f>0</f>
        <v>0</v>
      </c>
      <c r="BZ158" s="2064">
        <f>0</f>
        <v>0</v>
      </c>
      <c r="CA158" s="2064">
        <f>0</f>
        <v>0</v>
      </c>
      <c r="CB158" s="2064">
        <f>0</f>
        <v>0</v>
      </c>
      <c r="CC158" s="2064">
        <f>0</f>
        <v>0</v>
      </c>
      <c r="CD158" s="2064">
        <f>0</f>
        <v>0</v>
      </c>
      <c r="CE158" s="2064">
        <f>0</f>
        <v>0</v>
      </c>
      <c r="CF158" s="2064">
        <f>0</f>
        <v>0</v>
      </c>
      <c r="CG158" s="2064">
        <f>0</f>
        <v>0</v>
      </c>
      <c r="CH158" s="2064">
        <f>0</f>
        <v>0</v>
      </c>
      <c r="CI158" s="2144">
        <f>q_FLOC_T*X_BIO*M_satCU_KCU_FLOC+q_FLOC_HFO_T*X_HFO*M_satCU_KCU_FLOC_HFO*B_ellinhpH_FLOC_HFO+q_FLOC_HAO_T*X_HAO*M_satCU_KCU_FLOC_HAO*B_ellinhpH_FLOC_HAO</f>
        <v>5.6010669875314241</v>
      </c>
      <c r="CK158" s="1950">
        <f>E210*E158+F210*F158+G210*G158+H210*H158+I210*I158+J210*J158+K210*K158+L210*L158+M210*M158+N210*N158+O210*O158+P210*P158+Q210*Q158+R210*R158+S210*S158+T210*T158+U210*U158+V210*V158+W210*W158+X210*X158+Y210*Y158+Z210*Z158+AA210*AA158+AB210*AB158+AC210*AC158+AD210*AD158+AE210*AE158+AF210*AF158+AG210*AG158+AH210*AH158+AI210*AI158+AJ210*AJ158+AK210*AK158+AL210*AL158+AM210*AM158+AN210*AN158+AO210*AO158+AP210*AP158+AQ210*AQ158+AR210*AR158+AS210*AS158+AT210*AT158+AU210*AU158+AV210*AV158+AW210*AW158+AX210*AX158+AY210*AY158+AZ210*AZ158+BA210*BA158+BB210*BB158+BC210*BC158+BD210*BD158+BE210*BE158+BF210*BF158+BG210*BG158+BH210*BH158+BI210*BI158+BJ210*BJ158+BK210*BK158+BL210*BL158+BM210*BM158+BN210*BN158+BO210*BO158+BP210*BP158+BQ210*BQ158+BR210*BR158+BS210*BS158+BT210*BT158+BU210*BU158+BV210*BV158+BW210*BW158+BX210*BX158+BY210*BY158+BZ210*BZ158+CA210*CA158+CB210*CB158+CC210*CC158+CD210*CD158+CE210*CE158+CF210*CF158+CG210*CG158+CH210*CH158</f>
        <v>0</v>
      </c>
      <c r="CL158" s="1950">
        <f>E211*E158+F211*F158+G211*G158+H211*H158+I211*I158+J211*J158+K211*K158+L211*L158+M211*M158+N211*N158+O211*O158+P211*P158+Q211*Q158+R211*R158+S211*S158+T211*T158+U211*U158+V211*V158+W211*W158+X211*X158+Y211*Y158+Z211*Z158+AA211*AA158+AB211*AB158+AC211*AC158+AD211*AD158+AE211*AE158+AF211*AF158+AG211*AG158+AH211*AH158+AI211*AI158+AJ211*AJ158+AK211*AK158+AL211*AL158+AM211*AM158+AN211*AN158+AO211*AO158+AP211*AP158+AQ211*AQ158+AR211*AR158+AS211*AS158+AT211*AT158+AU211*AU158+AV211*AV158+AW211*AW158+AX211*AX158+AY211*AY158+AZ211*AZ158+BA211*BA158+BB211*BB158+BC211*BC158+BD211*BD158+BE211*BE158+BF211*BF158+BG211*BG158+BH211*BH158+BI211*BI158+BJ211*BJ158+BK211*BK158+BL211*BL158+BM211*BM158+BN211*BN158+BO211*BO158+BP211*BP158+BQ211*BQ158+BR211*BR158+BS211*BS158+BT211*BT158+BU211*BU158+BV211*BV158+BW211*BW158+BX211*BX158+BY211*BY158+BZ211*BZ158+CA211*CA158+CB211*CB158+CC211*CC158+CD211*CD158+CE211*CE158+CF211*CF158+CG211*CG158+CH211*CH158</f>
        <v>0</v>
      </c>
      <c r="CM158" s="1951">
        <f>E212*E158+F212*F158+G212*G158+H212*H158+I212*I158+J212*J158+K212*K158+L212*L158+M212*M158+N212*N158+O212*O158+P212*P158+Q212*Q158+R212*R158+S212*S158+T212*T158+U212*U158+V212*V158+W212*W158+X212*X158+Y212*Y158+Z212*Z158+AA212*AA158+AB212*AB158+AC212*AC158+AD212*AD158+AE212*AE158+AF212*AF158+AG212*AG158+AH212*AH158+AI212*AI158+AJ212*AJ158+AK212*AK158+AL212*AL158+AM212*AM158+AN212*AN158+AO212*AO158+AP212*AP158+AQ212*AQ158+AR212*AR158+AS212*AS158+AT212*AT158+AU212*AU158+AV212*AV158+AW212*AW158+AX212*AX158+AY212*AY158+AZ212*AZ158+BA212*BA158+BB212*BB158+BC212*BC158+BD212*BD158+BE212*BE158+BF212*BF158+BG212*BG158+BH212*BH158+BI212*BI158+BJ212*BJ158+BK212*BK158+BL212*BL158+BM212*BM158+BN212*BN158+BO212*BO158+BP212*BP158+BQ212*BQ158+BR212*BR158+BS212*BS158+BT212*BT158+BU212*BU158+BV212*BV158+BW212*BW158+BX212*BX158+BY212*BY158+BZ212*BZ158+CA212*CA158+CB212*CB158+CC212*CC158+CD212*CD158+CE212*CE158+CF212*CF158+CG212*CG158+CH212*CH158</f>
        <v>0</v>
      </c>
      <c r="CN158" s="1952">
        <f>E213*E158+F213*F158+G213*G158+H213*H158+I213*I158+J213*J158+K213*K158+L213*L158+M213*M158+N213*N158+O213*O158+P213*P158+Q213*Q158+R213*R158+S213*S158+T213*T158+U213*U158+V213*V158+W213*W158+X213*X158+Y213*Y158+Z213*Z158+AA213*AA158+AB213*AB158+AC213*AC158+AD213*AD158+AE213*AE158+AF213*AF158+AG213*AG158+AH213*AH158+AI213*AI158+AJ213*AJ158+AK213*AK158+AL213*AL158+AM213*AM158+AN213*AN158+AO213*AO158+AP213*AP158+AQ213*AQ158+AR213*AR158+AS213*AS158+AT213*AT158+AU213*AU158+AV213*AV158+AW213*AW158+AX213*AX158+AY213*AY158+AZ213*AZ158+BA213*BA158+BB213*BB158+BC213*BC158+BD213*BD158+BE213*BE158+BF213*BF158+BG213*BG158+BH213*BH158+BI213*BI158+BJ213*BJ158+BK213*BK158+BL213*BL158+BM213*BM158+BN213*BN158+BO213*BO158+BP213*BP158+BQ213*BQ158+BR213*BR158+BS213*BS158+BT213*BT158+BU213*BU158+BV213*BV158+BW213*BW158+BX213*BX158+BY213*BY158+BZ213*BZ158+CA213*CA158+CB213*CB158+CC213*CC158+CD213*CD158+CE213*CE158+CF213*CF158+CG213*CG158+CH213*CH158</f>
        <v>0</v>
      </c>
      <c r="CO158" s="1952">
        <f>E214*E158+F214*F158+G214*G158+H214*H158+I214*I158+J214*J158+K214*K158+L214*L158+M214*M158+N214*N158+O214*O158+P214*P158+Q214*Q158+R214*R158+S214*S158+T214*T158+U214*U158+V214*V158+W214*W158+X214*X158+Y214*Y158+Z214*Z158+AA214*AA158+AB214*AB158+AC214*AC158+AD214*AD158+AE214*AE158+AF214*AF158+AG214*AG158+AH214*AH158+AI214*AI158+AJ214*AJ158+AK214*AK158+AL214*AL158+AM214*AM158+AN214*AN158+AO214*AO158+AP214*AP158+AQ214*AQ158+AR214*AR158+AS214*AS158+AT214*AT158+AU214*AU158+AV214*AV158+AW214*AW158+AX214*AX158+AY214*AY158+AZ214*AZ158+BA214*BA158+BB214*BB158+BC214*BC158+BD214*BD158+BE214*BE158+BF214*BF158+BG214*BG158+BH214*BH158+BI214*BI158+BJ214*BJ158+BK214*BK158+BL214*BL158+BM214*BM158+BN214*BN158+BO214*BO158+BP214*BP158+BQ214*BQ158+BR214*BR158+BS214*BS158+BT214*BT158+BU214*BU158+BV214*BV158+BW214*BW158+BX214*BX158+BY214*BY158+BZ214*BZ158+CA214*CA158+CB214*CB158+CC214*CC158+CD214*CD158+CE214*CE158+CF214*CF158+CG214*CG158+CH214*CH158</f>
        <v>0</v>
      </c>
      <c r="CP158" s="1952">
        <f>E215*E158+F215*F158+G215*G158+H215*H158+I215*I158+J215*J158+K215*K158+L215*L158+M215*M158+N215*N158+O215*O158+P215*P158+Q215*Q158+R215*R158+S215*S158+T215*T158+U215*U158+V215*V158+W215*W158+X215*X158+Y215*Y158+Z215*Z158+AA215*AA158+AB215*AB158+AC215*AC158+AD215*AD158+AE215*AE158+AF215*AF158+AG215*AG158+AH215*AH158+AI215*AI158+AJ215*AJ158+AK215*AK158+AL215*AL158+AM215*AM158+AN215*AN158+AO215*AO158+AP215*AP158+AQ215*AQ158+AR215*AR158+AS215*AS158+AT215*AT158+AU215*AU158+AV215*AV158+AW215*AW158+AX215*AX158+AY215*AY158+AZ215*AZ158+BA215*BA158+BB215*BB158+BC215*BC158+BD215*BD158+BE215*BE158+BF215*BF158+BG215*BG158+BH215*BH158+BI215*BI158+BJ215*BJ158+BK215*BK158+BL215*BL158+BM215*BM158+BN215*BN158+BO215*BO158+BP215*BP158+BQ215*BQ158+BR215*BR158+BS215*BS158+BT215*BT158+BU215*BU158+BV215*BV158+BW215*BW158+BX215*BX158+BY215*BY158+BZ215*BZ158+CA215*CA158+CB215*CB158+CC215*CC158+CD215*CD158+CE215*CE158+CF215*CF158+CG215*CG158+CH215*CH158</f>
        <v>0</v>
      </c>
      <c r="CQ158" s="1952">
        <f>E216*E158+F216*F158+G216*G158+H216*H158+I216*I158+J216*J158+K216*K158+L216*L158+M216*M158+N216*N158+O216*O158+P216*P158+Q216*Q158+R216*R158+S216*S158+T216*T158+U216*U158+V216*V158+W216*W158+X216*X158+Y216*Y158+Z216*Z158+AA216*AA158+AB216*AB158+AC216*AC158+AD216*AD158+AE216*AE158+AF216*AF158+AG216*AG158+AH216*AH158+AI216*AI158+AJ216*AJ158+AK216*AK158+AL216*AL158+AM216*AM158+AN216*AN158+AO216*AO158+AP216*AP158+AQ216*AQ158+AR216*AR158+AS216*AS158+AT216*AT158+AU216*AU158+AV216*AV158+AW216*AW158+AX216*AX158+AY216*AY158+AZ216*AZ158+BA216*BA158+BB216*BB158+BC216*BC158+BD216*BD158+BE216*BE158+BF216*BF158+BG216*BG158+BH216*BH158+BI216*BI158+BJ216*BJ158+BK216*BK158+BL216*BL158+BM216*BM158+BN216*BN158+BO216*BO158+BP216*BP158+BQ216*BQ158+BR216*BR158+BS216*BS158+BT216*BT158+BU216*BU158+BV216*BV158+BW216*BW158+BX216*BX158+BY216*BY158+BZ216*BZ158+CA216*CA158+CB216*CB158+CC216*CC158+CD216*CD158+CE216*CE158+CF216*CF158+CG216*CG158+CH216*CH158</f>
        <v>0</v>
      </c>
      <c r="CR158" s="1952">
        <f>E217*E158+F217*F158+G217*G158+H217*H158+I217*I158+J217*J158+K217*K158+L217*L158+M217*M158+N217*N158+O217*O158+P217*P158+Q217*Q158+R217*R158+S217*S158+T217*T158+U217*U158+V217*V158+W217*W158+X217*X158+Y217*Y158+Z217*Z158+AA217*AA158+AB217*AB158+AC217*AC158+AD217*AD158+AE217*AE158+AF217*AF158+AG217*AG158+AH217*AH158+AI217*AI158+AJ217*AJ158+AK217*AK158+AL217*AL158+AM217*AM158+AN217*AN158+AO217*AO158+AP217*AP158+AQ217*AQ158+AR217*AR158+AS217*AS158+AT217*AT158+AU217*AU158+AV217*AV158+AW217*AW158+AX217*AX158+AY217*AY158+AZ217*AZ158+BA217*BA158+BB217*BB158+BC217*BC158+BD217*BD158+BE217*BE158+BF217*BF158+BG217*BG158+BH217*BH158+BI217*BI158+BJ217*BJ158+BK217*BK158+BL217*BL158+BM217*BM158+BN217*BN158+BO217*BO158+BP217*BP158+BQ217*BQ158+BR217*BR158+BS217*BS158+BT217*BT158+BU217*BU158+BV217*BV158+BW217*BW158+BX217*BX158+BY217*BY158+BZ217*BZ158+CA217*CA158+CB217*CB158+CC217*CC158+CD217*CD158+CE217*CE158+CF217*CF158+CG217*CG158+CH217*CH158</f>
        <v>0</v>
      </c>
      <c r="CS158" s="1952">
        <f>E218*E158+F218*F158+G218*G158+H218*H158+I218*I158+J218*J158+K218*K158+L218*L158+M218*M158+N218*N158+O218*O158+P218*P158+Q218*Q158+R218*R158+S218*S158+T218*T158+U218*U158+V218*V158+W218*W158+X218*X158+Y218*Y158+Z218*Z158+AA218*AA158+AB218*AB158+AC218*AC158+AD218*AD158+AE218*AE158+AF218*AF158+AG218*AG158+AH218*AH158+AI218*AI158+AJ218*AJ158+AK218*AK158+AL218*AL158+AM218*AM158+AN218*AN158+AO218*AO158+AP218*AP158+AQ218*AQ158+AR218*AR158+AS218*AS158+AT218*AT158+AU218*AU158+AV218*AV158+AW218*AW158+AX218*AX158+AY218*AY158+AZ218*AZ158+BA218*BA158+BB218*BB158+BC218*BC158+BD218*BD158+BE218*BE158+BF218*BF158+BG218*BG158+BH218*BH158+BI218*BI158+BJ218*BJ158+BK218*BK158+BL218*BL158+BM218*BM158+BN218*BN158+BO218*BO158+BP218*BP158+BQ218*BQ158+BR218*BR158+BS218*BS158+BT218*BT158+BU218*BU158+BV218*BV158+BW218*BW158+BX218*BX158+BY218*BY158+BZ218*BZ158+CA218*CA158+CB218*CB158+CC218*CC158+CD218*CD158+CE218*CE158+CF218*CF158+CG218*CG158+CH218*CH158</f>
        <v>0</v>
      </c>
      <c r="CT158" s="1952">
        <f>E219*E158+F219*F158+G219*G158+H219*H158+I219*I158+J219*J158+K219*K158+L219*L158+M219*M158+N219*N158+O219*O158+P219*P158+Q219*Q158+R219*R158+S219*S158+T219*T158+U219*U158+V219*V158+W219*W158+X219*X158+Y219*Y158+Z219*Z158+AA219*AA158+AB219*AB158+AC219*AC158+AD219*AD158+AE219*AE158+AF219*AF158+AG219*AG158+AH219*AH158+AI219*AI158+AJ219*AJ158+AK219*AK158+AL219*AL158+AM219*AM158+AN219*AN158+AO219*AO158+AP219*AP158+AQ219*AQ158+AR219*AR158+AS219*AS158+AT219*AT158+AU219*AU158+AV219*AV158+AW219*AW158+AX219*AX158+AY219*AY158+AZ219*AZ158+BA219*BA158+BB219*BB158+BC219*BC158+BD219*BD158+BE219*BE158+BF219*BF158+BG219*BG158+BH219*BH158+BI219*BI158+BJ219*BJ158+BK219*BK158+BL219*BL158+BM219*BM158+BN219*BN158+BO219*BO158+BP219*BP158+BQ219*BQ158+BR219*BR158+BS219*BS158+BT219*BT158+BU219*BU158+BV219*BV158+BW219*BW158+BX219*BX158+BY219*BY158+BZ219*BZ158+CA219*CA158+CB219*CB158+CC219*CC158+CD219*CD158+CE219*CE158+CF219*CF158+CG219*CG158+CH219*CH158</f>
        <v>0</v>
      </c>
      <c r="CU158" s="1952">
        <f>E220*E158+F220*F158+G220*G158+H220*H158+I220*I158+J220*J158+K220*K158+L220*L158+M220*M158+N220*N158+O220*O158+P220*P158+Q220*Q158+R220*R158+S220*S158+T220*T158+U220*U158+V220*V158+W220*W158+X220*X158+Y220*Y158+Z220*Z158+AA220*AA158+AB220*AB158+AC220*AC158+AD220*AD158+AE220*AE158+AF220*AF158+AG220*AG158+AH220*AH158+AI220*AI158+AJ220*AJ158+AK220*AK158+AL220*AL158+AM220*AM158+AN220*AN158+AO220*AO158+AP220*AP158+AQ220*AQ158+AR220*AR158+AS220*AS158+AT220*AT158+AU220*AU158+AV220*AV158+AW220*AW158+AX220*AX158+AY220*AY158+AZ220*AZ158+BA220*BA158+BB220*BB158+BC220*BC158+BD220*BD158+BE220*BE158+BF220*BF158+BG220*BG158+BH220*BH158+BI220*BI158+BJ220*BJ158+BK220*BK158+BL220*BL158+BM220*BM158+BN220*BN158+BO220*BO158+BP220*BP158+BQ220*BQ158+BR220*BR158+BS220*BS158+BT220*BT158+BU220*BU158+BV220*BV158+BW220*BW158+BX220*BX158+BY220*BY158+BZ220*BZ158+CA220*CA158+CB220*CB158+CC220*CC158+CD220*CD158+CE220*CE158+CF220*CF158+CG220*CG158+CH220*CH158</f>
        <v>0</v>
      </c>
    </row>
    <row r="159" spans="2:99" ht="18" x14ac:dyDescent="0.25">
      <c r="B159" s="1046">
        <v>45</v>
      </c>
      <c r="C159" s="1124" t="s">
        <v>444</v>
      </c>
      <c r="D159" s="1125" t="s">
        <v>3067</v>
      </c>
      <c r="E159" s="2064">
        <f>0</f>
        <v>0</v>
      </c>
      <c r="F159" s="2064">
        <f>0</f>
        <v>0</v>
      </c>
      <c r="G159" s="2064">
        <f>0</f>
        <v>0</v>
      </c>
      <c r="H159" s="2064">
        <f>-1</f>
        <v>-1</v>
      </c>
      <c r="I159" s="2065">
        <f>1</f>
        <v>1</v>
      </c>
      <c r="J159" s="2065">
        <f>0</f>
        <v>0</v>
      </c>
      <c r="K159" s="2064">
        <f>0</f>
        <v>0</v>
      </c>
      <c r="L159" s="2064">
        <f>0</f>
        <v>0</v>
      </c>
      <c r="M159" s="2064">
        <f>0</f>
        <v>0</v>
      </c>
      <c r="N159" s="2064">
        <f>0</f>
        <v>0</v>
      </c>
      <c r="O159" s="2064">
        <f>0</f>
        <v>0</v>
      </c>
      <c r="P159" s="2064">
        <f>0</f>
        <v>0</v>
      </c>
      <c r="Q159" s="2064">
        <f>0</f>
        <v>0</v>
      </c>
      <c r="R159" s="2064">
        <f>0</f>
        <v>0</v>
      </c>
      <c r="S159" s="2064">
        <f>0</f>
        <v>0</v>
      </c>
      <c r="T159" s="2064">
        <f>0</f>
        <v>0</v>
      </c>
      <c r="U159" s="2064">
        <f>0</f>
        <v>0</v>
      </c>
      <c r="V159" s="2064">
        <f>0</f>
        <v>0</v>
      </c>
      <c r="W159" s="2064">
        <f>0</f>
        <v>0</v>
      </c>
      <c r="X159" s="2064">
        <f>0</f>
        <v>0</v>
      </c>
      <c r="Y159" s="2064">
        <f>0</f>
        <v>0</v>
      </c>
      <c r="Z159" s="2064">
        <f>0</f>
        <v>0</v>
      </c>
      <c r="AA159" s="2064">
        <f>0</f>
        <v>0</v>
      </c>
      <c r="AB159" s="2064">
        <f>0</f>
        <v>0</v>
      </c>
      <c r="AC159" s="2065">
        <f>i_N_CB</f>
        <v>0.01</v>
      </c>
      <c r="AD159" s="2065">
        <f>0</f>
        <v>0</v>
      </c>
      <c r="AE159" s="2064">
        <f>0</f>
        <v>0</v>
      </c>
      <c r="AF159" s="2064">
        <f>0</f>
        <v>0</v>
      </c>
      <c r="AG159" s="2064">
        <f>0</f>
        <v>0</v>
      </c>
      <c r="AH159" s="2064">
        <f>0</f>
        <v>0</v>
      </c>
      <c r="AI159" s="2065">
        <f>i_P_CB</f>
        <v>2E-3</v>
      </c>
      <c r="AJ159" s="2065">
        <f>0</f>
        <v>0</v>
      </c>
      <c r="AK159" s="2064">
        <f>0</f>
        <v>0</v>
      </c>
      <c r="AL159" s="2064">
        <f>0</f>
        <v>0</v>
      </c>
      <c r="AM159" s="2064">
        <f>0</f>
        <v>0</v>
      </c>
      <c r="AN159" s="2064">
        <f>0</f>
        <v>0</v>
      </c>
      <c r="AO159" s="2064">
        <f>0</f>
        <v>0</v>
      </c>
      <c r="AP159" s="2064">
        <f>0</f>
        <v>0</v>
      </c>
      <c r="AQ159" s="2064">
        <f>0</f>
        <v>0</v>
      </c>
      <c r="AR159" s="2064">
        <f>0</f>
        <v>0</v>
      </c>
      <c r="AS159" s="2064">
        <f>0</f>
        <v>0</v>
      </c>
      <c r="AT159" s="2064">
        <f>0</f>
        <v>0</v>
      </c>
      <c r="AU159" s="2064">
        <f>0</f>
        <v>0</v>
      </c>
      <c r="AV159" s="2064">
        <f>0</f>
        <v>0</v>
      </c>
      <c r="AW159" s="2064">
        <f>0</f>
        <v>0</v>
      </c>
      <c r="AX159" s="2064">
        <f>0</f>
        <v>0</v>
      </c>
      <c r="AY159" s="2064">
        <f>0</f>
        <v>0</v>
      </c>
      <c r="AZ159" s="2064">
        <f>0</f>
        <v>0</v>
      </c>
      <c r="BA159" s="2064">
        <f>0</f>
        <v>0</v>
      </c>
      <c r="BB159" s="2064">
        <f>0</f>
        <v>0</v>
      </c>
      <c r="BC159" s="2064">
        <f>0</f>
        <v>0</v>
      </c>
      <c r="BD159" s="2064">
        <f>0</f>
        <v>0</v>
      </c>
      <c r="BE159" s="2064">
        <f>0</f>
        <v>0</v>
      </c>
      <c r="BF159" s="2064">
        <f>0</f>
        <v>0</v>
      </c>
      <c r="BG159" s="2064">
        <f>0</f>
        <v>0</v>
      </c>
      <c r="BH159" s="2064">
        <f>0</f>
        <v>0</v>
      </c>
      <c r="BI159" s="2064">
        <f>0</f>
        <v>0</v>
      </c>
      <c r="BJ159" s="2064">
        <f>0</f>
        <v>0</v>
      </c>
      <c r="BK159" s="2064">
        <f>0</f>
        <v>0</v>
      </c>
      <c r="BL159" s="2064">
        <f>0</f>
        <v>0</v>
      </c>
      <c r="BM159" s="2064">
        <f>0</f>
        <v>0</v>
      </c>
      <c r="BN159" s="2064">
        <f>0</f>
        <v>0</v>
      </c>
      <c r="BO159" s="2064">
        <f>0</f>
        <v>0</v>
      </c>
      <c r="BP159" s="2121">
        <f>0</f>
        <v>0</v>
      </c>
      <c r="BQ159" s="2121">
        <f>0</f>
        <v>0</v>
      </c>
      <c r="BR159" s="2121">
        <f>0</f>
        <v>0</v>
      </c>
      <c r="BS159" s="2121">
        <f>0</f>
        <v>0</v>
      </c>
      <c r="BT159" s="2064">
        <f>0</f>
        <v>0</v>
      </c>
      <c r="BU159" s="2064">
        <f>0</f>
        <v>0</v>
      </c>
      <c r="BV159" s="2064">
        <f>0</f>
        <v>0</v>
      </c>
      <c r="BW159" s="2064">
        <f>0</f>
        <v>0</v>
      </c>
      <c r="BX159" s="2064">
        <f>0</f>
        <v>0</v>
      </c>
      <c r="BY159" s="2064">
        <f>0</f>
        <v>0</v>
      </c>
      <c r="BZ159" s="2064">
        <f>0</f>
        <v>0</v>
      </c>
      <c r="CA159" s="2064">
        <f>0</f>
        <v>0</v>
      </c>
      <c r="CB159" s="2064">
        <f>0</f>
        <v>0</v>
      </c>
      <c r="CC159" s="2064">
        <f>0</f>
        <v>0</v>
      </c>
      <c r="CD159" s="2064">
        <f>0</f>
        <v>0</v>
      </c>
      <c r="CE159" s="2064">
        <f>0</f>
        <v>0</v>
      </c>
      <c r="CF159" s="2064">
        <f>0</f>
        <v>0</v>
      </c>
      <c r="CG159" s="2064">
        <f>0</f>
        <v>0</v>
      </c>
      <c r="CH159" s="2064">
        <f>0</f>
        <v>0</v>
      </c>
      <c r="CI159" s="2145">
        <f>r_ateFLOC_CB_polymer</f>
        <v>0</v>
      </c>
      <c r="CK159" s="1950">
        <f>E210*E159+F210*F159+G210*G159+H210*H159+I210*I159+J210*J159+K210*K159+L210*L159+M210*M159+N210*N159+O210*O159+P210*P159+Q210*Q159+R210*R159+S210*S159+T210*T159+U210*U159+V210*V159+W210*W159+X210*X159+Y210*Y159+Z210*Z159+AA210*AA159+AB210*AB159+AC210*AC159+AD210*AD159+AE210*AE159+AF210*AF159+AG210*AG159+AH210*AH159+AI210*AI159+AJ210*AJ159+AK210*AK159+AL210*AL159+AM210*AM159+AN210*AN159+AO210*AO159+AP210*AP159+AQ210*AQ159+AR210*AR159+AS210*AS159+AT210*AT159+AU210*AU159+AV210*AV159+AW210*AW159+AX210*AX159+AY210*AY159+AZ210*AZ159+BA210*BA159+BB210*BB159+BC210*BC159+BD210*BD159+BE210*BE159+BF210*BF159+BG210*BG159+BH210*BH159+BI210*BI159+BJ210*BJ159+BK210*BK159+BL210*BL159+BM210*BM159+BN210*BN159+BO210*BO159+BP210*BP159+BQ210*BQ159+BR210*BR159+BS210*BS159+BT210*BT159+BU210*BU159+BV210*BV159+BW210*BW159+BX210*BX159+BY210*BY159+BZ210*BZ159+CA210*CA159+CB210*CB159+CC210*CC159+CD210*CD159+CE210*CE159+CF210*CF159+CG210*CG159+CH210*CH159</f>
        <v>0</v>
      </c>
      <c r="CL159" s="1950">
        <f>E211*E159+F211*F159+G211*G159+H211*H159+I211*I159+J211*J159+K211*K159+L211*L159+M211*M159+N211*N159+O211*O159+P211*P159+Q211*Q159+R211*R159+S211*S159+T211*T159+U211*U159+V211*V159+W211*W159+X211*X159+Y211*Y159+Z211*Z159+AA211*AA159+AB211*AB159+AC211*AC159+AD211*AD159+AE211*AE159+AF211*AF159+AG211*AG159+AH211*AH159+AI211*AI159+AJ211*AJ159+AK211*AK159+AL211*AL159+AM211*AM159+AN211*AN159+AO211*AO159+AP211*AP159+AQ211*AQ159+AR211*AR159+AS211*AS159+AT211*AT159+AU211*AU159+AV211*AV159+AW211*AW159+AX211*AX159+AY211*AY159+AZ211*AZ159+BA211*BA159+BB211*BB159+BC211*BC159+BD211*BD159+BE211*BE159+BF211*BF159+BG211*BG159+BH211*BH159+BI211*BI159+BJ211*BJ159+BK211*BK159+BL211*BL159+BM211*BM159+BN211*BN159+BO211*BO159+BP211*BP159+BQ211*BQ159+BR211*BR159+BS211*BS159+BT211*BT159+BU211*BU159+BV211*BV159+BW211*BW159+BX211*BX159+BY211*BY159+BZ211*BZ159+CA211*CA159+CB211*CB159+CC211*CC159+CD211*CD159+CE211*CE159+CF211*CF159+CG211*CG159+CH211*CH159</f>
        <v>0</v>
      </c>
      <c r="CM159" s="1951">
        <f>E212*E159+F212*F159+G212*G159+H212*H159+I212*I159+J212*J159+K212*K159+L212*L159+M212*M159+N212*N159+O212*O159+P212*P159+Q212*Q159+R212*R159+S212*S159+T212*T159+U212*U159+V212*V159+W212*W159+X212*X159+Y212*Y159+Z212*Z159+AA212*AA159+AB212*AB159+AC212*AC159+AD212*AD159+AE212*AE159+AF212*AF159+AG212*AG159+AH212*AH159+AI212*AI159+AJ212*AJ159+AK212*AK159+AL212*AL159+AM212*AM159+AN212*AN159+AO212*AO159+AP212*AP159+AQ212*AQ159+AR212*AR159+AS212*AS159+AT212*AT159+AU212*AU159+AV212*AV159+AW212*AW159+AX212*AX159+AY212*AY159+AZ212*AZ159+BA212*BA159+BB212*BB159+BC212*BC159+BD212*BD159+BE212*BE159+BF212*BF159+BG212*BG159+BH212*BH159+BI212*BI159+BJ212*BJ159+BK212*BK159+BL212*BL159+BM212*BM159+BN212*BN159+BO212*BO159+BP212*BP159+BQ212*BQ159+BR212*BR159+BS212*BS159+BT212*BT159+BU212*BU159+BV212*BV159+BW212*BW159+BX212*BX159+BY212*BY159+BZ212*BZ159+CA212*CA159+CB212*CB159+CC212*CC159+CD212*CD159+CE212*CE159+CF212*CF159+CG212*CG159+CH212*CH159</f>
        <v>0</v>
      </c>
      <c r="CN159" s="1952">
        <f>E213*E159+F213*F159+G213*G159+H213*H159+I213*I159+J213*J159+K213*K159+L213*L159+M213*M159+N213*N159+O213*O159+P213*P159+Q213*Q159+R213*R159+S213*S159+T213*T159+U213*U159+V213*V159+W213*W159+X213*X159+Y213*Y159+Z213*Z159+AA213*AA159+AB213*AB159+AC213*AC159+AD213*AD159+AE213*AE159+AF213*AF159+AG213*AG159+AH213*AH159+AI213*AI159+AJ213*AJ159+AK213*AK159+AL213*AL159+AM213*AM159+AN213*AN159+AO213*AO159+AP213*AP159+AQ213*AQ159+AR213*AR159+AS213*AS159+AT213*AT159+AU213*AU159+AV213*AV159+AW213*AW159+AX213*AX159+AY213*AY159+AZ213*AZ159+BA213*BA159+BB213*BB159+BC213*BC159+BD213*BD159+BE213*BE159+BF213*BF159+BG213*BG159+BH213*BH159+BI213*BI159+BJ213*BJ159+BK213*BK159+BL213*BL159+BM213*BM159+BN213*BN159+BO213*BO159+BP213*BP159+BQ213*BQ159+BR213*BR159+BS213*BS159+BT213*BT159+BU213*BU159+BV213*BV159+BW213*BW159+BX213*BX159+BY213*BY159+BZ213*BZ159+CA213*CA159+CB213*CB159+CC213*CC159+CD213*CD159+CE213*CE159+CF213*CF159+CG213*CG159+CH213*CH159</f>
        <v>0</v>
      </c>
      <c r="CO159" s="1952">
        <f>E214*E159+F214*F159+G214*G159+H214*H159+I214*I159+J214*J159+K214*K159+L214*L159+M214*M159+N214*N159+O214*O159+P214*P159+Q214*Q159+R214*R159+S214*S159+T214*T159+U214*U159+V214*V159+W214*W159+X214*X159+Y214*Y159+Z214*Z159+AA214*AA159+AB214*AB159+AC214*AC159+AD214*AD159+AE214*AE159+AF214*AF159+AG214*AG159+AH214*AH159+AI214*AI159+AJ214*AJ159+AK214*AK159+AL214*AL159+AM214*AM159+AN214*AN159+AO214*AO159+AP214*AP159+AQ214*AQ159+AR214*AR159+AS214*AS159+AT214*AT159+AU214*AU159+AV214*AV159+AW214*AW159+AX214*AX159+AY214*AY159+AZ214*AZ159+BA214*BA159+BB214*BB159+BC214*BC159+BD214*BD159+BE214*BE159+BF214*BF159+BG214*BG159+BH214*BH159+BI214*BI159+BJ214*BJ159+BK214*BK159+BL214*BL159+BM214*BM159+BN214*BN159+BO214*BO159+BP214*BP159+BQ214*BQ159+BR214*BR159+BS214*BS159+BT214*BT159+BU214*BU159+BV214*BV159+BW214*BW159+BX214*BX159+BY214*BY159+BZ214*BZ159+CA214*CA159+CB214*CB159+CC214*CC159+CD214*CD159+CE214*CE159+CF214*CF159+CG214*CG159+CH214*CH159</f>
        <v>0</v>
      </c>
      <c r="CP159" s="1952">
        <f>E215*E159+F215*F159+G215*G159+H215*H159+I215*I159+J215*J159+K215*K159+L215*L159+M215*M159+N215*N159+O215*O159+P215*P159+Q215*Q159+R215*R159+S215*S159+T215*T159+U215*U159+V215*V159+W215*W159+X215*X159+Y215*Y159+Z215*Z159+AA215*AA159+AB215*AB159+AC215*AC159+AD215*AD159+AE215*AE159+AF215*AF159+AG215*AG159+AH215*AH159+AI215*AI159+AJ215*AJ159+AK215*AK159+AL215*AL159+AM215*AM159+AN215*AN159+AO215*AO159+AP215*AP159+AQ215*AQ159+AR215*AR159+AS215*AS159+AT215*AT159+AU215*AU159+AV215*AV159+AW215*AW159+AX215*AX159+AY215*AY159+AZ215*AZ159+BA215*BA159+BB215*BB159+BC215*BC159+BD215*BD159+BE215*BE159+BF215*BF159+BG215*BG159+BH215*BH159+BI215*BI159+BJ215*BJ159+BK215*BK159+BL215*BL159+BM215*BM159+BN215*BN159+BO215*BO159+BP215*BP159+BQ215*BQ159+BR215*BR159+BS215*BS159+BT215*BT159+BU215*BU159+BV215*BV159+BW215*BW159+BX215*BX159+BY215*BY159+BZ215*BZ159+CA215*CA159+CB215*CB159+CC215*CC159+CD215*CD159+CE215*CE159+CF215*CF159+CG215*CG159+CH215*CH159</f>
        <v>0</v>
      </c>
      <c r="CQ159" s="1952">
        <f>E216*E159+F216*F159+G216*G159+H216*H159+I216*I159+J216*J159+K216*K159+L216*L159+M216*M159+N216*N159+O216*O159+P216*P159+Q216*Q159+R216*R159+S216*S159+T216*T159+U216*U159+V216*V159+W216*W159+X216*X159+Y216*Y159+Z216*Z159+AA216*AA159+AB216*AB159+AC216*AC159+AD216*AD159+AE216*AE159+AF216*AF159+AG216*AG159+AH216*AH159+AI216*AI159+AJ216*AJ159+AK216*AK159+AL216*AL159+AM216*AM159+AN216*AN159+AO216*AO159+AP216*AP159+AQ216*AQ159+AR216*AR159+AS216*AS159+AT216*AT159+AU216*AU159+AV216*AV159+AW216*AW159+AX216*AX159+AY216*AY159+AZ216*AZ159+BA216*BA159+BB216*BB159+BC216*BC159+BD216*BD159+BE216*BE159+BF216*BF159+BG216*BG159+BH216*BH159+BI216*BI159+BJ216*BJ159+BK216*BK159+BL216*BL159+BM216*BM159+BN216*BN159+BO216*BO159+BP216*BP159+BQ216*BQ159+BR216*BR159+BS216*BS159+BT216*BT159+BU216*BU159+BV216*BV159+BW216*BW159+BX216*BX159+BY216*BY159+BZ216*BZ159+CA216*CA159+CB216*CB159+CC216*CC159+CD216*CD159+CE216*CE159+CF216*CF159+CG216*CG159+CH216*CH159</f>
        <v>0</v>
      </c>
      <c r="CR159" s="1952">
        <f>E217*E159+F217*F159+G217*G159+H217*H159+I217*I159+J217*J159+K217*K159+L217*L159+M217*M159+N217*N159+O217*O159+P217*P159+Q217*Q159+R217*R159+S217*S159+T217*T159+U217*U159+V217*V159+W217*W159+X217*X159+Y217*Y159+Z217*Z159+AA217*AA159+AB217*AB159+AC217*AC159+AD217*AD159+AE217*AE159+AF217*AF159+AG217*AG159+AH217*AH159+AI217*AI159+AJ217*AJ159+AK217*AK159+AL217*AL159+AM217*AM159+AN217*AN159+AO217*AO159+AP217*AP159+AQ217*AQ159+AR217*AR159+AS217*AS159+AT217*AT159+AU217*AU159+AV217*AV159+AW217*AW159+AX217*AX159+AY217*AY159+AZ217*AZ159+BA217*BA159+BB217*BB159+BC217*BC159+BD217*BD159+BE217*BE159+BF217*BF159+BG217*BG159+BH217*BH159+BI217*BI159+BJ217*BJ159+BK217*BK159+BL217*BL159+BM217*BM159+BN217*BN159+BO217*BO159+BP217*BP159+BQ217*BQ159+BR217*BR159+BS217*BS159+BT217*BT159+BU217*BU159+BV217*BV159+BW217*BW159+BX217*BX159+BY217*BY159+BZ217*BZ159+CA217*CA159+CB217*CB159+CC217*CC159+CD217*CD159+CE217*CE159+CF217*CF159+CG217*CG159+CH217*CH159</f>
        <v>0</v>
      </c>
      <c r="CS159" s="1952">
        <f>E218*E159+F218*F159+G218*G159+H218*H159+I218*I159+J218*J159+K218*K159+L218*L159+M218*M159+N218*N159+O218*O159+P218*P159+Q218*Q159+R218*R159+S218*S159+T218*T159+U218*U159+V218*V159+W218*W159+X218*X159+Y218*Y159+Z218*Z159+AA218*AA159+AB218*AB159+AC218*AC159+AD218*AD159+AE218*AE159+AF218*AF159+AG218*AG159+AH218*AH159+AI218*AI159+AJ218*AJ159+AK218*AK159+AL218*AL159+AM218*AM159+AN218*AN159+AO218*AO159+AP218*AP159+AQ218*AQ159+AR218*AR159+AS218*AS159+AT218*AT159+AU218*AU159+AV218*AV159+AW218*AW159+AX218*AX159+AY218*AY159+AZ218*AZ159+BA218*BA159+BB218*BB159+BC218*BC159+BD218*BD159+BE218*BE159+BF218*BF159+BG218*BG159+BH218*BH159+BI218*BI159+BJ218*BJ159+BK218*BK159+BL218*BL159+BM218*BM159+BN218*BN159+BO218*BO159+BP218*BP159+BQ218*BQ159+BR218*BR159+BS218*BS159+BT218*BT159+BU218*BU159+BV218*BV159+BW218*BW159+BX218*BX159+BY218*BY159+BZ218*BZ159+CA218*CA159+CB218*CB159+CC218*CC159+CD218*CD159+CE218*CE159+CF218*CF159+CG218*CG159+CH218*CH159</f>
        <v>0</v>
      </c>
      <c r="CT159" s="1952">
        <f>E219*E159+F219*F159+G219*G159+H219*H159+I219*I159+J219*J159+K219*K159+L219*L159+M219*M159+N219*N159+O219*O159+P219*P159+Q219*Q159+R219*R159+S219*S159+T219*T159+U219*U159+V219*V159+W219*W159+X219*X159+Y219*Y159+Z219*Z159+AA219*AA159+AB219*AB159+AC219*AC159+AD219*AD159+AE219*AE159+AF219*AF159+AG219*AG159+AH219*AH159+AI219*AI159+AJ219*AJ159+AK219*AK159+AL219*AL159+AM219*AM159+AN219*AN159+AO219*AO159+AP219*AP159+AQ219*AQ159+AR219*AR159+AS219*AS159+AT219*AT159+AU219*AU159+AV219*AV159+AW219*AW159+AX219*AX159+AY219*AY159+AZ219*AZ159+BA219*BA159+BB219*BB159+BC219*BC159+BD219*BD159+BE219*BE159+BF219*BF159+BG219*BG159+BH219*BH159+BI219*BI159+BJ219*BJ159+BK219*BK159+BL219*BL159+BM219*BM159+BN219*BN159+BO219*BO159+BP219*BP159+BQ219*BQ159+BR219*BR159+BS219*BS159+BT219*BT159+BU219*BU159+BV219*BV159+BW219*BW159+BX219*BX159+BY219*BY159+BZ219*BZ159+CA219*CA159+CB219*CB159+CC219*CC159+CD219*CD159+CE219*CE159+CF219*CF159+CG219*CG159+CH219*CH159</f>
        <v>0</v>
      </c>
      <c r="CU159" s="1952">
        <f>E220*E159+F220*F159+G220*G159+H220*H159+I220*I159+J220*J159+K220*K159+L220*L159+M220*M159+N220*N159+O220*O159+P220*P159+Q220*Q159+R220*R159+S220*S159+T220*T159+U220*U159+V220*V159+W220*W159+X220*X159+Y220*Y159+Z220*Z159+AA220*AA159+AB220*AB159+AC220*AC159+AD220*AD159+AE220*AE159+AF220*AF159+AG220*AG159+AH220*AH159+AI220*AI159+AJ220*AJ159+AK220*AK159+AL220*AL159+AM220*AM159+AN220*AN159+AO220*AO159+AP220*AP159+AQ220*AQ159+AR220*AR159+AS220*AS159+AT220*AT159+AU220*AU159+AV220*AV159+AW220*AW159+AX220*AX159+AY220*AY159+AZ220*AZ159+BA220*BA159+BB220*BB159+BC220*BC159+BD220*BD159+BE220*BE159+BF220*BF159+BG220*BG159+BH220*BH159+BI220*BI159+BJ220*BJ159+BK220*BK159+BL220*BL159+BM220*BM159+BN220*BN159+BO220*BO159+BP220*BP159+BQ220*BQ159+BR220*BR159+BS220*BS159+BT220*BT159+BU220*BU159+BV220*BV159+BW220*BW159+BX220*BX159+BY220*BY159+BZ220*BZ159+CA220*CA159+CB220*CB159+CC220*CC159+CD220*CD159+CE220*CE159+CF220*CF159+CG220*CG159+CH220*CH159</f>
        <v>0</v>
      </c>
    </row>
    <row r="160" spans="2:99" ht="18" x14ac:dyDescent="0.25">
      <c r="B160" s="1046">
        <v>46</v>
      </c>
      <c r="C160" s="1124" t="s">
        <v>445</v>
      </c>
      <c r="D160" s="1125" t="s">
        <v>3068</v>
      </c>
      <c r="E160" s="2064">
        <f>0</f>
        <v>0</v>
      </c>
      <c r="F160" s="2064">
        <f>0</f>
        <v>0</v>
      </c>
      <c r="G160" s="2064">
        <f>0</f>
        <v>0</v>
      </c>
      <c r="H160" s="2064">
        <f>0</f>
        <v>0</v>
      </c>
      <c r="I160" s="2065">
        <f>0</f>
        <v>0</v>
      </c>
      <c r="J160" s="2065">
        <f>0</f>
        <v>0</v>
      </c>
      <c r="K160" s="2064">
        <f>0</f>
        <v>0</v>
      </c>
      <c r="L160" s="2064">
        <f>-1</f>
        <v>-1</v>
      </c>
      <c r="M160" s="2064">
        <f>1</f>
        <v>1</v>
      </c>
      <c r="N160" s="2064">
        <f>0</f>
        <v>0</v>
      </c>
      <c r="O160" s="2064">
        <f>0</f>
        <v>0</v>
      </c>
      <c r="P160" s="2064">
        <f>0</f>
        <v>0</v>
      </c>
      <c r="Q160" s="2064">
        <f>0</f>
        <v>0</v>
      </c>
      <c r="R160" s="2064">
        <f>0</f>
        <v>0</v>
      </c>
      <c r="S160" s="2064">
        <f>0</f>
        <v>0</v>
      </c>
      <c r="T160" s="2064">
        <f>0</f>
        <v>0</v>
      </c>
      <c r="U160" s="2064">
        <f>0</f>
        <v>0</v>
      </c>
      <c r="V160" s="2064">
        <f>0</f>
        <v>0</v>
      </c>
      <c r="W160" s="2064">
        <f>0</f>
        <v>0</v>
      </c>
      <c r="X160" s="2064">
        <f>0</f>
        <v>0</v>
      </c>
      <c r="Y160" s="2064">
        <f>0</f>
        <v>0</v>
      </c>
      <c r="Z160" s="2064">
        <f>0</f>
        <v>0</v>
      </c>
      <c r="AA160" s="2064">
        <f>0</f>
        <v>0</v>
      </c>
      <c r="AB160" s="2064">
        <f>0</f>
        <v>0</v>
      </c>
      <c r="AC160" s="2065">
        <f>0</f>
        <v>0</v>
      </c>
      <c r="AD160" s="2065">
        <f>0</f>
        <v>0</v>
      </c>
      <c r="AE160" s="2064">
        <f>i_N_CU</f>
        <v>0.01</v>
      </c>
      <c r="AF160" s="2064">
        <f>0</f>
        <v>0</v>
      </c>
      <c r="AG160" s="2064">
        <f>0</f>
        <v>0</v>
      </c>
      <c r="AH160" s="2064">
        <f>0</f>
        <v>0</v>
      </c>
      <c r="AI160" s="2065">
        <f>0</f>
        <v>0</v>
      </c>
      <c r="AJ160" s="2065">
        <f>0</f>
        <v>0</v>
      </c>
      <c r="AK160" s="2064">
        <f>i_P_CU</f>
        <v>2E-3</v>
      </c>
      <c r="AL160" s="2064">
        <f>0</f>
        <v>0</v>
      </c>
      <c r="AM160" s="2064">
        <f>0</f>
        <v>0</v>
      </c>
      <c r="AN160" s="2064">
        <f>0</f>
        <v>0</v>
      </c>
      <c r="AO160" s="2064">
        <f>0</f>
        <v>0</v>
      </c>
      <c r="AP160" s="2064">
        <f>0</f>
        <v>0</v>
      </c>
      <c r="AQ160" s="2064">
        <f>0</f>
        <v>0</v>
      </c>
      <c r="AR160" s="2064">
        <f>0</f>
        <v>0</v>
      </c>
      <c r="AS160" s="2064">
        <f>0</f>
        <v>0</v>
      </c>
      <c r="AT160" s="2064">
        <f>0</f>
        <v>0</v>
      </c>
      <c r="AU160" s="2064">
        <f>0</f>
        <v>0</v>
      </c>
      <c r="AV160" s="2064">
        <f>0</f>
        <v>0</v>
      </c>
      <c r="AW160" s="2064">
        <f>0</f>
        <v>0</v>
      </c>
      <c r="AX160" s="2064">
        <f>0</f>
        <v>0</v>
      </c>
      <c r="AY160" s="2064">
        <f>0</f>
        <v>0</v>
      </c>
      <c r="AZ160" s="2064">
        <f>0</f>
        <v>0</v>
      </c>
      <c r="BA160" s="2064">
        <f>0</f>
        <v>0</v>
      </c>
      <c r="BB160" s="2064">
        <f>0</f>
        <v>0</v>
      </c>
      <c r="BC160" s="2064">
        <f>0</f>
        <v>0</v>
      </c>
      <c r="BD160" s="2064">
        <f>0</f>
        <v>0</v>
      </c>
      <c r="BE160" s="2064">
        <f>0</f>
        <v>0</v>
      </c>
      <c r="BF160" s="2064">
        <f>0</f>
        <v>0</v>
      </c>
      <c r="BG160" s="2064">
        <f>0</f>
        <v>0</v>
      </c>
      <c r="BH160" s="2064">
        <f>0</f>
        <v>0</v>
      </c>
      <c r="BI160" s="2064">
        <f>0</f>
        <v>0</v>
      </c>
      <c r="BJ160" s="2064">
        <f>0</f>
        <v>0</v>
      </c>
      <c r="BK160" s="2064">
        <f>0</f>
        <v>0</v>
      </c>
      <c r="BL160" s="2064">
        <f>0</f>
        <v>0</v>
      </c>
      <c r="BM160" s="2064">
        <f>0</f>
        <v>0</v>
      </c>
      <c r="BN160" s="2064">
        <f>0</f>
        <v>0</v>
      </c>
      <c r="BO160" s="2064">
        <f>0</f>
        <v>0</v>
      </c>
      <c r="BP160" s="2121">
        <f>0</f>
        <v>0</v>
      </c>
      <c r="BQ160" s="2121">
        <f>0</f>
        <v>0</v>
      </c>
      <c r="BR160" s="2121">
        <f>0</f>
        <v>0</v>
      </c>
      <c r="BS160" s="2121">
        <f>0</f>
        <v>0</v>
      </c>
      <c r="BT160" s="2064">
        <f>0</f>
        <v>0</v>
      </c>
      <c r="BU160" s="2064">
        <f>0</f>
        <v>0</v>
      </c>
      <c r="BV160" s="2064">
        <f>0</f>
        <v>0</v>
      </c>
      <c r="BW160" s="2064">
        <f>0</f>
        <v>0</v>
      </c>
      <c r="BX160" s="2064">
        <f>0</f>
        <v>0</v>
      </c>
      <c r="BY160" s="2064">
        <f>0</f>
        <v>0</v>
      </c>
      <c r="BZ160" s="2064">
        <f>0</f>
        <v>0</v>
      </c>
      <c r="CA160" s="2064">
        <f>0</f>
        <v>0</v>
      </c>
      <c r="CB160" s="2064">
        <f>0</f>
        <v>0</v>
      </c>
      <c r="CC160" s="2064">
        <f>0</f>
        <v>0</v>
      </c>
      <c r="CD160" s="2064">
        <f>0</f>
        <v>0</v>
      </c>
      <c r="CE160" s="2064">
        <f>0</f>
        <v>0</v>
      </c>
      <c r="CF160" s="2064">
        <f>0</f>
        <v>0</v>
      </c>
      <c r="CG160" s="2064">
        <f>0</f>
        <v>0</v>
      </c>
      <c r="CH160" s="2064">
        <f>0</f>
        <v>0</v>
      </c>
      <c r="CI160" s="2145">
        <f>r_ateFLOC_CU_polymer</f>
        <v>0</v>
      </c>
      <c r="CK160" s="1950">
        <f>E210*E160+F210*F160+G210*G160+H210*H160+I210*I160+J210*J160+K210*K160+L210*L160+M210*M160+N210*N160+O210*O160+P210*P160+Q210*Q160+R210*R160+S210*S160+T210*T160+U210*U160+V210*V160+W210*W160+X210*X160+Y210*Y160+Z210*Z160+AA210*AA160+AB210*AB160+AC210*AC160+AD210*AD160+AE210*AE160+AF210*AF160+AG210*AG160+AH210*AH160+AI210*AI160+AJ210*AJ160+AK210*AK160+AL210*AL160+AM210*AM160+AN210*AN160+AO210*AO160+AP210*AP160+AQ210*AQ160+AR210*AR160+AS210*AS160+AT210*AT160+AU210*AU160+AV210*AV160+AW210*AW160+AX210*AX160+AY210*AY160+AZ210*AZ160+BA210*BA160+BB210*BB160+BC210*BC160+BD210*BD160+BE210*BE160+BF210*BF160+BG210*BG160+BH210*BH160+BI210*BI160+BJ210*BJ160+BK210*BK160+BL210*BL160+BM210*BM160+BN210*BN160+BO210*BO160+BP210*BP160+BQ210*BQ160+BR210*BR160+BS210*BS160+BT210*BT160+BU210*BU160+BV210*BV160+BW210*BW160+BX210*BX160+BY210*BY160+BZ210*BZ160+CA210*CA160+CB210*CB160+CC210*CC160+CD210*CD160+CE210*CE160+CF210*CF160+CG210*CG160+CH210*CH160</f>
        <v>0</v>
      </c>
      <c r="CL160" s="1950">
        <f>E211*E160+F211*F160+G211*G160+H211*H160+I211*I160+J211*J160+K211*K160+L211*L160+M211*M160+N211*N160+O211*O160+P211*P160+Q211*Q160+R211*R160+S211*S160+T211*T160+U211*U160+V211*V160+W211*W160+X211*X160+Y211*Y160+Z211*Z160+AA211*AA160+AB211*AB160+AC211*AC160+AD211*AD160+AE211*AE160+AF211*AF160+AG211*AG160+AH211*AH160+AI211*AI160+AJ211*AJ160+AK211*AK160+AL211*AL160+AM211*AM160+AN211*AN160+AO211*AO160+AP211*AP160+AQ211*AQ160+AR211*AR160+AS211*AS160+AT211*AT160+AU211*AU160+AV211*AV160+AW211*AW160+AX211*AX160+AY211*AY160+AZ211*AZ160+BA211*BA160+BB211*BB160+BC211*BC160+BD211*BD160+BE211*BE160+BF211*BF160+BG211*BG160+BH211*BH160+BI211*BI160+BJ211*BJ160+BK211*BK160+BL211*BL160+BM211*BM160+BN211*BN160+BO211*BO160+BP211*BP160+BQ211*BQ160+BR211*BR160+BS211*BS160+BT211*BT160+BU211*BU160+BV211*BV160+BW211*BW160+BX211*BX160+BY211*BY160+BZ211*BZ160+CA211*CA160+CB211*CB160+CC211*CC160+CD211*CD160+CE211*CE160+CF211*CF160+CG211*CG160+CH211*CH160</f>
        <v>0</v>
      </c>
      <c r="CM160" s="1951">
        <f>E212*E160+F212*F160+G212*G160+H212*H160+I212*I160+J212*J160+K212*K160+L212*L160+M212*M160+N212*N160+O212*O160+P212*P160+Q212*Q160+R212*R160+S212*S160+T212*T160+U212*U160+V212*V160+W212*W160+X212*X160+Y212*Y160+Z212*Z160+AA212*AA160+AB212*AB160+AC212*AC160+AD212*AD160+AE212*AE160+AF212*AF160+AG212*AG160+AH212*AH160+AI212*AI160+AJ212*AJ160+AK212*AK160+AL212*AL160+AM212*AM160+AN212*AN160+AO212*AO160+AP212*AP160+AQ212*AQ160+AR212*AR160+AS212*AS160+AT212*AT160+AU212*AU160+AV212*AV160+AW212*AW160+AX212*AX160+AY212*AY160+AZ212*AZ160+BA212*BA160+BB212*BB160+BC212*BC160+BD212*BD160+BE212*BE160+BF212*BF160+BG212*BG160+BH212*BH160+BI212*BI160+BJ212*BJ160+BK212*BK160+BL212*BL160+BM212*BM160+BN212*BN160+BO212*BO160+BP212*BP160+BQ212*BQ160+BR212*BR160+BS212*BS160+BT212*BT160+BU212*BU160+BV212*BV160+BW212*BW160+BX212*BX160+BY212*BY160+BZ212*BZ160+CA212*CA160+CB212*CB160+CC212*CC160+CD212*CD160+CE212*CE160+CF212*CF160+CG212*CG160+CH212*CH160</f>
        <v>0</v>
      </c>
      <c r="CN160" s="1952">
        <f>E213*E160+F213*F160+G213*G160+H213*H160+I213*I160+J213*J160+K213*K160+L213*L160+M213*M160+N213*N160+O213*O160+P213*P160+Q213*Q160+R213*R160+S213*S160+T213*T160+U213*U160+V213*V160+W213*W160+X213*X160+Y213*Y160+Z213*Z160+AA213*AA160+AB213*AB160+AC213*AC160+AD213*AD160+AE213*AE160+AF213*AF160+AG213*AG160+AH213*AH160+AI213*AI160+AJ213*AJ160+AK213*AK160+AL213*AL160+AM213*AM160+AN213*AN160+AO213*AO160+AP213*AP160+AQ213*AQ160+AR213*AR160+AS213*AS160+AT213*AT160+AU213*AU160+AV213*AV160+AW213*AW160+AX213*AX160+AY213*AY160+AZ213*AZ160+BA213*BA160+BB213*BB160+BC213*BC160+BD213*BD160+BE213*BE160+BF213*BF160+BG213*BG160+BH213*BH160+BI213*BI160+BJ213*BJ160+BK213*BK160+BL213*BL160+BM213*BM160+BN213*BN160+BO213*BO160+BP213*BP160+BQ213*BQ160+BR213*BR160+BS213*BS160+BT213*BT160+BU213*BU160+BV213*BV160+BW213*BW160+BX213*BX160+BY213*BY160+BZ213*BZ160+CA213*CA160+CB213*CB160+CC213*CC160+CD213*CD160+CE213*CE160+CF213*CF160+CG213*CG160+CH213*CH160</f>
        <v>0</v>
      </c>
      <c r="CO160" s="1952">
        <f>E214*E160+F214*F160+G214*G160+H214*H160+I214*I160+J214*J160+K214*K160+L214*L160+M214*M160+N214*N160+O214*O160+P214*P160+Q214*Q160+R214*R160+S214*S160+T214*T160+U214*U160+V214*V160+W214*W160+X214*X160+Y214*Y160+Z214*Z160+AA214*AA160+AB214*AB160+AC214*AC160+AD214*AD160+AE214*AE160+AF214*AF160+AG214*AG160+AH214*AH160+AI214*AI160+AJ214*AJ160+AK214*AK160+AL214*AL160+AM214*AM160+AN214*AN160+AO214*AO160+AP214*AP160+AQ214*AQ160+AR214*AR160+AS214*AS160+AT214*AT160+AU214*AU160+AV214*AV160+AW214*AW160+AX214*AX160+AY214*AY160+AZ214*AZ160+BA214*BA160+BB214*BB160+BC214*BC160+BD214*BD160+BE214*BE160+BF214*BF160+BG214*BG160+BH214*BH160+BI214*BI160+BJ214*BJ160+BK214*BK160+BL214*BL160+BM214*BM160+BN214*BN160+BO214*BO160+BP214*BP160+BQ214*BQ160+BR214*BR160+BS214*BS160+BT214*BT160+BU214*BU160+BV214*BV160+BW214*BW160+BX214*BX160+BY214*BY160+BZ214*BZ160+CA214*CA160+CB214*CB160+CC214*CC160+CD214*CD160+CE214*CE160+CF214*CF160+CG214*CG160+CH214*CH160</f>
        <v>0</v>
      </c>
      <c r="CP160" s="1952">
        <f>E215*E160+F215*F160+G215*G160+H215*H160+I215*I160+J215*J160+K215*K160+L215*L160+M215*M160+N215*N160+O215*O160+P215*P160+Q215*Q160+R215*R160+S215*S160+T215*T160+U215*U160+V215*V160+W215*W160+X215*X160+Y215*Y160+Z215*Z160+AA215*AA160+AB215*AB160+AC215*AC160+AD215*AD160+AE215*AE160+AF215*AF160+AG215*AG160+AH215*AH160+AI215*AI160+AJ215*AJ160+AK215*AK160+AL215*AL160+AM215*AM160+AN215*AN160+AO215*AO160+AP215*AP160+AQ215*AQ160+AR215*AR160+AS215*AS160+AT215*AT160+AU215*AU160+AV215*AV160+AW215*AW160+AX215*AX160+AY215*AY160+AZ215*AZ160+BA215*BA160+BB215*BB160+BC215*BC160+BD215*BD160+BE215*BE160+BF215*BF160+BG215*BG160+BH215*BH160+BI215*BI160+BJ215*BJ160+BK215*BK160+BL215*BL160+BM215*BM160+BN215*BN160+BO215*BO160+BP215*BP160+BQ215*BQ160+BR215*BR160+BS215*BS160+BT215*BT160+BU215*BU160+BV215*BV160+BW215*BW160+BX215*BX160+BY215*BY160+BZ215*BZ160+CA215*CA160+CB215*CB160+CC215*CC160+CD215*CD160+CE215*CE160+CF215*CF160+CG215*CG160+CH215*CH160</f>
        <v>0</v>
      </c>
      <c r="CQ160" s="1952">
        <f>E216*E160+F216*F160+G216*G160+H216*H160+I216*I160+J216*J160+K216*K160+L216*L160+M216*M160+N216*N160+O216*O160+P216*P160+Q216*Q160+R216*R160+S216*S160+T216*T160+U216*U160+V216*V160+W216*W160+X216*X160+Y216*Y160+Z216*Z160+AA216*AA160+AB216*AB160+AC216*AC160+AD216*AD160+AE216*AE160+AF216*AF160+AG216*AG160+AH216*AH160+AI216*AI160+AJ216*AJ160+AK216*AK160+AL216*AL160+AM216*AM160+AN216*AN160+AO216*AO160+AP216*AP160+AQ216*AQ160+AR216*AR160+AS216*AS160+AT216*AT160+AU216*AU160+AV216*AV160+AW216*AW160+AX216*AX160+AY216*AY160+AZ216*AZ160+BA216*BA160+BB216*BB160+BC216*BC160+BD216*BD160+BE216*BE160+BF216*BF160+BG216*BG160+BH216*BH160+BI216*BI160+BJ216*BJ160+BK216*BK160+BL216*BL160+BM216*BM160+BN216*BN160+BO216*BO160+BP216*BP160+BQ216*BQ160+BR216*BR160+BS216*BS160+BT216*BT160+BU216*BU160+BV216*BV160+BW216*BW160+BX216*BX160+BY216*BY160+BZ216*BZ160+CA216*CA160+CB216*CB160+CC216*CC160+CD216*CD160+CE216*CE160+CF216*CF160+CG216*CG160+CH216*CH160</f>
        <v>0</v>
      </c>
      <c r="CR160" s="1952">
        <f>E217*E160+F217*F160+G217*G160+H217*H160+I217*I160+J217*J160+K217*K160+L217*L160+M217*M160+N217*N160+O217*O160+P217*P160+Q217*Q160+R217*R160+S217*S160+T217*T160+U217*U160+V217*V160+W217*W160+X217*X160+Y217*Y160+Z217*Z160+AA217*AA160+AB217*AB160+AC217*AC160+AD217*AD160+AE217*AE160+AF217*AF160+AG217*AG160+AH217*AH160+AI217*AI160+AJ217*AJ160+AK217*AK160+AL217*AL160+AM217*AM160+AN217*AN160+AO217*AO160+AP217*AP160+AQ217*AQ160+AR217*AR160+AS217*AS160+AT217*AT160+AU217*AU160+AV217*AV160+AW217*AW160+AX217*AX160+AY217*AY160+AZ217*AZ160+BA217*BA160+BB217*BB160+BC217*BC160+BD217*BD160+BE217*BE160+BF217*BF160+BG217*BG160+BH217*BH160+BI217*BI160+BJ217*BJ160+BK217*BK160+BL217*BL160+BM217*BM160+BN217*BN160+BO217*BO160+BP217*BP160+BQ217*BQ160+BR217*BR160+BS217*BS160+BT217*BT160+BU217*BU160+BV217*BV160+BW217*BW160+BX217*BX160+BY217*BY160+BZ217*BZ160+CA217*CA160+CB217*CB160+CC217*CC160+CD217*CD160+CE217*CE160+CF217*CF160+CG217*CG160+CH217*CH160</f>
        <v>0</v>
      </c>
      <c r="CS160" s="1952">
        <f>E218*E160+F218*F160+G218*G160+H218*H160+I218*I160+J218*J160+K218*K160+L218*L160+M218*M160+N218*N160+O218*O160+P218*P160+Q218*Q160+R218*R160+S218*S160+T218*T160+U218*U160+V218*V160+W218*W160+X218*X160+Y218*Y160+Z218*Z160+AA218*AA160+AB218*AB160+AC218*AC160+AD218*AD160+AE218*AE160+AF218*AF160+AG218*AG160+AH218*AH160+AI218*AI160+AJ218*AJ160+AK218*AK160+AL218*AL160+AM218*AM160+AN218*AN160+AO218*AO160+AP218*AP160+AQ218*AQ160+AR218*AR160+AS218*AS160+AT218*AT160+AU218*AU160+AV218*AV160+AW218*AW160+AX218*AX160+AY218*AY160+AZ218*AZ160+BA218*BA160+BB218*BB160+BC218*BC160+BD218*BD160+BE218*BE160+BF218*BF160+BG218*BG160+BH218*BH160+BI218*BI160+BJ218*BJ160+BK218*BK160+BL218*BL160+BM218*BM160+BN218*BN160+BO218*BO160+BP218*BP160+BQ218*BQ160+BR218*BR160+BS218*BS160+BT218*BT160+BU218*BU160+BV218*BV160+BW218*BW160+BX218*BX160+BY218*BY160+BZ218*BZ160+CA218*CA160+CB218*CB160+CC218*CC160+CD218*CD160+CE218*CE160+CF218*CF160+CG218*CG160+CH218*CH160</f>
        <v>0</v>
      </c>
      <c r="CT160" s="1952">
        <f>E219*E160+F219*F160+G219*G160+H219*H160+I219*I160+J219*J160+K219*K160+L219*L160+M219*M160+N219*N160+O219*O160+P219*P160+Q219*Q160+R219*R160+S219*S160+T219*T160+U219*U160+V219*V160+W219*W160+X219*X160+Y219*Y160+Z219*Z160+AA219*AA160+AB219*AB160+AC219*AC160+AD219*AD160+AE219*AE160+AF219*AF160+AG219*AG160+AH219*AH160+AI219*AI160+AJ219*AJ160+AK219*AK160+AL219*AL160+AM219*AM160+AN219*AN160+AO219*AO160+AP219*AP160+AQ219*AQ160+AR219*AR160+AS219*AS160+AT219*AT160+AU219*AU160+AV219*AV160+AW219*AW160+AX219*AX160+AY219*AY160+AZ219*AZ160+BA219*BA160+BB219*BB160+BC219*BC160+BD219*BD160+BE219*BE160+BF219*BF160+BG219*BG160+BH219*BH160+BI219*BI160+BJ219*BJ160+BK219*BK160+BL219*BL160+BM219*BM160+BN219*BN160+BO219*BO160+BP219*BP160+BQ219*BQ160+BR219*BR160+BS219*BS160+BT219*BT160+BU219*BU160+BV219*BV160+BW219*BW160+BX219*BX160+BY219*BY160+BZ219*BZ160+CA219*CA160+CB219*CB160+CC219*CC160+CD219*CD160+CE219*CE160+CF219*CF160+CG219*CG160+CH219*CH160</f>
        <v>0</v>
      </c>
      <c r="CU160" s="1952">
        <f>E220*E160+F220*F160+G220*G160+H220*H160+I220*I160+J220*J160+K220*K160+L220*L160+M220*M160+N220*N160+O220*O160+P220*P160+Q220*Q160+R220*R160+S220*S160+T220*T160+U220*U160+V220*V160+W220*W160+X220*X160+Y220*Y160+Z220*Z160+AA220*AA160+AB220*AB160+AC220*AC160+AD220*AD160+AE220*AE160+AF220*AF160+AG220*AG160+AH220*AH160+AI220*AI160+AJ220*AJ160+AK220*AK160+AL220*AL160+AM220*AM160+AN220*AN160+AO220*AO160+AP220*AP160+AQ220*AQ160+AR220*AR160+AS220*AS160+AT220*AT160+AU220*AU160+AV220*AV160+AW220*AW160+AX220*AX160+AY220*AY160+AZ220*AZ160+BA220*BA160+BB220*BB160+BC220*BC160+BD220*BD160+BE220*BE160+BF220*BF160+BG220*BG160+BH220*BH160+BI220*BI160+BJ220*BJ160+BK220*BK160+BL220*BL160+BM220*BM160+BN220*BN160+BO220*BO160+BP220*BP160+BQ220*BQ160+BR220*BR160+BS220*BS160+BT220*BT160+BU220*BU160+BV220*BV160+BW220*BW160+BX220*BX160+BY220*BY160+BZ220*BZ160+CA220*CA160+CB220*CB160+CC220*CC160+CD220*CD160+CE220*CE160+CF220*CF160+CG220*CG160+CH220*CH160</f>
        <v>0</v>
      </c>
    </row>
    <row r="161" spans="2:99" ht="18" x14ac:dyDescent="0.25">
      <c r="B161" s="1589">
        <v>47</v>
      </c>
      <c r="C161" s="1590" t="s">
        <v>465</v>
      </c>
      <c r="D161" s="1591" t="s">
        <v>4967</v>
      </c>
      <c r="E161" s="2065">
        <f>0</f>
        <v>0</v>
      </c>
      <c r="F161" s="2065">
        <f>1</f>
        <v>1</v>
      </c>
      <c r="G161" s="2065">
        <f>0</f>
        <v>0</v>
      </c>
      <c r="H161" s="2065">
        <f>0</f>
        <v>0</v>
      </c>
      <c r="I161" s="2065">
        <f>-1</f>
        <v>-1</v>
      </c>
      <c r="J161" s="2065">
        <f>0</f>
        <v>0</v>
      </c>
      <c r="K161" s="2065">
        <f>0</f>
        <v>0</v>
      </c>
      <c r="L161" s="2065">
        <f>0</f>
        <v>0</v>
      </c>
      <c r="M161" s="2065">
        <f>0</f>
        <v>0</v>
      </c>
      <c r="N161" s="2065">
        <f>0</f>
        <v>0</v>
      </c>
      <c r="O161" s="2065">
        <f>0</f>
        <v>0</v>
      </c>
      <c r="P161" s="2065">
        <f>0</f>
        <v>0</v>
      </c>
      <c r="Q161" s="2065">
        <f>0</f>
        <v>0</v>
      </c>
      <c r="R161" s="2065">
        <f>0</f>
        <v>0</v>
      </c>
      <c r="S161" s="2065">
        <f>0</f>
        <v>0</v>
      </c>
      <c r="T161" s="2065">
        <f>0</f>
        <v>0</v>
      </c>
      <c r="U161" s="2065">
        <f>0</f>
        <v>0</v>
      </c>
      <c r="V161" s="2065">
        <f>0</f>
        <v>0</v>
      </c>
      <c r="W161" s="2065">
        <f>0</f>
        <v>0</v>
      </c>
      <c r="X161" s="2065">
        <f>0</f>
        <v>0</v>
      </c>
      <c r="Y161" s="2065">
        <f>0</f>
        <v>0</v>
      </c>
      <c r="Z161" s="2065">
        <f>0</f>
        <v>0</v>
      </c>
      <c r="AA161" s="2065">
        <f>0</f>
        <v>0</v>
      </c>
      <c r="AB161" s="2098">
        <f>X_N_B/X_B</f>
        <v>3.5714285714285712E-2</v>
      </c>
      <c r="AC161" s="2098">
        <f>-X_N_B/X_B</f>
        <v>-3.5714285714285712E-2</v>
      </c>
      <c r="AD161" s="2098">
        <f>0</f>
        <v>0</v>
      </c>
      <c r="AE161" s="2065">
        <f>0</f>
        <v>0</v>
      </c>
      <c r="AF161" s="2065">
        <f>0</f>
        <v>0</v>
      </c>
      <c r="AG161" s="2065">
        <f>0</f>
        <v>0</v>
      </c>
      <c r="AH161" s="2098">
        <f>X_P_B/X_B</f>
        <v>7.1428571428571435E-3</v>
      </c>
      <c r="AI161" s="2098">
        <f>-X_P_B/X_B</f>
        <v>-7.1428571428571435E-3</v>
      </c>
      <c r="AJ161" s="2098">
        <f>0</f>
        <v>0</v>
      </c>
      <c r="AK161" s="2065">
        <f>0</f>
        <v>0</v>
      </c>
      <c r="AL161" s="2065">
        <f>0</f>
        <v>0</v>
      </c>
      <c r="AM161" s="2065">
        <f>0</f>
        <v>0</v>
      </c>
      <c r="AN161" s="2065">
        <f>0</f>
        <v>0</v>
      </c>
      <c r="AO161" s="2065">
        <f>0</f>
        <v>0</v>
      </c>
      <c r="AP161" s="2065">
        <f>0</f>
        <v>0</v>
      </c>
      <c r="AQ161" s="2065">
        <f>0</f>
        <v>0</v>
      </c>
      <c r="AR161" s="2065">
        <f>0</f>
        <v>0</v>
      </c>
      <c r="AS161" s="2065">
        <f>0</f>
        <v>0</v>
      </c>
      <c r="AT161" s="2065">
        <f>0</f>
        <v>0</v>
      </c>
      <c r="AU161" s="2065">
        <f>0</f>
        <v>0</v>
      </c>
      <c r="AV161" s="2065">
        <f>0</f>
        <v>0</v>
      </c>
      <c r="AW161" s="2065">
        <f>0</f>
        <v>0</v>
      </c>
      <c r="AX161" s="2065">
        <f>0</f>
        <v>0</v>
      </c>
      <c r="AY161" s="2065">
        <f>0</f>
        <v>0</v>
      </c>
      <c r="AZ161" s="2065">
        <f>0</f>
        <v>0</v>
      </c>
      <c r="BA161" s="2065">
        <f>0</f>
        <v>0</v>
      </c>
      <c r="BB161" s="2065">
        <f>0</f>
        <v>0</v>
      </c>
      <c r="BC161" s="2065">
        <f>0</f>
        <v>0</v>
      </c>
      <c r="BD161" s="2065">
        <f>0</f>
        <v>0</v>
      </c>
      <c r="BE161" s="2065">
        <f>0</f>
        <v>0</v>
      </c>
      <c r="BF161" s="2065">
        <f>0</f>
        <v>0</v>
      </c>
      <c r="BG161" s="2065">
        <f>0</f>
        <v>0</v>
      </c>
      <c r="BH161" s="2065">
        <f>0</f>
        <v>0</v>
      </c>
      <c r="BI161" s="2065">
        <f>0</f>
        <v>0</v>
      </c>
      <c r="BJ161" s="2065">
        <f>0</f>
        <v>0</v>
      </c>
      <c r="BK161" s="2065">
        <f>0</f>
        <v>0</v>
      </c>
      <c r="BL161" s="2065">
        <f>0</f>
        <v>0</v>
      </c>
      <c r="BM161" s="2065">
        <f>0</f>
        <v>0</v>
      </c>
      <c r="BN161" s="2065">
        <f>0</f>
        <v>0</v>
      </c>
      <c r="BO161" s="2065">
        <f>0</f>
        <v>0</v>
      </c>
      <c r="BP161" s="2065">
        <f>0</f>
        <v>0</v>
      </c>
      <c r="BQ161" s="2065">
        <f>0</f>
        <v>0</v>
      </c>
      <c r="BR161" s="2065">
        <f>0</f>
        <v>0</v>
      </c>
      <c r="BS161" s="2065">
        <f>0</f>
        <v>0</v>
      </c>
      <c r="BT161" s="2065">
        <f>0</f>
        <v>0</v>
      </c>
      <c r="BU161" s="2065">
        <f>0</f>
        <v>0</v>
      </c>
      <c r="BV161" s="2065">
        <f>0</f>
        <v>0</v>
      </c>
      <c r="BW161" s="2065">
        <f>0</f>
        <v>0</v>
      </c>
      <c r="BX161" s="2065">
        <f>0</f>
        <v>0</v>
      </c>
      <c r="BY161" s="2065">
        <f>0</f>
        <v>0</v>
      </c>
      <c r="BZ161" s="2065">
        <f>0</f>
        <v>0</v>
      </c>
      <c r="CA161" s="2065">
        <f>0</f>
        <v>0</v>
      </c>
      <c r="CB161" s="2065">
        <f>0</f>
        <v>0</v>
      </c>
      <c r="CC161" s="2065">
        <f>0</f>
        <v>0</v>
      </c>
      <c r="CD161" s="2065">
        <f>0</f>
        <v>0</v>
      </c>
      <c r="CE161" s="2065">
        <f>0</f>
        <v>0</v>
      </c>
      <c r="CF161" s="2065">
        <f>0</f>
        <v>0</v>
      </c>
      <c r="CG161" s="2065">
        <f>0</f>
        <v>0</v>
      </c>
      <c r="CH161" s="2065">
        <f>0</f>
        <v>0</v>
      </c>
      <c r="CI161" s="2144">
        <f>q_HYD_XB_T*X_HET*(L_ogsatXHET_HYD_lim*M_RsatXB_XHET_KHYD+L_oginhXHET_HYD_lim*M_satXB_KXB_HYD)*(M_satSO2_KO2_OHO+η_HYD_anox*M_satSNOx_KNOx_OHO*M_inhSO2_KO2_OHO+η_HYD_ana*M_inhSNOx_KNOx_OHO*M_inhSO2_KO2_OHO)</f>
        <v>633.31718585204476</v>
      </c>
      <c r="CK161" s="1950">
        <f>E210*E161+F210*F161+G210*G161+H210*H161+I210*I161+J210*J161+K210*K161+L210*L161+M210*M161+N210*N161+O210*O161+P210*P161+Q210*Q161+R210*R161+S210*S161+T210*T161+U210*U161+V210*V161+W210*W161+X210*X161+Y210*Y161+Z210*Z161+AA210*AA161+AB210*AB161+AC210*AC161+AD210*AD161+AE210*AE161+AF210*AF161+AG210*AG161+AH210*AH161+AI210*AI161+AJ210*AJ161+AK210*AK161+AL210*AL161+AM210*AM161+AN210*AN161+AO210*AO161+AP210*AP161+AQ210*AQ161+AR210*AR161+AS210*AS161+AT210*AT161+AU210*AU161+AV210*AV161+AW210*AW161+AX210*AX161+AY210*AY161+AZ210*AZ161+BA210*BA161+BB210*BB161+BC210*BC161+BD210*BD161+BE210*BE161+BF210*BF161+BG210*BG161+BH210*BH161+BI210*BI161+BJ210*BJ161+BK210*BK161+BL210*BL161+BM210*BM161+BN210*BN161+BO210*BO161+BP210*BP161+BQ210*BQ161+BR210*BR161+BS210*BS161+BT210*BT161+BU210*BU161+BV210*BV161+BW210*BW161+BX210*BX161+BY210*BY161+BZ210*BZ161+CA210*CA161+CB210*CB161+CC210*CC161+CD210*CD161+CE210*CE161+CF210*CF161+CG210*CG161+CH210*CH161</f>
        <v>0</v>
      </c>
      <c r="CL161" s="1950">
        <f>E211*E161+F211*F161+G211*G161+H211*H161+I211*I161+J211*J161+K211*K161+L211*L161+M211*M161+N211*N161+O211*O161+P211*P161+Q211*Q161+R211*R161+S211*S161+T211*T161+U211*U161+V211*V161+W211*W161+X211*X161+Y211*Y161+Z211*Z161+AA211*AA161+AB211*AB161+AC211*AC161+AD211*AD161+AE211*AE161+AF211*AF161+AG211*AG161+AH211*AH161+AI211*AI161+AJ211*AJ161+AK211*AK161+AL211*AL161+AM211*AM161+AN211*AN161+AO211*AO161+AP211*AP161+AQ211*AQ161+AR211*AR161+AS211*AS161+AT211*AT161+AU211*AU161+AV211*AV161+AW211*AW161+AX211*AX161+AY211*AY161+AZ211*AZ161+BA211*BA161+BB211*BB161+BC211*BC161+BD211*BD161+BE211*BE161+BF211*BF161+BG211*BG161+BH211*BH161+BI211*BI161+BJ211*BJ161+BK211*BK161+BL211*BL161+BM211*BM161+BN211*BN161+BO211*BO161+BP211*BP161+BQ211*BQ161+BR211*BR161+BS211*BS161+BT211*BT161+BU211*BU161+BV211*BV161+BW211*BW161+BX211*BX161+BY211*BY161+BZ211*BZ161+CA211*CA161+CB211*CB161+CC211*CC161+CD211*CD161+CE211*CE161+CF211*CF161+CG211*CG161+CH211*CH161</f>
        <v>0</v>
      </c>
      <c r="CM161" s="1951">
        <f>E212*E161+F212*F161+G212*G161+H212*H161+I212*I161+J212*J161+K212*K161+L212*L161+M212*M161+N212*N161+O212*O161+P212*P161+Q212*Q161+R212*R161+S212*S161+T212*T161+U212*U161+V212*V161+W212*W161+X212*X161+Y212*Y161+Z212*Z161+AA212*AA161+AB212*AB161+AC212*AC161+AD212*AD161+AE212*AE161+AF212*AF161+AG212*AG161+AH212*AH161+AI212*AI161+AJ212*AJ161+AK212*AK161+AL212*AL161+AM212*AM161+AN212*AN161+AO212*AO161+AP212*AP161+AQ212*AQ161+AR212*AR161+AS212*AS161+AT212*AT161+AU212*AU161+AV212*AV161+AW212*AW161+AX212*AX161+AY212*AY161+AZ212*AZ161+BA212*BA161+BB212*BB161+BC212*BC161+BD212*BD161+BE212*BE161+BF212*BF161+BG212*BG161+BH212*BH161+BI212*BI161+BJ212*BJ161+BK212*BK161+BL212*BL161+BM212*BM161+BN212*BN161+BO212*BO161+BP212*BP161+BQ212*BQ161+BR212*BR161+BS212*BS161+BT212*BT161+BU212*BU161+BV212*BV161+BW212*BW161+BX212*BX161+BY212*BY161+BZ212*BZ161+CA212*CA161+CB212*CB161+CC212*CC161+CD212*CD161+CE212*CE161+CF212*CF161+CG212*CG161+CH212*CH161</f>
        <v>0</v>
      </c>
      <c r="CN161" s="1952">
        <f>E213*E161+F213*F161+G213*G161+H213*H161+I213*I161+J213*J161+K213*K161+L213*L161+M213*M161+N213*N161+O213*O161+P213*P161+Q213*Q161+R213*R161+S213*S161+T213*T161+U213*U161+V213*V161+W213*W161+X213*X161+Y213*Y161+Z213*Z161+AA213*AA161+AB213*AB161+AC213*AC161+AD213*AD161+AE213*AE161+AF213*AF161+AG213*AG161+AH213*AH161+AI213*AI161+AJ213*AJ161+AK213*AK161+AL213*AL161+AM213*AM161+AN213*AN161+AO213*AO161+AP213*AP161+AQ213*AQ161+AR213*AR161+AS213*AS161+AT213*AT161+AU213*AU161+AV213*AV161+AW213*AW161+AX213*AX161+AY213*AY161+AZ213*AZ161+BA213*BA161+BB213*BB161+BC213*BC161+BD213*BD161+BE213*BE161+BF213*BF161+BG213*BG161+BH213*BH161+BI213*BI161+BJ213*BJ161+BK213*BK161+BL213*BL161+BM213*BM161+BN213*BN161+BO213*BO161+BP213*BP161+BQ213*BQ161+BR213*BR161+BS213*BS161+BT213*BT161+BU213*BU161+BV213*BV161+BW213*BW161+BX213*BX161+BY213*BY161+BZ213*BZ161+CA213*CA161+CB213*CB161+CC213*CC161+CD213*CD161+CE213*CE161+CF213*CF161+CG213*CG161+CH213*CH161</f>
        <v>0</v>
      </c>
      <c r="CO161" s="1952">
        <f>E214*E161+F214*F161+G214*G161+H214*H161+I214*I161+J214*J161+K214*K161+L214*L161+M214*M161+N214*N161+O214*O161+P214*P161+Q214*Q161+R214*R161+S214*S161+T214*T161+U214*U161+V214*V161+W214*W161+X214*X161+Y214*Y161+Z214*Z161+AA214*AA161+AB214*AB161+AC214*AC161+AD214*AD161+AE214*AE161+AF214*AF161+AG214*AG161+AH214*AH161+AI214*AI161+AJ214*AJ161+AK214*AK161+AL214*AL161+AM214*AM161+AN214*AN161+AO214*AO161+AP214*AP161+AQ214*AQ161+AR214*AR161+AS214*AS161+AT214*AT161+AU214*AU161+AV214*AV161+AW214*AW161+AX214*AX161+AY214*AY161+AZ214*AZ161+BA214*BA161+BB214*BB161+BC214*BC161+BD214*BD161+BE214*BE161+BF214*BF161+BG214*BG161+BH214*BH161+BI214*BI161+BJ214*BJ161+BK214*BK161+BL214*BL161+BM214*BM161+BN214*BN161+BO214*BO161+BP214*BP161+BQ214*BQ161+BR214*BR161+BS214*BS161+BT214*BT161+BU214*BU161+BV214*BV161+BW214*BW161+BX214*BX161+BY214*BY161+BZ214*BZ161+CA214*CA161+CB214*CB161+CC214*CC161+CD214*CD161+CE214*CE161+CF214*CF161+CG214*CG161+CH214*CH161</f>
        <v>0</v>
      </c>
      <c r="CP161" s="1952">
        <f>E215*E161+F215*F161+G215*G161+H215*H161+I215*I161+J215*J161+K215*K161+L215*L161+M215*M161+N215*N161+O215*O161+P215*P161+Q215*Q161+R215*R161+S215*S161+T215*T161+U215*U161+V215*V161+W215*W161+X215*X161+Y215*Y161+Z215*Z161+AA215*AA161+AB215*AB161+AC215*AC161+AD215*AD161+AE215*AE161+AF215*AF161+AG215*AG161+AH215*AH161+AI215*AI161+AJ215*AJ161+AK215*AK161+AL215*AL161+AM215*AM161+AN215*AN161+AO215*AO161+AP215*AP161+AQ215*AQ161+AR215*AR161+AS215*AS161+AT215*AT161+AU215*AU161+AV215*AV161+AW215*AW161+AX215*AX161+AY215*AY161+AZ215*AZ161+BA215*BA161+BB215*BB161+BC215*BC161+BD215*BD161+BE215*BE161+BF215*BF161+BG215*BG161+BH215*BH161+BI215*BI161+BJ215*BJ161+BK215*BK161+BL215*BL161+BM215*BM161+BN215*BN161+BO215*BO161+BP215*BP161+BQ215*BQ161+BR215*BR161+BS215*BS161+BT215*BT161+BU215*BU161+BV215*BV161+BW215*BW161+BX215*BX161+BY215*BY161+BZ215*BZ161+CA215*CA161+CB215*CB161+CC215*CC161+CD215*CD161+CE215*CE161+CF215*CF161+CG215*CG161+CH215*CH161</f>
        <v>0</v>
      </c>
      <c r="CQ161" s="1952">
        <f>E216*E161+F216*F161+G216*G161+H216*H161+I216*I161+J216*J161+K216*K161+L216*L161+M216*M161+N216*N161+O216*O161+P216*P161+Q216*Q161+R216*R161+S216*S161+T216*T161+U216*U161+V216*V161+W216*W161+X216*X161+Y216*Y161+Z216*Z161+AA216*AA161+AB216*AB161+AC216*AC161+AD216*AD161+AE216*AE161+AF216*AF161+AG216*AG161+AH216*AH161+AI216*AI161+AJ216*AJ161+AK216*AK161+AL216*AL161+AM216*AM161+AN216*AN161+AO216*AO161+AP216*AP161+AQ216*AQ161+AR216*AR161+AS216*AS161+AT216*AT161+AU216*AU161+AV216*AV161+AW216*AW161+AX216*AX161+AY216*AY161+AZ216*AZ161+BA216*BA161+BB216*BB161+BC216*BC161+BD216*BD161+BE216*BE161+BF216*BF161+BG216*BG161+BH216*BH161+BI216*BI161+BJ216*BJ161+BK216*BK161+BL216*BL161+BM216*BM161+BN216*BN161+BO216*BO161+BP216*BP161+BQ216*BQ161+BR216*BR161+BS216*BS161+BT216*BT161+BU216*BU161+BV216*BV161+BW216*BW161+BX216*BX161+BY216*BY161+BZ216*BZ161+CA216*CA161+CB216*CB161+CC216*CC161+CD216*CD161+CE216*CE161+CF216*CF161+CG216*CG161+CH216*CH161</f>
        <v>0</v>
      </c>
      <c r="CR161" s="1952">
        <f>E217*E161+F217*F161+G217*G161+H217*H161+I217*I161+J217*J161+K217*K161+L217*L161+M217*M161+N217*N161+O217*O161+P217*P161+Q217*Q161+R217*R161+S217*S161+T217*T161+U217*U161+V217*V161+W217*W161+X217*X161+Y217*Y161+Z217*Z161+AA217*AA161+AB217*AB161+AC217*AC161+AD217*AD161+AE217*AE161+AF217*AF161+AG217*AG161+AH217*AH161+AI217*AI161+AJ217*AJ161+AK217*AK161+AL217*AL161+AM217*AM161+AN217*AN161+AO217*AO161+AP217*AP161+AQ217*AQ161+AR217*AR161+AS217*AS161+AT217*AT161+AU217*AU161+AV217*AV161+AW217*AW161+AX217*AX161+AY217*AY161+AZ217*AZ161+BA217*BA161+BB217*BB161+BC217*BC161+BD217*BD161+BE217*BE161+BF217*BF161+BG217*BG161+BH217*BH161+BI217*BI161+BJ217*BJ161+BK217*BK161+BL217*BL161+BM217*BM161+BN217*BN161+BO217*BO161+BP217*BP161+BQ217*BQ161+BR217*BR161+BS217*BS161+BT217*BT161+BU217*BU161+BV217*BV161+BW217*BW161+BX217*BX161+BY217*BY161+BZ217*BZ161+CA217*CA161+CB217*CB161+CC217*CC161+CD217*CD161+CE217*CE161+CF217*CF161+CG217*CG161+CH217*CH161</f>
        <v>0</v>
      </c>
      <c r="CS161" s="1952">
        <f>E218*E161+F218*F161+G218*G161+H218*H161+I218*I161+J218*J161+K218*K161+L218*L161+M218*M161+N218*N161+O218*O161+P218*P161+Q218*Q161+R218*R161+S218*S161+T218*T161+U218*U161+V218*V161+W218*W161+X218*X161+Y218*Y161+Z218*Z161+AA218*AA161+AB218*AB161+AC218*AC161+AD218*AD161+AE218*AE161+AF218*AF161+AG218*AG161+AH218*AH161+AI218*AI161+AJ218*AJ161+AK218*AK161+AL218*AL161+AM218*AM161+AN218*AN161+AO218*AO161+AP218*AP161+AQ218*AQ161+AR218*AR161+AS218*AS161+AT218*AT161+AU218*AU161+AV218*AV161+AW218*AW161+AX218*AX161+AY218*AY161+AZ218*AZ161+BA218*BA161+BB218*BB161+BC218*BC161+BD218*BD161+BE218*BE161+BF218*BF161+BG218*BG161+BH218*BH161+BI218*BI161+BJ218*BJ161+BK218*BK161+BL218*BL161+BM218*BM161+BN218*BN161+BO218*BO161+BP218*BP161+BQ218*BQ161+BR218*BR161+BS218*BS161+BT218*BT161+BU218*BU161+BV218*BV161+BW218*BW161+BX218*BX161+BY218*BY161+BZ218*BZ161+CA218*CA161+CB218*CB161+CC218*CC161+CD218*CD161+CE218*CE161+CF218*CF161+CG218*CG161+CH218*CH161</f>
        <v>0</v>
      </c>
      <c r="CT161" s="1952">
        <f>E219*E161+F219*F161+G219*G161+H219*H161+I219*I161+J219*J161+K219*K161+L219*L161+M219*M161+N219*N161+O219*O161+P219*P161+Q219*Q161+R219*R161+S219*S161+T219*T161+U219*U161+V219*V161+W219*W161+X219*X161+Y219*Y161+Z219*Z161+AA219*AA161+AB219*AB161+AC219*AC161+AD219*AD161+AE219*AE161+AF219*AF161+AG219*AG161+AH219*AH161+AI219*AI161+AJ219*AJ161+AK219*AK161+AL219*AL161+AM219*AM161+AN219*AN161+AO219*AO161+AP219*AP161+AQ219*AQ161+AR219*AR161+AS219*AS161+AT219*AT161+AU219*AU161+AV219*AV161+AW219*AW161+AX219*AX161+AY219*AY161+AZ219*AZ161+BA219*BA161+BB219*BB161+BC219*BC161+BD219*BD161+BE219*BE161+BF219*BF161+BG219*BG161+BH219*BH161+BI219*BI161+BJ219*BJ161+BK219*BK161+BL219*BL161+BM219*BM161+BN219*BN161+BO219*BO161+BP219*BP161+BQ219*BQ161+BR219*BR161+BS219*BS161+BT219*BT161+BU219*BU161+BV219*BV161+BW219*BW161+BX219*BX161+BY219*BY161+BZ219*BZ161+CA219*CA161+CB219*CB161+CC219*CC161+CD219*CD161+CE219*CE161+CF219*CF161+CG219*CG161+CH219*CH161</f>
        <v>0</v>
      </c>
      <c r="CU161" s="1952">
        <f>E220*E161+F220*F161+G220*G161+H220*H161+I220*I161+J220*J161+K220*K161+L220*L161+M220*M161+N220*N161+O220*O161+P220*P161+Q220*Q161+R220*R161+S220*S161+T220*T161+U220*U161+V220*V161+W220*W161+X220*X161+Y220*Y161+Z220*Z161+AA220*AA161+AB220*AB161+AC220*AC161+AD220*AD161+AE220*AE161+AF220*AF161+AG220*AG161+AH220*AH161+AI220*AI161+AJ220*AJ161+AK220*AK161+AL220*AL161+AM220*AM161+AN220*AN161+AO220*AO161+AP220*AP161+AQ220*AQ161+AR220*AR161+AS220*AS161+AT220*AT161+AU220*AU161+AV220*AV161+AW220*AW161+AX220*AX161+AY220*AY161+AZ220*AZ161+BA220*BA161+BB220*BB161+BC220*BC161+BD220*BD161+BE220*BE161+BF220*BF161+BG220*BG161+BH220*BH161+BI220*BI161+BJ220*BJ161+BK220*BK161+BL220*BL161+BM220*BM161+BN220*BN161+BO220*BO161+BP220*BP161+BQ220*BQ161+BR220*BR161+BS220*BS161+BT220*BT161+BU220*BU161+BV220*BV161+BW220*BW161+BX220*BX161+BY220*BY161+BZ220*BZ161+CA220*CA161+CB220*CB161+CC220*CC161+CD220*CD161+CE220*CE161+CF220*CF161+CG220*CG161+CH220*CH161</f>
        <v>0</v>
      </c>
    </row>
    <row r="162" spans="2:99" ht="18" x14ac:dyDescent="0.25">
      <c r="B162" s="1589">
        <v>48</v>
      </c>
      <c r="C162" s="1590" t="s">
        <v>466</v>
      </c>
      <c r="D162" s="1591" t="s">
        <v>4968</v>
      </c>
      <c r="E162" s="2065">
        <f>0</f>
        <v>0</v>
      </c>
      <c r="F162" s="2065">
        <f>1</f>
        <v>1</v>
      </c>
      <c r="G162" s="2065">
        <f>0</f>
        <v>0</v>
      </c>
      <c r="H162" s="2065">
        <f>0</f>
        <v>0</v>
      </c>
      <c r="I162" s="2065">
        <f>0</f>
        <v>0</v>
      </c>
      <c r="J162" s="2065">
        <f>-1</f>
        <v>-1</v>
      </c>
      <c r="K162" s="2065">
        <f>0</f>
        <v>0</v>
      </c>
      <c r="L162" s="2065">
        <f>0</f>
        <v>0</v>
      </c>
      <c r="M162" s="2065">
        <f>0</f>
        <v>0</v>
      </c>
      <c r="N162" s="2065">
        <f>0</f>
        <v>0</v>
      </c>
      <c r="O162" s="2065">
        <f>0</f>
        <v>0</v>
      </c>
      <c r="P162" s="2065">
        <f>0</f>
        <v>0</v>
      </c>
      <c r="Q162" s="2065">
        <f>0</f>
        <v>0</v>
      </c>
      <c r="R162" s="2065">
        <f>0</f>
        <v>0</v>
      </c>
      <c r="S162" s="2065">
        <f>0</f>
        <v>0</v>
      </c>
      <c r="T162" s="2065">
        <f>0</f>
        <v>0</v>
      </c>
      <c r="U162" s="2065">
        <f>0</f>
        <v>0</v>
      </c>
      <c r="V162" s="2065">
        <f>0</f>
        <v>0</v>
      </c>
      <c r="W162" s="2065">
        <f>0</f>
        <v>0</v>
      </c>
      <c r="X162" s="2065">
        <f>0</f>
        <v>0</v>
      </c>
      <c r="Y162" s="2065">
        <f>0</f>
        <v>0</v>
      </c>
      <c r="Z162" s="2065">
        <f>0</f>
        <v>0</v>
      </c>
      <c r="AA162" s="2065">
        <f>0</f>
        <v>0</v>
      </c>
      <c r="AB162" s="2098">
        <f>X_N_Be/X_B_e</f>
        <v>7.6923076923076927E-2</v>
      </c>
      <c r="AC162" s="2098">
        <f>0</f>
        <v>0</v>
      </c>
      <c r="AD162" s="2098">
        <f>-X_N_Be/X_B_e</f>
        <v>-7.6923076923076927E-2</v>
      </c>
      <c r="AE162" s="2065">
        <f>0</f>
        <v>0</v>
      </c>
      <c r="AF162" s="2065">
        <f>0</f>
        <v>0</v>
      </c>
      <c r="AG162" s="2065">
        <f>0</f>
        <v>0</v>
      </c>
      <c r="AH162" s="2098">
        <f>X_P_Be/X_B_e</f>
        <v>1.5384615384615385E-2</v>
      </c>
      <c r="AI162" s="2098">
        <f>0</f>
        <v>0</v>
      </c>
      <c r="AJ162" s="2098">
        <f>-X_P_Be/X_B_e</f>
        <v>-1.5384615384615385E-2</v>
      </c>
      <c r="AK162" s="2065">
        <f>0</f>
        <v>0</v>
      </c>
      <c r="AL162" s="2065">
        <f>0</f>
        <v>0</v>
      </c>
      <c r="AM162" s="2065">
        <f>0</f>
        <v>0</v>
      </c>
      <c r="AN162" s="2065">
        <f>0</f>
        <v>0</v>
      </c>
      <c r="AO162" s="2065">
        <f>i_CIT_XBe-i_CIT_SB</f>
        <v>0</v>
      </c>
      <c r="AP162" s="2065">
        <f>-i_INORG</f>
        <v>-0.11</v>
      </c>
      <c r="AQ162" s="2065">
        <f>i_INORG*(1-i_Ca_INORG*(A_MCa+2*A_MCl)/A_MCa-i_Mg_INORG*(A_MMg+2*A_MCl)/A_MMg)*f_Na</f>
        <v>2.8804303582798466E-2</v>
      </c>
      <c r="AR162" s="2065">
        <f>i_INORG*(i_Ca_INORG*(2*A_MCl)/A_MCa+i_Mg_INORG*(2*A_MCl)/A_MMg)+i_INORG*(1-i_Ca_INORG*(A_MCa+2*A_MCl)/A_MCa-i_Mg_INORG*(A_MMg+2*A_MCl)/A_MMg)*(1-f_Na)</f>
        <v>7.0195696417201539E-2</v>
      </c>
      <c r="AS162" s="2065">
        <f>i_INORG*i_Ca_INORG</f>
        <v>5.5000000000000005E-3</v>
      </c>
      <c r="AT162" s="2065">
        <f>i_INORG*i_Mg_INORG</f>
        <v>5.5000000000000005E-3</v>
      </c>
      <c r="AU162" s="2065">
        <f>0</f>
        <v>0</v>
      </c>
      <c r="AV162" s="2065">
        <f>0</f>
        <v>0</v>
      </c>
      <c r="AW162" s="2065">
        <f>0</f>
        <v>0</v>
      </c>
      <c r="AX162" s="2065">
        <f>0</f>
        <v>0</v>
      </c>
      <c r="AY162" s="2065">
        <f>0</f>
        <v>0</v>
      </c>
      <c r="AZ162" s="2065">
        <f>0</f>
        <v>0</v>
      </c>
      <c r="BA162" s="2065">
        <f>0</f>
        <v>0</v>
      </c>
      <c r="BB162" s="2065">
        <f>0</f>
        <v>0</v>
      </c>
      <c r="BC162" s="2065">
        <f>0</f>
        <v>0</v>
      </c>
      <c r="BD162" s="2065">
        <f>0</f>
        <v>0</v>
      </c>
      <c r="BE162" s="2065">
        <f>0</f>
        <v>0</v>
      </c>
      <c r="BF162" s="2065">
        <f>0</f>
        <v>0</v>
      </c>
      <c r="BG162" s="2065">
        <f>0</f>
        <v>0</v>
      </c>
      <c r="BH162" s="2065">
        <f>0</f>
        <v>0</v>
      </c>
      <c r="BI162" s="2065">
        <f>0</f>
        <v>0</v>
      </c>
      <c r="BJ162" s="2065">
        <f>0</f>
        <v>0</v>
      </c>
      <c r="BK162" s="2065">
        <f>0</f>
        <v>0</v>
      </c>
      <c r="BL162" s="2065">
        <f>0</f>
        <v>0</v>
      </c>
      <c r="BM162" s="2065">
        <f>0</f>
        <v>0</v>
      </c>
      <c r="BN162" s="2065">
        <f>0</f>
        <v>0</v>
      </c>
      <c r="BO162" s="2065">
        <f>0</f>
        <v>0</v>
      </c>
      <c r="BP162" s="2065">
        <f>0</f>
        <v>0</v>
      </c>
      <c r="BQ162" s="2065">
        <f>0</f>
        <v>0</v>
      </c>
      <c r="BR162" s="2065">
        <f>0</f>
        <v>0</v>
      </c>
      <c r="BS162" s="2065">
        <f>0</f>
        <v>0</v>
      </c>
      <c r="BT162" s="2065">
        <f>0</f>
        <v>0</v>
      </c>
      <c r="BU162" s="2065">
        <f>0</f>
        <v>0</v>
      </c>
      <c r="BV162" s="2065">
        <f>0</f>
        <v>0</v>
      </c>
      <c r="BW162" s="2065">
        <f>0</f>
        <v>0</v>
      </c>
      <c r="BX162" s="2065">
        <f>0</f>
        <v>0</v>
      </c>
      <c r="BY162" s="2065">
        <f>0</f>
        <v>0</v>
      </c>
      <c r="BZ162" s="2065">
        <f>0</f>
        <v>0</v>
      </c>
      <c r="CA162" s="2065">
        <f>0</f>
        <v>0</v>
      </c>
      <c r="CB162" s="2065">
        <f>0</f>
        <v>0</v>
      </c>
      <c r="CC162" s="2065">
        <f>0</f>
        <v>0</v>
      </c>
      <c r="CD162" s="2065">
        <f>0</f>
        <v>0</v>
      </c>
      <c r="CE162" s="2065">
        <f>0</f>
        <v>0</v>
      </c>
      <c r="CF162" s="2065">
        <f>0</f>
        <v>0</v>
      </c>
      <c r="CG162" s="2065">
        <f>0</f>
        <v>0</v>
      </c>
      <c r="CH162" s="2065">
        <f>0</f>
        <v>0</v>
      </c>
      <c r="CI162" s="2144">
        <f>q_HYD_XBe_T*X_HET*(L_ogsatXHET_HYD_lim*M_RsatXBe_XHET_KHYD+L_oginhXHET_HYD_lim*M_satXBe_KXBe_HYD)*(M_satSO2_KO2_OHO+η_HYD_anox*M_satSNOx_KNOx_OHO*M_inhSO2_KO2_OHO+η_HYD_ana*M_inhSNOx_KNOx_OHO*M_inhSO2_KO2_OHO)</f>
        <v>545.52242200307455</v>
      </c>
      <c r="CK162" s="1950">
        <f>E210*E162+F210*F162+G210*G162+H210*H162+I210*I162+J210*J162+K210*K162+L210*L162+M210*M162+N210*N162+O210*O162+P210*P162+Q210*Q162+R210*R162+S210*S162+T210*T162+U210*U162+V210*V162+W210*W162+X210*X162+Y210*Y162+Z210*Z162+AA210*AA162+AB210*AB162+AC210*AC162+AD210*AD162+AE210*AE162+AF210*AF162+AG210*AG162+AH210*AH162+AI210*AI162+AJ210*AJ162+AK210*AK162+AL210*AL162+AM210*AM162+AN210*AN162+AO210*AO162+AP210*AP162+AQ210*AQ162+AR210*AR162+AS210*AS162+AT210*AT162+AU210*AU162+AV210*AV162+AW210*AW162+AX210*AX162+AY210*AY162+AZ210*AZ162+BA210*BA162+BB210*BB162+BC210*BC162+BD210*BD162+BE210*BE162+BF210*BF162+BG210*BG162+BH210*BH162+BI210*BI162+BJ210*BJ162+BK210*BK162+BL210*BL162+BM210*BM162+BN210*BN162+BO210*BO162+BP210*BP162+BQ210*BQ162+BR210*BR162+BS210*BS162+BT210*BT162+BU210*BU162+BV210*BV162+BW210*BW162+BX210*BX162+BY210*BY162+BZ210*BZ162+CA210*CA162+CB210*CB162+CC210*CC162+CD210*CD162+CE210*CE162+CF210*CF162+CG210*CG162+CH210*CH162</f>
        <v>0</v>
      </c>
      <c r="CL162" s="1950">
        <f>E211*E162+F211*F162+G211*G162+H211*H162+I211*I162+J211*J162+K211*K162+L211*L162+M211*M162+N211*N162+O211*O162+P211*P162+Q211*Q162+R211*R162+S211*S162+T211*T162+U211*U162+V211*V162+W211*W162+X211*X162+Y211*Y162+Z211*Z162+AA211*AA162+AB211*AB162+AC211*AC162+AD211*AD162+AE211*AE162+AF211*AF162+AG211*AG162+AH211*AH162+AI211*AI162+AJ211*AJ162+AK211*AK162+AL211*AL162+AM211*AM162+AN211*AN162+AO211*AO162+AP211*AP162+AQ211*AQ162+AR211*AR162+AS211*AS162+AT211*AT162+AU211*AU162+AV211*AV162+AW211*AW162+AX211*AX162+AY211*AY162+AZ211*AZ162+BA211*BA162+BB211*BB162+BC211*BC162+BD211*BD162+BE211*BE162+BF211*BF162+BG211*BG162+BH211*BH162+BI211*BI162+BJ211*BJ162+BK211*BK162+BL211*BL162+BM211*BM162+BN211*BN162+BO211*BO162+BP211*BP162+BQ211*BQ162+BR211*BR162+BS211*BS162+BT211*BT162+BU211*BU162+BV211*BV162+BW211*BW162+BX211*BX162+BY211*BY162+BZ211*BZ162+CA211*CA162+CB211*CB162+CC211*CC162+CD211*CD162+CE211*CE162+CF211*CF162+CG211*CG162+CH211*CH162</f>
        <v>0</v>
      </c>
      <c r="CM162" s="1951">
        <f>E212*E162+F212*F162+G212*G162+H212*H162+I212*I162+J212*J162+K212*K162+L212*L162+M212*M162+N212*N162+O212*O162+P212*P162+Q212*Q162+R212*R162+S212*S162+T212*T162+U212*U162+V212*V162+W212*W162+X212*X162+Y212*Y162+Z212*Z162+AA212*AA162+AB212*AB162+AC212*AC162+AD212*AD162+AE212*AE162+AF212*AF162+AG212*AG162+AH212*AH162+AI212*AI162+AJ212*AJ162+AK212*AK162+AL212*AL162+AM212*AM162+AN212*AN162+AO212*AO162+AP212*AP162+AQ212*AQ162+AR212*AR162+AS212*AS162+AT212*AT162+AU212*AU162+AV212*AV162+AW212*AW162+AX212*AX162+AY212*AY162+AZ212*AZ162+BA212*BA162+BB212*BB162+BC212*BC162+BD212*BD162+BE212*BE162+BF212*BF162+BG212*BG162+BH212*BH162+BI212*BI162+BJ212*BJ162+BK212*BK162+BL212*BL162+BM212*BM162+BN212*BN162+BO212*BO162+BP212*BP162+BQ212*BQ162+BR212*BR162+BS212*BS162+BT212*BT162+BU212*BU162+BV212*BV162+BW212*BW162+BX212*BX162+BY212*BY162+BZ212*BZ162+CA212*CA162+CB212*CB162+CC212*CC162+CD212*CD162+CE212*CE162+CF212*CF162+CG212*CG162+CH212*CH162</f>
        <v>0</v>
      </c>
      <c r="CN162" s="1952">
        <f>E213*E162+F213*F162+G213*G162+H213*H162+I213*I162+J213*J162+K213*K162+L213*L162+M213*M162+N213*N162+O213*O162+P213*P162+Q213*Q162+R213*R162+S213*S162+T213*T162+U213*U162+V213*V162+W213*W162+X213*X162+Y213*Y162+Z213*Z162+AA213*AA162+AB213*AB162+AC213*AC162+AD213*AD162+AE213*AE162+AF213*AF162+AG213*AG162+AH213*AH162+AI213*AI162+AJ213*AJ162+AK213*AK162+AL213*AL162+AM213*AM162+AN213*AN162+AO213*AO162+AP213*AP162+AQ213*AQ162+AR213*AR162+AS213*AS162+AT213*AT162+AU213*AU162+AV213*AV162+AW213*AW162+AX213*AX162+AY213*AY162+AZ213*AZ162+BA213*BA162+BB213*BB162+BC213*BC162+BD213*BD162+BE213*BE162+BF213*BF162+BG213*BG162+BH213*BH162+BI213*BI162+BJ213*BJ162+BK213*BK162+BL213*BL162+BM213*BM162+BN213*BN162+BO213*BO162+BP213*BP162+BQ213*BQ162+BR213*BR162+BS213*BS162+BT213*BT162+BU213*BU162+BV213*BV162+BW213*BW162+BX213*BX162+BY213*BY162+BZ213*BZ162+CA213*CA162+CB213*CB162+CC213*CC162+CD213*CD162+CE213*CE162+CF213*CF162+CG213*CG162+CH213*CH162</f>
        <v>0</v>
      </c>
      <c r="CO162" s="1952">
        <f>E214*E162+F214*F162+G214*G162+H214*H162+I214*I162+J214*J162+K214*K162+L214*L162+M214*M162+N214*N162+O214*O162+P214*P162+Q214*Q162+R214*R162+S214*S162+T214*T162+U214*U162+V214*V162+W214*W162+X214*X162+Y214*Y162+Z214*Z162+AA214*AA162+AB214*AB162+AC214*AC162+AD214*AD162+AE214*AE162+AF214*AF162+AG214*AG162+AH214*AH162+AI214*AI162+AJ214*AJ162+AK214*AK162+AL214*AL162+AM214*AM162+AN214*AN162+AO214*AO162+AP214*AP162+AQ214*AQ162+AR214*AR162+AS214*AS162+AT214*AT162+AU214*AU162+AV214*AV162+AW214*AW162+AX214*AX162+AY214*AY162+AZ214*AZ162+BA214*BA162+BB214*BB162+BC214*BC162+BD214*BD162+BE214*BE162+BF214*BF162+BG214*BG162+BH214*BH162+BI214*BI162+BJ214*BJ162+BK214*BK162+BL214*BL162+BM214*BM162+BN214*BN162+BO214*BO162+BP214*BP162+BQ214*BQ162+BR214*BR162+BS214*BS162+BT214*BT162+BU214*BU162+BV214*BV162+BW214*BW162+BX214*BX162+BY214*BY162+BZ214*BZ162+CA214*CA162+CB214*CB162+CC214*CC162+CD214*CD162+CE214*CE162+CF214*CF162+CG214*CG162+CH214*CH162</f>
        <v>0</v>
      </c>
      <c r="CP162" s="1952">
        <f>E215*E162+F215*F162+G215*G162+H215*H162+I215*I162+J215*J162+K215*K162+L215*L162+M215*M162+N215*N162+O215*O162+P215*P162+Q215*Q162+R215*R162+S215*S162+T215*T162+U215*U162+V215*V162+W215*W162+X215*X162+Y215*Y162+Z215*Z162+AA215*AA162+AB215*AB162+AC215*AC162+AD215*AD162+AE215*AE162+AF215*AF162+AG215*AG162+AH215*AH162+AI215*AI162+AJ215*AJ162+AK215*AK162+AL215*AL162+AM215*AM162+AN215*AN162+AO215*AO162+AP215*AP162+AQ215*AQ162+AR215*AR162+AS215*AS162+AT215*AT162+AU215*AU162+AV215*AV162+AW215*AW162+AX215*AX162+AY215*AY162+AZ215*AZ162+BA215*BA162+BB215*BB162+BC215*BC162+BD215*BD162+BE215*BE162+BF215*BF162+BG215*BG162+BH215*BH162+BI215*BI162+BJ215*BJ162+BK215*BK162+BL215*BL162+BM215*BM162+BN215*BN162+BO215*BO162+BP215*BP162+BQ215*BQ162+BR215*BR162+BS215*BS162+BT215*BT162+BU215*BU162+BV215*BV162+BW215*BW162+BX215*BX162+BY215*BY162+BZ215*BZ162+CA215*CA162+CB215*CB162+CC215*CC162+CD215*CD162+CE215*CE162+CF215*CF162+CG215*CG162+CH215*CH162</f>
        <v>0</v>
      </c>
      <c r="CQ162" s="1952">
        <f>E216*E162+F216*F162+G216*G162+H216*H162+I216*I162+J216*J162+K216*K162+L216*L162+M216*M162+N216*N162+O216*O162+P216*P162+Q216*Q162+R216*R162+S216*S162+T216*T162+U216*U162+V216*V162+W216*W162+X216*X162+Y216*Y162+Z216*Z162+AA216*AA162+AB216*AB162+AC216*AC162+AD216*AD162+AE216*AE162+AF216*AF162+AG216*AG162+AH216*AH162+AI216*AI162+AJ216*AJ162+AK216*AK162+AL216*AL162+AM216*AM162+AN216*AN162+AO216*AO162+AP216*AP162+AQ216*AQ162+AR216*AR162+AS216*AS162+AT216*AT162+AU216*AU162+AV216*AV162+AW216*AW162+AX216*AX162+AY216*AY162+AZ216*AZ162+BA216*BA162+BB216*BB162+BC216*BC162+BD216*BD162+BE216*BE162+BF216*BF162+BG216*BG162+BH216*BH162+BI216*BI162+BJ216*BJ162+BK216*BK162+BL216*BL162+BM216*BM162+BN216*BN162+BO216*BO162+BP216*BP162+BQ216*BQ162+BR216*BR162+BS216*BS162+BT216*BT162+BU216*BU162+BV216*BV162+BW216*BW162+BX216*BX162+BY216*BY162+BZ216*BZ162+CA216*CA162+CB216*CB162+CC216*CC162+CD216*CD162+CE216*CE162+CF216*CF162+CG216*CG162+CH216*CH162</f>
        <v>0</v>
      </c>
      <c r="CR162" s="1952">
        <f>E217*E162+F217*F162+G217*G162+H217*H162+I217*I162+J217*J162+K217*K162+L217*L162+M217*M162+N217*N162+O217*O162+P217*P162+Q217*Q162+R217*R162+S217*S162+T217*T162+U217*U162+V217*V162+W217*W162+X217*X162+Y217*Y162+Z217*Z162+AA217*AA162+AB217*AB162+AC217*AC162+AD217*AD162+AE217*AE162+AF217*AF162+AG217*AG162+AH217*AH162+AI217*AI162+AJ217*AJ162+AK217*AK162+AL217*AL162+AM217*AM162+AN217*AN162+AO217*AO162+AP217*AP162+AQ217*AQ162+AR217*AR162+AS217*AS162+AT217*AT162+AU217*AU162+AV217*AV162+AW217*AW162+AX217*AX162+AY217*AY162+AZ217*AZ162+BA217*BA162+BB217*BB162+BC217*BC162+BD217*BD162+BE217*BE162+BF217*BF162+BG217*BG162+BH217*BH162+BI217*BI162+BJ217*BJ162+BK217*BK162+BL217*BL162+BM217*BM162+BN217*BN162+BO217*BO162+BP217*BP162+BQ217*BQ162+BR217*BR162+BS217*BS162+BT217*BT162+BU217*BU162+BV217*BV162+BW217*BW162+BX217*BX162+BY217*BY162+BZ217*BZ162+CA217*CA162+CB217*CB162+CC217*CC162+CD217*CD162+CE217*CE162+CF217*CF162+CG217*CG162+CH217*CH162</f>
        <v>0</v>
      </c>
      <c r="CS162" s="1952">
        <f>E218*E162+F218*F162+G218*G162+H218*H162+I218*I162+J218*J162+K218*K162+L218*L162+M218*M162+N218*N162+O218*O162+P218*P162+Q218*Q162+R218*R162+S218*S162+T218*T162+U218*U162+V218*V162+W218*W162+X218*X162+Y218*Y162+Z218*Z162+AA218*AA162+AB218*AB162+AC218*AC162+AD218*AD162+AE218*AE162+AF218*AF162+AG218*AG162+AH218*AH162+AI218*AI162+AJ218*AJ162+AK218*AK162+AL218*AL162+AM218*AM162+AN218*AN162+AO218*AO162+AP218*AP162+AQ218*AQ162+AR218*AR162+AS218*AS162+AT218*AT162+AU218*AU162+AV218*AV162+AW218*AW162+AX218*AX162+AY218*AY162+AZ218*AZ162+BA218*BA162+BB218*BB162+BC218*BC162+BD218*BD162+BE218*BE162+BF218*BF162+BG218*BG162+BH218*BH162+BI218*BI162+BJ218*BJ162+BK218*BK162+BL218*BL162+BM218*BM162+BN218*BN162+BO218*BO162+BP218*BP162+BQ218*BQ162+BR218*BR162+BS218*BS162+BT218*BT162+BU218*BU162+BV218*BV162+BW218*BW162+BX218*BX162+BY218*BY162+BZ218*BZ162+CA218*CA162+CB218*CB162+CC218*CC162+CD218*CD162+CE218*CE162+CF218*CF162+CG218*CG162+CH218*CH162</f>
        <v>0</v>
      </c>
      <c r="CT162" s="1952">
        <f>E219*E162+F219*F162+G219*G162+H219*H162+I219*I162+J219*J162+K219*K162+L219*L162+M219*M162+N219*N162+O219*O162+P219*P162+Q219*Q162+R219*R162+S219*S162+T219*T162+U219*U162+V219*V162+W219*W162+X219*X162+Y219*Y162+Z219*Z162+AA219*AA162+AB219*AB162+AC219*AC162+AD219*AD162+AE219*AE162+AF219*AF162+AG219*AG162+AH219*AH162+AI219*AI162+AJ219*AJ162+AK219*AK162+AL219*AL162+AM219*AM162+AN219*AN162+AO219*AO162+AP219*AP162+AQ219*AQ162+AR219*AR162+AS219*AS162+AT219*AT162+AU219*AU162+AV219*AV162+AW219*AW162+AX219*AX162+AY219*AY162+AZ219*AZ162+BA219*BA162+BB219*BB162+BC219*BC162+BD219*BD162+BE219*BE162+BF219*BF162+BG219*BG162+BH219*BH162+BI219*BI162+BJ219*BJ162+BK219*BK162+BL219*BL162+BM219*BM162+BN219*BN162+BO219*BO162+BP219*BP162+BQ219*BQ162+BR219*BR162+BS219*BS162+BT219*BT162+BU219*BU162+BV219*BV162+BW219*BW162+BX219*BX162+BY219*BY162+BZ219*BZ162+CA219*CA162+CB219*CB162+CC219*CC162+CD219*CD162+CE219*CE162+CF219*CF162+CG219*CG162+CH219*CH162</f>
        <v>0</v>
      </c>
      <c r="CU162" s="1952">
        <f>E220*E162+F220*F162+G220*G162+H220*H162+I220*I162+J220*J162+K220*K162+L220*L162+M220*M162+N220*N162+O220*O162+P220*P162+Q220*Q162+R220*R162+S220*S162+T220*T162+U220*U162+V220*V162+W220*W162+X220*X162+Y220*Y162+Z220*Z162+AA220*AA162+AB220*AB162+AC220*AC162+AD220*AD162+AE220*AE162+AF220*AF162+AG220*AG162+AH220*AH162+AI220*AI162+AJ220*AJ162+AK220*AK162+AL220*AL162+AM220*AM162+AN220*AN162+AO220*AO162+AP220*AP162+AQ220*AQ162+AR220*AR162+AS220*AS162+AT220*AT162+AU220*AU162+AV220*AV162+AW220*AW162+AX220*AX162+AY220*AY162+AZ220*AZ162+BA220*BA162+BB220*BB162+BC220*BC162+BD220*BD162+BE220*BE162+BF220*BF162+BG220*BG162+BH220*BH162+BI220*BI162+BJ220*BJ162+BK220*BK162+BL220*BL162+BM220*BM162+BN220*BN162+BO220*BO162+BP220*BP162+BQ220*BQ162+BR220*BR162+BS220*BS162+BT220*BT162+BU220*BU162+BV220*BV162+BW220*BW162+BX220*BX162+BY220*BY162+BZ220*BZ162+CA220*CA162+CB220*CB162+CC220*CC162+CD220*CD162+CE220*CE162+CF220*CF162+CG220*CG162+CH220*CH162</f>
        <v>0</v>
      </c>
    </row>
    <row r="163" spans="2:99" ht="18" x14ac:dyDescent="0.25">
      <c r="B163" s="1046">
        <v>49</v>
      </c>
      <c r="C163" s="1124" t="s">
        <v>467</v>
      </c>
      <c r="D163" s="1125" t="s">
        <v>4969</v>
      </c>
      <c r="E163" s="2064">
        <f>0</f>
        <v>0</v>
      </c>
      <c r="F163" s="2064">
        <f>0</f>
        <v>0</v>
      </c>
      <c r="G163" s="2064">
        <f>0</f>
        <v>0</v>
      </c>
      <c r="H163" s="2064">
        <f>0</f>
        <v>0</v>
      </c>
      <c r="I163" s="2065">
        <f>0</f>
        <v>0</v>
      </c>
      <c r="J163" s="2065">
        <f>0</f>
        <v>0</v>
      </c>
      <c r="K163" s="2064">
        <f>0</f>
        <v>0</v>
      </c>
      <c r="L163" s="2064">
        <f>0</f>
        <v>0</v>
      </c>
      <c r="M163" s="2064">
        <f>0</f>
        <v>0</v>
      </c>
      <c r="N163" s="2064">
        <f>0</f>
        <v>0</v>
      </c>
      <c r="O163" s="2064">
        <f>0</f>
        <v>0</v>
      </c>
      <c r="P163" s="2064">
        <f>0</f>
        <v>0</v>
      </c>
      <c r="Q163" s="2064">
        <f>0</f>
        <v>0</v>
      </c>
      <c r="R163" s="2064">
        <f>0</f>
        <v>0</v>
      </c>
      <c r="S163" s="2064">
        <f>0</f>
        <v>0</v>
      </c>
      <c r="T163" s="2064">
        <f>0</f>
        <v>0</v>
      </c>
      <c r="U163" s="2064">
        <f>0</f>
        <v>0</v>
      </c>
      <c r="V163" s="2064">
        <f>0</f>
        <v>0</v>
      </c>
      <c r="W163" s="2064">
        <f>0</f>
        <v>0</v>
      </c>
      <c r="X163" s="2064">
        <f>0</f>
        <v>0</v>
      </c>
      <c r="Y163" s="2064">
        <f>1</f>
        <v>1</v>
      </c>
      <c r="Z163" s="2064">
        <f>0</f>
        <v>0</v>
      </c>
      <c r="AA163" s="2064">
        <f>0</f>
        <v>0</v>
      </c>
      <c r="AB163" s="2064">
        <f>-1</f>
        <v>-1</v>
      </c>
      <c r="AC163" s="2065">
        <f>0</f>
        <v>0</v>
      </c>
      <c r="AD163" s="2065">
        <f>0</f>
        <v>0</v>
      </c>
      <c r="AE163" s="2064">
        <f>0</f>
        <v>0</v>
      </c>
      <c r="AF163" s="2064">
        <f>0</f>
        <v>0</v>
      </c>
      <c r="AG163" s="2064">
        <f>0</f>
        <v>0</v>
      </c>
      <c r="AH163" s="2064">
        <f>0</f>
        <v>0</v>
      </c>
      <c r="AI163" s="2065">
        <f>0</f>
        <v>0</v>
      </c>
      <c r="AJ163" s="2065">
        <f>0</f>
        <v>0</v>
      </c>
      <c r="AK163" s="2064">
        <f>0</f>
        <v>0</v>
      </c>
      <c r="AL163" s="2064">
        <f>0</f>
        <v>0</v>
      </c>
      <c r="AM163" s="2064">
        <f>0</f>
        <v>0</v>
      </c>
      <c r="AN163" s="2064">
        <f>0</f>
        <v>0</v>
      </c>
      <c r="AO163" s="2064">
        <f>0</f>
        <v>0</v>
      </c>
      <c r="AP163" s="2064">
        <f>0</f>
        <v>0</v>
      </c>
      <c r="AQ163" s="2064">
        <f>0</f>
        <v>0</v>
      </c>
      <c r="AR163" s="2064">
        <f>0</f>
        <v>0</v>
      </c>
      <c r="AS163" s="2064">
        <f>0</f>
        <v>0</v>
      </c>
      <c r="AT163" s="2064">
        <f>0</f>
        <v>0</v>
      </c>
      <c r="AU163" s="2064">
        <f>0</f>
        <v>0</v>
      </c>
      <c r="AV163" s="2064">
        <f>0</f>
        <v>0</v>
      </c>
      <c r="AW163" s="2064">
        <f>0</f>
        <v>0</v>
      </c>
      <c r="AX163" s="2064">
        <f>0</f>
        <v>0</v>
      </c>
      <c r="AY163" s="2064">
        <f>0</f>
        <v>0</v>
      </c>
      <c r="AZ163" s="2064">
        <f>0</f>
        <v>0</v>
      </c>
      <c r="BA163" s="2064">
        <f>0</f>
        <v>0</v>
      </c>
      <c r="BB163" s="2064">
        <f>0</f>
        <v>0</v>
      </c>
      <c r="BC163" s="2064">
        <f>0</f>
        <v>0</v>
      </c>
      <c r="BD163" s="2064">
        <f>0</f>
        <v>0</v>
      </c>
      <c r="BE163" s="2064">
        <f>0</f>
        <v>0</v>
      </c>
      <c r="BF163" s="2064">
        <f>0</f>
        <v>0</v>
      </c>
      <c r="BG163" s="2064">
        <f>0</f>
        <v>0</v>
      </c>
      <c r="BH163" s="2064">
        <f>0</f>
        <v>0</v>
      </c>
      <c r="BI163" s="2064">
        <f>0</f>
        <v>0</v>
      </c>
      <c r="BJ163" s="2064">
        <f>0</f>
        <v>0</v>
      </c>
      <c r="BK163" s="2064">
        <f>0</f>
        <v>0</v>
      </c>
      <c r="BL163" s="2064">
        <f>0</f>
        <v>0</v>
      </c>
      <c r="BM163" s="2064">
        <f>0</f>
        <v>0</v>
      </c>
      <c r="BN163" s="2064">
        <f>0</f>
        <v>0</v>
      </c>
      <c r="BO163" s="2064">
        <f>0</f>
        <v>0</v>
      </c>
      <c r="BP163" s="2121">
        <f>0</f>
        <v>0</v>
      </c>
      <c r="BQ163" s="2121">
        <f>0</f>
        <v>0</v>
      </c>
      <c r="BR163" s="2121">
        <f>0</f>
        <v>0</v>
      </c>
      <c r="BS163" s="2121">
        <f>0</f>
        <v>0</v>
      </c>
      <c r="BT163" s="2064">
        <f>0</f>
        <v>0</v>
      </c>
      <c r="BU163" s="2064">
        <f>0</f>
        <v>0</v>
      </c>
      <c r="BV163" s="2064">
        <f>0</f>
        <v>0</v>
      </c>
      <c r="BW163" s="2064">
        <f>0</f>
        <v>0</v>
      </c>
      <c r="BX163" s="2064">
        <f>0</f>
        <v>0</v>
      </c>
      <c r="BY163" s="2064">
        <f>0</f>
        <v>0</v>
      </c>
      <c r="BZ163" s="2064">
        <f>0</f>
        <v>0</v>
      </c>
      <c r="CA163" s="2064">
        <f>0</f>
        <v>0</v>
      </c>
      <c r="CB163" s="2064">
        <f>0</f>
        <v>0</v>
      </c>
      <c r="CC163" s="2064">
        <f>0</f>
        <v>0</v>
      </c>
      <c r="CD163" s="2064">
        <f>0</f>
        <v>0</v>
      </c>
      <c r="CE163" s="2064">
        <f>0</f>
        <v>0</v>
      </c>
      <c r="CF163" s="2064">
        <f>0</f>
        <v>0</v>
      </c>
      <c r="CG163" s="2064">
        <f>0</f>
        <v>0</v>
      </c>
      <c r="CH163" s="2064">
        <f>0</f>
        <v>0</v>
      </c>
      <c r="CI163" s="2145">
        <f>q_AMMON_T*S_N_B*X_HET</f>
        <v>25.0075</v>
      </c>
      <c r="CK163" s="1950">
        <f>E210*E163+F210*F163+G210*G163+H210*H163+I210*I163+J210*J163+K210*K163+L210*L163+M210*M163+N210*N163+O210*O163+P210*P163+Q210*Q163+R210*R163+S210*S163+T210*T163+U210*U163+V210*V163+W210*W163+X210*X163+Y210*Y163+Z210*Z163+AA210*AA163+AB210*AB163+AC210*AC163+AD210*AD163+AE210*AE163+AF210*AF163+AG210*AG163+AH210*AH163+AI210*AI163+AJ210*AJ163+AK210*AK163+AL210*AL163+AM210*AM163+AN210*AN163+AO210*AO163+AP210*AP163+AQ210*AQ163+AR210*AR163+AS210*AS163+AT210*AT163+AU210*AU163+AV210*AV163+AW210*AW163+AX210*AX163+AY210*AY163+AZ210*AZ163+BA210*BA163+BB210*BB163+BC210*BC163+BD210*BD163+BE210*BE163+BF210*BF163+BG210*BG163+BH210*BH163+BI210*BI163+BJ210*BJ163+BK210*BK163+BL210*BL163+BM210*BM163+BN210*BN163+BO210*BO163+BP210*BP163+BQ210*BQ163+BR210*BR163+BS210*BS163+BT210*BT163+BU210*BU163+BV210*BV163+BW210*BW163+BX210*BX163+BY210*BY163+BZ210*BZ163+CA210*CA163+CB210*CB163+CC210*CC163+CD210*CD163+CE210*CE163+CF210*CF163+CG210*CG163+CH210*CH163</f>
        <v>0</v>
      </c>
      <c r="CL163" s="1950">
        <f>E211*E163+F211*F163+G211*G163+H211*H163+I211*I163+J211*J163+K211*K163+L211*L163+M211*M163+N211*N163+O211*O163+P211*P163+Q211*Q163+R211*R163+S211*S163+T211*T163+U211*U163+V211*V163+W211*W163+X211*X163+Y211*Y163+Z211*Z163+AA211*AA163+AB211*AB163+AC211*AC163+AD211*AD163+AE211*AE163+AF211*AF163+AG211*AG163+AH211*AH163+AI211*AI163+AJ211*AJ163+AK211*AK163+AL211*AL163+AM211*AM163+AN211*AN163+AO211*AO163+AP211*AP163+AQ211*AQ163+AR211*AR163+AS211*AS163+AT211*AT163+AU211*AU163+AV211*AV163+AW211*AW163+AX211*AX163+AY211*AY163+AZ211*AZ163+BA211*BA163+BB211*BB163+BC211*BC163+BD211*BD163+BE211*BE163+BF211*BF163+BG211*BG163+BH211*BH163+BI211*BI163+BJ211*BJ163+BK211*BK163+BL211*BL163+BM211*BM163+BN211*BN163+BO211*BO163+BP211*BP163+BQ211*BQ163+BR211*BR163+BS211*BS163+BT211*BT163+BU211*BU163+BV211*BV163+BW211*BW163+BX211*BX163+BY211*BY163+BZ211*BZ163+CA211*CA163+CB211*CB163+CC211*CC163+CD211*CD163+CE211*CE163+CF211*CF163+CG211*CG163+CH211*CH163</f>
        <v>0</v>
      </c>
      <c r="CM163" s="1951">
        <f>E212*E163+F212*F163+G212*G163+H212*H163+I212*I163+J212*J163+K212*K163+L212*L163+M212*M163+N212*N163+O212*O163+P212*P163+Q212*Q163+R212*R163+S212*S163+T212*T163+U212*U163+V212*V163+W212*W163+X212*X163+Y212*Y163+Z212*Z163+AA212*AA163+AB212*AB163+AC212*AC163+AD212*AD163+AE212*AE163+AF212*AF163+AG212*AG163+AH212*AH163+AI212*AI163+AJ212*AJ163+AK212*AK163+AL212*AL163+AM212*AM163+AN212*AN163+AO212*AO163+AP212*AP163+AQ212*AQ163+AR212*AR163+AS212*AS163+AT212*AT163+AU212*AU163+AV212*AV163+AW212*AW163+AX212*AX163+AY212*AY163+AZ212*AZ163+BA212*BA163+BB212*BB163+BC212*BC163+BD212*BD163+BE212*BE163+BF212*BF163+BG212*BG163+BH212*BH163+BI212*BI163+BJ212*BJ163+BK212*BK163+BL212*BL163+BM212*BM163+BN212*BN163+BO212*BO163+BP212*BP163+BQ212*BQ163+BR212*BR163+BS212*BS163+BT212*BT163+BU212*BU163+BV212*BV163+BW212*BW163+BX212*BX163+BY212*BY163+BZ212*BZ163+CA212*CA163+CB212*CB163+CC212*CC163+CD212*CD163+CE212*CE163+CF212*CF163+CG212*CG163+CH212*CH163</f>
        <v>0</v>
      </c>
      <c r="CN163" s="1952">
        <f>E213*E163+F213*F163+G213*G163+H213*H163+I213*I163+J213*J163+K213*K163+L213*L163+M213*M163+N213*N163+O213*O163+P213*P163+Q213*Q163+R213*R163+S213*S163+T213*T163+U213*U163+V213*V163+W213*W163+X213*X163+Y213*Y163+Z213*Z163+AA213*AA163+AB213*AB163+AC213*AC163+AD213*AD163+AE213*AE163+AF213*AF163+AG213*AG163+AH213*AH163+AI213*AI163+AJ213*AJ163+AK213*AK163+AL213*AL163+AM213*AM163+AN213*AN163+AO213*AO163+AP213*AP163+AQ213*AQ163+AR213*AR163+AS213*AS163+AT213*AT163+AU213*AU163+AV213*AV163+AW213*AW163+AX213*AX163+AY213*AY163+AZ213*AZ163+BA213*BA163+BB213*BB163+BC213*BC163+BD213*BD163+BE213*BE163+BF213*BF163+BG213*BG163+BH213*BH163+BI213*BI163+BJ213*BJ163+BK213*BK163+BL213*BL163+BM213*BM163+BN213*BN163+BO213*BO163+BP213*BP163+BQ213*BQ163+BR213*BR163+BS213*BS163+BT213*BT163+BU213*BU163+BV213*BV163+BW213*BW163+BX213*BX163+BY213*BY163+BZ213*BZ163+CA213*CA163+CB213*CB163+CC213*CC163+CD213*CD163+CE213*CE163+CF213*CF163+CG213*CG163+CH213*CH163</f>
        <v>0</v>
      </c>
      <c r="CO163" s="1952">
        <f>E214*E163+F214*F163+G214*G163+H214*H163+I214*I163+J214*J163+K214*K163+L214*L163+M214*M163+N214*N163+O214*O163+P214*P163+Q214*Q163+R214*R163+S214*S163+T214*T163+U214*U163+V214*V163+W214*W163+X214*X163+Y214*Y163+Z214*Z163+AA214*AA163+AB214*AB163+AC214*AC163+AD214*AD163+AE214*AE163+AF214*AF163+AG214*AG163+AH214*AH163+AI214*AI163+AJ214*AJ163+AK214*AK163+AL214*AL163+AM214*AM163+AN214*AN163+AO214*AO163+AP214*AP163+AQ214*AQ163+AR214*AR163+AS214*AS163+AT214*AT163+AU214*AU163+AV214*AV163+AW214*AW163+AX214*AX163+AY214*AY163+AZ214*AZ163+BA214*BA163+BB214*BB163+BC214*BC163+BD214*BD163+BE214*BE163+BF214*BF163+BG214*BG163+BH214*BH163+BI214*BI163+BJ214*BJ163+BK214*BK163+BL214*BL163+BM214*BM163+BN214*BN163+BO214*BO163+BP214*BP163+BQ214*BQ163+BR214*BR163+BS214*BS163+BT214*BT163+BU214*BU163+BV214*BV163+BW214*BW163+BX214*BX163+BY214*BY163+BZ214*BZ163+CA214*CA163+CB214*CB163+CC214*CC163+CD214*CD163+CE214*CE163+CF214*CF163+CG214*CG163+CH214*CH163</f>
        <v>0</v>
      </c>
      <c r="CP163" s="1952">
        <f>E215*E163+F215*F163+G215*G163+H215*H163+I215*I163+J215*J163+K215*K163+L215*L163+M215*M163+N215*N163+O215*O163+P215*P163+Q215*Q163+R215*R163+S215*S163+T215*T163+U215*U163+V215*V163+W215*W163+X215*X163+Y215*Y163+Z215*Z163+AA215*AA163+AB215*AB163+AC215*AC163+AD215*AD163+AE215*AE163+AF215*AF163+AG215*AG163+AH215*AH163+AI215*AI163+AJ215*AJ163+AK215*AK163+AL215*AL163+AM215*AM163+AN215*AN163+AO215*AO163+AP215*AP163+AQ215*AQ163+AR215*AR163+AS215*AS163+AT215*AT163+AU215*AU163+AV215*AV163+AW215*AW163+AX215*AX163+AY215*AY163+AZ215*AZ163+BA215*BA163+BB215*BB163+BC215*BC163+BD215*BD163+BE215*BE163+BF215*BF163+BG215*BG163+BH215*BH163+BI215*BI163+BJ215*BJ163+BK215*BK163+BL215*BL163+BM215*BM163+BN215*BN163+BO215*BO163+BP215*BP163+BQ215*BQ163+BR215*BR163+BS215*BS163+BT215*BT163+BU215*BU163+BV215*BV163+BW215*BW163+BX215*BX163+BY215*BY163+BZ215*BZ163+CA215*CA163+CB215*CB163+CC215*CC163+CD215*CD163+CE215*CE163+CF215*CF163+CG215*CG163+CH215*CH163</f>
        <v>0</v>
      </c>
      <c r="CQ163" s="1952">
        <f>E216*E163+F216*F163+G216*G163+H216*H163+I216*I163+J216*J163+K216*K163+L216*L163+M216*M163+N216*N163+O216*O163+P216*P163+Q216*Q163+R216*R163+S216*S163+T216*T163+U216*U163+V216*V163+W216*W163+X216*X163+Y216*Y163+Z216*Z163+AA216*AA163+AB216*AB163+AC216*AC163+AD216*AD163+AE216*AE163+AF216*AF163+AG216*AG163+AH216*AH163+AI216*AI163+AJ216*AJ163+AK216*AK163+AL216*AL163+AM216*AM163+AN216*AN163+AO216*AO163+AP216*AP163+AQ216*AQ163+AR216*AR163+AS216*AS163+AT216*AT163+AU216*AU163+AV216*AV163+AW216*AW163+AX216*AX163+AY216*AY163+AZ216*AZ163+BA216*BA163+BB216*BB163+BC216*BC163+BD216*BD163+BE216*BE163+BF216*BF163+BG216*BG163+BH216*BH163+BI216*BI163+BJ216*BJ163+BK216*BK163+BL216*BL163+BM216*BM163+BN216*BN163+BO216*BO163+BP216*BP163+BQ216*BQ163+BR216*BR163+BS216*BS163+BT216*BT163+BU216*BU163+BV216*BV163+BW216*BW163+BX216*BX163+BY216*BY163+BZ216*BZ163+CA216*CA163+CB216*CB163+CC216*CC163+CD216*CD163+CE216*CE163+CF216*CF163+CG216*CG163+CH216*CH163</f>
        <v>0</v>
      </c>
      <c r="CR163" s="1952">
        <f>E217*E163+F217*F163+G217*G163+H217*H163+I217*I163+J217*J163+K217*K163+L217*L163+M217*M163+N217*N163+O217*O163+P217*P163+Q217*Q163+R217*R163+S217*S163+T217*T163+U217*U163+V217*V163+W217*W163+X217*X163+Y217*Y163+Z217*Z163+AA217*AA163+AB217*AB163+AC217*AC163+AD217*AD163+AE217*AE163+AF217*AF163+AG217*AG163+AH217*AH163+AI217*AI163+AJ217*AJ163+AK217*AK163+AL217*AL163+AM217*AM163+AN217*AN163+AO217*AO163+AP217*AP163+AQ217*AQ163+AR217*AR163+AS217*AS163+AT217*AT163+AU217*AU163+AV217*AV163+AW217*AW163+AX217*AX163+AY217*AY163+AZ217*AZ163+BA217*BA163+BB217*BB163+BC217*BC163+BD217*BD163+BE217*BE163+BF217*BF163+BG217*BG163+BH217*BH163+BI217*BI163+BJ217*BJ163+BK217*BK163+BL217*BL163+BM217*BM163+BN217*BN163+BO217*BO163+BP217*BP163+BQ217*BQ163+BR217*BR163+BS217*BS163+BT217*BT163+BU217*BU163+BV217*BV163+BW217*BW163+BX217*BX163+BY217*BY163+BZ217*BZ163+CA217*CA163+CB217*CB163+CC217*CC163+CD217*CD163+CE217*CE163+CF217*CF163+CG217*CG163+CH217*CH163</f>
        <v>0</v>
      </c>
      <c r="CS163" s="1952">
        <f>E218*E163+F218*F163+G218*G163+H218*H163+I218*I163+J218*J163+K218*K163+L218*L163+M218*M163+N218*N163+O218*O163+P218*P163+Q218*Q163+R218*R163+S218*S163+T218*T163+U218*U163+V218*V163+W218*W163+X218*X163+Y218*Y163+Z218*Z163+AA218*AA163+AB218*AB163+AC218*AC163+AD218*AD163+AE218*AE163+AF218*AF163+AG218*AG163+AH218*AH163+AI218*AI163+AJ218*AJ163+AK218*AK163+AL218*AL163+AM218*AM163+AN218*AN163+AO218*AO163+AP218*AP163+AQ218*AQ163+AR218*AR163+AS218*AS163+AT218*AT163+AU218*AU163+AV218*AV163+AW218*AW163+AX218*AX163+AY218*AY163+AZ218*AZ163+BA218*BA163+BB218*BB163+BC218*BC163+BD218*BD163+BE218*BE163+BF218*BF163+BG218*BG163+BH218*BH163+BI218*BI163+BJ218*BJ163+BK218*BK163+BL218*BL163+BM218*BM163+BN218*BN163+BO218*BO163+BP218*BP163+BQ218*BQ163+BR218*BR163+BS218*BS163+BT218*BT163+BU218*BU163+BV218*BV163+BW218*BW163+BX218*BX163+BY218*BY163+BZ218*BZ163+CA218*CA163+CB218*CB163+CC218*CC163+CD218*CD163+CE218*CE163+CF218*CF163+CG218*CG163+CH218*CH163</f>
        <v>0</v>
      </c>
      <c r="CT163" s="1952">
        <f>E219*E163+F219*F163+G219*G163+H219*H163+I219*I163+J219*J163+K219*K163+L219*L163+M219*M163+N219*N163+O219*O163+P219*P163+Q219*Q163+R219*R163+S219*S163+T219*T163+U219*U163+V219*V163+W219*W163+X219*X163+Y219*Y163+Z219*Z163+AA219*AA163+AB219*AB163+AC219*AC163+AD219*AD163+AE219*AE163+AF219*AF163+AG219*AG163+AH219*AH163+AI219*AI163+AJ219*AJ163+AK219*AK163+AL219*AL163+AM219*AM163+AN219*AN163+AO219*AO163+AP219*AP163+AQ219*AQ163+AR219*AR163+AS219*AS163+AT219*AT163+AU219*AU163+AV219*AV163+AW219*AW163+AX219*AX163+AY219*AY163+AZ219*AZ163+BA219*BA163+BB219*BB163+BC219*BC163+BD219*BD163+BE219*BE163+BF219*BF163+BG219*BG163+BH219*BH163+BI219*BI163+BJ219*BJ163+BK219*BK163+BL219*BL163+BM219*BM163+BN219*BN163+BO219*BO163+BP219*BP163+BQ219*BQ163+BR219*BR163+BS219*BS163+BT219*BT163+BU219*BU163+BV219*BV163+BW219*BW163+BX219*BX163+BY219*BY163+BZ219*BZ163+CA219*CA163+CB219*CB163+CC219*CC163+CD219*CD163+CE219*CE163+CF219*CF163+CG219*CG163+CH219*CH163</f>
        <v>0</v>
      </c>
      <c r="CU163" s="1952">
        <f>E220*E163+F220*F163+G220*G163+H220*H163+I220*I163+J220*J163+K220*K163+L220*L163+M220*M163+N220*N163+O220*O163+P220*P163+Q220*Q163+R220*R163+S220*S163+T220*T163+U220*U163+V220*V163+W220*W163+X220*X163+Y220*Y163+Z220*Z163+AA220*AA163+AB220*AB163+AC220*AC163+AD220*AD163+AE220*AE163+AF220*AF163+AG220*AG163+AH220*AH163+AI220*AI163+AJ220*AJ163+AK220*AK163+AL220*AL163+AM220*AM163+AN220*AN163+AO220*AO163+AP220*AP163+AQ220*AQ163+AR220*AR163+AS220*AS163+AT220*AT163+AU220*AU163+AV220*AV163+AW220*AW163+AX220*AX163+AY220*AY163+AZ220*AZ163+BA220*BA163+BB220*BB163+BC220*BC163+BD220*BD163+BE220*BE163+BF220*BF163+BG220*BG163+BH220*BH163+BI220*BI163+BJ220*BJ163+BK220*BK163+BL220*BL163+BM220*BM163+BN220*BN163+BO220*BO163+BP220*BP163+BQ220*BQ163+BR220*BR163+BS220*BS163+BT220*BT163+BU220*BU163+BV220*BV163+BW220*BW163+BX220*BX163+BY220*BY163+BZ220*BZ163+CA220*CA163+CB220*CB163+CC220*CC163+CD220*CD163+CE220*CE163+CF220*CF163+CG220*CG163+CH220*CH163</f>
        <v>0</v>
      </c>
    </row>
    <row r="164" spans="2:99" ht="18" x14ac:dyDescent="0.25">
      <c r="B164" s="1046">
        <v>50</v>
      </c>
      <c r="C164" s="1124" t="s">
        <v>2121</v>
      </c>
      <c r="D164" s="1125" t="s">
        <v>1680</v>
      </c>
      <c r="E164" s="2064">
        <f>0</f>
        <v>0</v>
      </c>
      <c r="F164" s="2064">
        <f>0</f>
        <v>0</v>
      </c>
      <c r="G164" s="2064">
        <f>0</f>
        <v>0</v>
      </c>
      <c r="H164" s="2064">
        <f>0</f>
        <v>0</v>
      </c>
      <c r="I164" s="2065">
        <f>0</f>
        <v>0</v>
      </c>
      <c r="J164" s="2065">
        <f>0</f>
        <v>0</v>
      </c>
      <c r="K164" s="2064">
        <f>0</f>
        <v>0</v>
      </c>
      <c r="L164" s="2064">
        <f>0</f>
        <v>0</v>
      </c>
      <c r="M164" s="2064">
        <f>0</f>
        <v>0</v>
      </c>
      <c r="N164" s="2064">
        <f>0</f>
        <v>0</v>
      </c>
      <c r="O164" s="2064">
        <f>0</f>
        <v>0</v>
      </c>
      <c r="P164" s="2064">
        <f>0</f>
        <v>0</v>
      </c>
      <c r="Q164" s="2064">
        <f>0</f>
        <v>0</v>
      </c>
      <c r="R164" s="2064">
        <f>0</f>
        <v>0</v>
      </c>
      <c r="S164" s="2064">
        <f>0</f>
        <v>0</v>
      </c>
      <c r="T164" s="2064">
        <f>0</f>
        <v>0</v>
      </c>
      <c r="U164" s="2064">
        <f>0</f>
        <v>0</v>
      </c>
      <c r="V164" s="2064">
        <f>0</f>
        <v>0</v>
      </c>
      <c r="W164" s="2064">
        <f>0</f>
        <v>0</v>
      </c>
      <c r="X164" s="2064">
        <f>0</f>
        <v>0</v>
      </c>
      <c r="Y164" s="2064">
        <f>0</f>
        <v>0</v>
      </c>
      <c r="Z164" s="2064">
        <f>0</f>
        <v>0</v>
      </c>
      <c r="AA164" s="2064">
        <f>0</f>
        <v>0</v>
      </c>
      <c r="AB164" s="2064">
        <f>0</f>
        <v>0</v>
      </c>
      <c r="AC164" s="2065">
        <f>0</f>
        <v>0</v>
      </c>
      <c r="AD164" s="2065">
        <f>0</f>
        <v>0</v>
      </c>
      <c r="AE164" s="2064">
        <f>0</f>
        <v>0</v>
      </c>
      <c r="AF164" s="2064">
        <f>1</f>
        <v>1</v>
      </c>
      <c r="AG164" s="2064">
        <f>0</f>
        <v>0</v>
      </c>
      <c r="AH164" s="2064">
        <f>-1</f>
        <v>-1</v>
      </c>
      <c r="AI164" s="2065">
        <f>0</f>
        <v>0</v>
      </c>
      <c r="AJ164" s="2065">
        <f>0</f>
        <v>0</v>
      </c>
      <c r="AK164" s="2064">
        <f>0</f>
        <v>0</v>
      </c>
      <c r="AL164" s="2064">
        <f>0</f>
        <v>0</v>
      </c>
      <c r="AM164" s="2064">
        <f>0</f>
        <v>0</v>
      </c>
      <c r="AN164" s="2064">
        <f>0</f>
        <v>0</v>
      </c>
      <c r="AO164" s="2064">
        <f>0</f>
        <v>0</v>
      </c>
      <c r="AP164" s="2064">
        <f>0</f>
        <v>0</v>
      </c>
      <c r="AQ164" s="2064">
        <f>0</f>
        <v>0</v>
      </c>
      <c r="AR164" s="2064">
        <f>0</f>
        <v>0</v>
      </c>
      <c r="AS164" s="2064">
        <f>0</f>
        <v>0</v>
      </c>
      <c r="AT164" s="2064">
        <f>0</f>
        <v>0</v>
      </c>
      <c r="AU164" s="2064">
        <f>0</f>
        <v>0</v>
      </c>
      <c r="AV164" s="2064">
        <f>0</f>
        <v>0</v>
      </c>
      <c r="AW164" s="2064">
        <f>0</f>
        <v>0</v>
      </c>
      <c r="AX164" s="2064">
        <f>0</f>
        <v>0</v>
      </c>
      <c r="AY164" s="2064">
        <f>0</f>
        <v>0</v>
      </c>
      <c r="AZ164" s="2064">
        <f>0</f>
        <v>0</v>
      </c>
      <c r="BA164" s="2064">
        <f>0</f>
        <v>0</v>
      </c>
      <c r="BB164" s="2064">
        <f>0</f>
        <v>0</v>
      </c>
      <c r="BC164" s="2064">
        <f>0</f>
        <v>0</v>
      </c>
      <c r="BD164" s="2064">
        <f>0</f>
        <v>0</v>
      </c>
      <c r="BE164" s="2064">
        <f>0</f>
        <v>0</v>
      </c>
      <c r="BF164" s="2064">
        <f>0</f>
        <v>0</v>
      </c>
      <c r="BG164" s="2064">
        <f>0</f>
        <v>0</v>
      </c>
      <c r="BH164" s="2064">
        <f>0</f>
        <v>0</v>
      </c>
      <c r="BI164" s="2064">
        <f>0</f>
        <v>0</v>
      </c>
      <c r="BJ164" s="2064">
        <f>0</f>
        <v>0</v>
      </c>
      <c r="BK164" s="2064">
        <f>0</f>
        <v>0</v>
      </c>
      <c r="BL164" s="2064">
        <f>0</f>
        <v>0</v>
      </c>
      <c r="BM164" s="2064">
        <f>0</f>
        <v>0</v>
      </c>
      <c r="BN164" s="2064">
        <f>0</f>
        <v>0</v>
      </c>
      <c r="BO164" s="2064">
        <f>0</f>
        <v>0</v>
      </c>
      <c r="BP164" s="2121">
        <f>0</f>
        <v>0</v>
      </c>
      <c r="BQ164" s="2121">
        <f>0</f>
        <v>0</v>
      </c>
      <c r="BR164" s="2121">
        <f>0</f>
        <v>0</v>
      </c>
      <c r="BS164" s="2121">
        <f>0</f>
        <v>0</v>
      </c>
      <c r="BT164" s="2064">
        <f>0</f>
        <v>0</v>
      </c>
      <c r="BU164" s="2064">
        <f>0</f>
        <v>0</v>
      </c>
      <c r="BV164" s="2064">
        <f>0</f>
        <v>0</v>
      </c>
      <c r="BW164" s="2064">
        <f>0</f>
        <v>0</v>
      </c>
      <c r="BX164" s="2064">
        <f>0</f>
        <v>0</v>
      </c>
      <c r="BY164" s="2064">
        <f>0</f>
        <v>0</v>
      </c>
      <c r="BZ164" s="2064">
        <f>0</f>
        <v>0</v>
      </c>
      <c r="CA164" s="2064">
        <f>0</f>
        <v>0</v>
      </c>
      <c r="CB164" s="2064">
        <f>0</f>
        <v>0</v>
      </c>
      <c r="CC164" s="2064">
        <f>0</f>
        <v>0</v>
      </c>
      <c r="CD164" s="2064">
        <f>0</f>
        <v>0</v>
      </c>
      <c r="CE164" s="2064">
        <f>0</f>
        <v>0</v>
      </c>
      <c r="CF164" s="2064">
        <f>0</f>
        <v>0</v>
      </c>
      <c r="CG164" s="2064">
        <f>0</f>
        <v>0</v>
      </c>
      <c r="CH164" s="2064">
        <f>0</f>
        <v>0</v>
      </c>
      <c r="CI164" s="2145">
        <f>q_SPB_T*S_P_B*X_HET</f>
        <v>5.0015000000000001</v>
      </c>
      <c r="CK164" s="1950">
        <f>E210*E164+F210*F164+G210*G164+H210*H164+I210*I164+J210*J164+K210*K164+L210*L164+M210*M164+N210*N164+O210*O164+P210*P164+Q210*Q164+R210*R164+S210*S164+T210*T164+U210*U164+V210*V164+W210*W164+X210*X164+Y210*Y164+Z210*Z164+AA210*AA164+AB210*AB164+AC210*AC164+AD210*AD164+AE210*AE164+AF210*AF164+AG210*AG164+AH210*AH164+AI210*AI164+AJ210*AJ164+AK210*AK164+AL210*AL164+AM210*AM164+AN210*AN164+AO210*AO164+AP210*AP164+AQ210*AQ164+AR210*AR164+AS210*AS164+AT210*AT164+AU210*AU164+AV210*AV164+AW210*AW164+AX210*AX164+AY210*AY164+AZ210*AZ164+BA210*BA164+BB210*BB164+BC210*BC164+BD210*BD164+BE210*BE164+BF210*BF164+BG210*BG164+BH210*BH164+BI210*BI164+BJ210*BJ164+BK210*BK164+BL210*BL164+BM210*BM164+BN210*BN164+BO210*BO164+BP210*BP164+BQ210*BQ164+BR210*BR164+BS210*BS164+BT210*BT164+BU210*BU164+BV210*BV164+BW210*BW164+BX210*BX164+BY210*BY164+BZ210*BZ164+CA210*CA164+CB210*CB164+CC210*CC164+CD210*CD164+CE210*CE164+CF210*CF164+CG210*CG164+CH210*CH164</f>
        <v>0</v>
      </c>
      <c r="CL164" s="1950">
        <f>E211*E164+F211*F164+G211*G164+H211*H164+I211*I164+J211*J164+K211*K164+L211*L164+M211*M164+N211*N164+O211*O164+P211*P164+Q211*Q164+R211*R164+S211*S164+T211*T164+U211*U164+V211*V164+W211*W164+X211*X164+Y211*Y164+Z211*Z164+AA211*AA164+AB211*AB164+AC211*AC164+AD211*AD164+AE211*AE164+AF211*AF164+AG211*AG164+AH211*AH164+AI211*AI164+AJ211*AJ164+AK211*AK164+AL211*AL164+AM211*AM164+AN211*AN164+AO211*AO164+AP211*AP164+AQ211*AQ164+AR211*AR164+AS211*AS164+AT211*AT164+AU211*AU164+AV211*AV164+AW211*AW164+AX211*AX164+AY211*AY164+AZ211*AZ164+BA211*BA164+BB211*BB164+BC211*BC164+BD211*BD164+BE211*BE164+BF211*BF164+BG211*BG164+BH211*BH164+BI211*BI164+BJ211*BJ164+BK211*BK164+BL211*BL164+BM211*BM164+BN211*BN164+BO211*BO164+BP211*BP164+BQ211*BQ164+BR211*BR164+BS211*BS164+BT211*BT164+BU211*BU164+BV211*BV164+BW211*BW164+BX211*BX164+BY211*BY164+BZ211*BZ164+CA211*CA164+CB211*CB164+CC211*CC164+CD211*CD164+CE211*CE164+CF211*CF164+CG211*CG164+CH211*CH164</f>
        <v>0</v>
      </c>
      <c r="CM164" s="1951">
        <f>E212*E164+F212*F164+G212*G164+H212*H164+I212*I164+J212*J164+K212*K164+L212*L164+M212*M164+N212*N164+O212*O164+P212*P164+Q212*Q164+R212*R164+S212*S164+T212*T164+U212*U164+V212*V164+W212*W164+X212*X164+Y212*Y164+Z212*Z164+AA212*AA164+AB212*AB164+AC212*AC164+AD212*AD164+AE212*AE164+AF212*AF164+AG212*AG164+AH212*AH164+AI212*AI164+AJ212*AJ164+AK212*AK164+AL212*AL164+AM212*AM164+AN212*AN164+AO212*AO164+AP212*AP164+AQ212*AQ164+AR212*AR164+AS212*AS164+AT212*AT164+AU212*AU164+AV212*AV164+AW212*AW164+AX212*AX164+AY212*AY164+AZ212*AZ164+BA212*BA164+BB212*BB164+BC212*BC164+BD212*BD164+BE212*BE164+BF212*BF164+BG212*BG164+BH212*BH164+BI212*BI164+BJ212*BJ164+BK212*BK164+BL212*BL164+BM212*BM164+BN212*BN164+BO212*BO164+BP212*BP164+BQ212*BQ164+BR212*BR164+BS212*BS164+BT212*BT164+BU212*BU164+BV212*BV164+BW212*BW164+BX212*BX164+BY212*BY164+BZ212*BZ164+CA212*CA164+CB212*CB164+CC212*CC164+CD212*CD164+CE212*CE164+CF212*CF164+CG212*CG164+CH212*CH164</f>
        <v>0</v>
      </c>
      <c r="CN164" s="1952">
        <f>E213*E164+F213*F164+G213*G164+H213*H164+I213*I164+J213*J164+K213*K164+L213*L164+M213*M164+N213*N164+O213*O164+P213*P164+Q213*Q164+R213*R164+S213*S164+T213*T164+U213*U164+V213*V164+W213*W164+X213*X164+Y213*Y164+Z213*Z164+AA213*AA164+AB213*AB164+AC213*AC164+AD213*AD164+AE213*AE164+AF213*AF164+AG213*AG164+AH213*AH164+AI213*AI164+AJ213*AJ164+AK213*AK164+AL213*AL164+AM213*AM164+AN213*AN164+AO213*AO164+AP213*AP164+AQ213*AQ164+AR213*AR164+AS213*AS164+AT213*AT164+AU213*AU164+AV213*AV164+AW213*AW164+AX213*AX164+AY213*AY164+AZ213*AZ164+BA213*BA164+BB213*BB164+BC213*BC164+BD213*BD164+BE213*BE164+BF213*BF164+BG213*BG164+BH213*BH164+BI213*BI164+BJ213*BJ164+BK213*BK164+BL213*BL164+BM213*BM164+BN213*BN164+BO213*BO164+BP213*BP164+BQ213*BQ164+BR213*BR164+BS213*BS164+BT213*BT164+BU213*BU164+BV213*BV164+BW213*BW164+BX213*BX164+BY213*BY164+BZ213*BZ164+CA213*CA164+CB213*CB164+CC213*CC164+CD213*CD164+CE213*CE164+CF213*CF164+CG213*CG164+CH213*CH164</f>
        <v>0</v>
      </c>
      <c r="CO164" s="1952">
        <f>E214*E164+F214*F164+G214*G164+H214*H164+I214*I164+J214*J164+K214*K164+L214*L164+M214*M164+N214*N164+O214*O164+P214*P164+Q214*Q164+R214*R164+S214*S164+T214*T164+U214*U164+V214*V164+W214*W164+X214*X164+Y214*Y164+Z214*Z164+AA214*AA164+AB214*AB164+AC214*AC164+AD214*AD164+AE214*AE164+AF214*AF164+AG214*AG164+AH214*AH164+AI214*AI164+AJ214*AJ164+AK214*AK164+AL214*AL164+AM214*AM164+AN214*AN164+AO214*AO164+AP214*AP164+AQ214*AQ164+AR214*AR164+AS214*AS164+AT214*AT164+AU214*AU164+AV214*AV164+AW214*AW164+AX214*AX164+AY214*AY164+AZ214*AZ164+BA214*BA164+BB214*BB164+BC214*BC164+BD214*BD164+BE214*BE164+BF214*BF164+BG214*BG164+BH214*BH164+BI214*BI164+BJ214*BJ164+BK214*BK164+BL214*BL164+BM214*BM164+BN214*BN164+BO214*BO164+BP214*BP164+BQ214*BQ164+BR214*BR164+BS214*BS164+BT214*BT164+BU214*BU164+BV214*BV164+BW214*BW164+BX214*BX164+BY214*BY164+BZ214*BZ164+CA214*CA164+CB214*CB164+CC214*CC164+CD214*CD164+CE214*CE164+CF214*CF164+CG214*CG164+CH214*CH164</f>
        <v>0</v>
      </c>
      <c r="CP164" s="1952">
        <f>E215*E164+F215*F164+G215*G164+H215*H164+I215*I164+J215*J164+K215*K164+L215*L164+M215*M164+N215*N164+O215*O164+P215*P164+Q215*Q164+R215*R164+S215*S164+T215*T164+U215*U164+V215*V164+W215*W164+X215*X164+Y215*Y164+Z215*Z164+AA215*AA164+AB215*AB164+AC215*AC164+AD215*AD164+AE215*AE164+AF215*AF164+AG215*AG164+AH215*AH164+AI215*AI164+AJ215*AJ164+AK215*AK164+AL215*AL164+AM215*AM164+AN215*AN164+AO215*AO164+AP215*AP164+AQ215*AQ164+AR215*AR164+AS215*AS164+AT215*AT164+AU215*AU164+AV215*AV164+AW215*AW164+AX215*AX164+AY215*AY164+AZ215*AZ164+BA215*BA164+BB215*BB164+BC215*BC164+BD215*BD164+BE215*BE164+BF215*BF164+BG215*BG164+BH215*BH164+BI215*BI164+BJ215*BJ164+BK215*BK164+BL215*BL164+BM215*BM164+BN215*BN164+BO215*BO164+BP215*BP164+BQ215*BQ164+BR215*BR164+BS215*BS164+BT215*BT164+BU215*BU164+BV215*BV164+BW215*BW164+BX215*BX164+BY215*BY164+BZ215*BZ164+CA215*CA164+CB215*CB164+CC215*CC164+CD215*CD164+CE215*CE164+CF215*CF164+CG215*CG164+CH215*CH164</f>
        <v>0</v>
      </c>
      <c r="CQ164" s="1952">
        <f>E216*E164+F216*F164+G216*G164+H216*H164+I216*I164+J216*J164+K216*K164+L216*L164+M216*M164+N216*N164+O216*O164+P216*P164+Q216*Q164+R216*R164+S216*S164+T216*T164+U216*U164+V216*V164+W216*W164+X216*X164+Y216*Y164+Z216*Z164+AA216*AA164+AB216*AB164+AC216*AC164+AD216*AD164+AE216*AE164+AF216*AF164+AG216*AG164+AH216*AH164+AI216*AI164+AJ216*AJ164+AK216*AK164+AL216*AL164+AM216*AM164+AN216*AN164+AO216*AO164+AP216*AP164+AQ216*AQ164+AR216*AR164+AS216*AS164+AT216*AT164+AU216*AU164+AV216*AV164+AW216*AW164+AX216*AX164+AY216*AY164+AZ216*AZ164+BA216*BA164+BB216*BB164+BC216*BC164+BD216*BD164+BE216*BE164+BF216*BF164+BG216*BG164+BH216*BH164+BI216*BI164+BJ216*BJ164+BK216*BK164+BL216*BL164+BM216*BM164+BN216*BN164+BO216*BO164+BP216*BP164+BQ216*BQ164+BR216*BR164+BS216*BS164+BT216*BT164+BU216*BU164+BV216*BV164+BW216*BW164+BX216*BX164+BY216*BY164+BZ216*BZ164+CA216*CA164+CB216*CB164+CC216*CC164+CD216*CD164+CE216*CE164+CF216*CF164+CG216*CG164+CH216*CH164</f>
        <v>0</v>
      </c>
      <c r="CR164" s="1952">
        <f>E217*E164+F217*F164+G217*G164+H217*H164+I217*I164+J217*J164+K217*K164+L217*L164+M217*M164+N217*N164+O217*O164+P217*P164+Q217*Q164+R217*R164+S217*S164+T217*T164+U217*U164+V217*V164+W217*W164+X217*X164+Y217*Y164+Z217*Z164+AA217*AA164+AB217*AB164+AC217*AC164+AD217*AD164+AE217*AE164+AF217*AF164+AG217*AG164+AH217*AH164+AI217*AI164+AJ217*AJ164+AK217*AK164+AL217*AL164+AM217*AM164+AN217*AN164+AO217*AO164+AP217*AP164+AQ217*AQ164+AR217*AR164+AS217*AS164+AT217*AT164+AU217*AU164+AV217*AV164+AW217*AW164+AX217*AX164+AY217*AY164+AZ217*AZ164+BA217*BA164+BB217*BB164+BC217*BC164+BD217*BD164+BE217*BE164+BF217*BF164+BG217*BG164+BH217*BH164+BI217*BI164+BJ217*BJ164+BK217*BK164+BL217*BL164+BM217*BM164+BN217*BN164+BO217*BO164+BP217*BP164+BQ217*BQ164+BR217*BR164+BS217*BS164+BT217*BT164+BU217*BU164+BV217*BV164+BW217*BW164+BX217*BX164+BY217*BY164+BZ217*BZ164+CA217*CA164+CB217*CB164+CC217*CC164+CD217*CD164+CE217*CE164+CF217*CF164+CG217*CG164+CH217*CH164</f>
        <v>0</v>
      </c>
      <c r="CS164" s="1952">
        <f>E218*E164+F218*F164+G218*G164+H218*H164+I218*I164+J218*J164+K218*K164+L218*L164+M218*M164+N218*N164+O218*O164+P218*P164+Q218*Q164+R218*R164+S218*S164+T218*T164+U218*U164+V218*V164+W218*W164+X218*X164+Y218*Y164+Z218*Z164+AA218*AA164+AB218*AB164+AC218*AC164+AD218*AD164+AE218*AE164+AF218*AF164+AG218*AG164+AH218*AH164+AI218*AI164+AJ218*AJ164+AK218*AK164+AL218*AL164+AM218*AM164+AN218*AN164+AO218*AO164+AP218*AP164+AQ218*AQ164+AR218*AR164+AS218*AS164+AT218*AT164+AU218*AU164+AV218*AV164+AW218*AW164+AX218*AX164+AY218*AY164+AZ218*AZ164+BA218*BA164+BB218*BB164+BC218*BC164+BD218*BD164+BE218*BE164+BF218*BF164+BG218*BG164+BH218*BH164+BI218*BI164+BJ218*BJ164+BK218*BK164+BL218*BL164+BM218*BM164+BN218*BN164+BO218*BO164+BP218*BP164+BQ218*BQ164+BR218*BR164+BS218*BS164+BT218*BT164+BU218*BU164+BV218*BV164+BW218*BW164+BX218*BX164+BY218*BY164+BZ218*BZ164+CA218*CA164+CB218*CB164+CC218*CC164+CD218*CD164+CE218*CE164+CF218*CF164+CG218*CG164+CH218*CH164</f>
        <v>0</v>
      </c>
      <c r="CT164" s="1952">
        <f>E219*E164+F219*F164+G219*G164+H219*H164+I219*I164+J219*J164+K219*K164+L219*L164+M219*M164+N219*N164+O219*O164+P219*P164+Q219*Q164+R219*R164+S219*S164+T219*T164+U219*U164+V219*V164+W219*W164+X219*X164+Y219*Y164+Z219*Z164+AA219*AA164+AB219*AB164+AC219*AC164+AD219*AD164+AE219*AE164+AF219*AF164+AG219*AG164+AH219*AH164+AI219*AI164+AJ219*AJ164+AK219*AK164+AL219*AL164+AM219*AM164+AN219*AN164+AO219*AO164+AP219*AP164+AQ219*AQ164+AR219*AR164+AS219*AS164+AT219*AT164+AU219*AU164+AV219*AV164+AW219*AW164+AX219*AX164+AY219*AY164+AZ219*AZ164+BA219*BA164+BB219*BB164+BC219*BC164+BD219*BD164+BE219*BE164+BF219*BF164+BG219*BG164+BH219*BH164+BI219*BI164+BJ219*BJ164+BK219*BK164+BL219*BL164+BM219*BM164+BN219*BN164+BO219*BO164+BP219*BP164+BQ219*BQ164+BR219*BR164+BS219*BS164+BT219*BT164+BU219*BU164+BV219*BV164+BW219*BW164+BX219*BX164+BY219*BY164+BZ219*BZ164+CA219*CA164+CB219*CB164+CC219*CC164+CD219*CD164+CE219*CE164+CF219*CF164+CG219*CG164+CH219*CH164</f>
        <v>0</v>
      </c>
      <c r="CU164" s="1952">
        <f>E220*E164+F220*F164+G220*G164+H220*H164+I220*I164+J220*J164+K220*K164+L220*L164+M220*M164+N220*N164+O220*O164+P220*P164+Q220*Q164+R220*R164+S220*S164+T220*T164+U220*U164+V220*V164+W220*W164+X220*X164+Y220*Y164+Z220*Z164+AA220*AA164+AB220*AB164+AC220*AC164+AD220*AD164+AE220*AE164+AF220*AF164+AG220*AG164+AH220*AH164+AI220*AI164+AJ220*AJ164+AK220*AK164+AL220*AL164+AM220*AM164+AN220*AN164+AO220*AO164+AP220*AP164+AQ220*AQ164+AR220*AR164+AS220*AS164+AT220*AT164+AU220*AU164+AV220*AV164+AW220*AW164+AX220*AX164+AY220*AY164+AZ220*AZ164+BA220*BA164+BB220*BB164+BC220*BC164+BD220*BD164+BE220*BE164+BF220*BF164+BG220*BG164+BH220*BH164+BI220*BI164+BJ220*BJ164+BK220*BK164+BL220*BL164+BM220*BM164+BN220*BN164+BO220*BO164+BP220*BP164+BQ220*BQ164+BR220*BR164+BS220*BS164+BT220*BT164+BU220*BU164+BV220*BV164+BW220*BW164+BX220*BX164+BY220*BY164+BZ220*BZ164+CA220*CA164+CB220*CB164+CC220*CC164+CD220*CD164+CE220*CE164+CF220*CF164+CG220*CG164+CH220*CH164</f>
        <v>0</v>
      </c>
    </row>
    <row r="165" spans="2:99" ht="18" x14ac:dyDescent="0.25">
      <c r="B165" s="1046">
        <v>51</v>
      </c>
      <c r="C165" s="1124" t="s">
        <v>2122</v>
      </c>
      <c r="D165" s="1125" t="s">
        <v>4970</v>
      </c>
      <c r="E165" s="2064">
        <f>0</f>
        <v>0</v>
      </c>
      <c r="F165" s="2064">
        <f>0</f>
        <v>0</v>
      </c>
      <c r="G165" s="2064">
        <f>0</f>
        <v>0</v>
      </c>
      <c r="H165" s="2064">
        <f>0</f>
        <v>0</v>
      </c>
      <c r="I165" s="2065">
        <f>1</f>
        <v>1</v>
      </c>
      <c r="J165" s="2065">
        <f>0</f>
        <v>0</v>
      </c>
      <c r="K165" s="2064">
        <f>0</f>
        <v>0</v>
      </c>
      <c r="L165" s="2064">
        <f>0</f>
        <v>0</v>
      </c>
      <c r="M165" s="2064">
        <f>0</f>
        <v>0</v>
      </c>
      <c r="N165" s="2064">
        <f>0</f>
        <v>0</v>
      </c>
      <c r="O165" s="2064">
        <f>0</f>
        <v>0</v>
      </c>
      <c r="P165" s="2064">
        <f>-1</f>
        <v>-1</v>
      </c>
      <c r="Q165" s="2064">
        <f>0</f>
        <v>0</v>
      </c>
      <c r="R165" s="2064">
        <f>0</f>
        <v>0</v>
      </c>
      <c r="S165" s="2064">
        <f>0</f>
        <v>0</v>
      </c>
      <c r="T165" s="2064">
        <f>0</f>
        <v>0</v>
      </c>
      <c r="U165" s="2064">
        <f>0</f>
        <v>0</v>
      </c>
      <c r="V165" s="2064">
        <f>0</f>
        <v>0</v>
      </c>
      <c r="W165" s="2064">
        <f>0</f>
        <v>0</v>
      </c>
      <c r="X165" s="2064">
        <f>0</f>
        <v>0</v>
      </c>
      <c r="Y165" s="2064">
        <f>0</f>
        <v>0</v>
      </c>
      <c r="Z165" s="2064">
        <f>0</f>
        <v>0</v>
      </c>
      <c r="AA165" s="2064">
        <f>0</f>
        <v>0</v>
      </c>
      <c r="AB165" s="2064">
        <f>0</f>
        <v>0</v>
      </c>
      <c r="AC165" s="2065">
        <f>i_N_XE</f>
        <v>0.06</v>
      </c>
      <c r="AD165" s="2065">
        <f>0</f>
        <v>0</v>
      </c>
      <c r="AE165" s="2064">
        <f>0</f>
        <v>0</v>
      </c>
      <c r="AF165" s="2064">
        <f>0</f>
        <v>0</v>
      </c>
      <c r="AG165" s="2064">
        <f>0</f>
        <v>0</v>
      </c>
      <c r="AH165" s="2064">
        <f>0</f>
        <v>0</v>
      </c>
      <c r="AI165" s="2065">
        <f>i_P_BIO</f>
        <v>0.02</v>
      </c>
      <c r="AJ165" s="2065">
        <f>0</f>
        <v>0</v>
      </c>
      <c r="AK165" s="2064">
        <f>0</f>
        <v>0</v>
      </c>
      <c r="AL165" s="2064">
        <f>0</f>
        <v>0</v>
      </c>
      <c r="AM165" s="2064">
        <f>0</f>
        <v>0</v>
      </c>
      <c r="AN165" s="2064">
        <f>0</f>
        <v>0</v>
      </c>
      <c r="AO165" s="2064">
        <f>i_CIT_BIO-i_CIT_SB</f>
        <v>6.6000000000000003E-2</v>
      </c>
      <c r="AP165" s="2064">
        <f>0</f>
        <v>0</v>
      </c>
      <c r="AQ165" s="2064">
        <f>0</f>
        <v>0</v>
      </c>
      <c r="AR165" s="2064">
        <f>0</f>
        <v>0</v>
      </c>
      <c r="AS165" s="2064">
        <f>0</f>
        <v>0</v>
      </c>
      <c r="AT165" s="2064">
        <f>0</f>
        <v>0</v>
      </c>
      <c r="AU165" s="2064">
        <f>0</f>
        <v>0</v>
      </c>
      <c r="AV165" s="2064">
        <f>0</f>
        <v>0</v>
      </c>
      <c r="AW165" s="2064">
        <f>0</f>
        <v>0</v>
      </c>
      <c r="AX165" s="2064">
        <f>0</f>
        <v>0</v>
      </c>
      <c r="AY165" s="2064">
        <f>0</f>
        <v>0</v>
      </c>
      <c r="AZ165" s="2064">
        <f>0</f>
        <v>0</v>
      </c>
      <c r="BA165" s="2064">
        <f>0</f>
        <v>0</v>
      </c>
      <c r="BB165" s="2064">
        <f>0</f>
        <v>0</v>
      </c>
      <c r="BC165" s="2064">
        <f>0</f>
        <v>0</v>
      </c>
      <c r="BD165" s="2064">
        <f>0</f>
        <v>0</v>
      </c>
      <c r="BE165" s="2064">
        <f>0</f>
        <v>0</v>
      </c>
      <c r="BF165" s="2064">
        <f>0</f>
        <v>0</v>
      </c>
      <c r="BG165" s="2064">
        <f>0</f>
        <v>0</v>
      </c>
      <c r="BH165" s="2064">
        <f>0</f>
        <v>0</v>
      </c>
      <c r="BI165" s="2064">
        <f>0</f>
        <v>0</v>
      </c>
      <c r="BJ165" s="2064">
        <f>0</f>
        <v>0</v>
      </c>
      <c r="BK165" s="2064">
        <f>0</f>
        <v>0</v>
      </c>
      <c r="BL165" s="2064">
        <f>0</f>
        <v>0</v>
      </c>
      <c r="BM165" s="2064">
        <f>0</f>
        <v>0</v>
      </c>
      <c r="BN165" s="2064">
        <f>0</f>
        <v>0</v>
      </c>
      <c r="BO165" s="2064">
        <f>0</f>
        <v>0</v>
      </c>
      <c r="BP165" s="2121">
        <f>0</f>
        <v>0</v>
      </c>
      <c r="BQ165" s="2121">
        <f>0</f>
        <v>0</v>
      </c>
      <c r="BR165" s="2121">
        <f>0</f>
        <v>0</v>
      </c>
      <c r="BS165" s="2121">
        <f>0</f>
        <v>0</v>
      </c>
      <c r="BT165" s="2064">
        <f>0</f>
        <v>0</v>
      </c>
      <c r="BU165" s="2064">
        <f>0</f>
        <v>0</v>
      </c>
      <c r="BV165" s="2064">
        <f>0</f>
        <v>0</v>
      </c>
      <c r="BW165" s="2064">
        <f>0</f>
        <v>0</v>
      </c>
      <c r="BX165" s="2064">
        <f>0</f>
        <v>0</v>
      </c>
      <c r="BY165" s="2064">
        <f>0</f>
        <v>0</v>
      </c>
      <c r="BZ165" s="2064">
        <f>0</f>
        <v>0</v>
      </c>
      <c r="CA165" s="2064">
        <f>0</f>
        <v>0</v>
      </c>
      <c r="CB165" s="2064">
        <f>0</f>
        <v>0</v>
      </c>
      <c r="CC165" s="2064">
        <f>0</f>
        <v>0</v>
      </c>
      <c r="CD165" s="2064">
        <f>0</f>
        <v>0</v>
      </c>
      <c r="CE165" s="2064">
        <f>0</f>
        <v>0</v>
      </c>
      <c r="CF165" s="2064">
        <f>0</f>
        <v>0</v>
      </c>
      <c r="CG165" s="2064">
        <f>0</f>
        <v>0</v>
      </c>
      <c r="CH165" s="2064">
        <f>0</f>
        <v>0</v>
      </c>
      <c r="CI165" s="2145">
        <f>q_XE_T*X_E</f>
        <v>2.1</v>
      </c>
      <c r="CK165" s="1950">
        <f>E210*E165+F210*F165+G210*G165+H210*H165+I210*I165+J210*J165+K210*K165+L210*L165+M210*M165+N210*N165+O210*O165+P210*P165+Q210*Q165+R210*R165+S210*S165+T210*T165+U210*U165+V210*V165+W210*W165+X210*X165+Y210*Y165+Z210*Z165+AA210*AA165+AB210*AB165+AC210*AC165+AD210*AD165+AE210*AE165+AF210*AF165+AG210*AG165+AH210*AH165+AI210*AI165+AJ210*AJ165+AK210*AK165+AL210*AL165+AM210*AM165+AN210*AN165+AO210*AO165+AP210*AP165+AQ210*AQ165+AR210*AR165+AS210*AS165+AT210*AT165+AU210*AU165+AV210*AV165+AW210*AW165+AX210*AX165+AY210*AY165+AZ210*AZ165+BA210*BA165+BB210*BB165+BC210*BC165+BD210*BD165+BE210*BE165+BF210*BF165+BG210*BG165+BH210*BH165+BI210*BI165+BJ210*BJ165+BK210*BK165+BL210*BL165+BM210*BM165+BN210*BN165+BO210*BO165+BP210*BP165+BQ210*BQ165+BR210*BR165+BS210*BS165+BT210*BT165+BU210*BU165+BV210*BV165+BW210*BW165+BX210*BX165+BY210*BY165+BZ210*BZ165+CA210*CA165+CB210*CB165+CC210*CC165+CD210*CD165+CE210*CE165+CF210*CF165+CG210*CG165+CH210*CH165</f>
        <v>0</v>
      </c>
      <c r="CL165" s="1950">
        <f>E211*E165+F211*F165+G211*G165+H211*H165+I211*I165+J211*J165+K211*K165+L211*L165+M211*M165+N211*N165+O211*O165+P211*P165+Q211*Q165+R211*R165+S211*S165+T211*T165+U211*U165+V211*V165+W211*W165+X211*X165+Y211*Y165+Z211*Z165+AA211*AA165+AB211*AB165+AC211*AC165+AD211*AD165+AE211*AE165+AF211*AF165+AG211*AG165+AH211*AH165+AI211*AI165+AJ211*AJ165+AK211*AK165+AL211*AL165+AM211*AM165+AN211*AN165+AO211*AO165+AP211*AP165+AQ211*AQ165+AR211*AR165+AS211*AS165+AT211*AT165+AU211*AU165+AV211*AV165+AW211*AW165+AX211*AX165+AY211*AY165+AZ211*AZ165+BA211*BA165+BB211*BB165+BC211*BC165+BD211*BD165+BE211*BE165+BF211*BF165+BG211*BG165+BH211*BH165+BI211*BI165+BJ211*BJ165+BK211*BK165+BL211*BL165+BM211*BM165+BN211*BN165+BO211*BO165+BP211*BP165+BQ211*BQ165+BR211*BR165+BS211*BS165+BT211*BT165+BU211*BU165+BV211*BV165+BW211*BW165+BX211*BX165+BY211*BY165+BZ211*BZ165+CA211*CA165+CB211*CB165+CC211*CC165+CD211*CD165+CE211*CE165+CF211*CF165+CG211*CG165+CH211*CH165</f>
        <v>0</v>
      </c>
      <c r="CM165" s="1951">
        <f>E212*E165+F212*F165+G212*G165+H212*H165+I212*I165+J212*J165+K212*K165+L212*L165+M212*M165+N212*N165+O212*O165+P212*P165+Q212*Q165+R212*R165+S212*S165+T212*T165+U212*U165+V212*V165+W212*W165+X212*X165+Y212*Y165+Z212*Z165+AA212*AA165+AB212*AB165+AC212*AC165+AD212*AD165+AE212*AE165+AF212*AF165+AG212*AG165+AH212*AH165+AI212*AI165+AJ212*AJ165+AK212*AK165+AL212*AL165+AM212*AM165+AN212*AN165+AO212*AO165+AP212*AP165+AQ212*AQ165+AR212*AR165+AS212*AS165+AT212*AT165+AU212*AU165+AV212*AV165+AW212*AW165+AX212*AX165+AY212*AY165+AZ212*AZ165+BA212*BA165+BB212*BB165+BC212*BC165+BD212*BD165+BE212*BE165+BF212*BF165+BG212*BG165+BH212*BH165+BI212*BI165+BJ212*BJ165+BK212*BK165+BL212*BL165+BM212*BM165+BN212*BN165+BO212*BO165+BP212*BP165+BQ212*BQ165+BR212*BR165+BS212*BS165+BT212*BT165+BU212*BU165+BV212*BV165+BW212*BW165+BX212*BX165+BY212*BY165+BZ212*BZ165+CA212*CA165+CB212*CB165+CC212*CC165+CD212*CD165+CE212*CE165+CF212*CF165+CG212*CG165+CH212*CH165</f>
        <v>0</v>
      </c>
      <c r="CN165" s="1952">
        <f>E213*E165+F213*F165+G213*G165+H213*H165+I213*I165+J213*J165+K213*K165+L213*L165+M213*M165+N213*N165+O213*O165+P213*P165+Q213*Q165+R213*R165+S213*S165+T213*T165+U213*U165+V213*V165+W213*W165+X213*X165+Y213*Y165+Z213*Z165+AA213*AA165+AB213*AB165+AC213*AC165+AD213*AD165+AE213*AE165+AF213*AF165+AG213*AG165+AH213*AH165+AI213*AI165+AJ213*AJ165+AK213*AK165+AL213*AL165+AM213*AM165+AN213*AN165+AO213*AO165+AP213*AP165+AQ213*AQ165+AR213*AR165+AS213*AS165+AT213*AT165+AU213*AU165+AV213*AV165+AW213*AW165+AX213*AX165+AY213*AY165+AZ213*AZ165+BA213*BA165+BB213*BB165+BC213*BC165+BD213*BD165+BE213*BE165+BF213*BF165+BG213*BG165+BH213*BH165+BI213*BI165+BJ213*BJ165+BK213*BK165+BL213*BL165+BM213*BM165+BN213*BN165+BO213*BO165+BP213*BP165+BQ213*BQ165+BR213*BR165+BS213*BS165+BT213*BT165+BU213*BU165+BV213*BV165+BW213*BW165+BX213*BX165+BY213*BY165+BZ213*BZ165+CA213*CA165+CB213*CB165+CC213*CC165+CD213*CD165+CE213*CE165+CF213*CF165+CG213*CG165+CH213*CH165</f>
        <v>0</v>
      </c>
      <c r="CO165" s="1952">
        <f>E214*E165+F214*F165+G214*G165+H214*H165+I214*I165+J214*J165+K214*K165+L214*L165+M214*M165+N214*N165+O214*O165+P214*P165+Q214*Q165+R214*R165+S214*S165+T214*T165+U214*U165+V214*V165+W214*W165+X214*X165+Y214*Y165+Z214*Z165+AA214*AA165+AB214*AB165+AC214*AC165+AD214*AD165+AE214*AE165+AF214*AF165+AG214*AG165+AH214*AH165+AI214*AI165+AJ214*AJ165+AK214*AK165+AL214*AL165+AM214*AM165+AN214*AN165+AO214*AO165+AP214*AP165+AQ214*AQ165+AR214*AR165+AS214*AS165+AT214*AT165+AU214*AU165+AV214*AV165+AW214*AW165+AX214*AX165+AY214*AY165+AZ214*AZ165+BA214*BA165+BB214*BB165+BC214*BC165+BD214*BD165+BE214*BE165+BF214*BF165+BG214*BG165+BH214*BH165+BI214*BI165+BJ214*BJ165+BK214*BK165+BL214*BL165+BM214*BM165+BN214*BN165+BO214*BO165+BP214*BP165+BQ214*BQ165+BR214*BR165+BS214*BS165+BT214*BT165+BU214*BU165+BV214*BV165+BW214*BW165+BX214*BX165+BY214*BY165+BZ214*BZ165+CA214*CA165+CB214*CB165+CC214*CC165+CD214*CD165+CE214*CE165+CF214*CF165+CG214*CG165+CH214*CH165</f>
        <v>0</v>
      </c>
      <c r="CP165" s="1952">
        <f>E215*E165+F215*F165+G215*G165+H215*H165+I215*I165+J215*J165+K215*K165+L215*L165+M215*M165+N215*N165+O215*O165+P215*P165+Q215*Q165+R215*R165+S215*S165+T215*T165+U215*U165+V215*V165+W215*W165+X215*X165+Y215*Y165+Z215*Z165+AA215*AA165+AB215*AB165+AC215*AC165+AD215*AD165+AE215*AE165+AF215*AF165+AG215*AG165+AH215*AH165+AI215*AI165+AJ215*AJ165+AK215*AK165+AL215*AL165+AM215*AM165+AN215*AN165+AO215*AO165+AP215*AP165+AQ215*AQ165+AR215*AR165+AS215*AS165+AT215*AT165+AU215*AU165+AV215*AV165+AW215*AW165+AX215*AX165+AY215*AY165+AZ215*AZ165+BA215*BA165+BB215*BB165+BC215*BC165+BD215*BD165+BE215*BE165+BF215*BF165+BG215*BG165+BH215*BH165+BI215*BI165+BJ215*BJ165+BK215*BK165+BL215*BL165+BM215*BM165+BN215*BN165+BO215*BO165+BP215*BP165+BQ215*BQ165+BR215*BR165+BS215*BS165+BT215*BT165+BU215*BU165+BV215*BV165+BW215*BW165+BX215*BX165+BY215*BY165+BZ215*BZ165+CA215*CA165+CB215*CB165+CC215*CC165+CD215*CD165+CE215*CE165+CF215*CF165+CG215*CG165+CH215*CH165</f>
        <v>0</v>
      </c>
      <c r="CQ165" s="1952">
        <f>E216*E165+F216*F165+G216*G165+H216*H165+I216*I165+J216*J165+K216*K165+L216*L165+M216*M165+N216*N165+O216*O165+P216*P165+Q216*Q165+R216*R165+S216*S165+T216*T165+U216*U165+V216*V165+W216*W165+X216*X165+Y216*Y165+Z216*Z165+AA216*AA165+AB216*AB165+AC216*AC165+AD216*AD165+AE216*AE165+AF216*AF165+AG216*AG165+AH216*AH165+AI216*AI165+AJ216*AJ165+AK216*AK165+AL216*AL165+AM216*AM165+AN216*AN165+AO216*AO165+AP216*AP165+AQ216*AQ165+AR216*AR165+AS216*AS165+AT216*AT165+AU216*AU165+AV216*AV165+AW216*AW165+AX216*AX165+AY216*AY165+AZ216*AZ165+BA216*BA165+BB216*BB165+BC216*BC165+BD216*BD165+BE216*BE165+BF216*BF165+BG216*BG165+BH216*BH165+BI216*BI165+BJ216*BJ165+BK216*BK165+BL216*BL165+BM216*BM165+BN216*BN165+BO216*BO165+BP216*BP165+BQ216*BQ165+BR216*BR165+BS216*BS165+BT216*BT165+BU216*BU165+BV216*BV165+BW216*BW165+BX216*BX165+BY216*BY165+BZ216*BZ165+CA216*CA165+CB216*CB165+CC216*CC165+CD216*CD165+CE216*CE165+CF216*CF165+CG216*CG165+CH216*CH165</f>
        <v>0</v>
      </c>
      <c r="CR165" s="1952">
        <f>E217*E165+F217*F165+G217*G165+H217*H165+I217*I165+J217*J165+K217*K165+L217*L165+M217*M165+N217*N165+O217*O165+P217*P165+Q217*Q165+R217*R165+S217*S165+T217*T165+U217*U165+V217*V165+W217*W165+X217*X165+Y217*Y165+Z217*Z165+AA217*AA165+AB217*AB165+AC217*AC165+AD217*AD165+AE217*AE165+AF217*AF165+AG217*AG165+AH217*AH165+AI217*AI165+AJ217*AJ165+AK217*AK165+AL217*AL165+AM217*AM165+AN217*AN165+AO217*AO165+AP217*AP165+AQ217*AQ165+AR217*AR165+AS217*AS165+AT217*AT165+AU217*AU165+AV217*AV165+AW217*AW165+AX217*AX165+AY217*AY165+AZ217*AZ165+BA217*BA165+BB217*BB165+BC217*BC165+BD217*BD165+BE217*BE165+BF217*BF165+BG217*BG165+BH217*BH165+BI217*BI165+BJ217*BJ165+BK217*BK165+BL217*BL165+BM217*BM165+BN217*BN165+BO217*BO165+BP217*BP165+BQ217*BQ165+BR217*BR165+BS217*BS165+BT217*BT165+BU217*BU165+BV217*BV165+BW217*BW165+BX217*BX165+BY217*BY165+BZ217*BZ165+CA217*CA165+CB217*CB165+CC217*CC165+CD217*CD165+CE217*CE165+CF217*CF165+CG217*CG165+CH217*CH165</f>
        <v>0</v>
      </c>
      <c r="CS165" s="1952">
        <f>E218*E165+F218*F165+G218*G165+H218*H165+I218*I165+J218*J165+K218*K165+L218*L165+M218*M165+N218*N165+O218*O165+P218*P165+Q218*Q165+R218*R165+S218*S165+T218*T165+U218*U165+V218*V165+W218*W165+X218*X165+Y218*Y165+Z218*Z165+AA218*AA165+AB218*AB165+AC218*AC165+AD218*AD165+AE218*AE165+AF218*AF165+AG218*AG165+AH218*AH165+AI218*AI165+AJ218*AJ165+AK218*AK165+AL218*AL165+AM218*AM165+AN218*AN165+AO218*AO165+AP218*AP165+AQ218*AQ165+AR218*AR165+AS218*AS165+AT218*AT165+AU218*AU165+AV218*AV165+AW218*AW165+AX218*AX165+AY218*AY165+AZ218*AZ165+BA218*BA165+BB218*BB165+BC218*BC165+BD218*BD165+BE218*BE165+BF218*BF165+BG218*BG165+BH218*BH165+BI218*BI165+BJ218*BJ165+BK218*BK165+BL218*BL165+BM218*BM165+BN218*BN165+BO218*BO165+BP218*BP165+BQ218*BQ165+BR218*BR165+BS218*BS165+BT218*BT165+BU218*BU165+BV218*BV165+BW218*BW165+BX218*BX165+BY218*BY165+BZ218*BZ165+CA218*CA165+CB218*CB165+CC218*CC165+CD218*CD165+CE218*CE165+CF218*CF165+CG218*CG165+CH218*CH165</f>
        <v>0</v>
      </c>
      <c r="CT165" s="1952">
        <f>E219*E165+F219*F165+G219*G165+H219*H165+I219*I165+J219*J165+K219*K165+L219*L165+M219*M165+N219*N165+O219*O165+P219*P165+Q219*Q165+R219*R165+S219*S165+T219*T165+U219*U165+V219*V165+W219*W165+X219*X165+Y219*Y165+Z219*Z165+AA219*AA165+AB219*AB165+AC219*AC165+AD219*AD165+AE219*AE165+AF219*AF165+AG219*AG165+AH219*AH165+AI219*AI165+AJ219*AJ165+AK219*AK165+AL219*AL165+AM219*AM165+AN219*AN165+AO219*AO165+AP219*AP165+AQ219*AQ165+AR219*AR165+AS219*AS165+AT219*AT165+AU219*AU165+AV219*AV165+AW219*AW165+AX219*AX165+AY219*AY165+AZ219*AZ165+BA219*BA165+BB219*BB165+BC219*BC165+BD219*BD165+BE219*BE165+BF219*BF165+BG219*BG165+BH219*BH165+BI219*BI165+BJ219*BJ165+BK219*BK165+BL219*BL165+BM219*BM165+BN219*BN165+BO219*BO165+BP219*BP165+BQ219*BQ165+BR219*BR165+BS219*BS165+BT219*BT165+BU219*BU165+BV219*BV165+BW219*BW165+BX219*BX165+BY219*BY165+BZ219*BZ165+CA219*CA165+CB219*CB165+CC219*CC165+CD219*CD165+CE219*CE165+CF219*CF165+CG219*CG165+CH219*CH165</f>
        <v>0</v>
      </c>
      <c r="CU165" s="1952">
        <f>E220*E165+F220*F165+G220*G165+H220*H165+I220*I165+J220*J165+K220*K165+L220*L165+M220*M165+N220*N165+O220*O165+P220*P165+Q220*Q165+R220*R165+S220*S165+T220*T165+U220*U165+V220*V165+W220*W165+X220*X165+Y220*Y165+Z220*Z165+AA220*AA165+AB220*AB165+AC220*AC165+AD220*AD165+AE220*AE165+AF220*AF165+AG220*AG165+AH220*AH165+AI220*AI165+AJ220*AJ165+AK220*AK165+AL220*AL165+AM220*AM165+AN220*AN165+AO220*AO165+AP220*AP165+AQ220*AQ165+AR220*AR165+AS220*AS165+AT220*AT165+AU220*AU165+AV220*AV165+AW220*AW165+AX220*AX165+AY220*AY165+AZ220*AZ165+BA220*BA165+BB220*BB165+BC220*BC165+BD220*BD165+BE220*BE165+BF220*BF165+BG220*BG165+BH220*BH165+BI220*BI165+BJ220*BJ165+BK220*BK165+BL220*BL165+BM220*BM165+BN220*BN165+BO220*BO165+BP220*BP165+BQ220*BQ165+BR220*BR165+BS220*BS165+BT220*BT165+BU220*BU165+BV220*BV165+BW220*BW165+BX220*BX165+BY220*BY165+BZ220*BZ165+CA220*CA165+CB220*CB165+CC220*CC165+CD220*CD165+CE220*CE165+CF220*CF165+CG220*CG165+CH220*CH165</f>
        <v>0</v>
      </c>
    </row>
    <row r="166" spans="2:99" ht="18" x14ac:dyDescent="0.25">
      <c r="B166" s="1046">
        <v>52</v>
      </c>
      <c r="C166" s="1124" t="s">
        <v>2123</v>
      </c>
      <c r="D166" s="1125" t="s">
        <v>4971</v>
      </c>
      <c r="E166" s="2064">
        <f>0</f>
        <v>0</v>
      </c>
      <c r="F166" s="2064">
        <f>1</f>
        <v>1</v>
      </c>
      <c r="G166" s="2064">
        <f>0</f>
        <v>0</v>
      </c>
      <c r="H166" s="2064">
        <f>0</f>
        <v>0</v>
      </c>
      <c r="I166" s="2065">
        <f>0</f>
        <v>0</v>
      </c>
      <c r="J166" s="2065">
        <f>0</f>
        <v>0</v>
      </c>
      <c r="K166" s="2064">
        <f>0</f>
        <v>0</v>
      </c>
      <c r="L166" s="2064">
        <f>0</f>
        <v>0</v>
      </c>
      <c r="M166" s="2064">
        <f>0</f>
        <v>0</v>
      </c>
      <c r="N166" s="2064">
        <f>0</f>
        <v>0</v>
      </c>
      <c r="O166" s="2064">
        <f>0</f>
        <v>0</v>
      </c>
      <c r="P166" s="2064">
        <f>0</f>
        <v>0</v>
      </c>
      <c r="Q166" s="2064">
        <f>-1</f>
        <v>-1</v>
      </c>
      <c r="R166" s="2064">
        <f>0</f>
        <v>0</v>
      </c>
      <c r="S166" s="2064">
        <f>0</f>
        <v>0</v>
      </c>
      <c r="T166" s="2064">
        <f>0</f>
        <v>0</v>
      </c>
      <c r="U166" s="2064">
        <f>0</f>
        <v>0</v>
      </c>
      <c r="V166" s="2064">
        <f>0</f>
        <v>0</v>
      </c>
      <c r="W166" s="2064">
        <f>0</f>
        <v>0</v>
      </c>
      <c r="X166" s="2064">
        <f>0</f>
        <v>0</v>
      </c>
      <c r="Y166" s="2064">
        <f>0</f>
        <v>0</v>
      </c>
      <c r="Z166" s="2064">
        <f>0</f>
        <v>0</v>
      </c>
      <c r="AA166" s="2064">
        <f>0</f>
        <v>0</v>
      </c>
      <c r="AB166" s="2064">
        <f>0</f>
        <v>0</v>
      </c>
      <c r="AC166" s="2065">
        <f>i_N_XE</f>
        <v>0.06</v>
      </c>
      <c r="AD166" s="2065">
        <f>0</f>
        <v>0</v>
      </c>
      <c r="AE166" s="2064">
        <f>0</f>
        <v>0</v>
      </c>
      <c r="AF166" s="2064">
        <f>0</f>
        <v>0</v>
      </c>
      <c r="AG166" s="2064">
        <f>0</f>
        <v>0</v>
      </c>
      <c r="AH166" s="2064">
        <f>0</f>
        <v>0</v>
      </c>
      <c r="AI166" s="2065">
        <f>i_P_BIO</f>
        <v>0.02</v>
      </c>
      <c r="AJ166" s="2065">
        <f>0</f>
        <v>0</v>
      </c>
      <c r="AK166" s="2064">
        <f>0</f>
        <v>0</v>
      </c>
      <c r="AL166" s="2064">
        <f>0</f>
        <v>0</v>
      </c>
      <c r="AM166" s="2064">
        <f>0</f>
        <v>0</v>
      </c>
      <c r="AN166" s="2064">
        <f>0</f>
        <v>0</v>
      </c>
      <c r="AO166" s="2064">
        <f>i_CIT_BIO-i_CIT_SB</f>
        <v>6.6000000000000003E-2</v>
      </c>
      <c r="AP166" s="2064">
        <f>0</f>
        <v>0</v>
      </c>
      <c r="AQ166" s="2064">
        <f>0</f>
        <v>0</v>
      </c>
      <c r="AR166" s="2064">
        <f>0</f>
        <v>0</v>
      </c>
      <c r="AS166" s="2064">
        <f>0</f>
        <v>0</v>
      </c>
      <c r="AT166" s="2064">
        <f>0</f>
        <v>0</v>
      </c>
      <c r="AU166" s="2064">
        <f>0</f>
        <v>0</v>
      </c>
      <c r="AV166" s="2064">
        <f>0</f>
        <v>0</v>
      </c>
      <c r="AW166" s="2064">
        <f>0</f>
        <v>0</v>
      </c>
      <c r="AX166" s="2064">
        <f>0</f>
        <v>0</v>
      </c>
      <c r="AY166" s="2064">
        <f>0</f>
        <v>0</v>
      </c>
      <c r="AZ166" s="2064">
        <f>0</f>
        <v>0</v>
      </c>
      <c r="BA166" s="2064">
        <f>0</f>
        <v>0</v>
      </c>
      <c r="BB166" s="2064">
        <f>0</f>
        <v>0</v>
      </c>
      <c r="BC166" s="2064">
        <f>0</f>
        <v>0</v>
      </c>
      <c r="BD166" s="2064">
        <f>0</f>
        <v>0</v>
      </c>
      <c r="BE166" s="2064">
        <f>0</f>
        <v>0</v>
      </c>
      <c r="BF166" s="2064">
        <f>0</f>
        <v>0</v>
      </c>
      <c r="BG166" s="2064">
        <f>0</f>
        <v>0</v>
      </c>
      <c r="BH166" s="2064">
        <f>0</f>
        <v>0</v>
      </c>
      <c r="BI166" s="2064">
        <f>0</f>
        <v>0</v>
      </c>
      <c r="BJ166" s="2064">
        <f>0</f>
        <v>0</v>
      </c>
      <c r="BK166" s="2064">
        <f>0</f>
        <v>0</v>
      </c>
      <c r="BL166" s="2064">
        <f>0</f>
        <v>0</v>
      </c>
      <c r="BM166" s="2064">
        <f>0</f>
        <v>0</v>
      </c>
      <c r="BN166" s="2064">
        <f>0</f>
        <v>0</v>
      </c>
      <c r="BO166" s="2064">
        <f>0</f>
        <v>0</v>
      </c>
      <c r="BP166" s="2121">
        <f>0</f>
        <v>0</v>
      </c>
      <c r="BQ166" s="2121">
        <f>0</f>
        <v>0</v>
      </c>
      <c r="BR166" s="2121">
        <f>0</f>
        <v>0</v>
      </c>
      <c r="BS166" s="2121">
        <f>0</f>
        <v>0</v>
      </c>
      <c r="BT166" s="2064">
        <f>0</f>
        <v>0</v>
      </c>
      <c r="BU166" s="2064">
        <f>0</f>
        <v>0</v>
      </c>
      <c r="BV166" s="2064">
        <f>0</f>
        <v>0</v>
      </c>
      <c r="BW166" s="2064">
        <f>0</f>
        <v>0</v>
      </c>
      <c r="BX166" s="2064">
        <f>0</f>
        <v>0</v>
      </c>
      <c r="BY166" s="2064">
        <f>0</f>
        <v>0</v>
      </c>
      <c r="BZ166" s="2064">
        <f>0</f>
        <v>0</v>
      </c>
      <c r="CA166" s="2064">
        <f>0</f>
        <v>0</v>
      </c>
      <c r="CB166" s="2064">
        <f>0</f>
        <v>0</v>
      </c>
      <c r="CC166" s="2064">
        <f>0</f>
        <v>0</v>
      </c>
      <c r="CD166" s="2064">
        <f>0</f>
        <v>0</v>
      </c>
      <c r="CE166" s="2064">
        <f>0</f>
        <v>0</v>
      </c>
      <c r="CF166" s="2064">
        <f>0</f>
        <v>0</v>
      </c>
      <c r="CG166" s="2064">
        <f>0</f>
        <v>0</v>
      </c>
      <c r="CH166" s="2064">
        <f>0</f>
        <v>0</v>
      </c>
      <c r="CI166" s="2145">
        <f>q_HYD_XBe_T*X_HET*(L_ogsatXHET_HYD_lim*M_RsatXEana_XHET_KHYD+L_oginhXHET_HYD_lim*M_satXEana_KXEana_HYD)*(M_satSO2_KO2_OHO+η_HYD_anox*M_satSNOx_KNOx_OHO*M_inhSO2_KO2_OHO)</f>
        <v>1.9259656740211835</v>
      </c>
      <c r="CK166" s="1950">
        <f>E210*E166+F210*F166+G210*G166+H210*H166+I210*I166+J210*J166+K210*K166+L210*L166+M210*M166+N210*N166+O210*O166+P210*P166+Q210*Q166+R210*R166+S210*S166+T210*T166+U210*U166+V210*V166+W210*W166+X210*X166+Y210*Y166+Z210*Z166+AA210*AA166+AB210*AB166+AC210*AC166+AD210*AD166+AE210*AE166+AF210*AF166+AG210*AG166+AH210*AH166+AI210*AI166+AJ210*AJ166+AK210*AK166+AL210*AL166+AM210*AM166+AN210*AN166+AO210*AO166+AP210*AP166+AQ210*AQ166+AR210*AR166+AS210*AS166+AT210*AT166+AU210*AU166+AV210*AV166+AW210*AW166+AX210*AX166+AY210*AY166+AZ210*AZ166+BA210*BA166+BB210*BB166+BC210*BC166+BD210*BD166+BE210*BE166+BF210*BF166+BG210*BG166+BH210*BH166+BI210*BI166+BJ210*BJ166+BK210*BK166+BL210*BL166+BM210*BM166+BN210*BN166+BO210*BO166+BP210*BP166+BQ210*BQ166+BR210*BR166+BS210*BS166+BT210*BT166+BU210*BU166+BV210*BV166+BW210*BW166+BX210*BX166+BY210*BY166+BZ210*BZ166+CA210*CA166+CB210*CB166+CC210*CC166+CD210*CD166+CE210*CE166+CF210*CF166+CG210*CG166+CH210*CH166</f>
        <v>0</v>
      </c>
      <c r="CL166" s="1950">
        <f>E211*E166+F211*F166+G211*G166+H211*H166+I211*I166+J211*J166+K211*K166+L211*L166+M211*M166+N211*N166+O211*O166+P211*P166+Q211*Q166+R211*R166+S211*S166+T211*T166+U211*U166+V211*V166+W211*W166+X211*X166+Y211*Y166+Z211*Z166+AA211*AA166+AB211*AB166+AC211*AC166+AD211*AD166+AE211*AE166+AF211*AF166+AG211*AG166+AH211*AH166+AI211*AI166+AJ211*AJ166+AK211*AK166+AL211*AL166+AM211*AM166+AN211*AN166+AO211*AO166+AP211*AP166+AQ211*AQ166+AR211*AR166+AS211*AS166+AT211*AT166+AU211*AU166+AV211*AV166+AW211*AW166+AX211*AX166+AY211*AY166+AZ211*AZ166+BA211*BA166+BB211*BB166+BC211*BC166+BD211*BD166+BE211*BE166+BF211*BF166+BG211*BG166+BH211*BH166+BI211*BI166+BJ211*BJ166+BK211*BK166+BL211*BL166+BM211*BM166+BN211*BN166+BO211*BO166+BP211*BP166+BQ211*BQ166+BR211*BR166+BS211*BS166+BT211*BT166+BU211*BU166+BV211*BV166+BW211*BW166+BX211*BX166+BY211*BY166+BZ211*BZ166+CA211*CA166+CB211*CB166+CC211*CC166+CD211*CD166+CE211*CE166+CF211*CF166+CG211*CG166+CH211*CH166</f>
        <v>0</v>
      </c>
      <c r="CM166" s="1951">
        <f>E212*E166+F212*F166+G212*G166+H212*H166+I212*I166+J212*J166+K212*K166+L212*L166+M212*M166+N212*N166+O212*O166+P212*P166+Q212*Q166+R212*R166+S212*S166+T212*T166+U212*U166+V212*V166+W212*W166+X212*X166+Y212*Y166+Z212*Z166+AA212*AA166+AB212*AB166+AC212*AC166+AD212*AD166+AE212*AE166+AF212*AF166+AG212*AG166+AH212*AH166+AI212*AI166+AJ212*AJ166+AK212*AK166+AL212*AL166+AM212*AM166+AN212*AN166+AO212*AO166+AP212*AP166+AQ212*AQ166+AR212*AR166+AS212*AS166+AT212*AT166+AU212*AU166+AV212*AV166+AW212*AW166+AX212*AX166+AY212*AY166+AZ212*AZ166+BA212*BA166+BB212*BB166+BC212*BC166+BD212*BD166+BE212*BE166+BF212*BF166+BG212*BG166+BH212*BH166+BI212*BI166+BJ212*BJ166+BK212*BK166+BL212*BL166+BM212*BM166+BN212*BN166+BO212*BO166+BP212*BP166+BQ212*BQ166+BR212*BR166+BS212*BS166+BT212*BT166+BU212*BU166+BV212*BV166+BW212*BW166+BX212*BX166+BY212*BY166+BZ212*BZ166+CA212*CA166+CB212*CB166+CC212*CC166+CD212*CD166+CE212*CE166+CF212*CF166+CG212*CG166+CH212*CH166</f>
        <v>0</v>
      </c>
      <c r="CN166" s="1952">
        <f>E213*E166+F213*F166+G213*G166+H213*H166+I213*I166+J213*J166+K213*K166+L213*L166+M213*M166+N213*N166+O213*O166+P213*P166+Q213*Q166+R213*R166+S213*S166+T213*T166+U213*U166+V213*V166+W213*W166+X213*X166+Y213*Y166+Z213*Z166+AA213*AA166+AB213*AB166+AC213*AC166+AD213*AD166+AE213*AE166+AF213*AF166+AG213*AG166+AH213*AH166+AI213*AI166+AJ213*AJ166+AK213*AK166+AL213*AL166+AM213*AM166+AN213*AN166+AO213*AO166+AP213*AP166+AQ213*AQ166+AR213*AR166+AS213*AS166+AT213*AT166+AU213*AU166+AV213*AV166+AW213*AW166+AX213*AX166+AY213*AY166+AZ213*AZ166+BA213*BA166+BB213*BB166+BC213*BC166+BD213*BD166+BE213*BE166+BF213*BF166+BG213*BG166+BH213*BH166+BI213*BI166+BJ213*BJ166+BK213*BK166+BL213*BL166+BM213*BM166+BN213*BN166+BO213*BO166+BP213*BP166+BQ213*BQ166+BR213*BR166+BS213*BS166+BT213*BT166+BU213*BU166+BV213*BV166+BW213*BW166+BX213*BX166+BY213*BY166+BZ213*BZ166+CA213*CA166+CB213*CB166+CC213*CC166+CD213*CD166+CE213*CE166+CF213*CF166+CG213*CG166+CH213*CH166</f>
        <v>0</v>
      </c>
      <c r="CO166" s="1952">
        <f>E214*E166+F214*F166+G214*G166+H214*H166+I214*I166+J214*J166+K214*K166+L214*L166+M214*M166+N214*N166+O214*O166+P214*P166+Q214*Q166+R214*R166+S214*S166+T214*T166+U214*U166+V214*V166+W214*W166+X214*X166+Y214*Y166+Z214*Z166+AA214*AA166+AB214*AB166+AC214*AC166+AD214*AD166+AE214*AE166+AF214*AF166+AG214*AG166+AH214*AH166+AI214*AI166+AJ214*AJ166+AK214*AK166+AL214*AL166+AM214*AM166+AN214*AN166+AO214*AO166+AP214*AP166+AQ214*AQ166+AR214*AR166+AS214*AS166+AT214*AT166+AU214*AU166+AV214*AV166+AW214*AW166+AX214*AX166+AY214*AY166+AZ214*AZ166+BA214*BA166+BB214*BB166+BC214*BC166+BD214*BD166+BE214*BE166+BF214*BF166+BG214*BG166+BH214*BH166+BI214*BI166+BJ214*BJ166+BK214*BK166+BL214*BL166+BM214*BM166+BN214*BN166+BO214*BO166+BP214*BP166+BQ214*BQ166+BR214*BR166+BS214*BS166+BT214*BT166+BU214*BU166+BV214*BV166+BW214*BW166+BX214*BX166+BY214*BY166+BZ214*BZ166+CA214*CA166+CB214*CB166+CC214*CC166+CD214*CD166+CE214*CE166+CF214*CF166+CG214*CG166+CH214*CH166</f>
        <v>0</v>
      </c>
      <c r="CP166" s="1952">
        <f>E215*E166+F215*F166+G215*G166+H215*H166+I215*I166+J215*J166+K215*K166+L215*L166+M215*M166+N215*N166+O215*O166+P215*P166+Q215*Q166+R215*R166+S215*S166+T215*T166+U215*U166+V215*V166+W215*W166+X215*X166+Y215*Y166+Z215*Z166+AA215*AA166+AB215*AB166+AC215*AC166+AD215*AD166+AE215*AE166+AF215*AF166+AG215*AG166+AH215*AH166+AI215*AI166+AJ215*AJ166+AK215*AK166+AL215*AL166+AM215*AM166+AN215*AN166+AO215*AO166+AP215*AP166+AQ215*AQ166+AR215*AR166+AS215*AS166+AT215*AT166+AU215*AU166+AV215*AV166+AW215*AW166+AX215*AX166+AY215*AY166+AZ215*AZ166+BA215*BA166+BB215*BB166+BC215*BC166+BD215*BD166+BE215*BE166+BF215*BF166+BG215*BG166+BH215*BH166+BI215*BI166+BJ215*BJ166+BK215*BK166+BL215*BL166+BM215*BM166+BN215*BN166+BO215*BO166+BP215*BP166+BQ215*BQ166+BR215*BR166+BS215*BS166+BT215*BT166+BU215*BU166+BV215*BV166+BW215*BW166+BX215*BX166+BY215*BY166+BZ215*BZ166+CA215*CA166+CB215*CB166+CC215*CC166+CD215*CD166+CE215*CE166+CF215*CF166+CG215*CG166+CH215*CH166</f>
        <v>0</v>
      </c>
      <c r="CQ166" s="1952">
        <f>E216*E166+F216*F166+G216*G166+H216*H166+I216*I166+J216*J166+K216*K166+L216*L166+M216*M166+N216*N166+O216*O166+P216*P166+Q216*Q166+R216*R166+S216*S166+T216*T166+U216*U166+V216*V166+W216*W166+X216*X166+Y216*Y166+Z216*Z166+AA216*AA166+AB216*AB166+AC216*AC166+AD216*AD166+AE216*AE166+AF216*AF166+AG216*AG166+AH216*AH166+AI216*AI166+AJ216*AJ166+AK216*AK166+AL216*AL166+AM216*AM166+AN216*AN166+AO216*AO166+AP216*AP166+AQ216*AQ166+AR216*AR166+AS216*AS166+AT216*AT166+AU216*AU166+AV216*AV166+AW216*AW166+AX216*AX166+AY216*AY166+AZ216*AZ166+BA216*BA166+BB216*BB166+BC216*BC166+BD216*BD166+BE216*BE166+BF216*BF166+BG216*BG166+BH216*BH166+BI216*BI166+BJ216*BJ166+BK216*BK166+BL216*BL166+BM216*BM166+BN216*BN166+BO216*BO166+BP216*BP166+BQ216*BQ166+BR216*BR166+BS216*BS166+BT216*BT166+BU216*BU166+BV216*BV166+BW216*BW166+BX216*BX166+BY216*BY166+BZ216*BZ166+CA216*CA166+CB216*CB166+CC216*CC166+CD216*CD166+CE216*CE166+CF216*CF166+CG216*CG166+CH216*CH166</f>
        <v>0</v>
      </c>
      <c r="CR166" s="1952">
        <f>E217*E166+F217*F166+G217*G166+H217*H166+I217*I166+J217*J166+K217*K166+L217*L166+M217*M166+N217*N166+O217*O166+P217*P166+Q217*Q166+R217*R166+S217*S166+T217*T166+U217*U166+V217*V166+W217*W166+X217*X166+Y217*Y166+Z217*Z166+AA217*AA166+AB217*AB166+AC217*AC166+AD217*AD166+AE217*AE166+AF217*AF166+AG217*AG166+AH217*AH166+AI217*AI166+AJ217*AJ166+AK217*AK166+AL217*AL166+AM217*AM166+AN217*AN166+AO217*AO166+AP217*AP166+AQ217*AQ166+AR217*AR166+AS217*AS166+AT217*AT166+AU217*AU166+AV217*AV166+AW217*AW166+AX217*AX166+AY217*AY166+AZ217*AZ166+BA217*BA166+BB217*BB166+BC217*BC166+BD217*BD166+BE217*BE166+BF217*BF166+BG217*BG166+BH217*BH166+BI217*BI166+BJ217*BJ166+BK217*BK166+BL217*BL166+BM217*BM166+BN217*BN166+BO217*BO166+BP217*BP166+BQ217*BQ166+BR217*BR166+BS217*BS166+BT217*BT166+BU217*BU166+BV217*BV166+BW217*BW166+BX217*BX166+BY217*BY166+BZ217*BZ166+CA217*CA166+CB217*CB166+CC217*CC166+CD217*CD166+CE217*CE166+CF217*CF166+CG217*CG166+CH217*CH166</f>
        <v>0</v>
      </c>
      <c r="CS166" s="1952">
        <f>E218*E166+F218*F166+G218*G166+H218*H166+I218*I166+J218*J166+K218*K166+L218*L166+M218*M166+N218*N166+O218*O166+P218*P166+Q218*Q166+R218*R166+S218*S166+T218*T166+U218*U166+V218*V166+W218*W166+X218*X166+Y218*Y166+Z218*Z166+AA218*AA166+AB218*AB166+AC218*AC166+AD218*AD166+AE218*AE166+AF218*AF166+AG218*AG166+AH218*AH166+AI218*AI166+AJ218*AJ166+AK218*AK166+AL218*AL166+AM218*AM166+AN218*AN166+AO218*AO166+AP218*AP166+AQ218*AQ166+AR218*AR166+AS218*AS166+AT218*AT166+AU218*AU166+AV218*AV166+AW218*AW166+AX218*AX166+AY218*AY166+AZ218*AZ166+BA218*BA166+BB218*BB166+BC218*BC166+BD218*BD166+BE218*BE166+BF218*BF166+BG218*BG166+BH218*BH166+BI218*BI166+BJ218*BJ166+BK218*BK166+BL218*BL166+BM218*BM166+BN218*BN166+BO218*BO166+BP218*BP166+BQ218*BQ166+BR218*BR166+BS218*BS166+BT218*BT166+BU218*BU166+BV218*BV166+BW218*BW166+BX218*BX166+BY218*BY166+BZ218*BZ166+CA218*CA166+CB218*CB166+CC218*CC166+CD218*CD166+CE218*CE166+CF218*CF166+CG218*CG166+CH218*CH166</f>
        <v>0</v>
      </c>
      <c r="CT166" s="1952">
        <f>E219*E166+F219*F166+G219*G166+H219*H166+I219*I166+J219*J166+K219*K166+L219*L166+M219*M166+N219*N166+O219*O166+P219*P166+Q219*Q166+R219*R166+S219*S166+T219*T166+U219*U166+V219*V166+W219*W166+X219*X166+Y219*Y166+Z219*Z166+AA219*AA166+AB219*AB166+AC219*AC166+AD219*AD166+AE219*AE166+AF219*AF166+AG219*AG166+AH219*AH166+AI219*AI166+AJ219*AJ166+AK219*AK166+AL219*AL166+AM219*AM166+AN219*AN166+AO219*AO166+AP219*AP166+AQ219*AQ166+AR219*AR166+AS219*AS166+AT219*AT166+AU219*AU166+AV219*AV166+AW219*AW166+AX219*AX166+AY219*AY166+AZ219*AZ166+BA219*BA166+BB219*BB166+BC219*BC166+BD219*BD166+BE219*BE166+BF219*BF166+BG219*BG166+BH219*BH166+BI219*BI166+BJ219*BJ166+BK219*BK166+BL219*BL166+BM219*BM166+BN219*BN166+BO219*BO166+BP219*BP166+BQ219*BQ166+BR219*BR166+BS219*BS166+BT219*BT166+BU219*BU166+BV219*BV166+BW219*BW166+BX219*BX166+BY219*BY166+BZ219*BZ166+CA219*CA166+CB219*CB166+CC219*CC166+CD219*CD166+CE219*CE166+CF219*CF166+CG219*CG166+CH219*CH166</f>
        <v>0</v>
      </c>
      <c r="CU166" s="1952">
        <f>E220*E166+F220*F166+G220*G166+H220*H166+I220*I166+J220*J166+K220*K166+L220*L166+M220*M166+N220*N166+O220*O166+P220*P166+Q220*Q166+R220*R166+S220*S166+T220*T166+U220*U166+V220*V166+W220*W166+X220*X166+Y220*Y166+Z220*Z166+AA220*AA166+AB220*AB166+AC220*AC166+AD220*AD166+AE220*AE166+AF220*AF166+AG220*AG166+AH220*AH166+AI220*AI166+AJ220*AJ166+AK220*AK166+AL220*AL166+AM220*AM166+AN220*AN166+AO220*AO166+AP220*AP166+AQ220*AQ166+AR220*AR166+AS220*AS166+AT220*AT166+AU220*AU166+AV220*AV166+AW220*AW166+AX220*AX166+AY220*AY166+AZ220*AZ166+BA220*BA166+BB220*BB166+BC220*BC166+BD220*BD166+BE220*BE166+BF220*BF166+BG220*BG166+BH220*BH166+BI220*BI166+BJ220*BJ166+BK220*BK166+BL220*BL166+BM220*BM166+BN220*BN166+BO220*BO166+BP220*BP166+BQ220*BQ166+BR220*BR166+BS220*BS166+BT220*BT166+BU220*BU166+BV220*BV166+BW220*BW166+BX220*BX166+BY220*BY166+BZ220*BZ166+CA220*CA166+CB220*CB166+CC220*CC166+CD220*CD166+CE220*CE166+CF220*CF166+CG220*CG166+CH220*CH166</f>
        <v>0</v>
      </c>
    </row>
    <row r="167" spans="2:99" ht="18" x14ac:dyDescent="0.25">
      <c r="B167" s="1046">
        <v>53</v>
      </c>
      <c r="C167" s="1124" t="s">
        <v>2124</v>
      </c>
      <c r="D167" s="1125" t="s">
        <v>4972</v>
      </c>
      <c r="E167" s="2064">
        <f>0</f>
        <v>0</v>
      </c>
      <c r="F167" s="2064">
        <f>0</f>
        <v>0</v>
      </c>
      <c r="G167" s="2064">
        <f>0</f>
        <v>0</v>
      </c>
      <c r="H167" s="2064">
        <f>0</f>
        <v>0</v>
      </c>
      <c r="I167" s="2065">
        <f>1</f>
        <v>1</v>
      </c>
      <c r="J167" s="2065">
        <f>0</f>
        <v>0</v>
      </c>
      <c r="K167" s="2064">
        <f>0</f>
        <v>0</v>
      </c>
      <c r="L167" s="2064">
        <f>0</f>
        <v>0</v>
      </c>
      <c r="M167" s="2064">
        <f>-1</f>
        <v>-1</v>
      </c>
      <c r="N167" s="2064">
        <f>0</f>
        <v>0</v>
      </c>
      <c r="O167" s="2064">
        <f>0</f>
        <v>0</v>
      </c>
      <c r="P167" s="2064">
        <f>0</f>
        <v>0</v>
      </c>
      <c r="Q167" s="2064">
        <f>0</f>
        <v>0</v>
      </c>
      <c r="R167" s="2064">
        <f>0</f>
        <v>0</v>
      </c>
      <c r="S167" s="2064">
        <f>0</f>
        <v>0</v>
      </c>
      <c r="T167" s="2064">
        <f>0</f>
        <v>0</v>
      </c>
      <c r="U167" s="2064">
        <f>0</f>
        <v>0</v>
      </c>
      <c r="V167" s="2064">
        <f>0</f>
        <v>0</v>
      </c>
      <c r="W167" s="2064">
        <f>0</f>
        <v>0</v>
      </c>
      <c r="X167" s="2064">
        <f>0</f>
        <v>0</v>
      </c>
      <c r="Y167" s="2064">
        <f>0</f>
        <v>0</v>
      </c>
      <c r="Z167" s="2064">
        <f>0</f>
        <v>0</v>
      </c>
      <c r="AA167" s="2064">
        <f>0</f>
        <v>0</v>
      </c>
      <c r="AB167" s="2064">
        <f>0</f>
        <v>0</v>
      </c>
      <c r="AC167" s="2098">
        <f>X_N_U/X_U</f>
        <v>0.01</v>
      </c>
      <c r="AD167" s="2098">
        <f>0</f>
        <v>0</v>
      </c>
      <c r="AE167" s="2066">
        <f>-X_N_U/X_U</f>
        <v>-0.01</v>
      </c>
      <c r="AF167" s="2064">
        <f>0</f>
        <v>0</v>
      </c>
      <c r="AG167" s="2064">
        <f>0</f>
        <v>0</v>
      </c>
      <c r="AH167" s="2064">
        <f>0</f>
        <v>0</v>
      </c>
      <c r="AI167" s="2098">
        <f>X_P_U/X_U</f>
        <v>2E-3</v>
      </c>
      <c r="AJ167" s="2098">
        <f>0</f>
        <v>0</v>
      </c>
      <c r="AK167" s="2066">
        <f>-X_P_U/X_U</f>
        <v>-2E-3</v>
      </c>
      <c r="AL167" s="2064">
        <f>0</f>
        <v>0</v>
      </c>
      <c r="AM167" s="2064">
        <f>0</f>
        <v>0</v>
      </c>
      <c r="AN167" s="2064">
        <f>0</f>
        <v>0</v>
      </c>
      <c r="AO167" s="2064">
        <f>0</f>
        <v>0</v>
      </c>
      <c r="AP167" s="2064">
        <f>0</f>
        <v>0</v>
      </c>
      <c r="AQ167" s="2064">
        <f>0</f>
        <v>0</v>
      </c>
      <c r="AR167" s="2064">
        <f>0</f>
        <v>0</v>
      </c>
      <c r="AS167" s="2064">
        <f>0</f>
        <v>0</v>
      </c>
      <c r="AT167" s="2064">
        <f>0</f>
        <v>0</v>
      </c>
      <c r="AU167" s="2064">
        <f>0</f>
        <v>0</v>
      </c>
      <c r="AV167" s="2064">
        <f>0</f>
        <v>0</v>
      </c>
      <c r="AW167" s="2064">
        <f>0</f>
        <v>0</v>
      </c>
      <c r="AX167" s="2064">
        <f>0</f>
        <v>0</v>
      </c>
      <c r="AY167" s="2064">
        <f>0</f>
        <v>0</v>
      </c>
      <c r="AZ167" s="2064">
        <f>0</f>
        <v>0</v>
      </c>
      <c r="BA167" s="2064">
        <f>0</f>
        <v>0</v>
      </c>
      <c r="BB167" s="2064">
        <f>0</f>
        <v>0</v>
      </c>
      <c r="BC167" s="2064">
        <f>0</f>
        <v>0</v>
      </c>
      <c r="BD167" s="2064">
        <f>0</f>
        <v>0</v>
      </c>
      <c r="BE167" s="2064">
        <f>0</f>
        <v>0</v>
      </c>
      <c r="BF167" s="2064">
        <f>0</f>
        <v>0</v>
      </c>
      <c r="BG167" s="2064">
        <f>0</f>
        <v>0</v>
      </c>
      <c r="BH167" s="2064">
        <f>0</f>
        <v>0</v>
      </c>
      <c r="BI167" s="2064">
        <f>0</f>
        <v>0</v>
      </c>
      <c r="BJ167" s="2064">
        <f>0</f>
        <v>0</v>
      </c>
      <c r="BK167" s="2064">
        <f>0</f>
        <v>0</v>
      </c>
      <c r="BL167" s="2064">
        <f>0</f>
        <v>0</v>
      </c>
      <c r="BM167" s="2064">
        <f>0</f>
        <v>0</v>
      </c>
      <c r="BN167" s="2064">
        <f>0</f>
        <v>0</v>
      </c>
      <c r="BO167" s="2064">
        <f>0</f>
        <v>0</v>
      </c>
      <c r="BP167" s="2121">
        <f>0</f>
        <v>0</v>
      </c>
      <c r="BQ167" s="2121">
        <f>0</f>
        <v>0</v>
      </c>
      <c r="BR167" s="2121">
        <f>0</f>
        <v>0</v>
      </c>
      <c r="BS167" s="2121">
        <f>0</f>
        <v>0</v>
      </c>
      <c r="BT167" s="2064">
        <f>0</f>
        <v>0</v>
      </c>
      <c r="BU167" s="2064">
        <f>0</f>
        <v>0</v>
      </c>
      <c r="BV167" s="2064">
        <f>0</f>
        <v>0</v>
      </c>
      <c r="BW167" s="2064">
        <f>0</f>
        <v>0</v>
      </c>
      <c r="BX167" s="2064">
        <f>0</f>
        <v>0</v>
      </c>
      <c r="BY167" s="2064">
        <f>0</f>
        <v>0</v>
      </c>
      <c r="BZ167" s="2064">
        <f>0</f>
        <v>0</v>
      </c>
      <c r="CA167" s="2064">
        <f>0</f>
        <v>0</v>
      </c>
      <c r="CB167" s="2064">
        <f>0</f>
        <v>0</v>
      </c>
      <c r="CC167" s="2064">
        <f>0</f>
        <v>0</v>
      </c>
      <c r="CD167" s="2064">
        <f>0</f>
        <v>0</v>
      </c>
      <c r="CE167" s="2064">
        <f>0</f>
        <v>0</v>
      </c>
      <c r="CF167" s="2064">
        <f>0</f>
        <v>0</v>
      </c>
      <c r="CG167" s="2064">
        <f>0</f>
        <v>0</v>
      </c>
      <c r="CH167" s="2064">
        <f>0</f>
        <v>0</v>
      </c>
      <c r="CI167" s="2145">
        <f>q_XU_T*X_U*M_satXU_KXU</f>
        <v>9.9009900990099011E-4</v>
      </c>
      <c r="CK167" s="1950">
        <f>E210*E167+F210*F167+G210*G167+H210*H167+I210*I167+J210*J167+K210*K167+L210*L167+M210*M167+N210*N167+O210*O167+P210*P167+Q210*Q167+R210*R167+S210*S167+T210*T167+U210*U167+V210*V167+W210*W167+X210*X167+Y210*Y167+Z210*Z167+AA210*AA167+AB210*AB167+AC210*AC167+AD210*AD167+AE210*AE167+AF210*AF167+AG210*AG167+AH210*AH167+AI210*AI167+AJ210*AJ167+AK210*AK167+AL210*AL167+AM210*AM167+AN210*AN167+AO210*AO167+AP210*AP167+AQ210*AQ167+AR210*AR167+AS210*AS167+AT210*AT167+AU210*AU167+AV210*AV167+AW210*AW167+AX210*AX167+AY210*AY167+AZ210*AZ167+BA210*BA167+BB210*BB167+BC210*BC167+BD210*BD167+BE210*BE167+BF210*BF167+BG210*BG167+BH210*BH167+BI210*BI167+BJ210*BJ167+BK210*BK167+BL210*BL167+BM210*BM167+BN210*BN167+BO210*BO167+BP210*BP167+BQ210*BQ167+BR210*BR167+BS210*BS167+BT210*BT167+BU210*BU167+BV210*BV167+BW210*BW167+BX210*BX167+BY210*BY167+BZ210*BZ167+CA210*CA167+CB210*CB167+CC210*CC167+CD210*CD167+CE210*CE167+CF210*CF167+CG210*CG167+CH210*CH167</f>
        <v>0</v>
      </c>
      <c r="CL167" s="1950">
        <f>E211*E167+F211*F167+G211*G167+H211*H167+I211*I167+J211*J167+K211*K167+L211*L167+M211*M167+N211*N167+O211*O167+P211*P167+Q211*Q167+R211*R167+S211*S167+T211*T167+U211*U167+V211*V167+W211*W167+X211*X167+Y211*Y167+Z211*Z167+AA211*AA167+AB211*AB167+AC211*AC167+AD211*AD167+AE211*AE167+AF211*AF167+AG211*AG167+AH211*AH167+AI211*AI167+AJ211*AJ167+AK211*AK167+AL211*AL167+AM211*AM167+AN211*AN167+AO211*AO167+AP211*AP167+AQ211*AQ167+AR211*AR167+AS211*AS167+AT211*AT167+AU211*AU167+AV211*AV167+AW211*AW167+AX211*AX167+AY211*AY167+AZ211*AZ167+BA211*BA167+BB211*BB167+BC211*BC167+BD211*BD167+BE211*BE167+BF211*BF167+BG211*BG167+BH211*BH167+BI211*BI167+BJ211*BJ167+BK211*BK167+BL211*BL167+BM211*BM167+BN211*BN167+BO211*BO167+BP211*BP167+BQ211*BQ167+BR211*BR167+BS211*BS167+BT211*BT167+BU211*BU167+BV211*BV167+BW211*BW167+BX211*BX167+BY211*BY167+BZ211*BZ167+CA211*CA167+CB211*CB167+CC211*CC167+CD211*CD167+CE211*CE167+CF211*CF167+CG211*CG167+CH211*CH167</f>
        <v>0</v>
      </c>
      <c r="CM167" s="1951">
        <f>E212*E167+F212*F167+G212*G167+H212*H167+I212*I167+J212*J167+K212*K167+L212*L167+M212*M167+N212*N167+O212*O167+P212*P167+Q212*Q167+R212*R167+S212*S167+T212*T167+U212*U167+V212*V167+W212*W167+X212*X167+Y212*Y167+Z212*Z167+AA212*AA167+AB212*AB167+AC212*AC167+AD212*AD167+AE212*AE167+AF212*AF167+AG212*AG167+AH212*AH167+AI212*AI167+AJ212*AJ167+AK212*AK167+AL212*AL167+AM212*AM167+AN212*AN167+AO212*AO167+AP212*AP167+AQ212*AQ167+AR212*AR167+AS212*AS167+AT212*AT167+AU212*AU167+AV212*AV167+AW212*AW167+AX212*AX167+AY212*AY167+AZ212*AZ167+BA212*BA167+BB212*BB167+BC212*BC167+BD212*BD167+BE212*BE167+BF212*BF167+BG212*BG167+BH212*BH167+BI212*BI167+BJ212*BJ167+BK212*BK167+BL212*BL167+BM212*BM167+BN212*BN167+BO212*BO167+BP212*BP167+BQ212*BQ167+BR212*BR167+BS212*BS167+BT212*BT167+BU212*BU167+BV212*BV167+BW212*BW167+BX212*BX167+BY212*BY167+BZ212*BZ167+CA212*CA167+CB212*CB167+CC212*CC167+CD212*CD167+CE212*CE167+CF212*CF167+CG212*CG167+CH212*CH167</f>
        <v>0</v>
      </c>
      <c r="CN167" s="1952">
        <f>E213*E167+F213*F167+G213*G167+H213*H167+I213*I167+J213*J167+K213*K167+L213*L167+M213*M167+N213*N167+O213*O167+P213*P167+Q213*Q167+R213*R167+S213*S167+T213*T167+U213*U167+V213*V167+W213*W167+X213*X167+Y213*Y167+Z213*Z167+AA213*AA167+AB213*AB167+AC213*AC167+AD213*AD167+AE213*AE167+AF213*AF167+AG213*AG167+AH213*AH167+AI213*AI167+AJ213*AJ167+AK213*AK167+AL213*AL167+AM213*AM167+AN213*AN167+AO213*AO167+AP213*AP167+AQ213*AQ167+AR213*AR167+AS213*AS167+AT213*AT167+AU213*AU167+AV213*AV167+AW213*AW167+AX213*AX167+AY213*AY167+AZ213*AZ167+BA213*BA167+BB213*BB167+BC213*BC167+BD213*BD167+BE213*BE167+BF213*BF167+BG213*BG167+BH213*BH167+BI213*BI167+BJ213*BJ167+BK213*BK167+BL213*BL167+BM213*BM167+BN213*BN167+BO213*BO167+BP213*BP167+BQ213*BQ167+BR213*BR167+BS213*BS167+BT213*BT167+BU213*BU167+BV213*BV167+BW213*BW167+BX213*BX167+BY213*BY167+BZ213*BZ167+CA213*CA167+CB213*CB167+CC213*CC167+CD213*CD167+CE213*CE167+CF213*CF167+CG213*CG167+CH213*CH167</f>
        <v>0</v>
      </c>
      <c r="CO167" s="1952">
        <f>E214*E167+F214*F167+G214*G167+H214*H167+I214*I167+J214*J167+K214*K167+L214*L167+M214*M167+N214*N167+O214*O167+P214*P167+Q214*Q167+R214*R167+S214*S167+T214*T167+U214*U167+V214*V167+W214*W167+X214*X167+Y214*Y167+Z214*Z167+AA214*AA167+AB214*AB167+AC214*AC167+AD214*AD167+AE214*AE167+AF214*AF167+AG214*AG167+AH214*AH167+AI214*AI167+AJ214*AJ167+AK214*AK167+AL214*AL167+AM214*AM167+AN214*AN167+AO214*AO167+AP214*AP167+AQ214*AQ167+AR214*AR167+AS214*AS167+AT214*AT167+AU214*AU167+AV214*AV167+AW214*AW167+AX214*AX167+AY214*AY167+AZ214*AZ167+BA214*BA167+BB214*BB167+BC214*BC167+BD214*BD167+BE214*BE167+BF214*BF167+BG214*BG167+BH214*BH167+BI214*BI167+BJ214*BJ167+BK214*BK167+BL214*BL167+BM214*BM167+BN214*BN167+BO214*BO167+BP214*BP167+BQ214*BQ167+BR214*BR167+BS214*BS167+BT214*BT167+BU214*BU167+BV214*BV167+BW214*BW167+BX214*BX167+BY214*BY167+BZ214*BZ167+CA214*CA167+CB214*CB167+CC214*CC167+CD214*CD167+CE214*CE167+CF214*CF167+CG214*CG167+CH214*CH167</f>
        <v>0</v>
      </c>
      <c r="CP167" s="1952">
        <f>E215*E167+F215*F167+G215*G167+H215*H167+I215*I167+J215*J167+K215*K167+L215*L167+M215*M167+N215*N167+O215*O167+P215*P167+Q215*Q167+R215*R167+S215*S167+T215*T167+U215*U167+V215*V167+W215*W167+X215*X167+Y215*Y167+Z215*Z167+AA215*AA167+AB215*AB167+AC215*AC167+AD215*AD167+AE215*AE167+AF215*AF167+AG215*AG167+AH215*AH167+AI215*AI167+AJ215*AJ167+AK215*AK167+AL215*AL167+AM215*AM167+AN215*AN167+AO215*AO167+AP215*AP167+AQ215*AQ167+AR215*AR167+AS215*AS167+AT215*AT167+AU215*AU167+AV215*AV167+AW215*AW167+AX215*AX167+AY215*AY167+AZ215*AZ167+BA215*BA167+BB215*BB167+BC215*BC167+BD215*BD167+BE215*BE167+BF215*BF167+BG215*BG167+BH215*BH167+BI215*BI167+BJ215*BJ167+BK215*BK167+BL215*BL167+BM215*BM167+BN215*BN167+BO215*BO167+BP215*BP167+BQ215*BQ167+BR215*BR167+BS215*BS167+BT215*BT167+BU215*BU167+BV215*BV167+BW215*BW167+BX215*BX167+BY215*BY167+BZ215*BZ167+CA215*CA167+CB215*CB167+CC215*CC167+CD215*CD167+CE215*CE167+CF215*CF167+CG215*CG167+CH215*CH167</f>
        <v>0</v>
      </c>
      <c r="CQ167" s="1952">
        <f>E216*E167+F216*F167+G216*G167+H216*H167+I216*I167+J216*J167+K216*K167+L216*L167+M216*M167+N216*N167+O216*O167+P216*P167+Q216*Q167+R216*R167+S216*S167+T216*T167+U216*U167+V216*V167+W216*W167+X216*X167+Y216*Y167+Z216*Z167+AA216*AA167+AB216*AB167+AC216*AC167+AD216*AD167+AE216*AE167+AF216*AF167+AG216*AG167+AH216*AH167+AI216*AI167+AJ216*AJ167+AK216*AK167+AL216*AL167+AM216*AM167+AN216*AN167+AO216*AO167+AP216*AP167+AQ216*AQ167+AR216*AR167+AS216*AS167+AT216*AT167+AU216*AU167+AV216*AV167+AW216*AW167+AX216*AX167+AY216*AY167+AZ216*AZ167+BA216*BA167+BB216*BB167+BC216*BC167+BD216*BD167+BE216*BE167+BF216*BF167+BG216*BG167+BH216*BH167+BI216*BI167+BJ216*BJ167+BK216*BK167+BL216*BL167+BM216*BM167+BN216*BN167+BO216*BO167+BP216*BP167+BQ216*BQ167+BR216*BR167+BS216*BS167+BT216*BT167+BU216*BU167+BV216*BV167+BW216*BW167+BX216*BX167+BY216*BY167+BZ216*BZ167+CA216*CA167+CB216*CB167+CC216*CC167+CD216*CD167+CE216*CE167+CF216*CF167+CG216*CG167+CH216*CH167</f>
        <v>0</v>
      </c>
      <c r="CR167" s="1952">
        <f>E217*E167+F217*F167+G217*G167+H217*H167+I217*I167+J217*J167+K217*K167+L217*L167+M217*M167+N217*N167+O217*O167+P217*P167+Q217*Q167+R217*R167+S217*S167+T217*T167+U217*U167+V217*V167+W217*W167+X217*X167+Y217*Y167+Z217*Z167+AA217*AA167+AB217*AB167+AC217*AC167+AD217*AD167+AE217*AE167+AF217*AF167+AG217*AG167+AH217*AH167+AI217*AI167+AJ217*AJ167+AK217*AK167+AL217*AL167+AM217*AM167+AN217*AN167+AO217*AO167+AP217*AP167+AQ217*AQ167+AR217*AR167+AS217*AS167+AT217*AT167+AU217*AU167+AV217*AV167+AW217*AW167+AX217*AX167+AY217*AY167+AZ217*AZ167+BA217*BA167+BB217*BB167+BC217*BC167+BD217*BD167+BE217*BE167+BF217*BF167+BG217*BG167+BH217*BH167+BI217*BI167+BJ217*BJ167+BK217*BK167+BL217*BL167+BM217*BM167+BN217*BN167+BO217*BO167+BP217*BP167+BQ217*BQ167+BR217*BR167+BS217*BS167+BT217*BT167+BU217*BU167+BV217*BV167+BW217*BW167+BX217*BX167+BY217*BY167+BZ217*BZ167+CA217*CA167+CB217*CB167+CC217*CC167+CD217*CD167+CE217*CE167+CF217*CF167+CG217*CG167+CH217*CH167</f>
        <v>0</v>
      </c>
      <c r="CS167" s="1952">
        <f>E218*E167+F218*F167+G218*G167+H218*H167+I218*I167+J218*J167+K218*K167+L218*L167+M218*M167+N218*N167+O218*O167+P218*P167+Q218*Q167+R218*R167+S218*S167+T218*T167+U218*U167+V218*V167+W218*W167+X218*X167+Y218*Y167+Z218*Z167+AA218*AA167+AB218*AB167+AC218*AC167+AD218*AD167+AE218*AE167+AF218*AF167+AG218*AG167+AH218*AH167+AI218*AI167+AJ218*AJ167+AK218*AK167+AL218*AL167+AM218*AM167+AN218*AN167+AO218*AO167+AP218*AP167+AQ218*AQ167+AR218*AR167+AS218*AS167+AT218*AT167+AU218*AU167+AV218*AV167+AW218*AW167+AX218*AX167+AY218*AY167+AZ218*AZ167+BA218*BA167+BB218*BB167+BC218*BC167+BD218*BD167+BE218*BE167+BF218*BF167+BG218*BG167+BH218*BH167+BI218*BI167+BJ218*BJ167+BK218*BK167+BL218*BL167+BM218*BM167+BN218*BN167+BO218*BO167+BP218*BP167+BQ218*BQ167+BR218*BR167+BS218*BS167+BT218*BT167+BU218*BU167+BV218*BV167+BW218*BW167+BX218*BX167+BY218*BY167+BZ218*BZ167+CA218*CA167+CB218*CB167+CC218*CC167+CD218*CD167+CE218*CE167+CF218*CF167+CG218*CG167+CH218*CH167</f>
        <v>0</v>
      </c>
      <c r="CT167" s="1952">
        <f>E219*E167+F219*F167+G219*G167+H219*H167+I219*I167+J219*J167+K219*K167+L219*L167+M219*M167+N219*N167+O219*O167+P219*P167+Q219*Q167+R219*R167+S219*S167+T219*T167+U219*U167+V219*V167+W219*W167+X219*X167+Y219*Y167+Z219*Z167+AA219*AA167+AB219*AB167+AC219*AC167+AD219*AD167+AE219*AE167+AF219*AF167+AG219*AG167+AH219*AH167+AI219*AI167+AJ219*AJ167+AK219*AK167+AL219*AL167+AM219*AM167+AN219*AN167+AO219*AO167+AP219*AP167+AQ219*AQ167+AR219*AR167+AS219*AS167+AT219*AT167+AU219*AU167+AV219*AV167+AW219*AW167+AX219*AX167+AY219*AY167+AZ219*AZ167+BA219*BA167+BB219*BB167+BC219*BC167+BD219*BD167+BE219*BE167+BF219*BF167+BG219*BG167+BH219*BH167+BI219*BI167+BJ219*BJ167+BK219*BK167+BL219*BL167+BM219*BM167+BN219*BN167+BO219*BO167+BP219*BP167+BQ219*BQ167+BR219*BR167+BS219*BS167+BT219*BT167+BU219*BU167+BV219*BV167+BW219*BW167+BX219*BX167+BY219*BY167+BZ219*BZ167+CA219*CA167+CB219*CB167+CC219*CC167+CD219*CD167+CE219*CE167+CF219*CF167+CG219*CG167+CH219*CH167</f>
        <v>0</v>
      </c>
      <c r="CU167" s="1952">
        <f>E220*E167+F220*F167+G220*G167+H220*H167+I220*I167+J220*J167+K220*K167+L220*L167+M220*M167+N220*N167+O220*O167+P220*P167+Q220*Q167+R220*R167+S220*S167+T220*T167+U220*U167+V220*V167+W220*W167+X220*X167+Y220*Y167+Z220*Z167+AA220*AA167+AB220*AB167+AC220*AC167+AD220*AD167+AE220*AE167+AF220*AF167+AG220*AG167+AH220*AH167+AI220*AI167+AJ220*AJ167+AK220*AK167+AL220*AL167+AM220*AM167+AN220*AN167+AO220*AO167+AP220*AP167+AQ220*AQ167+AR220*AR167+AS220*AS167+AT220*AT167+AU220*AU167+AV220*AV167+AW220*AW167+AX220*AX167+AY220*AY167+AZ220*AZ167+BA220*BA167+BB220*BB167+BC220*BC167+BD220*BD167+BE220*BE167+BF220*BF167+BG220*BG167+BH220*BH167+BI220*BI167+BJ220*BJ167+BK220*BK167+BL220*BL167+BM220*BM167+BN220*BN167+BO220*BO167+BP220*BP167+BQ220*BQ167+BR220*BR167+BS220*BS167+BT220*BT167+BU220*BU167+BV220*BV167+BW220*BW167+BX220*BX167+BY220*BY167+BZ220*BZ167+CA220*CA167+CB220*CB167+CC220*CC167+CD220*CD167+CE220*CE167+CF220*CF167+CG220*CG167+CH220*CH167</f>
        <v>0</v>
      </c>
    </row>
    <row r="168" spans="2:99" ht="18" x14ac:dyDescent="0.25">
      <c r="B168" s="1046">
        <v>54</v>
      </c>
      <c r="C168" s="1124" t="s">
        <v>2125</v>
      </c>
      <c r="D168" s="1125" t="s">
        <v>292</v>
      </c>
      <c r="E168" s="2066">
        <f>2/3</f>
        <v>0.66666666666666663</v>
      </c>
      <c r="F168" s="2064">
        <f>0</f>
        <v>0</v>
      </c>
      <c r="G168" s="2064">
        <f>-1</f>
        <v>-1</v>
      </c>
      <c r="H168" s="2064">
        <f>0</f>
        <v>0</v>
      </c>
      <c r="I168" s="2065">
        <f>0</f>
        <v>0</v>
      </c>
      <c r="J168" s="2065">
        <f>0</f>
        <v>0</v>
      </c>
      <c r="K168" s="2064">
        <f>0</f>
        <v>0</v>
      </c>
      <c r="L168" s="2064">
        <f>0</f>
        <v>0</v>
      </c>
      <c r="M168" s="2064">
        <f>0</f>
        <v>0</v>
      </c>
      <c r="N168" s="2064">
        <f>0</f>
        <v>0</v>
      </c>
      <c r="O168" s="2064">
        <f>0</f>
        <v>0</v>
      </c>
      <c r="P168" s="2064">
        <f>0</f>
        <v>0</v>
      </c>
      <c r="Q168" s="2064">
        <f>0</f>
        <v>0</v>
      </c>
      <c r="R168" s="2064">
        <f>0</f>
        <v>0</v>
      </c>
      <c r="S168" s="2064">
        <f>0</f>
        <v>0</v>
      </c>
      <c r="T168" s="2064">
        <f>0</f>
        <v>0</v>
      </c>
      <c r="U168" s="2064">
        <f>0</f>
        <v>0</v>
      </c>
      <c r="V168" s="2064">
        <f>0</f>
        <v>0</v>
      </c>
      <c r="W168" s="2064">
        <f>0</f>
        <v>0</v>
      </c>
      <c r="X168" s="2064">
        <f>0</f>
        <v>0</v>
      </c>
      <c r="Y168" s="2064">
        <f>0</f>
        <v>0</v>
      </c>
      <c r="Z168" s="2064">
        <f>0</f>
        <v>0</v>
      </c>
      <c r="AA168" s="2064">
        <f>0</f>
        <v>0</v>
      </c>
      <c r="AB168" s="2064">
        <f>0</f>
        <v>0</v>
      </c>
      <c r="AC168" s="2065">
        <f>0</f>
        <v>0</v>
      </c>
      <c r="AD168" s="2065">
        <f>0</f>
        <v>0</v>
      </c>
      <c r="AE168" s="2064">
        <f>0</f>
        <v>0</v>
      </c>
      <c r="AF168" s="2064">
        <f>0</f>
        <v>0</v>
      </c>
      <c r="AG168" s="2064">
        <f>0</f>
        <v>0</v>
      </c>
      <c r="AH168" s="2064">
        <f>0</f>
        <v>0</v>
      </c>
      <c r="AI168" s="2065">
        <f>0</f>
        <v>0</v>
      </c>
      <c r="AJ168" s="2065">
        <f>0</f>
        <v>0</v>
      </c>
      <c r="AK168" s="2064">
        <f>0</f>
        <v>0</v>
      </c>
      <c r="AL168" s="2064">
        <f>0</f>
        <v>0</v>
      </c>
      <c r="AM168" s="2064">
        <f>0</f>
        <v>0</v>
      </c>
      <c r="AN168" s="2066">
        <f>1/3</f>
        <v>0.33333333333333331</v>
      </c>
      <c r="AO168" s="2064">
        <f>i_CIT_MEOL-i_CIT_VFA*2/3</f>
        <v>0</v>
      </c>
      <c r="AP168" s="2064">
        <f>0</f>
        <v>0</v>
      </c>
      <c r="AQ168" s="2064">
        <f>0</f>
        <v>0</v>
      </c>
      <c r="AR168" s="2064">
        <f>0</f>
        <v>0</v>
      </c>
      <c r="AS168" s="2064">
        <f>0</f>
        <v>0</v>
      </c>
      <c r="AT168" s="2064">
        <f>0</f>
        <v>0</v>
      </c>
      <c r="AU168" s="2064">
        <f>0</f>
        <v>0</v>
      </c>
      <c r="AV168" s="2064">
        <f>0</f>
        <v>0</v>
      </c>
      <c r="AW168" s="2064">
        <f>0</f>
        <v>0</v>
      </c>
      <c r="AX168" s="2064">
        <f>0</f>
        <v>0</v>
      </c>
      <c r="AY168" s="2064">
        <f>0</f>
        <v>0</v>
      </c>
      <c r="AZ168" s="2064">
        <f>0</f>
        <v>0</v>
      </c>
      <c r="BA168" s="2064">
        <f>0</f>
        <v>0</v>
      </c>
      <c r="BB168" s="2064">
        <f>0</f>
        <v>0</v>
      </c>
      <c r="BC168" s="2064">
        <f>0</f>
        <v>0</v>
      </c>
      <c r="BD168" s="2064">
        <f>0</f>
        <v>0</v>
      </c>
      <c r="BE168" s="2064">
        <f>0</f>
        <v>0</v>
      </c>
      <c r="BF168" s="2064">
        <f>0</f>
        <v>0</v>
      </c>
      <c r="BG168" s="2064">
        <f>0</f>
        <v>0</v>
      </c>
      <c r="BH168" s="2064">
        <f>0</f>
        <v>0</v>
      </c>
      <c r="BI168" s="2064">
        <f>0</f>
        <v>0</v>
      </c>
      <c r="BJ168" s="2064">
        <f>0</f>
        <v>0</v>
      </c>
      <c r="BK168" s="2064">
        <f>0</f>
        <v>0</v>
      </c>
      <c r="BL168" s="2064">
        <f>0</f>
        <v>0</v>
      </c>
      <c r="BM168" s="2064">
        <f>0</f>
        <v>0</v>
      </c>
      <c r="BN168" s="2064">
        <f>0</f>
        <v>0</v>
      </c>
      <c r="BO168" s="2064">
        <f>0</f>
        <v>0</v>
      </c>
      <c r="BP168" s="2121">
        <f>0</f>
        <v>0</v>
      </c>
      <c r="BQ168" s="2121">
        <f>0</f>
        <v>0</v>
      </c>
      <c r="BR168" s="2121">
        <f>0</f>
        <v>0</v>
      </c>
      <c r="BS168" s="2121">
        <f>0</f>
        <v>0</v>
      </c>
      <c r="BT168" s="2064">
        <f>0</f>
        <v>0</v>
      </c>
      <c r="BU168" s="2064">
        <f>0</f>
        <v>0</v>
      </c>
      <c r="BV168" s="2064">
        <f>0</f>
        <v>0</v>
      </c>
      <c r="BW168" s="2064">
        <f>0</f>
        <v>0</v>
      </c>
      <c r="BX168" s="2064">
        <f>0</f>
        <v>0</v>
      </c>
      <c r="BY168" s="2064">
        <f>0</f>
        <v>0</v>
      </c>
      <c r="BZ168" s="2064">
        <f>0</f>
        <v>0</v>
      </c>
      <c r="CA168" s="2064">
        <f>0</f>
        <v>0</v>
      </c>
      <c r="CB168" s="2064">
        <f>0</f>
        <v>0</v>
      </c>
      <c r="CC168" s="2064">
        <f>0</f>
        <v>0</v>
      </c>
      <c r="CD168" s="2064">
        <f>0</f>
        <v>0</v>
      </c>
      <c r="CE168" s="2064">
        <f>0</f>
        <v>0</v>
      </c>
      <c r="CF168" s="2064">
        <f>0</f>
        <v>0</v>
      </c>
      <c r="CG168" s="2064">
        <f>0</f>
        <v>0</v>
      </c>
      <c r="CH168" s="2064">
        <f>0</f>
        <v>0</v>
      </c>
      <c r="CI168" s="2145">
        <f>q_MEOL*S_MEOL*M_satSCO2_KCO2_BIO*M_inhSO2_KO2_OHO*M_inhSNOx_KNOx_OHO</f>
        <v>4.0946798181716231E-53</v>
      </c>
      <c r="CK168" s="1950">
        <f>E210*E168+F210*F168+G210*G168+H210*H168+I210*I168+J210*J168+K210*K168+L210*L168+M210*M168+N210*N168+O210*O168+P210*P168+Q210*Q168+R210*R168+S210*S168+T210*T168+U210*U168+V210*V168+W210*W168+X210*X168+Y210*Y168+Z210*Z168+AA210*AA168+AB210*AB168+AC210*AC168+AD210*AD168+AE210*AE168+AF210*AF168+AG210*AG168+AH210*AH168+AI210*AI168+AJ210*AJ168+AK210*AK168+AL210*AL168+AM210*AM168+AN210*AN168+AO210*AO168+AP210*AP168+AQ210*AQ168+AR210*AR168+AS210*AS168+AT210*AT168+AU210*AU168+AV210*AV168+AW210*AW168+AX210*AX168+AY210*AY168+AZ210*AZ168+BA210*BA168+BB210*BB168+BC210*BC168+BD210*BD168+BE210*BE168+BF210*BF168+BG210*BG168+BH210*BH168+BI210*BI168+BJ210*BJ168+BK210*BK168+BL210*BL168+BM210*BM168+BN210*BN168+BO210*BO168+BP210*BP168+BQ210*BQ168+BR210*BR168+BS210*BS168+BT210*BT168+BU210*BU168+BV210*BV168+BW210*BW168+BX210*BX168+BY210*BY168+BZ210*BZ168+CA210*CA168+CB210*CB168+CC210*CC168+CD210*CD168+CE210*CE168+CF210*CF168+CG210*CG168+CH210*CH168</f>
        <v>-5.5511151231257827E-17</v>
      </c>
      <c r="CL168" s="1950">
        <f>E211*E168+F211*F168+G211*G168+H211*H168+I211*I168+J211*J168+K211*K168+L211*L168+M211*M168+N211*N168+O211*O168+P211*P168+Q211*Q168+R211*R168+S211*S168+T211*T168+U211*U168+V211*V168+W211*W168+X211*X168+Y211*Y168+Z211*Z168+AA211*AA168+AB211*AB168+AC211*AC168+AD211*AD168+AE211*AE168+AF211*AF168+AG211*AG168+AH211*AH168+AI211*AI168+AJ211*AJ168+AK211*AK168+AL211*AL168+AM211*AM168+AN211*AN168+AO211*AO168+AP211*AP168+AQ211*AQ168+AR211*AR168+AS211*AS168+AT211*AT168+AU211*AU168+AV211*AV168+AW211*AW168+AX211*AX168+AY211*AY168+AZ211*AZ168+BA211*BA168+BB211*BB168+BC211*BC168+BD211*BD168+BE211*BE168+BF211*BF168+BG211*BG168+BH211*BH168+BI211*BI168+BJ211*BJ168+BK211*BK168+BL211*BL168+BM211*BM168+BN211*BN168+BO211*BO168+BP211*BP168+BQ211*BQ168+BR211*BR168+BS211*BS168+BT211*BT168+BU211*BU168+BV211*BV168+BW211*BW168+BX211*BX168+BY211*BY168+BZ211*BZ168+CA211*CA168+CB211*CB168+CC211*CC168+CD211*CD168+CE211*CE168+CF211*CF168+CG211*CG168+CH211*CH168</f>
        <v>0</v>
      </c>
      <c r="CM168" s="1951">
        <f>E212*E168+F212*F168+G212*G168+H212*H168+I212*I168+J212*J168+K212*K168+L212*L168+M212*M168+N212*N168+O212*O168+P212*P168+Q212*Q168+R212*R168+S212*S168+T212*T168+U212*U168+V212*V168+W212*W168+X212*X168+Y212*Y168+Z212*Z168+AA212*AA168+AB212*AB168+AC212*AC168+AD212*AD168+AE212*AE168+AF212*AF168+AG212*AG168+AH212*AH168+AI212*AI168+AJ212*AJ168+AK212*AK168+AL212*AL168+AM212*AM168+AN212*AN168+AO212*AO168+AP212*AP168+AQ212*AQ168+AR212*AR168+AS212*AS168+AT212*AT168+AU212*AU168+AV212*AV168+AW212*AW168+AX212*AX168+AY212*AY168+AZ212*AZ168+BA212*BA168+BB212*BB168+BC212*BC168+BD212*BD168+BE212*BE168+BF212*BF168+BG212*BG168+BH212*BH168+BI212*BI168+BJ212*BJ168+BK212*BK168+BL212*BL168+BM212*BM168+BN212*BN168+BO212*BO168+BP212*BP168+BQ212*BQ168+BR212*BR168+BS212*BS168+BT212*BT168+BU212*BU168+BV212*BV168+BW212*BW168+BX212*BX168+BY212*BY168+BZ212*BZ168+CA212*CA168+CB212*CB168+CC212*CC168+CD212*CD168+CE212*CE168+CF212*CF168+CG212*CG168+CH212*CH168</f>
        <v>0</v>
      </c>
      <c r="CN168" s="1952">
        <f>E213*E168+F213*F168+G213*G168+H213*H168+I213*I168+J213*J168+K213*K168+L213*L168+M213*M168+N213*N168+O213*O168+P213*P168+Q213*Q168+R213*R168+S213*S168+T213*T168+U213*U168+V213*V168+W213*W168+X213*X168+Y213*Y168+Z213*Z168+AA213*AA168+AB213*AB168+AC213*AC168+AD213*AD168+AE213*AE168+AF213*AF168+AG213*AG168+AH213*AH168+AI213*AI168+AJ213*AJ168+AK213*AK168+AL213*AL168+AM213*AM168+AN213*AN168+AO213*AO168+AP213*AP168+AQ213*AQ168+AR213*AR168+AS213*AS168+AT213*AT168+AU213*AU168+AV213*AV168+AW213*AW168+AX213*AX168+AY213*AY168+AZ213*AZ168+BA213*BA168+BB213*BB168+BC213*BC168+BD213*BD168+BE213*BE168+BF213*BF168+BG213*BG168+BH213*BH168+BI213*BI168+BJ213*BJ168+BK213*BK168+BL213*BL168+BM213*BM168+BN213*BN168+BO213*BO168+BP213*BP168+BQ213*BQ168+BR213*BR168+BS213*BS168+BT213*BT168+BU213*BU168+BV213*BV168+BW213*BW168+BX213*BX168+BY213*BY168+BZ213*BZ168+CA213*CA168+CB213*CB168+CC213*CC168+CD213*CD168+CE213*CE168+CF213*CF168+CG213*CG168+CH213*CH168</f>
        <v>0</v>
      </c>
      <c r="CO168" s="1952">
        <f>E214*E168+F214*F168+G214*G168+H214*H168+I214*I168+J214*J168+K214*K168+L214*L168+M214*M168+N214*N168+O214*O168+P214*P168+Q214*Q168+R214*R168+S214*S168+T214*T168+U214*U168+V214*V168+W214*W168+X214*X168+Y214*Y168+Z214*Z168+AA214*AA168+AB214*AB168+AC214*AC168+AD214*AD168+AE214*AE168+AF214*AF168+AG214*AG168+AH214*AH168+AI214*AI168+AJ214*AJ168+AK214*AK168+AL214*AL168+AM214*AM168+AN214*AN168+AO214*AO168+AP214*AP168+AQ214*AQ168+AR214*AR168+AS214*AS168+AT214*AT168+AU214*AU168+AV214*AV168+AW214*AW168+AX214*AX168+AY214*AY168+AZ214*AZ168+BA214*BA168+BB214*BB168+BC214*BC168+BD214*BD168+BE214*BE168+BF214*BF168+BG214*BG168+BH214*BH168+BI214*BI168+BJ214*BJ168+BK214*BK168+BL214*BL168+BM214*BM168+BN214*BN168+BO214*BO168+BP214*BP168+BQ214*BQ168+BR214*BR168+BS214*BS168+BT214*BT168+BU214*BU168+BV214*BV168+BW214*BW168+BX214*BX168+BY214*BY168+BZ214*BZ168+CA214*CA168+CB214*CB168+CC214*CC168+CD214*CD168+CE214*CE168+CF214*CF168+CG214*CG168+CH214*CH168</f>
        <v>0</v>
      </c>
      <c r="CP168" s="1952">
        <f>E215*E168+F215*F168+G215*G168+H215*H168+I215*I168+J215*J168+K215*K168+L215*L168+M215*M168+N215*N168+O215*O168+P215*P168+Q215*Q168+R215*R168+S215*S168+T215*T168+U215*U168+V215*V168+W215*W168+X215*X168+Y215*Y168+Z215*Z168+AA215*AA168+AB215*AB168+AC215*AC168+AD215*AD168+AE215*AE168+AF215*AF168+AG215*AG168+AH215*AH168+AI215*AI168+AJ215*AJ168+AK215*AK168+AL215*AL168+AM215*AM168+AN215*AN168+AO215*AO168+AP215*AP168+AQ215*AQ168+AR215*AR168+AS215*AS168+AT215*AT168+AU215*AU168+AV215*AV168+AW215*AW168+AX215*AX168+AY215*AY168+AZ215*AZ168+BA215*BA168+BB215*BB168+BC215*BC168+BD215*BD168+BE215*BE168+BF215*BF168+BG215*BG168+BH215*BH168+BI215*BI168+BJ215*BJ168+BK215*BK168+BL215*BL168+BM215*BM168+BN215*BN168+BO215*BO168+BP215*BP168+BQ215*BQ168+BR215*BR168+BS215*BS168+BT215*BT168+BU215*BU168+BV215*BV168+BW215*BW168+BX215*BX168+BY215*BY168+BZ215*BZ168+CA215*CA168+CB215*CB168+CC215*CC168+CD215*CD168+CE215*CE168+CF215*CF168+CG215*CG168+CH215*CH168</f>
        <v>0</v>
      </c>
      <c r="CQ168" s="1952">
        <f>E216*E168+F216*F168+G216*G168+H216*H168+I216*I168+J216*J168+K216*K168+L216*L168+M216*M168+N216*N168+O216*O168+P216*P168+Q216*Q168+R216*R168+S216*S168+T216*T168+U216*U168+V216*V168+W216*W168+X216*X168+Y216*Y168+Z216*Z168+AA216*AA168+AB216*AB168+AC216*AC168+AD216*AD168+AE216*AE168+AF216*AF168+AG216*AG168+AH216*AH168+AI216*AI168+AJ216*AJ168+AK216*AK168+AL216*AL168+AM216*AM168+AN216*AN168+AO216*AO168+AP216*AP168+AQ216*AQ168+AR216*AR168+AS216*AS168+AT216*AT168+AU216*AU168+AV216*AV168+AW216*AW168+AX216*AX168+AY216*AY168+AZ216*AZ168+BA216*BA168+BB216*BB168+BC216*BC168+BD216*BD168+BE216*BE168+BF216*BF168+BG216*BG168+BH216*BH168+BI216*BI168+BJ216*BJ168+BK216*BK168+BL216*BL168+BM216*BM168+BN216*BN168+BO216*BO168+BP216*BP168+BQ216*BQ168+BR216*BR168+BS216*BS168+BT216*BT168+BU216*BU168+BV216*BV168+BW216*BW168+BX216*BX168+BY216*BY168+BZ216*BZ168+CA216*CA168+CB216*CB168+CC216*CC168+CD216*CD168+CE216*CE168+CF216*CF168+CG216*CG168+CH216*CH168</f>
        <v>0</v>
      </c>
      <c r="CR168" s="1952">
        <f>E217*E168+F217*F168+G217*G168+H217*H168+I217*I168+J217*J168+K217*K168+L217*L168+M217*M168+N217*N168+O217*O168+P217*P168+Q217*Q168+R217*R168+S217*S168+T217*T168+U217*U168+V217*V168+W217*W168+X217*X168+Y217*Y168+Z217*Z168+AA217*AA168+AB217*AB168+AC217*AC168+AD217*AD168+AE217*AE168+AF217*AF168+AG217*AG168+AH217*AH168+AI217*AI168+AJ217*AJ168+AK217*AK168+AL217*AL168+AM217*AM168+AN217*AN168+AO217*AO168+AP217*AP168+AQ217*AQ168+AR217*AR168+AS217*AS168+AT217*AT168+AU217*AU168+AV217*AV168+AW217*AW168+AX217*AX168+AY217*AY168+AZ217*AZ168+BA217*BA168+BB217*BB168+BC217*BC168+BD217*BD168+BE217*BE168+BF217*BF168+BG217*BG168+BH217*BH168+BI217*BI168+BJ217*BJ168+BK217*BK168+BL217*BL168+BM217*BM168+BN217*BN168+BO217*BO168+BP217*BP168+BQ217*BQ168+BR217*BR168+BS217*BS168+BT217*BT168+BU217*BU168+BV217*BV168+BW217*BW168+BX217*BX168+BY217*BY168+BZ217*BZ168+CA217*CA168+CB217*CB168+CC217*CC168+CD217*CD168+CE217*CE168+CF217*CF168+CG217*CG168+CH217*CH168</f>
        <v>0</v>
      </c>
      <c r="CS168" s="1952">
        <f>E218*E168+F218*F168+G218*G168+H218*H168+I218*I168+J218*J168+K218*K168+L218*L168+M218*M168+N218*N168+O218*O168+P218*P168+Q218*Q168+R218*R168+S218*S168+T218*T168+U218*U168+V218*V168+W218*W168+X218*X168+Y218*Y168+Z218*Z168+AA218*AA168+AB218*AB168+AC218*AC168+AD218*AD168+AE218*AE168+AF218*AF168+AG218*AG168+AH218*AH168+AI218*AI168+AJ218*AJ168+AK218*AK168+AL218*AL168+AM218*AM168+AN218*AN168+AO218*AO168+AP218*AP168+AQ218*AQ168+AR218*AR168+AS218*AS168+AT218*AT168+AU218*AU168+AV218*AV168+AW218*AW168+AX218*AX168+AY218*AY168+AZ218*AZ168+BA218*BA168+BB218*BB168+BC218*BC168+BD218*BD168+BE218*BE168+BF218*BF168+BG218*BG168+BH218*BH168+BI218*BI168+BJ218*BJ168+BK218*BK168+BL218*BL168+BM218*BM168+BN218*BN168+BO218*BO168+BP218*BP168+BQ218*BQ168+BR218*BR168+BS218*BS168+BT218*BT168+BU218*BU168+BV218*BV168+BW218*BW168+BX218*BX168+BY218*BY168+BZ218*BZ168+CA218*CA168+CB218*CB168+CC218*CC168+CD218*CD168+CE218*CE168+CF218*CF168+CG218*CG168+CH218*CH168</f>
        <v>0</v>
      </c>
      <c r="CT168" s="1952">
        <f>E219*E168+F219*F168+G219*G168+H219*H168+I219*I168+J219*J168+K219*K168+L219*L168+M219*M168+N219*N168+O219*O168+P219*P168+Q219*Q168+R219*R168+S219*S168+T219*T168+U219*U168+V219*V168+W219*W168+X219*X168+Y219*Y168+Z219*Z168+AA219*AA168+AB219*AB168+AC219*AC168+AD219*AD168+AE219*AE168+AF219*AF168+AG219*AG168+AH219*AH168+AI219*AI168+AJ219*AJ168+AK219*AK168+AL219*AL168+AM219*AM168+AN219*AN168+AO219*AO168+AP219*AP168+AQ219*AQ168+AR219*AR168+AS219*AS168+AT219*AT168+AU219*AU168+AV219*AV168+AW219*AW168+AX219*AX168+AY219*AY168+AZ219*AZ168+BA219*BA168+BB219*BB168+BC219*BC168+BD219*BD168+BE219*BE168+BF219*BF168+BG219*BG168+BH219*BH168+BI219*BI168+BJ219*BJ168+BK219*BK168+BL219*BL168+BM219*BM168+BN219*BN168+BO219*BO168+BP219*BP168+BQ219*BQ168+BR219*BR168+BS219*BS168+BT219*BT168+BU219*BU168+BV219*BV168+BW219*BW168+BX219*BX168+BY219*BY168+BZ219*BZ168+CA219*CA168+CB219*CB168+CC219*CC168+CD219*CD168+CE219*CE168+CF219*CF168+CG219*CG168+CH219*CH168</f>
        <v>0</v>
      </c>
      <c r="CU168" s="1952">
        <f>E220*E168+F220*F168+G220*G168+H220*H168+I220*I168+J220*J168+K220*K168+L220*L168+M220*M168+N220*N168+O220*O168+P220*P168+Q220*Q168+R220*R168+S220*S168+T220*T168+U220*U168+V220*V168+W220*W168+X220*X168+Y220*Y168+Z220*Z168+AA220*AA168+AB220*AB168+AC220*AC168+AD220*AD168+AE220*AE168+AF220*AF168+AG220*AG168+AH220*AH168+AI220*AI168+AJ220*AJ168+AK220*AK168+AL220*AL168+AM220*AM168+AN220*AN168+AO220*AO168+AP220*AP168+AQ220*AQ168+AR220*AR168+AS220*AS168+AT220*AT168+AU220*AU168+AV220*AV168+AW220*AW168+AX220*AX168+AY220*AY168+AZ220*AZ168+BA220*BA168+BB220*BB168+BC220*BC168+BD220*BD168+BE220*BE168+BF220*BF168+BG220*BG168+BH220*BH168+BI220*BI168+BJ220*BJ168+BK220*BK168+BL220*BL168+BM220*BM168+BN220*BN168+BO220*BO168+BP220*BP168+BQ220*BQ168+BR220*BR168+BS220*BS168+BT220*BT168+BU220*BU168+BV220*BV168+BW220*BW168+BX220*BX168+BY220*BY168+BZ220*BZ168+CA220*CA168+CB220*CB168+CC220*CC168+CD220*CD168+CE220*CE168+CF220*CF168+CG220*CG168+CH220*CH168</f>
        <v>0</v>
      </c>
    </row>
    <row r="169" spans="2:99" ht="18" x14ac:dyDescent="0.25">
      <c r="B169" s="1046">
        <v>55</v>
      </c>
      <c r="C169" s="1124" t="s">
        <v>2126</v>
      </c>
      <c r="D169" s="1125" t="s">
        <v>4436</v>
      </c>
      <c r="E169" s="2064">
        <f>0</f>
        <v>0</v>
      </c>
      <c r="F169" s="2064">
        <f>0</f>
        <v>0</v>
      </c>
      <c r="G169" s="2064">
        <f>0</f>
        <v>0</v>
      </c>
      <c r="H169" s="2064">
        <f>0</f>
        <v>0</v>
      </c>
      <c r="I169" s="2065">
        <f>0</f>
        <v>0</v>
      </c>
      <c r="J169" s="2065">
        <f>0</f>
        <v>0</v>
      </c>
      <c r="K169" s="2064">
        <f>0</f>
        <v>0</v>
      </c>
      <c r="L169" s="2064">
        <f>0</f>
        <v>0</v>
      </c>
      <c r="M169" s="2064">
        <f>0</f>
        <v>0</v>
      </c>
      <c r="N169" s="2064">
        <f>0</f>
        <v>0</v>
      </c>
      <c r="O169" s="2064">
        <f>0</f>
        <v>0</v>
      </c>
      <c r="P169" s="2064">
        <f>0</f>
        <v>0</v>
      </c>
      <c r="Q169" s="2064">
        <f>0</f>
        <v>0</v>
      </c>
      <c r="R169" s="2066">
        <f>-E_EQNO3*X_OHO/X_BIO_AS</f>
        <v>-2.0930235988332275</v>
      </c>
      <c r="S169" s="2066">
        <f>-E_EQNO3*X_CASTO/X_BIO_AS</f>
        <v>-2.0930235988332275</v>
      </c>
      <c r="T169" s="2066">
        <f>-E_EQNO3*X_MEOLO/X_BIO_AS</f>
        <v>-4.1860471976664553E-3</v>
      </c>
      <c r="U169" s="2066">
        <f>-E_EQNO3*X_NITO/X_BIO_AS</f>
        <v>-0.37674424778998095</v>
      </c>
      <c r="V169" s="2066">
        <f>-E_EQNO3*X_AMETO/X_BIO_AS</f>
        <v>-1.2558141592999364E-3</v>
      </c>
      <c r="W169" s="2066">
        <f>-E_EQNO3*X_HMETO/X_BIO_AS</f>
        <v>-8.3720943953329095E-4</v>
      </c>
      <c r="X169" s="2066">
        <f>0</f>
        <v>0</v>
      </c>
      <c r="Y169" s="2064">
        <f>1+i_N_BIO*E_EQNO3*X_BIO_AS/X_BIO_AS</f>
        <v>1.3198349361377055</v>
      </c>
      <c r="Z169" s="2064">
        <f>-1</f>
        <v>-1</v>
      </c>
      <c r="AA169" s="2064">
        <f>0</f>
        <v>0</v>
      </c>
      <c r="AB169" s="2064">
        <f>0</f>
        <v>0</v>
      </c>
      <c r="AC169" s="2065">
        <f>0</f>
        <v>0</v>
      </c>
      <c r="AD169" s="2065">
        <f>0</f>
        <v>0</v>
      </c>
      <c r="AE169" s="2064">
        <f>0</f>
        <v>0</v>
      </c>
      <c r="AF169" s="2064">
        <f>i_P_BIO*E_EQNO3*X_BIO_AS/X_BIO_AS</f>
        <v>9.1381410325058712E-2</v>
      </c>
      <c r="AG169" s="2064">
        <f>0</f>
        <v>0</v>
      </c>
      <c r="AH169" s="2064">
        <f>0</f>
        <v>0</v>
      </c>
      <c r="AI169" s="2065">
        <f>0</f>
        <v>0</v>
      </c>
      <c r="AJ169" s="2065">
        <f>0</f>
        <v>0</v>
      </c>
      <c r="AK169" s="2064">
        <f>0</f>
        <v>0</v>
      </c>
      <c r="AL169" s="2064">
        <f>0</f>
        <v>0</v>
      </c>
      <c r="AM169" s="2064">
        <f>0</f>
        <v>0</v>
      </c>
      <c r="AN169" s="2064">
        <f>0</f>
        <v>0</v>
      </c>
      <c r="AO169" s="2064">
        <f>i_CIT_BIO*E_EQNO3*X_BIO_AS/X_BIO_AS</f>
        <v>1.6083128217210332</v>
      </c>
      <c r="AP169" s="2064">
        <f>0</f>
        <v>0</v>
      </c>
      <c r="AQ169" s="2064">
        <f>0</f>
        <v>0</v>
      </c>
      <c r="AR169" s="2064">
        <f>0</f>
        <v>0</v>
      </c>
      <c r="AS169" s="2064">
        <f>0</f>
        <v>0</v>
      </c>
      <c r="AT169" s="2064">
        <f>0</f>
        <v>0</v>
      </c>
      <c r="AU169" s="2064">
        <f>0</f>
        <v>0</v>
      </c>
      <c r="AV169" s="2064">
        <f>0</f>
        <v>0</v>
      </c>
      <c r="AW169" s="2064">
        <f>0</f>
        <v>0</v>
      </c>
      <c r="AX169" s="2064">
        <f>0</f>
        <v>0</v>
      </c>
      <c r="AY169" s="2064">
        <f>0</f>
        <v>0</v>
      </c>
      <c r="AZ169" s="2064">
        <f>0</f>
        <v>0</v>
      </c>
      <c r="BA169" s="2064">
        <f>0</f>
        <v>0</v>
      </c>
      <c r="BB169" s="2064">
        <f>0</f>
        <v>0</v>
      </c>
      <c r="BC169" s="2064">
        <f>0</f>
        <v>0</v>
      </c>
      <c r="BD169" s="2064">
        <f>0</f>
        <v>0</v>
      </c>
      <c r="BE169" s="2064">
        <f>0</f>
        <v>0</v>
      </c>
      <c r="BF169" s="2064">
        <f>0</f>
        <v>0</v>
      </c>
      <c r="BG169" s="2064">
        <f>0</f>
        <v>0</v>
      </c>
      <c r="BH169" s="2064">
        <f>0</f>
        <v>0</v>
      </c>
      <c r="BI169" s="2064">
        <f>0</f>
        <v>0</v>
      </c>
      <c r="BJ169" s="2064">
        <f>0</f>
        <v>0</v>
      </c>
      <c r="BK169" s="2064">
        <f>0</f>
        <v>0</v>
      </c>
      <c r="BL169" s="2064">
        <f>0</f>
        <v>0</v>
      </c>
      <c r="BM169" s="2064">
        <f>0</f>
        <v>0</v>
      </c>
      <c r="BN169" s="2064">
        <f>0</f>
        <v>0</v>
      </c>
      <c r="BO169" s="2064">
        <f>0</f>
        <v>0</v>
      </c>
      <c r="BP169" s="2121">
        <f>0</f>
        <v>0</v>
      </c>
      <c r="BQ169" s="2121">
        <f>0</f>
        <v>0</v>
      </c>
      <c r="BR169" s="2121">
        <f>0</f>
        <v>0</v>
      </c>
      <c r="BS169" s="2121">
        <f>0</f>
        <v>0</v>
      </c>
      <c r="BT169" s="2064">
        <f>0</f>
        <v>0</v>
      </c>
      <c r="BU169" s="2064">
        <f>0</f>
        <v>0</v>
      </c>
      <c r="BV169" s="2064">
        <f>0</f>
        <v>0</v>
      </c>
      <c r="BW169" s="2064">
        <f>0</f>
        <v>0</v>
      </c>
      <c r="BX169" s="2064">
        <f>0</f>
        <v>0</v>
      </c>
      <c r="BY169" s="2064">
        <f>0</f>
        <v>0</v>
      </c>
      <c r="BZ169" s="2064">
        <f>0</f>
        <v>0</v>
      </c>
      <c r="CA169" s="2064">
        <f>0</f>
        <v>0</v>
      </c>
      <c r="CB169" s="2064">
        <f>0</f>
        <v>0</v>
      </c>
      <c r="CC169" s="2064">
        <f>0</f>
        <v>0</v>
      </c>
      <c r="CD169" s="2064">
        <f>0</f>
        <v>0</v>
      </c>
      <c r="CE169" s="2064">
        <f>0</f>
        <v>0</v>
      </c>
      <c r="CF169" s="2064">
        <f>0</f>
        <v>0</v>
      </c>
      <c r="CG169" s="2064">
        <f>0</f>
        <v>0</v>
      </c>
      <c r="CH169" s="2064">
        <f>0</f>
        <v>0</v>
      </c>
      <c r="CI169" s="2145">
        <f>q_ASSIM_T*X_BIO_AS*M_satSNOx_KNOx_ASSIM*M_inhSNHx_KiNHx_ASSIM</f>
        <v>0.54536818773176898</v>
      </c>
      <c r="CK169" s="1950">
        <f>E210*E169+F210*F169+G210*G169+H210*H169+I210*I169+J210*J169+K210*K169+L210*L169+M210*M169+N210*N169+O210*O169+P210*P169+Q210*Q169+R210*R169+S210*S169+T210*T169+U210*U169+V210*V169+W210*W169+X210*X169+Y210*Y169+Z210*Z169+AA210*AA169+AB210*AB169+AC210*AC169+AD210*AD169+AE210*AE169+AF210*AF169+AG210*AG169+AH210*AH169+AI210*AI169+AJ210*AJ169+AK210*AK169+AL210*AL169+AM210*AM169+AN210*AN169+AO210*AO169+AP210*AP169+AQ210*AQ169+AR210*AR169+AS210*AS169+AT210*AT169+AU210*AU169+AV210*AV169+AW210*AW169+AX210*AX169+AY210*AY169+AZ210*AZ169+BA210*BA169+BB210*BB169+BC210*BC169+BD210*BD169+BE210*BE169+BF210*BF169+BG210*BG169+BH210*BH169+BI210*BI169+BJ210*BJ169+BK210*BK169+BL210*BL169+BM210*BM169+BN210*BN169+BO210*BO169+BP210*BP169+BQ210*BQ169+BR210*BR169+BS210*BS169+BT210*BT169+BU210*BU169+BV210*BV169+BW210*BW169+BX210*BX169+BY210*BY169+BZ210*BZ169+CA210*CA169+CB210*CB169+CC210*CC169+CD210*CD169+CE210*CE169+CF210*CF169+CG210*CG169+CH210*CH169</f>
        <v>8.8817841970012523E-16</v>
      </c>
      <c r="CL169" s="1950">
        <f>E211*E169+F211*F169+G211*G169+H211*H169+I211*I169+J211*J169+K211*K169+L211*L169+M211*M169+N211*N169+O211*O169+P211*P169+Q211*Q169+R211*R169+S211*S169+T211*T169+U211*U169+V211*V169+W211*W169+X211*X169+Y211*Y169+Z211*Z169+AA211*AA169+AB211*AB169+AC211*AC169+AD211*AD169+AE211*AE169+AF211*AF169+AG211*AG169+AH211*AH169+AI211*AI169+AJ211*AJ169+AK211*AK169+AL211*AL169+AM211*AM169+AN211*AN169+AO211*AO169+AP211*AP169+AQ211*AQ169+AR211*AR169+AS211*AS169+AT211*AT169+AU211*AU169+AV211*AV169+AW211*AW169+AX211*AX169+AY211*AY169+AZ211*AZ169+BA211*BA169+BB211*BB169+BC211*BC169+BD211*BD169+BE211*BE169+BF211*BF169+BG211*BG169+BH211*BH169+BI211*BI169+BJ211*BJ169+BK211*BK169+BL211*BL169+BM211*BM169+BN211*BN169+BO211*BO169+BP211*BP169+BQ211*BQ169+BR211*BR169+BS211*BS169+BT211*BT169+BU211*BU169+BV211*BV169+BW211*BW169+BX211*BX169+BY211*BY169+BZ211*BZ169+CA211*CA169+CB211*CB169+CC211*CC169+CD211*CD169+CE211*CE169+CF211*CF169+CG211*CG169+CH211*CH169</f>
        <v>2.2204460492503131E-16</v>
      </c>
      <c r="CM169" s="1951">
        <f>E212*E169+F212*F169+G212*G169+H212*H169+I212*I169+J212*J169+K212*K169+L212*L169+M212*M169+N212*N169+O212*O169+P212*P169+Q212*Q169+R212*R169+S212*S169+T212*T169+U212*U169+V212*V169+W212*W169+X212*X169+Y212*Y169+Z212*Z169+AA212*AA169+AB212*AB169+AC212*AC169+AD212*AD169+AE212*AE169+AF212*AF169+AG212*AG169+AH212*AH169+AI212*AI169+AJ212*AJ169+AK212*AK169+AL212*AL169+AM212*AM169+AN212*AN169+AO212*AO169+AP212*AP169+AQ212*AQ169+AR212*AR169+AS212*AS169+AT212*AT169+AU212*AU169+AV212*AV169+AW212*AW169+AX212*AX169+AY212*AY169+AZ212*AZ169+BA212*BA169+BB212*BB169+BC212*BC169+BD212*BD169+BE212*BE169+BF212*BF169+BG212*BG169+BH212*BH169+BI212*BI169+BJ212*BJ169+BK212*BK169+BL212*BL169+BM212*BM169+BN212*BN169+BO212*BO169+BP212*BP169+BQ212*BQ169+BR212*BR169+BS212*BS169+BT212*BT169+BU212*BU169+BV212*BV169+BW212*BW169+BX212*BX169+BY212*BY169+BZ212*BZ169+CA212*CA169+CB212*CB169+CC212*CC169+CD212*CD169+CE212*CE169+CF212*CF169+CG212*CG169+CH212*CH169</f>
        <v>0</v>
      </c>
      <c r="CN169" s="1952">
        <f>E213*E169+F213*F169+G213*G169+H213*H169+I213*I169+J213*J169+K213*K169+L213*L169+M213*M169+N213*N169+O213*O169+P213*P169+Q213*Q169+R213*R169+S213*S169+T213*T169+U213*U169+V213*V169+W213*W169+X213*X169+Y213*Y169+Z213*Z169+AA213*AA169+AB213*AB169+AC213*AC169+AD213*AD169+AE213*AE169+AF213*AF169+AG213*AG169+AH213*AH169+AI213*AI169+AJ213*AJ169+AK213*AK169+AL213*AL169+AM213*AM169+AN213*AN169+AO213*AO169+AP213*AP169+AQ213*AQ169+AR213*AR169+AS213*AS169+AT213*AT169+AU213*AU169+AV213*AV169+AW213*AW169+AX213*AX169+AY213*AY169+AZ213*AZ169+BA213*BA169+BB213*BB169+BC213*BC169+BD213*BD169+BE213*BE169+BF213*BF169+BG213*BG169+BH213*BH169+BI213*BI169+BJ213*BJ169+BK213*BK169+BL213*BL169+BM213*BM169+BN213*BN169+BO213*BO169+BP213*BP169+BQ213*BQ169+BR213*BR169+BS213*BS169+BT213*BT169+BU213*BU169+BV213*BV169+BW213*BW169+BX213*BX169+BY213*BY169+BZ213*BZ169+CA213*CA169+CB213*CB169+CC213*CC169+CD213*CD169+CE213*CE169+CF213*CF169+CG213*CG169+CH213*CH169</f>
        <v>0</v>
      </c>
      <c r="CO169" s="1952">
        <f>E214*E169+F214*F169+G214*G169+H214*H169+I214*I169+J214*J169+K214*K169+L214*L169+M214*M169+N214*N169+O214*O169+P214*P169+Q214*Q169+R214*R169+S214*S169+T214*T169+U214*U169+V214*V169+W214*W169+X214*X169+Y214*Y169+Z214*Z169+AA214*AA169+AB214*AB169+AC214*AC169+AD214*AD169+AE214*AE169+AF214*AF169+AG214*AG169+AH214*AH169+AI214*AI169+AJ214*AJ169+AK214*AK169+AL214*AL169+AM214*AM169+AN214*AN169+AO214*AO169+AP214*AP169+AQ214*AQ169+AR214*AR169+AS214*AS169+AT214*AT169+AU214*AU169+AV214*AV169+AW214*AW169+AX214*AX169+AY214*AY169+AZ214*AZ169+BA214*BA169+BB214*BB169+BC214*BC169+BD214*BD169+BE214*BE169+BF214*BF169+BG214*BG169+BH214*BH169+BI214*BI169+BJ214*BJ169+BK214*BK169+BL214*BL169+BM214*BM169+BN214*BN169+BO214*BO169+BP214*BP169+BQ214*BQ169+BR214*BR169+BS214*BS169+BT214*BT169+BU214*BU169+BV214*BV169+BW214*BW169+BX214*BX169+BY214*BY169+BZ214*BZ169+CA214*CA169+CB214*CB169+CC214*CC169+CD214*CD169+CE214*CE169+CF214*CF169+CG214*CG169+CH214*CH169</f>
        <v>0</v>
      </c>
      <c r="CP169" s="1952">
        <f>E215*E169+F215*F169+G215*G169+H215*H169+I215*I169+J215*J169+K215*K169+L215*L169+M215*M169+N215*N169+O215*O169+P215*P169+Q215*Q169+R215*R169+S215*S169+T215*T169+U215*U169+V215*V169+W215*W169+X215*X169+Y215*Y169+Z215*Z169+AA215*AA169+AB215*AB169+AC215*AC169+AD215*AD169+AE215*AE169+AF215*AF169+AG215*AG169+AH215*AH169+AI215*AI169+AJ215*AJ169+AK215*AK169+AL215*AL169+AM215*AM169+AN215*AN169+AO215*AO169+AP215*AP169+AQ215*AQ169+AR215*AR169+AS215*AS169+AT215*AT169+AU215*AU169+AV215*AV169+AW215*AW169+AX215*AX169+AY215*AY169+AZ215*AZ169+BA215*BA169+BB215*BB169+BC215*BC169+BD215*BD169+BE215*BE169+BF215*BF169+BG215*BG169+BH215*BH169+BI215*BI169+BJ215*BJ169+BK215*BK169+BL215*BL169+BM215*BM169+BN215*BN169+BO215*BO169+BP215*BP169+BQ215*BQ169+BR215*BR169+BS215*BS169+BT215*BT169+BU215*BU169+BV215*BV169+BW215*BW169+BX215*BX169+BY215*BY169+BZ215*BZ169+CA215*CA169+CB215*CB169+CC215*CC169+CD215*CD169+CE215*CE169+CF215*CF169+CG215*CG169+CH215*CH169</f>
        <v>0</v>
      </c>
      <c r="CQ169" s="1952">
        <f>E216*E169+F216*F169+G216*G169+H216*H169+I216*I169+J216*J169+K216*K169+L216*L169+M216*M169+N216*N169+O216*O169+P216*P169+Q216*Q169+R216*R169+S216*S169+T216*T169+U216*U169+V216*V169+W216*W169+X216*X169+Y216*Y169+Z216*Z169+AA216*AA169+AB216*AB169+AC216*AC169+AD216*AD169+AE216*AE169+AF216*AF169+AG216*AG169+AH216*AH169+AI216*AI169+AJ216*AJ169+AK216*AK169+AL216*AL169+AM216*AM169+AN216*AN169+AO216*AO169+AP216*AP169+AQ216*AQ169+AR216*AR169+AS216*AS169+AT216*AT169+AU216*AU169+AV216*AV169+AW216*AW169+AX216*AX169+AY216*AY169+AZ216*AZ169+BA216*BA169+BB216*BB169+BC216*BC169+BD216*BD169+BE216*BE169+BF216*BF169+BG216*BG169+BH216*BH169+BI216*BI169+BJ216*BJ169+BK216*BK169+BL216*BL169+BM216*BM169+BN216*BN169+BO216*BO169+BP216*BP169+BQ216*BQ169+BR216*BR169+BS216*BS169+BT216*BT169+BU216*BU169+BV216*BV169+BW216*BW169+BX216*BX169+BY216*BY169+BZ216*BZ169+CA216*CA169+CB216*CB169+CC216*CC169+CD216*CD169+CE216*CE169+CF216*CF169+CG216*CG169+CH216*CH169</f>
        <v>0</v>
      </c>
      <c r="CR169" s="1952">
        <f>E217*E169+F217*F169+G217*G169+H217*H169+I217*I169+J217*J169+K217*K169+L217*L169+M217*M169+N217*N169+O217*O169+P217*P169+Q217*Q169+R217*R169+S217*S169+T217*T169+U217*U169+V217*V169+W217*W169+X217*X169+Y217*Y169+Z217*Z169+AA217*AA169+AB217*AB169+AC217*AC169+AD217*AD169+AE217*AE169+AF217*AF169+AG217*AG169+AH217*AH169+AI217*AI169+AJ217*AJ169+AK217*AK169+AL217*AL169+AM217*AM169+AN217*AN169+AO217*AO169+AP217*AP169+AQ217*AQ169+AR217*AR169+AS217*AS169+AT217*AT169+AU217*AU169+AV217*AV169+AW217*AW169+AX217*AX169+AY217*AY169+AZ217*AZ169+BA217*BA169+BB217*BB169+BC217*BC169+BD217*BD169+BE217*BE169+BF217*BF169+BG217*BG169+BH217*BH169+BI217*BI169+BJ217*BJ169+BK217*BK169+BL217*BL169+BM217*BM169+BN217*BN169+BO217*BO169+BP217*BP169+BQ217*BQ169+BR217*BR169+BS217*BS169+BT217*BT169+BU217*BU169+BV217*BV169+BW217*BW169+BX217*BX169+BY217*BY169+BZ217*BZ169+CA217*CA169+CB217*CB169+CC217*CC169+CD217*CD169+CE217*CE169+CF217*CF169+CG217*CG169+CH217*CH169</f>
        <v>0</v>
      </c>
      <c r="CS169" s="1952">
        <f>E218*E169+F218*F169+G218*G169+H218*H169+I218*I169+J218*J169+K218*K169+L218*L169+M218*M169+N218*N169+O218*O169+P218*P169+Q218*Q169+R218*R169+S218*S169+T218*T169+U218*U169+V218*V169+W218*W169+X218*X169+Y218*Y169+Z218*Z169+AA218*AA169+AB218*AB169+AC218*AC169+AD218*AD169+AE218*AE169+AF218*AF169+AG218*AG169+AH218*AH169+AI218*AI169+AJ218*AJ169+AK218*AK169+AL218*AL169+AM218*AM169+AN218*AN169+AO218*AO169+AP218*AP169+AQ218*AQ169+AR218*AR169+AS218*AS169+AT218*AT169+AU218*AU169+AV218*AV169+AW218*AW169+AX218*AX169+AY218*AY169+AZ218*AZ169+BA218*BA169+BB218*BB169+BC218*BC169+BD218*BD169+BE218*BE169+BF218*BF169+BG218*BG169+BH218*BH169+BI218*BI169+BJ218*BJ169+BK218*BK169+BL218*BL169+BM218*BM169+BN218*BN169+BO218*BO169+BP218*BP169+BQ218*BQ169+BR218*BR169+BS218*BS169+BT218*BT169+BU218*BU169+BV218*BV169+BW218*BW169+BX218*BX169+BY218*BY169+BZ218*BZ169+CA218*CA169+CB218*CB169+CC218*CC169+CD218*CD169+CE218*CE169+CF218*CF169+CG218*CG169+CH218*CH169</f>
        <v>0</v>
      </c>
      <c r="CT169" s="1952">
        <f>E219*E169+F219*F169+G219*G169+H219*H169+I219*I169+J219*J169+K219*K169+L219*L169+M219*M169+N219*N169+O219*O169+P219*P169+Q219*Q169+R219*R169+S219*S169+T219*T169+U219*U169+V219*V169+W219*W169+X219*X169+Y219*Y169+Z219*Z169+AA219*AA169+AB219*AB169+AC219*AC169+AD219*AD169+AE219*AE169+AF219*AF169+AG219*AG169+AH219*AH169+AI219*AI169+AJ219*AJ169+AK219*AK169+AL219*AL169+AM219*AM169+AN219*AN169+AO219*AO169+AP219*AP169+AQ219*AQ169+AR219*AR169+AS219*AS169+AT219*AT169+AU219*AU169+AV219*AV169+AW219*AW169+AX219*AX169+AY219*AY169+AZ219*AZ169+BA219*BA169+BB219*BB169+BC219*BC169+BD219*BD169+BE219*BE169+BF219*BF169+BG219*BG169+BH219*BH169+BI219*BI169+BJ219*BJ169+BK219*BK169+BL219*BL169+BM219*BM169+BN219*BN169+BO219*BO169+BP219*BP169+BQ219*BQ169+BR219*BR169+BS219*BS169+BT219*BT169+BU219*BU169+BV219*BV169+BW219*BW169+BX219*BX169+BY219*BY169+BZ219*BZ169+CA219*CA169+CB219*CB169+CC219*CC169+CD219*CD169+CE219*CE169+CF219*CF169+CG219*CG169+CH219*CH169</f>
        <v>0</v>
      </c>
      <c r="CU169" s="1952">
        <f>E220*E169+F220*F169+G220*G169+H220*H169+I220*I169+J220*J169+K220*K169+L220*L169+M220*M169+N220*N169+O220*O169+P220*P169+Q220*Q169+R220*R169+S220*S169+T220*T169+U220*U169+V220*V169+W220*W169+X220*X169+Y220*Y169+Z220*Z169+AA220*AA169+AB220*AB169+AC220*AC169+AD220*AD169+AE220*AE169+AF220*AF169+AG220*AG169+AH220*AH169+AI220*AI169+AJ220*AJ169+AK220*AK169+AL220*AL169+AM220*AM169+AN220*AN169+AO220*AO169+AP220*AP169+AQ220*AQ169+AR220*AR169+AS220*AS169+AT220*AT169+AU220*AU169+AV220*AV169+AW220*AW169+AX220*AX169+AY220*AY169+AZ220*AZ169+BA220*BA169+BB220*BB169+BC220*BC169+BD220*BD169+BE220*BE169+BF220*BF169+BG220*BG169+BH220*BH169+BI220*BI169+BJ220*BJ169+BK220*BK169+BL220*BL169+BM220*BM169+BN220*BN169+BO220*BO169+BP220*BP169+BQ220*BQ169+BR220*BR169+BS220*BS169+BT220*BT169+BU220*BU169+BV220*BV169+BW220*BW169+BX220*BX169+BY220*BY169+BZ220*BZ169+CA220*CA169+CB220*CB169+CC220*CC169+CD220*CD169+CE220*CE169+CF220*CF169+CG220*CG169+CH220*CH169</f>
        <v>0</v>
      </c>
    </row>
    <row r="170" spans="2:99" ht="18" x14ac:dyDescent="0.25">
      <c r="B170" s="1046">
        <v>55</v>
      </c>
      <c r="C170" s="1124" t="s">
        <v>2126</v>
      </c>
      <c r="D170" s="1125" t="s">
        <v>4437</v>
      </c>
      <c r="E170" s="2064">
        <f>0</f>
        <v>0</v>
      </c>
      <c r="F170" s="2064">
        <f>0</f>
        <v>0</v>
      </c>
      <c r="G170" s="2064">
        <f>0</f>
        <v>0</v>
      </c>
      <c r="H170" s="2064">
        <f>0</f>
        <v>0</v>
      </c>
      <c r="I170" s="2065">
        <f>0</f>
        <v>0</v>
      </c>
      <c r="J170" s="2065">
        <f>0</f>
        <v>0</v>
      </c>
      <c r="K170" s="2064">
        <f>0</f>
        <v>0</v>
      </c>
      <c r="L170" s="2064">
        <f>0</f>
        <v>0</v>
      </c>
      <c r="M170" s="2064">
        <f>0</f>
        <v>0</v>
      </c>
      <c r="N170" s="2064">
        <f>0</f>
        <v>0</v>
      </c>
      <c r="O170" s="2064">
        <f>0</f>
        <v>0</v>
      </c>
      <c r="P170" s="2064">
        <f>0</f>
        <v>0</v>
      </c>
      <c r="Q170" s="2064">
        <f>0</f>
        <v>0</v>
      </c>
      <c r="R170" s="2066">
        <f>-E_EQNO3*X_OHO/X_BIO</f>
        <v>-2.0930235988332275</v>
      </c>
      <c r="S170" s="2066">
        <f>-E_EQNO3*X_CASTO/X_BIO</f>
        <v>-2.0930235988332275</v>
      </c>
      <c r="T170" s="2066">
        <f>-E_EQNO3*X_MEOLO/X_BIO</f>
        <v>-4.1860471976664553E-3</v>
      </c>
      <c r="U170" s="2066">
        <f>-E_EQNO3*X_NITO/X_BIO</f>
        <v>-0.37674424778998095</v>
      </c>
      <c r="V170" s="2066">
        <f>-E_EQNO3*X_AMETO/X_BIO</f>
        <v>-1.2558141592999364E-3</v>
      </c>
      <c r="W170" s="2066">
        <f>-E_EQNO3*X_HMETO/X_BIO</f>
        <v>-8.3720943953329095E-4</v>
      </c>
      <c r="X170" s="2066">
        <f>-E_EQNO3*X_ALGAE/X_BIO</f>
        <v>0</v>
      </c>
      <c r="Y170" s="2064">
        <f>1+(i_N_BIO*E_EQNO3*(X_BIO-X_ALGAE)+i_N_ALGAE*E_EQNO3*X_ALGAE)/X_BIO</f>
        <v>1.3198349361377055</v>
      </c>
      <c r="Z170" s="2064">
        <f>-1</f>
        <v>-1</v>
      </c>
      <c r="AA170" s="2064">
        <f>0</f>
        <v>0</v>
      </c>
      <c r="AB170" s="2064">
        <f>0</f>
        <v>0</v>
      </c>
      <c r="AC170" s="2065">
        <f>0</f>
        <v>0</v>
      </c>
      <c r="AD170" s="2065">
        <f>0</f>
        <v>0</v>
      </c>
      <c r="AE170" s="2064">
        <f>0</f>
        <v>0</v>
      </c>
      <c r="AF170" s="2064">
        <f>(i_P_BIO*E_EQNO3*(X_BIO-X_ALGAE)+i_P_ALGAE*E_EQNO3*X_ALGAE)/X_BIO</f>
        <v>9.1381410325058712E-2</v>
      </c>
      <c r="AG170" s="2064">
        <f>0</f>
        <v>0</v>
      </c>
      <c r="AH170" s="2064">
        <f>0</f>
        <v>0</v>
      </c>
      <c r="AI170" s="2065">
        <f>0</f>
        <v>0</v>
      </c>
      <c r="AJ170" s="2065">
        <f>0</f>
        <v>0</v>
      </c>
      <c r="AK170" s="2064">
        <f>0</f>
        <v>0</v>
      </c>
      <c r="AL170" s="2064">
        <f>0</f>
        <v>0</v>
      </c>
      <c r="AM170" s="2064">
        <f>0</f>
        <v>0</v>
      </c>
      <c r="AN170" s="2064">
        <f>0</f>
        <v>0</v>
      </c>
      <c r="AO170" s="2064">
        <f>(i_CIT_BIO*E_EQNO3*(X_BIO-X_ALGAE)+i_CIT_ALGAE*E_EQNO3*X_ALGAE)/X_BIO</f>
        <v>1.6083128217210332</v>
      </c>
      <c r="AP170" s="2064">
        <f>0</f>
        <v>0</v>
      </c>
      <c r="AQ170" s="2064">
        <f>0</f>
        <v>0</v>
      </c>
      <c r="AR170" s="2064">
        <f>0</f>
        <v>0</v>
      </c>
      <c r="AS170" s="2064">
        <f>0</f>
        <v>0</v>
      </c>
      <c r="AT170" s="2064">
        <f>0</f>
        <v>0</v>
      </c>
      <c r="AU170" s="2064">
        <f>0</f>
        <v>0</v>
      </c>
      <c r="AV170" s="2064">
        <f>0</f>
        <v>0</v>
      </c>
      <c r="AW170" s="2064">
        <f>0</f>
        <v>0</v>
      </c>
      <c r="AX170" s="2064">
        <f>0</f>
        <v>0</v>
      </c>
      <c r="AY170" s="2064">
        <f>0</f>
        <v>0</v>
      </c>
      <c r="AZ170" s="2064">
        <f>0</f>
        <v>0</v>
      </c>
      <c r="BA170" s="2064">
        <f>0</f>
        <v>0</v>
      </c>
      <c r="BB170" s="2064">
        <f>0</f>
        <v>0</v>
      </c>
      <c r="BC170" s="2064">
        <f>0</f>
        <v>0</v>
      </c>
      <c r="BD170" s="2064">
        <f>0</f>
        <v>0</v>
      </c>
      <c r="BE170" s="2064">
        <f>0</f>
        <v>0</v>
      </c>
      <c r="BF170" s="2064">
        <f>0</f>
        <v>0</v>
      </c>
      <c r="BG170" s="2064">
        <f>0</f>
        <v>0</v>
      </c>
      <c r="BH170" s="2064">
        <f>0</f>
        <v>0</v>
      </c>
      <c r="BI170" s="2064">
        <f>0</f>
        <v>0</v>
      </c>
      <c r="BJ170" s="2064">
        <f>0</f>
        <v>0</v>
      </c>
      <c r="BK170" s="2064">
        <f>0</f>
        <v>0</v>
      </c>
      <c r="BL170" s="2064">
        <f>0</f>
        <v>0</v>
      </c>
      <c r="BM170" s="2064">
        <f>0</f>
        <v>0</v>
      </c>
      <c r="BN170" s="2064">
        <f>0</f>
        <v>0</v>
      </c>
      <c r="BO170" s="2064">
        <f>0</f>
        <v>0</v>
      </c>
      <c r="BP170" s="2121">
        <f>0</f>
        <v>0</v>
      </c>
      <c r="BQ170" s="2121">
        <f>0</f>
        <v>0</v>
      </c>
      <c r="BR170" s="2121">
        <f>0</f>
        <v>0</v>
      </c>
      <c r="BS170" s="2121">
        <f>0</f>
        <v>0</v>
      </c>
      <c r="BT170" s="2064">
        <f>0</f>
        <v>0</v>
      </c>
      <c r="BU170" s="2064">
        <f>0</f>
        <v>0</v>
      </c>
      <c r="BV170" s="2064">
        <f>0</f>
        <v>0</v>
      </c>
      <c r="BW170" s="2064">
        <f>0</f>
        <v>0</v>
      </c>
      <c r="BX170" s="2064">
        <f>0</f>
        <v>0</v>
      </c>
      <c r="BY170" s="2064">
        <f>0</f>
        <v>0</v>
      </c>
      <c r="BZ170" s="2064">
        <f>0</f>
        <v>0</v>
      </c>
      <c r="CA170" s="2064">
        <f>0</f>
        <v>0</v>
      </c>
      <c r="CB170" s="2064">
        <f>0</f>
        <v>0</v>
      </c>
      <c r="CC170" s="2064">
        <f>0</f>
        <v>0</v>
      </c>
      <c r="CD170" s="2064">
        <f>0</f>
        <v>0</v>
      </c>
      <c r="CE170" s="2064">
        <f>0</f>
        <v>0</v>
      </c>
      <c r="CF170" s="2064">
        <f>0</f>
        <v>0</v>
      </c>
      <c r="CG170" s="2064">
        <f>0</f>
        <v>0</v>
      </c>
      <c r="CH170" s="2064">
        <f>0</f>
        <v>0</v>
      </c>
      <c r="CI170" s="2145">
        <f>q_ASSIM_T*X_BIO*M_satSNOx_KNOx_ASSIM*M_inhSNHx_KiNHx_ASSIM</f>
        <v>0.54536818773176898</v>
      </c>
      <c r="CK170" s="1950">
        <f>E210*E170+F210*F170+G210*G170+H210*H170+I210*I170+J210*J170+K210*K170+L210*L170+M210*M170+N210*N170+O210*O170+P210*P170+Q210*Q170+R210*R170+S210*S170+T210*T170+U210*U170+V210*V170+W210*W170+X210*X170+Y210*Y170+Z210*Z170+AA210*AA170+AB210*AB170+AC210*AC170+AD210*AD170+AE210*AE170+AF210*AF170+AG210*AG170+AH210*AH170+AI210*AI170+AJ210*AJ170+AK210*AK170+AL210*AL170+AM210*AM170+AN210*AN170+AO210*AO170+AP210*AP170+AQ210*AQ170+AR210*AR170+AS210*AS170+AT210*AT170+AU210*AU170+AV210*AV170+AW210*AW170+AX210*AX170+AY210*AY170+AZ210*AZ170+BA210*BA170+BB210*BB170+BC210*BC170+BD210*BD170+BE210*BE170+BF210*BF170+BG210*BG170+BH210*BH170+BI210*BI170+BJ210*BJ170+BK210*BK170+BL210*BL170+BM210*BM170+BN210*BN170+BO210*BO170+BP210*BP170+BQ210*BQ170+BR210*BR170+BS210*BS170+BT210*BT170+BU210*BU170+BV210*BV170+BW210*BW170+BX210*BX170+BY210*BY170+BZ210*BZ170+CA210*CA170+CB210*CB170+CC210*CC170+CD210*CD170+CE210*CE170+CF210*CF170+CG210*CG170+CH210*CH170</f>
        <v>8.8817841970012523E-16</v>
      </c>
      <c r="CL170" s="1950">
        <f>E211*E170+F211*F170+G211*G170+H211*H170+I211*I170+J211*J170+K211*K170+L211*L170+M211*M170+N211*N170+O211*O170+P211*P170+Q211*Q170+R211*R170+S211*S170+T211*T170+U211*U170+V211*V170+W211*W170+X211*X170+Y211*Y170+Z211*Z170+AA211*AA170+AB211*AB170+AC211*AC170+AD211*AD170+AE211*AE170+AF211*AF170+AG211*AG170+AH211*AH170+AI211*AI170+AJ211*AJ170+AK211*AK170+AL211*AL170+AM211*AM170+AN211*AN170+AO211*AO170+AP211*AP170+AQ211*AQ170+AR211*AR170+AS211*AS170+AT211*AT170+AU211*AU170+AV211*AV170+AW211*AW170+AX211*AX170+AY211*AY170+AZ211*AZ170+BA211*BA170+BB211*BB170+BC211*BC170+BD211*BD170+BE211*BE170+BF211*BF170+BG211*BG170+BH211*BH170+BI211*BI170+BJ211*BJ170+BK211*BK170+BL211*BL170+BM211*BM170+BN211*BN170+BO211*BO170+BP211*BP170+BQ211*BQ170+BR211*BR170+BS211*BS170+BT211*BT170+BU211*BU170+BV211*BV170+BW211*BW170+BX211*BX170+BY211*BY170+BZ211*BZ170+CA211*CA170+CB211*CB170+CC211*CC170+CD211*CD170+CE211*CE170+CF211*CF170+CG211*CG170+CH211*CH170</f>
        <v>2.2204460492503131E-16</v>
      </c>
      <c r="CM170" s="1951">
        <f>E212*E170+F212*F170+G212*G170+H212*H170+I212*I170+J212*J170+K212*K170+L212*L170+M212*M170+N212*N170+O212*O170+P212*P170+Q212*Q170+R212*R170+S212*S170+T212*T170+U212*U170+V212*V170+W212*W170+X212*X170+Y212*Y170+Z212*Z170+AA212*AA170+AB212*AB170+AC212*AC170+AD212*AD170+AE212*AE170+AF212*AF170+AG212*AG170+AH212*AH170+AI212*AI170+AJ212*AJ170+AK212*AK170+AL212*AL170+AM212*AM170+AN212*AN170+AO212*AO170+AP212*AP170+AQ212*AQ170+AR212*AR170+AS212*AS170+AT212*AT170+AU212*AU170+AV212*AV170+AW212*AW170+AX212*AX170+AY212*AY170+AZ212*AZ170+BA212*BA170+BB212*BB170+BC212*BC170+BD212*BD170+BE212*BE170+BF212*BF170+BG212*BG170+BH212*BH170+BI212*BI170+BJ212*BJ170+BK212*BK170+BL212*BL170+BM212*BM170+BN212*BN170+BO212*BO170+BP212*BP170+BQ212*BQ170+BR212*BR170+BS212*BS170+BT212*BT170+BU212*BU170+BV212*BV170+BW212*BW170+BX212*BX170+BY212*BY170+BZ212*BZ170+CA212*CA170+CB212*CB170+CC212*CC170+CD212*CD170+CE212*CE170+CF212*CF170+CG212*CG170+CH212*CH170</f>
        <v>0</v>
      </c>
      <c r="CN170" s="1952">
        <f>E213*E170+F213*F170+G213*G170+H213*H170+I213*I170+J213*J170+K213*K170+L213*L170+M213*M170+N213*N170+O213*O170+P213*P170+Q213*Q170+R213*R170+S213*S170+T213*T170+U213*U170+V213*V170+W213*W170+X213*X170+Y213*Y170+Z213*Z170+AA213*AA170+AB213*AB170+AC213*AC170+AD213*AD170+AE213*AE170+AF213*AF170+AG213*AG170+AH213*AH170+AI213*AI170+AJ213*AJ170+AK213*AK170+AL213*AL170+AM213*AM170+AN213*AN170+AO213*AO170+AP213*AP170+AQ213*AQ170+AR213*AR170+AS213*AS170+AT213*AT170+AU213*AU170+AV213*AV170+AW213*AW170+AX213*AX170+AY213*AY170+AZ213*AZ170+BA213*BA170+BB213*BB170+BC213*BC170+BD213*BD170+BE213*BE170+BF213*BF170+BG213*BG170+BH213*BH170+BI213*BI170+BJ213*BJ170+BK213*BK170+BL213*BL170+BM213*BM170+BN213*BN170+BO213*BO170+BP213*BP170+BQ213*BQ170+BR213*BR170+BS213*BS170+BT213*BT170+BU213*BU170+BV213*BV170+BW213*BW170+BX213*BX170+BY213*BY170+BZ213*BZ170+CA213*CA170+CB213*CB170+CC213*CC170+CD213*CD170+CE213*CE170+CF213*CF170+CG213*CG170+CH213*CH170</f>
        <v>0</v>
      </c>
      <c r="CO170" s="1952">
        <f>E214*E170+F214*F170+G214*G170+H214*H170+I214*I170+J214*J170+K214*K170+L214*L170+M214*M170+N214*N170+O214*O170+P214*P170+Q214*Q170+R214*R170+S214*S170+T214*T170+U214*U170+V214*V170+W214*W170+X214*X170+Y214*Y170+Z214*Z170+AA214*AA170+AB214*AB170+AC214*AC170+AD214*AD170+AE214*AE170+AF214*AF170+AG214*AG170+AH214*AH170+AI214*AI170+AJ214*AJ170+AK214*AK170+AL214*AL170+AM214*AM170+AN214*AN170+AO214*AO170+AP214*AP170+AQ214*AQ170+AR214*AR170+AS214*AS170+AT214*AT170+AU214*AU170+AV214*AV170+AW214*AW170+AX214*AX170+AY214*AY170+AZ214*AZ170+BA214*BA170+BB214*BB170+BC214*BC170+BD214*BD170+BE214*BE170+BF214*BF170+BG214*BG170+BH214*BH170+BI214*BI170+BJ214*BJ170+BK214*BK170+BL214*BL170+BM214*BM170+BN214*BN170+BO214*BO170+BP214*BP170+BQ214*BQ170+BR214*BR170+BS214*BS170+BT214*BT170+BU214*BU170+BV214*BV170+BW214*BW170+BX214*BX170+BY214*BY170+BZ214*BZ170+CA214*CA170+CB214*CB170+CC214*CC170+CD214*CD170+CE214*CE170+CF214*CF170+CG214*CG170+CH214*CH170</f>
        <v>0</v>
      </c>
      <c r="CP170" s="1952">
        <f>E215*E170+F215*F170+G215*G170+H215*H170+I215*I170+J215*J170+K215*K170+L215*L170+M215*M170+N215*N170+O215*O170+P215*P170+Q215*Q170+R215*R170+S215*S170+T215*T170+U215*U170+V215*V170+W215*W170+X215*X170+Y215*Y170+Z215*Z170+AA215*AA170+AB215*AB170+AC215*AC170+AD215*AD170+AE215*AE170+AF215*AF170+AG215*AG170+AH215*AH170+AI215*AI170+AJ215*AJ170+AK215*AK170+AL215*AL170+AM215*AM170+AN215*AN170+AO215*AO170+AP215*AP170+AQ215*AQ170+AR215*AR170+AS215*AS170+AT215*AT170+AU215*AU170+AV215*AV170+AW215*AW170+AX215*AX170+AY215*AY170+AZ215*AZ170+BA215*BA170+BB215*BB170+BC215*BC170+BD215*BD170+BE215*BE170+BF215*BF170+BG215*BG170+BH215*BH170+BI215*BI170+BJ215*BJ170+BK215*BK170+BL215*BL170+BM215*BM170+BN215*BN170+BO215*BO170+BP215*BP170+BQ215*BQ170+BR215*BR170+BS215*BS170+BT215*BT170+BU215*BU170+BV215*BV170+BW215*BW170+BX215*BX170+BY215*BY170+BZ215*BZ170+CA215*CA170+CB215*CB170+CC215*CC170+CD215*CD170+CE215*CE170+CF215*CF170+CG215*CG170+CH215*CH170</f>
        <v>0</v>
      </c>
      <c r="CQ170" s="1952">
        <f>E216*E170+F216*F170+G216*G170+H216*H170+I216*I170+J216*J170+K216*K170+L216*L170+M216*M170+N216*N170+O216*O170+P216*P170+Q216*Q170+R216*R170+S216*S170+T216*T170+U216*U170+V216*V170+W216*W170+X216*X170+Y216*Y170+Z216*Z170+AA216*AA170+AB216*AB170+AC216*AC170+AD216*AD170+AE216*AE170+AF216*AF170+AG216*AG170+AH216*AH170+AI216*AI170+AJ216*AJ170+AK216*AK170+AL216*AL170+AM216*AM170+AN216*AN170+AO216*AO170+AP216*AP170+AQ216*AQ170+AR216*AR170+AS216*AS170+AT216*AT170+AU216*AU170+AV216*AV170+AW216*AW170+AX216*AX170+AY216*AY170+AZ216*AZ170+BA216*BA170+BB216*BB170+BC216*BC170+BD216*BD170+BE216*BE170+BF216*BF170+BG216*BG170+BH216*BH170+BI216*BI170+BJ216*BJ170+BK216*BK170+BL216*BL170+BM216*BM170+BN216*BN170+BO216*BO170+BP216*BP170+BQ216*BQ170+BR216*BR170+BS216*BS170+BT216*BT170+BU216*BU170+BV216*BV170+BW216*BW170+BX216*BX170+BY216*BY170+BZ216*BZ170+CA216*CA170+CB216*CB170+CC216*CC170+CD216*CD170+CE216*CE170+CF216*CF170+CG216*CG170+CH216*CH170</f>
        <v>0</v>
      </c>
      <c r="CR170" s="1952">
        <f>E217*E170+F217*F170+G217*G170+H217*H170+I217*I170+J217*J170+K217*K170+L217*L170+M217*M170+N217*N170+O217*O170+P217*P170+Q217*Q170+R217*R170+S217*S170+T217*T170+U217*U170+V217*V170+W217*W170+X217*X170+Y217*Y170+Z217*Z170+AA217*AA170+AB217*AB170+AC217*AC170+AD217*AD170+AE217*AE170+AF217*AF170+AG217*AG170+AH217*AH170+AI217*AI170+AJ217*AJ170+AK217*AK170+AL217*AL170+AM217*AM170+AN217*AN170+AO217*AO170+AP217*AP170+AQ217*AQ170+AR217*AR170+AS217*AS170+AT217*AT170+AU217*AU170+AV217*AV170+AW217*AW170+AX217*AX170+AY217*AY170+AZ217*AZ170+BA217*BA170+BB217*BB170+BC217*BC170+BD217*BD170+BE217*BE170+BF217*BF170+BG217*BG170+BH217*BH170+BI217*BI170+BJ217*BJ170+BK217*BK170+BL217*BL170+BM217*BM170+BN217*BN170+BO217*BO170+BP217*BP170+BQ217*BQ170+BR217*BR170+BS217*BS170+BT217*BT170+BU217*BU170+BV217*BV170+BW217*BW170+BX217*BX170+BY217*BY170+BZ217*BZ170+CA217*CA170+CB217*CB170+CC217*CC170+CD217*CD170+CE217*CE170+CF217*CF170+CG217*CG170+CH217*CH170</f>
        <v>0</v>
      </c>
      <c r="CS170" s="1952">
        <f>E218*E170+F218*F170+G218*G170+H218*H170+I218*I170+J218*J170+K218*K170+L218*L170+M218*M170+N218*N170+O218*O170+P218*P170+Q218*Q170+R218*R170+S218*S170+T218*T170+U218*U170+V218*V170+W218*W170+X218*X170+Y218*Y170+Z218*Z170+AA218*AA170+AB218*AB170+AC218*AC170+AD218*AD170+AE218*AE170+AF218*AF170+AG218*AG170+AH218*AH170+AI218*AI170+AJ218*AJ170+AK218*AK170+AL218*AL170+AM218*AM170+AN218*AN170+AO218*AO170+AP218*AP170+AQ218*AQ170+AR218*AR170+AS218*AS170+AT218*AT170+AU218*AU170+AV218*AV170+AW218*AW170+AX218*AX170+AY218*AY170+AZ218*AZ170+BA218*BA170+BB218*BB170+BC218*BC170+BD218*BD170+BE218*BE170+BF218*BF170+BG218*BG170+BH218*BH170+BI218*BI170+BJ218*BJ170+BK218*BK170+BL218*BL170+BM218*BM170+BN218*BN170+BO218*BO170+BP218*BP170+BQ218*BQ170+BR218*BR170+BS218*BS170+BT218*BT170+BU218*BU170+BV218*BV170+BW218*BW170+BX218*BX170+BY218*BY170+BZ218*BZ170+CA218*CA170+CB218*CB170+CC218*CC170+CD218*CD170+CE218*CE170+CF218*CF170+CG218*CG170+CH218*CH170</f>
        <v>0</v>
      </c>
      <c r="CT170" s="1952">
        <f>E219*E170+F219*F170+G219*G170+H219*H170+I219*I170+J219*J170+K219*K170+L219*L170+M219*M170+N219*N170+O219*O170+P219*P170+Q219*Q170+R219*R170+S219*S170+T219*T170+U219*U170+V219*V170+W219*W170+X219*X170+Y219*Y170+Z219*Z170+AA219*AA170+AB219*AB170+AC219*AC170+AD219*AD170+AE219*AE170+AF219*AF170+AG219*AG170+AH219*AH170+AI219*AI170+AJ219*AJ170+AK219*AK170+AL219*AL170+AM219*AM170+AN219*AN170+AO219*AO170+AP219*AP170+AQ219*AQ170+AR219*AR170+AS219*AS170+AT219*AT170+AU219*AU170+AV219*AV170+AW219*AW170+AX219*AX170+AY219*AY170+AZ219*AZ170+BA219*BA170+BB219*BB170+BC219*BC170+BD219*BD170+BE219*BE170+BF219*BF170+BG219*BG170+BH219*BH170+BI219*BI170+BJ219*BJ170+BK219*BK170+BL219*BL170+BM219*BM170+BN219*BN170+BO219*BO170+BP219*BP170+BQ219*BQ170+BR219*BR170+BS219*BS170+BT219*BT170+BU219*BU170+BV219*BV170+BW219*BW170+BX219*BX170+BY219*BY170+BZ219*BZ170+CA219*CA170+CB219*CB170+CC219*CC170+CD219*CD170+CE219*CE170+CF219*CF170+CG219*CG170+CH219*CH170</f>
        <v>0</v>
      </c>
      <c r="CU170" s="1952">
        <f>E220*E170+F220*F170+G220*G170+H220*H170+I220*I170+J220*J170+K220*K170+L220*L170+M220*M170+N220*N170+O220*O170+P220*P170+Q220*Q170+R220*R170+S220*S170+T220*T170+U220*U170+V220*V170+W220*W170+X220*X170+Y220*Y170+Z220*Z170+AA220*AA170+AB220*AB170+AC220*AC170+AD220*AD170+AE220*AE170+AF220*AF170+AG220*AG170+AH220*AH170+AI220*AI170+AJ220*AJ170+AK220*AK170+AL220*AL170+AM220*AM170+AN220*AN170+AO220*AO170+AP220*AP170+AQ220*AQ170+AR220*AR170+AS220*AS170+AT220*AT170+AU220*AU170+AV220*AV170+AW220*AW170+AX220*AX170+AY220*AY170+AZ220*AZ170+BA220*BA170+BB220*BB170+BC220*BC170+BD220*BD170+BE220*BE170+BF220*BF170+BG220*BG170+BH220*BH170+BI220*BI170+BJ220*BJ170+BK220*BK170+BL220*BL170+BM220*BM170+BN220*BN170+BO220*BO170+BP220*BP170+BQ220*BQ170+BR220*BR170+BS220*BS170+BT220*BT170+BU220*BU170+BV220*BV170+BW220*BW170+BX220*BX170+BY220*BY170+BZ220*BZ170+CA220*CA170+CB220*CB170+CC220*CC170+CD220*CD170+CE220*CE170+CF220*CF170+CG220*CG170+CH220*CH170</f>
        <v>0</v>
      </c>
    </row>
    <row r="171" spans="2:99" ht="18" x14ac:dyDescent="0.25">
      <c r="B171" s="1048">
        <v>56</v>
      </c>
      <c r="C171" s="1129" t="s">
        <v>2127</v>
      </c>
      <c r="D171" s="1130" t="s">
        <v>2589</v>
      </c>
      <c r="E171" s="2067">
        <f>0</f>
        <v>0</v>
      </c>
      <c r="F171" s="2067">
        <f>0</f>
        <v>0</v>
      </c>
      <c r="G171" s="2067">
        <f>0</f>
        <v>0</v>
      </c>
      <c r="H171" s="2067">
        <f>0</f>
        <v>0</v>
      </c>
      <c r="I171" s="2085">
        <f>0</f>
        <v>0</v>
      </c>
      <c r="J171" s="2085">
        <f>0</f>
        <v>0</v>
      </c>
      <c r="K171" s="2067">
        <f>0</f>
        <v>0</v>
      </c>
      <c r="L171" s="2067">
        <f>0</f>
        <v>0</v>
      </c>
      <c r="M171" s="2067">
        <f>0</f>
        <v>0</v>
      </c>
      <c r="N171" s="2067">
        <f>0</f>
        <v>0</v>
      </c>
      <c r="O171" s="2067">
        <f>0</f>
        <v>0</v>
      </c>
      <c r="P171" s="2067">
        <f>0</f>
        <v>0</v>
      </c>
      <c r="Q171" s="2067">
        <f>0</f>
        <v>0</v>
      </c>
      <c r="R171" s="2093">
        <f>0</f>
        <v>0</v>
      </c>
      <c r="S171" s="2067">
        <f>0</f>
        <v>0</v>
      </c>
      <c r="T171" s="2067">
        <f>0</f>
        <v>0</v>
      </c>
      <c r="U171" s="2067">
        <f>0</f>
        <v>0</v>
      </c>
      <c r="V171" s="2067">
        <f>0</f>
        <v>0</v>
      </c>
      <c r="W171" s="2067">
        <f>0</f>
        <v>0</v>
      </c>
      <c r="X171" s="2067">
        <f>0</f>
        <v>0</v>
      </c>
      <c r="Y171" s="2067">
        <f>0</f>
        <v>0</v>
      </c>
      <c r="Z171" s="2067">
        <f>0</f>
        <v>0</v>
      </c>
      <c r="AA171" s="2067">
        <f>0</f>
        <v>0</v>
      </c>
      <c r="AB171" s="2067">
        <f>0</f>
        <v>0</v>
      </c>
      <c r="AC171" s="2085">
        <f>0</f>
        <v>0</v>
      </c>
      <c r="AD171" s="2085">
        <f>0</f>
        <v>0</v>
      </c>
      <c r="AE171" s="2067">
        <f>0</f>
        <v>0</v>
      </c>
      <c r="AF171" s="2067">
        <f>0</f>
        <v>0</v>
      </c>
      <c r="AG171" s="2067">
        <f>0</f>
        <v>0</v>
      </c>
      <c r="AH171" s="2067">
        <f>0</f>
        <v>0</v>
      </c>
      <c r="AI171" s="2085">
        <f>0</f>
        <v>0</v>
      </c>
      <c r="AJ171" s="2085">
        <f>0</f>
        <v>0</v>
      </c>
      <c r="AK171" s="2067">
        <f>0</f>
        <v>0</v>
      </c>
      <c r="AL171" s="2067">
        <f>0</f>
        <v>0</v>
      </c>
      <c r="AM171" s="2067">
        <f>0</f>
        <v>0</v>
      </c>
      <c r="AN171" s="2067">
        <f>0</f>
        <v>0</v>
      </c>
      <c r="AO171" s="2067">
        <f>0</f>
        <v>0</v>
      </c>
      <c r="AP171" s="2067">
        <f>0</f>
        <v>0</v>
      </c>
      <c r="AQ171" s="2067">
        <f>0</f>
        <v>0</v>
      </c>
      <c r="AR171" s="2067">
        <f>0</f>
        <v>0</v>
      </c>
      <c r="AS171" s="2067">
        <f>0</f>
        <v>0</v>
      </c>
      <c r="AT171" s="2067">
        <f>0</f>
        <v>0</v>
      </c>
      <c r="AU171" s="2067">
        <f>0</f>
        <v>0</v>
      </c>
      <c r="AV171" s="2067">
        <f>0</f>
        <v>0</v>
      </c>
      <c r="AW171" s="2107">
        <f>-X_HFO_H/(X_HFO_H+X_HFO_H_P)</f>
        <v>-0.5</v>
      </c>
      <c r="AX171" s="2107">
        <f>X_HFO_H/(X_HFO_H+X_HFO_H_P)</f>
        <v>0.5</v>
      </c>
      <c r="AY171" s="2067">
        <f>0</f>
        <v>0</v>
      </c>
      <c r="AZ171" s="2107">
        <f>-X_HFO_H_P/(X_HFO_H+X_HFO_H_P)</f>
        <v>-0.5</v>
      </c>
      <c r="BA171" s="2067">
        <f>0</f>
        <v>0</v>
      </c>
      <c r="BB171" s="2107">
        <f>X_HFO_H_P/(X_HFO_H+X_HFO_H_P)</f>
        <v>0.5</v>
      </c>
      <c r="BC171" s="2067">
        <f>0</f>
        <v>0</v>
      </c>
      <c r="BD171" s="2107">
        <f>0</f>
        <v>0</v>
      </c>
      <c r="BE171" s="2107">
        <f>0</f>
        <v>0</v>
      </c>
      <c r="BF171" s="2067">
        <f>0</f>
        <v>0</v>
      </c>
      <c r="BG171" s="2107">
        <f>0</f>
        <v>0</v>
      </c>
      <c r="BH171" s="2067">
        <f>0</f>
        <v>0</v>
      </c>
      <c r="BI171" s="2107">
        <f>0</f>
        <v>0</v>
      </c>
      <c r="BJ171" s="2067">
        <f>0</f>
        <v>0</v>
      </c>
      <c r="BK171" s="2067">
        <f>0</f>
        <v>0</v>
      </c>
      <c r="BL171" s="2067">
        <f>0</f>
        <v>0</v>
      </c>
      <c r="BM171" s="2067">
        <f>0</f>
        <v>0</v>
      </c>
      <c r="BN171" s="2093">
        <f>0</f>
        <v>0</v>
      </c>
      <c r="BO171" s="2067">
        <f>0</f>
        <v>0</v>
      </c>
      <c r="BP171" s="2122">
        <f>0</f>
        <v>0</v>
      </c>
      <c r="BQ171" s="2122">
        <f>0</f>
        <v>0</v>
      </c>
      <c r="BR171" s="2122">
        <f>0</f>
        <v>0</v>
      </c>
      <c r="BS171" s="2122">
        <f>0</f>
        <v>0</v>
      </c>
      <c r="BT171" s="2067">
        <f>0</f>
        <v>0</v>
      </c>
      <c r="BU171" s="2067">
        <f>0</f>
        <v>0</v>
      </c>
      <c r="BV171" s="2067">
        <f>0</f>
        <v>0</v>
      </c>
      <c r="BW171" s="2093">
        <f>0</f>
        <v>0</v>
      </c>
      <c r="BX171" s="2093">
        <f>0</f>
        <v>0</v>
      </c>
      <c r="BY171" s="2093">
        <f>0</f>
        <v>0</v>
      </c>
      <c r="BZ171" s="2093">
        <f>0</f>
        <v>0</v>
      </c>
      <c r="CA171" s="2093">
        <f>0</f>
        <v>0</v>
      </c>
      <c r="CB171" s="2093">
        <f>0</f>
        <v>0</v>
      </c>
      <c r="CC171" s="2093">
        <f>0</f>
        <v>0</v>
      </c>
      <c r="CD171" s="2093">
        <f>0</f>
        <v>0</v>
      </c>
      <c r="CE171" s="2093">
        <f>0</f>
        <v>0</v>
      </c>
      <c r="CF171" s="2093">
        <f>0</f>
        <v>0</v>
      </c>
      <c r="CG171" s="2093">
        <f>0</f>
        <v>0</v>
      </c>
      <c r="CH171" s="2093">
        <f>0</f>
        <v>0</v>
      </c>
      <c r="CI171" s="2146">
        <f>q_HFOH_AGING*(X_HFO_H+X_HFO_H_P)</f>
        <v>4.9999999999999999E-48</v>
      </c>
      <c r="CK171" s="1950">
        <f>E210*E171+F210*F171+G210*G171+H210*H171+I210*I171+J210*J171+K210*K171+L210*L171+M210*M171+N210*N171+O210*O171+P210*P171+Q210*Q171+R210*R171+S210*S171+T210*T171+U210*U171+V210*V171+W210*W171+X210*X171+Y210*Y171+Z210*Z171+AA210*AA171+AB210*AB171+AC210*AC171+AD210*AD171+AE210*AE171+AF210*AF171+AG210*AG171+AH210*AH171+AI210*AI171+AJ210*AJ171+AK210*AK171+AL210*AL171+AM210*AM171+AN210*AN171+AO210*AO171+AP210*AP171+AQ210*AQ171+AR210*AR171+AS210*AS171+AT210*AT171+AU210*AU171+AV210*AV171+AW210*AW171+AX210*AX171+AY210*AY171+AZ210*AZ171+BA210*BA171+BB210*BB171+BC210*BC171+BD210*BD171+BE210*BE171+BF210*BF171+BG210*BG171+BH210*BH171+BI210*BI171+BJ210*BJ171+BK210*BK171+BL210*BL171+BM210*BM171+BN210*BN171+BO210*BO171+BP210*BP171+BQ210*BQ171+BR210*BR171+BS210*BS171+BT210*BT171+BU210*BU171+BV210*BV171+BW210*BW171+BX210*BX171+BY210*BY171+BZ210*BZ171+CA210*CA171+CB210*CB171+CC210*CC171+CD210*CD171+CE210*CE171+CF210*CF171+CG210*CG171+CH210*CH171</f>
        <v>0</v>
      </c>
      <c r="CL171" s="1950">
        <f>E211*E171+F211*F171+G211*G171+H211*H171+I211*I171+J211*J171+K211*K171+L211*L171+M211*M171+N211*N171+O211*O171+P211*P171+Q211*Q171+R211*R171+S211*S171+T211*T171+U211*U171+V211*V171+W211*W171+X211*X171+Y211*Y171+Z211*Z171+AA211*AA171+AB211*AB171+AC211*AC171+AD211*AD171+AE211*AE171+AF211*AF171+AG211*AG171+AH211*AH171+AI211*AI171+AJ211*AJ171+AK211*AK171+AL211*AL171+AM211*AM171+AN211*AN171+AO211*AO171+AP211*AP171+AQ211*AQ171+AR211*AR171+AS211*AS171+AT211*AT171+AU211*AU171+AV211*AV171+AW211*AW171+AX211*AX171+AY211*AY171+AZ211*AZ171+BA211*BA171+BB211*BB171+BC211*BC171+BD211*BD171+BE211*BE171+BF211*BF171+BG211*BG171+BH211*BH171+BI211*BI171+BJ211*BJ171+BK211*BK171+BL211*BL171+BM211*BM171+BN211*BN171+BO211*BO171+BP211*BP171+BQ211*BQ171+BR211*BR171+BS211*BS171+BT211*BT171+BU211*BU171+BV211*BV171+BW211*BW171+BX211*BX171+BY211*BY171+BZ211*BZ171+CA211*CA171+CB211*CB171+CC211*CC171+CD211*CD171+CE211*CE171+CF211*CF171+CG211*CG171+CH211*CH171</f>
        <v>0</v>
      </c>
      <c r="CM171" s="1951">
        <f>E212*E171+F212*F171+G212*G171+H212*H171+I212*I171+J212*J171+K212*K171+L212*L171+M212*M171+N212*N171+O212*O171+P212*P171+Q212*Q171+R212*R171+S212*S171+T212*T171+U212*U171+V212*V171+W212*W171+X212*X171+Y212*Y171+Z212*Z171+AA212*AA171+AB212*AB171+AC212*AC171+AD212*AD171+AE212*AE171+AF212*AF171+AG212*AG171+AH212*AH171+AI212*AI171+AJ212*AJ171+AK212*AK171+AL212*AL171+AM212*AM171+AN212*AN171+AO212*AO171+AP212*AP171+AQ212*AQ171+AR212*AR171+AS212*AS171+AT212*AT171+AU212*AU171+AV212*AV171+AW212*AW171+AX212*AX171+AY212*AY171+AZ212*AZ171+BA212*BA171+BB212*BB171+BC212*BC171+BD212*BD171+BE212*BE171+BF212*BF171+BG212*BG171+BH212*BH171+BI212*BI171+BJ212*BJ171+BK212*BK171+BL212*BL171+BM212*BM171+BN212*BN171+BO212*BO171+BP212*BP171+BQ212*BQ171+BR212*BR171+BS212*BS171+BT212*BT171+BU212*BU171+BV212*BV171+BW212*BW171+BX212*BX171+BY212*BY171+BZ212*BZ171+CA212*CA171+CB212*CB171+CC212*CC171+CD212*CD171+CE212*CE171+CF212*CF171+CG212*CG171+CH212*CH171</f>
        <v>0</v>
      </c>
      <c r="CN171" s="1952">
        <f>E213*E171+F213*F171+G213*G171+H213*H171+I213*I171+J213*J171+K213*K171+L213*L171+M213*M171+N213*N171+O213*O171+P213*P171+Q213*Q171+R213*R171+S213*S171+T213*T171+U213*U171+V213*V171+W213*W171+X213*X171+Y213*Y171+Z213*Z171+AA213*AA171+AB213*AB171+AC213*AC171+AD213*AD171+AE213*AE171+AF213*AF171+AG213*AG171+AH213*AH171+AI213*AI171+AJ213*AJ171+AK213*AK171+AL213*AL171+AM213*AM171+AN213*AN171+AO213*AO171+AP213*AP171+AQ213*AQ171+AR213*AR171+AS213*AS171+AT213*AT171+AU213*AU171+AV213*AV171+AW213*AW171+AX213*AX171+AY213*AY171+AZ213*AZ171+BA213*BA171+BB213*BB171+BC213*BC171+BD213*BD171+BE213*BE171+BF213*BF171+BG213*BG171+BH213*BH171+BI213*BI171+BJ213*BJ171+BK213*BK171+BL213*BL171+BM213*BM171+BN213*BN171+BO213*BO171+BP213*BP171+BQ213*BQ171+BR213*BR171+BS213*BS171+BT213*BT171+BU213*BU171+BV213*BV171+BW213*BW171+BX213*BX171+BY213*BY171+BZ213*BZ171+CA213*CA171+CB213*CB171+CC213*CC171+CD213*CD171+CE213*CE171+CF213*CF171+CG213*CG171+CH213*CH171</f>
        <v>0</v>
      </c>
      <c r="CO171" s="1952">
        <f>E214*E171+F214*F171+G214*G171+H214*H171+I214*I171+J214*J171+K214*K171+L214*L171+M214*M171+N214*N171+O214*O171+P214*P171+Q214*Q171+R214*R171+S214*S171+T214*T171+U214*U171+V214*V171+W214*W171+X214*X171+Y214*Y171+Z214*Z171+AA214*AA171+AB214*AB171+AC214*AC171+AD214*AD171+AE214*AE171+AF214*AF171+AG214*AG171+AH214*AH171+AI214*AI171+AJ214*AJ171+AK214*AK171+AL214*AL171+AM214*AM171+AN214*AN171+AO214*AO171+AP214*AP171+AQ214*AQ171+AR214*AR171+AS214*AS171+AT214*AT171+AU214*AU171+AV214*AV171+AW214*AW171+AX214*AX171+AY214*AY171+AZ214*AZ171+BA214*BA171+BB214*BB171+BC214*BC171+BD214*BD171+BE214*BE171+BF214*BF171+BG214*BG171+BH214*BH171+BI214*BI171+BJ214*BJ171+BK214*BK171+BL214*BL171+BM214*BM171+BN214*BN171+BO214*BO171+BP214*BP171+BQ214*BQ171+BR214*BR171+BS214*BS171+BT214*BT171+BU214*BU171+BV214*BV171+BW214*BW171+BX214*BX171+BY214*BY171+BZ214*BZ171+CA214*CA171+CB214*CB171+CC214*CC171+CD214*CD171+CE214*CE171+CF214*CF171+CG214*CG171+CH214*CH171</f>
        <v>0</v>
      </c>
      <c r="CP171" s="1952">
        <f>E215*E171+F215*F171+G215*G171+H215*H171+I215*I171+J215*J171+K215*K171+L215*L171+M215*M171+N215*N171+O215*O171+P215*P171+Q215*Q171+R215*R171+S215*S171+T215*T171+U215*U171+V215*V171+W215*W171+X215*X171+Y215*Y171+Z215*Z171+AA215*AA171+AB215*AB171+AC215*AC171+AD215*AD171+AE215*AE171+AF215*AF171+AG215*AG171+AH215*AH171+AI215*AI171+AJ215*AJ171+AK215*AK171+AL215*AL171+AM215*AM171+AN215*AN171+AO215*AO171+AP215*AP171+AQ215*AQ171+AR215*AR171+AS215*AS171+AT215*AT171+AU215*AU171+AV215*AV171+AW215*AW171+AX215*AX171+AY215*AY171+AZ215*AZ171+BA215*BA171+BB215*BB171+BC215*BC171+BD215*BD171+BE215*BE171+BF215*BF171+BG215*BG171+BH215*BH171+BI215*BI171+BJ215*BJ171+BK215*BK171+BL215*BL171+BM215*BM171+BN215*BN171+BO215*BO171+BP215*BP171+BQ215*BQ171+BR215*BR171+BS215*BS171+BT215*BT171+BU215*BU171+BV215*BV171+BW215*BW171+BX215*BX171+BY215*BY171+BZ215*BZ171+CA215*CA171+CB215*CB171+CC215*CC171+CD215*CD171+CE215*CE171+CF215*CF171+CG215*CG171+CH215*CH171</f>
        <v>0</v>
      </c>
      <c r="CQ171" s="1952">
        <f>E216*E171+F216*F171+G216*G171+H216*H171+I216*I171+J216*J171+K216*K171+L216*L171+M216*M171+N216*N171+O216*O171+P216*P171+Q216*Q171+R216*R171+S216*S171+T216*T171+U216*U171+V216*V171+W216*W171+X216*X171+Y216*Y171+Z216*Z171+AA216*AA171+AB216*AB171+AC216*AC171+AD216*AD171+AE216*AE171+AF216*AF171+AG216*AG171+AH216*AH171+AI216*AI171+AJ216*AJ171+AK216*AK171+AL216*AL171+AM216*AM171+AN216*AN171+AO216*AO171+AP216*AP171+AQ216*AQ171+AR216*AR171+AS216*AS171+AT216*AT171+AU216*AU171+AV216*AV171+AW216*AW171+AX216*AX171+AY216*AY171+AZ216*AZ171+BA216*BA171+BB216*BB171+BC216*BC171+BD216*BD171+BE216*BE171+BF216*BF171+BG216*BG171+BH216*BH171+BI216*BI171+BJ216*BJ171+BK216*BK171+BL216*BL171+BM216*BM171+BN216*BN171+BO216*BO171+BP216*BP171+BQ216*BQ171+BR216*BR171+BS216*BS171+BT216*BT171+BU216*BU171+BV216*BV171+BW216*BW171+BX216*BX171+BY216*BY171+BZ216*BZ171+CA216*CA171+CB216*CB171+CC216*CC171+CD216*CD171+CE216*CE171+CF216*CF171+CG216*CG171+CH216*CH171</f>
        <v>0</v>
      </c>
      <c r="CR171" s="1952">
        <f>E217*E171+F217*F171+G217*G171+H217*H171+I217*I171+J217*J171+K217*K171+L217*L171+M217*M171+N217*N171+O217*O171+P217*P171+Q217*Q171+R217*R171+S217*S171+T217*T171+U217*U171+V217*V171+W217*W171+X217*X171+Y217*Y171+Z217*Z171+AA217*AA171+AB217*AB171+AC217*AC171+AD217*AD171+AE217*AE171+AF217*AF171+AG217*AG171+AH217*AH171+AI217*AI171+AJ217*AJ171+AK217*AK171+AL217*AL171+AM217*AM171+AN217*AN171+AO217*AO171+AP217*AP171+AQ217*AQ171+AR217*AR171+AS217*AS171+AT217*AT171+AU217*AU171+AV217*AV171+AW217*AW171+AX217*AX171+AY217*AY171+AZ217*AZ171+BA217*BA171+BB217*BB171+BC217*BC171+BD217*BD171+BE217*BE171+BF217*BF171+BG217*BG171+BH217*BH171+BI217*BI171+BJ217*BJ171+BK217*BK171+BL217*BL171+BM217*BM171+BN217*BN171+BO217*BO171+BP217*BP171+BQ217*BQ171+BR217*BR171+BS217*BS171+BT217*BT171+BU217*BU171+BV217*BV171+BW217*BW171+BX217*BX171+BY217*BY171+BZ217*BZ171+CA217*CA171+CB217*CB171+CC217*CC171+CD217*CD171+CE217*CE171+CF217*CF171+CG217*CG171+CH217*CH171</f>
        <v>0</v>
      </c>
      <c r="CS171" s="1952">
        <f>E218*E171+F218*F171+G218*G171+H218*H171+I218*I171+J218*J171+K218*K171+L218*L171+M218*M171+N218*N171+O218*O171+P218*P171+Q218*Q171+R218*R171+S218*S171+T218*T171+U218*U171+V218*V171+W218*W171+X218*X171+Y218*Y171+Z218*Z171+AA218*AA171+AB218*AB171+AC218*AC171+AD218*AD171+AE218*AE171+AF218*AF171+AG218*AG171+AH218*AH171+AI218*AI171+AJ218*AJ171+AK218*AK171+AL218*AL171+AM218*AM171+AN218*AN171+AO218*AO171+AP218*AP171+AQ218*AQ171+AR218*AR171+AS218*AS171+AT218*AT171+AU218*AU171+AV218*AV171+AW218*AW171+AX218*AX171+AY218*AY171+AZ218*AZ171+BA218*BA171+BB218*BB171+BC218*BC171+BD218*BD171+BE218*BE171+BF218*BF171+BG218*BG171+BH218*BH171+BI218*BI171+BJ218*BJ171+BK218*BK171+BL218*BL171+BM218*BM171+BN218*BN171+BO218*BO171+BP218*BP171+BQ218*BQ171+BR218*BR171+BS218*BS171+BT218*BT171+BU218*BU171+BV218*BV171+BW218*BW171+BX218*BX171+BY218*BY171+BZ218*BZ171+CA218*CA171+CB218*CB171+CC218*CC171+CD218*CD171+CE218*CE171+CF218*CF171+CG218*CG171+CH218*CH171</f>
        <v>0</v>
      </c>
      <c r="CT171" s="1952">
        <f>E219*E171+F219*F171+G219*G171+H219*H171+I219*I171+J219*J171+K219*K171+L219*L171+M219*M171+N219*N171+O219*O171+P219*P171+Q219*Q171+R219*R171+S219*S171+T219*T171+U219*U171+V219*V171+W219*W171+X219*X171+Y219*Y171+Z219*Z171+AA219*AA171+AB219*AB171+AC219*AC171+AD219*AD171+AE219*AE171+AF219*AF171+AG219*AG171+AH219*AH171+AI219*AI171+AJ219*AJ171+AK219*AK171+AL219*AL171+AM219*AM171+AN219*AN171+AO219*AO171+AP219*AP171+AQ219*AQ171+AR219*AR171+AS219*AS171+AT219*AT171+AU219*AU171+AV219*AV171+AW219*AW171+AX219*AX171+AY219*AY171+AZ219*AZ171+BA219*BA171+BB219*BB171+BC219*BC171+BD219*BD171+BE219*BE171+BF219*BF171+BG219*BG171+BH219*BH171+BI219*BI171+BJ219*BJ171+BK219*BK171+BL219*BL171+BM219*BM171+BN219*BN171+BO219*BO171+BP219*BP171+BQ219*BQ171+BR219*BR171+BS219*BS171+BT219*BT171+BU219*BU171+BV219*BV171+BW219*BW171+BX219*BX171+BY219*BY171+BZ219*BZ171+CA219*CA171+CB219*CB171+CC219*CC171+CD219*CD171+CE219*CE171+CF219*CF171+CG219*CG171+CH219*CH171</f>
        <v>0</v>
      </c>
      <c r="CU171" s="1952">
        <f>E220*E171+F220*F171+G220*G171+H220*H171+I220*I171+J220*J171+K220*K171+L220*L171+M220*M171+N220*N171+O220*O171+P220*P171+Q220*Q171+R220*R171+S220*S171+T220*T171+U220*U171+V220*V171+W220*W171+X220*X171+Y220*Y171+Z220*Z171+AA220*AA171+AB220*AB171+AC220*AC171+AD220*AD171+AE220*AE171+AF220*AF171+AG220*AG171+AH220*AH171+AI220*AI171+AJ220*AJ171+AK220*AK171+AL220*AL171+AM220*AM171+AN220*AN171+AO220*AO171+AP220*AP171+AQ220*AQ171+AR220*AR171+AS220*AS171+AT220*AT171+AU220*AU171+AV220*AV171+AW220*AW171+AX220*AX171+AY220*AY171+AZ220*AZ171+BA220*BA171+BB220*BB171+BC220*BC171+BD220*BD171+BE220*BE171+BF220*BF171+BG220*BG171+BH220*BH171+BI220*BI171+BJ220*BJ171+BK220*BK171+BL220*BL171+BM220*BM171+BN220*BN171+BO220*BO171+BP220*BP171+BQ220*BQ171+BR220*BR171+BS220*BS171+BT220*BT171+BU220*BU171+BV220*BV171+BW220*BW171+BX220*BX171+BY220*BY171+BZ220*BZ171+CA220*CA171+CB220*CB171+CC220*CC171+CD220*CD171+CE220*CE171+CF220*CF171+CG220*CG171+CH220*CH171</f>
        <v>0</v>
      </c>
    </row>
    <row r="172" spans="2:99" ht="18" x14ac:dyDescent="0.25">
      <c r="B172" s="1048">
        <v>57</v>
      </c>
      <c r="C172" s="1129" t="s">
        <v>2128</v>
      </c>
      <c r="D172" s="1130" t="s">
        <v>2590</v>
      </c>
      <c r="E172" s="2067">
        <f>0</f>
        <v>0</v>
      </c>
      <c r="F172" s="2067">
        <f>0</f>
        <v>0</v>
      </c>
      <c r="G172" s="2067">
        <f>0</f>
        <v>0</v>
      </c>
      <c r="H172" s="2067">
        <f>0</f>
        <v>0</v>
      </c>
      <c r="I172" s="2085">
        <f>0</f>
        <v>0</v>
      </c>
      <c r="J172" s="2085">
        <f>0</f>
        <v>0</v>
      </c>
      <c r="K172" s="2067">
        <f>0</f>
        <v>0</v>
      </c>
      <c r="L172" s="2067">
        <f>0</f>
        <v>0</v>
      </c>
      <c r="M172" s="2067">
        <f>0</f>
        <v>0</v>
      </c>
      <c r="N172" s="2067">
        <f>0</f>
        <v>0</v>
      </c>
      <c r="O172" s="2067">
        <f>0</f>
        <v>0</v>
      </c>
      <c r="P172" s="2067">
        <f>0</f>
        <v>0</v>
      </c>
      <c r="Q172" s="2067">
        <f>0</f>
        <v>0</v>
      </c>
      <c r="R172" s="2093">
        <f>0</f>
        <v>0</v>
      </c>
      <c r="S172" s="2067">
        <f>0</f>
        <v>0</v>
      </c>
      <c r="T172" s="2067">
        <f>0</f>
        <v>0</v>
      </c>
      <c r="U172" s="2067">
        <f>0</f>
        <v>0</v>
      </c>
      <c r="V172" s="2067">
        <f>0</f>
        <v>0</v>
      </c>
      <c r="W172" s="2067">
        <f>0</f>
        <v>0</v>
      </c>
      <c r="X172" s="2067">
        <f>0</f>
        <v>0</v>
      </c>
      <c r="Y172" s="2067">
        <f>0</f>
        <v>0</v>
      </c>
      <c r="Z172" s="2067">
        <f>0</f>
        <v>0</v>
      </c>
      <c r="AA172" s="2067">
        <f>0</f>
        <v>0</v>
      </c>
      <c r="AB172" s="2067">
        <f>0</f>
        <v>0</v>
      </c>
      <c r="AC172" s="2085">
        <f>0</f>
        <v>0</v>
      </c>
      <c r="AD172" s="2085">
        <f>0</f>
        <v>0</v>
      </c>
      <c r="AE172" s="2067">
        <f>0</f>
        <v>0</v>
      </c>
      <c r="AF172" s="2067">
        <f>0</f>
        <v>0</v>
      </c>
      <c r="AG172" s="2067">
        <f>0</f>
        <v>0</v>
      </c>
      <c r="AH172" s="2067">
        <f>0</f>
        <v>0</v>
      </c>
      <c r="AI172" s="2085">
        <f>0</f>
        <v>0</v>
      </c>
      <c r="AJ172" s="2085">
        <f>0</f>
        <v>0</v>
      </c>
      <c r="AK172" s="2067">
        <f>0</f>
        <v>0</v>
      </c>
      <c r="AL172" s="2067">
        <f>0</f>
        <v>0</v>
      </c>
      <c r="AM172" s="2067">
        <f>0</f>
        <v>0</v>
      </c>
      <c r="AN172" s="2067">
        <f>0</f>
        <v>0</v>
      </c>
      <c r="AO172" s="2067">
        <f>0</f>
        <v>0</v>
      </c>
      <c r="AP172" s="2067">
        <f>0</f>
        <v>0</v>
      </c>
      <c r="AQ172" s="2067">
        <f>0</f>
        <v>0</v>
      </c>
      <c r="AR172" s="2067">
        <f>0</f>
        <v>0</v>
      </c>
      <c r="AS172" s="2067">
        <f>0</f>
        <v>0</v>
      </c>
      <c r="AT172" s="2067">
        <f>0</f>
        <v>0</v>
      </c>
      <c r="AU172" s="2067">
        <f>0</f>
        <v>0</v>
      </c>
      <c r="AV172" s="2067">
        <f>0</f>
        <v>0</v>
      </c>
      <c r="AW172" s="2067">
        <f>0</f>
        <v>0</v>
      </c>
      <c r="AX172" s="2107">
        <f>-X_HFO_L/(X_HFO_L+X_HFO_L_P)</f>
        <v>-0.5</v>
      </c>
      <c r="AY172" s="2107">
        <f>X_HFO_L/(X_HFO_L+X_HFO_L_P)</f>
        <v>0.5</v>
      </c>
      <c r="AZ172" s="2107">
        <f>0</f>
        <v>0</v>
      </c>
      <c r="BA172" s="2107">
        <f>-X_HFO_L_P/(X_HFO_L+X_HFO_L_P)</f>
        <v>-0.5</v>
      </c>
      <c r="BB172" s="2107">
        <f>0</f>
        <v>0</v>
      </c>
      <c r="BC172" s="2107">
        <f>X_HFO_L_P/(X_HFO_L+X_HFO_L_P)</f>
        <v>0.5</v>
      </c>
      <c r="BD172" s="2067">
        <f>0</f>
        <v>0</v>
      </c>
      <c r="BE172" s="2107">
        <f>0</f>
        <v>0</v>
      </c>
      <c r="BF172" s="2107">
        <f>0</f>
        <v>0</v>
      </c>
      <c r="BG172" s="2107">
        <f>0</f>
        <v>0</v>
      </c>
      <c r="BH172" s="2107">
        <f>0</f>
        <v>0</v>
      </c>
      <c r="BI172" s="2107">
        <f>0</f>
        <v>0</v>
      </c>
      <c r="BJ172" s="2107">
        <f>0</f>
        <v>0</v>
      </c>
      <c r="BK172" s="2067">
        <f>0</f>
        <v>0</v>
      </c>
      <c r="BL172" s="2067">
        <f>0</f>
        <v>0</v>
      </c>
      <c r="BM172" s="2067">
        <f>0</f>
        <v>0</v>
      </c>
      <c r="BN172" s="2093">
        <f>0</f>
        <v>0</v>
      </c>
      <c r="BO172" s="2067">
        <f>0</f>
        <v>0</v>
      </c>
      <c r="BP172" s="2122">
        <f>0</f>
        <v>0</v>
      </c>
      <c r="BQ172" s="2122">
        <f>0</f>
        <v>0</v>
      </c>
      <c r="BR172" s="2122">
        <f>0</f>
        <v>0</v>
      </c>
      <c r="BS172" s="2122">
        <f>0</f>
        <v>0</v>
      </c>
      <c r="BT172" s="2067">
        <f>0</f>
        <v>0</v>
      </c>
      <c r="BU172" s="2067">
        <f>0</f>
        <v>0</v>
      </c>
      <c r="BV172" s="2067">
        <f>0</f>
        <v>0</v>
      </c>
      <c r="BW172" s="2093">
        <f>0</f>
        <v>0</v>
      </c>
      <c r="BX172" s="2093">
        <f>0</f>
        <v>0</v>
      </c>
      <c r="BY172" s="2093">
        <f>0</f>
        <v>0</v>
      </c>
      <c r="BZ172" s="2093">
        <f>0</f>
        <v>0</v>
      </c>
      <c r="CA172" s="2093">
        <f>0</f>
        <v>0</v>
      </c>
      <c r="CB172" s="2093">
        <f>0</f>
        <v>0</v>
      </c>
      <c r="CC172" s="2093">
        <f>0</f>
        <v>0</v>
      </c>
      <c r="CD172" s="2093">
        <f>0</f>
        <v>0</v>
      </c>
      <c r="CE172" s="2093">
        <f>0</f>
        <v>0</v>
      </c>
      <c r="CF172" s="2093">
        <f>0</f>
        <v>0</v>
      </c>
      <c r="CG172" s="2093">
        <f>0</f>
        <v>0</v>
      </c>
      <c r="CH172" s="2093">
        <f>0</f>
        <v>0</v>
      </c>
      <c r="CI172" s="2146">
        <f>q_HFOL_AGING*(X_HFO_L+X_HFO_L_P)</f>
        <v>2E-50</v>
      </c>
      <c r="CK172" s="1950">
        <f>E210*E172+F210*F172+G210*G172+H210*H172+I210*I172+J210*J172+K210*K172+L210*L172+M210*M172+N210*N172+O210*O172+P210*P172+Q210*Q172+R210*R172+S210*S172+T210*T172+U210*U172+V210*V172+W210*W172+X210*X172+Y210*Y172+Z210*Z172+AA210*AA172+AB210*AB172+AC210*AC172+AD210*AD172+AE210*AE172+AF210*AF172+AG210*AG172+AH210*AH172+AI210*AI172+AJ210*AJ172+AK210*AK172+AL210*AL172+AM210*AM172+AN210*AN172+AO210*AO172+AP210*AP172+AQ210*AQ172+AR210*AR172+AS210*AS172+AT210*AT172+AU210*AU172+AV210*AV172+AW210*AW172+AX210*AX172+AY210*AY172+AZ210*AZ172+BA210*BA172+BB210*BB172+BC210*BC172+BD210*BD172+BE210*BE172+BF210*BF172+BG210*BG172+BH210*BH172+BI210*BI172+BJ210*BJ172+BK210*BK172+BL210*BL172+BM210*BM172+BN210*BN172+BO210*BO172+BP210*BP172+BQ210*BQ172+BR210*BR172+BS210*BS172+BT210*BT172+BU210*BU172+BV210*BV172+BW210*BW172+BX210*BX172+BY210*BY172+BZ210*BZ172+CA210*CA172+CB210*CB172+CC210*CC172+CD210*CD172+CE210*CE172+CF210*CF172+CG210*CG172+CH210*CH172</f>
        <v>0</v>
      </c>
      <c r="CL172" s="1950">
        <f>E211*E172+F211*F172+G211*G172+H211*H172+I211*I172+J211*J172+K211*K172+L211*L172+M211*M172+N211*N172+O211*O172+P211*P172+Q211*Q172+R211*R172+S211*S172+T211*T172+U211*U172+V211*V172+W211*W172+X211*X172+Y211*Y172+Z211*Z172+AA211*AA172+AB211*AB172+AC211*AC172+AD211*AD172+AE211*AE172+AF211*AF172+AG211*AG172+AH211*AH172+AI211*AI172+AJ211*AJ172+AK211*AK172+AL211*AL172+AM211*AM172+AN211*AN172+AO211*AO172+AP211*AP172+AQ211*AQ172+AR211*AR172+AS211*AS172+AT211*AT172+AU211*AU172+AV211*AV172+AW211*AW172+AX211*AX172+AY211*AY172+AZ211*AZ172+BA211*BA172+BB211*BB172+BC211*BC172+BD211*BD172+BE211*BE172+BF211*BF172+BG211*BG172+BH211*BH172+BI211*BI172+BJ211*BJ172+BK211*BK172+BL211*BL172+BM211*BM172+BN211*BN172+BO211*BO172+BP211*BP172+BQ211*BQ172+BR211*BR172+BS211*BS172+BT211*BT172+BU211*BU172+BV211*BV172+BW211*BW172+BX211*BX172+BY211*BY172+BZ211*BZ172+CA211*CA172+CB211*CB172+CC211*CC172+CD211*CD172+CE211*CE172+CF211*CF172+CG211*CG172+CH211*CH172</f>
        <v>0</v>
      </c>
      <c r="CM172" s="1951">
        <f>E212*E172+F212*F172+G212*G172+H212*H172+I212*I172+J212*J172+K212*K172+L212*L172+M212*M172+N212*N172+O212*O172+P212*P172+Q212*Q172+R212*R172+S212*S172+T212*T172+U212*U172+V212*V172+W212*W172+X212*X172+Y212*Y172+Z212*Z172+AA212*AA172+AB212*AB172+AC212*AC172+AD212*AD172+AE212*AE172+AF212*AF172+AG212*AG172+AH212*AH172+AI212*AI172+AJ212*AJ172+AK212*AK172+AL212*AL172+AM212*AM172+AN212*AN172+AO212*AO172+AP212*AP172+AQ212*AQ172+AR212*AR172+AS212*AS172+AT212*AT172+AU212*AU172+AV212*AV172+AW212*AW172+AX212*AX172+AY212*AY172+AZ212*AZ172+BA212*BA172+BB212*BB172+BC212*BC172+BD212*BD172+BE212*BE172+BF212*BF172+BG212*BG172+BH212*BH172+BI212*BI172+BJ212*BJ172+BK212*BK172+BL212*BL172+BM212*BM172+BN212*BN172+BO212*BO172+BP212*BP172+BQ212*BQ172+BR212*BR172+BS212*BS172+BT212*BT172+BU212*BU172+BV212*BV172+BW212*BW172+BX212*BX172+BY212*BY172+BZ212*BZ172+CA212*CA172+CB212*CB172+CC212*CC172+CD212*CD172+CE212*CE172+CF212*CF172+CG212*CG172+CH212*CH172</f>
        <v>0</v>
      </c>
      <c r="CN172" s="1952">
        <f>E213*E172+F213*F172+G213*G172+H213*H172+I213*I172+J213*J172+K213*K172+L213*L172+M213*M172+N213*N172+O213*O172+P213*P172+Q213*Q172+R213*R172+S213*S172+T213*T172+U213*U172+V213*V172+W213*W172+X213*X172+Y213*Y172+Z213*Z172+AA213*AA172+AB213*AB172+AC213*AC172+AD213*AD172+AE213*AE172+AF213*AF172+AG213*AG172+AH213*AH172+AI213*AI172+AJ213*AJ172+AK213*AK172+AL213*AL172+AM213*AM172+AN213*AN172+AO213*AO172+AP213*AP172+AQ213*AQ172+AR213*AR172+AS213*AS172+AT213*AT172+AU213*AU172+AV213*AV172+AW213*AW172+AX213*AX172+AY213*AY172+AZ213*AZ172+BA213*BA172+BB213*BB172+BC213*BC172+BD213*BD172+BE213*BE172+BF213*BF172+BG213*BG172+BH213*BH172+BI213*BI172+BJ213*BJ172+BK213*BK172+BL213*BL172+BM213*BM172+BN213*BN172+BO213*BO172+BP213*BP172+BQ213*BQ172+BR213*BR172+BS213*BS172+BT213*BT172+BU213*BU172+BV213*BV172+BW213*BW172+BX213*BX172+BY213*BY172+BZ213*BZ172+CA213*CA172+CB213*CB172+CC213*CC172+CD213*CD172+CE213*CE172+CF213*CF172+CG213*CG172+CH213*CH172</f>
        <v>0</v>
      </c>
      <c r="CO172" s="1952">
        <f>E214*E172+F214*F172+G214*G172+H214*H172+I214*I172+J214*J172+K214*K172+L214*L172+M214*M172+N214*N172+O214*O172+P214*P172+Q214*Q172+R214*R172+S214*S172+T214*T172+U214*U172+V214*V172+W214*W172+X214*X172+Y214*Y172+Z214*Z172+AA214*AA172+AB214*AB172+AC214*AC172+AD214*AD172+AE214*AE172+AF214*AF172+AG214*AG172+AH214*AH172+AI214*AI172+AJ214*AJ172+AK214*AK172+AL214*AL172+AM214*AM172+AN214*AN172+AO214*AO172+AP214*AP172+AQ214*AQ172+AR214*AR172+AS214*AS172+AT214*AT172+AU214*AU172+AV214*AV172+AW214*AW172+AX214*AX172+AY214*AY172+AZ214*AZ172+BA214*BA172+BB214*BB172+BC214*BC172+BD214*BD172+BE214*BE172+BF214*BF172+BG214*BG172+BH214*BH172+BI214*BI172+BJ214*BJ172+BK214*BK172+BL214*BL172+BM214*BM172+BN214*BN172+BO214*BO172+BP214*BP172+BQ214*BQ172+BR214*BR172+BS214*BS172+BT214*BT172+BU214*BU172+BV214*BV172+BW214*BW172+BX214*BX172+BY214*BY172+BZ214*BZ172+CA214*CA172+CB214*CB172+CC214*CC172+CD214*CD172+CE214*CE172+CF214*CF172+CG214*CG172+CH214*CH172</f>
        <v>0</v>
      </c>
      <c r="CP172" s="1952">
        <f>E215*E172+F215*F172+G215*G172+H215*H172+I215*I172+J215*J172+K215*K172+L215*L172+M215*M172+N215*N172+O215*O172+P215*P172+Q215*Q172+R215*R172+S215*S172+T215*T172+U215*U172+V215*V172+W215*W172+X215*X172+Y215*Y172+Z215*Z172+AA215*AA172+AB215*AB172+AC215*AC172+AD215*AD172+AE215*AE172+AF215*AF172+AG215*AG172+AH215*AH172+AI215*AI172+AJ215*AJ172+AK215*AK172+AL215*AL172+AM215*AM172+AN215*AN172+AO215*AO172+AP215*AP172+AQ215*AQ172+AR215*AR172+AS215*AS172+AT215*AT172+AU215*AU172+AV215*AV172+AW215*AW172+AX215*AX172+AY215*AY172+AZ215*AZ172+BA215*BA172+BB215*BB172+BC215*BC172+BD215*BD172+BE215*BE172+BF215*BF172+BG215*BG172+BH215*BH172+BI215*BI172+BJ215*BJ172+BK215*BK172+BL215*BL172+BM215*BM172+BN215*BN172+BO215*BO172+BP215*BP172+BQ215*BQ172+BR215*BR172+BS215*BS172+BT215*BT172+BU215*BU172+BV215*BV172+BW215*BW172+BX215*BX172+BY215*BY172+BZ215*BZ172+CA215*CA172+CB215*CB172+CC215*CC172+CD215*CD172+CE215*CE172+CF215*CF172+CG215*CG172+CH215*CH172</f>
        <v>0</v>
      </c>
      <c r="CQ172" s="1952">
        <f>E216*E172+F216*F172+G216*G172+H216*H172+I216*I172+J216*J172+K216*K172+L216*L172+M216*M172+N216*N172+O216*O172+P216*P172+Q216*Q172+R216*R172+S216*S172+T216*T172+U216*U172+V216*V172+W216*W172+X216*X172+Y216*Y172+Z216*Z172+AA216*AA172+AB216*AB172+AC216*AC172+AD216*AD172+AE216*AE172+AF216*AF172+AG216*AG172+AH216*AH172+AI216*AI172+AJ216*AJ172+AK216*AK172+AL216*AL172+AM216*AM172+AN216*AN172+AO216*AO172+AP216*AP172+AQ216*AQ172+AR216*AR172+AS216*AS172+AT216*AT172+AU216*AU172+AV216*AV172+AW216*AW172+AX216*AX172+AY216*AY172+AZ216*AZ172+BA216*BA172+BB216*BB172+BC216*BC172+BD216*BD172+BE216*BE172+BF216*BF172+BG216*BG172+BH216*BH172+BI216*BI172+BJ216*BJ172+BK216*BK172+BL216*BL172+BM216*BM172+BN216*BN172+BO216*BO172+BP216*BP172+BQ216*BQ172+BR216*BR172+BS216*BS172+BT216*BT172+BU216*BU172+BV216*BV172+BW216*BW172+BX216*BX172+BY216*BY172+BZ216*BZ172+CA216*CA172+CB216*CB172+CC216*CC172+CD216*CD172+CE216*CE172+CF216*CF172+CG216*CG172+CH216*CH172</f>
        <v>0</v>
      </c>
      <c r="CR172" s="1952">
        <f>E217*E172+F217*F172+G217*G172+H217*H172+I217*I172+J217*J172+K217*K172+L217*L172+M217*M172+N217*N172+O217*O172+P217*P172+Q217*Q172+R217*R172+S217*S172+T217*T172+U217*U172+V217*V172+W217*W172+X217*X172+Y217*Y172+Z217*Z172+AA217*AA172+AB217*AB172+AC217*AC172+AD217*AD172+AE217*AE172+AF217*AF172+AG217*AG172+AH217*AH172+AI217*AI172+AJ217*AJ172+AK217*AK172+AL217*AL172+AM217*AM172+AN217*AN172+AO217*AO172+AP217*AP172+AQ217*AQ172+AR217*AR172+AS217*AS172+AT217*AT172+AU217*AU172+AV217*AV172+AW217*AW172+AX217*AX172+AY217*AY172+AZ217*AZ172+BA217*BA172+BB217*BB172+BC217*BC172+BD217*BD172+BE217*BE172+BF217*BF172+BG217*BG172+BH217*BH172+BI217*BI172+BJ217*BJ172+BK217*BK172+BL217*BL172+BM217*BM172+BN217*BN172+BO217*BO172+BP217*BP172+BQ217*BQ172+BR217*BR172+BS217*BS172+BT217*BT172+BU217*BU172+BV217*BV172+BW217*BW172+BX217*BX172+BY217*BY172+BZ217*BZ172+CA217*CA172+CB217*CB172+CC217*CC172+CD217*CD172+CE217*CE172+CF217*CF172+CG217*CG172+CH217*CH172</f>
        <v>0</v>
      </c>
      <c r="CS172" s="1952">
        <f>E218*E172+F218*F172+G218*G172+H218*H172+I218*I172+J218*J172+K218*K172+L218*L172+M218*M172+N218*N172+O218*O172+P218*P172+Q218*Q172+R218*R172+S218*S172+T218*T172+U218*U172+V218*V172+W218*W172+X218*X172+Y218*Y172+Z218*Z172+AA218*AA172+AB218*AB172+AC218*AC172+AD218*AD172+AE218*AE172+AF218*AF172+AG218*AG172+AH218*AH172+AI218*AI172+AJ218*AJ172+AK218*AK172+AL218*AL172+AM218*AM172+AN218*AN172+AO218*AO172+AP218*AP172+AQ218*AQ172+AR218*AR172+AS218*AS172+AT218*AT172+AU218*AU172+AV218*AV172+AW218*AW172+AX218*AX172+AY218*AY172+AZ218*AZ172+BA218*BA172+BB218*BB172+BC218*BC172+BD218*BD172+BE218*BE172+BF218*BF172+BG218*BG172+BH218*BH172+BI218*BI172+BJ218*BJ172+BK218*BK172+BL218*BL172+BM218*BM172+BN218*BN172+BO218*BO172+BP218*BP172+BQ218*BQ172+BR218*BR172+BS218*BS172+BT218*BT172+BU218*BU172+BV218*BV172+BW218*BW172+BX218*BX172+BY218*BY172+BZ218*BZ172+CA218*CA172+CB218*CB172+CC218*CC172+CD218*CD172+CE218*CE172+CF218*CF172+CG218*CG172+CH218*CH172</f>
        <v>0</v>
      </c>
      <c r="CT172" s="1952">
        <f>E219*E172+F219*F172+G219*G172+H219*H172+I219*I172+J219*J172+K219*K172+L219*L172+M219*M172+N219*N172+O219*O172+P219*P172+Q219*Q172+R219*R172+S219*S172+T219*T172+U219*U172+V219*V172+W219*W172+X219*X172+Y219*Y172+Z219*Z172+AA219*AA172+AB219*AB172+AC219*AC172+AD219*AD172+AE219*AE172+AF219*AF172+AG219*AG172+AH219*AH172+AI219*AI172+AJ219*AJ172+AK219*AK172+AL219*AL172+AM219*AM172+AN219*AN172+AO219*AO172+AP219*AP172+AQ219*AQ172+AR219*AR172+AS219*AS172+AT219*AT172+AU219*AU172+AV219*AV172+AW219*AW172+AX219*AX172+AY219*AY172+AZ219*AZ172+BA219*BA172+BB219*BB172+BC219*BC172+BD219*BD172+BE219*BE172+BF219*BF172+BG219*BG172+BH219*BH172+BI219*BI172+BJ219*BJ172+BK219*BK172+BL219*BL172+BM219*BM172+BN219*BN172+BO219*BO172+BP219*BP172+BQ219*BQ172+BR219*BR172+BS219*BS172+BT219*BT172+BU219*BU172+BV219*BV172+BW219*BW172+BX219*BX172+BY219*BY172+BZ219*BZ172+CA219*CA172+CB219*CB172+CC219*CC172+CD219*CD172+CE219*CE172+CF219*CF172+CG219*CG172+CH219*CH172</f>
        <v>0</v>
      </c>
      <c r="CU172" s="1952">
        <f>E220*E172+F220*F172+G220*G172+H220*H172+I220*I172+J220*J172+K220*K172+L220*L172+M220*M172+N220*N172+O220*O172+P220*P172+Q220*Q172+R220*R172+S220*S172+T220*T172+U220*U172+V220*V172+W220*W172+X220*X172+Y220*Y172+Z220*Z172+AA220*AA172+AB220*AB172+AC220*AC172+AD220*AD172+AE220*AE172+AF220*AF172+AG220*AG172+AH220*AH172+AI220*AI172+AJ220*AJ172+AK220*AK172+AL220*AL172+AM220*AM172+AN220*AN172+AO220*AO172+AP220*AP172+AQ220*AQ172+AR220*AR172+AS220*AS172+AT220*AT172+AU220*AU172+AV220*AV172+AW220*AW172+AX220*AX172+AY220*AY172+AZ220*AZ172+BA220*BA172+BB220*BB172+BC220*BC172+BD220*BD172+BE220*BE172+BF220*BF172+BG220*BG172+BH220*BH172+BI220*BI172+BJ220*BJ172+BK220*BK172+BL220*BL172+BM220*BM172+BN220*BN172+BO220*BO172+BP220*BP172+BQ220*BQ172+BR220*BR172+BS220*BS172+BT220*BT172+BU220*BU172+BV220*BV172+BW220*BW172+BX220*BX172+BY220*BY172+BZ220*BZ172+CA220*CA172+CB220*CB172+CC220*CC172+CD220*CD172+CE220*CE172+CF220*CF172+CG220*CG172+CH220*CH172</f>
        <v>0</v>
      </c>
    </row>
    <row r="173" spans="2:99" ht="18" x14ac:dyDescent="0.25">
      <c r="B173" s="1048">
        <v>58</v>
      </c>
      <c r="C173" s="1129" t="s">
        <v>2156</v>
      </c>
      <c r="D173" s="1130" t="s">
        <v>2591</v>
      </c>
      <c r="E173" s="2067">
        <f>0</f>
        <v>0</v>
      </c>
      <c r="F173" s="2067">
        <f>0</f>
        <v>0</v>
      </c>
      <c r="G173" s="2067">
        <f>0</f>
        <v>0</v>
      </c>
      <c r="H173" s="2067">
        <f>0</f>
        <v>0</v>
      </c>
      <c r="I173" s="2085">
        <f>0</f>
        <v>0</v>
      </c>
      <c r="J173" s="2085">
        <f>0</f>
        <v>0</v>
      </c>
      <c r="K173" s="2067">
        <f>0</f>
        <v>0</v>
      </c>
      <c r="L173" s="2067">
        <f>0</f>
        <v>0</v>
      </c>
      <c r="M173" s="2067">
        <f>0</f>
        <v>0</v>
      </c>
      <c r="N173" s="2067">
        <f>0</f>
        <v>0</v>
      </c>
      <c r="O173" s="2067">
        <f>0</f>
        <v>0</v>
      </c>
      <c r="P173" s="2067">
        <f>0</f>
        <v>0</v>
      </c>
      <c r="Q173" s="2067">
        <f>0</f>
        <v>0</v>
      </c>
      <c r="R173" s="2093">
        <f>0</f>
        <v>0</v>
      </c>
      <c r="S173" s="2067">
        <f>0</f>
        <v>0</v>
      </c>
      <c r="T173" s="2067">
        <f>0</f>
        <v>0</v>
      </c>
      <c r="U173" s="2067">
        <f>0</f>
        <v>0</v>
      </c>
      <c r="V173" s="2067">
        <f>0</f>
        <v>0</v>
      </c>
      <c r="W173" s="2067">
        <f>0</f>
        <v>0</v>
      </c>
      <c r="X173" s="2067">
        <f>0</f>
        <v>0</v>
      </c>
      <c r="Y173" s="2067">
        <f>0</f>
        <v>0</v>
      </c>
      <c r="Z173" s="2067">
        <f>0</f>
        <v>0</v>
      </c>
      <c r="AA173" s="2067">
        <f>0</f>
        <v>0</v>
      </c>
      <c r="AB173" s="2067">
        <f>0</f>
        <v>0</v>
      </c>
      <c r="AC173" s="2085">
        <f>0</f>
        <v>0</v>
      </c>
      <c r="AD173" s="2085">
        <f>0</f>
        <v>0</v>
      </c>
      <c r="AE173" s="2067">
        <f>0</f>
        <v>0</v>
      </c>
      <c r="AF173" s="2067">
        <f>-1</f>
        <v>-1</v>
      </c>
      <c r="AG173" s="2067">
        <f>0</f>
        <v>0</v>
      </c>
      <c r="AH173" s="2067">
        <f>0</f>
        <v>0</v>
      </c>
      <c r="AI173" s="2085">
        <f>0</f>
        <v>0</v>
      </c>
      <c r="AJ173" s="2085">
        <f>0</f>
        <v>0</v>
      </c>
      <c r="AK173" s="2067">
        <f>0</f>
        <v>0</v>
      </c>
      <c r="AL173" s="2067">
        <f>0</f>
        <v>0</v>
      </c>
      <c r="AM173" s="2067">
        <f>0</f>
        <v>0</v>
      </c>
      <c r="AN173" s="2067">
        <f>0</f>
        <v>0</v>
      </c>
      <c r="AO173" s="2067">
        <f>0</f>
        <v>0</v>
      </c>
      <c r="AP173" s="2067">
        <f>0</f>
        <v>0</v>
      </c>
      <c r="AQ173" s="2067">
        <f>0</f>
        <v>0</v>
      </c>
      <c r="AR173" s="2067">
        <f>0</f>
        <v>0</v>
      </c>
      <c r="AS173" s="2067">
        <f>0</f>
        <v>0</v>
      </c>
      <c r="AT173" s="2067">
        <f>0</f>
        <v>0</v>
      </c>
      <c r="AU173" s="2067">
        <f>0</f>
        <v>0</v>
      </c>
      <c r="AV173" s="2067">
        <f>0</f>
        <v>0</v>
      </c>
      <c r="AW173" s="2093">
        <f>-1/(A_SFHFO_H*(A_MP/A_MFe))</f>
        <v>-1.5024813485524857</v>
      </c>
      <c r="AX173" s="2067">
        <f>0</f>
        <v>0</v>
      </c>
      <c r="AY173" s="2067">
        <f>0</f>
        <v>0</v>
      </c>
      <c r="AZ173" s="2093">
        <f>1/(A_SFHFO_H*(A_MP/A_MFe))</f>
        <v>1.5024813485524857</v>
      </c>
      <c r="BA173" s="2067">
        <f>0</f>
        <v>0</v>
      </c>
      <c r="BB173" s="2093">
        <f>0</f>
        <v>0</v>
      </c>
      <c r="BC173" s="2093">
        <f>0</f>
        <v>0</v>
      </c>
      <c r="BD173" s="2093">
        <f>0</f>
        <v>0</v>
      </c>
      <c r="BE173" s="2067">
        <f>0</f>
        <v>0</v>
      </c>
      <c r="BF173" s="2067">
        <f>0</f>
        <v>0</v>
      </c>
      <c r="BG173" s="2093">
        <f>0</f>
        <v>0</v>
      </c>
      <c r="BH173" s="2067">
        <f>0</f>
        <v>0</v>
      </c>
      <c r="BI173" s="2093">
        <f>0</f>
        <v>0</v>
      </c>
      <c r="BJ173" s="2093">
        <f>0</f>
        <v>0</v>
      </c>
      <c r="BK173" s="2067">
        <f>0</f>
        <v>0</v>
      </c>
      <c r="BL173" s="2067">
        <f>0</f>
        <v>0</v>
      </c>
      <c r="BM173" s="2067">
        <f>0</f>
        <v>0</v>
      </c>
      <c r="BN173" s="2093">
        <f>0</f>
        <v>0</v>
      </c>
      <c r="BO173" s="2067">
        <f>0</f>
        <v>0</v>
      </c>
      <c r="BP173" s="2122">
        <f>0</f>
        <v>0</v>
      </c>
      <c r="BQ173" s="2122">
        <f>0</f>
        <v>0</v>
      </c>
      <c r="BR173" s="2122">
        <f>0</f>
        <v>0</v>
      </c>
      <c r="BS173" s="2122">
        <f>0</f>
        <v>0</v>
      </c>
      <c r="BT173" s="2067">
        <f>0</f>
        <v>0</v>
      </c>
      <c r="BU173" s="2067">
        <f>0</f>
        <v>0</v>
      </c>
      <c r="BV173" s="2067">
        <f>0</f>
        <v>0</v>
      </c>
      <c r="BW173" s="2093">
        <f>0</f>
        <v>0</v>
      </c>
      <c r="BX173" s="2093">
        <f>0</f>
        <v>0</v>
      </c>
      <c r="BY173" s="2093">
        <f>0</f>
        <v>0</v>
      </c>
      <c r="BZ173" s="2093">
        <f>0</f>
        <v>0</v>
      </c>
      <c r="CA173" s="2093">
        <f>0</f>
        <v>0</v>
      </c>
      <c r="CB173" s="2093">
        <f>0</f>
        <v>0</v>
      </c>
      <c r="CC173" s="2093">
        <f>0</f>
        <v>0</v>
      </c>
      <c r="CD173" s="2093">
        <f>0</f>
        <v>0</v>
      </c>
      <c r="CE173" s="2093">
        <f>0</f>
        <v>0</v>
      </c>
      <c r="CF173" s="2093">
        <f>0</f>
        <v>0</v>
      </c>
      <c r="CG173" s="2093">
        <f>0</f>
        <v>0</v>
      </c>
      <c r="CH173" s="2093">
        <f>0</f>
        <v>0</v>
      </c>
      <c r="CI173" s="2146">
        <f>q_P_HFO_COPREC*X_HFO_H*M_satSPO4_KP_HFO_BIND</f>
        <v>1.25E-48</v>
      </c>
      <c r="CK173" s="1950">
        <f>E210*E173+F210*F173+G210*G173+H210*H173+I210*I173+J210*J173+K210*K173+L210*L173+M210*M173+N210*N173+O210*O173+P210*P173+Q210*Q173+R210*R173+S210*S173+T210*T173+U210*U173+V210*V173+W210*W173+X210*X173+Y210*Y173+Z210*Z173+AA210*AA173+AB210*AB173+AC210*AC173+AD210*AD173+AE210*AE173+AF210*AF173+AG210*AG173+AH210*AH173+AI210*AI173+AJ210*AJ173+AK210*AK173+AL210*AL173+AM210*AM173+AN210*AN173+AO210*AO173+AP210*AP173+AQ210*AQ173+AR210*AR173+AS210*AS173+AT210*AT173+AU210*AU173+AV210*AV173+AW210*AW173+AX210*AX173+AY210*AY173+AZ210*AZ173+BA210*BA173+BB210*BB173+BC210*BC173+BD210*BD173+BE210*BE173+BF210*BF173+BG210*BG173+BH210*BH173+BI210*BI173+BJ210*BJ173+BK210*BK173+BL210*BL173+BM210*BM173+BN210*BN173+BO210*BO173+BP210*BP173+BQ210*BQ173+BR210*BR173+BS210*BS173+BT210*BT173+BU210*BU173+BV210*BV173+BW210*BW173+BX210*BX173+BY210*BY173+BZ210*BZ173+CA210*CA173+CB210*CB173+CC210*CC173+CD210*CD173+CE210*CE173+CF210*CF173+CG210*CG173+CH210*CH173</f>
        <v>0</v>
      </c>
      <c r="CL173" s="1950">
        <f>E211*E173+F211*F173+G211*G173+H211*H173+I211*I173+J211*J173+K211*K173+L211*L173+M211*M173+N211*N173+O211*O173+P211*P173+Q211*Q173+R211*R173+S211*S173+T211*T173+U211*U173+V211*V173+W211*W173+X211*X173+Y211*Y173+Z211*Z173+AA211*AA173+AB211*AB173+AC211*AC173+AD211*AD173+AE211*AE173+AF211*AF173+AG211*AG173+AH211*AH173+AI211*AI173+AJ211*AJ173+AK211*AK173+AL211*AL173+AM211*AM173+AN211*AN173+AO211*AO173+AP211*AP173+AQ211*AQ173+AR211*AR173+AS211*AS173+AT211*AT173+AU211*AU173+AV211*AV173+AW211*AW173+AX211*AX173+AY211*AY173+AZ211*AZ173+BA211*BA173+BB211*BB173+BC211*BC173+BD211*BD173+BE211*BE173+BF211*BF173+BG211*BG173+BH211*BH173+BI211*BI173+BJ211*BJ173+BK211*BK173+BL211*BL173+BM211*BM173+BN211*BN173+BO211*BO173+BP211*BP173+BQ211*BQ173+BR211*BR173+BS211*BS173+BT211*BT173+BU211*BU173+BV211*BV173+BW211*BW173+BX211*BX173+BY211*BY173+BZ211*BZ173+CA211*CA173+CB211*CB173+CC211*CC173+CD211*CD173+CE211*CE173+CF211*CF173+CG211*CG173+CH211*CH173</f>
        <v>0</v>
      </c>
      <c r="CM173" s="1951">
        <f>E212*E173+F212*F173+G212*G173+H212*H173+I212*I173+J212*J173+K212*K173+L212*L173+M212*M173+N212*N173+O212*O173+P212*P173+Q212*Q173+R212*R173+S212*S173+T212*T173+U212*U173+V212*V173+W212*W173+X212*X173+Y212*Y173+Z212*Z173+AA212*AA173+AB212*AB173+AC212*AC173+AD212*AD173+AE212*AE173+AF212*AF173+AG212*AG173+AH212*AH173+AI212*AI173+AJ212*AJ173+AK212*AK173+AL212*AL173+AM212*AM173+AN212*AN173+AO212*AO173+AP212*AP173+AQ212*AQ173+AR212*AR173+AS212*AS173+AT212*AT173+AU212*AU173+AV212*AV173+AW212*AW173+AX212*AX173+AY212*AY173+AZ212*AZ173+BA212*BA173+BB212*BB173+BC212*BC173+BD212*BD173+BE212*BE173+BF212*BF173+BG212*BG173+BH212*BH173+BI212*BI173+BJ212*BJ173+BK212*BK173+BL212*BL173+BM212*BM173+BN212*BN173+BO212*BO173+BP212*BP173+BQ212*BQ173+BR212*BR173+BS212*BS173+BT212*BT173+BU212*BU173+BV212*BV173+BW212*BW173+BX212*BX173+BY212*BY173+BZ212*BZ173+CA212*CA173+CB212*CB173+CC212*CC173+CD212*CD173+CE212*CE173+CF212*CF173+CG212*CG173+CH212*CH173</f>
        <v>0</v>
      </c>
      <c r="CN173" s="1952">
        <f>E213*E173+F213*F173+G213*G173+H213*H173+I213*I173+J213*J173+K213*K173+L213*L173+M213*M173+N213*N173+O213*O173+P213*P173+Q213*Q173+R213*R173+S213*S173+T213*T173+U213*U173+V213*V173+W213*W173+X213*X173+Y213*Y173+Z213*Z173+AA213*AA173+AB213*AB173+AC213*AC173+AD213*AD173+AE213*AE173+AF213*AF173+AG213*AG173+AH213*AH173+AI213*AI173+AJ213*AJ173+AK213*AK173+AL213*AL173+AM213*AM173+AN213*AN173+AO213*AO173+AP213*AP173+AQ213*AQ173+AR213*AR173+AS213*AS173+AT213*AT173+AU213*AU173+AV213*AV173+AW213*AW173+AX213*AX173+AY213*AY173+AZ213*AZ173+BA213*BA173+BB213*BB173+BC213*BC173+BD213*BD173+BE213*BE173+BF213*BF173+BG213*BG173+BH213*BH173+BI213*BI173+BJ213*BJ173+BK213*BK173+BL213*BL173+BM213*BM173+BN213*BN173+BO213*BO173+BP213*BP173+BQ213*BQ173+BR213*BR173+BS213*BS173+BT213*BT173+BU213*BU173+BV213*BV173+BW213*BW173+BX213*BX173+BY213*BY173+BZ213*BZ173+CA213*CA173+CB213*CB173+CC213*CC173+CD213*CD173+CE213*CE173+CF213*CF173+CG213*CG173+CH213*CH173</f>
        <v>0</v>
      </c>
      <c r="CO173" s="1952">
        <f>E214*E173+F214*F173+G214*G173+H214*H173+I214*I173+J214*J173+K214*K173+L214*L173+M214*M173+N214*N173+O214*O173+P214*P173+Q214*Q173+R214*R173+S214*S173+T214*T173+U214*U173+V214*V173+W214*W173+X214*X173+Y214*Y173+Z214*Z173+AA214*AA173+AB214*AB173+AC214*AC173+AD214*AD173+AE214*AE173+AF214*AF173+AG214*AG173+AH214*AH173+AI214*AI173+AJ214*AJ173+AK214*AK173+AL214*AL173+AM214*AM173+AN214*AN173+AO214*AO173+AP214*AP173+AQ214*AQ173+AR214*AR173+AS214*AS173+AT214*AT173+AU214*AU173+AV214*AV173+AW214*AW173+AX214*AX173+AY214*AY173+AZ214*AZ173+BA214*BA173+BB214*BB173+BC214*BC173+BD214*BD173+BE214*BE173+BF214*BF173+BG214*BG173+BH214*BH173+BI214*BI173+BJ214*BJ173+BK214*BK173+BL214*BL173+BM214*BM173+BN214*BN173+BO214*BO173+BP214*BP173+BQ214*BQ173+BR214*BR173+BS214*BS173+BT214*BT173+BU214*BU173+BV214*BV173+BW214*BW173+BX214*BX173+BY214*BY173+BZ214*BZ173+CA214*CA173+CB214*CB173+CC214*CC173+CD214*CD173+CE214*CE173+CF214*CF173+CG214*CG173+CH214*CH173</f>
        <v>0</v>
      </c>
      <c r="CP173" s="1952">
        <f>E215*E173+F215*F173+G215*G173+H215*H173+I215*I173+J215*J173+K215*K173+L215*L173+M215*M173+N215*N173+O215*O173+P215*P173+Q215*Q173+R215*R173+S215*S173+T215*T173+U215*U173+V215*V173+W215*W173+X215*X173+Y215*Y173+Z215*Z173+AA215*AA173+AB215*AB173+AC215*AC173+AD215*AD173+AE215*AE173+AF215*AF173+AG215*AG173+AH215*AH173+AI215*AI173+AJ215*AJ173+AK215*AK173+AL215*AL173+AM215*AM173+AN215*AN173+AO215*AO173+AP215*AP173+AQ215*AQ173+AR215*AR173+AS215*AS173+AT215*AT173+AU215*AU173+AV215*AV173+AW215*AW173+AX215*AX173+AY215*AY173+AZ215*AZ173+BA215*BA173+BB215*BB173+BC215*BC173+BD215*BD173+BE215*BE173+BF215*BF173+BG215*BG173+BH215*BH173+BI215*BI173+BJ215*BJ173+BK215*BK173+BL215*BL173+BM215*BM173+BN215*BN173+BO215*BO173+BP215*BP173+BQ215*BQ173+BR215*BR173+BS215*BS173+BT215*BT173+BU215*BU173+BV215*BV173+BW215*BW173+BX215*BX173+BY215*BY173+BZ215*BZ173+CA215*CA173+CB215*CB173+CC215*CC173+CD215*CD173+CE215*CE173+CF215*CF173+CG215*CG173+CH215*CH173</f>
        <v>0</v>
      </c>
      <c r="CQ173" s="1952">
        <f>E216*E173+F216*F173+G216*G173+H216*H173+I216*I173+J216*J173+K216*K173+L216*L173+M216*M173+N216*N173+O216*O173+P216*P173+Q216*Q173+R216*R173+S216*S173+T216*T173+U216*U173+V216*V173+W216*W173+X216*X173+Y216*Y173+Z216*Z173+AA216*AA173+AB216*AB173+AC216*AC173+AD216*AD173+AE216*AE173+AF216*AF173+AG216*AG173+AH216*AH173+AI216*AI173+AJ216*AJ173+AK216*AK173+AL216*AL173+AM216*AM173+AN216*AN173+AO216*AO173+AP216*AP173+AQ216*AQ173+AR216*AR173+AS216*AS173+AT216*AT173+AU216*AU173+AV216*AV173+AW216*AW173+AX216*AX173+AY216*AY173+AZ216*AZ173+BA216*BA173+BB216*BB173+BC216*BC173+BD216*BD173+BE216*BE173+BF216*BF173+BG216*BG173+BH216*BH173+BI216*BI173+BJ216*BJ173+BK216*BK173+BL216*BL173+BM216*BM173+BN216*BN173+BO216*BO173+BP216*BP173+BQ216*BQ173+BR216*BR173+BS216*BS173+BT216*BT173+BU216*BU173+BV216*BV173+BW216*BW173+BX216*BX173+BY216*BY173+BZ216*BZ173+CA216*CA173+CB216*CB173+CC216*CC173+CD216*CD173+CE216*CE173+CF216*CF173+CG216*CG173+CH216*CH173</f>
        <v>0</v>
      </c>
      <c r="CR173" s="1952">
        <f>E217*E173+F217*F173+G217*G173+H217*H173+I217*I173+J217*J173+K217*K173+L217*L173+M217*M173+N217*N173+O217*O173+P217*P173+Q217*Q173+R217*R173+S217*S173+T217*T173+U217*U173+V217*V173+W217*W173+X217*X173+Y217*Y173+Z217*Z173+AA217*AA173+AB217*AB173+AC217*AC173+AD217*AD173+AE217*AE173+AF217*AF173+AG217*AG173+AH217*AH173+AI217*AI173+AJ217*AJ173+AK217*AK173+AL217*AL173+AM217*AM173+AN217*AN173+AO217*AO173+AP217*AP173+AQ217*AQ173+AR217*AR173+AS217*AS173+AT217*AT173+AU217*AU173+AV217*AV173+AW217*AW173+AX217*AX173+AY217*AY173+AZ217*AZ173+BA217*BA173+BB217*BB173+BC217*BC173+BD217*BD173+BE217*BE173+BF217*BF173+BG217*BG173+BH217*BH173+BI217*BI173+BJ217*BJ173+BK217*BK173+BL217*BL173+BM217*BM173+BN217*BN173+BO217*BO173+BP217*BP173+BQ217*BQ173+BR217*BR173+BS217*BS173+BT217*BT173+BU217*BU173+BV217*BV173+BW217*BW173+BX217*BX173+BY217*BY173+BZ217*BZ173+CA217*CA173+CB217*CB173+CC217*CC173+CD217*CD173+CE217*CE173+CF217*CF173+CG217*CG173+CH217*CH173</f>
        <v>0</v>
      </c>
      <c r="CS173" s="1952">
        <f>E218*E173+F218*F173+G218*G173+H218*H173+I218*I173+J218*J173+K218*K173+L218*L173+M218*M173+N218*N173+O218*O173+P218*P173+Q218*Q173+R218*R173+S218*S173+T218*T173+U218*U173+V218*V173+W218*W173+X218*X173+Y218*Y173+Z218*Z173+AA218*AA173+AB218*AB173+AC218*AC173+AD218*AD173+AE218*AE173+AF218*AF173+AG218*AG173+AH218*AH173+AI218*AI173+AJ218*AJ173+AK218*AK173+AL218*AL173+AM218*AM173+AN218*AN173+AO218*AO173+AP218*AP173+AQ218*AQ173+AR218*AR173+AS218*AS173+AT218*AT173+AU218*AU173+AV218*AV173+AW218*AW173+AX218*AX173+AY218*AY173+AZ218*AZ173+BA218*BA173+BB218*BB173+BC218*BC173+BD218*BD173+BE218*BE173+BF218*BF173+BG218*BG173+BH218*BH173+BI218*BI173+BJ218*BJ173+BK218*BK173+BL218*BL173+BM218*BM173+BN218*BN173+BO218*BO173+BP218*BP173+BQ218*BQ173+BR218*BR173+BS218*BS173+BT218*BT173+BU218*BU173+BV218*BV173+BW218*BW173+BX218*BX173+BY218*BY173+BZ218*BZ173+CA218*CA173+CB218*CB173+CC218*CC173+CD218*CD173+CE218*CE173+CF218*CF173+CG218*CG173+CH218*CH173</f>
        <v>0</v>
      </c>
      <c r="CT173" s="1952">
        <f>E219*E173+F219*F173+G219*G173+H219*H173+I219*I173+J219*J173+K219*K173+L219*L173+M219*M173+N219*N173+O219*O173+P219*P173+Q219*Q173+R219*R173+S219*S173+T219*T173+U219*U173+V219*V173+W219*W173+X219*X173+Y219*Y173+Z219*Z173+AA219*AA173+AB219*AB173+AC219*AC173+AD219*AD173+AE219*AE173+AF219*AF173+AG219*AG173+AH219*AH173+AI219*AI173+AJ219*AJ173+AK219*AK173+AL219*AL173+AM219*AM173+AN219*AN173+AO219*AO173+AP219*AP173+AQ219*AQ173+AR219*AR173+AS219*AS173+AT219*AT173+AU219*AU173+AV219*AV173+AW219*AW173+AX219*AX173+AY219*AY173+AZ219*AZ173+BA219*BA173+BB219*BB173+BC219*BC173+BD219*BD173+BE219*BE173+BF219*BF173+BG219*BG173+BH219*BH173+BI219*BI173+BJ219*BJ173+BK219*BK173+BL219*BL173+BM219*BM173+BN219*BN173+BO219*BO173+BP219*BP173+BQ219*BQ173+BR219*BR173+BS219*BS173+BT219*BT173+BU219*BU173+BV219*BV173+BW219*BW173+BX219*BX173+BY219*BY173+BZ219*BZ173+CA219*CA173+CB219*CB173+CC219*CC173+CD219*CD173+CE219*CE173+CF219*CF173+CG219*CG173+CH219*CH173</f>
        <v>0</v>
      </c>
      <c r="CU173" s="1952">
        <f>E220*E173+F220*F173+G220*G173+H220*H173+I220*I173+J220*J173+K220*K173+L220*L173+M220*M173+N220*N173+O220*O173+P220*P173+Q220*Q173+R220*R173+S220*S173+T220*T173+U220*U173+V220*V173+W220*W173+X220*X173+Y220*Y173+Z220*Z173+AA220*AA173+AB220*AB173+AC220*AC173+AD220*AD173+AE220*AE173+AF220*AF173+AG220*AG173+AH220*AH173+AI220*AI173+AJ220*AJ173+AK220*AK173+AL220*AL173+AM220*AM173+AN220*AN173+AO220*AO173+AP220*AP173+AQ220*AQ173+AR220*AR173+AS220*AS173+AT220*AT173+AU220*AU173+AV220*AV173+AW220*AW173+AX220*AX173+AY220*AY173+AZ220*AZ173+BA220*BA173+BB220*BB173+BC220*BC173+BD220*BD173+BE220*BE173+BF220*BF173+BG220*BG173+BH220*BH173+BI220*BI173+BJ220*BJ173+BK220*BK173+BL220*BL173+BM220*BM173+BN220*BN173+BO220*BO173+BP220*BP173+BQ220*BQ173+BR220*BR173+BS220*BS173+BT220*BT173+BU220*BU173+BV220*BV173+BW220*BW173+BX220*BX173+BY220*BY173+BZ220*BZ173+CA220*CA173+CB220*CB173+CC220*CC173+CD220*CD173+CE220*CE173+CF220*CF173+CG220*CG173+CH220*CH173</f>
        <v>0</v>
      </c>
    </row>
    <row r="174" spans="2:99" ht="18" x14ac:dyDescent="0.25">
      <c r="B174" s="1048">
        <v>59</v>
      </c>
      <c r="C174" s="1129" t="s">
        <v>2180</v>
      </c>
      <c r="D174" s="1130" t="s">
        <v>2592</v>
      </c>
      <c r="E174" s="2067">
        <f>0</f>
        <v>0</v>
      </c>
      <c r="F174" s="2067">
        <f>0</f>
        <v>0</v>
      </c>
      <c r="G174" s="2067">
        <f>0</f>
        <v>0</v>
      </c>
      <c r="H174" s="2067">
        <f>0</f>
        <v>0</v>
      </c>
      <c r="I174" s="2085">
        <f>0</f>
        <v>0</v>
      </c>
      <c r="J174" s="2085">
        <f>0</f>
        <v>0</v>
      </c>
      <c r="K174" s="2067">
        <f>0</f>
        <v>0</v>
      </c>
      <c r="L174" s="2067">
        <f>0</f>
        <v>0</v>
      </c>
      <c r="M174" s="2067">
        <f>0</f>
        <v>0</v>
      </c>
      <c r="N174" s="2067">
        <f>0</f>
        <v>0</v>
      </c>
      <c r="O174" s="2067">
        <f>0</f>
        <v>0</v>
      </c>
      <c r="P174" s="2067">
        <f>0</f>
        <v>0</v>
      </c>
      <c r="Q174" s="2067">
        <f>0</f>
        <v>0</v>
      </c>
      <c r="R174" s="2093">
        <f>0</f>
        <v>0</v>
      </c>
      <c r="S174" s="2067">
        <f>0</f>
        <v>0</v>
      </c>
      <c r="T174" s="2067">
        <f>0</f>
        <v>0</v>
      </c>
      <c r="U174" s="2067">
        <f>0</f>
        <v>0</v>
      </c>
      <c r="V174" s="2067">
        <f>0</f>
        <v>0</v>
      </c>
      <c r="W174" s="2067">
        <f>0</f>
        <v>0</v>
      </c>
      <c r="X174" s="2067">
        <f>0</f>
        <v>0</v>
      </c>
      <c r="Y174" s="2067">
        <f>0</f>
        <v>0</v>
      </c>
      <c r="Z174" s="2067">
        <f>0</f>
        <v>0</v>
      </c>
      <c r="AA174" s="2067">
        <f>0</f>
        <v>0</v>
      </c>
      <c r="AB174" s="2067">
        <f>0</f>
        <v>0</v>
      </c>
      <c r="AC174" s="2085">
        <f>0</f>
        <v>0</v>
      </c>
      <c r="AD174" s="2085">
        <f>0</f>
        <v>0</v>
      </c>
      <c r="AE174" s="2067">
        <f>0</f>
        <v>0</v>
      </c>
      <c r="AF174" s="2067">
        <f>-1</f>
        <v>-1</v>
      </c>
      <c r="AG174" s="2067">
        <f>0</f>
        <v>0</v>
      </c>
      <c r="AH174" s="2067">
        <f>0</f>
        <v>0</v>
      </c>
      <c r="AI174" s="2085">
        <f>0</f>
        <v>0</v>
      </c>
      <c r="AJ174" s="2085">
        <f>0</f>
        <v>0</v>
      </c>
      <c r="AK174" s="2067">
        <f>0</f>
        <v>0</v>
      </c>
      <c r="AL174" s="2067">
        <f>0</f>
        <v>0</v>
      </c>
      <c r="AM174" s="2067">
        <f>0</f>
        <v>0</v>
      </c>
      <c r="AN174" s="2067">
        <f>0</f>
        <v>0</v>
      </c>
      <c r="AO174" s="2067">
        <f>0</f>
        <v>0</v>
      </c>
      <c r="AP174" s="2067">
        <f>0</f>
        <v>0</v>
      </c>
      <c r="AQ174" s="2067">
        <f>0</f>
        <v>0</v>
      </c>
      <c r="AR174" s="2067">
        <f>0</f>
        <v>0</v>
      </c>
      <c r="AS174" s="2067">
        <f>0</f>
        <v>0</v>
      </c>
      <c r="AT174" s="2067">
        <f>0</f>
        <v>0</v>
      </c>
      <c r="AU174" s="2067">
        <f>0</f>
        <v>0</v>
      </c>
      <c r="AV174" s="2067">
        <f>0</f>
        <v>0</v>
      </c>
      <c r="AW174" s="2067">
        <f>0</f>
        <v>0</v>
      </c>
      <c r="AX174" s="2093">
        <f>-1/(A_SFHFO_L*(A_MP/A_MFe))</f>
        <v>-9.0148880913149121</v>
      </c>
      <c r="AY174" s="2067">
        <f>0</f>
        <v>0</v>
      </c>
      <c r="AZ174" s="2067">
        <f>0</f>
        <v>0</v>
      </c>
      <c r="BA174" s="2093">
        <f>1/(A_SFHFO_L*(A_MP/A_MFe))</f>
        <v>9.0148880913149121</v>
      </c>
      <c r="BB174" s="2067">
        <f>0</f>
        <v>0</v>
      </c>
      <c r="BC174" s="2067">
        <f>0</f>
        <v>0</v>
      </c>
      <c r="BD174" s="2067">
        <f>0</f>
        <v>0</v>
      </c>
      <c r="BE174" s="2093">
        <f>0</f>
        <v>0</v>
      </c>
      <c r="BF174" s="2067">
        <f>0</f>
        <v>0</v>
      </c>
      <c r="BG174" s="2067">
        <f>0</f>
        <v>0</v>
      </c>
      <c r="BH174" s="2093">
        <f>0</f>
        <v>0</v>
      </c>
      <c r="BI174" s="2067">
        <f>0</f>
        <v>0</v>
      </c>
      <c r="BJ174" s="2067">
        <f>0</f>
        <v>0</v>
      </c>
      <c r="BK174" s="2067">
        <f>0</f>
        <v>0</v>
      </c>
      <c r="BL174" s="2067">
        <f>0</f>
        <v>0</v>
      </c>
      <c r="BM174" s="2067">
        <f>0</f>
        <v>0</v>
      </c>
      <c r="BN174" s="2093">
        <f>0</f>
        <v>0</v>
      </c>
      <c r="BO174" s="2067">
        <f>0</f>
        <v>0</v>
      </c>
      <c r="BP174" s="2122">
        <f>0</f>
        <v>0</v>
      </c>
      <c r="BQ174" s="2122">
        <f>0</f>
        <v>0</v>
      </c>
      <c r="BR174" s="2122">
        <f>0</f>
        <v>0</v>
      </c>
      <c r="BS174" s="2122">
        <f>0</f>
        <v>0</v>
      </c>
      <c r="BT174" s="2067">
        <f>0</f>
        <v>0</v>
      </c>
      <c r="BU174" s="2067">
        <f>0</f>
        <v>0</v>
      </c>
      <c r="BV174" s="2067">
        <f>0</f>
        <v>0</v>
      </c>
      <c r="BW174" s="2093">
        <f>0</f>
        <v>0</v>
      </c>
      <c r="BX174" s="2093">
        <f>0</f>
        <v>0</v>
      </c>
      <c r="BY174" s="2093">
        <f>0</f>
        <v>0</v>
      </c>
      <c r="BZ174" s="2093">
        <f>0</f>
        <v>0</v>
      </c>
      <c r="CA174" s="2093">
        <f>0</f>
        <v>0</v>
      </c>
      <c r="CB174" s="2093">
        <f>0</f>
        <v>0</v>
      </c>
      <c r="CC174" s="2093">
        <f>0</f>
        <v>0</v>
      </c>
      <c r="CD174" s="2093">
        <f>0</f>
        <v>0</v>
      </c>
      <c r="CE174" s="2093">
        <f>0</f>
        <v>0</v>
      </c>
      <c r="CF174" s="2093">
        <f>0</f>
        <v>0</v>
      </c>
      <c r="CG174" s="2093">
        <f>0</f>
        <v>0</v>
      </c>
      <c r="CH174" s="2093">
        <f>0</f>
        <v>0</v>
      </c>
      <c r="CI174" s="2146">
        <f>q_P_HFO_BIND*X_HFO_L*M_satSPO4_KP_HFO_BIND</f>
        <v>8.3333333333333332E-51</v>
      </c>
      <c r="CK174" s="1950">
        <f>E210*E174+F210*F174+G210*G174+H210*H174+I210*I174+J210*J174+K210*K174+L210*L174+M210*M174+N210*N174+O210*O174+P210*P174+Q210*Q174+R210*R174+S210*S174+T210*T174+U210*U174+V210*V174+W210*W174+X210*X174+Y210*Y174+Z210*Z174+AA210*AA174+AB210*AB174+AC210*AC174+AD210*AD174+AE210*AE174+AF210*AF174+AG210*AG174+AH210*AH174+AI210*AI174+AJ210*AJ174+AK210*AK174+AL210*AL174+AM210*AM174+AN210*AN174+AO210*AO174+AP210*AP174+AQ210*AQ174+AR210*AR174+AS210*AS174+AT210*AT174+AU210*AU174+AV210*AV174+AW210*AW174+AX210*AX174+AY210*AY174+AZ210*AZ174+BA210*BA174+BB210*BB174+BC210*BC174+BD210*BD174+BE210*BE174+BF210*BF174+BG210*BG174+BH210*BH174+BI210*BI174+BJ210*BJ174+BK210*BK174+BL210*BL174+BM210*BM174+BN210*BN174+BO210*BO174+BP210*BP174+BQ210*BQ174+BR210*BR174+BS210*BS174+BT210*BT174+BU210*BU174+BV210*BV174+BW210*BW174+BX210*BX174+BY210*BY174+BZ210*BZ174+CA210*CA174+CB210*CB174+CC210*CC174+CD210*CD174+CE210*CE174+CF210*CF174+CG210*CG174+CH210*CH174</f>
        <v>0</v>
      </c>
      <c r="CL174" s="1950">
        <f>E211*E174+F211*F174+G211*G174+H211*H174+I211*I174+J211*J174+K211*K174+L211*L174+M211*M174+N211*N174+O211*O174+P211*P174+Q211*Q174+R211*R174+S211*S174+T211*T174+U211*U174+V211*V174+W211*W174+X211*X174+Y211*Y174+Z211*Z174+AA211*AA174+AB211*AB174+AC211*AC174+AD211*AD174+AE211*AE174+AF211*AF174+AG211*AG174+AH211*AH174+AI211*AI174+AJ211*AJ174+AK211*AK174+AL211*AL174+AM211*AM174+AN211*AN174+AO211*AO174+AP211*AP174+AQ211*AQ174+AR211*AR174+AS211*AS174+AT211*AT174+AU211*AU174+AV211*AV174+AW211*AW174+AX211*AX174+AY211*AY174+AZ211*AZ174+BA211*BA174+BB211*BB174+BC211*BC174+BD211*BD174+BE211*BE174+BF211*BF174+BG211*BG174+BH211*BH174+BI211*BI174+BJ211*BJ174+BK211*BK174+BL211*BL174+BM211*BM174+BN211*BN174+BO211*BO174+BP211*BP174+BQ211*BQ174+BR211*BR174+BS211*BS174+BT211*BT174+BU211*BU174+BV211*BV174+BW211*BW174+BX211*BX174+BY211*BY174+BZ211*BZ174+CA211*CA174+CB211*CB174+CC211*CC174+CD211*CD174+CE211*CE174+CF211*CF174+CG211*CG174+CH211*CH174</f>
        <v>0</v>
      </c>
      <c r="CM174" s="1951">
        <f>E212*E174+F212*F174+G212*G174+H212*H174+I212*I174+J212*J174+K212*K174+L212*L174+M212*M174+N212*N174+O212*O174+P212*P174+Q212*Q174+R212*R174+S212*S174+T212*T174+U212*U174+V212*V174+W212*W174+X212*X174+Y212*Y174+Z212*Z174+AA212*AA174+AB212*AB174+AC212*AC174+AD212*AD174+AE212*AE174+AF212*AF174+AG212*AG174+AH212*AH174+AI212*AI174+AJ212*AJ174+AK212*AK174+AL212*AL174+AM212*AM174+AN212*AN174+AO212*AO174+AP212*AP174+AQ212*AQ174+AR212*AR174+AS212*AS174+AT212*AT174+AU212*AU174+AV212*AV174+AW212*AW174+AX212*AX174+AY212*AY174+AZ212*AZ174+BA212*BA174+BB212*BB174+BC212*BC174+BD212*BD174+BE212*BE174+BF212*BF174+BG212*BG174+BH212*BH174+BI212*BI174+BJ212*BJ174+BK212*BK174+BL212*BL174+BM212*BM174+BN212*BN174+BO212*BO174+BP212*BP174+BQ212*BQ174+BR212*BR174+BS212*BS174+BT212*BT174+BU212*BU174+BV212*BV174+BW212*BW174+BX212*BX174+BY212*BY174+BZ212*BZ174+CA212*CA174+CB212*CB174+CC212*CC174+CD212*CD174+CE212*CE174+CF212*CF174+CG212*CG174+CH212*CH174</f>
        <v>0</v>
      </c>
      <c r="CN174" s="1952">
        <f>E213*E174+F213*F174+G213*G174+H213*H174+I213*I174+J213*J174+K213*K174+L213*L174+M213*M174+N213*N174+O213*O174+P213*P174+Q213*Q174+R213*R174+S213*S174+T213*T174+U213*U174+V213*V174+W213*W174+X213*X174+Y213*Y174+Z213*Z174+AA213*AA174+AB213*AB174+AC213*AC174+AD213*AD174+AE213*AE174+AF213*AF174+AG213*AG174+AH213*AH174+AI213*AI174+AJ213*AJ174+AK213*AK174+AL213*AL174+AM213*AM174+AN213*AN174+AO213*AO174+AP213*AP174+AQ213*AQ174+AR213*AR174+AS213*AS174+AT213*AT174+AU213*AU174+AV213*AV174+AW213*AW174+AX213*AX174+AY213*AY174+AZ213*AZ174+BA213*BA174+BB213*BB174+BC213*BC174+BD213*BD174+BE213*BE174+BF213*BF174+BG213*BG174+BH213*BH174+BI213*BI174+BJ213*BJ174+BK213*BK174+BL213*BL174+BM213*BM174+BN213*BN174+BO213*BO174+BP213*BP174+BQ213*BQ174+BR213*BR174+BS213*BS174+BT213*BT174+BU213*BU174+BV213*BV174+BW213*BW174+BX213*BX174+BY213*BY174+BZ213*BZ174+CA213*CA174+CB213*CB174+CC213*CC174+CD213*CD174+CE213*CE174+CF213*CF174+CG213*CG174+CH213*CH174</f>
        <v>0</v>
      </c>
      <c r="CO174" s="1952">
        <f>E214*E174+F214*F174+G214*G174+H214*H174+I214*I174+J214*J174+K214*K174+L214*L174+M214*M174+N214*N174+O214*O174+P214*P174+Q214*Q174+R214*R174+S214*S174+T214*T174+U214*U174+V214*V174+W214*W174+X214*X174+Y214*Y174+Z214*Z174+AA214*AA174+AB214*AB174+AC214*AC174+AD214*AD174+AE214*AE174+AF214*AF174+AG214*AG174+AH214*AH174+AI214*AI174+AJ214*AJ174+AK214*AK174+AL214*AL174+AM214*AM174+AN214*AN174+AO214*AO174+AP214*AP174+AQ214*AQ174+AR214*AR174+AS214*AS174+AT214*AT174+AU214*AU174+AV214*AV174+AW214*AW174+AX214*AX174+AY214*AY174+AZ214*AZ174+BA214*BA174+BB214*BB174+BC214*BC174+BD214*BD174+BE214*BE174+BF214*BF174+BG214*BG174+BH214*BH174+BI214*BI174+BJ214*BJ174+BK214*BK174+BL214*BL174+BM214*BM174+BN214*BN174+BO214*BO174+BP214*BP174+BQ214*BQ174+BR214*BR174+BS214*BS174+BT214*BT174+BU214*BU174+BV214*BV174+BW214*BW174+BX214*BX174+BY214*BY174+BZ214*BZ174+CA214*CA174+CB214*CB174+CC214*CC174+CD214*CD174+CE214*CE174+CF214*CF174+CG214*CG174+CH214*CH174</f>
        <v>0</v>
      </c>
      <c r="CP174" s="1952">
        <f>E215*E174+F215*F174+G215*G174+H215*H174+I215*I174+J215*J174+K215*K174+L215*L174+M215*M174+N215*N174+O215*O174+P215*P174+Q215*Q174+R215*R174+S215*S174+T215*T174+U215*U174+V215*V174+W215*W174+X215*X174+Y215*Y174+Z215*Z174+AA215*AA174+AB215*AB174+AC215*AC174+AD215*AD174+AE215*AE174+AF215*AF174+AG215*AG174+AH215*AH174+AI215*AI174+AJ215*AJ174+AK215*AK174+AL215*AL174+AM215*AM174+AN215*AN174+AO215*AO174+AP215*AP174+AQ215*AQ174+AR215*AR174+AS215*AS174+AT215*AT174+AU215*AU174+AV215*AV174+AW215*AW174+AX215*AX174+AY215*AY174+AZ215*AZ174+BA215*BA174+BB215*BB174+BC215*BC174+BD215*BD174+BE215*BE174+BF215*BF174+BG215*BG174+BH215*BH174+BI215*BI174+BJ215*BJ174+BK215*BK174+BL215*BL174+BM215*BM174+BN215*BN174+BO215*BO174+BP215*BP174+BQ215*BQ174+BR215*BR174+BS215*BS174+BT215*BT174+BU215*BU174+BV215*BV174+BW215*BW174+BX215*BX174+BY215*BY174+BZ215*BZ174+CA215*CA174+CB215*CB174+CC215*CC174+CD215*CD174+CE215*CE174+CF215*CF174+CG215*CG174+CH215*CH174</f>
        <v>0</v>
      </c>
      <c r="CQ174" s="1952">
        <f>E216*E174+F216*F174+G216*G174+H216*H174+I216*I174+J216*J174+K216*K174+L216*L174+M216*M174+N216*N174+O216*O174+P216*P174+Q216*Q174+R216*R174+S216*S174+T216*T174+U216*U174+V216*V174+W216*W174+X216*X174+Y216*Y174+Z216*Z174+AA216*AA174+AB216*AB174+AC216*AC174+AD216*AD174+AE216*AE174+AF216*AF174+AG216*AG174+AH216*AH174+AI216*AI174+AJ216*AJ174+AK216*AK174+AL216*AL174+AM216*AM174+AN216*AN174+AO216*AO174+AP216*AP174+AQ216*AQ174+AR216*AR174+AS216*AS174+AT216*AT174+AU216*AU174+AV216*AV174+AW216*AW174+AX216*AX174+AY216*AY174+AZ216*AZ174+BA216*BA174+BB216*BB174+BC216*BC174+BD216*BD174+BE216*BE174+BF216*BF174+BG216*BG174+BH216*BH174+BI216*BI174+BJ216*BJ174+BK216*BK174+BL216*BL174+BM216*BM174+BN216*BN174+BO216*BO174+BP216*BP174+BQ216*BQ174+BR216*BR174+BS216*BS174+BT216*BT174+BU216*BU174+BV216*BV174+BW216*BW174+BX216*BX174+BY216*BY174+BZ216*BZ174+CA216*CA174+CB216*CB174+CC216*CC174+CD216*CD174+CE216*CE174+CF216*CF174+CG216*CG174+CH216*CH174</f>
        <v>0</v>
      </c>
      <c r="CR174" s="1952">
        <f>E217*E174+F217*F174+G217*G174+H217*H174+I217*I174+J217*J174+K217*K174+L217*L174+M217*M174+N217*N174+O217*O174+P217*P174+Q217*Q174+R217*R174+S217*S174+T217*T174+U217*U174+V217*V174+W217*W174+X217*X174+Y217*Y174+Z217*Z174+AA217*AA174+AB217*AB174+AC217*AC174+AD217*AD174+AE217*AE174+AF217*AF174+AG217*AG174+AH217*AH174+AI217*AI174+AJ217*AJ174+AK217*AK174+AL217*AL174+AM217*AM174+AN217*AN174+AO217*AO174+AP217*AP174+AQ217*AQ174+AR217*AR174+AS217*AS174+AT217*AT174+AU217*AU174+AV217*AV174+AW217*AW174+AX217*AX174+AY217*AY174+AZ217*AZ174+BA217*BA174+BB217*BB174+BC217*BC174+BD217*BD174+BE217*BE174+BF217*BF174+BG217*BG174+BH217*BH174+BI217*BI174+BJ217*BJ174+BK217*BK174+BL217*BL174+BM217*BM174+BN217*BN174+BO217*BO174+BP217*BP174+BQ217*BQ174+BR217*BR174+BS217*BS174+BT217*BT174+BU217*BU174+BV217*BV174+BW217*BW174+BX217*BX174+BY217*BY174+BZ217*BZ174+CA217*CA174+CB217*CB174+CC217*CC174+CD217*CD174+CE217*CE174+CF217*CF174+CG217*CG174+CH217*CH174</f>
        <v>0</v>
      </c>
      <c r="CS174" s="1952">
        <f>E218*E174+F218*F174+G218*G174+H218*H174+I218*I174+J218*J174+K218*K174+L218*L174+M218*M174+N218*N174+O218*O174+P218*P174+Q218*Q174+R218*R174+S218*S174+T218*T174+U218*U174+V218*V174+W218*W174+X218*X174+Y218*Y174+Z218*Z174+AA218*AA174+AB218*AB174+AC218*AC174+AD218*AD174+AE218*AE174+AF218*AF174+AG218*AG174+AH218*AH174+AI218*AI174+AJ218*AJ174+AK218*AK174+AL218*AL174+AM218*AM174+AN218*AN174+AO218*AO174+AP218*AP174+AQ218*AQ174+AR218*AR174+AS218*AS174+AT218*AT174+AU218*AU174+AV218*AV174+AW218*AW174+AX218*AX174+AY218*AY174+AZ218*AZ174+BA218*BA174+BB218*BB174+BC218*BC174+BD218*BD174+BE218*BE174+BF218*BF174+BG218*BG174+BH218*BH174+BI218*BI174+BJ218*BJ174+BK218*BK174+BL218*BL174+BM218*BM174+BN218*BN174+BO218*BO174+BP218*BP174+BQ218*BQ174+BR218*BR174+BS218*BS174+BT218*BT174+BU218*BU174+BV218*BV174+BW218*BW174+BX218*BX174+BY218*BY174+BZ218*BZ174+CA218*CA174+CB218*CB174+CC218*CC174+CD218*CD174+CE218*CE174+CF218*CF174+CG218*CG174+CH218*CH174</f>
        <v>0</v>
      </c>
      <c r="CT174" s="1952">
        <f>E219*E174+F219*F174+G219*G174+H219*H174+I219*I174+J219*J174+K219*K174+L219*L174+M219*M174+N219*N174+O219*O174+P219*P174+Q219*Q174+R219*R174+S219*S174+T219*T174+U219*U174+V219*V174+W219*W174+X219*X174+Y219*Y174+Z219*Z174+AA219*AA174+AB219*AB174+AC219*AC174+AD219*AD174+AE219*AE174+AF219*AF174+AG219*AG174+AH219*AH174+AI219*AI174+AJ219*AJ174+AK219*AK174+AL219*AL174+AM219*AM174+AN219*AN174+AO219*AO174+AP219*AP174+AQ219*AQ174+AR219*AR174+AS219*AS174+AT219*AT174+AU219*AU174+AV219*AV174+AW219*AW174+AX219*AX174+AY219*AY174+AZ219*AZ174+BA219*BA174+BB219*BB174+BC219*BC174+BD219*BD174+BE219*BE174+BF219*BF174+BG219*BG174+BH219*BH174+BI219*BI174+BJ219*BJ174+BK219*BK174+BL219*BL174+BM219*BM174+BN219*BN174+BO219*BO174+BP219*BP174+BQ219*BQ174+BR219*BR174+BS219*BS174+BT219*BT174+BU219*BU174+BV219*BV174+BW219*BW174+BX219*BX174+BY219*BY174+BZ219*BZ174+CA219*CA174+CB219*CB174+CC219*CC174+CD219*CD174+CE219*CE174+CF219*CF174+CG219*CG174+CH219*CH174</f>
        <v>0</v>
      </c>
      <c r="CU174" s="1952">
        <f>E220*E174+F220*F174+G220*G174+H220*H174+I220*I174+J220*J174+K220*K174+L220*L174+M220*M174+N220*N174+O220*O174+P220*P174+Q220*Q174+R220*R174+S220*S174+T220*T174+U220*U174+V220*V174+W220*W174+X220*X174+Y220*Y174+Z220*Z174+AA220*AA174+AB220*AB174+AC220*AC174+AD220*AD174+AE220*AE174+AF220*AF174+AG220*AG174+AH220*AH174+AI220*AI174+AJ220*AJ174+AK220*AK174+AL220*AL174+AM220*AM174+AN220*AN174+AO220*AO174+AP220*AP174+AQ220*AQ174+AR220*AR174+AS220*AS174+AT220*AT174+AU220*AU174+AV220*AV174+AW220*AW174+AX220*AX174+AY220*AY174+AZ220*AZ174+BA220*BA174+BB220*BB174+BC220*BC174+BD220*BD174+BE220*BE174+BF220*BF174+BG220*BG174+BH220*BH174+BI220*BI174+BJ220*BJ174+BK220*BK174+BL220*BL174+BM220*BM174+BN220*BN174+BO220*BO174+BP220*BP174+BQ220*BQ174+BR220*BR174+BS220*BS174+BT220*BT174+BU220*BU174+BV220*BV174+BW220*BW174+BX220*BX174+BY220*BY174+BZ220*BZ174+CA220*CA174+CB220*CB174+CC220*CC174+CD220*CD174+CE220*CE174+CF220*CF174+CG220*CG174+CH220*CH174</f>
        <v>0</v>
      </c>
    </row>
    <row r="175" spans="2:99" ht="18" x14ac:dyDescent="0.25">
      <c r="B175" s="1048">
        <v>60</v>
      </c>
      <c r="C175" s="1129" t="s">
        <v>2185</v>
      </c>
      <c r="D175" s="1130" t="s">
        <v>3082</v>
      </c>
      <c r="E175" s="2067">
        <f>0</f>
        <v>0</v>
      </c>
      <c r="F175" s="2067">
        <f>0</f>
        <v>0</v>
      </c>
      <c r="G175" s="2067">
        <f>0</f>
        <v>0</v>
      </c>
      <c r="H175" s="2067">
        <f>0</f>
        <v>0</v>
      </c>
      <c r="I175" s="2085">
        <f>0</f>
        <v>0</v>
      </c>
      <c r="J175" s="2085">
        <f>0</f>
        <v>0</v>
      </c>
      <c r="K175" s="2067">
        <f>0</f>
        <v>0</v>
      </c>
      <c r="L175" s="2067">
        <f>0</f>
        <v>0</v>
      </c>
      <c r="M175" s="2067">
        <f>0</f>
        <v>0</v>
      </c>
      <c r="N175" s="2067">
        <f>0</f>
        <v>0</v>
      </c>
      <c r="O175" s="2067">
        <f>0</f>
        <v>0</v>
      </c>
      <c r="P175" s="2067">
        <f>0</f>
        <v>0</v>
      </c>
      <c r="Q175" s="2067">
        <f>0</f>
        <v>0</v>
      </c>
      <c r="R175" s="2093">
        <f>0</f>
        <v>0</v>
      </c>
      <c r="S175" s="2067">
        <f>0</f>
        <v>0</v>
      </c>
      <c r="T175" s="2067">
        <f>0</f>
        <v>0</v>
      </c>
      <c r="U175" s="2067">
        <f>0</f>
        <v>0</v>
      </c>
      <c r="V175" s="2067">
        <f>0</f>
        <v>0</v>
      </c>
      <c r="W175" s="2067">
        <f>0</f>
        <v>0</v>
      </c>
      <c r="X175" s="2067">
        <f>0</f>
        <v>0</v>
      </c>
      <c r="Y175" s="2067">
        <f>0</f>
        <v>0</v>
      </c>
      <c r="Z175" s="2067">
        <f>0</f>
        <v>0</v>
      </c>
      <c r="AA175" s="2067">
        <f>0</f>
        <v>0</v>
      </c>
      <c r="AB175" s="2067">
        <f>0</f>
        <v>0</v>
      </c>
      <c r="AC175" s="2085">
        <f>0</f>
        <v>0</v>
      </c>
      <c r="AD175" s="2085">
        <f>0</f>
        <v>0</v>
      </c>
      <c r="AE175" s="2067">
        <f>0</f>
        <v>0</v>
      </c>
      <c r="AF175" s="2093">
        <f>(A_SFHFO_H*(A_MP/A_MFe))</f>
        <v>0.66556566639806602</v>
      </c>
      <c r="AG175" s="2067">
        <f>0</f>
        <v>0</v>
      </c>
      <c r="AH175" s="2067">
        <f>0</f>
        <v>0</v>
      </c>
      <c r="AI175" s="2085">
        <f>0</f>
        <v>0</v>
      </c>
      <c r="AJ175" s="2085">
        <f>0</f>
        <v>0</v>
      </c>
      <c r="AK175" s="2067">
        <f>0</f>
        <v>0</v>
      </c>
      <c r="AL175" s="2067">
        <f>0</f>
        <v>0</v>
      </c>
      <c r="AM175" s="2067">
        <f>0</f>
        <v>0</v>
      </c>
      <c r="AN175" s="2067">
        <f>0</f>
        <v>0</v>
      </c>
      <c r="AO175" s="2067">
        <f>0</f>
        <v>0</v>
      </c>
      <c r="AP175" s="2067">
        <f>0</f>
        <v>0</v>
      </c>
      <c r="AQ175" s="2067">
        <f>0</f>
        <v>0</v>
      </c>
      <c r="AR175" s="2067">
        <f>0</f>
        <v>0</v>
      </c>
      <c r="AS175" s="2067">
        <f>0</f>
        <v>0</v>
      </c>
      <c r="AT175" s="2067">
        <f>0</f>
        <v>0</v>
      </c>
      <c r="AU175" s="2067">
        <f>0</f>
        <v>0</v>
      </c>
      <c r="AV175" s="2093">
        <f>0</f>
        <v>0</v>
      </c>
      <c r="AW175" s="2067">
        <f>1</f>
        <v>1</v>
      </c>
      <c r="AX175" s="2067">
        <f>0</f>
        <v>0</v>
      </c>
      <c r="AY175" s="2093">
        <f>0</f>
        <v>0</v>
      </c>
      <c r="AZ175" s="2093">
        <f>-1</f>
        <v>-1</v>
      </c>
      <c r="BA175" s="2067">
        <f>0</f>
        <v>0</v>
      </c>
      <c r="BB175" s="2093">
        <f>0</f>
        <v>0</v>
      </c>
      <c r="BC175" s="2093">
        <f>0</f>
        <v>0</v>
      </c>
      <c r="BD175" s="2067">
        <f>0</f>
        <v>0</v>
      </c>
      <c r="BE175" s="2067">
        <f>0</f>
        <v>0</v>
      </c>
      <c r="BF175" s="2093">
        <f>0</f>
        <v>0</v>
      </c>
      <c r="BG175" s="2093">
        <f>0</f>
        <v>0</v>
      </c>
      <c r="BH175" s="2067">
        <f>0</f>
        <v>0</v>
      </c>
      <c r="BI175" s="2093">
        <f>0</f>
        <v>0</v>
      </c>
      <c r="BJ175" s="2093">
        <f>0</f>
        <v>0</v>
      </c>
      <c r="BK175" s="2093">
        <f>0</f>
        <v>0</v>
      </c>
      <c r="BL175" s="2093">
        <f>0</f>
        <v>0</v>
      </c>
      <c r="BM175" s="2093">
        <f>0</f>
        <v>0</v>
      </c>
      <c r="BN175" s="2093">
        <f>0</f>
        <v>0</v>
      </c>
      <c r="BO175" s="2093">
        <f>0</f>
        <v>0</v>
      </c>
      <c r="BP175" s="2123">
        <f>0</f>
        <v>0</v>
      </c>
      <c r="BQ175" s="2123">
        <f>0</f>
        <v>0</v>
      </c>
      <c r="BR175" s="2123">
        <f>0</f>
        <v>0</v>
      </c>
      <c r="BS175" s="2123">
        <f>0</f>
        <v>0</v>
      </c>
      <c r="BT175" s="2093">
        <f>0</f>
        <v>0</v>
      </c>
      <c r="BU175" s="2093">
        <f>0</f>
        <v>0</v>
      </c>
      <c r="BV175" s="2093">
        <f>0</f>
        <v>0</v>
      </c>
      <c r="BW175" s="2093">
        <f>0</f>
        <v>0</v>
      </c>
      <c r="BX175" s="2093">
        <f>0</f>
        <v>0</v>
      </c>
      <c r="BY175" s="2093">
        <f>0</f>
        <v>0</v>
      </c>
      <c r="BZ175" s="2093">
        <f>0</f>
        <v>0</v>
      </c>
      <c r="CA175" s="2093">
        <f>0</f>
        <v>0</v>
      </c>
      <c r="CB175" s="2093">
        <f>0</f>
        <v>0</v>
      </c>
      <c r="CC175" s="2093">
        <f>0</f>
        <v>0</v>
      </c>
      <c r="CD175" s="2093">
        <f>0</f>
        <v>0</v>
      </c>
      <c r="CE175" s="2093">
        <f>0</f>
        <v>0</v>
      </c>
      <c r="CF175" s="2093">
        <f>0</f>
        <v>0</v>
      </c>
      <c r="CG175" s="2093">
        <f>0</f>
        <v>0</v>
      </c>
      <c r="CH175" s="2093">
        <f>0</f>
        <v>0</v>
      </c>
      <c r="CI175" s="2146">
        <f>q_HFOH_DESORP*X_HFO_H_P*M_inhSPO4_KiP_HFO_DESORP</f>
        <v>1.6666666666666669E-49</v>
      </c>
      <c r="CK175" s="1950">
        <f>E210*E175+F210*F175+G210*G175+H210*H175+I210*I175+J210*J175+K210*K175+L210*L175+M210*M175+N210*N175+O210*O175+P210*P175+Q210*Q175+R210*R175+S210*S175+T210*T175+U210*U175+V210*V175+W210*W175+X210*X175+Y210*Y175+Z210*Z175+AA210*AA175+AB210*AB175+AC210*AC175+AD210*AD175+AE210*AE175+AF210*AF175+AG210*AG175+AH210*AH175+AI210*AI175+AJ210*AJ175+AK210*AK175+AL210*AL175+AM210*AM175+AN210*AN175+AO210*AO175+AP210*AP175+AQ210*AQ175+AR210*AR175+AS210*AS175+AT210*AT175+AU210*AU175+AV210*AV175+AW210*AW175+AX210*AX175+AY210*AY175+AZ210*AZ175+BA210*BA175+BB210*BB175+BC210*BC175+BD210*BD175+BE210*BE175+BF210*BF175+BG210*BG175+BH210*BH175+BI210*BI175+BJ210*BJ175+BK210*BK175+BL210*BL175+BM210*BM175+BN210*BN175+BO210*BO175+BP210*BP175+BQ210*BQ175+BR210*BR175+BS210*BS175+BT210*BT175+BU210*BU175+BV210*BV175+BW210*BW175+BX210*BX175+BY210*BY175+BZ210*BZ175+CA210*CA175+CB210*CB175+CC210*CC175+CD210*CD175+CE210*CE175+CF210*CF175+CG210*CG175+CH210*CH175</f>
        <v>0</v>
      </c>
      <c r="CL175" s="1950">
        <f>E211*E175+F211*F175+G211*G175+H211*H175+I211*I175+J211*J175+K211*K175+L211*L175+M211*M175+N211*N175+O211*O175+P211*P175+Q211*Q175+R211*R175+S211*S175+T211*T175+U211*U175+V211*V175+W211*W175+X211*X175+Y211*Y175+Z211*Z175+AA211*AA175+AB211*AB175+AC211*AC175+AD211*AD175+AE211*AE175+AF211*AF175+AG211*AG175+AH211*AH175+AI211*AI175+AJ211*AJ175+AK211*AK175+AL211*AL175+AM211*AM175+AN211*AN175+AO211*AO175+AP211*AP175+AQ211*AQ175+AR211*AR175+AS211*AS175+AT211*AT175+AU211*AU175+AV211*AV175+AW211*AW175+AX211*AX175+AY211*AY175+AZ211*AZ175+BA211*BA175+BB211*BB175+BC211*BC175+BD211*BD175+BE211*BE175+BF211*BF175+BG211*BG175+BH211*BH175+BI211*BI175+BJ211*BJ175+BK211*BK175+BL211*BL175+BM211*BM175+BN211*BN175+BO211*BO175+BP211*BP175+BQ211*BQ175+BR211*BR175+BS211*BS175+BT211*BT175+BU211*BU175+BV211*BV175+BW211*BW175+BX211*BX175+BY211*BY175+BZ211*BZ175+CA211*CA175+CB211*CB175+CC211*CC175+CD211*CD175+CE211*CE175+CF211*CF175+CG211*CG175+CH211*CH175</f>
        <v>0</v>
      </c>
      <c r="CM175" s="1951">
        <f>E212*E175+F212*F175+G212*G175+H212*H175+I212*I175+J212*J175+K212*K175+L212*L175+M212*M175+N212*N175+O212*O175+P212*P175+Q212*Q175+R212*R175+S212*S175+T212*T175+U212*U175+V212*V175+W212*W175+X212*X175+Y212*Y175+Z212*Z175+AA212*AA175+AB212*AB175+AC212*AC175+AD212*AD175+AE212*AE175+AF212*AF175+AG212*AG175+AH212*AH175+AI212*AI175+AJ212*AJ175+AK212*AK175+AL212*AL175+AM212*AM175+AN212*AN175+AO212*AO175+AP212*AP175+AQ212*AQ175+AR212*AR175+AS212*AS175+AT212*AT175+AU212*AU175+AV212*AV175+AW212*AW175+AX212*AX175+AY212*AY175+AZ212*AZ175+BA212*BA175+BB212*BB175+BC212*BC175+BD212*BD175+BE212*BE175+BF212*BF175+BG212*BG175+BH212*BH175+BI212*BI175+BJ212*BJ175+BK212*BK175+BL212*BL175+BM212*BM175+BN212*BN175+BO212*BO175+BP212*BP175+BQ212*BQ175+BR212*BR175+BS212*BS175+BT212*BT175+BU212*BU175+BV212*BV175+BW212*BW175+BX212*BX175+BY212*BY175+BZ212*BZ175+CA212*CA175+CB212*CB175+CC212*CC175+CD212*CD175+CE212*CE175+CF212*CF175+CG212*CG175+CH212*CH175</f>
        <v>0</v>
      </c>
      <c r="CN175" s="1952">
        <f>E213*E175+F213*F175+G213*G175+H213*H175+I213*I175+J213*J175+K213*K175+L213*L175+M213*M175+N213*N175+O213*O175+P213*P175+Q213*Q175+R213*R175+S213*S175+T213*T175+U213*U175+V213*V175+W213*W175+X213*X175+Y213*Y175+Z213*Z175+AA213*AA175+AB213*AB175+AC213*AC175+AD213*AD175+AE213*AE175+AF213*AF175+AG213*AG175+AH213*AH175+AI213*AI175+AJ213*AJ175+AK213*AK175+AL213*AL175+AM213*AM175+AN213*AN175+AO213*AO175+AP213*AP175+AQ213*AQ175+AR213*AR175+AS213*AS175+AT213*AT175+AU213*AU175+AV213*AV175+AW213*AW175+AX213*AX175+AY213*AY175+AZ213*AZ175+BA213*BA175+BB213*BB175+BC213*BC175+BD213*BD175+BE213*BE175+BF213*BF175+BG213*BG175+BH213*BH175+BI213*BI175+BJ213*BJ175+BK213*BK175+BL213*BL175+BM213*BM175+BN213*BN175+BO213*BO175+BP213*BP175+BQ213*BQ175+BR213*BR175+BS213*BS175+BT213*BT175+BU213*BU175+BV213*BV175+BW213*BW175+BX213*BX175+BY213*BY175+BZ213*BZ175+CA213*CA175+CB213*CB175+CC213*CC175+CD213*CD175+CE213*CE175+CF213*CF175+CG213*CG175+CH213*CH175</f>
        <v>0</v>
      </c>
      <c r="CO175" s="1952">
        <f>E214*E175+F214*F175+G214*G175+H214*H175+I214*I175+J214*J175+K214*K175+L214*L175+M214*M175+N214*N175+O214*O175+P214*P175+Q214*Q175+R214*R175+S214*S175+T214*T175+U214*U175+V214*V175+W214*W175+X214*X175+Y214*Y175+Z214*Z175+AA214*AA175+AB214*AB175+AC214*AC175+AD214*AD175+AE214*AE175+AF214*AF175+AG214*AG175+AH214*AH175+AI214*AI175+AJ214*AJ175+AK214*AK175+AL214*AL175+AM214*AM175+AN214*AN175+AO214*AO175+AP214*AP175+AQ214*AQ175+AR214*AR175+AS214*AS175+AT214*AT175+AU214*AU175+AV214*AV175+AW214*AW175+AX214*AX175+AY214*AY175+AZ214*AZ175+BA214*BA175+BB214*BB175+BC214*BC175+BD214*BD175+BE214*BE175+BF214*BF175+BG214*BG175+BH214*BH175+BI214*BI175+BJ214*BJ175+BK214*BK175+BL214*BL175+BM214*BM175+BN214*BN175+BO214*BO175+BP214*BP175+BQ214*BQ175+BR214*BR175+BS214*BS175+BT214*BT175+BU214*BU175+BV214*BV175+BW214*BW175+BX214*BX175+BY214*BY175+BZ214*BZ175+CA214*CA175+CB214*CB175+CC214*CC175+CD214*CD175+CE214*CE175+CF214*CF175+CG214*CG175+CH214*CH175</f>
        <v>0</v>
      </c>
      <c r="CP175" s="1952">
        <f>E215*E175+F215*F175+G215*G175+H215*H175+I215*I175+J215*J175+K215*K175+L215*L175+M215*M175+N215*N175+O215*O175+P215*P175+Q215*Q175+R215*R175+S215*S175+T215*T175+U215*U175+V215*V175+W215*W175+X215*X175+Y215*Y175+Z215*Z175+AA215*AA175+AB215*AB175+AC215*AC175+AD215*AD175+AE215*AE175+AF215*AF175+AG215*AG175+AH215*AH175+AI215*AI175+AJ215*AJ175+AK215*AK175+AL215*AL175+AM215*AM175+AN215*AN175+AO215*AO175+AP215*AP175+AQ215*AQ175+AR215*AR175+AS215*AS175+AT215*AT175+AU215*AU175+AV215*AV175+AW215*AW175+AX215*AX175+AY215*AY175+AZ215*AZ175+BA215*BA175+BB215*BB175+BC215*BC175+BD215*BD175+BE215*BE175+BF215*BF175+BG215*BG175+BH215*BH175+BI215*BI175+BJ215*BJ175+BK215*BK175+BL215*BL175+BM215*BM175+BN215*BN175+BO215*BO175+BP215*BP175+BQ215*BQ175+BR215*BR175+BS215*BS175+BT215*BT175+BU215*BU175+BV215*BV175+BW215*BW175+BX215*BX175+BY215*BY175+BZ215*BZ175+CA215*CA175+CB215*CB175+CC215*CC175+CD215*CD175+CE215*CE175+CF215*CF175+CG215*CG175+CH215*CH175</f>
        <v>0</v>
      </c>
      <c r="CQ175" s="1952">
        <f>E216*E175+F216*F175+G216*G175+H216*H175+I216*I175+J216*J175+K216*K175+L216*L175+M216*M175+N216*N175+O216*O175+P216*P175+Q216*Q175+R216*R175+S216*S175+T216*T175+U216*U175+V216*V175+W216*W175+X216*X175+Y216*Y175+Z216*Z175+AA216*AA175+AB216*AB175+AC216*AC175+AD216*AD175+AE216*AE175+AF216*AF175+AG216*AG175+AH216*AH175+AI216*AI175+AJ216*AJ175+AK216*AK175+AL216*AL175+AM216*AM175+AN216*AN175+AO216*AO175+AP216*AP175+AQ216*AQ175+AR216*AR175+AS216*AS175+AT216*AT175+AU216*AU175+AV216*AV175+AW216*AW175+AX216*AX175+AY216*AY175+AZ216*AZ175+BA216*BA175+BB216*BB175+BC216*BC175+BD216*BD175+BE216*BE175+BF216*BF175+BG216*BG175+BH216*BH175+BI216*BI175+BJ216*BJ175+BK216*BK175+BL216*BL175+BM216*BM175+BN216*BN175+BO216*BO175+BP216*BP175+BQ216*BQ175+BR216*BR175+BS216*BS175+BT216*BT175+BU216*BU175+BV216*BV175+BW216*BW175+BX216*BX175+BY216*BY175+BZ216*BZ175+CA216*CA175+CB216*CB175+CC216*CC175+CD216*CD175+CE216*CE175+CF216*CF175+CG216*CG175+CH216*CH175</f>
        <v>0</v>
      </c>
      <c r="CR175" s="1952">
        <f>E217*E175+F217*F175+G217*G175+H217*H175+I217*I175+J217*J175+K217*K175+L217*L175+M217*M175+N217*N175+O217*O175+P217*P175+Q217*Q175+R217*R175+S217*S175+T217*T175+U217*U175+V217*V175+W217*W175+X217*X175+Y217*Y175+Z217*Z175+AA217*AA175+AB217*AB175+AC217*AC175+AD217*AD175+AE217*AE175+AF217*AF175+AG217*AG175+AH217*AH175+AI217*AI175+AJ217*AJ175+AK217*AK175+AL217*AL175+AM217*AM175+AN217*AN175+AO217*AO175+AP217*AP175+AQ217*AQ175+AR217*AR175+AS217*AS175+AT217*AT175+AU217*AU175+AV217*AV175+AW217*AW175+AX217*AX175+AY217*AY175+AZ217*AZ175+BA217*BA175+BB217*BB175+BC217*BC175+BD217*BD175+BE217*BE175+BF217*BF175+BG217*BG175+BH217*BH175+BI217*BI175+BJ217*BJ175+BK217*BK175+BL217*BL175+BM217*BM175+BN217*BN175+BO217*BO175+BP217*BP175+BQ217*BQ175+BR217*BR175+BS217*BS175+BT217*BT175+BU217*BU175+BV217*BV175+BW217*BW175+BX217*BX175+BY217*BY175+BZ217*BZ175+CA217*CA175+CB217*CB175+CC217*CC175+CD217*CD175+CE217*CE175+CF217*CF175+CG217*CG175+CH217*CH175</f>
        <v>0</v>
      </c>
      <c r="CS175" s="1952">
        <f>E218*E175+F218*F175+G218*G175+H218*H175+I218*I175+J218*J175+K218*K175+L218*L175+M218*M175+N218*N175+O218*O175+P218*P175+Q218*Q175+R218*R175+S218*S175+T218*T175+U218*U175+V218*V175+W218*W175+X218*X175+Y218*Y175+Z218*Z175+AA218*AA175+AB218*AB175+AC218*AC175+AD218*AD175+AE218*AE175+AF218*AF175+AG218*AG175+AH218*AH175+AI218*AI175+AJ218*AJ175+AK218*AK175+AL218*AL175+AM218*AM175+AN218*AN175+AO218*AO175+AP218*AP175+AQ218*AQ175+AR218*AR175+AS218*AS175+AT218*AT175+AU218*AU175+AV218*AV175+AW218*AW175+AX218*AX175+AY218*AY175+AZ218*AZ175+BA218*BA175+BB218*BB175+BC218*BC175+BD218*BD175+BE218*BE175+BF218*BF175+BG218*BG175+BH218*BH175+BI218*BI175+BJ218*BJ175+BK218*BK175+BL218*BL175+BM218*BM175+BN218*BN175+BO218*BO175+BP218*BP175+BQ218*BQ175+BR218*BR175+BS218*BS175+BT218*BT175+BU218*BU175+BV218*BV175+BW218*BW175+BX218*BX175+BY218*BY175+BZ218*BZ175+CA218*CA175+CB218*CB175+CC218*CC175+CD218*CD175+CE218*CE175+CF218*CF175+CG218*CG175+CH218*CH175</f>
        <v>0</v>
      </c>
      <c r="CT175" s="1952">
        <f>E219*E175+F219*F175+G219*G175+H219*H175+I219*I175+J219*J175+K219*K175+L219*L175+M219*M175+N219*N175+O219*O175+P219*P175+Q219*Q175+R219*R175+S219*S175+T219*T175+U219*U175+V219*V175+W219*W175+X219*X175+Y219*Y175+Z219*Z175+AA219*AA175+AB219*AB175+AC219*AC175+AD219*AD175+AE219*AE175+AF219*AF175+AG219*AG175+AH219*AH175+AI219*AI175+AJ219*AJ175+AK219*AK175+AL219*AL175+AM219*AM175+AN219*AN175+AO219*AO175+AP219*AP175+AQ219*AQ175+AR219*AR175+AS219*AS175+AT219*AT175+AU219*AU175+AV219*AV175+AW219*AW175+AX219*AX175+AY219*AY175+AZ219*AZ175+BA219*BA175+BB219*BB175+BC219*BC175+BD219*BD175+BE219*BE175+BF219*BF175+BG219*BG175+BH219*BH175+BI219*BI175+BJ219*BJ175+BK219*BK175+BL219*BL175+BM219*BM175+BN219*BN175+BO219*BO175+BP219*BP175+BQ219*BQ175+BR219*BR175+BS219*BS175+BT219*BT175+BU219*BU175+BV219*BV175+BW219*BW175+BX219*BX175+BY219*BY175+BZ219*BZ175+CA219*CA175+CB219*CB175+CC219*CC175+CD219*CD175+CE219*CE175+CF219*CF175+CG219*CG175+CH219*CH175</f>
        <v>0</v>
      </c>
      <c r="CU175" s="1952">
        <f>E220*E175+F220*F175+G220*G175+H220*H175+I220*I175+J220*J175+K220*K175+L220*L175+M220*M175+N220*N175+O220*O175+P220*P175+Q220*Q175+R220*R175+S220*S175+T220*T175+U220*U175+V220*V175+W220*W175+X220*X175+Y220*Y175+Z220*Z175+AA220*AA175+AB220*AB175+AC220*AC175+AD220*AD175+AE220*AE175+AF220*AF175+AG220*AG175+AH220*AH175+AI220*AI175+AJ220*AJ175+AK220*AK175+AL220*AL175+AM220*AM175+AN220*AN175+AO220*AO175+AP220*AP175+AQ220*AQ175+AR220*AR175+AS220*AS175+AT220*AT175+AU220*AU175+AV220*AV175+AW220*AW175+AX220*AX175+AY220*AY175+AZ220*AZ175+BA220*BA175+BB220*BB175+BC220*BC175+BD220*BD175+BE220*BE175+BF220*BF175+BG220*BG175+BH220*BH175+BI220*BI175+BJ220*BJ175+BK220*BK175+BL220*BL175+BM220*BM175+BN220*BN175+BO220*BO175+BP220*BP175+BQ220*BQ175+BR220*BR175+BS220*BS175+BT220*BT175+BU220*BU175+BV220*BV175+BW220*BW175+BX220*BX175+BY220*BY175+BZ220*BZ175+CA220*CA175+CB220*CB175+CC220*CC175+CD220*CD175+CE220*CE175+CF220*CF175+CG220*CG175+CH220*CH175</f>
        <v>0</v>
      </c>
    </row>
    <row r="176" spans="2:99" ht="18" x14ac:dyDescent="0.25">
      <c r="B176" s="1048">
        <v>61</v>
      </c>
      <c r="C176" s="1129" t="s">
        <v>2186</v>
      </c>
      <c r="D176" s="1130" t="s">
        <v>3083</v>
      </c>
      <c r="E176" s="2067">
        <f>0</f>
        <v>0</v>
      </c>
      <c r="F176" s="2067">
        <f>0</f>
        <v>0</v>
      </c>
      <c r="G176" s="2067">
        <f>0</f>
        <v>0</v>
      </c>
      <c r="H176" s="2067">
        <f>0</f>
        <v>0</v>
      </c>
      <c r="I176" s="2085">
        <f>0</f>
        <v>0</v>
      </c>
      <c r="J176" s="2085">
        <f>0</f>
        <v>0</v>
      </c>
      <c r="K176" s="2067">
        <f>0</f>
        <v>0</v>
      </c>
      <c r="L176" s="2067">
        <f>0</f>
        <v>0</v>
      </c>
      <c r="M176" s="2067">
        <f>0</f>
        <v>0</v>
      </c>
      <c r="N176" s="2067">
        <f>0</f>
        <v>0</v>
      </c>
      <c r="O176" s="2067">
        <f>0</f>
        <v>0</v>
      </c>
      <c r="P176" s="2067">
        <f>0</f>
        <v>0</v>
      </c>
      <c r="Q176" s="2067">
        <f>0</f>
        <v>0</v>
      </c>
      <c r="R176" s="2093">
        <f>0</f>
        <v>0</v>
      </c>
      <c r="S176" s="2067">
        <f>0</f>
        <v>0</v>
      </c>
      <c r="T176" s="2067">
        <f>0</f>
        <v>0</v>
      </c>
      <c r="U176" s="2067">
        <f>0</f>
        <v>0</v>
      </c>
      <c r="V176" s="2067">
        <f>0</f>
        <v>0</v>
      </c>
      <c r="W176" s="2067">
        <f>0</f>
        <v>0</v>
      </c>
      <c r="X176" s="2067">
        <f>0</f>
        <v>0</v>
      </c>
      <c r="Y176" s="2067">
        <f>0</f>
        <v>0</v>
      </c>
      <c r="Z176" s="2067">
        <f>0</f>
        <v>0</v>
      </c>
      <c r="AA176" s="2067">
        <f>0</f>
        <v>0</v>
      </c>
      <c r="AB176" s="2067">
        <f>0</f>
        <v>0</v>
      </c>
      <c r="AC176" s="2085">
        <f>0</f>
        <v>0</v>
      </c>
      <c r="AD176" s="2085">
        <f>0</f>
        <v>0</v>
      </c>
      <c r="AE176" s="2067">
        <f>0</f>
        <v>0</v>
      </c>
      <c r="AF176" s="2093">
        <f>(A_SFHFO_L*(A_MP/A_MFe))</f>
        <v>0.11092761106634436</v>
      </c>
      <c r="AG176" s="2067">
        <f>0</f>
        <v>0</v>
      </c>
      <c r="AH176" s="2067">
        <f>0</f>
        <v>0</v>
      </c>
      <c r="AI176" s="2085">
        <f>0</f>
        <v>0</v>
      </c>
      <c r="AJ176" s="2085">
        <f>0</f>
        <v>0</v>
      </c>
      <c r="AK176" s="2067">
        <f>0</f>
        <v>0</v>
      </c>
      <c r="AL176" s="2067">
        <f>0</f>
        <v>0</v>
      </c>
      <c r="AM176" s="2067">
        <f>0</f>
        <v>0</v>
      </c>
      <c r="AN176" s="2067">
        <f>0</f>
        <v>0</v>
      </c>
      <c r="AO176" s="2067">
        <f>0</f>
        <v>0</v>
      </c>
      <c r="AP176" s="2067">
        <f>0</f>
        <v>0</v>
      </c>
      <c r="AQ176" s="2067">
        <f>0</f>
        <v>0</v>
      </c>
      <c r="AR176" s="2067">
        <f>0</f>
        <v>0</v>
      </c>
      <c r="AS176" s="2067">
        <f>0</f>
        <v>0</v>
      </c>
      <c r="AT176" s="2067">
        <f>0</f>
        <v>0</v>
      </c>
      <c r="AU176" s="2067">
        <f>0</f>
        <v>0</v>
      </c>
      <c r="AV176" s="2093">
        <f>0</f>
        <v>0</v>
      </c>
      <c r="AW176" s="2067">
        <f>0</f>
        <v>0</v>
      </c>
      <c r="AX176" s="2067">
        <f>1</f>
        <v>1</v>
      </c>
      <c r="AY176" s="2093">
        <f>0</f>
        <v>0</v>
      </c>
      <c r="AZ176" s="2093">
        <f>0</f>
        <v>0</v>
      </c>
      <c r="BA176" s="2067">
        <f>-1</f>
        <v>-1</v>
      </c>
      <c r="BB176" s="2093">
        <f>0</f>
        <v>0</v>
      </c>
      <c r="BC176" s="2093">
        <f>0</f>
        <v>0</v>
      </c>
      <c r="BD176" s="2067">
        <f>0</f>
        <v>0</v>
      </c>
      <c r="BE176" s="2067">
        <f>0</f>
        <v>0</v>
      </c>
      <c r="BF176" s="2093">
        <f>0</f>
        <v>0</v>
      </c>
      <c r="BG176" s="2093">
        <f>0</f>
        <v>0</v>
      </c>
      <c r="BH176" s="2067">
        <f>0</f>
        <v>0</v>
      </c>
      <c r="BI176" s="2093">
        <f>0</f>
        <v>0</v>
      </c>
      <c r="BJ176" s="2093">
        <f>0</f>
        <v>0</v>
      </c>
      <c r="BK176" s="2093">
        <f>0</f>
        <v>0</v>
      </c>
      <c r="BL176" s="2093">
        <f>0</f>
        <v>0</v>
      </c>
      <c r="BM176" s="2093">
        <f>0</f>
        <v>0</v>
      </c>
      <c r="BN176" s="2093">
        <f>0</f>
        <v>0</v>
      </c>
      <c r="BO176" s="2093">
        <f>0</f>
        <v>0</v>
      </c>
      <c r="BP176" s="2123">
        <f>0</f>
        <v>0</v>
      </c>
      <c r="BQ176" s="2123">
        <f>0</f>
        <v>0</v>
      </c>
      <c r="BR176" s="2123">
        <f>0</f>
        <v>0</v>
      </c>
      <c r="BS176" s="2123">
        <f>0</f>
        <v>0</v>
      </c>
      <c r="BT176" s="2093">
        <f>0</f>
        <v>0</v>
      </c>
      <c r="BU176" s="2093">
        <f>0</f>
        <v>0</v>
      </c>
      <c r="BV176" s="2093">
        <f>0</f>
        <v>0</v>
      </c>
      <c r="BW176" s="2093">
        <f>0</f>
        <v>0</v>
      </c>
      <c r="BX176" s="2093">
        <f>0</f>
        <v>0</v>
      </c>
      <c r="BY176" s="2093">
        <f>0</f>
        <v>0</v>
      </c>
      <c r="BZ176" s="2093">
        <f>0</f>
        <v>0</v>
      </c>
      <c r="CA176" s="2093">
        <f>0</f>
        <v>0</v>
      </c>
      <c r="CB176" s="2093">
        <f>0</f>
        <v>0</v>
      </c>
      <c r="CC176" s="2093">
        <f>0</f>
        <v>0</v>
      </c>
      <c r="CD176" s="2093">
        <f>0</f>
        <v>0</v>
      </c>
      <c r="CE176" s="2093">
        <f>0</f>
        <v>0</v>
      </c>
      <c r="CF176" s="2093">
        <f>0</f>
        <v>0</v>
      </c>
      <c r="CG176" s="2093">
        <f>0</f>
        <v>0</v>
      </c>
      <c r="CH176" s="2093">
        <f>0</f>
        <v>0</v>
      </c>
      <c r="CI176" s="2146">
        <f>q_HFOL_DESORP*X_HFO_L_P*M_inhSPO4_KiP_HFO_DESORP</f>
        <v>1.6666666666666666E-50</v>
      </c>
      <c r="CK176" s="1950">
        <f>E210*E176+F210*F176+G210*G176+H210*H176+I210*I176+J210*J176+K210*K176+L210*L176+M210*M176+N210*N176+O210*O176+P210*P176+Q210*Q176+R210*R176+S210*S176+T210*T176+U210*U176+V210*V176+W210*W176+X210*X176+Y210*Y176+Z210*Z176+AA210*AA176+AB210*AB176+AC210*AC176+AD210*AD176+AE210*AE176+AF210*AF176+AG210*AG176+AH210*AH176+AI210*AI176+AJ210*AJ176+AK210*AK176+AL210*AL176+AM210*AM176+AN210*AN176+AO210*AO176+AP210*AP176+AQ210*AQ176+AR210*AR176+AS210*AS176+AT210*AT176+AU210*AU176+AV210*AV176+AW210*AW176+AX210*AX176+AY210*AY176+AZ210*AZ176+BA210*BA176+BB210*BB176+BC210*BC176+BD210*BD176+BE210*BE176+BF210*BF176+BG210*BG176+BH210*BH176+BI210*BI176+BJ210*BJ176+BK210*BK176+BL210*BL176+BM210*BM176+BN210*BN176+BO210*BO176+BP210*BP176+BQ210*BQ176+BR210*BR176+BS210*BS176+BT210*BT176+BU210*BU176+BV210*BV176+BW210*BW176+BX210*BX176+BY210*BY176+BZ210*BZ176+CA210*CA176+CB210*CB176+CC210*CC176+CD210*CD176+CE210*CE176+CF210*CF176+CG210*CG176+CH210*CH176</f>
        <v>0</v>
      </c>
      <c r="CL176" s="1950">
        <f>E211*E176+F211*F176+G211*G176+H211*H176+I211*I176+J211*J176+K211*K176+L211*L176+M211*M176+N211*N176+O211*O176+P211*P176+Q211*Q176+R211*R176+S211*S176+T211*T176+U211*U176+V211*V176+W211*W176+X211*X176+Y211*Y176+Z211*Z176+AA211*AA176+AB211*AB176+AC211*AC176+AD211*AD176+AE211*AE176+AF211*AF176+AG211*AG176+AH211*AH176+AI211*AI176+AJ211*AJ176+AK211*AK176+AL211*AL176+AM211*AM176+AN211*AN176+AO211*AO176+AP211*AP176+AQ211*AQ176+AR211*AR176+AS211*AS176+AT211*AT176+AU211*AU176+AV211*AV176+AW211*AW176+AX211*AX176+AY211*AY176+AZ211*AZ176+BA211*BA176+BB211*BB176+BC211*BC176+BD211*BD176+BE211*BE176+BF211*BF176+BG211*BG176+BH211*BH176+BI211*BI176+BJ211*BJ176+BK211*BK176+BL211*BL176+BM211*BM176+BN211*BN176+BO211*BO176+BP211*BP176+BQ211*BQ176+BR211*BR176+BS211*BS176+BT211*BT176+BU211*BU176+BV211*BV176+BW211*BW176+BX211*BX176+BY211*BY176+BZ211*BZ176+CA211*CA176+CB211*CB176+CC211*CC176+CD211*CD176+CE211*CE176+CF211*CF176+CG211*CG176+CH211*CH176</f>
        <v>0</v>
      </c>
      <c r="CM176" s="1951">
        <f>E212*E176+F212*F176+G212*G176+H212*H176+I212*I176+J212*J176+K212*K176+L212*L176+M212*M176+N212*N176+O212*O176+P212*P176+Q212*Q176+R212*R176+S212*S176+T212*T176+U212*U176+V212*V176+W212*W176+X212*X176+Y212*Y176+Z212*Z176+AA212*AA176+AB212*AB176+AC212*AC176+AD212*AD176+AE212*AE176+AF212*AF176+AG212*AG176+AH212*AH176+AI212*AI176+AJ212*AJ176+AK212*AK176+AL212*AL176+AM212*AM176+AN212*AN176+AO212*AO176+AP212*AP176+AQ212*AQ176+AR212*AR176+AS212*AS176+AT212*AT176+AU212*AU176+AV212*AV176+AW212*AW176+AX212*AX176+AY212*AY176+AZ212*AZ176+BA212*BA176+BB212*BB176+BC212*BC176+BD212*BD176+BE212*BE176+BF212*BF176+BG212*BG176+BH212*BH176+BI212*BI176+BJ212*BJ176+BK212*BK176+BL212*BL176+BM212*BM176+BN212*BN176+BO212*BO176+BP212*BP176+BQ212*BQ176+BR212*BR176+BS212*BS176+BT212*BT176+BU212*BU176+BV212*BV176+BW212*BW176+BX212*BX176+BY212*BY176+BZ212*BZ176+CA212*CA176+CB212*CB176+CC212*CC176+CD212*CD176+CE212*CE176+CF212*CF176+CG212*CG176+CH212*CH176</f>
        <v>0</v>
      </c>
      <c r="CN176" s="1952">
        <f>E213*E176+F213*F176+G213*G176+H213*H176+I213*I176+J213*J176+K213*K176+L213*L176+M213*M176+N213*N176+O213*O176+P213*P176+Q213*Q176+R213*R176+S213*S176+T213*T176+U213*U176+V213*V176+W213*W176+X213*X176+Y213*Y176+Z213*Z176+AA213*AA176+AB213*AB176+AC213*AC176+AD213*AD176+AE213*AE176+AF213*AF176+AG213*AG176+AH213*AH176+AI213*AI176+AJ213*AJ176+AK213*AK176+AL213*AL176+AM213*AM176+AN213*AN176+AO213*AO176+AP213*AP176+AQ213*AQ176+AR213*AR176+AS213*AS176+AT213*AT176+AU213*AU176+AV213*AV176+AW213*AW176+AX213*AX176+AY213*AY176+AZ213*AZ176+BA213*BA176+BB213*BB176+BC213*BC176+BD213*BD176+BE213*BE176+BF213*BF176+BG213*BG176+BH213*BH176+BI213*BI176+BJ213*BJ176+BK213*BK176+BL213*BL176+BM213*BM176+BN213*BN176+BO213*BO176+BP213*BP176+BQ213*BQ176+BR213*BR176+BS213*BS176+BT213*BT176+BU213*BU176+BV213*BV176+BW213*BW176+BX213*BX176+BY213*BY176+BZ213*BZ176+CA213*CA176+CB213*CB176+CC213*CC176+CD213*CD176+CE213*CE176+CF213*CF176+CG213*CG176+CH213*CH176</f>
        <v>0</v>
      </c>
      <c r="CO176" s="1952">
        <f>E214*E176+F214*F176+G214*G176+H214*H176+I214*I176+J214*J176+K214*K176+L214*L176+M214*M176+N214*N176+O214*O176+P214*P176+Q214*Q176+R214*R176+S214*S176+T214*T176+U214*U176+V214*V176+W214*W176+X214*X176+Y214*Y176+Z214*Z176+AA214*AA176+AB214*AB176+AC214*AC176+AD214*AD176+AE214*AE176+AF214*AF176+AG214*AG176+AH214*AH176+AI214*AI176+AJ214*AJ176+AK214*AK176+AL214*AL176+AM214*AM176+AN214*AN176+AO214*AO176+AP214*AP176+AQ214*AQ176+AR214*AR176+AS214*AS176+AT214*AT176+AU214*AU176+AV214*AV176+AW214*AW176+AX214*AX176+AY214*AY176+AZ214*AZ176+BA214*BA176+BB214*BB176+BC214*BC176+BD214*BD176+BE214*BE176+BF214*BF176+BG214*BG176+BH214*BH176+BI214*BI176+BJ214*BJ176+BK214*BK176+BL214*BL176+BM214*BM176+BN214*BN176+BO214*BO176+BP214*BP176+BQ214*BQ176+BR214*BR176+BS214*BS176+BT214*BT176+BU214*BU176+BV214*BV176+BW214*BW176+BX214*BX176+BY214*BY176+BZ214*BZ176+CA214*CA176+CB214*CB176+CC214*CC176+CD214*CD176+CE214*CE176+CF214*CF176+CG214*CG176+CH214*CH176</f>
        <v>0</v>
      </c>
      <c r="CP176" s="1952">
        <f>E215*E176+F215*F176+G215*G176+H215*H176+I215*I176+J215*J176+K215*K176+L215*L176+M215*M176+N215*N176+O215*O176+P215*P176+Q215*Q176+R215*R176+S215*S176+T215*T176+U215*U176+V215*V176+W215*W176+X215*X176+Y215*Y176+Z215*Z176+AA215*AA176+AB215*AB176+AC215*AC176+AD215*AD176+AE215*AE176+AF215*AF176+AG215*AG176+AH215*AH176+AI215*AI176+AJ215*AJ176+AK215*AK176+AL215*AL176+AM215*AM176+AN215*AN176+AO215*AO176+AP215*AP176+AQ215*AQ176+AR215*AR176+AS215*AS176+AT215*AT176+AU215*AU176+AV215*AV176+AW215*AW176+AX215*AX176+AY215*AY176+AZ215*AZ176+BA215*BA176+BB215*BB176+BC215*BC176+BD215*BD176+BE215*BE176+BF215*BF176+BG215*BG176+BH215*BH176+BI215*BI176+BJ215*BJ176+BK215*BK176+BL215*BL176+BM215*BM176+BN215*BN176+BO215*BO176+BP215*BP176+BQ215*BQ176+BR215*BR176+BS215*BS176+BT215*BT176+BU215*BU176+BV215*BV176+BW215*BW176+BX215*BX176+BY215*BY176+BZ215*BZ176+CA215*CA176+CB215*CB176+CC215*CC176+CD215*CD176+CE215*CE176+CF215*CF176+CG215*CG176+CH215*CH176</f>
        <v>0</v>
      </c>
      <c r="CQ176" s="1952">
        <f>E216*E176+F216*F176+G216*G176+H216*H176+I216*I176+J216*J176+K216*K176+L216*L176+M216*M176+N216*N176+O216*O176+P216*P176+Q216*Q176+R216*R176+S216*S176+T216*T176+U216*U176+V216*V176+W216*W176+X216*X176+Y216*Y176+Z216*Z176+AA216*AA176+AB216*AB176+AC216*AC176+AD216*AD176+AE216*AE176+AF216*AF176+AG216*AG176+AH216*AH176+AI216*AI176+AJ216*AJ176+AK216*AK176+AL216*AL176+AM216*AM176+AN216*AN176+AO216*AO176+AP216*AP176+AQ216*AQ176+AR216*AR176+AS216*AS176+AT216*AT176+AU216*AU176+AV216*AV176+AW216*AW176+AX216*AX176+AY216*AY176+AZ216*AZ176+BA216*BA176+BB216*BB176+BC216*BC176+BD216*BD176+BE216*BE176+BF216*BF176+BG216*BG176+BH216*BH176+BI216*BI176+BJ216*BJ176+BK216*BK176+BL216*BL176+BM216*BM176+BN216*BN176+BO216*BO176+BP216*BP176+BQ216*BQ176+BR216*BR176+BS216*BS176+BT216*BT176+BU216*BU176+BV216*BV176+BW216*BW176+BX216*BX176+BY216*BY176+BZ216*BZ176+CA216*CA176+CB216*CB176+CC216*CC176+CD216*CD176+CE216*CE176+CF216*CF176+CG216*CG176+CH216*CH176</f>
        <v>0</v>
      </c>
      <c r="CR176" s="1952">
        <f>E217*E176+F217*F176+G217*G176+H217*H176+I217*I176+J217*J176+K217*K176+L217*L176+M217*M176+N217*N176+O217*O176+P217*P176+Q217*Q176+R217*R176+S217*S176+T217*T176+U217*U176+V217*V176+W217*W176+X217*X176+Y217*Y176+Z217*Z176+AA217*AA176+AB217*AB176+AC217*AC176+AD217*AD176+AE217*AE176+AF217*AF176+AG217*AG176+AH217*AH176+AI217*AI176+AJ217*AJ176+AK217*AK176+AL217*AL176+AM217*AM176+AN217*AN176+AO217*AO176+AP217*AP176+AQ217*AQ176+AR217*AR176+AS217*AS176+AT217*AT176+AU217*AU176+AV217*AV176+AW217*AW176+AX217*AX176+AY217*AY176+AZ217*AZ176+BA217*BA176+BB217*BB176+BC217*BC176+BD217*BD176+BE217*BE176+BF217*BF176+BG217*BG176+BH217*BH176+BI217*BI176+BJ217*BJ176+BK217*BK176+BL217*BL176+BM217*BM176+BN217*BN176+BO217*BO176+BP217*BP176+BQ217*BQ176+BR217*BR176+BS217*BS176+BT217*BT176+BU217*BU176+BV217*BV176+BW217*BW176+BX217*BX176+BY217*BY176+BZ217*BZ176+CA217*CA176+CB217*CB176+CC217*CC176+CD217*CD176+CE217*CE176+CF217*CF176+CG217*CG176+CH217*CH176</f>
        <v>0</v>
      </c>
      <c r="CS176" s="1952">
        <f>E218*E176+F218*F176+G218*G176+H218*H176+I218*I176+J218*J176+K218*K176+L218*L176+M218*M176+N218*N176+O218*O176+P218*P176+Q218*Q176+R218*R176+S218*S176+T218*T176+U218*U176+V218*V176+W218*W176+X218*X176+Y218*Y176+Z218*Z176+AA218*AA176+AB218*AB176+AC218*AC176+AD218*AD176+AE218*AE176+AF218*AF176+AG218*AG176+AH218*AH176+AI218*AI176+AJ218*AJ176+AK218*AK176+AL218*AL176+AM218*AM176+AN218*AN176+AO218*AO176+AP218*AP176+AQ218*AQ176+AR218*AR176+AS218*AS176+AT218*AT176+AU218*AU176+AV218*AV176+AW218*AW176+AX218*AX176+AY218*AY176+AZ218*AZ176+BA218*BA176+BB218*BB176+BC218*BC176+BD218*BD176+BE218*BE176+BF218*BF176+BG218*BG176+BH218*BH176+BI218*BI176+BJ218*BJ176+BK218*BK176+BL218*BL176+BM218*BM176+BN218*BN176+BO218*BO176+BP218*BP176+BQ218*BQ176+BR218*BR176+BS218*BS176+BT218*BT176+BU218*BU176+BV218*BV176+BW218*BW176+BX218*BX176+BY218*BY176+BZ218*BZ176+CA218*CA176+CB218*CB176+CC218*CC176+CD218*CD176+CE218*CE176+CF218*CF176+CG218*CG176+CH218*CH176</f>
        <v>0</v>
      </c>
      <c r="CT176" s="1952">
        <f>E219*E176+F219*F176+G219*G176+H219*H176+I219*I176+J219*J176+K219*K176+L219*L176+M219*M176+N219*N176+O219*O176+P219*P176+Q219*Q176+R219*R176+S219*S176+T219*T176+U219*U176+V219*V176+W219*W176+X219*X176+Y219*Y176+Z219*Z176+AA219*AA176+AB219*AB176+AC219*AC176+AD219*AD176+AE219*AE176+AF219*AF176+AG219*AG176+AH219*AH176+AI219*AI176+AJ219*AJ176+AK219*AK176+AL219*AL176+AM219*AM176+AN219*AN176+AO219*AO176+AP219*AP176+AQ219*AQ176+AR219*AR176+AS219*AS176+AT219*AT176+AU219*AU176+AV219*AV176+AW219*AW176+AX219*AX176+AY219*AY176+AZ219*AZ176+BA219*BA176+BB219*BB176+BC219*BC176+BD219*BD176+BE219*BE176+BF219*BF176+BG219*BG176+BH219*BH176+BI219*BI176+BJ219*BJ176+BK219*BK176+BL219*BL176+BM219*BM176+BN219*BN176+BO219*BO176+BP219*BP176+BQ219*BQ176+BR219*BR176+BS219*BS176+BT219*BT176+BU219*BU176+BV219*BV176+BW219*BW176+BX219*BX176+BY219*BY176+BZ219*BZ176+CA219*CA176+CB219*CB176+CC219*CC176+CD219*CD176+CE219*CE176+CF219*CF176+CG219*CG176+CH219*CH176</f>
        <v>0</v>
      </c>
      <c r="CU176" s="1952">
        <f>E220*E176+F220*F176+G220*G176+H220*H176+I220*I176+J220*J176+K220*K176+L220*L176+M220*M176+N220*N176+O220*O176+P220*P176+Q220*Q176+R220*R176+S220*S176+T220*T176+U220*U176+V220*V176+W220*W176+X220*X176+Y220*Y176+Z220*Z176+AA220*AA176+AB220*AB176+AC220*AC176+AD220*AD176+AE220*AE176+AF220*AF176+AG220*AG176+AH220*AH176+AI220*AI176+AJ220*AJ176+AK220*AK176+AL220*AL176+AM220*AM176+AN220*AN176+AO220*AO176+AP220*AP176+AQ220*AQ176+AR220*AR176+AS220*AS176+AT220*AT176+AU220*AU176+AV220*AV176+AW220*AW176+AX220*AX176+AY220*AY176+AZ220*AZ176+BA220*BA176+BB220*BB176+BC220*BC176+BD220*BD176+BE220*BE176+BF220*BF176+BG220*BG176+BH220*BH176+BI220*BI176+BJ220*BJ176+BK220*BK176+BL220*BL176+BM220*BM176+BN220*BN176+BO220*BO176+BP220*BP176+BQ220*BQ176+BR220*BR176+BS220*BS176+BT220*BT176+BU220*BU176+BV220*BV176+BW220*BW176+BX220*BX176+BY220*BY176+BZ220*BZ176+CA220*CA176+CB220*CB176+CC220*CC176+CD220*CD176+CE220*CE176+CF220*CF176+CG220*CG176+CH220*CH176</f>
        <v>0</v>
      </c>
    </row>
    <row r="177" spans="2:99" ht="18" x14ac:dyDescent="0.25">
      <c r="B177" s="1048">
        <v>62</v>
      </c>
      <c r="C177" s="1129" t="s">
        <v>2674</v>
      </c>
      <c r="D177" s="1130" t="s">
        <v>3078</v>
      </c>
      <c r="E177" s="2067">
        <f>0</f>
        <v>0</v>
      </c>
      <c r="F177" s="2067">
        <f>0</f>
        <v>0</v>
      </c>
      <c r="G177" s="2067">
        <f>0</f>
        <v>0</v>
      </c>
      <c r="H177" s="2067">
        <f>0</f>
        <v>0</v>
      </c>
      <c r="I177" s="2085">
        <f>0</f>
        <v>0</v>
      </c>
      <c r="J177" s="2085">
        <f>0</f>
        <v>0</v>
      </c>
      <c r="K177" s="2067">
        <f>0</f>
        <v>0</v>
      </c>
      <c r="L177" s="2067">
        <f>0</f>
        <v>0</v>
      </c>
      <c r="M177" s="2067">
        <f>0</f>
        <v>0</v>
      </c>
      <c r="N177" s="2067">
        <f>0</f>
        <v>0</v>
      </c>
      <c r="O177" s="2067">
        <f>0</f>
        <v>0</v>
      </c>
      <c r="P177" s="2067">
        <f>0</f>
        <v>0</v>
      </c>
      <c r="Q177" s="2067">
        <f>0</f>
        <v>0</v>
      </c>
      <c r="R177" s="2093">
        <f>0</f>
        <v>0</v>
      </c>
      <c r="S177" s="2067">
        <f>0</f>
        <v>0</v>
      </c>
      <c r="T177" s="2067">
        <f>0</f>
        <v>0</v>
      </c>
      <c r="U177" s="2067">
        <f>0</f>
        <v>0</v>
      </c>
      <c r="V177" s="2067">
        <f>0</f>
        <v>0</v>
      </c>
      <c r="W177" s="2067">
        <f>0</f>
        <v>0</v>
      </c>
      <c r="X177" s="2067">
        <f>0</f>
        <v>0</v>
      </c>
      <c r="Y177" s="2067">
        <f>0</f>
        <v>0</v>
      </c>
      <c r="Z177" s="2067">
        <f>0</f>
        <v>0</v>
      </c>
      <c r="AA177" s="2067">
        <f>0</f>
        <v>0</v>
      </c>
      <c r="AB177" s="2067">
        <f>0</f>
        <v>0</v>
      </c>
      <c r="AC177" s="2085">
        <f>0</f>
        <v>0</v>
      </c>
      <c r="AD177" s="2085">
        <f>0</f>
        <v>0</v>
      </c>
      <c r="AE177" s="2067">
        <f>0</f>
        <v>0</v>
      </c>
      <c r="AF177" s="2093">
        <f>(A_SFHFO_H*(A_MP/A_MFe))*X_HFO_H_P_old/(X_HFO_H_P_old+X_HFO_L_P_old)+(A_SFHFO_L*(A_MP/A_MFe))*X_HFO_L_P_old/(X_HFO_H_P_old+X_HFO_L_P_old)</f>
        <v>0.38824663873220522</v>
      </c>
      <c r="AG177" s="2067">
        <f>0</f>
        <v>0</v>
      </c>
      <c r="AH177" s="2067">
        <f>0</f>
        <v>0</v>
      </c>
      <c r="AI177" s="2085">
        <f>0</f>
        <v>0</v>
      </c>
      <c r="AJ177" s="2085">
        <f>0</f>
        <v>0</v>
      </c>
      <c r="AK177" s="2067">
        <f>0</f>
        <v>0</v>
      </c>
      <c r="AL177" s="2067">
        <f>0</f>
        <v>0</v>
      </c>
      <c r="AM177" s="2067">
        <f>0</f>
        <v>0</v>
      </c>
      <c r="AN177" s="2067">
        <f>0</f>
        <v>0</v>
      </c>
      <c r="AO177" s="2067">
        <f>0</f>
        <v>0</v>
      </c>
      <c r="AP177" s="2067">
        <f>0</f>
        <v>0</v>
      </c>
      <c r="AQ177" s="2067">
        <f>0</f>
        <v>0</v>
      </c>
      <c r="AR177" s="2067">
        <f>0</f>
        <v>0</v>
      </c>
      <c r="AS177" s="2067">
        <f>0</f>
        <v>0</v>
      </c>
      <c r="AT177" s="2067">
        <f>0</f>
        <v>0</v>
      </c>
      <c r="AU177" s="2067">
        <f>0</f>
        <v>0</v>
      </c>
      <c r="AV177" s="2093">
        <f>0</f>
        <v>0</v>
      </c>
      <c r="AW177" s="2067">
        <f>0</f>
        <v>0</v>
      </c>
      <c r="AX177" s="2067">
        <f>0</f>
        <v>0</v>
      </c>
      <c r="AY177" s="2093">
        <f>1</f>
        <v>1</v>
      </c>
      <c r="AZ177" s="2093">
        <f>0</f>
        <v>0</v>
      </c>
      <c r="BA177" s="2067">
        <f>0</f>
        <v>0</v>
      </c>
      <c r="BB177" s="2107">
        <f>-X_HFO_H_P_old/(X_HFO_H_P_old+X_HFO_L_P_old)</f>
        <v>-0.5</v>
      </c>
      <c r="BC177" s="2107">
        <f>-X_HFO_L_P_old/(X_HFO_H_P_old+X_HFO_L_P_old)</f>
        <v>-0.5</v>
      </c>
      <c r="BD177" s="2067">
        <f>0</f>
        <v>0</v>
      </c>
      <c r="BE177" s="2067">
        <f>0</f>
        <v>0</v>
      </c>
      <c r="BF177" s="2093">
        <f>0</f>
        <v>0</v>
      </c>
      <c r="BG177" s="2093">
        <f>0</f>
        <v>0</v>
      </c>
      <c r="BH177" s="2067">
        <f>0</f>
        <v>0</v>
      </c>
      <c r="BI177" s="2107">
        <f>0</f>
        <v>0</v>
      </c>
      <c r="BJ177" s="2107">
        <f>0</f>
        <v>0</v>
      </c>
      <c r="BK177" s="2093">
        <f>0</f>
        <v>0</v>
      </c>
      <c r="BL177" s="2093">
        <f>0</f>
        <v>0</v>
      </c>
      <c r="BM177" s="2093">
        <f>0</f>
        <v>0</v>
      </c>
      <c r="BN177" s="2093">
        <f>0</f>
        <v>0</v>
      </c>
      <c r="BO177" s="2093">
        <f>0</f>
        <v>0</v>
      </c>
      <c r="BP177" s="2123">
        <f>0</f>
        <v>0</v>
      </c>
      <c r="BQ177" s="2123">
        <f>0</f>
        <v>0</v>
      </c>
      <c r="BR177" s="2123">
        <f>0</f>
        <v>0</v>
      </c>
      <c r="BS177" s="2123">
        <f>0</f>
        <v>0</v>
      </c>
      <c r="BT177" s="2093">
        <f>0</f>
        <v>0</v>
      </c>
      <c r="BU177" s="2093">
        <f>0</f>
        <v>0</v>
      </c>
      <c r="BV177" s="2093">
        <f>0</f>
        <v>0</v>
      </c>
      <c r="BW177" s="2093">
        <f>0</f>
        <v>0</v>
      </c>
      <c r="BX177" s="2093">
        <f>0</f>
        <v>0</v>
      </c>
      <c r="BY177" s="2093">
        <f>0</f>
        <v>0</v>
      </c>
      <c r="BZ177" s="2093">
        <f>0</f>
        <v>0</v>
      </c>
      <c r="CA177" s="2093">
        <f>0</f>
        <v>0</v>
      </c>
      <c r="CB177" s="2093">
        <f>0</f>
        <v>0</v>
      </c>
      <c r="CC177" s="2093">
        <f>0</f>
        <v>0</v>
      </c>
      <c r="CD177" s="2093">
        <f>0</f>
        <v>0</v>
      </c>
      <c r="CE177" s="2093">
        <f>0</f>
        <v>0</v>
      </c>
      <c r="CF177" s="2093">
        <f>0</f>
        <v>0</v>
      </c>
      <c r="CG177" s="2093">
        <f>0</f>
        <v>0</v>
      </c>
      <c r="CH177" s="2093">
        <f>0</f>
        <v>0</v>
      </c>
      <c r="CI177" s="2146">
        <f>q_HFO_DISS*(X_HFO_H_P_old+X_HFO_L_P_old)*L_oginhSPO4_KiP_HFO_DISS</f>
        <v>0</v>
      </c>
      <c r="CK177" s="1950">
        <f>E210*E177+F210*F177+G210*G177+H210*H177+I210*I177+J210*J177+K210*K177+L210*L177+M210*M177+N210*N177+O210*O177+P210*P177+Q210*Q177+R210*R177+S210*S177+T210*T177+U210*U177+V210*V177+W210*W177+X210*X177+Y210*Y177+Z210*Z177+AA210*AA177+AB210*AB177+AC210*AC177+AD210*AD177+AE210*AE177+AF210*AF177+AG210*AG177+AH210*AH177+AI210*AI177+AJ210*AJ177+AK210*AK177+AL210*AL177+AM210*AM177+AN210*AN177+AO210*AO177+AP210*AP177+AQ210*AQ177+AR210*AR177+AS210*AS177+AT210*AT177+AU210*AU177+AV210*AV177+AW210*AW177+AX210*AX177+AY210*AY177+AZ210*AZ177+BA210*BA177+BB210*BB177+BC210*BC177+BD210*BD177+BE210*BE177+BF210*BF177+BG210*BG177+BH210*BH177+BI210*BI177+BJ210*BJ177+BK210*BK177+BL210*BL177+BM210*BM177+BN210*BN177+BO210*BO177+BP210*BP177+BQ210*BQ177+BR210*BR177+BS210*BS177+BT210*BT177+BU210*BU177+BV210*BV177+BW210*BW177+BX210*BX177+BY210*BY177+BZ210*BZ177+CA210*CA177+CB210*CB177+CC210*CC177+CD210*CD177+CE210*CE177+CF210*CF177+CG210*CG177+CH210*CH177</f>
        <v>0</v>
      </c>
      <c r="CL177" s="1950">
        <f>E211*E177+F211*F177+G211*G177+H211*H177+I211*I177+J211*J177+K211*K177+L211*L177+M211*M177+N211*N177+O211*O177+P211*P177+Q211*Q177+R211*R177+S211*S177+T211*T177+U211*U177+V211*V177+W211*W177+X211*X177+Y211*Y177+Z211*Z177+AA211*AA177+AB211*AB177+AC211*AC177+AD211*AD177+AE211*AE177+AF211*AF177+AG211*AG177+AH211*AH177+AI211*AI177+AJ211*AJ177+AK211*AK177+AL211*AL177+AM211*AM177+AN211*AN177+AO211*AO177+AP211*AP177+AQ211*AQ177+AR211*AR177+AS211*AS177+AT211*AT177+AU211*AU177+AV211*AV177+AW211*AW177+AX211*AX177+AY211*AY177+AZ211*AZ177+BA211*BA177+BB211*BB177+BC211*BC177+BD211*BD177+BE211*BE177+BF211*BF177+BG211*BG177+BH211*BH177+BI211*BI177+BJ211*BJ177+BK211*BK177+BL211*BL177+BM211*BM177+BN211*BN177+BO211*BO177+BP211*BP177+BQ211*BQ177+BR211*BR177+BS211*BS177+BT211*BT177+BU211*BU177+BV211*BV177+BW211*BW177+BX211*BX177+BY211*BY177+BZ211*BZ177+CA211*CA177+CB211*CB177+CC211*CC177+CD211*CD177+CE211*CE177+CF211*CF177+CG211*CG177+CH211*CH177</f>
        <v>0</v>
      </c>
      <c r="CM177" s="1951">
        <f>E212*E177+F212*F177+G212*G177+H212*H177+I212*I177+J212*J177+K212*K177+L212*L177+M212*M177+N212*N177+O212*O177+P212*P177+Q212*Q177+R212*R177+S212*S177+T212*T177+U212*U177+V212*V177+W212*W177+X212*X177+Y212*Y177+Z212*Z177+AA212*AA177+AB212*AB177+AC212*AC177+AD212*AD177+AE212*AE177+AF212*AF177+AG212*AG177+AH212*AH177+AI212*AI177+AJ212*AJ177+AK212*AK177+AL212*AL177+AM212*AM177+AN212*AN177+AO212*AO177+AP212*AP177+AQ212*AQ177+AR212*AR177+AS212*AS177+AT212*AT177+AU212*AU177+AV212*AV177+AW212*AW177+AX212*AX177+AY212*AY177+AZ212*AZ177+BA212*BA177+BB212*BB177+BC212*BC177+BD212*BD177+BE212*BE177+BF212*BF177+BG212*BG177+BH212*BH177+BI212*BI177+BJ212*BJ177+BK212*BK177+BL212*BL177+BM212*BM177+BN212*BN177+BO212*BO177+BP212*BP177+BQ212*BQ177+BR212*BR177+BS212*BS177+BT212*BT177+BU212*BU177+BV212*BV177+BW212*BW177+BX212*BX177+BY212*BY177+BZ212*BZ177+CA212*CA177+CB212*CB177+CC212*CC177+CD212*CD177+CE212*CE177+CF212*CF177+CG212*CG177+CH212*CH177</f>
        <v>0</v>
      </c>
      <c r="CN177" s="1952">
        <f>E213*E177+F213*F177+G213*G177+H213*H177+I213*I177+J213*J177+K213*K177+L213*L177+M213*M177+N213*N177+O213*O177+P213*P177+Q213*Q177+R213*R177+S213*S177+T213*T177+U213*U177+V213*V177+W213*W177+X213*X177+Y213*Y177+Z213*Z177+AA213*AA177+AB213*AB177+AC213*AC177+AD213*AD177+AE213*AE177+AF213*AF177+AG213*AG177+AH213*AH177+AI213*AI177+AJ213*AJ177+AK213*AK177+AL213*AL177+AM213*AM177+AN213*AN177+AO213*AO177+AP213*AP177+AQ213*AQ177+AR213*AR177+AS213*AS177+AT213*AT177+AU213*AU177+AV213*AV177+AW213*AW177+AX213*AX177+AY213*AY177+AZ213*AZ177+BA213*BA177+BB213*BB177+BC213*BC177+BD213*BD177+BE213*BE177+BF213*BF177+BG213*BG177+BH213*BH177+BI213*BI177+BJ213*BJ177+BK213*BK177+BL213*BL177+BM213*BM177+BN213*BN177+BO213*BO177+BP213*BP177+BQ213*BQ177+BR213*BR177+BS213*BS177+BT213*BT177+BU213*BU177+BV213*BV177+BW213*BW177+BX213*BX177+BY213*BY177+BZ213*BZ177+CA213*CA177+CB213*CB177+CC213*CC177+CD213*CD177+CE213*CE177+CF213*CF177+CG213*CG177+CH213*CH177</f>
        <v>2.7755575615628914E-17</v>
      </c>
      <c r="CO177" s="1952">
        <f>E214*E177+F214*F177+G214*G177+H214*H177+I214*I177+J214*J177+K214*K177+L214*L177+M214*M177+N214*N177+O214*O177+P214*P177+Q214*Q177+R214*R177+S214*S177+T214*T177+U214*U177+V214*V177+W214*W177+X214*X177+Y214*Y177+Z214*Z177+AA214*AA177+AB214*AB177+AC214*AC177+AD214*AD177+AE214*AE177+AF214*AF177+AG214*AG177+AH214*AH177+AI214*AI177+AJ214*AJ177+AK214*AK177+AL214*AL177+AM214*AM177+AN214*AN177+AO214*AO177+AP214*AP177+AQ214*AQ177+AR214*AR177+AS214*AS177+AT214*AT177+AU214*AU177+AV214*AV177+AW214*AW177+AX214*AX177+AY214*AY177+AZ214*AZ177+BA214*BA177+BB214*BB177+BC214*BC177+BD214*BD177+BE214*BE177+BF214*BF177+BG214*BG177+BH214*BH177+BI214*BI177+BJ214*BJ177+BK214*BK177+BL214*BL177+BM214*BM177+BN214*BN177+BO214*BO177+BP214*BP177+BQ214*BQ177+BR214*BR177+BS214*BS177+BT214*BT177+BU214*BU177+BV214*BV177+BW214*BW177+BX214*BX177+BY214*BY177+BZ214*BZ177+CA214*CA177+CB214*CB177+CC214*CC177+CD214*CD177+CE214*CE177+CF214*CF177+CG214*CG177+CH214*CH177</f>
        <v>0</v>
      </c>
      <c r="CP177" s="1952">
        <f>E215*E177+F215*F177+G215*G177+H215*H177+I215*I177+J215*J177+K215*K177+L215*L177+M215*M177+N215*N177+O215*O177+P215*P177+Q215*Q177+R215*R177+S215*S177+T215*T177+U215*U177+V215*V177+W215*W177+X215*X177+Y215*Y177+Z215*Z177+AA215*AA177+AB215*AB177+AC215*AC177+AD215*AD177+AE215*AE177+AF215*AF177+AG215*AG177+AH215*AH177+AI215*AI177+AJ215*AJ177+AK215*AK177+AL215*AL177+AM215*AM177+AN215*AN177+AO215*AO177+AP215*AP177+AQ215*AQ177+AR215*AR177+AS215*AS177+AT215*AT177+AU215*AU177+AV215*AV177+AW215*AW177+AX215*AX177+AY215*AY177+AZ215*AZ177+BA215*BA177+BB215*BB177+BC215*BC177+BD215*BD177+BE215*BE177+BF215*BF177+BG215*BG177+BH215*BH177+BI215*BI177+BJ215*BJ177+BK215*BK177+BL215*BL177+BM215*BM177+BN215*BN177+BO215*BO177+BP215*BP177+BQ215*BQ177+BR215*BR177+BS215*BS177+BT215*BT177+BU215*BU177+BV215*BV177+BW215*BW177+BX215*BX177+BY215*BY177+BZ215*BZ177+CA215*CA177+CB215*CB177+CC215*CC177+CD215*CD177+CE215*CE177+CF215*CF177+CG215*CG177+CH215*CH177</f>
        <v>0</v>
      </c>
      <c r="CQ177" s="1952">
        <f>E216*E177+F216*F177+G216*G177+H216*H177+I216*I177+J216*J177+K216*K177+L216*L177+M216*M177+N216*N177+O216*O177+P216*P177+Q216*Q177+R216*R177+S216*S177+T216*T177+U216*U177+V216*V177+W216*W177+X216*X177+Y216*Y177+Z216*Z177+AA216*AA177+AB216*AB177+AC216*AC177+AD216*AD177+AE216*AE177+AF216*AF177+AG216*AG177+AH216*AH177+AI216*AI177+AJ216*AJ177+AK216*AK177+AL216*AL177+AM216*AM177+AN216*AN177+AO216*AO177+AP216*AP177+AQ216*AQ177+AR216*AR177+AS216*AS177+AT216*AT177+AU216*AU177+AV216*AV177+AW216*AW177+AX216*AX177+AY216*AY177+AZ216*AZ177+BA216*BA177+BB216*BB177+BC216*BC177+BD216*BD177+BE216*BE177+BF216*BF177+BG216*BG177+BH216*BH177+BI216*BI177+BJ216*BJ177+BK216*BK177+BL216*BL177+BM216*BM177+BN216*BN177+BO216*BO177+BP216*BP177+BQ216*BQ177+BR216*BR177+BS216*BS177+BT216*BT177+BU216*BU177+BV216*BV177+BW216*BW177+BX216*BX177+BY216*BY177+BZ216*BZ177+CA216*CA177+CB216*CB177+CC216*CC177+CD216*CD177+CE216*CE177+CF216*CF177+CG216*CG177+CH216*CH177</f>
        <v>0</v>
      </c>
      <c r="CR177" s="1952">
        <f>E217*E177+F217*F177+G217*G177+H217*H177+I217*I177+J217*J177+K217*K177+L217*L177+M217*M177+N217*N177+O217*O177+P217*P177+Q217*Q177+R217*R177+S217*S177+T217*T177+U217*U177+V217*V177+W217*W177+X217*X177+Y217*Y177+Z217*Z177+AA217*AA177+AB217*AB177+AC217*AC177+AD217*AD177+AE217*AE177+AF217*AF177+AG217*AG177+AH217*AH177+AI217*AI177+AJ217*AJ177+AK217*AK177+AL217*AL177+AM217*AM177+AN217*AN177+AO217*AO177+AP217*AP177+AQ217*AQ177+AR217*AR177+AS217*AS177+AT217*AT177+AU217*AU177+AV217*AV177+AW217*AW177+AX217*AX177+AY217*AY177+AZ217*AZ177+BA217*BA177+BB217*BB177+BC217*BC177+BD217*BD177+BE217*BE177+BF217*BF177+BG217*BG177+BH217*BH177+BI217*BI177+BJ217*BJ177+BK217*BK177+BL217*BL177+BM217*BM177+BN217*BN177+BO217*BO177+BP217*BP177+BQ217*BQ177+BR217*BR177+BS217*BS177+BT217*BT177+BU217*BU177+BV217*BV177+BW217*BW177+BX217*BX177+BY217*BY177+BZ217*BZ177+CA217*CA177+CB217*CB177+CC217*CC177+CD217*CD177+CE217*CE177+CF217*CF177+CG217*CG177+CH217*CH177</f>
        <v>0</v>
      </c>
      <c r="CS177" s="1952">
        <f>E218*E177+F218*F177+G218*G177+H218*H177+I218*I177+J218*J177+K218*K177+L218*L177+M218*M177+N218*N177+O218*O177+P218*P177+Q218*Q177+R218*R177+S218*S177+T218*T177+U218*U177+V218*V177+W218*W177+X218*X177+Y218*Y177+Z218*Z177+AA218*AA177+AB218*AB177+AC218*AC177+AD218*AD177+AE218*AE177+AF218*AF177+AG218*AG177+AH218*AH177+AI218*AI177+AJ218*AJ177+AK218*AK177+AL218*AL177+AM218*AM177+AN218*AN177+AO218*AO177+AP218*AP177+AQ218*AQ177+AR218*AR177+AS218*AS177+AT218*AT177+AU218*AU177+AV218*AV177+AW218*AW177+AX218*AX177+AY218*AY177+AZ218*AZ177+BA218*BA177+BB218*BB177+BC218*BC177+BD218*BD177+BE218*BE177+BF218*BF177+BG218*BG177+BH218*BH177+BI218*BI177+BJ218*BJ177+BK218*BK177+BL218*BL177+BM218*BM177+BN218*BN177+BO218*BO177+BP218*BP177+BQ218*BQ177+BR218*BR177+BS218*BS177+BT218*BT177+BU218*BU177+BV218*BV177+BW218*BW177+BX218*BX177+BY218*BY177+BZ218*BZ177+CA218*CA177+CB218*CB177+CC218*CC177+CD218*CD177+CE218*CE177+CF218*CF177+CG218*CG177+CH218*CH177</f>
        <v>0</v>
      </c>
      <c r="CT177" s="1952">
        <f>E219*E177+F219*F177+G219*G177+H219*H177+I219*I177+J219*J177+K219*K177+L219*L177+M219*M177+N219*N177+O219*O177+P219*P177+Q219*Q177+R219*R177+S219*S177+T219*T177+U219*U177+V219*V177+W219*W177+X219*X177+Y219*Y177+Z219*Z177+AA219*AA177+AB219*AB177+AC219*AC177+AD219*AD177+AE219*AE177+AF219*AF177+AG219*AG177+AH219*AH177+AI219*AI177+AJ219*AJ177+AK219*AK177+AL219*AL177+AM219*AM177+AN219*AN177+AO219*AO177+AP219*AP177+AQ219*AQ177+AR219*AR177+AS219*AS177+AT219*AT177+AU219*AU177+AV219*AV177+AW219*AW177+AX219*AX177+AY219*AY177+AZ219*AZ177+BA219*BA177+BB219*BB177+BC219*BC177+BD219*BD177+BE219*BE177+BF219*BF177+BG219*BG177+BH219*BH177+BI219*BI177+BJ219*BJ177+BK219*BK177+BL219*BL177+BM219*BM177+BN219*BN177+BO219*BO177+BP219*BP177+BQ219*BQ177+BR219*BR177+BS219*BS177+BT219*BT177+BU219*BU177+BV219*BV177+BW219*BW177+BX219*BX177+BY219*BY177+BZ219*BZ177+CA219*CA177+CB219*CB177+CC219*CC177+CD219*CD177+CE219*CE177+CF219*CF177+CG219*CG177+CH219*CH177</f>
        <v>0</v>
      </c>
      <c r="CU177" s="1952">
        <f>E220*E177+F220*F177+G220*G177+H220*H177+I220*I177+J220*J177+K220*K177+L220*L177+M220*M177+N220*N177+O220*O177+P220*P177+Q220*Q177+R220*R177+S220*S177+T220*T177+U220*U177+V220*V177+W220*W177+X220*X177+Y220*Y177+Z220*Z177+AA220*AA177+AB220*AB177+AC220*AC177+AD220*AD177+AE220*AE177+AF220*AF177+AG220*AG177+AH220*AH177+AI220*AI177+AJ220*AJ177+AK220*AK177+AL220*AL177+AM220*AM177+AN220*AN177+AO220*AO177+AP220*AP177+AQ220*AQ177+AR220*AR177+AS220*AS177+AT220*AT177+AU220*AU177+AV220*AV177+AW220*AW177+AX220*AX177+AY220*AY177+AZ220*AZ177+BA220*BA177+BB220*BB177+BC220*BC177+BD220*BD177+BE220*BE177+BF220*BF177+BG220*BG177+BH220*BH177+BI220*BI177+BJ220*BJ177+BK220*BK177+BL220*BL177+BM220*BM177+BN220*BN177+BO220*BO177+BP220*BP177+BQ220*BQ177+BR220*BR177+BS220*BS177+BT220*BT177+BU220*BU177+BV220*BV177+BW220*BW177+BX220*BX177+BY220*BY177+BZ220*BZ177+CA220*CA177+CB220*CB177+CC220*CC177+CD220*CD177+CE220*CE177+CF220*CF177+CG220*CG177+CH220*CH177</f>
        <v>0</v>
      </c>
    </row>
    <row r="178" spans="2:99" ht="18" x14ac:dyDescent="0.25">
      <c r="B178" s="1050">
        <v>63</v>
      </c>
      <c r="C178" s="1135" t="s">
        <v>2675</v>
      </c>
      <c r="D178" s="1136" t="s">
        <v>1681</v>
      </c>
      <c r="E178" s="2068">
        <f>-E_EQFe2*S_VFA/(S_B+S_VFA)</f>
        <v>-1.4183529553600002E-3</v>
      </c>
      <c r="F178" s="2068">
        <f>-E_EQFe2*S_B/(S_B+S_VFA)</f>
        <v>-0.14183529553600002</v>
      </c>
      <c r="G178" s="2069">
        <f>0</f>
        <v>0</v>
      </c>
      <c r="H178" s="2069">
        <f>0</f>
        <v>0</v>
      </c>
      <c r="I178" s="2086">
        <f>0</f>
        <v>0</v>
      </c>
      <c r="J178" s="2086">
        <f>0</f>
        <v>0</v>
      </c>
      <c r="K178" s="2069">
        <f>0</f>
        <v>0</v>
      </c>
      <c r="L178" s="2069">
        <f>0</f>
        <v>0</v>
      </c>
      <c r="M178" s="2069">
        <f>0</f>
        <v>0</v>
      </c>
      <c r="N178" s="2069">
        <f>0</f>
        <v>0</v>
      </c>
      <c r="O178" s="2069">
        <f>0</f>
        <v>0</v>
      </c>
      <c r="P178" s="2069">
        <f>0</f>
        <v>0</v>
      </c>
      <c r="Q178" s="2069">
        <f>0</f>
        <v>0</v>
      </c>
      <c r="R178" s="2068">
        <f>0</f>
        <v>0</v>
      </c>
      <c r="S178" s="2069">
        <f>0</f>
        <v>0</v>
      </c>
      <c r="T178" s="2069">
        <f>0</f>
        <v>0</v>
      </c>
      <c r="U178" s="2069">
        <f>0</f>
        <v>0</v>
      </c>
      <c r="V178" s="2069">
        <f>0</f>
        <v>0</v>
      </c>
      <c r="W178" s="2069">
        <f>0</f>
        <v>0</v>
      </c>
      <c r="X178" s="2069">
        <f>0</f>
        <v>0</v>
      </c>
      <c r="Y178" s="2069">
        <f>0</f>
        <v>0</v>
      </c>
      <c r="Z178" s="2069">
        <f>0</f>
        <v>0</v>
      </c>
      <c r="AA178" s="2069">
        <f>0</f>
        <v>0</v>
      </c>
      <c r="AB178" s="2069">
        <f>0</f>
        <v>0</v>
      </c>
      <c r="AC178" s="2086">
        <f>0</f>
        <v>0</v>
      </c>
      <c r="AD178" s="2086">
        <f>0</f>
        <v>0</v>
      </c>
      <c r="AE178" s="2069">
        <f>0</f>
        <v>0</v>
      </c>
      <c r="AF178" s="2101">
        <f>X_HFO_P/X_HFO</f>
        <v>1.5529865549288207E-48</v>
      </c>
      <c r="AG178" s="2069">
        <f>0</f>
        <v>0</v>
      </c>
      <c r="AH178" s="2069">
        <f>0</f>
        <v>0</v>
      </c>
      <c r="AI178" s="2086">
        <f>0</f>
        <v>0</v>
      </c>
      <c r="AJ178" s="2086">
        <f>0</f>
        <v>0</v>
      </c>
      <c r="AK178" s="2069">
        <f>0</f>
        <v>0</v>
      </c>
      <c r="AL178" s="2069">
        <f>0</f>
        <v>0</v>
      </c>
      <c r="AM178" s="2069">
        <f>0</f>
        <v>0</v>
      </c>
      <c r="AN178" s="2069">
        <f>0</f>
        <v>0</v>
      </c>
      <c r="AO178" s="2068">
        <f>i_CIT_SB*E_EQFe2*S_B/(S_B+S_VFA)+i_CIT_VFA*E_EQFe2*S_VFA/(S_B+S_VFA)</f>
        <v>4.1096776881556003E-2</v>
      </c>
      <c r="AP178" s="2069">
        <f>0</f>
        <v>0</v>
      </c>
      <c r="AQ178" s="2069">
        <f>0</f>
        <v>0</v>
      </c>
      <c r="AR178" s="2069">
        <f>0</f>
        <v>0</v>
      </c>
      <c r="AS178" s="2069">
        <f>0</f>
        <v>0</v>
      </c>
      <c r="AT178" s="2069">
        <f>0</f>
        <v>0</v>
      </c>
      <c r="AU178" s="2069">
        <f>0</f>
        <v>0</v>
      </c>
      <c r="AV178" s="2068">
        <f>1</f>
        <v>1</v>
      </c>
      <c r="AW178" s="2101">
        <f>-X_HFO_H/X_HFO</f>
        <v>-9.9999999999999997E-49</v>
      </c>
      <c r="AX178" s="2101">
        <f>-X_HFO_L/X_HFO</f>
        <v>-9.9999999999999997E-49</v>
      </c>
      <c r="AY178" s="2101">
        <f>-X_HFO_old/X_HFO</f>
        <v>-1</v>
      </c>
      <c r="AZ178" s="2101">
        <f>-X_HFO_H_P/X_HFO</f>
        <v>-9.9999999999999997E-49</v>
      </c>
      <c r="BA178" s="2101">
        <f>-X_HFO_L_P/X_HFO</f>
        <v>-9.9999999999999997E-49</v>
      </c>
      <c r="BB178" s="2101">
        <f>-X_HFO_H_P_old/X_HFO</f>
        <v>-9.9999999999999997E-49</v>
      </c>
      <c r="BC178" s="2101">
        <f>-X_HFO_L_P_old/X_HFO</f>
        <v>-9.9999999999999997E-49</v>
      </c>
      <c r="BD178" s="2101">
        <f>0</f>
        <v>0</v>
      </c>
      <c r="BE178" s="2101">
        <f>0</f>
        <v>0</v>
      </c>
      <c r="BF178" s="2101">
        <f>0</f>
        <v>0</v>
      </c>
      <c r="BG178" s="2101">
        <f>0</f>
        <v>0</v>
      </c>
      <c r="BH178" s="2101">
        <f>0</f>
        <v>0</v>
      </c>
      <c r="BI178" s="2101">
        <f>0</f>
        <v>0</v>
      </c>
      <c r="BJ178" s="2101">
        <f>0</f>
        <v>0</v>
      </c>
      <c r="BK178" s="2068">
        <f>0</f>
        <v>0</v>
      </c>
      <c r="BL178" s="2068">
        <f>0</f>
        <v>0</v>
      </c>
      <c r="BM178" s="2068">
        <f>0</f>
        <v>0</v>
      </c>
      <c r="BN178" s="2068">
        <f>0</f>
        <v>0</v>
      </c>
      <c r="BO178" s="2068">
        <f>0</f>
        <v>0</v>
      </c>
      <c r="BP178" s="2124">
        <f>0</f>
        <v>0</v>
      </c>
      <c r="BQ178" s="2124">
        <f>0</f>
        <v>0</v>
      </c>
      <c r="BR178" s="2124">
        <f>0</f>
        <v>0</v>
      </c>
      <c r="BS178" s="2124">
        <f>0</f>
        <v>0</v>
      </c>
      <c r="BT178" s="2068">
        <f>0</f>
        <v>0</v>
      </c>
      <c r="BU178" s="2068">
        <f>0</f>
        <v>0</v>
      </c>
      <c r="BV178" s="2068">
        <f>0</f>
        <v>0</v>
      </c>
      <c r="BW178" s="2068">
        <f>0</f>
        <v>0</v>
      </c>
      <c r="BX178" s="2068">
        <f>0</f>
        <v>0</v>
      </c>
      <c r="BY178" s="2068">
        <f>0</f>
        <v>0</v>
      </c>
      <c r="BZ178" s="2068">
        <f>0</f>
        <v>0</v>
      </c>
      <c r="CA178" s="2068">
        <f>0</f>
        <v>0</v>
      </c>
      <c r="CB178" s="2068">
        <f>0</f>
        <v>0</v>
      </c>
      <c r="CC178" s="2068">
        <f>0</f>
        <v>0</v>
      </c>
      <c r="CD178" s="2068">
        <f>0</f>
        <v>0</v>
      </c>
      <c r="CE178" s="2068">
        <f>0</f>
        <v>0</v>
      </c>
      <c r="CF178" s="2068">
        <f>0</f>
        <v>0</v>
      </c>
      <c r="CG178" s="2068">
        <f>0</f>
        <v>0</v>
      </c>
      <c r="CH178" s="2068">
        <f>0</f>
        <v>0</v>
      </c>
      <c r="CI178" s="2147">
        <f>q_HFO_RED_T*X_HFO*L_oginhORP_HFO*(M_satSB_KSB+M_satSVFA_KVFA)</f>
        <v>3.4192200650821633E-20</v>
      </c>
      <c r="CK178" s="1950">
        <f>E210*E178+F210*F178+G210*G178+H210*H178+I210*I178+J210*J178+K210*K178+L210*L178+M210*M178+N210*N178+O210*O178+P210*P178+Q210*Q178+R210*R178+S210*S178+T210*T178+U210*U178+V210*V178+W210*W178+X210*X178+Y210*Y178+Z210*Z178+AA210*AA178+AB210*AB178+AC210*AC178+AD210*AD178+AE210*AE178+AF210*AF178+AG210*AG178+AH210*AH178+AI210*AI178+AJ210*AJ178+AK210*AK178+AL210*AL178+AM210*AM178+AN210*AN178+AO210*AO178+AP210*AP178+AQ210*AQ178+AR210*AR178+AS210*AS178+AT210*AT178+AU210*AU178+AV210*AV178+AW210*AW178+AX210*AX178+AY210*AY178+AZ210*AZ178+BA210*BA178+BB210*BB178+BC210*BC178+BD210*BD178+BE210*BE178+BF210*BF178+BG210*BG178+BH210*BH178+BI210*BI178+BJ210*BJ178+BK210*BK178+BL210*BL178+BM210*BM178+BN210*BN178+BO210*BO178+BP210*BP178+BQ210*BQ178+BR210*BR178+BS210*BS178+BT210*BT178+BU210*BU178+BV210*BV178+BW210*BW178+BX210*BX178+BY210*BY178+BZ210*BZ178+CA210*CA178+CB210*CB178+CC210*CC178+CD210*CD178+CE210*CE178+CF210*CF178+CG210*CG178+CH210*CH178</f>
        <v>0</v>
      </c>
      <c r="CL178" s="1950">
        <f>E211*E178+F211*F178+G211*G178+H211*H178+I211*I178+J211*J178+K211*K178+L211*L178+M211*M178+N211*N178+O211*O178+P211*P178+Q211*Q178+R211*R178+S211*S178+T211*T178+U211*U178+V211*V178+W211*W178+X211*X178+Y211*Y178+Z211*Z178+AA211*AA178+AB211*AB178+AC211*AC178+AD211*AD178+AE211*AE178+AF211*AF178+AG211*AG178+AH211*AH178+AI211*AI178+AJ211*AJ178+AK211*AK178+AL211*AL178+AM211*AM178+AN211*AN178+AO211*AO178+AP211*AP178+AQ211*AQ178+AR211*AR178+AS211*AS178+AT211*AT178+AU211*AU178+AV211*AV178+AW211*AW178+AX211*AX178+AY211*AY178+AZ211*AZ178+BA211*BA178+BB211*BB178+BC211*BC178+BD211*BD178+BE211*BE178+BF211*BF178+BG211*BG178+BH211*BH178+BI211*BI178+BJ211*BJ178+BK211*BK178+BL211*BL178+BM211*BM178+BN211*BN178+BO211*BO178+BP211*BP178+BQ211*BQ178+BR211*BR178+BS211*BS178+BT211*BT178+BU211*BU178+BV211*BV178+BW211*BW178+BX211*BX178+BY211*BY178+BZ211*BZ178+CA211*CA178+CB211*CB178+CC211*CC178+CD211*CD178+CE211*CE178+CF211*CF178+CG211*CG178+CH211*CH178</f>
        <v>0</v>
      </c>
      <c r="CM178" s="1951">
        <f>E212*E178+F212*F178+G212*G178+H212*H178+I212*I178+J212*J178+K212*K178+L212*L178+M212*M178+N212*N178+O212*O178+P212*P178+Q212*Q178+R212*R178+S212*S178+T212*T178+U212*U178+V212*V178+W212*W178+X212*X178+Y212*Y178+Z212*Z178+AA212*AA178+AB212*AB178+AC212*AC178+AD212*AD178+AE212*AE178+AF212*AF178+AG212*AG178+AH212*AH178+AI212*AI178+AJ212*AJ178+AK212*AK178+AL212*AL178+AM212*AM178+AN212*AN178+AO212*AO178+AP212*AP178+AQ212*AQ178+AR212*AR178+AS212*AS178+AT212*AT178+AU212*AU178+AV212*AV178+AW212*AW178+AX212*AX178+AY212*AY178+AZ212*AZ178+BA212*BA178+BB212*BB178+BC212*BC178+BD212*BD178+BE212*BE178+BF212*BF178+BG212*BG178+BH212*BH178+BI212*BI178+BJ212*BJ178+BK212*BK178+BL212*BL178+BM212*BM178+BN212*BN178+BO212*BO178+BP212*BP178+BQ212*BQ178+BR212*BR178+BS212*BS178+BT212*BT178+BU212*BU178+BV212*BV178+BW212*BW178+BX212*BX178+BY212*BY178+BZ212*BZ178+CA212*CA178+CB212*CB178+CC212*CC178+CD212*CD178+CE212*CE178+CF212*CF178+CG212*CG178+CH212*CH178</f>
        <v>0</v>
      </c>
      <c r="CN178" s="1952">
        <f>E213*E178+F213*F178+G213*G178+H213*H178+I213*I178+J213*J178+K213*K178+L213*L178+M213*M178+N213*N178+O213*O178+P213*P178+Q213*Q178+R213*R178+S213*S178+T213*T178+U213*U178+V213*V178+W213*W178+X213*X178+Y213*Y178+Z213*Z178+AA213*AA178+AB213*AB178+AC213*AC178+AD213*AD178+AE213*AE178+AF213*AF178+AG213*AG178+AH213*AH178+AI213*AI178+AJ213*AJ178+AK213*AK178+AL213*AL178+AM213*AM178+AN213*AN178+AO213*AO178+AP213*AP178+AQ213*AQ178+AR213*AR178+AS213*AS178+AT213*AT178+AU213*AU178+AV213*AV178+AW213*AW178+AX213*AX178+AY213*AY178+AZ213*AZ178+BA213*BA178+BB213*BB178+BC213*BC178+BD213*BD178+BE213*BE178+BF213*BF178+BG213*BG178+BH213*BH178+BI213*BI178+BJ213*BJ178+BK213*BK178+BL213*BL178+BM213*BM178+BN213*BN178+BO213*BO178+BP213*BP178+BQ213*BQ178+BR213*BR178+BS213*BS178+BT213*BT178+BU213*BU178+BV213*BV178+BW213*BW178+BX213*BX178+BY213*BY178+BZ213*BZ178+CA213*CA178+CB213*CB178+CC213*CC178+CD213*CD178+CE213*CE178+CF213*CF178+CG213*CG178+CH213*CH178</f>
        <v>0</v>
      </c>
      <c r="CO178" s="1952">
        <f>E214*E178+F214*F178+G214*G178+H214*H178+I214*I178+J214*J178+K214*K178+L214*L178+M214*M178+N214*N178+O214*O178+P214*P178+Q214*Q178+R214*R178+S214*S178+T214*T178+U214*U178+V214*V178+W214*W178+X214*X178+Y214*Y178+Z214*Z178+AA214*AA178+AB214*AB178+AC214*AC178+AD214*AD178+AE214*AE178+AF214*AF178+AG214*AG178+AH214*AH178+AI214*AI178+AJ214*AJ178+AK214*AK178+AL214*AL178+AM214*AM178+AN214*AN178+AO214*AO178+AP214*AP178+AQ214*AQ178+AR214*AR178+AS214*AS178+AT214*AT178+AU214*AU178+AV214*AV178+AW214*AW178+AX214*AX178+AY214*AY178+AZ214*AZ178+BA214*BA178+BB214*BB178+BC214*BC178+BD214*BD178+BE214*BE178+BF214*BF178+BG214*BG178+BH214*BH178+BI214*BI178+BJ214*BJ178+BK214*BK178+BL214*BL178+BM214*BM178+BN214*BN178+BO214*BO178+BP214*BP178+BQ214*BQ178+BR214*BR178+BS214*BS178+BT214*BT178+BU214*BU178+BV214*BV178+BW214*BW178+BX214*BX178+BY214*BY178+BZ214*BZ178+CA214*CA178+CB214*CB178+CC214*CC178+CD214*CD178+CE214*CE178+CF214*CF178+CG214*CG178+CH214*CH178</f>
        <v>0</v>
      </c>
      <c r="CP178" s="1952">
        <f>E215*E178+F215*F178+G215*G178+H215*H178+I215*I178+J215*J178+K215*K178+L215*L178+M215*M178+N215*N178+O215*O178+P215*P178+Q215*Q178+R215*R178+S215*S178+T215*T178+U215*U178+V215*V178+W215*W178+X215*X178+Y215*Y178+Z215*Z178+AA215*AA178+AB215*AB178+AC215*AC178+AD215*AD178+AE215*AE178+AF215*AF178+AG215*AG178+AH215*AH178+AI215*AI178+AJ215*AJ178+AK215*AK178+AL215*AL178+AM215*AM178+AN215*AN178+AO215*AO178+AP215*AP178+AQ215*AQ178+AR215*AR178+AS215*AS178+AT215*AT178+AU215*AU178+AV215*AV178+AW215*AW178+AX215*AX178+AY215*AY178+AZ215*AZ178+BA215*BA178+BB215*BB178+BC215*BC178+BD215*BD178+BE215*BE178+BF215*BF178+BG215*BG178+BH215*BH178+BI215*BI178+BJ215*BJ178+BK215*BK178+BL215*BL178+BM215*BM178+BN215*BN178+BO215*BO178+BP215*BP178+BQ215*BQ178+BR215*BR178+BS215*BS178+BT215*BT178+BU215*BU178+BV215*BV178+BW215*BW178+BX215*BX178+BY215*BY178+BZ215*BZ178+CA215*CA178+CB215*CB178+CC215*CC178+CD215*CD178+CE215*CE178+CF215*CF178+CG215*CG178+CH215*CH178</f>
        <v>0</v>
      </c>
      <c r="CQ178" s="1952">
        <f>E216*E178+F216*F178+G216*G178+H216*H178+I216*I178+J216*J178+K216*K178+L216*L178+M216*M178+N216*N178+O216*O178+P216*P178+Q216*Q178+R216*R178+S216*S178+T216*T178+U216*U178+V216*V178+W216*W178+X216*X178+Y216*Y178+Z216*Z178+AA216*AA178+AB216*AB178+AC216*AC178+AD216*AD178+AE216*AE178+AF216*AF178+AG216*AG178+AH216*AH178+AI216*AI178+AJ216*AJ178+AK216*AK178+AL216*AL178+AM216*AM178+AN216*AN178+AO216*AO178+AP216*AP178+AQ216*AQ178+AR216*AR178+AS216*AS178+AT216*AT178+AU216*AU178+AV216*AV178+AW216*AW178+AX216*AX178+AY216*AY178+AZ216*AZ178+BA216*BA178+BB216*BB178+BC216*BC178+BD216*BD178+BE216*BE178+BF216*BF178+BG216*BG178+BH216*BH178+BI216*BI178+BJ216*BJ178+BK216*BK178+BL216*BL178+BM216*BM178+BN216*BN178+BO216*BO178+BP216*BP178+BQ216*BQ178+BR216*BR178+BS216*BS178+BT216*BT178+BU216*BU178+BV216*BV178+BW216*BW178+BX216*BX178+BY216*BY178+BZ216*BZ178+CA216*CA178+CB216*CB178+CC216*CC178+CD216*CD178+CE216*CE178+CF216*CF178+CG216*CG178+CH216*CH178</f>
        <v>0</v>
      </c>
      <c r="CR178" s="1952">
        <f>E217*E178+F217*F178+G217*G178+H217*H178+I217*I178+J217*J178+K217*K178+L217*L178+M217*M178+N217*N178+O217*O178+P217*P178+Q217*Q178+R217*R178+S217*S178+T217*T178+U217*U178+V217*V178+W217*W178+X217*X178+Y217*Y178+Z217*Z178+AA217*AA178+AB217*AB178+AC217*AC178+AD217*AD178+AE217*AE178+AF217*AF178+AG217*AG178+AH217*AH178+AI217*AI178+AJ217*AJ178+AK217*AK178+AL217*AL178+AM217*AM178+AN217*AN178+AO217*AO178+AP217*AP178+AQ217*AQ178+AR217*AR178+AS217*AS178+AT217*AT178+AU217*AU178+AV217*AV178+AW217*AW178+AX217*AX178+AY217*AY178+AZ217*AZ178+BA217*BA178+BB217*BB178+BC217*BC178+BD217*BD178+BE217*BE178+BF217*BF178+BG217*BG178+BH217*BH178+BI217*BI178+BJ217*BJ178+BK217*BK178+BL217*BL178+BM217*BM178+BN217*BN178+BO217*BO178+BP217*BP178+BQ217*BQ178+BR217*BR178+BS217*BS178+BT217*BT178+BU217*BU178+BV217*BV178+BW217*BW178+BX217*BX178+BY217*BY178+BZ217*BZ178+CA217*CA178+CB217*CB178+CC217*CC178+CD217*CD178+CE217*CE178+CF217*CF178+CG217*CG178+CH217*CH178</f>
        <v>0</v>
      </c>
      <c r="CS178" s="1952">
        <f>E218*E178+F218*F178+G218*G178+H218*H178+I218*I178+J218*J178+K218*K178+L218*L178+M218*M178+N218*N178+O218*O178+P218*P178+Q218*Q178+R218*R178+S218*S178+T218*T178+U218*U178+V218*V178+W218*W178+X218*X178+Y218*Y178+Z218*Z178+AA218*AA178+AB218*AB178+AC218*AC178+AD218*AD178+AE218*AE178+AF218*AF178+AG218*AG178+AH218*AH178+AI218*AI178+AJ218*AJ178+AK218*AK178+AL218*AL178+AM218*AM178+AN218*AN178+AO218*AO178+AP218*AP178+AQ218*AQ178+AR218*AR178+AS218*AS178+AT218*AT178+AU218*AU178+AV218*AV178+AW218*AW178+AX218*AX178+AY218*AY178+AZ218*AZ178+BA218*BA178+BB218*BB178+BC218*BC178+BD218*BD178+BE218*BE178+BF218*BF178+BG218*BG178+BH218*BH178+BI218*BI178+BJ218*BJ178+BK218*BK178+BL218*BL178+BM218*BM178+BN218*BN178+BO218*BO178+BP218*BP178+BQ218*BQ178+BR218*BR178+BS218*BS178+BT218*BT178+BU218*BU178+BV218*BV178+BW218*BW178+BX218*BX178+BY218*BY178+BZ218*BZ178+CA218*CA178+CB218*CB178+CC218*CC178+CD218*CD178+CE218*CE178+CF218*CF178+CG218*CG178+CH218*CH178</f>
        <v>0</v>
      </c>
      <c r="CT178" s="1952">
        <f>E219*E178+F219*F178+G219*G178+H219*H178+I219*I178+J219*J178+K219*K178+L219*L178+M219*M178+N219*N178+O219*O178+P219*P178+Q219*Q178+R219*R178+S219*S178+T219*T178+U219*U178+V219*V178+W219*W178+X219*X178+Y219*Y178+Z219*Z178+AA219*AA178+AB219*AB178+AC219*AC178+AD219*AD178+AE219*AE178+AF219*AF178+AG219*AG178+AH219*AH178+AI219*AI178+AJ219*AJ178+AK219*AK178+AL219*AL178+AM219*AM178+AN219*AN178+AO219*AO178+AP219*AP178+AQ219*AQ178+AR219*AR178+AS219*AS178+AT219*AT178+AU219*AU178+AV219*AV178+AW219*AW178+AX219*AX178+AY219*AY178+AZ219*AZ178+BA219*BA178+BB219*BB178+BC219*BC178+BD219*BD178+BE219*BE178+BF219*BF178+BG219*BG178+BH219*BH178+BI219*BI178+BJ219*BJ178+BK219*BK178+BL219*BL178+BM219*BM178+BN219*BN178+BO219*BO178+BP219*BP178+BQ219*BQ178+BR219*BR178+BS219*BS178+BT219*BT178+BU219*BU178+BV219*BV178+BW219*BW178+BX219*BX178+BY219*BY178+BZ219*BZ178+CA219*CA178+CB219*CB178+CC219*CC178+CD219*CD178+CE219*CE178+CF219*CF178+CG219*CG178+CH219*CH178</f>
        <v>-3.9999999999999999E-48</v>
      </c>
      <c r="CU178" s="1952">
        <f>E220*E178+F220*F178+G220*G178+H220*H178+I220*I178+J220*J178+K220*K178+L220*L178+M220*M178+N220*N178+O220*O178+P220*P178+Q220*Q178+R220*R178+S220*S178+T220*T178+U220*U178+V220*V178+W220*W178+X220*X178+Y220*Y178+Z220*Z178+AA220*AA178+AB220*AB178+AC220*AC178+AD220*AD178+AE220*AE178+AF220*AF178+AG220*AG178+AH220*AH178+AI220*AI178+AJ220*AJ178+AK220*AK178+AL220*AL178+AM220*AM178+AN220*AN178+AO220*AO178+AP220*AP178+AQ220*AQ178+AR220*AR178+AS220*AS178+AT220*AT178+AU220*AU178+AV220*AV178+AW220*AW178+AX220*AX178+AY220*AY178+AZ220*AZ178+BA220*BA178+BB220*BB178+BC220*BC178+BD220*BD178+BE220*BE178+BF220*BF178+BG220*BG178+BH220*BH178+BI220*BI178+BJ220*BJ178+BK220*BK178+BL220*BL178+BM220*BM178+BN220*BN178+BO220*BO178+BP220*BP178+BQ220*BQ178+BR220*BR178+BS220*BS178+BT220*BT178+BU220*BU178+BV220*BV178+BW220*BW178+BX220*BX178+BY220*BY178+BZ220*BZ178+CA220*CA178+CB220*CB178+CC220*CC178+CD220*CD178+CE220*CE178+CF220*CF178+CG220*CG178+CH220*CH178</f>
        <v>0</v>
      </c>
    </row>
    <row r="179" spans="2:99" ht="18" x14ac:dyDescent="0.25">
      <c r="B179" s="1052">
        <v>64</v>
      </c>
      <c r="C179" s="1140" t="s">
        <v>2676</v>
      </c>
      <c r="D179" s="1141" t="s">
        <v>1682</v>
      </c>
      <c r="E179" s="2069">
        <f>0</f>
        <v>0</v>
      </c>
      <c r="F179" s="2069">
        <f>0</f>
        <v>0</v>
      </c>
      <c r="G179" s="2069">
        <f>0</f>
        <v>0</v>
      </c>
      <c r="H179" s="2069">
        <f>0</f>
        <v>0</v>
      </c>
      <c r="I179" s="2086">
        <f>0</f>
        <v>0</v>
      </c>
      <c r="J179" s="2086">
        <f>0</f>
        <v>0</v>
      </c>
      <c r="K179" s="2069">
        <f>0</f>
        <v>0</v>
      </c>
      <c r="L179" s="2069">
        <f>0</f>
        <v>0</v>
      </c>
      <c r="M179" s="2069">
        <f>0</f>
        <v>0</v>
      </c>
      <c r="N179" s="2069">
        <f>0</f>
        <v>0</v>
      </c>
      <c r="O179" s="2069">
        <f>0</f>
        <v>0</v>
      </c>
      <c r="P179" s="2069">
        <f>0</f>
        <v>0</v>
      </c>
      <c r="Q179" s="2069">
        <f>0</f>
        <v>0</v>
      </c>
      <c r="R179" s="2068">
        <f>0</f>
        <v>0</v>
      </c>
      <c r="S179" s="2069">
        <f>0</f>
        <v>0</v>
      </c>
      <c r="T179" s="2069">
        <f>0</f>
        <v>0</v>
      </c>
      <c r="U179" s="2069">
        <f>0</f>
        <v>0</v>
      </c>
      <c r="V179" s="2069">
        <f>0</f>
        <v>0</v>
      </c>
      <c r="W179" s="2069">
        <f>0</f>
        <v>0</v>
      </c>
      <c r="X179" s="2069">
        <f>0</f>
        <v>0</v>
      </c>
      <c r="Y179" s="2069">
        <f>0</f>
        <v>0</v>
      </c>
      <c r="Z179" s="2069">
        <f>0</f>
        <v>0</v>
      </c>
      <c r="AA179" s="2069">
        <f>0</f>
        <v>0</v>
      </c>
      <c r="AB179" s="2069">
        <f>0</f>
        <v>0</v>
      </c>
      <c r="AC179" s="2086">
        <f>0</f>
        <v>0</v>
      </c>
      <c r="AD179" s="2086">
        <f>0</f>
        <v>0</v>
      </c>
      <c r="AE179" s="2069">
        <f>0</f>
        <v>0</v>
      </c>
      <c r="AF179" s="2068">
        <f>0</f>
        <v>0</v>
      </c>
      <c r="AG179" s="2069">
        <f>0</f>
        <v>0</v>
      </c>
      <c r="AH179" s="2069">
        <f>0</f>
        <v>0</v>
      </c>
      <c r="AI179" s="2086">
        <f>0</f>
        <v>0</v>
      </c>
      <c r="AJ179" s="2086">
        <f>0</f>
        <v>0</v>
      </c>
      <c r="AK179" s="2069">
        <f>0</f>
        <v>0</v>
      </c>
      <c r="AL179" s="2068">
        <f>-E_EQFe2</f>
        <v>-0.14325364849136002</v>
      </c>
      <c r="AM179" s="2069">
        <f>0</f>
        <v>0</v>
      </c>
      <c r="AN179" s="2069">
        <f>0</f>
        <v>0</v>
      </c>
      <c r="AO179" s="2068">
        <f>0</f>
        <v>0</v>
      </c>
      <c r="AP179" s="2069">
        <f>0</f>
        <v>0</v>
      </c>
      <c r="AQ179" s="2069">
        <f>0</f>
        <v>0</v>
      </c>
      <c r="AR179" s="2069">
        <f>0</f>
        <v>0</v>
      </c>
      <c r="AS179" s="2069">
        <f>0</f>
        <v>0</v>
      </c>
      <c r="AT179" s="2069">
        <f>0</f>
        <v>0</v>
      </c>
      <c r="AU179" s="2069">
        <f>0</f>
        <v>0</v>
      </c>
      <c r="AV179" s="2068">
        <f>-1</f>
        <v>-1</v>
      </c>
      <c r="AW179" s="2069">
        <f>1</f>
        <v>1</v>
      </c>
      <c r="AX179" s="2069">
        <f>0</f>
        <v>0</v>
      </c>
      <c r="AY179" s="2069">
        <f>0</f>
        <v>0</v>
      </c>
      <c r="AZ179" s="2068">
        <f>0</f>
        <v>0</v>
      </c>
      <c r="BA179" s="2069">
        <f>0</f>
        <v>0</v>
      </c>
      <c r="BB179" s="2068">
        <f>0</f>
        <v>0</v>
      </c>
      <c r="BC179" s="2068">
        <f>0</f>
        <v>0</v>
      </c>
      <c r="BD179" s="2069">
        <f>0</f>
        <v>0</v>
      </c>
      <c r="BE179" s="2069">
        <f>0</f>
        <v>0</v>
      </c>
      <c r="BF179" s="2069">
        <f>0</f>
        <v>0</v>
      </c>
      <c r="BG179" s="2068">
        <f>0</f>
        <v>0</v>
      </c>
      <c r="BH179" s="2069">
        <f>0</f>
        <v>0</v>
      </c>
      <c r="BI179" s="2068">
        <f>0</f>
        <v>0</v>
      </c>
      <c r="BJ179" s="2068">
        <f>0</f>
        <v>0</v>
      </c>
      <c r="BK179" s="2068">
        <f>0</f>
        <v>0</v>
      </c>
      <c r="BL179" s="2068">
        <f>0</f>
        <v>0</v>
      </c>
      <c r="BM179" s="2068">
        <f>0</f>
        <v>0</v>
      </c>
      <c r="BN179" s="2068">
        <f>0</f>
        <v>0</v>
      </c>
      <c r="BO179" s="2068">
        <f>0</f>
        <v>0</v>
      </c>
      <c r="BP179" s="2124">
        <f>0</f>
        <v>0</v>
      </c>
      <c r="BQ179" s="2124">
        <f>0</f>
        <v>0</v>
      </c>
      <c r="BR179" s="2124">
        <f>0</f>
        <v>0</v>
      </c>
      <c r="BS179" s="2124">
        <f>0</f>
        <v>0</v>
      </c>
      <c r="BT179" s="2068">
        <f>0</f>
        <v>0</v>
      </c>
      <c r="BU179" s="2068">
        <f>0</f>
        <v>0</v>
      </c>
      <c r="BV179" s="2068">
        <f>0</f>
        <v>0</v>
      </c>
      <c r="BW179" s="2068">
        <f>0</f>
        <v>0</v>
      </c>
      <c r="BX179" s="2068">
        <f>0</f>
        <v>0</v>
      </c>
      <c r="BY179" s="2068">
        <f>0</f>
        <v>0</v>
      </c>
      <c r="BZ179" s="2068">
        <f>0</f>
        <v>0</v>
      </c>
      <c r="CA179" s="2068">
        <f>0</f>
        <v>0</v>
      </c>
      <c r="CB179" s="2068">
        <f>0</f>
        <v>0</v>
      </c>
      <c r="CC179" s="2068">
        <f>0</f>
        <v>0</v>
      </c>
      <c r="CD179" s="2068">
        <f>0</f>
        <v>0</v>
      </c>
      <c r="CE179" s="2068">
        <f>0</f>
        <v>0</v>
      </c>
      <c r="CF179" s="2068">
        <f>0</f>
        <v>0</v>
      </c>
      <c r="CG179" s="2068">
        <f>0</f>
        <v>0</v>
      </c>
      <c r="CH179" s="2068">
        <f>0</f>
        <v>0</v>
      </c>
      <c r="CI179" s="2147">
        <f>q_Fe2_OX_T*S_Fe2*M_satSO2_KO2_OHO</f>
        <v>4.6511627906976739E-49</v>
      </c>
      <c r="CK179" s="1950">
        <f>E210*E179+F210*F179+G210*G179+H210*H179+I210*I179+J210*J179+K210*K179+L210*L179+M210*M179+N210*N179+O210*O179+P210*P179+Q210*Q179+R210*R179+S210*S179+T210*T179+U210*U179+V210*V179+W210*W179+X210*X179+Y210*Y179+Z210*Z179+AA210*AA179+AB210*AB179+AC210*AC179+AD210*AD179+AE210*AE179+AF210*AF179+AG210*AG179+AH210*AH179+AI210*AI179+AJ210*AJ179+AK210*AK179+AL210*AL179+AM210*AM179+AN210*AN179+AO210*AO179+AP210*AP179+AQ210*AQ179+AR210*AR179+AS210*AS179+AT210*AT179+AU210*AU179+AV210*AV179+AW210*AW179+AX210*AX179+AY210*AY179+AZ210*AZ179+BA210*BA179+BB210*BB179+BC210*BC179+BD210*BD179+BE210*BE179+BF210*BF179+BG210*BG179+BH210*BH179+BI210*BI179+BJ210*BJ179+BK210*BK179+BL210*BL179+BM210*BM179+BN210*BN179+BO210*BO179+BP210*BP179+BQ210*BQ179+BR210*BR179+BS210*BS179+BT210*BT179+BU210*BU179+BV210*BV179+BW210*BW179+BX210*BX179+BY210*BY179+BZ210*BZ179+CA210*CA179+CB210*CB179+CC210*CC179+CD210*CD179+CE210*CE179+CF210*CF179+CG210*CG179+CH210*CH179</f>
        <v>0</v>
      </c>
      <c r="CL179" s="1950">
        <f>E211*E179+F211*F179+G211*G179+H211*H179+I211*I179+J211*J179+K211*K179+L211*L179+M211*M179+N211*N179+O211*O179+P211*P179+Q211*Q179+R211*R179+S211*S179+T211*T179+U211*U179+V211*V179+W211*W179+X211*X179+Y211*Y179+Z211*Z179+AA211*AA179+AB211*AB179+AC211*AC179+AD211*AD179+AE211*AE179+AF211*AF179+AG211*AG179+AH211*AH179+AI211*AI179+AJ211*AJ179+AK211*AK179+AL211*AL179+AM211*AM179+AN211*AN179+AO211*AO179+AP211*AP179+AQ211*AQ179+AR211*AR179+AS211*AS179+AT211*AT179+AU211*AU179+AV211*AV179+AW211*AW179+AX211*AX179+AY211*AY179+AZ211*AZ179+BA211*BA179+BB211*BB179+BC211*BC179+BD211*BD179+BE211*BE179+BF211*BF179+BG211*BG179+BH211*BH179+BI211*BI179+BJ211*BJ179+BK211*BK179+BL211*BL179+BM211*BM179+BN211*BN179+BO211*BO179+BP211*BP179+BQ211*BQ179+BR211*BR179+BS211*BS179+BT211*BT179+BU211*BU179+BV211*BV179+BW211*BW179+BX211*BX179+BY211*BY179+BZ211*BZ179+CA211*CA179+CB211*CB179+CC211*CC179+CD211*CD179+CE211*CE179+CF211*CF179+CG211*CG179+CH211*CH179</f>
        <v>0</v>
      </c>
      <c r="CM179" s="1951">
        <f>E212*E179+F212*F179+G212*G179+H212*H179+I212*I179+J212*J179+K212*K179+L212*L179+M212*M179+N212*N179+O212*O179+P212*P179+Q212*Q179+R212*R179+S212*S179+T212*T179+U212*U179+V212*V179+W212*W179+X212*X179+Y212*Y179+Z212*Z179+AA212*AA179+AB212*AB179+AC212*AC179+AD212*AD179+AE212*AE179+AF212*AF179+AG212*AG179+AH212*AH179+AI212*AI179+AJ212*AJ179+AK212*AK179+AL212*AL179+AM212*AM179+AN212*AN179+AO212*AO179+AP212*AP179+AQ212*AQ179+AR212*AR179+AS212*AS179+AT212*AT179+AU212*AU179+AV212*AV179+AW212*AW179+AX212*AX179+AY212*AY179+AZ212*AZ179+BA212*BA179+BB212*BB179+BC212*BC179+BD212*BD179+BE212*BE179+BF212*BF179+BG212*BG179+BH212*BH179+BI212*BI179+BJ212*BJ179+BK212*BK179+BL212*BL179+BM212*BM179+BN212*BN179+BO212*BO179+BP212*BP179+BQ212*BQ179+BR212*BR179+BS212*BS179+BT212*BT179+BU212*BU179+BV212*BV179+BW212*BW179+BX212*BX179+BY212*BY179+BZ212*BZ179+CA212*CA179+CB212*CB179+CC212*CC179+CD212*CD179+CE212*CE179+CF212*CF179+CG212*CG179+CH212*CH179</f>
        <v>0</v>
      </c>
      <c r="CN179" s="1952">
        <f>E213*E179+F213*F179+G213*G179+H213*H179+I213*I179+J213*J179+K213*K179+L213*L179+M213*M179+N213*N179+O213*O179+P213*P179+Q213*Q179+R213*R179+S213*S179+T213*T179+U213*U179+V213*V179+W213*W179+X213*X179+Y213*Y179+Z213*Z179+AA213*AA179+AB213*AB179+AC213*AC179+AD213*AD179+AE213*AE179+AF213*AF179+AG213*AG179+AH213*AH179+AI213*AI179+AJ213*AJ179+AK213*AK179+AL213*AL179+AM213*AM179+AN213*AN179+AO213*AO179+AP213*AP179+AQ213*AQ179+AR213*AR179+AS213*AS179+AT213*AT179+AU213*AU179+AV213*AV179+AW213*AW179+AX213*AX179+AY213*AY179+AZ213*AZ179+BA213*BA179+BB213*BB179+BC213*BC179+BD213*BD179+BE213*BE179+BF213*BF179+BG213*BG179+BH213*BH179+BI213*BI179+BJ213*BJ179+BK213*BK179+BL213*BL179+BM213*BM179+BN213*BN179+BO213*BO179+BP213*BP179+BQ213*BQ179+BR213*BR179+BS213*BS179+BT213*BT179+BU213*BU179+BV213*BV179+BW213*BW179+BX213*BX179+BY213*BY179+BZ213*BZ179+CA213*CA179+CB213*CB179+CC213*CC179+CD213*CD179+CE213*CE179+CF213*CF179+CG213*CG179+CH213*CH179</f>
        <v>0</v>
      </c>
      <c r="CO179" s="1952">
        <f>E214*E179+F214*F179+G214*G179+H214*H179+I214*I179+J214*J179+K214*K179+L214*L179+M214*M179+N214*N179+O214*O179+P214*P179+Q214*Q179+R214*R179+S214*S179+T214*T179+U214*U179+V214*V179+W214*W179+X214*X179+Y214*Y179+Z214*Z179+AA214*AA179+AB214*AB179+AC214*AC179+AD214*AD179+AE214*AE179+AF214*AF179+AG214*AG179+AH214*AH179+AI214*AI179+AJ214*AJ179+AK214*AK179+AL214*AL179+AM214*AM179+AN214*AN179+AO214*AO179+AP214*AP179+AQ214*AQ179+AR214*AR179+AS214*AS179+AT214*AT179+AU214*AU179+AV214*AV179+AW214*AW179+AX214*AX179+AY214*AY179+AZ214*AZ179+BA214*BA179+BB214*BB179+BC214*BC179+BD214*BD179+BE214*BE179+BF214*BF179+BG214*BG179+BH214*BH179+BI214*BI179+BJ214*BJ179+BK214*BK179+BL214*BL179+BM214*BM179+BN214*BN179+BO214*BO179+BP214*BP179+BQ214*BQ179+BR214*BR179+BS214*BS179+BT214*BT179+BU214*BU179+BV214*BV179+BW214*BW179+BX214*BX179+BY214*BY179+BZ214*BZ179+CA214*CA179+CB214*CB179+CC214*CC179+CD214*CD179+CE214*CE179+CF214*CF179+CG214*CG179+CH214*CH179</f>
        <v>0</v>
      </c>
      <c r="CP179" s="1952">
        <f>E215*E179+F215*F179+G215*G179+H215*H179+I215*I179+J215*J179+K215*K179+L215*L179+M215*M179+N215*N179+O215*O179+P215*P179+Q215*Q179+R215*R179+S215*S179+T215*T179+U215*U179+V215*V179+W215*W179+X215*X179+Y215*Y179+Z215*Z179+AA215*AA179+AB215*AB179+AC215*AC179+AD215*AD179+AE215*AE179+AF215*AF179+AG215*AG179+AH215*AH179+AI215*AI179+AJ215*AJ179+AK215*AK179+AL215*AL179+AM215*AM179+AN215*AN179+AO215*AO179+AP215*AP179+AQ215*AQ179+AR215*AR179+AS215*AS179+AT215*AT179+AU215*AU179+AV215*AV179+AW215*AW179+AX215*AX179+AY215*AY179+AZ215*AZ179+BA215*BA179+BB215*BB179+BC215*BC179+BD215*BD179+BE215*BE179+BF215*BF179+BG215*BG179+BH215*BH179+BI215*BI179+BJ215*BJ179+BK215*BK179+BL215*BL179+BM215*BM179+BN215*BN179+BO215*BO179+BP215*BP179+BQ215*BQ179+BR215*BR179+BS215*BS179+BT215*BT179+BU215*BU179+BV215*BV179+BW215*BW179+BX215*BX179+BY215*BY179+BZ215*BZ179+CA215*CA179+CB215*CB179+CC215*CC179+CD215*CD179+CE215*CE179+CF215*CF179+CG215*CG179+CH215*CH179</f>
        <v>0</v>
      </c>
      <c r="CQ179" s="1952">
        <f>E216*E179+F216*F179+G216*G179+H216*H179+I216*I179+J216*J179+K216*K179+L216*L179+M216*M179+N216*N179+O216*O179+P216*P179+Q216*Q179+R216*R179+S216*S179+T216*T179+U216*U179+V216*V179+W216*W179+X216*X179+Y216*Y179+Z216*Z179+AA216*AA179+AB216*AB179+AC216*AC179+AD216*AD179+AE216*AE179+AF216*AF179+AG216*AG179+AH216*AH179+AI216*AI179+AJ216*AJ179+AK216*AK179+AL216*AL179+AM216*AM179+AN216*AN179+AO216*AO179+AP216*AP179+AQ216*AQ179+AR216*AR179+AS216*AS179+AT216*AT179+AU216*AU179+AV216*AV179+AW216*AW179+AX216*AX179+AY216*AY179+AZ216*AZ179+BA216*BA179+BB216*BB179+BC216*BC179+BD216*BD179+BE216*BE179+BF216*BF179+BG216*BG179+BH216*BH179+BI216*BI179+BJ216*BJ179+BK216*BK179+BL216*BL179+BM216*BM179+BN216*BN179+BO216*BO179+BP216*BP179+BQ216*BQ179+BR216*BR179+BS216*BS179+BT216*BT179+BU216*BU179+BV216*BV179+BW216*BW179+BX216*BX179+BY216*BY179+BZ216*BZ179+CA216*CA179+CB216*CB179+CC216*CC179+CD216*CD179+CE216*CE179+CF216*CF179+CG216*CG179+CH216*CH179</f>
        <v>0</v>
      </c>
      <c r="CR179" s="1952">
        <f>E217*E179+F217*F179+G217*G179+H217*H179+I217*I179+J217*J179+K217*K179+L217*L179+M217*M179+N217*N179+O217*O179+P217*P179+Q217*Q179+R217*R179+S217*S179+T217*T179+U217*U179+V217*V179+W217*W179+X217*X179+Y217*Y179+Z217*Z179+AA217*AA179+AB217*AB179+AC217*AC179+AD217*AD179+AE217*AE179+AF217*AF179+AG217*AG179+AH217*AH179+AI217*AI179+AJ217*AJ179+AK217*AK179+AL217*AL179+AM217*AM179+AN217*AN179+AO217*AO179+AP217*AP179+AQ217*AQ179+AR217*AR179+AS217*AS179+AT217*AT179+AU217*AU179+AV217*AV179+AW217*AW179+AX217*AX179+AY217*AY179+AZ217*AZ179+BA217*BA179+BB217*BB179+BC217*BC179+BD217*BD179+BE217*BE179+BF217*BF179+BG217*BG179+BH217*BH179+BI217*BI179+BJ217*BJ179+BK217*BK179+BL217*BL179+BM217*BM179+BN217*BN179+BO217*BO179+BP217*BP179+BQ217*BQ179+BR217*BR179+BS217*BS179+BT217*BT179+BU217*BU179+BV217*BV179+BW217*BW179+BX217*BX179+BY217*BY179+BZ217*BZ179+CA217*CA179+CB217*CB179+CC217*CC179+CD217*CD179+CE217*CE179+CF217*CF179+CG217*CG179+CH217*CH179</f>
        <v>0</v>
      </c>
      <c r="CS179" s="1952">
        <f>E218*E179+F218*F179+G218*G179+H218*H179+I218*I179+J218*J179+K218*K179+L218*L179+M218*M179+N218*N179+O218*O179+P218*P179+Q218*Q179+R218*R179+S218*S179+T218*T179+U218*U179+V218*V179+W218*W179+X218*X179+Y218*Y179+Z218*Z179+AA218*AA179+AB218*AB179+AC218*AC179+AD218*AD179+AE218*AE179+AF218*AF179+AG218*AG179+AH218*AH179+AI218*AI179+AJ218*AJ179+AK218*AK179+AL218*AL179+AM218*AM179+AN218*AN179+AO218*AO179+AP218*AP179+AQ218*AQ179+AR218*AR179+AS218*AS179+AT218*AT179+AU218*AU179+AV218*AV179+AW218*AW179+AX218*AX179+AY218*AY179+AZ218*AZ179+BA218*BA179+BB218*BB179+BC218*BC179+BD218*BD179+BE218*BE179+BF218*BF179+BG218*BG179+BH218*BH179+BI218*BI179+BJ218*BJ179+BK218*BK179+BL218*BL179+BM218*BM179+BN218*BN179+BO218*BO179+BP218*BP179+BQ218*BQ179+BR218*BR179+BS218*BS179+BT218*BT179+BU218*BU179+BV218*BV179+BW218*BW179+BX218*BX179+BY218*BY179+BZ218*BZ179+CA218*CA179+CB218*CB179+CC218*CC179+CD218*CD179+CE218*CE179+CF218*CF179+CG218*CG179+CH218*CH179</f>
        <v>0</v>
      </c>
      <c r="CT179" s="1952">
        <f>E219*E179+F219*F179+G219*G179+H219*H179+I219*I179+J219*J179+K219*K179+L219*L179+M219*M179+N219*N179+O219*O179+P219*P179+Q219*Q179+R219*R179+S219*S179+T219*T179+U219*U179+V219*V179+W219*W179+X219*X179+Y219*Y179+Z219*Z179+AA219*AA179+AB219*AB179+AC219*AC179+AD219*AD179+AE219*AE179+AF219*AF179+AG219*AG179+AH219*AH179+AI219*AI179+AJ219*AJ179+AK219*AK179+AL219*AL179+AM219*AM179+AN219*AN179+AO219*AO179+AP219*AP179+AQ219*AQ179+AR219*AR179+AS219*AS179+AT219*AT179+AU219*AU179+AV219*AV179+AW219*AW179+AX219*AX179+AY219*AY179+AZ219*AZ179+BA219*BA179+BB219*BB179+BC219*BC179+BD219*BD179+BE219*BE179+BF219*BF179+BG219*BG179+BH219*BH179+BI219*BI179+BJ219*BJ179+BK219*BK179+BL219*BL179+BM219*BM179+BN219*BN179+BO219*BO179+BP219*BP179+BQ219*BQ179+BR219*BR179+BS219*BS179+BT219*BT179+BU219*BU179+BV219*BV179+BW219*BW179+BX219*BX179+BY219*BY179+BZ219*BZ179+CA219*CA179+CB219*CB179+CC219*CC179+CD219*CD179+CE219*CE179+CF219*CF179+CG219*CG179+CH219*CH179</f>
        <v>0</v>
      </c>
      <c r="CU179" s="1952">
        <f>E220*E179+F220*F179+G220*G179+H220*H179+I220*I179+J220*J179+K220*K179+L220*L179+M220*M179+N220*N179+O220*O179+P220*P179+Q220*Q179+R220*R179+S220*S179+T220*T179+U220*U179+V220*V179+W220*W179+X220*X179+Y220*Y179+Z220*Z179+AA220*AA179+AB220*AB179+AC220*AC179+AD220*AD179+AE220*AE179+AF220*AF179+AG220*AG179+AH220*AH179+AI220*AI179+AJ220*AJ179+AK220*AK179+AL220*AL179+AM220*AM179+AN220*AN179+AO220*AO179+AP220*AP179+AQ220*AQ179+AR220*AR179+AS220*AS179+AT220*AT179+AU220*AU179+AV220*AV179+AW220*AW179+AX220*AX179+AY220*AY179+AZ220*AZ179+BA220*BA179+BB220*BB179+BC220*BC179+BD220*BD179+BE220*BE179+BF220*BF179+BG220*BG179+BH220*BH179+BI220*BI179+BJ220*BJ179+BK220*BK179+BL220*BL179+BM220*BM179+BN220*BN179+BO220*BO179+BP220*BP179+BQ220*BQ179+BR220*BR179+BS220*BS179+BT220*BT179+BU220*BU179+BV220*BV179+BW220*BW179+BX220*BX179+BY220*BY179+BZ220*BZ179+CA220*CA179+CB220*CB179+CC220*CC179+CD220*CD179+CE220*CE179+CF220*CF179+CG220*CG179+CH220*CH179</f>
        <v>0</v>
      </c>
    </row>
    <row r="180" spans="2:99" ht="18" x14ac:dyDescent="0.25">
      <c r="B180" s="1053">
        <v>65</v>
      </c>
      <c r="C180" s="1142" t="s">
        <v>2677</v>
      </c>
      <c r="D180" s="1143" t="s">
        <v>3411</v>
      </c>
      <c r="E180" s="2064">
        <f>0</f>
        <v>0</v>
      </c>
      <c r="F180" s="2064">
        <f>0</f>
        <v>0</v>
      </c>
      <c r="G180" s="2064">
        <f>0</f>
        <v>0</v>
      </c>
      <c r="H180" s="2064">
        <f>0</f>
        <v>0</v>
      </c>
      <c r="I180" s="2065">
        <f>0</f>
        <v>0</v>
      </c>
      <c r="J180" s="2065">
        <f>0</f>
        <v>0</v>
      </c>
      <c r="K180" s="2064">
        <f>0</f>
        <v>0</v>
      </c>
      <c r="L180" s="2064">
        <f>0</f>
        <v>0</v>
      </c>
      <c r="M180" s="2064">
        <f>0</f>
        <v>0</v>
      </c>
      <c r="N180" s="2064">
        <f>0</f>
        <v>0</v>
      </c>
      <c r="O180" s="2064">
        <f>0</f>
        <v>0</v>
      </c>
      <c r="P180" s="2064">
        <f>0</f>
        <v>0</v>
      </c>
      <c r="Q180" s="2064">
        <f>0</f>
        <v>0</v>
      </c>
      <c r="R180" s="2066">
        <f>0</f>
        <v>0</v>
      </c>
      <c r="S180" s="2064">
        <f>0</f>
        <v>0</v>
      </c>
      <c r="T180" s="2064">
        <f>0</f>
        <v>0</v>
      </c>
      <c r="U180" s="2064">
        <f>0</f>
        <v>0</v>
      </c>
      <c r="V180" s="2064">
        <f>0</f>
        <v>0</v>
      </c>
      <c r="W180" s="2064">
        <f>0</f>
        <v>0</v>
      </c>
      <c r="X180" s="2064">
        <f>0</f>
        <v>0</v>
      </c>
      <c r="Y180" s="2064">
        <f>0</f>
        <v>0</v>
      </c>
      <c r="Z180" s="2064">
        <f>0</f>
        <v>0</v>
      </c>
      <c r="AA180" s="2064">
        <f>0</f>
        <v>0</v>
      </c>
      <c r="AB180" s="2064">
        <f>0</f>
        <v>0</v>
      </c>
      <c r="AC180" s="2065">
        <f>0</f>
        <v>0</v>
      </c>
      <c r="AD180" s="2065">
        <f>0</f>
        <v>0</v>
      </c>
      <c r="AE180" s="2064">
        <f>0</f>
        <v>0</v>
      </c>
      <c r="AF180" s="2102">
        <f>0</f>
        <v>0</v>
      </c>
      <c r="AG180" s="2064">
        <f>0</f>
        <v>0</v>
      </c>
      <c r="AH180" s="2064">
        <f>0</f>
        <v>0</v>
      </c>
      <c r="AI180" s="2065">
        <f>0</f>
        <v>0</v>
      </c>
      <c r="AJ180" s="2065">
        <f>0</f>
        <v>0</v>
      </c>
      <c r="AK180" s="2064">
        <f>0</f>
        <v>0</v>
      </c>
      <c r="AL180" s="2066">
        <f>0</f>
        <v>0</v>
      </c>
      <c r="AM180" s="2064">
        <f>0</f>
        <v>0</v>
      </c>
      <c r="AN180" s="2064">
        <f>0</f>
        <v>0</v>
      </c>
      <c r="AO180" s="2066">
        <f>0</f>
        <v>0</v>
      </c>
      <c r="AP180" s="2064">
        <f>0</f>
        <v>0</v>
      </c>
      <c r="AQ180" s="2064">
        <f>0</f>
        <v>0</v>
      </c>
      <c r="AR180" s="2064">
        <f>0</f>
        <v>0</v>
      </c>
      <c r="AS180" s="2064">
        <f>0</f>
        <v>0</v>
      </c>
      <c r="AT180" s="2064">
        <f>0</f>
        <v>0</v>
      </c>
      <c r="AU180" s="2064">
        <f>0</f>
        <v>0</v>
      </c>
      <c r="AV180" s="2066">
        <f>0</f>
        <v>0</v>
      </c>
      <c r="AW180" s="2064">
        <f>0</f>
        <v>0</v>
      </c>
      <c r="AX180" s="2064">
        <f>0</f>
        <v>0</v>
      </c>
      <c r="AY180" s="2064">
        <f>0</f>
        <v>0</v>
      </c>
      <c r="AZ180" s="2066">
        <f>0</f>
        <v>0</v>
      </c>
      <c r="BA180" s="2064">
        <f>0</f>
        <v>0</v>
      </c>
      <c r="BB180" s="2066">
        <f>0</f>
        <v>0</v>
      </c>
      <c r="BC180" s="2066">
        <f>0</f>
        <v>0</v>
      </c>
      <c r="BD180" s="2108">
        <f>-X_HAO_H/(X_HAO_H+X_HAO_H_P)</f>
        <v>-0.5</v>
      </c>
      <c r="BE180" s="2108">
        <f>X_HAO_H/(X_HAO_H+X_HAO_H_P)</f>
        <v>0.5</v>
      </c>
      <c r="BF180" s="2064">
        <f>0</f>
        <v>0</v>
      </c>
      <c r="BG180" s="2108">
        <f>-X_HAO_H_P/(X_HAO_H+X_HAO_H_P)</f>
        <v>-0.5</v>
      </c>
      <c r="BH180" s="2064">
        <f>0</f>
        <v>0</v>
      </c>
      <c r="BI180" s="2108">
        <f>X_HAO_H_P/(X_HAO_H+X_HAO_H_P)</f>
        <v>0.5</v>
      </c>
      <c r="BJ180" s="2064">
        <f>0</f>
        <v>0</v>
      </c>
      <c r="BK180" s="2066">
        <f>0</f>
        <v>0</v>
      </c>
      <c r="BL180" s="2066">
        <f>0</f>
        <v>0</v>
      </c>
      <c r="BM180" s="2066">
        <f>0</f>
        <v>0</v>
      </c>
      <c r="BN180" s="2066">
        <f>0</f>
        <v>0</v>
      </c>
      <c r="BO180" s="2066">
        <f>0</f>
        <v>0</v>
      </c>
      <c r="BP180" s="2125">
        <f>0</f>
        <v>0</v>
      </c>
      <c r="BQ180" s="2125">
        <f>0</f>
        <v>0</v>
      </c>
      <c r="BR180" s="2125">
        <f>0</f>
        <v>0</v>
      </c>
      <c r="BS180" s="2125">
        <f>0</f>
        <v>0</v>
      </c>
      <c r="BT180" s="2066">
        <f>0</f>
        <v>0</v>
      </c>
      <c r="BU180" s="2066">
        <f>0</f>
        <v>0</v>
      </c>
      <c r="BV180" s="2066">
        <f>0</f>
        <v>0</v>
      </c>
      <c r="BW180" s="2066">
        <f>0</f>
        <v>0</v>
      </c>
      <c r="BX180" s="2066">
        <f>0</f>
        <v>0</v>
      </c>
      <c r="BY180" s="2066">
        <f>0</f>
        <v>0</v>
      </c>
      <c r="BZ180" s="2066">
        <f>0</f>
        <v>0</v>
      </c>
      <c r="CA180" s="2066">
        <f>0</f>
        <v>0</v>
      </c>
      <c r="CB180" s="2066">
        <f>0</f>
        <v>0</v>
      </c>
      <c r="CC180" s="2066">
        <f>0</f>
        <v>0</v>
      </c>
      <c r="CD180" s="2066">
        <f>0</f>
        <v>0</v>
      </c>
      <c r="CE180" s="2066">
        <f>0</f>
        <v>0</v>
      </c>
      <c r="CF180" s="2066">
        <f>0</f>
        <v>0</v>
      </c>
      <c r="CG180" s="2066">
        <f>0</f>
        <v>0</v>
      </c>
      <c r="CH180" s="2066">
        <f>0</f>
        <v>0</v>
      </c>
      <c r="CI180" s="2145">
        <f>q_HAOH_AGING*(X_HAO_H+X_HAO_H_P)</f>
        <v>1.5E-48</v>
      </c>
      <c r="CK180" s="1950">
        <f>E210*E180+F210*F180+G210*G180+H210*H180+I210*I180+J210*J180+K210*K180+L210*L180+M210*M180+N210*N180+O210*O180+P210*P180+Q210*Q180+R210*R180+S210*S180+T210*T180+U210*U180+V210*V180+W210*W180+X210*X180+Y210*Y180+Z210*Z180+AA210*AA180+AB210*AB180+AC210*AC180+AD210*AD180+AE210*AE180+AF210*AF180+AG210*AG180+AH210*AH180+AI210*AI180+AJ210*AJ180+AK210*AK180+AL210*AL180+AM210*AM180+AN210*AN180+AO210*AO180+AP210*AP180+AQ210*AQ180+AR210*AR180+AS210*AS180+AT210*AT180+AU210*AU180+AV210*AV180+AW210*AW180+AX210*AX180+AY210*AY180+AZ210*AZ180+BA210*BA180+BB210*BB180+BC210*BC180+BD210*BD180+BE210*BE180+BF210*BF180+BG210*BG180+BH210*BH180+BI210*BI180+BJ210*BJ180+BK210*BK180+BL210*BL180+BM210*BM180+BN210*BN180+BO210*BO180+BP210*BP180+BQ210*BQ180+BR210*BR180+BS210*BS180+BT210*BT180+BU210*BU180+BV210*BV180+BW210*BW180+BX210*BX180+BY210*BY180+BZ210*BZ180+CA210*CA180+CB210*CB180+CC210*CC180+CD210*CD180+CE210*CE180+CF210*CF180+CG210*CG180+CH210*CH180</f>
        <v>0</v>
      </c>
      <c r="CL180" s="1950">
        <f>E211*E180+F211*F180+G211*G180+H211*H180+I211*I180+J211*J180+K211*K180+L211*L180+M211*M180+N211*N180+O211*O180+P211*P180+Q211*Q180+R211*R180+S211*S180+T211*T180+U211*U180+V211*V180+W211*W180+X211*X180+Y211*Y180+Z211*Z180+AA211*AA180+AB211*AB180+AC211*AC180+AD211*AD180+AE211*AE180+AF211*AF180+AG211*AG180+AH211*AH180+AI211*AI180+AJ211*AJ180+AK211*AK180+AL211*AL180+AM211*AM180+AN211*AN180+AO211*AO180+AP211*AP180+AQ211*AQ180+AR211*AR180+AS211*AS180+AT211*AT180+AU211*AU180+AV211*AV180+AW211*AW180+AX211*AX180+AY211*AY180+AZ211*AZ180+BA211*BA180+BB211*BB180+BC211*BC180+BD211*BD180+BE211*BE180+BF211*BF180+BG211*BG180+BH211*BH180+BI211*BI180+BJ211*BJ180+BK211*BK180+BL211*BL180+BM211*BM180+BN211*BN180+BO211*BO180+BP211*BP180+BQ211*BQ180+BR211*BR180+BS211*BS180+BT211*BT180+BU211*BU180+BV211*BV180+BW211*BW180+BX211*BX180+BY211*BY180+BZ211*BZ180+CA211*CA180+CB211*CB180+CC211*CC180+CD211*CD180+CE211*CE180+CF211*CF180+CG211*CG180+CH211*CH180</f>
        <v>0</v>
      </c>
      <c r="CM180" s="1951">
        <f>E212*E180+F212*F180+G212*G180+H212*H180+I212*I180+J212*J180+K212*K180+L212*L180+M212*M180+N212*N180+O212*O180+P212*P180+Q212*Q180+R212*R180+S212*S180+T212*T180+U212*U180+V212*V180+W212*W180+X212*X180+Y212*Y180+Z212*Z180+AA212*AA180+AB212*AB180+AC212*AC180+AD212*AD180+AE212*AE180+AF212*AF180+AG212*AG180+AH212*AH180+AI212*AI180+AJ212*AJ180+AK212*AK180+AL212*AL180+AM212*AM180+AN212*AN180+AO212*AO180+AP212*AP180+AQ212*AQ180+AR212*AR180+AS212*AS180+AT212*AT180+AU212*AU180+AV212*AV180+AW212*AW180+AX212*AX180+AY212*AY180+AZ212*AZ180+BA212*BA180+BB212*BB180+BC212*BC180+BD212*BD180+BE212*BE180+BF212*BF180+BG212*BG180+BH212*BH180+BI212*BI180+BJ212*BJ180+BK212*BK180+BL212*BL180+BM212*BM180+BN212*BN180+BO212*BO180+BP212*BP180+BQ212*BQ180+BR212*BR180+BS212*BS180+BT212*BT180+BU212*BU180+BV212*BV180+BW212*BW180+BX212*BX180+BY212*BY180+BZ212*BZ180+CA212*CA180+CB212*CB180+CC212*CC180+CD212*CD180+CE212*CE180+CF212*CF180+CG212*CG180+CH212*CH180</f>
        <v>0</v>
      </c>
      <c r="CN180" s="1952">
        <f>E213*E180+F213*F180+G213*G180+H213*H180+I213*I180+J213*J180+K213*K180+L213*L180+M213*M180+N213*N180+O213*O180+P213*P180+Q213*Q180+R213*R180+S213*S180+T213*T180+U213*U180+V213*V180+W213*W180+X213*X180+Y213*Y180+Z213*Z180+AA213*AA180+AB213*AB180+AC213*AC180+AD213*AD180+AE213*AE180+AF213*AF180+AG213*AG180+AH213*AH180+AI213*AI180+AJ213*AJ180+AK213*AK180+AL213*AL180+AM213*AM180+AN213*AN180+AO213*AO180+AP213*AP180+AQ213*AQ180+AR213*AR180+AS213*AS180+AT213*AT180+AU213*AU180+AV213*AV180+AW213*AW180+AX213*AX180+AY213*AY180+AZ213*AZ180+BA213*BA180+BB213*BB180+BC213*BC180+BD213*BD180+BE213*BE180+BF213*BF180+BG213*BG180+BH213*BH180+BI213*BI180+BJ213*BJ180+BK213*BK180+BL213*BL180+BM213*BM180+BN213*BN180+BO213*BO180+BP213*BP180+BQ213*BQ180+BR213*BR180+BS213*BS180+BT213*BT180+BU213*BU180+BV213*BV180+BW213*BW180+BX213*BX180+BY213*BY180+BZ213*BZ180+CA213*CA180+CB213*CB180+CC213*CC180+CD213*CD180+CE213*CE180+CF213*CF180+CG213*CG180+CH213*CH180</f>
        <v>0</v>
      </c>
      <c r="CO180" s="1952">
        <f>E214*E180+F214*F180+G214*G180+H214*H180+I214*I180+J214*J180+K214*K180+L214*L180+M214*M180+N214*N180+O214*O180+P214*P180+Q214*Q180+R214*R180+S214*S180+T214*T180+U214*U180+V214*V180+W214*W180+X214*X180+Y214*Y180+Z214*Z180+AA214*AA180+AB214*AB180+AC214*AC180+AD214*AD180+AE214*AE180+AF214*AF180+AG214*AG180+AH214*AH180+AI214*AI180+AJ214*AJ180+AK214*AK180+AL214*AL180+AM214*AM180+AN214*AN180+AO214*AO180+AP214*AP180+AQ214*AQ180+AR214*AR180+AS214*AS180+AT214*AT180+AU214*AU180+AV214*AV180+AW214*AW180+AX214*AX180+AY214*AY180+AZ214*AZ180+BA214*BA180+BB214*BB180+BC214*BC180+BD214*BD180+BE214*BE180+BF214*BF180+BG214*BG180+BH214*BH180+BI214*BI180+BJ214*BJ180+BK214*BK180+BL214*BL180+BM214*BM180+BN214*BN180+BO214*BO180+BP214*BP180+BQ214*BQ180+BR214*BR180+BS214*BS180+BT214*BT180+BU214*BU180+BV214*BV180+BW214*BW180+BX214*BX180+BY214*BY180+BZ214*BZ180+CA214*CA180+CB214*CB180+CC214*CC180+CD214*CD180+CE214*CE180+CF214*CF180+CG214*CG180+CH214*CH180</f>
        <v>0</v>
      </c>
      <c r="CP180" s="1952">
        <f>E215*E180+F215*F180+G215*G180+H215*H180+I215*I180+J215*J180+K215*K180+L215*L180+M215*M180+N215*N180+O215*O180+P215*P180+Q215*Q180+R215*R180+S215*S180+T215*T180+U215*U180+V215*V180+W215*W180+X215*X180+Y215*Y180+Z215*Z180+AA215*AA180+AB215*AB180+AC215*AC180+AD215*AD180+AE215*AE180+AF215*AF180+AG215*AG180+AH215*AH180+AI215*AI180+AJ215*AJ180+AK215*AK180+AL215*AL180+AM215*AM180+AN215*AN180+AO215*AO180+AP215*AP180+AQ215*AQ180+AR215*AR180+AS215*AS180+AT215*AT180+AU215*AU180+AV215*AV180+AW215*AW180+AX215*AX180+AY215*AY180+AZ215*AZ180+BA215*BA180+BB215*BB180+BC215*BC180+BD215*BD180+BE215*BE180+BF215*BF180+BG215*BG180+BH215*BH180+BI215*BI180+BJ215*BJ180+BK215*BK180+BL215*BL180+BM215*BM180+BN215*BN180+BO215*BO180+BP215*BP180+BQ215*BQ180+BR215*BR180+BS215*BS180+BT215*BT180+BU215*BU180+BV215*BV180+BW215*BW180+BX215*BX180+BY215*BY180+BZ215*BZ180+CA215*CA180+CB215*CB180+CC215*CC180+CD215*CD180+CE215*CE180+CF215*CF180+CG215*CG180+CH215*CH180</f>
        <v>0</v>
      </c>
      <c r="CQ180" s="1952">
        <f>E216*E180+F216*F180+G216*G180+H216*H180+I216*I180+J216*J180+K216*K180+L216*L180+M216*M180+N216*N180+O216*O180+P216*P180+Q216*Q180+R216*R180+S216*S180+T216*T180+U216*U180+V216*V180+W216*W180+X216*X180+Y216*Y180+Z216*Z180+AA216*AA180+AB216*AB180+AC216*AC180+AD216*AD180+AE216*AE180+AF216*AF180+AG216*AG180+AH216*AH180+AI216*AI180+AJ216*AJ180+AK216*AK180+AL216*AL180+AM216*AM180+AN216*AN180+AO216*AO180+AP216*AP180+AQ216*AQ180+AR216*AR180+AS216*AS180+AT216*AT180+AU216*AU180+AV216*AV180+AW216*AW180+AX216*AX180+AY216*AY180+AZ216*AZ180+BA216*BA180+BB216*BB180+BC216*BC180+BD216*BD180+BE216*BE180+BF216*BF180+BG216*BG180+BH216*BH180+BI216*BI180+BJ216*BJ180+BK216*BK180+BL216*BL180+BM216*BM180+BN216*BN180+BO216*BO180+BP216*BP180+BQ216*BQ180+BR216*BR180+BS216*BS180+BT216*BT180+BU216*BU180+BV216*BV180+BW216*BW180+BX216*BX180+BY216*BY180+BZ216*BZ180+CA216*CA180+CB216*CB180+CC216*CC180+CD216*CD180+CE216*CE180+CF216*CF180+CG216*CG180+CH216*CH180</f>
        <v>0</v>
      </c>
      <c r="CR180" s="1952">
        <f>E217*E180+F217*F180+G217*G180+H217*H180+I217*I180+J217*J180+K217*K180+L217*L180+M217*M180+N217*N180+O217*O180+P217*P180+Q217*Q180+R217*R180+S217*S180+T217*T180+U217*U180+V217*V180+W217*W180+X217*X180+Y217*Y180+Z217*Z180+AA217*AA180+AB217*AB180+AC217*AC180+AD217*AD180+AE217*AE180+AF217*AF180+AG217*AG180+AH217*AH180+AI217*AI180+AJ217*AJ180+AK217*AK180+AL217*AL180+AM217*AM180+AN217*AN180+AO217*AO180+AP217*AP180+AQ217*AQ180+AR217*AR180+AS217*AS180+AT217*AT180+AU217*AU180+AV217*AV180+AW217*AW180+AX217*AX180+AY217*AY180+AZ217*AZ180+BA217*BA180+BB217*BB180+BC217*BC180+BD217*BD180+BE217*BE180+BF217*BF180+BG217*BG180+BH217*BH180+BI217*BI180+BJ217*BJ180+BK217*BK180+BL217*BL180+BM217*BM180+BN217*BN180+BO217*BO180+BP217*BP180+BQ217*BQ180+BR217*BR180+BS217*BS180+BT217*BT180+BU217*BU180+BV217*BV180+BW217*BW180+BX217*BX180+BY217*BY180+BZ217*BZ180+CA217*CA180+CB217*CB180+CC217*CC180+CD217*CD180+CE217*CE180+CF217*CF180+CG217*CG180+CH217*CH180</f>
        <v>0</v>
      </c>
      <c r="CS180" s="1952">
        <f>E218*E180+F218*F180+G218*G180+H218*H180+I218*I180+J218*J180+K218*K180+L218*L180+M218*M180+N218*N180+O218*O180+P218*P180+Q218*Q180+R218*R180+S218*S180+T218*T180+U218*U180+V218*V180+W218*W180+X218*X180+Y218*Y180+Z218*Z180+AA218*AA180+AB218*AB180+AC218*AC180+AD218*AD180+AE218*AE180+AF218*AF180+AG218*AG180+AH218*AH180+AI218*AI180+AJ218*AJ180+AK218*AK180+AL218*AL180+AM218*AM180+AN218*AN180+AO218*AO180+AP218*AP180+AQ218*AQ180+AR218*AR180+AS218*AS180+AT218*AT180+AU218*AU180+AV218*AV180+AW218*AW180+AX218*AX180+AY218*AY180+AZ218*AZ180+BA218*BA180+BB218*BB180+BC218*BC180+BD218*BD180+BE218*BE180+BF218*BF180+BG218*BG180+BH218*BH180+BI218*BI180+BJ218*BJ180+BK218*BK180+BL218*BL180+BM218*BM180+BN218*BN180+BO218*BO180+BP218*BP180+BQ218*BQ180+BR218*BR180+BS218*BS180+BT218*BT180+BU218*BU180+BV218*BV180+BW218*BW180+BX218*BX180+BY218*BY180+BZ218*BZ180+CA218*CA180+CB218*CB180+CC218*CC180+CD218*CD180+CE218*CE180+CF218*CF180+CG218*CG180+CH218*CH180</f>
        <v>0</v>
      </c>
      <c r="CT180" s="1952">
        <f>E219*E180+F219*F180+G219*G180+H219*H180+I219*I180+J219*J180+K219*K180+L219*L180+M219*M180+N219*N180+O219*O180+P219*P180+Q219*Q180+R219*R180+S219*S180+T219*T180+U219*U180+V219*V180+W219*W180+X219*X180+Y219*Y180+Z219*Z180+AA219*AA180+AB219*AB180+AC219*AC180+AD219*AD180+AE219*AE180+AF219*AF180+AG219*AG180+AH219*AH180+AI219*AI180+AJ219*AJ180+AK219*AK180+AL219*AL180+AM219*AM180+AN219*AN180+AO219*AO180+AP219*AP180+AQ219*AQ180+AR219*AR180+AS219*AS180+AT219*AT180+AU219*AU180+AV219*AV180+AW219*AW180+AX219*AX180+AY219*AY180+AZ219*AZ180+BA219*BA180+BB219*BB180+BC219*BC180+BD219*BD180+BE219*BE180+BF219*BF180+BG219*BG180+BH219*BH180+BI219*BI180+BJ219*BJ180+BK219*BK180+BL219*BL180+BM219*BM180+BN219*BN180+BO219*BO180+BP219*BP180+BQ219*BQ180+BR219*BR180+BS219*BS180+BT219*BT180+BU219*BU180+BV219*BV180+BW219*BW180+BX219*BX180+BY219*BY180+BZ219*BZ180+CA219*CA180+CB219*CB180+CC219*CC180+CD219*CD180+CE219*CE180+CF219*CF180+CG219*CG180+CH219*CH180</f>
        <v>0</v>
      </c>
      <c r="CU180" s="1952">
        <f>E220*E180+F220*F180+G220*G180+H220*H180+I220*I180+J220*J180+K220*K180+L220*L180+M220*M180+N220*N180+O220*O180+P220*P180+Q220*Q180+R220*R180+S220*S180+T220*T180+U220*U180+V220*V180+W220*W180+X220*X180+Y220*Y180+Z220*Z180+AA220*AA180+AB220*AB180+AC220*AC180+AD220*AD180+AE220*AE180+AF220*AF180+AG220*AG180+AH220*AH180+AI220*AI180+AJ220*AJ180+AK220*AK180+AL220*AL180+AM220*AM180+AN220*AN180+AO220*AO180+AP220*AP180+AQ220*AQ180+AR220*AR180+AS220*AS180+AT220*AT180+AU220*AU180+AV220*AV180+AW220*AW180+AX220*AX180+AY220*AY180+AZ220*AZ180+BA220*BA180+BB220*BB180+BC220*BC180+BD220*BD180+BE220*BE180+BF220*BF180+BG220*BG180+BH220*BH180+BI220*BI180+BJ220*BJ180+BK220*BK180+BL220*BL180+BM220*BM180+BN220*BN180+BO220*BO180+BP220*BP180+BQ220*BQ180+BR220*BR180+BS220*BS180+BT220*BT180+BU220*BU180+BV220*BV180+BW220*BW180+BX220*BX180+BY220*BY180+BZ220*BZ180+CA220*CA180+CB220*CB180+CC220*CC180+CD220*CD180+CE220*CE180+CF220*CF180+CG220*CG180+CH220*CH180</f>
        <v>0</v>
      </c>
    </row>
    <row r="181" spans="2:99" ht="18" x14ac:dyDescent="0.25">
      <c r="B181" s="1053">
        <v>66</v>
      </c>
      <c r="C181" s="1142" t="s">
        <v>2678</v>
      </c>
      <c r="D181" s="1143" t="s">
        <v>3412</v>
      </c>
      <c r="E181" s="2064">
        <f>0</f>
        <v>0</v>
      </c>
      <c r="F181" s="2064">
        <f>0</f>
        <v>0</v>
      </c>
      <c r="G181" s="2064">
        <f>0</f>
        <v>0</v>
      </c>
      <c r="H181" s="2064">
        <f>0</f>
        <v>0</v>
      </c>
      <c r="I181" s="2065">
        <f>0</f>
        <v>0</v>
      </c>
      <c r="J181" s="2065">
        <f>0</f>
        <v>0</v>
      </c>
      <c r="K181" s="2064">
        <f>0</f>
        <v>0</v>
      </c>
      <c r="L181" s="2064">
        <f>0</f>
        <v>0</v>
      </c>
      <c r="M181" s="2064">
        <f>0</f>
        <v>0</v>
      </c>
      <c r="N181" s="2064">
        <f>0</f>
        <v>0</v>
      </c>
      <c r="O181" s="2064">
        <f>0</f>
        <v>0</v>
      </c>
      <c r="P181" s="2064">
        <f>0</f>
        <v>0</v>
      </c>
      <c r="Q181" s="2064">
        <f>0</f>
        <v>0</v>
      </c>
      <c r="R181" s="2066">
        <f>0</f>
        <v>0</v>
      </c>
      <c r="S181" s="2064">
        <f>0</f>
        <v>0</v>
      </c>
      <c r="T181" s="2064">
        <f>0</f>
        <v>0</v>
      </c>
      <c r="U181" s="2064">
        <f>0</f>
        <v>0</v>
      </c>
      <c r="V181" s="2064">
        <f>0</f>
        <v>0</v>
      </c>
      <c r="W181" s="2064">
        <f>0</f>
        <v>0</v>
      </c>
      <c r="X181" s="2064">
        <f>0</f>
        <v>0</v>
      </c>
      <c r="Y181" s="2064">
        <f>0</f>
        <v>0</v>
      </c>
      <c r="Z181" s="2064">
        <f>0</f>
        <v>0</v>
      </c>
      <c r="AA181" s="2064">
        <f>0</f>
        <v>0</v>
      </c>
      <c r="AB181" s="2064">
        <f>0</f>
        <v>0</v>
      </c>
      <c r="AC181" s="2065">
        <f>0</f>
        <v>0</v>
      </c>
      <c r="AD181" s="2065">
        <f>0</f>
        <v>0</v>
      </c>
      <c r="AE181" s="2064">
        <f>0</f>
        <v>0</v>
      </c>
      <c r="AF181" s="2102">
        <f>0</f>
        <v>0</v>
      </c>
      <c r="AG181" s="2064">
        <f>0</f>
        <v>0</v>
      </c>
      <c r="AH181" s="2064">
        <f>0</f>
        <v>0</v>
      </c>
      <c r="AI181" s="2065">
        <f>0</f>
        <v>0</v>
      </c>
      <c r="AJ181" s="2065">
        <f>0</f>
        <v>0</v>
      </c>
      <c r="AK181" s="2064">
        <f>0</f>
        <v>0</v>
      </c>
      <c r="AL181" s="2066">
        <f>0</f>
        <v>0</v>
      </c>
      <c r="AM181" s="2064">
        <f>0</f>
        <v>0</v>
      </c>
      <c r="AN181" s="2064">
        <f>0</f>
        <v>0</v>
      </c>
      <c r="AO181" s="2066">
        <f>0</f>
        <v>0</v>
      </c>
      <c r="AP181" s="2064">
        <f>0</f>
        <v>0</v>
      </c>
      <c r="AQ181" s="2064">
        <f>0</f>
        <v>0</v>
      </c>
      <c r="AR181" s="2064">
        <f>0</f>
        <v>0</v>
      </c>
      <c r="AS181" s="2064">
        <f>0</f>
        <v>0</v>
      </c>
      <c r="AT181" s="2064">
        <f>0</f>
        <v>0</v>
      </c>
      <c r="AU181" s="2064">
        <f>0</f>
        <v>0</v>
      </c>
      <c r="AV181" s="2066">
        <f>0</f>
        <v>0</v>
      </c>
      <c r="AW181" s="2064">
        <f>0</f>
        <v>0</v>
      </c>
      <c r="AX181" s="2064">
        <f>0</f>
        <v>0</v>
      </c>
      <c r="AY181" s="2064">
        <f>0</f>
        <v>0</v>
      </c>
      <c r="AZ181" s="2066">
        <f>0</f>
        <v>0</v>
      </c>
      <c r="BA181" s="2064">
        <f>0</f>
        <v>0</v>
      </c>
      <c r="BB181" s="2066">
        <f>0</f>
        <v>0</v>
      </c>
      <c r="BC181" s="2066">
        <f>0</f>
        <v>0</v>
      </c>
      <c r="BD181" s="2064">
        <f>0</f>
        <v>0</v>
      </c>
      <c r="BE181" s="2108">
        <f>-X_HAO_L/(X_HAO_L+X_HAO_L_P)</f>
        <v>-0.5</v>
      </c>
      <c r="BF181" s="2108">
        <f>X_HAO_L/(X_HAO_L+X_HAO_L_P)</f>
        <v>0.5</v>
      </c>
      <c r="BG181" s="2108">
        <f>0</f>
        <v>0</v>
      </c>
      <c r="BH181" s="2108">
        <f>-X_HAO_L_P/(X_HAO_L+X_HAO_L_P)</f>
        <v>-0.5</v>
      </c>
      <c r="BI181" s="2108">
        <f>0</f>
        <v>0</v>
      </c>
      <c r="BJ181" s="2108">
        <f>X_HAO_L_P/(X_HAO_L+X_HAO_L_P)</f>
        <v>0.5</v>
      </c>
      <c r="BK181" s="2066">
        <f>0</f>
        <v>0</v>
      </c>
      <c r="BL181" s="2066">
        <f>0</f>
        <v>0</v>
      </c>
      <c r="BM181" s="2066">
        <f>0</f>
        <v>0</v>
      </c>
      <c r="BN181" s="2066">
        <f>0</f>
        <v>0</v>
      </c>
      <c r="BO181" s="2066">
        <f>0</f>
        <v>0</v>
      </c>
      <c r="BP181" s="2125">
        <f>0</f>
        <v>0</v>
      </c>
      <c r="BQ181" s="2125">
        <f>0</f>
        <v>0</v>
      </c>
      <c r="BR181" s="2125">
        <f>0</f>
        <v>0</v>
      </c>
      <c r="BS181" s="2125">
        <f>0</f>
        <v>0</v>
      </c>
      <c r="BT181" s="2066">
        <f>0</f>
        <v>0</v>
      </c>
      <c r="BU181" s="2066">
        <f>0</f>
        <v>0</v>
      </c>
      <c r="BV181" s="2066">
        <f>0</f>
        <v>0</v>
      </c>
      <c r="BW181" s="2066">
        <f>0</f>
        <v>0</v>
      </c>
      <c r="BX181" s="2066">
        <f>0</f>
        <v>0</v>
      </c>
      <c r="BY181" s="2066">
        <f>0</f>
        <v>0</v>
      </c>
      <c r="BZ181" s="2066">
        <f>0</f>
        <v>0</v>
      </c>
      <c r="CA181" s="2066">
        <f>0</f>
        <v>0</v>
      </c>
      <c r="CB181" s="2066">
        <f>0</f>
        <v>0</v>
      </c>
      <c r="CC181" s="2066">
        <f>0</f>
        <v>0</v>
      </c>
      <c r="CD181" s="2066">
        <f>0</f>
        <v>0</v>
      </c>
      <c r="CE181" s="2066">
        <f>0</f>
        <v>0</v>
      </c>
      <c r="CF181" s="2066">
        <f>0</f>
        <v>0</v>
      </c>
      <c r="CG181" s="2066">
        <f>0</f>
        <v>0</v>
      </c>
      <c r="CH181" s="2066">
        <f>0</f>
        <v>0</v>
      </c>
      <c r="CI181" s="2145">
        <f>q_HAOL_AGING*(X_HAO_L+X_HAO_L_P)</f>
        <v>2E-50</v>
      </c>
      <c r="CK181" s="1950">
        <f>E210*E181+F210*F181+G210*G181+H210*H181+I210*I181+J210*J181+K210*K181+L210*L181+M210*M181+N210*N181+O210*O181+P210*P181+Q210*Q181+R210*R181+S210*S181+T210*T181+U210*U181+V210*V181+W210*W181+X210*X181+Y210*Y181+Z210*Z181+AA210*AA181+AB210*AB181+AC210*AC181+AD210*AD181+AE210*AE181+AF210*AF181+AG210*AG181+AH210*AH181+AI210*AI181+AJ210*AJ181+AK210*AK181+AL210*AL181+AM210*AM181+AN210*AN181+AO210*AO181+AP210*AP181+AQ210*AQ181+AR210*AR181+AS210*AS181+AT210*AT181+AU210*AU181+AV210*AV181+AW210*AW181+AX210*AX181+AY210*AY181+AZ210*AZ181+BA210*BA181+BB210*BB181+BC210*BC181+BD210*BD181+BE210*BE181+BF210*BF181+BG210*BG181+BH210*BH181+BI210*BI181+BJ210*BJ181+BK210*BK181+BL210*BL181+BM210*BM181+BN210*BN181+BO210*BO181+BP210*BP181+BQ210*BQ181+BR210*BR181+BS210*BS181+BT210*BT181+BU210*BU181+BV210*BV181+BW210*BW181+BX210*BX181+BY210*BY181+BZ210*BZ181+CA210*CA181+CB210*CB181+CC210*CC181+CD210*CD181+CE210*CE181+CF210*CF181+CG210*CG181+CH210*CH181</f>
        <v>0</v>
      </c>
      <c r="CL181" s="1950">
        <f>E211*E181+F211*F181+G211*G181+H211*H181+I211*I181+J211*J181+K211*K181+L211*L181+M211*M181+N211*N181+O211*O181+P211*P181+Q211*Q181+R211*R181+S211*S181+T211*T181+U211*U181+V211*V181+W211*W181+X211*X181+Y211*Y181+Z211*Z181+AA211*AA181+AB211*AB181+AC211*AC181+AD211*AD181+AE211*AE181+AF211*AF181+AG211*AG181+AH211*AH181+AI211*AI181+AJ211*AJ181+AK211*AK181+AL211*AL181+AM211*AM181+AN211*AN181+AO211*AO181+AP211*AP181+AQ211*AQ181+AR211*AR181+AS211*AS181+AT211*AT181+AU211*AU181+AV211*AV181+AW211*AW181+AX211*AX181+AY211*AY181+AZ211*AZ181+BA211*BA181+BB211*BB181+BC211*BC181+BD211*BD181+BE211*BE181+BF211*BF181+BG211*BG181+BH211*BH181+BI211*BI181+BJ211*BJ181+BK211*BK181+BL211*BL181+BM211*BM181+BN211*BN181+BO211*BO181+BP211*BP181+BQ211*BQ181+BR211*BR181+BS211*BS181+BT211*BT181+BU211*BU181+BV211*BV181+BW211*BW181+BX211*BX181+BY211*BY181+BZ211*BZ181+CA211*CA181+CB211*CB181+CC211*CC181+CD211*CD181+CE211*CE181+CF211*CF181+CG211*CG181+CH211*CH181</f>
        <v>0</v>
      </c>
      <c r="CM181" s="1951">
        <f>E212*E181+F212*F181+G212*G181+H212*H181+I212*I181+J212*J181+K212*K181+L212*L181+M212*M181+N212*N181+O212*O181+P212*P181+Q212*Q181+R212*R181+S212*S181+T212*T181+U212*U181+V212*V181+W212*W181+X212*X181+Y212*Y181+Z212*Z181+AA212*AA181+AB212*AB181+AC212*AC181+AD212*AD181+AE212*AE181+AF212*AF181+AG212*AG181+AH212*AH181+AI212*AI181+AJ212*AJ181+AK212*AK181+AL212*AL181+AM212*AM181+AN212*AN181+AO212*AO181+AP212*AP181+AQ212*AQ181+AR212*AR181+AS212*AS181+AT212*AT181+AU212*AU181+AV212*AV181+AW212*AW181+AX212*AX181+AY212*AY181+AZ212*AZ181+BA212*BA181+BB212*BB181+BC212*BC181+BD212*BD181+BE212*BE181+BF212*BF181+BG212*BG181+BH212*BH181+BI212*BI181+BJ212*BJ181+BK212*BK181+BL212*BL181+BM212*BM181+BN212*BN181+BO212*BO181+BP212*BP181+BQ212*BQ181+BR212*BR181+BS212*BS181+BT212*BT181+BU212*BU181+BV212*BV181+BW212*BW181+BX212*BX181+BY212*BY181+BZ212*BZ181+CA212*CA181+CB212*CB181+CC212*CC181+CD212*CD181+CE212*CE181+CF212*CF181+CG212*CG181+CH212*CH181</f>
        <v>0</v>
      </c>
      <c r="CN181" s="1952">
        <f>E213*E181+F213*F181+G213*G181+H213*H181+I213*I181+J213*J181+K213*K181+L213*L181+M213*M181+N213*N181+O213*O181+P213*P181+Q213*Q181+R213*R181+S213*S181+T213*T181+U213*U181+V213*V181+W213*W181+X213*X181+Y213*Y181+Z213*Z181+AA213*AA181+AB213*AB181+AC213*AC181+AD213*AD181+AE213*AE181+AF213*AF181+AG213*AG181+AH213*AH181+AI213*AI181+AJ213*AJ181+AK213*AK181+AL213*AL181+AM213*AM181+AN213*AN181+AO213*AO181+AP213*AP181+AQ213*AQ181+AR213*AR181+AS213*AS181+AT213*AT181+AU213*AU181+AV213*AV181+AW213*AW181+AX213*AX181+AY213*AY181+AZ213*AZ181+BA213*BA181+BB213*BB181+BC213*BC181+BD213*BD181+BE213*BE181+BF213*BF181+BG213*BG181+BH213*BH181+BI213*BI181+BJ213*BJ181+BK213*BK181+BL213*BL181+BM213*BM181+BN213*BN181+BO213*BO181+BP213*BP181+BQ213*BQ181+BR213*BR181+BS213*BS181+BT213*BT181+BU213*BU181+BV213*BV181+BW213*BW181+BX213*BX181+BY213*BY181+BZ213*BZ181+CA213*CA181+CB213*CB181+CC213*CC181+CD213*CD181+CE213*CE181+CF213*CF181+CG213*CG181+CH213*CH181</f>
        <v>0</v>
      </c>
      <c r="CO181" s="1952">
        <f>E214*E181+F214*F181+G214*G181+H214*H181+I214*I181+J214*J181+K214*K181+L214*L181+M214*M181+N214*N181+O214*O181+P214*P181+Q214*Q181+R214*R181+S214*S181+T214*T181+U214*U181+V214*V181+W214*W181+X214*X181+Y214*Y181+Z214*Z181+AA214*AA181+AB214*AB181+AC214*AC181+AD214*AD181+AE214*AE181+AF214*AF181+AG214*AG181+AH214*AH181+AI214*AI181+AJ214*AJ181+AK214*AK181+AL214*AL181+AM214*AM181+AN214*AN181+AO214*AO181+AP214*AP181+AQ214*AQ181+AR214*AR181+AS214*AS181+AT214*AT181+AU214*AU181+AV214*AV181+AW214*AW181+AX214*AX181+AY214*AY181+AZ214*AZ181+BA214*BA181+BB214*BB181+BC214*BC181+BD214*BD181+BE214*BE181+BF214*BF181+BG214*BG181+BH214*BH181+BI214*BI181+BJ214*BJ181+BK214*BK181+BL214*BL181+BM214*BM181+BN214*BN181+BO214*BO181+BP214*BP181+BQ214*BQ181+BR214*BR181+BS214*BS181+BT214*BT181+BU214*BU181+BV214*BV181+BW214*BW181+BX214*BX181+BY214*BY181+BZ214*BZ181+CA214*CA181+CB214*CB181+CC214*CC181+CD214*CD181+CE214*CE181+CF214*CF181+CG214*CG181+CH214*CH181</f>
        <v>0</v>
      </c>
      <c r="CP181" s="1952">
        <f>E215*E181+F215*F181+G215*G181+H215*H181+I215*I181+J215*J181+K215*K181+L215*L181+M215*M181+N215*N181+O215*O181+P215*P181+Q215*Q181+R215*R181+S215*S181+T215*T181+U215*U181+V215*V181+W215*W181+X215*X181+Y215*Y181+Z215*Z181+AA215*AA181+AB215*AB181+AC215*AC181+AD215*AD181+AE215*AE181+AF215*AF181+AG215*AG181+AH215*AH181+AI215*AI181+AJ215*AJ181+AK215*AK181+AL215*AL181+AM215*AM181+AN215*AN181+AO215*AO181+AP215*AP181+AQ215*AQ181+AR215*AR181+AS215*AS181+AT215*AT181+AU215*AU181+AV215*AV181+AW215*AW181+AX215*AX181+AY215*AY181+AZ215*AZ181+BA215*BA181+BB215*BB181+BC215*BC181+BD215*BD181+BE215*BE181+BF215*BF181+BG215*BG181+BH215*BH181+BI215*BI181+BJ215*BJ181+BK215*BK181+BL215*BL181+BM215*BM181+BN215*BN181+BO215*BO181+BP215*BP181+BQ215*BQ181+BR215*BR181+BS215*BS181+BT215*BT181+BU215*BU181+BV215*BV181+BW215*BW181+BX215*BX181+BY215*BY181+BZ215*BZ181+CA215*CA181+CB215*CB181+CC215*CC181+CD215*CD181+CE215*CE181+CF215*CF181+CG215*CG181+CH215*CH181</f>
        <v>0</v>
      </c>
      <c r="CQ181" s="1952">
        <f>E216*E181+F216*F181+G216*G181+H216*H181+I216*I181+J216*J181+K216*K181+L216*L181+M216*M181+N216*N181+O216*O181+P216*P181+Q216*Q181+R216*R181+S216*S181+T216*T181+U216*U181+V216*V181+W216*W181+X216*X181+Y216*Y181+Z216*Z181+AA216*AA181+AB216*AB181+AC216*AC181+AD216*AD181+AE216*AE181+AF216*AF181+AG216*AG181+AH216*AH181+AI216*AI181+AJ216*AJ181+AK216*AK181+AL216*AL181+AM216*AM181+AN216*AN181+AO216*AO181+AP216*AP181+AQ216*AQ181+AR216*AR181+AS216*AS181+AT216*AT181+AU216*AU181+AV216*AV181+AW216*AW181+AX216*AX181+AY216*AY181+AZ216*AZ181+BA216*BA181+BB216*BB181+BC216*BC181+BD216*BD181+BE216*BE181+BF216*BF181+BG216*BG181+BH216*BH181+BI216*BI181+BJ216*BJ181+BK216*BK181+BL216*BL181+BM216*BM181+BN216*BN181+BO216*BO181+BP216*BP181+BQ216*BQ181+BR216*BR181+BS216*BS181+BT216*BT181+BU216*BU181+BV216*BV181+BW216*BW181+BX216*BX181+BY216*BY181+BZ216*BZ181+CA216*CA181+CB216*CB181+CC216*CC181+CD216*CD181+CE216*CE181+CF216*CF181+CG216*CG181+CH216*CH181</f>
        <v>0</v>
      </c>
      <c r="CR181" s="1952">
        <f>E217*E181+F217*F181+G217*G181+H217*H181+I217*I181+J217*J181+K217*K181+L217*L181+M217*M181+N217*N181+O217*O181+P217*P181+Q217*Q181+R217*R181+S217*S181+T217*T181+U217*U181+V217*V181+W217*W181+X217*X181+Y217*Y181+Z217*Z181+AA217*AA181+AB217*AB181+AC217*AC181+AD217*AD181+AE217*AE181+AF217*AF181+AG217*AG181+AH217*AH181+AI217*AI181+AJ217*AJ181+AK217*AK181+AL217*AL181+AM217*AM181+AN217*AN181+AO217*AO181+AP217*AP181+AQ217*AQ181+AR217*AR181+AS217*AS181+AT217*AT181+AU217*AU181+AV217*AV181+AW217*AW181+AX217*AX181+AY217*AY181+AZ217*AZ181+BA217*BA181+BB217*BB181+BC217*BC181+BD217*BD181+BE217*BE181+BF217*BF181+BG217*BG181+BH217*BH181+BI217*BI181+BJ217*BJ181+BK217*BK181+BL217*BL181+BM217*BM181+BN217*BN181+BO217*BO181+BP217*BP181+BQ217*BQ181+BR217*BR181+BS217*BS181+BT217*BT181+BU217*BU181+BV217*BV181+BW217*BW181+BX217*BX181+BY217*BY181+BZ217*BZ181+CA217*CA181+CB217*CB181+CC217*CC181+CD217*CD181+CE217*CE181+CF217*CF181+CG217*CG181+CH217*CH181</f>
        <v>0</v>
      </c>
      <c r="CS181" s="1952">
        <f>E218*E181+F218*F181+G218*G181+H218*H181+I218*I181+J218*J181+K218*K181+L218*L181+M218*M181+N218*N181+O218*O181+P218*P181+Q218*Q181+R218*R181+S218*S181+T218*T181+U218*U181+V218*V181+W218*W181+X218*X181+Y218*Y181+Z218*Z181+AA218*AA181+AB218*AB181+AC218*AC181+AD218*AD181+AE218*AE181+AF218*AF181+AG218*AG181+AH218*AH181+AI218*AI181+AJ218*AJ181+AK218*AK181+AL218*AL181+AM218*AM181+AN218*AN181+AO218*AO181+AP218*AP181+AQ218*AQ181+AR218*AR181+AS218*AS181+AT218*AT181+AU218*AU181+AV218*AV181+AW218*AW181+AX218*AX181+AY218*AY181+AZ218*AZ181+BA218*BA181+BB218*BB181+BC218*BC181+BD218*BD181+BE218*BE181+BF218*BF181+BG218*BG181+BH218*BH181+BI218*BI181+BJ218*BJ181+BK218*BK181+BL218*BL181+BM218*BM181+BN218*BN181+BO218*BO181+BP218*BP181+BQ218*BQ181+BR218*BR181+BS218*BS181+BT218*BT181+BU218*BU181+BV218*BV181+BW218*BW181+BX218*BX181+BY218*BY181+BZ218*BZ181+CA218*CA181+CB218*CB181+CC218*CC181+CD218*CD181+CE218*CE181+CF218*CF181+CG218*CG181+CH218*CH181</f>
        <v>0</v>
      </c>
      <c r="CT181" s="1952">
        <f>E219*E181+F219*F181+G219*G181+H219*H181+I219*I181+J219*J181+K219*K181+L219*L181+M219*M181+N219*N181+O219*O181+P219*P181+Q219*Q181+R219*R181+S219*S181+T219*T181+U219*U181+V219*V181+W219*W181+X219*X181+Y219*Y181+Z219*Z181+AA219*AA181+AB219*AB181+AC219*AC181+AD219*AD181+AE219*AE181+AF219*AF181+AG219*AG181+AH219*AH181+AI219*AI181+AJ219*AJ181+AK219*AK181+AL219*AL181+AM219*AM181+AN219*AN181+AO219*AO181+AP219*AP181+AQ219*AQ181+AR219*AR181+AS219*AS181+AT219*AT181+AU219*AU181+AV219*AV181+AW219*AW181+AX219*AX181+AY219*AY181+AZ219*AZ181+BA219*BA181+BB219*BB181+BC219*BC181+BD219*BD181+BE219*BE181+BF219*BF181+BG219*BG181+BH219*BH181+BI219*BI181+BJ219*BJ181+BK219*BK181+BL219*BL181+BM219*BM181+BN219*BN181+BO219*BO181+BP219*BP181+BQ219*BQ181+BR219*BR181+BS219*BS181+BT219*BT181+BU219*BU181+BV219*BV181+BW219*BW181+BX219*BX181+BY219*BY181+BZ219*BZ181+CA219*CA181+CB219*CB181+CC219*CC181+CD219*CD181+CE219*CE181+CF219*CF181+CG219*CG181+CH219*CH181</f>
        <v>0</v>
      </c>
      <c r="CU181" s="1952">
        <f>E220*E181+F220*F181+G220*G181+H220*H181+I220*I181+J220*J181+K220*K181+L220*L181+M220*M181+N220*N181+O220*O181+P220*P181+Q220*Q181+R220*R181+S220*S181+T220*T181+U220*U181+V220*V181+W220*W181+X220*X181+Y220*Y181+Z220*Z181+AA220*AA181+AB220*AB181+AC220*AC181+AD220*AD181+AE220*AE181+AF220*AF181+AG220*AG181+AH220*AH181+AI220*AI181+AJ220*AJ181+AK220*AK181+AL220*AL181+AM220*AM181+AN220*AN181+AO220*AO181+AP220*AP181+AQ220*AQ181+AR220*AR181+AS220*AS181+AT220*AT181+AU220*AU181+AV220*AV181+AW220*AW181+AX220*AX181+AY220*AY181+AZ220*AZ181+BA220*BA181+BB220*BB181+BC220*BC181+BD220*BD181+BE220*BE181+BF220*BF181+BG220*BG181+BH220*BH181+BI220*BI181+BJ220*BJ181+BK220*BK181+BL220*BL181+BM220*BM181+BN220*BN181+BO220*BO181+BP220*BP181+BQ220*BQ181+BR220*BR181+BS220*BS181+BT220*BT181+BU220*BU181+BV220*BV181+BW220*BW181+BX220*BX181+BY220*BY181+BZ220*BZ181+CA220*CA181+CB220*CB181+CC220*CC181+CD220*CD181+CE220*CE181+CF220*CF181+CG220*CG181+CH220*CH181</f>
        <v>0</v>
      </c>
    </row>
    <row r="182" spans="2:99" ht="18" x14ac:dyDescent="0.25">
      <c r="B182" s="1053">
        <v>67</v>
      </c>
      <c r="C182" s="1142" t="s">
        <v>2679</v>
      </c>
      <c r="D182" s="1143" t="s">
        <v>3413</v>
      </c>
      <c r="E182" s="2064">
        <f>0</f>
        <v>0</v>
      </c>
      <c r="F182" s="2064">
        <f>0</f>
        <v>0</v>
      </c>
      <c r="G182" s="2064">
        <f>0</f>
        <v>0</v>
      </c>
      <c r="H182" s="2064">
        <f>0</f>
        <v>0</v>
      </c>
      <c r="I182" s="2065">
        <f>0</f>
        <v>0</v>
      </c>
      <c r="J182" s="2065">
        <f>0</f>
        <v>0</v>
      </c>
      <c r="K182" s="2064">
        <f>0</f>
        <v>0</v>
      </c>
      <c r="L182" s="2064">
        <f>0</f>
        <v>0</v>
      </c>
      <c r="M182" s="2064">
        <f>0</f>
        <v>0</v>
      </c>
      <c r="N182" s="2064">
        <f>0</f>
        <v>0</v>
      </c>
      <c r="O182" s="2064">
        <f>0</f>
        <v>0</v>
      </c>
      <c r="P182" s="2064">
        <f>0</f>
        <v>0</v>
      </c>
      <c r="Q182" s="2064">
        <f>0</f>
        <v>0</v>
      </c>
      <c r="R182" s="2066">
        <f>0</f>
        <v>0</v>
      </c>
      <c r="S182" s="2064">
        <f>0</f>
        <v>0</v>
      </c>
      <c r="T182" s="2064">
        <f>0</f>
        <v>0</v>
      </c>
      <c r="U182" s="2064">
        <f>0</f>
        <v>0</v>
      </c>
      <c r="V182" s="2064">
        <f>0</f>
        <v>0</v>
      </c>
      <c r="W182" s="2064">
        <f>0</f>
        <v>0</v>
      </c>
      <c r="X182" s="2064">
        <f>0</f>
        <v>0</v>
      </c>
      <c r="Y182" s="2064">
        <f>0</f>
        <v>0</v>
      </c>
      <c r="Z182" s="2064">
        <f>0</f>
        <v>0</v>
      </c>
      <c r="AA182" s="2064">
        <f>0</f>
        <v>0</v>
      </c>
      <c r="AB182" s="2064">
        <f>0</f>
        <v>0</v>
      </c>
      <c r="AC182" s="2065">
        <f>0</f>
        <v>0</v>
      </c>
      <c r="AD182" s="2065">
        <f>0</f>
        <v>0</v>
      </c>
      <c r="AE182" s="2064">
        <f>0</f>
        <v>0</v>
      </c>
      <c r="AF182" s="2102">
        <f>-1</f>
        <v>-1</v>
      </c>
      <c r="AG182" s="2064">
        <f>0</f>
        <v>0</v>
      </c>
      <c r="AH182" s="2064">
        <f>0</f>
        <v>0</v>
      </c>
      <c r="AI182" s="2065">
        <f>0</f>
        <v>0</v>
      </c>
      <c r="AJ182" s="2065">
        <f>0</f>
        <v>0</v>
      </c>
      <c r="AK182" s="2064">
        <f>0</f>
        <v>0</v>
      </c>
      <c r="AL182" s="2066">
        <f>0</f>
        <v>0</v>
      </c>
      <c r="AM182" s="2064">
        <f>0</f>
        <v>0</v>
      </c>
      <c r="AN182" s="2064">
        <f>0</f>
        <v>0</v>
      </c>
      <c r="AO182" s="2066">
        <f>0</f>
        <v>0</v>
      </c>
      <c r="AP182" s="2064">
        <f>0</f>
        <v>0</v>
      </c>
      <c r="AQ182" s="2064">
        <f>0</f>
        <v>0</v>
      </c>
      <c r="AR182" s="2064">
        <f>0</f>
        <v>0</v>
      </c>
      <c r="AS182" s="2064">
        <f>0</f>
        <v>0</v>
      </c>
      <c r="AT182" s="2064">
        <f>0</f>
        <v>0</v>
      </c>
      <c r="AU182" s="2064">
        <f>0</f>
        <v>0</v>
      </c>
      <c r="AV182" s="2066">
        <f>0</f>
        <v>0</v>
      </c>
      <c r="AW182" s="2064">
        <f>0</f>
        <v>0</v>
      </c>
      <c r="AX182" s="2064">
        <f>0</f>
        <v>0</v>
      </c>
      <c r="AY182" s="2064">
        <f>0</f>
        <v>0</v>
      </c>
      <c r="AZ182" s="2066">
        <f>0</f>
        <v>0</v>
      </c>
      <c r="BA182" s="2064">
        <f>0</f>
        <v>0</v>
      </c>
      <c r="BB182" s="2066">
        <f>0</f>
        <v>0</v>
      </c>
      <c r="BC182" s="2066">
        <f>0</f>
        <v>0</v>
      </c>
      <c r="BD182" s="2066">
        <f>-1/(A_SFHAO_H*(A_MP/A_MAl))</f>
        <v>-0.87110825691042471</v>
      </c>
      <c r="BE182" s="2064">
        <f>0</f>
        <v>0</v>
      </c>
      <c r="BF182" s="2064">
        <f>0</f>
        <v>0</v>
      </c>
      <c r="BG182" s="2066">
        <f>1/(A_SFHAO_H*(A_MP/A_MAl))</f>
        <v>0.87110825691042471</v>
      </c>
      <c r="BH182" s="2064">
        <f>0</f>
        <v>0</v>
      </c>
      <c r="BI182" s="2066">
        <f>0</f>
        <v>0</v>
      </c>
      <c r="BJ182" s="2066">
        <f>0</f>
        <v>0</v>
      </c>
      <c r="BK182" s="2066">
        <f>0</f>
        <v>0</v>
      </c>
      <c r="BL182" s="2066">
        <f>0</f>
        <v>0</v>
      </c>
      <c r="BM182" s="2066">
        <f>0</f>
        <v>0</v>
      </c>
      <c r="BN182" s="2066">
        <f>0</f>
        <v>0</v>
      </c>
      <c r="BO182" s="2066">
        <f>0</f>
        <v>0</v>
      </c>
      <c r="BP182" s="2125">
        <f>0</f>
        <v>0</v>
      </c>
      <c r="BQ182" s="2125">
        <f>0</f>
        <v>0</v>
      </c>
      <c r="BR182" s="2125">
        <f>0</f>
        <v>0</v>
      </c>
      <c r="BS182" s="2125">
        <f>0</f>
        <v>0</v>
      </c>
      <c r="BT182" s="2066">
        <f>0</f>
        <v>0</v>
      </c>
      <c r="BU182" s="2066">
        <f>0</f>
        <v>0</v>
      </c>
      <c r="BV182" s="2066">
        <f>0</f>
        <v>0</v>
      </c>
      <c r="BW182" s="2066">
        <f>0</f>
        <v>0</v>
      </c>
      <c r="BX182" s="2066">
        <f>0</f>
        <v>0</v>
      </c>
      <c r="BY182" s="2066">
        <f>0</f>
        <v>0</v>
      </c>
      <c r="BZ182" s="2066">
        <f>0</f>
        <v>0</v>
      </c>
      <c r="CA182" s="2066">
        <f>0</f>
        <v>0</v>
      </c>
      <c r="CB182" s="2066">
        <f>0</f>
        <v>0</v>
      </c>
      <c r="CC182" s="2066">
        <f>0</f>
        <v>0</v>
      </c>
      <c r="CD182" s="2066">
        <f>0</f>
        <v>0</v>
      </c>
      <c r="CE182" s="2066">
        <f>0</f>
        <v>0</v>
      </c>
      <c r="CF182" s="2066">
        <f>0</f>
        <v>0</v>
      </c>
      <c r="CG182" s="2066">
        <f>0</f>
        <v>0</v>
      </c>
      <c r="CH182" s="2066">
        <f>0</f>
        <v>0</v>
      </c>
      <c r="CI182" s="2145">
        <f>q_P_HAO_COPREC*X_HAO_H*M_satSPO4_KP_HAO_BIND</f>
        <v>1.4583333333333333E-48</v>
      </c>
      <c r="CK182" s="1950">
        <f>E210*E182+F210*F182+G210*G182+H210*H182+I210*I182+J210*J182+K210*K182+L210*L182+M210*M182+N210*N182+O210*O182+P210*P182+Q210*Q182+R210*R182+S210*S182+T210*T182+U210*U182+V210*V182+W210*W182+X210*X182+Y210*Y182+Z210*Z182+AA210*AA182+AB210*AB182+AC210*AC182+AD210*AD182+AE210*AE182+AF210*AF182+AG210*AG182+AH210*AH182+AI210*AI182+AJ210*AJ182+AK210*AK182+AL210*AL182+AM210*AM182+AN210*AN182+AO210*AO182+AP210*AP182+AQ210*AQ182+AR210*AR182+AS210*AS182+AT210*AT182+AU210*AU182+AV210*AV182+AW210*AW182+AX210*AX182+AY210*AY182+AZ210*AZ182+BA210*BA182+BB210*BB182+BC210*BC182+BD210*BD182+BE210*BE182+BF210*BF182+BG210*BG182+BH210*BH182+BI210*BI182+BJ210*BJ182+BK210*BK182+BL210*BL182+BM210*BM182+BN210*BN182+BO210*BO182+BP210*BP182+BQ210*BQ182+BR210*BR182+BS210*BS182+BT210*BT182+BU210*BU182+BV210*BV182+BW210*BW182+BX210*BX182+BY210*BY182+BZ210*BZ182+CA210*CA182+CB210*CB182+CC210*CC182+CD210*CD182+CE210*CE182+CF210*CF182+CG210*CG182+CH210*CH182</f>
        <v>0</v>
      </c>
      <c r="CL182" s="1950">
        <f>E211*E182+F211*F182+G211*G182+H211*H182+I211*I182+J211*J182+K211*K182+L211*L182+M211*M182+N211*N182+O211*O182+P211*P182+Q211*Q182+R211*R182+S211*S182+T211*T182+U211*U182+V211*V182+W211*W182+X211*X182+Y211*Y182+Z211*Z182+AA211*AA182+AB211*AB182+AC211*AC182+AD211*AD182+AE211*AE182+AF211*AF182+AG211*AG182+AH211*AH182+AI211*AI182+AJ211*AJ182+AK211*AK182+AL211*AL182+AM211*AM182+AN211*AN182+AO211*AO182+AP211*AP182+AQ211*AQ182+AR211*AR182+AS211*AS182+AT211*AT182+AU211*AU182+AV211*AV182+AW211*AW182+AX211*AX182+AY211*AY182+AZ211*AZ182+BA211*BA182+BB211*BB182+BC211*BC182+BD211*BD182+BE211*BE182+BF211*BF182+BG211*BG182+BH211*BH182+BI211*BI182+BJ211*BJ182+BK211*BK182+BL211*BL182+BM211*BM182+BN211*BN182+BO211*BO182+BP211*BP182+BQ211*BQ182+BR211*BR182+BS211*BS182+BT211*BT182+BU211*BU182+BV211*BV182+BW211*BW182+BX211*BX182+BY211*BY182+BZ211*BZ182+CA211*CA182+CB211*CB182+CC211*CC182+CD211*CD182+CE211*CE182+CF211*CF182+CG211*CG182+CH211*CH182</f>
        <v>0</v>
      </c>
      <c r="CM182" s="1951">
        <f>E212*E182+F212*F182+G212*G182+H212*H182+I212*I182+J212*J182+K212*K182+L212*L182+M212*M182+N212*N182+O212*O182+P212*P182+Q212*Q182+R212*R182+S212*S182+T212*T182+U212*U182+V212*V182+W212*W182+X212*X182+Y212*Y182+Z212*Z182+AA212*AA182+AB212*AB182+AC212*AC182+AD212*AD182+AE212*AE182+AF212*AF182+AG212*AG182+AH212*AH182+AI212*AI182+AJ212*AJ182+AK212*AK182+AL212*AL182+AM212*AM182+AN212*AN182+AO212*AO182+AP212*AP182+AQ212*AQ182+AR212*AR182+AS212*AS182+AT212*AT182+AU212*AU182+AV212*AV182+AW212*AW182+AX212*AX182+AY212*AY182+AZ212*AZ182+BA212*BA182+BB212*BB182+BC212*BC182+BD212*BD182+BE212*BE182+BF212*BF182+BG212*BG182+BH212*BH182+BI212*BI182+BJ212*BJ182+BK212*BK182+BL212*BL182+BM212*BM182+BN212*BN182+BO212*BO182+BP212*BP182+BQ212*BQ182+BR212*BR182+BS212*BS182+BT212*BT182+BU212*BU182+BV212*BV182+BW212*BW182+BX212*BX182+BY212*BY182+BZ212*BZ182+CA212*CA182+CB212*CB182+CC212*CC182+CD212*CD182+CE212*CE182+CF212*CF182+CG212*CG182+CH212*CH182</f>
        <v>0</v>
      </c>
      <c r="CN182" s="1952">
        <f>E213*E182+F213*F182+G213*G182+H213*H182+I213*I182+J213*J182+K213*K182+L213*L182+M213*M182+N213*N182+O213*O182+P213*P182+Q213*Q182+R213*R182+S213*S182+T213*T182+U213*U182+V213*V182+W213*W182+X213*X182+Y213*Y182+Z213*Z182+AA213*AA182+AB213*AB182+AC213*AC182+AD213*AD182+AE213*AE182+AF213*AF182+AG213*AG182+AH213*AH182+AI213*AI182+AJ213*AJ182+AK213*AK182+AL213*AL182+AM213*AM182+AN213*AN182+AO213*AO182+AP213*AP182+AQ213*AQ182+AR213*AR182+AS213*AS182+AT213*AT182+AU213*AU182+AV213*AV182+AW213*AW182+AX213*AX182+AY213*AY182+AZ213*AZ182+BA213*BA182+BB213*BB182+BC213*BC182+BD213*BD182+BE213*BE182+BF213*BF182+BG213*BG182+BH213*BH182+BI213*BI182+BJ213*BJ182+BK213*BK182+BL213*BL182+BM213*BM182+BN213*BN182+BO213*BO182+BP213*BP182+BQ213*BQ182+BR213*BR182+BS213*BS182+BT213*BT182+BU213*BU182+BV213*BV182+BW213*BW182+BX213*BX182+BY213*BY182+BZ213*BZ182+CA213*CA182+CB213*CB182+CC213*CC182+CD213*CD182+CE213*CE182+CF213*CF182+CG213*CG182+CH213*CH182</f>
        <v>0</v>
      </c>
      <c r="CO182" s="1952">
        <f>E214*E182+F214*F182+G214*G182+H214*H182+I214*I182+J214*J182+K214*K182+L214*L182+M214*M182+N214*N182+O214*O182+P214*P182+Q214*Q182+R214*R182+S214*S182+T214*T182+U214*U182+V214*V182+W214*W182+X214*X182+Y214*Y182+Z214*Z182+AA214*AA182+AB214*AB182+AC214*AC182+AD214*AD182+AE214*AE182+AF214*AF182+AG214*AG182+AH214*AH182+AI214*AI182+AJ214*AJ182+AK214*AK182+AL214*AL182+AM214*AM182+AN214*AN182+AO214*AO182+AP214*AP182+AQ214*AQ182+AR214*AR182+AS214*AS182+AT214*AT182+AU214*AU182+AV214*AV182+AW214*AW182+AX214*AX182+AY214*AY182+AZ214*AZ182+BA214*BA182+BB214*BB182+BC214*BC182+BD214*BD182+BE214*BE182+BF214*BF182+BG214*BG182+BH214*BH182+BI214*BI182+BJ214*BJ182+BK214*BK182+BL214*BL182+BM214*BM182+BN214*BN182+BO214*BO182+BP214*BP182+BQ214*BQ182+BR214*BR182+BS214*BS182+BT214*BT182+BU214*BU182+BV214*BV182+BW214*BW182+BX214*BX182+BY214*BY182+BZ214*BZ182+CA214*CA182+CB214*CB182+CC214*CC182+CD214*CD182+CE214*CE182+CF214*CF182+CG214*CG182+CH214*CH182</f>
        <v>0</v>
      </c>
      <c r="CP182" s="1952">
        <f>E215*E182+F215*F182+G215*G182+H215*H182+I215*I182+J215*J182+K215*K182+L215*L182+M215*M182+N215*N182+O215*O182+P215*P182+Q215*Q182+R215*R182+S215*S182+T215*T182+U215*U182+V215*V182+W215*W182+X215*X182+Y215*Y182+Z215*Z182+AA215*AA182+AB215*AB182+AC215*AC182+AD215*AD182+AE215*AE182+AF215*AF182+AG215*AG182+AH215*AH182+AI215*AI182+AJ215*AJ182+AK215*AK182+AL215*AL182+AM215*AM182+AN215*AN182+AO215*AO182+AP215*AP182+AQ215*AQ182+AR215*AR182+AS215*AS182+AT215*AT182+AU215*AU182+AV215*AV182+AW215*AW182+AX215*AX182+AY215*AY182+AZ215*AZ182+BA215*BA182+BB215*BB182+BC215*BC182+BD215*BD182+BE215*BE182+BF215*BF182+BG215*BG182+BH215*BH182+BI215*BI182+BJ215*BJ182+BK215*BK182+BL215*BL182+BM215*BM182+BN215*BN182+BO215*BO182+BP215*BP182+BQ215*BQ182+BR215*BR182+BS215*BS182+BT215*BT182+BU215*BU182+BV215*BV182+BW215*BW182+BX215*BX182+BY215*BY182+BZ215*BZ182+CA215*CA182+CB215*CB182+CC215*CC182+CD215*CD182+CE215*CE182+CF215*CF182+CG215*CG182+CH215*CH182</f>
        <v>0</v>
      </c>
      <c r="CQ182" s="1952">
        <f>E216*E182+F216*F182+G216*G182+H216*H182+I216*I182+J216*J182+K216*K182+L216*L182+M216*M182+N216*N182+O216*O182+P216*P182+Q216*Q182+R216*R182+S216*S182+T216*T182+U216*U182+V216*V182+W216*W182+X216*X182+Y216*Y182+Z216*Z182+AA216*AA182+AB216*AB182+AC216*AC182+AD216*AD182+AE216*AE182+AF216*AF182+AG216*AG182+AH216*AH182+AI216*AI182+AJ216*AJ182+AK216*AK182+AL216*AL182+AM216*AM182+AN216*AN182+AO216*AO182+AP216*AP182+AQ216*AQ182+AR216*AR182+AS216*AS182+AT216*AT182+AU216*AU182+AV216*AV182+AW216*AW182+AX216*AX182+AY216*AY182+AZ216*AZ182+BA216*BA182+BB216*BB182+BC216*BC182+BD216*BD182+BE216*BE182+BF216*BF182+BG216*BG182+BH216*BH182+BI216*BI182+BJ216*BJ182+BK216*BK182+BL216*BL182+BM216*BM182+BN216*BN182+BO216*BO182+BP216*BP182+BQ216*BQ182+BR216*BR182+BS216*BS182+BT216*BT182+BU216*BU182+BV216*BV182+BW216*BW182+BX216*BX182+BY216*BY182+BZ216*BZ182+CA216*CA182+CB216*CB182+CC216*CC182+CD216*CD182+CE216*CE182+CF216*CF182+CG216*CG182+CH216*CH182</f>
        <v>0</v>
      </c>
      <c r="CR182" s="1952">
        <f>E217*E182+F217*F182+G217*G182+H217*H182+I217*I182+J217*J182+K217*K182+L217*L182+M217*M182+N217*N182+O217*O182+P217*P182+Q217*Q182+R217*R182+S217*S182+T217*T182+U217*U182+V217*V182+W217*W182+X217*X182+Y217*Y182+Z217*Z182+AA217*AA182+AB217*AB182+AC217*AC182+AD217*AD182+AE217*AE182+AF217*AF182+AG217*AG182+AH217*AH182+AI217*AI182+AJ217*AJ182+AK217*AK182+AL217*AL182+AM217*AM182+AN217*AN182+AO217*AO182+AP217*AP182+AQ217*AQ182+AR217*AR182+AS217*AS182+AT217*AT182+AU217*AU182+AV217*AV182+AW217*AW182+AX217*AX182+AY217*AY182+AZ217*AZ182+BA217*BA182+BB217*BB182+BC217*BC182+BD217*BD182+BE217*BE182+BF217*BF182+BG217*BG182+BH217*BH182+BI217*BI182+BJ217*BJ182+BK217*BK182+BL217*BL182+BM217*BM182+BN217*BN182+BO217*BO182+BP217*BP182+BQ217*BQ182+BR217*BR182+BS217*BS182+BT217*BT182+BU217*BU182+BV217*BV182+BW217*BW182+BX217*BX182+BY217*BY182+BZ217*BZ182+CA217*CA182+CB217*CB182+CC217*CC182+CD217*CD182+CE217*CE182+CF217*CF182+CG217*CG182+CH217*CH182</f>
        <v>0</v>
      </c>
      <c r="CS182" s="1952">
        <f>E218*E182+F218*F182+G218*G182+H218*H182+I218*I182+J218*J182+K218*K182+L218*L182+M218*M182+N218*N182+O218*O182+P218*P182+Q218*Q182+R218*R182+S218*S182+T218*T182+U218*U182+V218*V182+W218*W182+X218*X182+Y218*Y182+Z218*Z182+AA218*AA182+AB218*AB182+AC218*AC182+AD218*AD182+AE218*AE182+AF218*AF182+AG218*AG182+AH218*AH182+AI218*AI182+AJ218*AJ182+AK218*AK182+AL218*AL182+AM218*AM182+AN218*AN182+AO218*AO182+AP218*AP182+AQ218*AQ182+AR218*AR182+AS218*AS182+AT218*AT182+AU218*AU182+AV218*AV182+AW218*AW182+AX218*AX182+AY218*AY182+AZ218*AZ182+BA218*BA182+BB218*BB182+BC218*BC182+BD218*BD182+BE218*BE182+BF218*BF182+BG218*BG182+BH218*BH182+BI218*BI182+BJ218*BJ182+BK218*BK182+BL218*BL182+BM218*BM182+BN218*BN182+BO218*BO182+BP218*BP182+BQ218*BQ182+BR218*BR182+BS218*BS182+BT218*BT182+BU218*BU182+BV218*BV182+BW218*BW182+BX218*BX182+BY218*BY182+BZ218*BZ182+CA218*CA182+CB218*CB182+CC218*CC182+CD218*CD182+CE218*CE182+CF218*CF182+CG218*CG182+CH218*CH182</f>
        <v>0</v>
      </c>
      <c r="CT182" s="1952">
        <f>E219*E182+F219*F182+G219*G182+H219*H182+I219*I182+J219*J182+K219*K182+L219*L182+M219*M182+N219*N182+O219*O182+P219*P182+Q219*Q182+R219*R182+S219*S182+T219*T182+U219*U182+V219*V182+W219*W182+X219*X182+Y219*Y182+Z219*Z182+AA219*AA182+AB219*AB182+AC219*AC182+AD219*AD182+AE219*AE182+AF219*AF182+AG219*AG182+AH219*AH182+AI219*AI182+AJ219*AJ182+AK219*AK182+AL219*AL182+AM219*AM182+AN219*AN182+AO219*AO182+AP219*AP182+AQ219*AQ182+AR219*AR182+AS219*AS182+AT219*AT182+AU219*AU182+AV219*AV182+AW219*AW182+AX219*AX182+AY219*AY182+AZ219*AZ182+BA219*BA182+BB219*BB182+BC219*BC182+BD219*BD182+BE219*BE182+BF219*BF182+BG219*BG182+BH219*BH182+BI219*BI182+BJ219*BJ182+BK219*BK182+BL219*BL182+BM219*BM182+BN219*BN182+BO219*BO182+BP219*BP182+BQ219*BQ182+BR219*BR182+BS219*BS182+BT219*BT182+BU219*BU182+BV219*BV182+BW219*BW182+BX219*BX182+BY219*BY182+BZ219*BZ182+CA219*CA182+CB219*CB182+CC219*CC182+CD219*CD182+CE219*CE182+CF219*CF182+CG219*CG182+CH219*CH182</f>
        <v>0</v>
      </c>
      <c r="CU182" s="1952">
        <f>E220*E182+F220*F182+G220*G182+H220*H182+I220*I182+J220*J182+K220*K182+L220*L182+M220*M182+N220*N182+O220*O182+P220*P182+Q220*Q182+R220*R182+S220*S182+T220*T182+U220*U182+V220*V182+W220*W182+X220*X182+Y220*Y182+Z220*Z182+AA220*AA182+AB220*AB182+AC220*AC182+AD220*AD182+AE220*AE182+AF220*AF182+AG220*AG182+AH220*AH182+AI220*AI182+AJ220*AJ182+AK220*AK182+AL220*AL182+AM220*AM182+AN220*AN182+AO220*AO182+AP220*AP182+AQ220*AQ182+AR220*AR182+AS220*AS182+AT220*AT182+AU220*AU182+AV220*AV182+AW220*AW182+AX220*AX182+AY220*AY182+AZ220*AZ182+BA220*BA182+BB220*BB182+BC220*BC182+BD220*BD182+BE220*BE182+BF220*BF182+BG220*BG182+BH220*BH182+BI220*BI182+BJ220*BJ182+BK220*BK182+BL220*BL182+BM220*BM182+BN220*BN182+BO220*BO182+BP220*BP182+BQ220*BQ182+BR220*BR182+BS220*BS182+BT220*BT182+BU220*BU182+BV220*BV182+BW220*BW182+BX220*BX182+BY220*BY182+BZ220*BZ182+CA220*CA182+CB220*CB182+CC220*CC182+CD220*CD182+CE220*CE182+CF220*CF182+CG220*CG182+CH220*CH182</f>
        <v>0</v>
      </c>
    </row>
    <row r="183" spans="2:99" ht="18" x14ac:dyDescent="0.25">
      <c r="B183" s="1053">
        <v>68</v>
      </c>
      <c r="C183" s="1142" t="s">
        <v>2680</v>
      </c>
      <c r="D183" s="1143" t="s">
        <v>3414</v>
      </c>
      <c r="E183" s="2064">
        <f>0</f>
        <v>0</v>
      </c>
      <c r="F183" s="2064">
        <f>0</f>
        <v>0</v>
      </c>
      <c r="G183" s="2064">
        <f>0</f>
        <v>0</v>
      </c>
      <c r="H183" s="2064">
        <f>0</f>
        <v>0</v>
      </c>
      <c r="I183" s="2065">
        <f>0</f>
        <v>0</v>
      </c>
      <c r="J183" s="2065">
        <f>0</f>
        <v>0</v>
      </c>
      <c r="K183" s="2064">
        <f>0</f>
        <v>0</v>
      </c>
      <c r="L183" s="2064">
        <f>0</f>
        <v>0</v>
      </c>
      <c r="M183" s="2064">
        <f>0</f>
        <v>0</v>
      </c>
      <c r="N183" s="2064">
        <f>0</f>
        <v>0</v>
      </c>
      <c r="O183" s="2064">
        <f>0</f>
        <v>0</v>
      </c>
      <c r="P183" s="2064">
        <f>0</f>
        <v>0</v>
      </c>
      <c r="Q183" s="2064">
        <f>0</f>
        <v>0</v>
      </c>
      <c r="R183" s="2066">
        <f>0</f>
        <v>0</v>
      </c>
      <c r="S183" s="2064">
        <f>0</f>
        <v>0</v>
      </c>
      <c r="T183" s="2064">
        <f>0</f>
        <v>0</v>
      </c>
      <c r="U183" s="2064">
        <f>0</f>
        <v>0</v>
      </c>
      <c r="V183" s="2064">
        <f>0</f>
        <v>0</v>
      </c>
      <c r="W183" s="2064">
        <f>0</f>
        <v>0</v>
      </c>
      <c r="X183" s="2064">
        <f>0</f>
        <v>0</v>
      </c>
      <c r="Y183" s="2064">
        <f>0</f>
        <v>0</v>
      </c>
      <c r="Z183" s="2064">
        <f>0</f>
        <v>0</v>
      </c>
      <c r="AA183" s="2064">
        <f>0</f>
        <v>0</v>
      </c>
      <c r="AB183" s="2064">
        <f>0</f>
        <v>0</v>
      </c>
      <c r="AC183" s="2065">
        <f>0</f>
        <v>0</v>
      </c>
      <c r="AD183" s="2065">
        <f>0</f>
        <v>0</v>
      </c>
      <c r="AE183" s="2064">
        <f>0</f>
        <v>0</v>
      </c>
      <c r="AF183" s="2102">
        <f>-1</f>
        <v>-1</v>
      </c>
      <c r="AG183" s="2064">
        <f>0</f>
        <v>0</v>
      </c>
      <c r="AH183" s="2064">
        <f>0</f>
        <v>0</v>
      </c>
      <c r="AI183" s="2065">
        <f>0</f>
        <v>0</v>
      </c>
      <c r="AJ183" s="2065">
        <f>0</f>
        <v>0</v>
      </c>
      <c r="AK183" s="2064">
        <f>0</f>
        <v>0</v>
      </c>
      <c r="AL183" s="2066">
        <f>0</f>
        <v>0</v>
      </c>
      <c r="AM183" s="2064">
        <f>0</f>
        <v>0</v>
      </c>
      <c r="AN183" s="2064">
        <f>0</f>
        <v>0</v>
      </c>
      <c r="AO183" s="2066">
        <f>0</f>
        <v>0</v>
      </c>
      <c r="AP183" s="2064">
        <f>0</f>
        <v>0</v>
      </c>
      <c r="AQ183" s="2064">
        <f>0</f>
        <v>0</v>
      </c>
      <c r="AR183" s="2064">
        <f>0</f>
        <v>0</v>
      </c>
      <c r="AS183" s="2064">
        <f>0</f>
        <v>0</v>
      </c>
      <c r="AT183" s="2064">
        <f>0</f>
        <v>0</v>
      </c>
      <c r="AU183" s="2064">
        <f>0</f>
        <v>0</v>
      </c>
      <c r="AV183" s="2066">
        <f>0</f>
        <v>0</v>
      </c>
      <c r="AW183" s="2064">
        <f>0</f>
        <v>0</v>
      </c>
      <c r="AX183" s="2064">
        <f>0</f>
        <v>0</v>
      </c>
      <c r="AY183" s="2064">
        <f>0</f>
        <v>0</v>
      </c>
      <c r="AZ183" s="2066">
        <f>0</f>
        <v>0</v>
      </c>
      <c r="BA183" s="2064">
        <f>0</f>
        <v>0</v>
      </c>
      <c r="BB183" s="2066">
        <f>0</f>
        <v>0</v>
      </c>
      <c r="BC183" s="2066">
        <f>0</f>
        <v>0</v>
      </c>
      <c r="BD183" s="2064">
        <f>0</f>
        <v>0</v>
      </c>
      <c r="BE183" s="2066">
        <f>-1/(A_SFHAO_L*(A_MP/A_MAl))</f>
        <v>-8.7110825691042457</v>
      </c>
      <c r="BF183" s="2064">
        <f>0</f>
        <v>0</v>
      </c>
      <c r="BG183" s="2064">
        <f>0</f>
        <v>0</v>
      </c>
      <c r="BH183" s="2066">
        <f>1/(A_SFHAO_L*(A_MP/A_MAl))</f>
        <v>8.7110825691042457</v>
      </c>
      <c r="BI183" s="2064">
        <f>0</f>
        <v>0</v>
      </c>
      <c r="BJ183" s="2064">
        <f>0</f>
        <v>0</v>
      </c>
      <c r="BK183" s="2066">
        <f>0</f>
        <v>0</v>
      </c>
      <c r="BL183" s="2066">
        <f>0</f>
        <v>0</v>
      </c>
      <c r="BM183" s="2066">
        <f>0</f>
        <v>0</v>
      </c>
      <c r="BN183" s="2066">
        <f>0</f>
        <v>0</v>
      </c>
      <c r="BO183" s="2066">
        <f>0</f>
        <v>0</v>
      </c>
      <c r="BP183" s="2125">
        <f>0</f>
        <v>0</v>
      </c>
      <c r="BQ183" s="2125">
        <f>0</f>
        <v>0</v>
      </c>
      <c r="BR183" s="2125">
        <f>0</f>
        <v>0</v>
      </c>
      <c r="BS183" s="2125">
        <f>0</f>
        <v>0</v>
      </c>
      <c r="BT183" s="2066">
        <f>0</f>
        <v>0</v>
      </c>
      <c r="BU183" s="2066">
        <f>0</f>
        <v>0</v>
      </c>
      <c r="BV183" s="2066">
        <f>0</f>
        <v>0</v>
      </c>
      <c r="BW183" s="2066">
        <f>0</f>
        <v>0</v>
      </c>
      <c r="BX183" s="2066">
        <f>0</f>
        <v>0</v>
      </c>
      <c r="BY183" s="2066">
        <f>0</f>
        <v>0</v>
      </c>
      <c r="BZ183" s="2066">
        <f>0</f>
        <v>0</v>
      </c>
      <c r="CA183" s="2066">
        <f>0</f>
        <v>0</v>
      </c>
      <c r="CB183" s="2066">
        <f>0</f>
        <v>0</v>
      </c>
      <c r="CC183" s="2066">
        <f>0</f>
        <v>0</v>
      </c>
      <c r="CD183" s="2066">
        <f>0</f>
        <v>0</v>
      </c>
      <c r="CE183" s="2066">
        <f>0</f>
        <v>0</v>
      </c>
      <c r="CF183" s="2066">
        <f>0</f>
        <v>0</v>
      </c>
      <c r="CG183" s="2066">
        <f>0</f>
        <v>0</v>
      </c>
      <c r="CH183" s="2066">
        <f>0</f>
        <v>0</v>
      </c>
      <c r="CI183" s="2145">
        <f>q_P_HAO_BIND*X_HAO_L*M_satSPO4_KP_HAO_BIND</f>
        <v>8.3333333333333332E-51</v>
      </c>
      <c r="CK183" s="1950">
        <f>E210*E183+F210*F183+G210*G183+H210*H183+I210*I183+J210*J183+K210*K183+L210*L183+M210*M183+N210*N183+O210*O183+P210*P183+Q210*Q183+R210*R183+S210*S183+T210*T183+U210*U183+V210*V183+W210*W183+X210*X183+Y210*Y183+Z210*Z183+AA210*AA183+AB210*AB183+AC210*AC183+AD210*AD183+AE210*AE183+AF210*AF183+AG210*AG183+AH210*AH183+AI210*AI183+AJ210*AJ183+AK210*AK183+AL210*AL183+AM210*AM183+AN210*AN183+AO210*AO183+AP210*AP183+AQ210*AQ183+AR210*AR183+AS210*AS183+AT210*AT183+AU210*AU183+AV210*AV183+AW210*AW183+AX210*AX183+AY210*AY183+AZ210*AZ183+BA210*BA183+BB210*BB183+BC210*BC183+BD210*BD183+BE210*BE183+BF210*BF183+BG210*BG183+BH210*BH183+BI210*BI183+BJ210*BJ183+BK210*BK183+BL210*BL183+BM210*BM183+BN210*BN183+BO210*BO183+BP210*BP183+BQ210*BQ183+BR210*BR183+BS210*BS183+BT210*BT183+BU210*BU183+BV210*BV183+BW210*BW183+BX210*BX183+BY210*BY183+BZ210*BZ183+CA210*CA183+CB210*CB183+CC210*CC183+CD210*CD183+CE210*CE183+CF210*CF183+CG210*CG183+CH210*CH183</f>
        <v>0</v>
      </c>
      <c r="CL183" s="1950">
        <f>E211*E183+F211*F183+G211*G183+H211*H183+I211*I183+J211*J183+K211*K183+L211*L183+M211*M183+N211*N183+O211*O183+P211*P183+Q211*Q183+R211*R183+S211*S183+T211*T183+U211*U183+V211*V183+W211*W183+X211*X183+Y211*Y183+Z211*Z183+AA211*AA183+AB211*AB183+AC211*AC183+AD211*AD183+AE211*AE183+AF211*AF183+AG211*AG183+AH211*AH183+AI211*AI183+AJ211*AJ183+AK211*AK183+AL211*AL183+AM211*AM183+AN211*AN183+AO211*AO183+AP211*AP183+AQ211*AQ183+AR211*AR183+AS211*AS183+AT211*AT183+AU211*AU183+AV211*AV183+AW211*AW183+AX211*AX183+AY211*AY183+AZ211*AZ183+BA211*BA183+BB211*BB183+BC211*BC183+BD211*BD183+BE211*BE183+BF211*BF183+BG211*BG183+BH211*BH183+BI211*BI183+BJ211*BJ183+BK211*BK183+BL211*BL183+BM211*BM183+BN211*BN183+BO211*BO183+BP211*BP183+BQ211*BQ183+BR211*BR183+BS211*BS183+BT211*BT183+BU211*BU183+BV211*BV183+BW211*BW183+BX211*BX183+BY211*BY183+BZ211*BZ183+CA211*CA183+CB211*CB183+CC211*CC183+CD211*CD183+CE211*CE183+CF211*CF183+CG211*CG183+CH211*CH183</f>
        <v>0</v>
      </c>
      <c r="CM183" s="1951">
        <f>E212*E183+F212*F183+G212*G183+H212*H183+I212*I183+J212*J183+K212*K183+L212*L183+M212*M183+N212*N183+O212*O183+P212*P183+Q212*Q183+R212*R183+S212*S183+T212*T183+U212*U183+V212*V183+W212*W183+X212*X183+Y212*Y183+Z212*Z183+AA212*AA183+AB212*AB183+AC212*AC183+AD212*AD183+AE212*AE183+AF212*AF183+AG212*AG183+AH212*AH183+AI212*AI183+AJ212*AJ183+AK212*AK183+AL212*AL183+AM212*AM183+AN212*AN183+AO212*AO183+AP212*AP183+AQ212*AQ183+AR212*AR183+AS212*AS183+AT212*AT183+AU212*AU183+AV212*AV183+AW212*AW183+AX212*AX183+AY212*AY183+AZ212*AZ183+BA212*BA183+BB212*BB183+BC212*BC183+BD212*BD183+BE212*BE183+BF212*BF183+BG212*BG183+BH212*BH183+BI212*BI183+BJ212*BJ183+BK212*BK183+BL212*BL183+BM212*BM183+BN212*BN183+BO212*BO183+BP212*BP183+BQ212*BQ183+BR212*BR183+BS212*BS183+BT212*BT183+BU212*BU183+BV212*BV183+BW212*BW183+BX212*BX183+BY212*BY183+BZ212*BZ183+CA212*CA183+CB212*CB183+CC212*CC183+CD212*CD183+CE212*CE183+CF212*CF183+CG212*CG183+CH212*CH183</f>
        <v>0</v>
      </c>
      <c r="CN183" s="1952">
        <f>E213*E183+F213*F183+G213*G183+H213*H183+I213*I183+J213*J183+K213*K183+L213*L183+M213*M183+N213*N183+O213*O183+P213*P183+Q213*Q183+R213*R183+S213*S183+T213*T183+U213*U183+V213*V183+W213*W183+X213*X183+Y213*Y183+Z213*Z183+AA213*AA183+AB213*AB183+AC213*AC183+AD213*AD183+AE213*AE183+AF213*AF183+AG213*AG183+AH213*AH183+AI213*AI183+AJ213*AJ183+AK213*AK183+AL213*AL183+AM213*AM183+AN213*AN183+AO213*AO183+AP213*AP183+AQ213*AQ183+AR213*AR183+AS213*AS183+AT213*AT183+AU213*AU183+AV213*AV183+AW213*AW183+AX213*AX183+AY213*AY183+AZ213*AZ183+BA213*BA183+BB213*BB183+BC213*BC183+BD213*BD183+BE213*BE183+BF213*BF183+BG213*BG183+BH213*BH183+BI213*BI183+BJ213*BJ183+BK213*BK183+BL213*BL183+BM213*BM183+BN213*BN183+BO213*BO183+BP213*BP183+BQ213*BQ183+BR213*BR183+BS213*BS183+BT213*BT183+BU213*BU183+BV213*BV183+BW213*BW183+BX213*BX183+BY213*BY183+BZ213*BZ183+CA213*CA183+CB213*CB183+CC213*CC183+CD213*CD183+CE213*CE183+CF213*CF183+CG213*CG183+CH213*CH183</f>
        <v>0</v>
      </c>
      <c r="CO183" s="1952">
        <f>E214*E183+F214*F183+G214*G183+H214*H183+I214*I183+J214*J183+K214*K183+L214*L183+M214*M183+N214*N183+O214*O183+P214*P183+Q214*Q183+R214*R183+S214*S183+T214*T183+U214*U183+V214*V183+W214*W183+X214*X183+Y214*Y183+Z214*Z183+AA214*AA183+AB214*AB183+AC214*AC183+AD214*AD183+AE214*AE183+AF214*AF183+AG214*AG183+AH214*AH183+AI214*AI183+AJ214*AJ183+AK214*AK183+AL214*AL183+AM214*AM183+AN214*AN183+AO214*AO183+AP214*AP183+AQ214*AQ183+AR214*AR183+AS214*AS183+AT214*AT183+AU214*AU183+AV214*AV183+AW214*AW183+AX214*AX183+AY214*AY183+AZ214*AZ183+BA214*BA183+BB214*BB183+BC214*BC183+BD214*BD183+BE214*BE183+BF214*BF183+BG214*BG183+BH214*BH183+BI214*BI183+BJ214*BJ183+BK214*BK183+BL214*BL183+BM214*BM183+BN214*BN183+BO214*BO183+BP214*BP183+BQ214*BQ183+BR214*BR183+BS214*BS183+BT214*BT183+BU214*BU183+BV214*BV183+BW214*BW183+BX214*BX183+BY214*BY183+BZ214*BZ183+CA214*CA183+CB214*CB183+CC214*CC183+CD214*CD183+CE214*CE183+CF214*CF183+CG214*CG183+CH214*CH183</f>
        <v>0</v>
      </c>
      <c r="CP183" s="1952">
        <f>E215*E183+F215*F183+G215*G183+H215*H183+I215*I183+J215*J183+K215*K183+L215*L183+M215*M183+N215*N183+O215*O183+P215*P183+Q215*Q183+R215*R183+S215*S183+T215*T183+U215*U183+V215*V183+W215*W183+X215*X183+Y215*Y183+Z215*Z183+AA215*AA183+AB215*AB183+AC215*AC183+AD215*AD183+AE215*AE183+AF215*AF183+AG215*AG183+AH215*AH183+AI215*AI183+AJ215*AJ183+AK215*AK183+AL215*AL183+AM215*AM183+AN215*AN183+AO215*AO183+AP215*AP183+AQ215*AQ183+AR215*AR183+AS215*AS183+AT215*AT183+AU215*AU183+AV215*AV183+AW215*AW183+AX215*AX183+AY215*AY183+AZ215*AZ183+BA215*BA183+BB215*BB183+BC215*BC183+BD215*BD183+BE215*BE183+BF215*BF183+BG215*BG183+BH215*BH183+BI215*BI183+BJ215*BJ183+BK215*BK183+BL215*BL183+BM215*BM183+BN215*BN183+BO215*BO183+BP215*BP183+BQ215*BQ183+BR215*BR183+BS215*BS183+BT215*BT183+BU215*BU183+BV215*BV183+BW215*BW183+BX215*BX183+BY215*BY183+BZ215*BZ183+CA215*CA183+CB215*CB183+CC215*CC183+CD215*CD183+CE215*CE183+CF215*CF183+CG215*CG183+CH215*CH183</f>
        <v>0</v>
      </c>
      <c r="CQ183" s="1952">
        <f>E216*E183+F216*F183+G216*G183+H216*H183+I216*I183+J216*J183+K216*K183+L216*L183+M216*M183+N216*N183+O216*O183+P216*P183+Q216*Q183+R216*R183+S216*S183+T216*T183+U216*U183+V216*V183+W216*W183+X216*X183+Y216*Y183+Z216*Z183+AA216*AA183+AB216*AB183+AC216*AC183+AD216*AD183+AE216*AE183+AF216*AF183+AG216*AG183+AH216*AH183+AI216*AI183+AJ216*AJ183+AK216*AK183+AL216*AL183+AM216*AM183+AN216*AN183+AO216*AO183+AP216*AP183+AQ216*AQ183+AR216*AR183+AS216*AS183+AT216*AT183+AU216*AU183+AV216*AV183+AW216*AW183+AX216*AX183+AY216*AY183+AZ216*AZ183+BA216*BA183+BB216*BB183+BC216*BC183+BD216*BD183+BE216*BE183+BF216*BF183+BG216*BG183+BH216*BH183+BI216*BI183+BJ216*BJ183+BK216*BK183+BL216*BL183+BM216*BM183+BN216*BN183+BO216*BO183+BP216*BP183+BQ216*BQ183+BR216*BR183+BS216*BS183+BT216*BT183+BU216*BU183+BV216*BV183+BW216*BW183+BX216*BX183+BY216*BY183+BZ216*BZ183+CA216*CA183+CB216*CB183+CC216*CC183+CD216*CD183+CE216*CE183+CF216*CF183+CG216*CG183+CH216*CH183</f>
        <v>0</v>
      </c>
      <c r="CR183" s="1952">
        <f>E217*E183+F217*F183+G217*G183+H217*H183+I217*I183+J217*J183+K217*K183+L217*L183+M217*M183+N217*N183+O217*O183+P217*P183+Q217*Q183+R217*R183+S217*S183+T217*T183+U217*U183+V217*V183+W217*W183+X217*X183+Y217*Y183+Z217*Z183+AA217*AA183+AB217*AB183+AC217*AC183+AD217*AD183+AE217*AE183+AF217*AF183+AG217*AG183+AH217*AH183+AI217*AI183+AJ217*AJ183+AK217*AK183+AL217*AL183+AM217*AM183+AN217*AN183+AO217*AO183+AP217*AP183+AQ217*AQ183+AR217*AR183+AS217*AS183+AT217*AT183+AU217*AU183+AV217*AV183+AW217*AW183+AX217*AX183+AY217*AY183+AZ217*AZ183+BA217*BA183+BB217*BB183+BC217*BC183+BD217*BD183+BE217*BE183+BF217*BF183+BG217*BG183+BH217*BH183+BI217*BI183+BJ217*BJ183+BK217*BK183+BL217*BL183+BM217*BM183+BN217*BN183+BO217*BO183+BP217*BP183+BQ217*BQ183+BR217*BR183+BS217*BS183+BT217*BT183+BU217*BU183+BV217*BV183+BW217*BW183+BX217*BX183+BY217*BY183+BZ217*BZ183+CA217*CA183+CB217*CB183+CC217*CC183+CD217*CD183+CE217*CE183+CF217*CF183+CG217*CG183+CH217*CH183</f>
        <v>0</v>
      </c>
      <c r="CS183" s="1952">
        <f>E218*E183+F218*F183+G218*G183+H218*H183+I218*I183+J218*J183+K218*K183+L218*L183+M218*M183+N218*N183+O218*O183+P218*P183+Q218*Q183+R218*R183+S218*S183+T218*T183+U218*U183+V218*V183+W218*W183+X218*X183+Y218*Y183+Z218*Z183+AA218*AA183+AB218*AB183+AC218*AC183+AD218*AD183+AE218*AE183+AF218*AF183+AG218*AG183+AH218*AH183+AI218*AI183+AJ218*AJ183+AK218*AK183+AL218*AL183+AM218*AM183+AN218*AN183+AO218*AO183+AP218*AP183+AQ218*AQ183+AR218*AR183+AS218*AS183+AT218*AT183+AU218*AU183+AV218*AV183+AW218*AW183+AX218*AX183+AY218*AY183+AZ218*AZ183+BA218*BA183+BB218*BB183+BC218*BC183+BD218*BD183+BE218*BE183+BF218*BF183+BG218*BG183+BH218*BH183+BI218*BI183+BJ218*BJ183+BK218*BK183+BL218*BL183+BM218*BM183+BN218*BN183+BO218*BO183+BP218*BP183+BQ218*BQ183+BR218*BR183+BS218*BS183+BT218*BT183+BU218*BU183+BV218*BV183+BW218*BW183+BX218*BX183+BY218*BY183+BZ218*BZ183+CA218*CA183+CB218*CB183+CC218*CC183+CD218*CD183+CE218*CE183+CF218*CF183+CG218*CG183+CH218*CH183</f>
        <v>0</v>
      </c>
      <c r="CT183" s="1952">
        <f>E219*E183+F219*F183+G219*G183+H219*H183+I219*I183+J219*J183+K219*K183+L219*L183+M219*M183+N219*N183+O219*O183+P219*P183+Q219*Q183+R219*R183+S219*S183+T219*T183+U219*U183+V219*V183+W219*W183+X219*X183+Y219*Y183+Z219*Z183+AA219*AA183+AB219*AB183+AC219*AC183+AD219*AD183+AE219*AE183+AF219*AF183+AG219*AG183+AH219*AH183+AI219*AI183+AJ219*AJ183+AK219*AK183+AL219*AL183+AM219*AM183+AN219*AN183+AO219*AO183+AP219*AP183+AQ219*AQ183+AR219*AR183+AS219*AS183+AT219*AT183+AU219*AU183+AV219*AV183+AW219*AW183+AX219*AX183+AY219*AY183+AZ219*AZ183+BA219*BA183+BB219*BB183+BC219*BC183+BD219*BD183+BE219*BE183+BF219*BF183+BG219*BG183+BH219*BH183+BI219*BI183+BJ219*BJ183+BK219*BK183+BL219*BL183+BM219*BM183+BN219*BN183+BO219*BO183+BP219*BP183+BQ219*BQ183+BR219*BR183+BS219*BS183+BT219*BT183+BU219*BU183+BV219*BV183+BW219*BW183+BX219*BX183+BY219*BY183+BZ219*BZ183+CA219*CA183+CB219*CB183+CC219*CC183+CD219*CD183+CE219*CE183+CF219*CF183+CG219*CG183+CH219*CH183</f>
        <v>0</v>
      </c>
      <c r="CU183" s="1952">
        <f>E220*E183+F220*F183+G220*G183+H220*H183+I220*I183+J220*J183+K220*K183+L220*L183+M220*M183+N220*N183+O220*O183+P220*P183+Q220*Q183+R220*R183+S220*S183+T220*T183+U220*U183+V220*V183+W220*W183+X220*X183+Y220*Y183+Z220*Z183+AA220*AA183+AB220*AB183+AC220*AC183+AD220*AD183+AE220*AE183+AF220*AF183+AG220*AG183+AH220*AH183+AI220*AI183+AJ220*AJ183+AK220*AK183+AL220*AL183+AM220*AM183+AN220*AN183+AO220*AO183+AP220*AP183+AQ220*AQ183+AR220*AR183+AS220*AS183+AT220*AT183+AU220*AU183+AV220*AV183+AW220*AW183+AX220*AX183+AY220*AY183+AZ220*AZ183+BA220*BA183+BB220*BB183+BC220*BC183+BD220*BD183+BE220*BE183+BF220*BF183+BG220*BG183+BH220*BH183+BI220*BI183+BJ220*BJ183+BK220*BK183+BL220*BL183+BM220*BM183+BN220*BN183+BO220*BO183+BP220*BP183+BQ220*BQ183+BR220*BR183+BS220*BS183+BT220*BT183+BU220*BU183+BV220*BV183+BW220*BW183+BX220*BX183+BY220*BY183+BZ220*BZ183+CA220*CA183+CB220*CB183+CC220*CC183+CD220*CD183+CE220*CE183+CF220*CF183+CG220*CG183+CH220*CH183</f>
        <v>0</v>
      </c>
    </row>
    <row r="184" spans="2:99" ht="18" x14ac:dyDescent="0.25">
      <c r="B184" s="1053">
        <v>69</v>
      </c>
      <c r="C184" s="1142" t="s">
        <v>2681</v>
      </c>
      <c r="D184" s="1143" t="s">
        <v>3415</v>
      </c>
      <c r="E184" s="2064">
        <f>0</f>
        <v>0</v>
      </c>
      <c r="F184" s="2064">
        <f>0</f>
        <v>0</v>
      </c>
      <c r="G184" s="2064">
        <f>0</f>
        <v>0</v>
      </c>
      <c r="H184" s="2064">
        <f>0</f>
        <v>0</v>
      </c>
      <c r="I184" s="2065">
        <f>0</f>
        <v>0</v>
      </c>
      <c r="J184" s="2065">
        <f>0</f>
        <v>0</v>
      </c>
      <c r="K184" s="2064">
        <f>0</f>
        <v>0</v>
      </c>
      <c r="L184" s="2064">
        <f>0</f>
        <v>0</v>
      </c>
      <c r="M184" s="2064">
        <f>0</f>
        <v>0</v>
      </c>
      <c r="N184" s="2064">
        <f>0</f>
        <v>0</v>
      </c>
      <c r="O184" s="2064">
        <f>0</f>
        <v>0</v>
      </c>
      <c r="P184" s="2064">
        <f>0</f>
        <v>0</v>
      </c>
      <c r="Q184" s="2064">
        <f>0</f>
        <v>0</v>
      </c>
      <c r="R184" s="2066">
        <f>0</f>
        <v>0</v>
      </c>
      <c r="S184" s="2064">
        <f>0</f>
        <v>0</v>
      </c>
      <c r="T184" s="2064">
        <f>0</f>
        <v>0</v>
      </c>
      <c r="U184" s="2064">
        <f>0</f>
        <v>0</v>
      </c>
      <c r="V184" s="2064">
        <f>0</f>
        <v>0</v>
      </c>
      <c r="W184" s="2064">
        <f>0</f>
        <v>0</v>
      </c>
      <c r="X184" s="2064">
        <f>0</f>
        <v>0</v>
      </c>
      <c r="Y184" s="2064">
        <f>0</f>
        <v>0</v>
      </c>
      <c r="Z184" s="2064">
        <f>0</f>
        <v>0</v>
      </c>
      <c r="AA184" s="2064">
        <f>0</f>
        <v>0</v>
      </c>
      <c r="AB184" s="2064">
        <f>0</f>
        <v>0</v>
      </c>
      <c r="AC184" s="2065">
        <f>0</f>
        <v>0</v>
      </c>
      <c r="AD184" s="2065">
        <f>0</f>
        <v>0</v>
      </c>
      <c r="AE184" s="2064">
        <f>0</f>
        <v>0</v>
      </c>
      <c r="AF184" s="2066">
        <f>(A_SFHAO_H*(A_MP/A_MAl))</f>
        <v>1.1479629449808202</v>
      </c>
      <c r="AG184" s="2064">
        <f>0</f>
        <v>0</v>
      </c>
      <c r="AH184" s="2064">
        <f>0</f>
        <v>0</v>
      </c>
      <c r="AI184" s="2065">
        <f>0</f>
        <v>0</v>
      </c>
      <c r="AJ184" s="2065">
        <f>0</f>
        <v>0</v>
      </c>
      <c r="AK184" s="2064">
        <f>0</f>
        <v>0</v>
      </c>
      <c r="AL184" s="2066">
        <f>0</f>
        <v>0</v>
      </c>
      <c r="AM184" s="2064">
        <f>0</f>
        <v>0</v>
      </c>
      <c r="AN184" s="2064">
        <f>0</f>
        <v>0</v>
      </c>
      <c r="AO184" s="2066">
        <f>0</f>
        <v>0</v>
      </c>
      <c r="AP184" s="2064">
        <f>0</f>
        <v>0</v>
      </c>
      <c r="AQ184" s="2064">
        <f>0</f>
        <v>0</v>
      </c>
      <c r="AR184" s="2064">
        <f>0</f>
        <v>0</v>
      </c>
      <c r="AS184" s="2064">
        <f>0</f>
        <v>0</v>
      </c>
      <c r="AT184" s="2064">
        <f>0</f>
        <v>0</v>
      </c>
      <c r="AU184" s="2064">
        <f>0</f>
        <v>0</v>
      </c>
      <c r="AV184" s="2066">
        <f>0</f>
        <v>0</v>
      </c>
      <c r="AW184" s="2064">
        <f>0</f>
        <v>0</v>
      </c>
      <c r="AX184" s="2064">
        <f>0</f>
        <v>0</v>
      </c>
      <c r="AY184" s="2064">
        <f>0</f>
        <v>0</v>
      </c>
      <c r="AZ184" s="2066">
        <f>0</f>
        <v>0</v>
      </c>
      <c r="BA184" s="2064">
        <f>0</f>
        <v>0</v>
      </c>
      <c r="BB184" s="2066">
        <f>0</f>
        <v>0</v>
      </c>
      <c r="BC184" s="2066">
        <f>0</f>
        <v>0</v>
      </c>
      <c r="BD184" s="2109">
        <f>1</f>
        <v>1</v>
      </c>
      <c r="BE184" s="2109">
        <f>0</f>
        <v>0</v>
      </c>
      <c r="BF184" s="2109">
        <f>0</f>
        <v>0</v>
      </c>
      <c r="BG184" s="2109">
        <f>-1</f>
        <v>-1</v>
      </c>
      <c r="BH184" s="2109">
        <f>0</f>
        <v>0</v>
      </c>
      <c r="BI184" s="2109">
        <f>0</f>
        <v>0</v>
      </c>
      <c r="BJ184" s="2109">
        <f>0</f>
        <v>0</v>
      </c>
      <c r="BK184" s="2066">
        <f>0</f>
        <v>0</v>
      </c>
      <c r="BL184" s="2066">
        <f>0</f>
        <v>0</v>
      </c>
      <c r="BM184" s="2066">
        <f>0</f>
        <v>0</v>
      </c>
      <c r="BN184" s="2066">
        <f>0</f>
        <v>0</v>
      </c>
      <c r="BO184" s="2066">
        <f>0</f>
        <v>0</v>
      </c>
      <c r="BP184" s="2125">
        <f>0</f>
        <v>0</v>
      </c>
      <c r="BQ184" s="2125">
        <f>0</f>
        <v>0</v>
      </c>
      <c r="BR184" s="2125">
        <f>0</f>
        <v>0</v>
      </c>
      <c r="BS184" s="2125">
        <f>0</f>
        <v>0</v>
      </c>
      <c r="BT184" s="2066">
        <f>0</f>
        <v>0</v>
      </c>
      <c r="BU184" s="2066">
        <f>0</f>
        <v>0</v>
      </c>
      <c r="BV184" s="2066">
        <f>0</f>
        <v>0</v>
      </c>
      <c r="BW184" s="2066">
        <f>0</f>
        <v>0</v>
      </c>
      <c r="BX184" s="2066">
        <f>0</f>
        <v>0</v>
      </c>
      <c r="BY184" s="2066">
        <f>0</f>
        <v>0</v>
      </c>
      <c r="BZ184" s="2066">
        <f>0</f>
        <v>0</v>
      </c>
      <c r="CA184" s="2066">
        <f>0</f>
        <v>0</v>
      </c>
      <c r="CB184" s="2066">
        <f>0</f>
        <v>0</v>
      </c>
      <c r="CC184" s="2066">
        <f>0</f>
        <v>0</v>
      </c>
      <c r="CD184" s="2066">
        <f>0</f>
        <v>0</v>
      </c>
      <c r="CE184" s="2066">
        <f>0</f>
        <v>0</v>
      </c>
      <c r="CF184" s="2066">
        <f>0</f>
        <v>0</v>
      </c>
      <c r="CG184" s="2066">
        <f>0</f>
        <v>0</v>
      </c>
      <c r="CH184" s="2066">
        <f>0</f>
        <v>0</v>
      </c>
      <c r="CI184" s="2145">
        <f>q_HAOH_DESORP*X_HAO_H_P*M_inhSPO4_KiP_HAO_DESORP</f>
        <v>1.6666666666666669E-49</v>
      </c>
      <c r="CK184" s="1950">
        <f>E210*E184+F210*F184+G210*G184+H210*H184+I210*I184+J210*J184+K210*K184+L210*L184+M210*M184+N210*N184+O210*O184+P210*P184+Q210*Q184+R210*R184+S210*S184+T210*T184+U210*U184+V210*V184+W210*W184+X210*X184+Y210*Y184+Z210*Z184+AA210*AA184+AB210*AB184+AC210*AC184+AD210*AD184+AE210*AE184+AF210*AF184+AG210*AG184+AH210*AH184+AI210*AI184+AJ210*AJ184+AK210*AK184+AL210*AL184+AM210*AM184+AN210*AN184+AO210*AO184+AP210*AP184+AQ210*AQ184+AR210*AR184+AS210*AS184+AT210*AT184+AU210*AU184+AV210*AV184+AW210*AW184+AX210*AX184+AY210*AY184+AZ210*AZ184+BA210*BA184+BB210*BB184+BC210*BC184+BD210*BD184+BE210*BE184+BF210*BF184+BG210*BG184+BH210*BH184+BI210*BI184+BJ210*BJ184+BK210*BK184+BL210*BL184+BM210*BM184+BN210*BN184+BO210*BO184+BP210*BP184+BQ210*BQ184+BR210*BR184+BS210*BS184+BT210*BT184+BU210*BU184+BV210*BV184+BW210*BW184+BX210*BX184+BY210*BY184+BZ210*BZ184+CA210*CA184+CB210*CB184+CC210*CC184+CD210*CD184+CE210*CE184+CF210*CF184+CG210*CG184+CH210*CH184</f>
        <v>0</v>
      </c>
      <c r="CL184" s="1950">
        <f>E211*E184+F211*F184+G211*G184+H211*H184+I211*I184+J211*J184+K211*K184+L211*L184+M211*M184+N211*N184+O211*O184+P211*P184+Q211*Q184+R211*R184+S211*S184+T211*T184+U211*U184+V211*V184+W211*W184+X211*X184+Y211*Y184+Z211*Z184+AA211*AA184+AB211*AB184+AC211*AC184+AD211*AD184+AE211*AE184+AF211*AF184+AG211*AG184+AH211*AH184+AI211*AI184+AJ211*AJ184+AK211*AK184+AL211*AL184+AM211*AM184+AN211*AN184+AO211*AO184+AP211*AP184+AQ211*AQ184+AR211*AR184+AS211*AS184+AT211*AT184+AU211*AU184+AV211*AV184+AW211*AW184+AX211*AX184+AY211*AY184+AZ211*AZ184+BA211*BA184+BB211*BB184+BC211*BC184+BD211*BD184+BE211*BE184+BF211*BF184+BG211*BG184+BH211*BH184+BI211*BI184+BJ211*BJ184+BK211*BK184+BL211*BL184+BM211*BM184+BN211*BN184+BO211*BO184+BP211*BP184+BQ211*BQ184+BR211*BR184+BS211*BS184+BT211*BT184+BU211*BU184+BV211*BV184+BW211*BW184+BX211*BX184+BY211*BY184+BZ211*BZ184+CA211*CA184+CB211*CB184+CC211*CC184+CD211*CD184+CE211*CE184+CF211*CF184+CG211*CG184+CH211*CH184</f>
        <v>0</v>
      </c>
      <c r="CM184" s="1951">
        <f>E212*E184+F212*F184+G212*G184+H212*H184+I212*I184+J212*J184+K212*K184+L212*L184+M212*M184+N212*N184+O212*O184+P212*P184+Q212*Q184+R212*R184+S212*S184+T212*T184+U212*U184+V212*V184+W212*W184+X212*X184+Y212*Y184+Z212*Z184+AA212*AA184+AB212*AB184+AC212*AC184+AD212*AD184+AE212*AE184+AF212*AF184+AG212*AG184+AH212*AH184+AI212*AI184+AJ212*AJ184+AK212*AK184+AL212*AL184+AM212*AM184+AN212*AN184+AO212*AO184+AP212*AP184+AQ212*AQ184+AR212*AR184+AS212*AS184+AT212*AT184+AU212*AU184+AV212*AV184+AW212*AW184+AX212*AX184+AY212*AY184+AZ212*AZ184+BA212*BA184+BB212*BB184+BC212*BC184+BD212*BD184+BE212*BE184+BF212*BF184+BG212*BG184+BH212*BH184+BI212*BI184+BJ212*BJ184+BK212*BK184+BL212*BL184+BM212*BM184+BN212*BN184+BO212*BO184+BP212*BP184+BQ212*BQ184+BR212*BR184+BS212*BS184+BT212*BT184+BU212*BU184+BV212*BV184+BW212*BW184+BX212*BX184+BY212*BY184+BZ212*BZ184+CA212*CA184+CB212*CB184+CC212*CC184+CD212*CD184+CE212*CE184+CF212*CF184+CG212*CG184+CH212*CH184</f>
        <v>0</v>
      </c>
      <c r="CN184" s="1952">
        <f>E213*E184+F213*F184+G213*G184+H213*H184+I213*I184+J213*J184+K213*K184+L213*L184+M213*M184+N213*N184+O213*O184+P213*P184+Q213*Q184+R213*R184+S213*S184+T213*T184+U213*U184+V213*V184+W213*W184+X213*X184+Y213*Y184+Z213*Z184+AA213*AA184+AB213*AB184+AC213*AC184+AD213*AD184+AE213*AE184+AF213*AF184+AG213*AG184+AH213*AH184+AI213*AI184+AJ213*AJ184+AK213*AK184+AL213*AL184+AM213*AM184+AN213*AN184+AO213*AO184+AP213*AP184+AQ213*AQ184+AR213*AR184+AS213*AS184+AT213*AT184+AU213*AU184+AV213*AV184+AW213*AW184+AX213*AX184+AY213*AY184+AZ213*AZ184+BA213*BA184+BB213*BB184+BC213*BC184+BD213*BD184+BE213*BE184+BF213*BF184+BG213*BG184+BH213*BH184+BI213*BI184+BJ213*BJ184+BK213*BK184+BL213*BL184+BM213*BM184+BN213*BN184+BO213*BO184+BP213*BP184+BQ213*BQ184+BR213*BR184+BS213*BS184+BT213*BT184+BU213*BU184+BV213*BV184+BW213*BW184+BX213*BX184+BY213*BY184+BZ213*BZ184+CA213*CA184+CB213*CB184+CC213*CC184+CD213*CD184+CE213*CE184+CF213*CF184+CG213*CG184+CH213*CH184</f>
        <v>0</v>
      </c>
      <c r="CO184" s="1952">
        <f>E214*E184+F214*F184+G214*G184+H214*H184+I214*I184+J214*J184+K214*K184+L214*L184+M214*M184+N214*N184+O214*O184+P214*P184+Q214*Q184+R214*R184+S214*S184+T214*T184+U214*U184+V214*V184+W214*W184+X214*X184+Y214*Y184+Z214*Z184+AA214*AA184+AB214*AB184+AC214*AC184+AD214*AD184+AE214*AE184+AF214*AF184+AG214*AG184+AH214*AH184+AI214*AI184+AJ214*AJ184+AK214*AK184+AL214*AL184+AM214*AM184+AN214*AN184+AO214*AO184+AP214*AP184+AQ214*AQ184+AR214*AR184+AS214*AS184+AT214*AT184+AU214*AU184+AV214*AV184+AW214*AW184+AX214*AX184+AY214*AY184+AZ214*AZ184+BA214*BA184+BB214*BB184+BC214*BC184+BD214*BD184+BE214*BE184+BF214*BF184+BG214*BG184+BH214*BH184+BI214*BI184+BJ214*BJ184+BK214*BK184+BL214*BL184+BM214*BM184+BN214*BN184+BO214*BO184+BP214*BP184+BQ214*BQ184+BR214*BR184+BS214*BS184+BT214*BT184+BU214*BU184+BV214*BV184+BW214*BW184+BX214*BX184+BY214*BY184+BZ214*BZ184+CA214*CA184+CB214*CB184+CC214*CC184+CD214*CD184+CE214*CE184+CF214*CF184+CG214*CG184+CH214*CH184</f>
        <v>0</v>
      </c>
      <c r="CP184" s="1952">
        <f>E215*E184+F215*F184+G215*G184+H215*H184+I215*I184+J215*J184+K215*K184+L215*L184+M215*M184+N215*N184+O215*O184+P215*P184+Q215*Q184+R215*R184+S215*S184+T215*T184+U215*U184+V215*V184+W215*W184+X215*X184+Y215*Y184+Z215*Z184+AA215*AA184+AB215*AB184+AC215*AC184+AD215*AD184+AE215*AE184+AF215*AF184+AG215*AG184+AH215*AH184+AI215*AI184+AJ215*AJ184+AK215*AK184+AL215*AL184+AM215*AM184+AN215*AN184+AO215*AO184+AP215*AP184+AQ215*AQ184+AR215*AR184+AS215*AS184+AT215*AT184+AU215*AU184+AV215*AV184+AW215*AW184+AX215*AX184+AY215*AY184+AZ215*AZ184+BA215*BA184+BB215*BB184+BC215*BC184+BD215*BD184+BE215*BE184+BF215*BF184+BG215*BG184+BH215*BH184+BI215*BI184+BJ215*BJ184+BK215*BK184+BL215*BL184+BM215*BM184+BN215*BN184+BO215*BO184+BP215*BP184+BQ215*BQ184+BR215*BR184+BS215*BS184+BT215*BT184+BU215*BU184+BV215*BV184+BW215*BW184+BX215*BX184+BY215*BY184+BZ215*BZ184+CA215*CA184+CB215*CB184+CC215*CC184+CD215*CD184+CE215*CE184+CF215*CF184+CG215*CG184+CH215*CH184</f>
        <v>0</v>
      </c>
      <c r="CQ184" s="1952">
        <f>E216*E184+F216*F184+G216*G184+H216*H184+I216*I184+J216*J184+K216*K184+L216*L184+M216*M184+N216*N184+O216*O184+P216*P184+Q216*Q184+R216*R184+S216*S184+T216*T184+U216*U184+V216*V184+W216*W184+X216*X184+Y216*Y184+Z216*Z184+AA216*AA184+AB216*AB184+AC216*AC184+AD216*AD184+AE216*AE184+AF216*AF184+AG216*AG184+AH216*AH184+AI216*AI184+AJ216*AJ184+AK216*AK184+AL216*AL184+AM216*AM184+AN216*AN184+AO216*AO184+AP216*AP184+AQ216*AQ184+AR216*AR184+AS216*AS184+AT216*AT184+AU216*AU184+AV216*AV184+AW216*AW184+AX216*AX184+AY216*AY184+AZ216*AZ184+BA216*BA184+BB216*BB184+BC216*BC184+BD216*BD184+BE216*BE184+BF216*BF184+BG216*BG184+BH216*BH184+BI216*BI184+BJ216*BJ184+BK216*BK184+BL216*BL184+BM216*BM184+BN216*BN184+BO216*BO184+BP216*BP184+BQ216*BQ184+BR216*BR184+BS216*BS184+BT216*BT184+BU216*BU184+BV216*BV184+BW216*BW184+BX216*BX184+BY216*BY184+BZ216*BZ184+CA216*CA184+CB216*CB184+CC216*CC184+CD216*CD184+CE216*CE184+CF216*CF184+CG216*CG184+CH216*CH184</f>
        <v>0</v>
      </c>
      <c r="CR184" s="1952">
        <f>E217*E184+F217*F184+G217*G184+H217*H184+I217*I184+J217*J184+K217*K184+L217*L184+M217*M184+N217*N184+O217*O184+P217*P184+Q217*Q184+R217*R184+S217*S184+T217*T184+U217*U184+V217*V184+W217*W184+X217*X184+Y217*Y184+Z217*Z184+AA217*AA184+AB217*AB184+AC217*AC184+AD217*AD184+AE217*AE184+AF217*AF184+AG217*AG184+AH217*AH184+AI217*AI184+AJ217*AJ184+AK217*AK184+AL217*AL184+AM217*AM184+AN217*AN184+AO217*AO184+AP217*AP184+AQ217*AQ184+AR217*AR184+AS217*AS184+AT217*AT184+AU217*AU184+AV217*AV184+AW217*AW184+AX217*AX184+AY217*AY184+AZ217*AZ184+BA217*BA184+BB217*BB184+BC217*BC184+BD217*BD184+BE217*BE184+BF217*BF184+BG217*BG184+BH217*BH184+BI217*BI184+BJ217*BJ184+BK217*BK184+BL217*BL184+BM217*BM184+BN217*BN184+BO217*BO184+BP217*BP184+BQ217*BQ184+BR217*BR184+BS217*BS184+BT217*BT184+BU217*BU184+BV217*BV184+BW217*BW184+BX217*BX184+BY217*BY184+BZ217*BZ184+CA217*CA184+CB217*CB184+CC217*CC184+CD217*CD184+CE217*CE184+CF217*CF184+CG217*CG184+CH217*CH184</f>
        <v>0</v>
      </c>
      <c r="CS184" s="1952">
        <f>E218*E184+F218*F184+G218*G184+H218*H184+I218*I184+J218*J184+K218*K184+L218*L184+M218*M184+N218*N184+O218*O184+P218*P184+Q218*Q184+R218*R184+S218*S184+T218*T184+U218*U184+V218*V184+W218*W184+X218*X184+Y218*Y184+Z218*Z184+AA218*AA184+AB218*AB184+AC218*AC184+AD218*AD184+AE218*AE184+AF218*AF184+AG218*AG184+AH218*AH184+AI218*AI184+AJ218*AJ184+AK218*AK184+AL218*AL184+AM218*AM184+AN218*AN184+AO218*AO184+AP218*AP184+AQ218*AQ184+AR218*AR184+AS218*AS184+AT218*AT184+AU218*AU184+AV218*AV184+AW218*AW184+AX218*AX184+AY218*AY184+AZ218*AZ184+BA218*BA184+BB218*BB184+BC218*BC184+BD218*BD184+BE218*BE184+BF218*BF184+BG218*BG184+BH218*BH184+BI218*BI184+BJ218*BJ184+BK218*BK184+BL218*BL184+BM218*BM184+BN218*BN184+BO218*BO184+BP218*BP184+BQ218*BQ184+BR218*BR184+BS218*BS184+BT218*BT184+BU218*BU184+BV218*BV184+BW218*BW184+BX218*BX184+BY218*BY184+BZ218*BZ184+CA218*CA184+CB218*CB184+CC218*CC184+CD218*CD184+CE218*CE184+CF218*CF184+CG218*CG184+CH218*CH184</f>
        <v>0</v>
      </c>
      <c r="CT184" s="1952">
        <f>E219*E184+F219*F184+G219*G184+H219*H184+I219*I184+J219*J184+K219*K184+L219*L184+M219*M184+N219*N184+O219*O184+P219*P184+Q219*Q184+R219*R184+S219*S184+T219*T184+U219*U184+V219*V184+W219*W184+X219*X184+Y219*Y184+Z219*Z184+AA219*AA184+AB219*AB184+AC219*AC184+AD219*AD184+AE219*AE184+AF219*AF184+AG219*AG184+AH219*AH184+AI219*AI184+AJ219*AJ184+AK219*AK184+AL219*AL184+AM219*AM184+AN219*AN184+AO219*AO184+AP219*AP184+AQ219*AQ184+AR219*AR184+AS219*AS184+AT219*AT184+AU219*AU184+AV219*AV184+AW219*AW184+AX219*AX184+AY219*AY184+AZ219*AZ184+BA219*BA184+BB219*BB184+BC219*BC184+BD219*BD184+BE219*BE184+BF219*BF184+BG219*BG184+BH219*BH184+BI219*BI184+BJ219*BJ184+BK219*BK184+BL219*BL184+BM219*BM184+BN219*BN184+BO219*BO184+BP219*BP184+BQ219*BQ184+BR219*BR184+BS219*BS184+BT219*BT184+BU219*BU184+BV219*BV184+BW219*BW184+BX219*BX184+BY219*BY184+BZ219*BZ184+CA219*CA184+CB219*CB184+CC219*CC184+CD219*CD184+CE219*CE184+CF219*CF184+CG219*CG184+CH219*CH184</f>
        <v>0</v>
      </c>
      <c r="CU184" s="1952">
        <f>E220*E184+F220*F184+G220*G184+H220*H184+I220*I184+J220*J184+K220*K184+L220*L184+M220*M184+N220*N184+O220*O184+P220*P184+Q220*Q184+R220*R184+S220*S184+T220*T184+U220*U184+V220*V184+W220*W184+X220*X184+Y220*Y184+Z220*Z184+AA220*AA184+AB220*AB184+AC220*AC184+AD220*AD184+AE220*AE184+AF220*AF184+AG220*AG184+AH220*AH184+AI220*AI184+AJ220*AJ184+AK220*AK184+AL220*AL184+AM220*AM184+AN220*AN184+AO220*AO184+AP220*AP184+AQ220*AQ184+AR220*AR184+AS220*AS184+AT220*AT184+AU220*AU184+AV220*AV184+AW220*AW184+AX220*AX184+AY220*AY184+AZ220*AZ184+BA220*BA184+BB220*BB184+BC220*BC184+BD220*BD184+BE220*BE184+BF220*BF184+BG220*BG184+BH220*BH184+BI220*BI184+BJ220*BJ184+BK220*BK184+BL220*BL184+BM220*BM184+BN220*BN184+BO220*BO184+BP220*BP184+BQ220*BQ184+BR220*BR184+BS220*BS184+BT220*BT184+BU220*BU184+BV220*BV184+BW220*BW184+BX220*BX184+BY220*BY184+BZ220*BZ184+CA220*CA184+CB220*CB184+CC220*CC184+CD220*CD184+CE220*CE184+CF220*CF184+CG220*CG184+CH220*CH184</f>
        <v>0</v>
      </c>
    </row>
    <row r="185" spans="2:99" ht="18" x14ac:dyDescent="0.25">
      <c r="B185" s="1053">
        <v>70</v>
      </c>
      <c r="C185" s="1142" t="s">
        <v>2682</v>
      </c>
      <c r="D185" s="1143" t="s">
        <v>3416</v>
      </c>
      <c r="E185" s="2064">
        <f>0</f>
        <v>0</v>
      </c>
      <c r="F185" s="2064">
        <f>0</f>
        <v>0</v>
      </c>
      <c r="G185" s="2064">
        <f>0</f>
        <v>0</v>
      </c>
      <c r="H185" s="2064">
        <f>0</f>
        <v>0</v>
      </c>
      <c r="I185" s="2065">
        <f>0</f>
        <v>0</v>
      </c>
      <c r="J185" s="2065">
        <f>0</f>
        <v>0</v>
      </c>
      <c r="K185" s="2064">
        <f>0</f>
        <v>0</v>
      </c>
      <c r="L185" s="2064">
        <f>0</f>
        <v>0</v>
      </c>
      <c r="M185" s="2064">
        <f>0</f>
        <v>0</v>
      </c>
      <c r="N185" s="2064">
        <f>0</f>
        <v>0</v>
      </c>
      <c r="O185" s="2064">
        <f>0</f>
        <v>0</v>
      </c>
      <c r="P185" s="2064">
        <f>0</f>
        <v>0</v>
      </c>
      <c r="Q185" s="2064">
        <f>0</f>
        <v>0</v>
      </c>
      <c r="R185" s="2066">
        <f>0</f>
        <v>0</v>
      </c>
      <c r="S185" s="2064">
        <f>0</f>
        <v>0</v>
      </c>
      <c r="T185" s="2064">
        <f>0</f>
        <v>0</v>
      </c>
      <c r="U185" s="2064">
        <f>0</f>
        <v>0</v>
      </c>
      <c r="V185" s="2064">
        <f>0</f>
        <v>0</v>
      </c>
      <c r="W185" s="2064">
        <f>0</f>
        <v>0</v>
      </c>
      <c r="X185" s="2064">
        <f>0</f>
        <v>0</v>
      </c>
      <c r="Y185" s="2064">
        <f>0</f>
        <v>0</v>
      </c>
      <c r="Z185" s="2064">
        <f>0</f>
        <v>0</v>
      </c>
      <c r="AA185" s="2064">
        <f>0</f>
        <v>0</v>
      </c>
      <c r="AB185" s="2064">
        <f>0</f>
        <v>0</v>
      </c>
      <c r="AC185" s="2065">
        <f>0</f>
        <v>0</v>
      </c>
      <c r="AD185" s="2065">
        <f>0</f>
        <v>0</v>
      </c>
      <c r="AE185" s="2064">
        <f>0</f>
        <v>0</v>
      </c>
      <c r="AF185" s="2066">
        <f>(A_SFHAO_L*(A_MP/A_MAl))</f>
        <v>0.11479629449808203</v>
      </c>
      <c r="AG185" s="2064">
        <f>0</f>
        <v>0</v>
      </c>
      <c r="AH185" s="2064">
        <f>0</f>
        <v>0</v>
      </c>
      <c r="AI185" s="2065">
        <f>0</f>
        <v>0</v>
      </c>
      <c r="AJ185" s="2065">
        <f>0</f>
        <v>0</v>
      </c>
      <c r="AK185" s="2064">
        <f>0</f>
        <v>0</v>
      </c>
      <c r="AL185" s="2066">
        <f>0</f>
        <v>0</v>
      </c>
      <c r="AM185" s="2064">
        <f>0</f>
        <v>0</v>
      </c>
      <c r="AN185" s="2064">
        <f>0</f>
        <v>0</v>
      </c>
      <c r="AO185" s="2066">
        <f>0</f>
        <v>0</v>
      </c>
      <c r="AP185" s="2064">
        <f>0</f>
        <v>0</v>
      </c>
      <c r="AQ185" s="2064">
        <f>0</f>
        <v>0</v>
      </c>
      <c r="AR185" s="2064">
        <f>0</f>
        <v>0</v>
      </c>
      <c r="AS185" s="2064">
        <f>0</f>
        <v>0</v>
      </c>
      <c r="AT185" s="2064">
        <f>0</f>
        <v>0</v>
      </c>
      <c r="AU185" s="2064">
        <f>0</f>
        <v>0</v>
      </c>
      <c r="AV185" s="2066">
        <f>0</f>
        <v>0</v>
      </c>
      <c r="AW185" s="2064">
        <f>0</f>
        <v>0</v>
      </c>
      <c r="AX185" s="2064">
        <f>0</f>
        <v>0</v>
      </c>
      <c r="AY185" s="2064">
        <f>0</f>
        <v>0</v>
      </c>
      <c r="AZ185" s="2066">
        <f>0</f>
        <v>0</v>
      </c>
      <c r="BA185" s="2064">
        <f>0</f>
        <v>0</v>
      </c>
      <c r="BB185" s="2066">
        <f>0</f>
        <v>0</v>
      </c>
      <c r="BC185" s="2066">
        <f>0</f>
        <v>0</v>
      </c>
      <c r="BD185" s="2109">
        <f>0</f>
        <v>0</v>
      </c>
      <c r="BE185" s="2109">
        <f>1</f>
        <v>1</v>
      </c>
      <c r="BF185" s="2109">
        <f>0</f>
        <v>0</v>
      </c>
      <c r="BG185" s="2109">
        <f>0</f>
        <v>0</v>
      </c>
      <c r="BH185" s="2109">
        <f>-1</f>
        <v>-1</v>
      </c>
      <c r="BI185" s="2109">
        <f>0</f>
        <v>0</v>
      </c>
      <c r="BJ185" s="2109">
        <f>0</f>
        <v>0</v>
      </c>
      <c r="BK185" s="2066">
        <f>0</f>
        <v>0</v>
      </c>
      <c r="BL185" s="2066">
        <f>0</f>
        <v>0</v>
      </c>
      <c r="BM185" s="2066">
        <f>0</f>
        <v>0</v>
      </c>
      <c r="BN185" s="2066">
        <f>0</f>
        <v>0</v>
      </c>
      <c r="BO185" s="2066">
        <f>0</f>
        <v>0</v>
      </c>
      <c r="BP185" s="2125">
        <f>0</f>
        <v>0</v>
      </c>
      <c r="BQ185" s="2125">
        <f>0</f>
        <v>0</v>
      </c>
      <c r="BR185" s="2125">
        <f>0</f>
        <v>0</v>
      </c>
      <c r="BS185" s="2125">
        <f>0</f>
        <v>0</v>
      </c>
      <c r="BT185" s="2066">
        <f>0</f>
        <v>0</v>
      </c>
      <c r="BU185" s="2066">
        <f>0</f>
        <v>0</v>
      </c>
      <c r="BV185" s="2066">
        <f>0</f>
        <v>0</v>
      </c>
      <c r="BW185" s="2066">
        <f>0</f>
        <v>0</v>
      </c>
      <c r="BX185" s="2066">
        <f>0</f>
        <v>0</v>
      </c>
      <c r="BY185" s="2066">
        <f>0</f>
        <v>0</v>
      </c>
      <c r="BZ185" s="2066">
        <f>0</f>
        <v>0</v>
      </c>
      <c r="CA185" s="2066">
        <f>0</f>
        <v>0</v>
      </c>
      <c r="CB185" s="2066">
        <f>0</f>
        <v>0</v>
      </c>
      <c r="CC185" s="2066">
        <f>0</f>
        <v>0</v>
      </c>
      <c r="CD185" s="2066">
        <f>0</f>
        <v>0</v>
      </c>
      <c r="CE185" s="2066">
        <f>0</f>
        <v>0</v>
      </c>
      <c r="CF185" s="2066">
        <f>0</f>
        <v>0</v>
      </c>
      <c r="CG185" s="2066">
        <f>0</f>
        <v>0</v>
      </c>
      <c r="CH185" s="2066">
        <f>0</f>
        <v>0</v>
      </c>
      <c r="CI185" s="2145">
        <f>q_HAOL_DESORP*X_HAO_L_P*M_inhSPO4_KiP_HAO_DESORP</f>
        <v>1.6666666666666666E-50</v>
      </c>
      <c r="CK185" s="1950">
        <f>E210*E185+F210*F185+G210*G185+H210*H185+I210*I185+J210*J185+K210*K185+L210*L185+M210*M185+N210*N185+O210*O185+P210*P185+Q210*Q185+R210*R185+S210*S185+T210*T185+U210*U185+V210*V185+W210*W185+X210*X185+Y210*Y185+Z210*Z185+AA210*AA185+AB210*AB185+AC210*AC185+AD210*AD185+AE210*AE185+AF210*AF185+AG210*AG185+AH210*AH185+AI210*AI185+AJ210*AJ185+AK210*AK185+AL210*AL185+AM210*AM185+AN210*AN185+AO210*AO185+AP210*AP185+AQ210*AQ185+AR210*AR185+AS210*AS185+AT210*AT185+AU210*AU185+AV210*AV185+AW210*AW185+AX210*AX185+AY210*AY185+AZ210*AZ185+BA210*BA185+BB210*BB185+BC210*BC185+BD210*BD185+BE210*BE185+BF210*BF185+BG210*BG185+BH210*BH185+BI210*BI185+BJ210*BJ185+BK210*BK185+BL210*BL185+BM210*BM185+BN210*BN185+BO210*BO185+BP210*BP185+BQ210*BQ185+BR210*BR185+BS210*BS185+BT210*BT185+BU210*BU185+BV210*BV185+BW210*BW185+BX210*BX185+BY210*BY185+BZ210*BZ185+CA210*CA185+CB210*CB185+CC210*CC185+CD210*CD185+CE210*CE185+CF210*CF185+CG210*CG185+CH210*CH185</f>
        <v>0</v>
      </c>
      <c r="CL185" s="1950">
        <f>E211*E185+F211*F185+G211*G185+H211*H185+I211*I185+J211*J185+K211*K185+L211*L185+M211*M185+N211*N185+O211*O185+P211*P185+Q211*Q185+R211*R185+S211*S185+T211*T185+U211*U185+V211*V185+W211*W185+X211*X185+Y211*Y185+Z211*Z185+AA211*AA185+AB211*AB185+AC211*AC185+AD211*AD185+AE211*AE185+AF211*AF185+AG211*AG185+AH211*AH185+AI211*AI185+AJ211*AJ185+AK211*AK185+AL211*AL185+AM211*AM185+AN211*AN185+AO211*AO185+AP211*AP185+AQ211*AQ185+AR211*AR185+AS211*AS185+AT211*AT185+AU211*AU185+AV211*AV185+AW211*AW185+AX211*AX185+AY211*AY185+AZ211*AZ185+BA211*BA185+BB211*BB185+BC211*BC185+BD211*BD185+BE211*BE185+BF211*BF185+BG211*BG185+BH211*BH185+BI211*BI185+BJ211*BJ185+BK211*BK185+BL211*BL185+BM211*BM185+BN211*BN185+BO211*BO185+BP211*BP185+BQ211*BQ185+BR211*BR185+BS211*BS185+BT211*BT185+BU211*BU185+BV211*BV185+BW211*BW185+BX211*BX185+BY211*BY185+BZ211*BZ185+CA211*CA185+CB211*CB185+CC211*CC185+CD211*CD185+CE211*CE185+CF211*CF185+CG211*CG185+CH211*CH185</f>
        <v>0</v>
      </c>
      <c r="CM185" s="1951">
        <f>E212*E185+F212*F185+G212*G185+H212*H185+I212*I185+J212*J185+K212*K185+L212*L185+M212*M185+N212*N185+O212*O185+P212*P185+Q212*Q185+R212*R185+S212*S185+T212*T185+U212*U185+V212*V185+W212*W185+X212*X185+Y212*Y185+Z212*Z185+AA212*AA185+AB212*AB185+AC212*AC185+AD212*AD185+AE212*AE185+AF212*AF185+AG212*AG185+AH212*AH185+AI212*AI185+AJ212*AJ185+AK212*AK185+AL212*AL185+AM212*AM185+AN212*AN185+AO212*AO185+AP212*AP185+AQ212*AQ185+AR212*AR185+AS212*AS185+AT212*AT185+AU212*AU185+AV212*AV185+AW212*AW185+AX212*AX185+AY212*AY185+AZ212*AZ185+BA212*BA185+BB212*BB185+BC212*BC185+BD212*BD185+BE212*BE185+BF212*BF185+BG212*BG185+BH212*BH185+BI212*BI185+BJ212*BJ185+BK212*BK185+BL212*BL185+BM212*BM185+BN212*BN185+BO212*BO185+BP212*BP185+BQ212*BQ185+BR212*BR185+BS212*BS185+BT212*BT185+BU212*BU185+BV212*BV185+BW212*BW185+BX212*BX185+BY212*BY185+BZ212*BZ185+CA212*CA185+CB212*CB185+CC212*CC185+CD212*CD185+CE212*CE185+CF212*CF185+CG212*CG185+CH212*CH185</f>
        <v>0</v>
      </c>
      <c r="CN185" s="1952">
        <f>E213*E185+F213*F185+G213*G185+H213*H185+I213*I185+J213*J185+K213*K185+L213*L185+M213*M185+N213*N185+O213*O185+P213*P185+Q213*Q185+R213*R185+S213*S185+T213*T185+U213*U185+V213*V185+W213*W185+X213*X185+Y213*Y185+Z213*Z185+AA213*AA185+AB213*AB185+AC213*AC185+AD213*AD185+AE213*AE185+AF213*AF185+AG213*AG185+AH213*AH185+AI213*AI185+AJ213*AJ185+AK213*AK185+AL213*AL185+AM213*AM185+AN213*AN185+AO213*AO185+AP213*AP185+AQ213*AQ185+AR213*AR185+AS213*AS185+AT213*AT185+AU213*AU185+AV213*AV185+AW213*AW185+AX213*AX185+AY213*AY185+AZ213*AZ185+BA213*BA185+BB213*BB185+BC213*BC185+BD213*BD185+BE213*BE185+BF213*BF185+BG213*BG185+BH213*BH185+BI213*BI185+BJ213*BJ185+BK213*BK185+BL213*BL185+BM213*BM185+BN213*BN185+BO213*BO185+BP213*BP185+BQ213*BQ185+BR213*BR185+BS213*BS185+BT213*BT185+BU213*BU185+BV213*BV185+BW213*BW185+BX213*BX185+BY213*BY185+BZ213*BZ185+CA213*CA185+CB213*CB185+CC213*CC185+CD213*CD185+CE213*CE185+CF213*CF185+CG213*CG185+CH213*CH185</f>
        <v>0</v>
      </c>
      <c r="CO185" s="1952">
        <f>E214*E185+F214*F185+G214*G185+H214*H185+I214*I185+J214*J185+K214*K185+L214*L185+M214*M185+N214*N185+O214*O185+P214*P185+Q214*Q185+R214*R185+S214*S185+T214*T185+U214*U185+V214*V185+W214*W185+X214*X185+Y214*Y185+Z214*Z185+AA214*AA185+AB214*AB185+AC214*AC185+AD214*AD185+AE214*AE185+AF214*AF185+AG214*AG185+AH214*AH185+AI214*AI185+AJ214*AJ185+AK214*AK185+AL214*AL185+AM214*AM185+AN214*AN185+AO214*AO185+AP214*AP185+AQ214*AQ185+AR214*AR185+AS214*AS185+AT214*AT185+AU214*AU185+AV214*AV185+AW214*AW185+AX214*AX185+AY214*AY185+AZ214*AZ185+BA214*BA185+BB214*BB185+BC214*BC185+BD214*BD185+BE214*BE185+BF214*BF185+BG214*BG185+BH214*BH185+BI214*BI185+BJ214*BJ185+BK214*BK185+BL214*BL185+BM214*BM185+BN214*BN185+BO214*BO185+BP214*BP185+BQ214*BQ185+BR214*BR185+BS214*BS185+BT214*BT185+BU214*BU185+BV214*BV185+BW214*BW185+BX214*BX185+BY214*BY185+BZ214*BZ185+CA214*CA185+CB214*CB185+CC214*CC185+CD214*CD185+CE214*CE185+CF214*CF185+CG214*CG185+CH214*CH185</f>
        <v>0</v>
      </c>
      <c r="CP185" s="1952">
        <f>E215*E185+F215*F185+G215*G185+H215*H185+I215*I185+J215*J185+K215*K185+L215*L185+M215*M185+N215*N185+O215*O185+P215*P185+Q215*Q185+R215*R185+S215*S185+T215*T185+U215*U185+V215*V185+W215*W185+X215*X185+Y215*Y185+Z215*Z185+AA215*AA185+AB215*AB185+AC215*AC185+AD215*AD185+AE215*AE185+AF215*AF185+AG215*AG185+AH215*AH185+AI215*AI185+AJ215*AJ185+AK215*AK185+AL215*AL185+AM215*AM185+AN215*AN185+AO215*AO185+AP215*AP185+AQ215*AQ185+AR215*AR185+AS215*AS185+AT215*AT185+AU215*AU185+AV215*AV185+AW215*AW185+AX215*AX185+AY215*AY185+AZ215*AZ185+BA215*BA185+BB215*BB185+BC215*BC185+BD215*BD185+BE215*BE185+BF215*BF185+BG215*BG185+BH215*BH185+BI215*BI185+BJ215*BJ185+BK215*BK185+BL215*BL185+BM215*BM185+BN215*BN185+BO215*BO185+BP215*BP185+BQ215*BQ185+BR215*BR185+BS215*BS185+BT215*BT185+BU215*BU185+BV215*BV185+BW215*BW185+BX215*BX185+BY215*BY185+BZ215*BZ185+CA215*CA185+CB215*CB185+CC215*CC185+CD215*CD185+CE215*CE185+CF215*CF185+CG215*CG185+CH215*CH185</f>
        <v>0</v>
      </c>
      <c r="CQ185" s="1952">
        <f>E216*E185+F216*F185+G216*G185+H216*H185+I216*I185+J216*J185+K216*K185+L216*L185+M216*M185+N216*N185+O216*O185+P216*P185+Q216*Q185+R216*R185+S216*S185+T216*T185+U216*U185+V216*V185+W216*W185+X216*X185+Y216*Y185+Z216*Z185+AA216*AA185+AB216*AB185+AC216*AC185+AD216*AD185+AE216*AE185+AF216*AF185+AG216*AG185+AH216*AH185+AI216*AI185+AJ216*AJ185+AK216*AK185+AL216*AL185+AM216*AM185+AN216*AN185+AO216*AO185+AP216*AP185+AQ216*AQ185+AR216*AR185+AS216*AS185+AT216*AT185+AU216*AU185+AV216*AV185+AW216*AW185+AX216*AX185+AY216*AY185+AZ216*AZ185+BA216*BA185+BB216*BB185+BC216*BC185+BD216*BD185+BE216*BE185+BF216*BF185+BG216*BG185+BH216*BH185+BI216*BI185+BJ216*BJ185+BK216*BK185+BL216*BL185+BM216*BM185+BN216*BN185+BO216*BO185+BP216*BP185+BQ216*BQ185+BR216*BR185+BS216*BS185+BT216*BT185+BU216*BU185+BV216*BV185+BW216*BW185+BX216*BX185+BY216*BY185+BZ216*BZ185+CA216*CA185+CB216*CB185+CC216*CC185+CD216*CD185+CE216*CE185+CF216*CF185+CG216*CG185+CH216*CH185</f>
        <v>0</v>
      </c>
      <c r="CR185" s="1952">
        <f>E217*E185+F217*F185+G217*G185+H217*H185+I217*I185+J217*J185+K217*K185+L217*L185+M217*M185+N217*N185+O217*O185+P217*P185+Q217*Q185+R217*R185+S217*S185+T217*T185+U217*U185+V217*V185+W217*W185+X217*X185+Y217*Y185+Z217*Z185+AA217*AA185+AB217*AB185+AC217*AC185+AD217*AD185+AE217*AE185+AF217*AF185+AG217*AG185+AH217*AH185+AI217*AI185+AJ217*AJ185+AK217*AK185+AL217*AL185+AM217*AM185+AN217*AN185+AO217*AO185+AP217*AP185+AQ217*AQ185+AR217*AR185+AS217*AS185+AT217*AT185+AU217*AU185+AV217*AV185+AW217*AW185+AX217*AX185+AY217*AY185+AZ217*AZ185+BA217*BA185+BB217*BB185+BC217*BC185+BD217*BD185+BE217*BE185+BF217*BF185+BG217*BG185+BH217*BH185+BI217*BI185+BJ217*BJ185+BK217*BK185+BL217*BL185+BM217*BM185+BN217*BN185+BO217*BO185+BP217*BP185+BQ217*BQ185+BR217*BR185+BS217*BS185+BT217*BT185+BU217*BU185+BV217*BV185+BW217*BW185+BX217*BX185+BY217*BY185+BZ217*BZ185+CA217*CA185+CB217*CB185+CC217*CC185+CD217*CD185+CE217*CE185+CF217*CF185+CG217*CG185+CH217*CH185</f>
        <v>0</v>
      </c>
      <c r="CS185" s="1952">
        <f>E218*E185+F218*F185+G218*G185+H218*H185+I218*I185+J218*J185+K218*K185+L218*L185+M218*M185+N218*N185+O218*O185+P218*P185+Q218*Q185+R218*R185+S218*S185+T218*T185+U218*U185+V218*V185+W218*W185+X218*X185+Y218*Y185+Z218*Z185+AA218*AA185+AB218*AB185+AC218*AC185+AD218*AD185+AE218*AE185+AF218*AF185+AG218*AG185+AH218*AH185+AI218*AI185+AJ218*AJ185+AK218*AK185+AL218*AL185+AM218*AM185+AN218*AN185+AO218*AO185+AP218*AP185+AQ218*AQ185+AR218*AR185+AS218*AS185+AT218*AT185+AU218*AU185+AV218*AV185+AW218*AW185+AX218*AX185+AY218*AY185+AZ218*AZ185+BA218*BA185+BB218*BB185+BC218*BC185+BD218*BD185+BE218*BE185+BF218*BF185+BG218*BG185+BH218*BH185+BI218*BI185+BJ218*BJ185+BK218*BK185+BL218*BL185+BM218*BM185+BN218*BN185+BO218*BO185+BP218*BP185+BQ218*BQ185+BR218*BR185+BS218*BS185+BT218*BT185+BU218*BU185+BV218*BV185+BW218*BW185+BX218*BX185+BY218*BY185+BZ218*BZ185+CA218*CA185+CB218*CB185+CC218*CC185+CD218*CD185+CE218*CE185+CF218*CF185+CG218*CG185+CH218*CH185</f>
        <v>0</v>
      </c>
      <c r="CT185" s="1952">
        <f>E219*E185+F219*F185+G219*G185+H219*H185+I219*I185+J219*J185+K219*K185+L219*L185+M219*M185+N219*N185+O219*O185+P219*P185+Q219*Q185+R219*R185+S219*S185+T219*T185+U219*U185+V219*V185+W219*W185+X219*X185+Y219*Y185+Z219*Z185+AA219*AA185+AB219*AB185+AC219*AC185+AD219*AD185+AE219*AE185+AF219*AF185+AG219*AG185+AH219*AH185+AI219*AI185+AJ219*AJ185+AK219*AK185+AL219*AL185+AM219*AM185+AN219*AN185+AO219*AO185+AP219*AP185+AQ219*AQ185+AR219*AR185+AS219*AS185+AT219*AT185+AU219*AU185+AV219*AV185+AW219*AW185+AX219*AX185+AY219*AY185+AZ219*AZ185+BA219*BA185+BB219*BB185+BC219*BC185+BD219*BD185+BE219*BE185+BF219*BF185+BG219*BG185+BH219*BH185+BI219*BI185+BJ219*BJ185+BK219*BK185+BL219*BL185+BM219*BM185+BN219*BN185+BO219*BO185+BP219*BP185+BQ219*BQ185+BR219*BR185+BS219*BS185+BT219*BT185+BU219*BU185+BV219*BV185+BW219*BW185+BX219*BX185+BY219*BY185+BZ219*BZ185+CA219*CA185+CB219*CB185+CC219*CC185+CD219*CD185+CE219*CE185+CF219*CF185+CG219*CG185+CH219*CH185</f>
        <v>0</v>
      </c>
      <c r="CU185" s="1952">
        <f>E220*E185+F220*F185+G220*G185+H220*H185+I220*I185+J220*J185+K220*K185+L220*L185+M220*M185+N220*N185+O220*O185+P220*P185+Q220*Q185+R220*R185+S220*S185+T220*T185+U220*U185+V220*V185+W220*W185+X220*X185+Y220*Y185+Z220*Z185+AA220*AA185+AB220*AB185+AC220*AC185+AD220*AD185+AE220*AE185+AF220*AF185+AG220*AG185+AH220*AH185+AI220*AI185+AJ220*AJ185+AK220*AK185+AL220*AL185+AM220*AM185+AN220*AN185+AO220*AO185+AP220*AP185+AQ220*AQ185+AR220*AR185+AS220*AS185+AT220*AT185+AU220*AU185+AV220*AV185+AW220*AW185+AX220*AX185+AY220*AY185+AZ220*AZ185+BA220*BA185+BB220*BB185+BC220*BC185+BD220*BD185+BE220*BE185+BF220*BF185+BG220*BG185+BH220*BH185+BI220*BI185+BJ220*BJ185+BK220*BK185+BL220*BL185+BM220*BM185+BN220*BN185+BO220*BO185+BP220*BP185+BQ220*BQ185+BR220*BR185+BS220*BS185+BT220*BT185+BU220*BU185+BV220*BV185+BW220*BW185+BX220*BX185+BY220*BY185+BZ220*BZ185+CA220*CA185+CB220*CB185+CC220*CC185+CD220*CD185+CE220*CE185+CF220*CF185+CG220*CG185+CH220*CH185</f>
        <v>0</v>
      </c>
    </row>
    <row r="186" spans="2:99" ht="18" x14ac:dyDescent="0.25">
      <c r="B186" s="1053">
        <v>71</v>
      </c>
      <c r="C186" s="1142" t="s">
        <v>2844</v>
      </c>
      <c r="D186" s="1143" t="s">
        <v>3417</v>
      </c>
      <c r="E186" s="2064">
        <f>0</f>
        <v>0</v>
      </c>
      <c r="F186" s="2064">
        <f>0</f>
        <v>0</v>
      </c>
      <c r="G186" s="2064">
        <f>0</f>
        <v>0</v>
      </c>
      <c r="H186" s="2064">
        <f>0</f>
        <v>0</v>
      </c>
      <c r="I186" s="2065">
        <f>0</f>
        <v>0</v>
      </c>
      <c r="J186" s="2065">
        <f>0</f>
        <v>0</v>
      </c>
      <c r="K186" s="2064">
        <f>0</f>
        <v>0</v>
      </c>
      <c r="L186" s="2064">
        <f>0</f>
        <v>0</v>
      </c>
      <c r="M186" s="2064">
        <f>0</f>
        <v>0</v>
      </c>
      <c r="N186" s="2064">
        <f>0</f>
        <v>0</v>
      </c>
      <c r="O186" s="2064">
        <f>0</f>
        <v>0</v>
      </c>
      <c r="P186" s="2064">
        <f>0</f>
        <v>0</v>
      </c>
      <c r="Q186" s="2064">
        <f>0</f>
        <v>0</v>
      </c>
      <c r="R186" s="2066">
        <f>0</f>
        <v>0</v>
      </c>
      <c r="S186" s="2064">
        <f>0</f>
        <v>0</v>
      </c>
      <c r="T186" s="2064">
        <f>0</f>
        <v>0</v>
      </c>
      <c r="U186" s="2064">
        <f>0</f>
        <v>0</v>
      </c>
      <c r="V186" s="2064">
        <f>0</f>
        <v>0</v>
      </c>
      <c r="W186" s="2064">
        <f>0</f>
        <v>0</v>
      </c>
      <c r="X186" s="2064">
        <f>0</f>
        <v>0</v>
      </c>
      <c r="Y186" s="2064">
        <f>0</f>
        <v>0</v>
      </c>
      <c r="Z186" s="2064">
        <f>0</f>
        <v>0</v>
      </c>
      <c r="AA186" s="2064">
        <f>0</f>
        <v>0</v>
      </c>
      <c r="AB186" s="2064">
        <f>0</f>
        <v>0</v>
      </c>
      <c r="AC186" s="2065">
        <f>0</f>
        <v>0</v>
      </c>
      <c r="AD186" s="2065">
        <f>0</f>
        <v>0</v>
      </c>
      <c r="AE186" s="2064">
        <f>0</f>
        <v>0</v>
      </c>
      <c r="AF186" s="2066">
        <f>(A_SFHAO_H*(A_MP/A_MAl))*X_HAO_H_P_old/(X_HAO_H_P_old+X_HAO_L_P_old)+(A_SFHAO_L*(A_MP/A_MAl))*X_HAO_L_P_old/(X_HAO_H_P_old+X_HAO_L_P_old)</f>
        <v>0.63137961973945111</v>
      </c>
      <c r="AG186" s="2064">
        <f>0</f>
        <v>0</v>
      </c>
      <c r="AH186" s="2064">
        <f>0</f>
        <v>0</v>
      </c>
      <c r="AI186" s="2065">
        <f>0</f>
        <v>0</v>
      </c>
      <c r="AJ186" s="2065">
        <f>0</f>
        <v>0</v>
      </c>
      <c r="AK186" s="2064">
        <f>0</f>
        <v>0</v>
      </c>
      <c r="AL186" s="2066">
        <f>0</f>
        <v>0</v>
      </c>
      <c r="AM186" s="2064">
        <f>0</f>
        <v>0</v>
      </c>
      <c r="AN186" s="2064">
        <f>0</f>
        <v>0</v>
      </c>
      <c r="AO186" s="2066">
        <f>0</f>
        <v>0</v>
      </c>
      <c r="AP186" s="2064">
        <f>0</f>
        <v>0</v>
      </c>
      <c r="AQ186" s="2064">
        <f>0</f>
        <v>0</v>
      </c>
      <c r="AR186" s="2064">
        <f>0</f>
        <v>0</v>
      </c>
      <c r="AS186" s="2064">
        <f>0</f>
        <v>0</v>
      </c>
      <c r="AT186" s="2064">
        <f>0</f>
        <v>0</v>
      </c>
      <c r="AU186" s="2064">
        <f>0</f>
        <v>0</v>
      </c>
      <c r="AV186" s="2066">
        <f>0</f>
        <v>0</v>
      </c>
      <c r="AW186" s="2064">
        <f>0</f>
        <v>0</v>
      </c>
      <c r="AX186" s="2064">
        <f>0</f>
        <v>0</v>
      </c>
      <c r="AY186" s="2064">
        <f>0</f>
        <v>0</v>
      </c>
      <c r="AZ186" s="2066">
        <f>0</f>
        <v>0</v>
      </c>
      <c r="BA186" s="2064">
        <f>0</f>
        <v>0</v>
      </c>
      <c r="BB186" s="2066">
        <f>0</f>
        <v>0</v>
      </c>
      <c r="BC186" s="2066">
        <f>0</f>
        <v>0</v>
      </c>
      <c r="BD186" s="2109">
        <f>0</f>
        <v>0</v>
      </c>
      <c r="BE186" s="2109">
        <f>0</f>
        <v>0</v>
      </c>
      <c r="BF186" s="2109">
        <f>1</f>
        <v>1</v>
      </c>
      <c r="BG186" s="2109">
        <f>0</f>
        <v>0</v>
      </c>
      <c r="BH186" s="2109">
        <f>0</f>
        <v>0</v>
      </c>
      <c r="BI186" s="2108">
        <f>-X_HAO_H_P_old/(X_HAO_H_P_old+X_HAO_L_P_old)</f>
        <v>-0.5</v>
      </c>
      <c r="BJ186" s="2108">
        <f>-X_HAO_L_P_old/(X_HAO_H_P_old+X_HAO_L_P_old)</f>
        <v>-0.5</v>
      </c>
      <c r="BK186" s="2066">
        <f>0</f>
        <v>0</v>
      </c>
      <c r="BL186" s="2066">
        <f>0</f>
        <v>0</v>
      </c>
      <c r="BM186" s="2066">
        <f>0</f>
        <v>0</v>
      </c>
      <c r="BN186" s="2066">
        <f>0</f>
        <v>0</v>
      </c>
      <c r="BO186" s="2066">
        <f>0</f>
        <v>0</v>
      </c>
      <c r="BP186" s="2125">
        <f>0</f>
        <v>0</v>
      </c>
      <c r="BQ186" s="2125">
        <f>0</f>
        <v>0</v>
      </c>
      <c r="BR186" s="2125">
        <f>0</f>
        <v>0</v>
      </c>
      <c r="BS186" s="2125">
        <f>0</f>
        <v>0</v>
      </c>
      <c r="BT186" s="2066">
        <f>0</f>
        <v>0</v>
      </c>
      <c r="BU186" s="2066">
        <f>0</f>
        <v>0</v>
      </c>
      <c r="BV186" s="2066">
        <f>0</f>
        <v>0</v>
      </c>
      <c r="BW186" s="2066">
        <f>0</f>
        <v>0</v>
      </c>
      <c r="BX186" s="2066">
        <f>0</f>
        <v>0</v>
      </c>
      <c r="BY186" s="2066">
        <f>0</f>
        <v>0</v>
      </c>
      <c r="BZ186" s="2066">
        <f>0</f>
        <v>0</v>
      </c>
      <c r="CA186" s="2066">
        <f>0</f>
        <v>0</v>
      </c>
      <c r="CB186" s="2066">
        <f>0</f>
        <v>0</v>
      </c>
      <c r="CC186" s="2066">
        <f>0</f>
        <v>0</v>
      </c>
      <c r="CD186" s="2066">
        <f>0</f>
        <v>0</v>
      </c>
      <c r="CE186" s="2066">
        <f>0</f>
        <v>0</v>
      </c>
      <c r="CF186" s="2066">
        <f>0</f>
        <v>0</v>
      </c>
      <c r="CG186" s="2066">
        <f>0</f>
        <v>0</v>
      </c>
      <c r="CH186" s="2066">
        <f>0</f>
        <v>0</v>
      </c>
      <c r="CI186" s="2145">
        <f>q_HAO_DISS*(X_HAO_H_P_old+X_HAO_L_P_old)*L_oginhSPO4_KiP_HAO_DISS</f>
        <v>0</v>
      </c>
      <c r="CK186" s="1950">
        <f>E210*E186+F210*F186+G210*G186+H210*H186+I210*I186+J210*J186+K210*K186+L210*L186+M210*M186+N210*N186+O210*O186+P210*P186+Q210*Q186+R210*R186+S210*S186+T210*T186+U210*U186+V210*V186+W210*W186+X210*X186+Y210*Y186+Z210*Z186+AA210*AA186+AB210*AB186+AC210*AC186+AD210*AD186+AE210*AE186+AF210*AF186+AG210*AG186+AH210*AH186+AI210*AI186+AJ210*AJ186+AK210*AK186+AL210*AL186+AM210*AM186+AN210*AN186+AO210*AO186+AP210*AP186+AQ210*AQ186+AR210*AR186+AS210*AS186+AT210*AT186+AU210*AU186+AV210*AV186+AW210*AW186+AX210*AX186+AY210*AY186+AZ210*AZ186+BA210*BA186+BB210*BB186+BC210*BC186+BD210*BD186+BE210*BE186+BF210*BF186+BG210*BG186+BH210*BH186+BI210*BI186+BJ210*BJ186+BK210*BK186+BL210*BL186+BM210*BM186+BN210*BN186+BO210*BO186+BP210*BP186+BQ210*BQ186+BR210*BR186+BS210*BS186+BT210*BT186+BU210*BU186+BV210*BV186+BW210*BW186+BX210*BX186+BY210*BY186+BZ210*BZ186+CA210*CA186+CB210*CB186+CC210*CC186+CD210*CD186+CE210*CE186+CF210*CF186+CG210*CG186+CH210*CH186</f>
        <v>0</v>
      </c>
      <c r="CL186" s="1950">
        <f>E211*E186+F211*F186+G211*G186+H211*H186+I211*I186+J211*J186+K211*K186+L211*L186+M211*M186+N211*N186+O211*O186+P211*P186+Q211*Q186+R211*R186+S211*S186+T211*T186+U211*U186+V211*V186+W211*W186+X211*X186+Y211*Y186+Z211*Z186+AA211*AA186+AB211*AB186+AC211*AC186+AD211*AD186+AE211*AE186+AF211*AF186+AG211*AG186+AH211*AH186+AI211*AI186+AJ211*AJ186+AK211*AK186+AL211*AL186+AM211*AM186+AN211*AN186+AO211*AO186+AP211*AP186+AQ211*AQ186+AR211*AR186+AS211*AS186+AT211*AT186+AU211*AU186+AV211*AV186+AW211*AW186+AX211*AX186+AY211*AY186+AZ211*AZ186+BA211*BA186+BB211*BB186+BC211*BC186+BD211*BD186+BE211*BE186+BF211*BF186+BG211*BG186+BH211*BH186+BI211*BI186+BJ211*BJ186+BK211*BK186+BL211*BL186+BM211*BM186+BN211*BN186+BO211*BO186+BP211*BP186+BQ211*BQ186+BR211*BR186+BS211*BS186+BT211*BT186+BU211*BU186+BV211*BV186+BW211*BW186+BX211*BX186+BY211*BY186+BZ211*BZ186+CA211*CA186+CB211*CB186+CC211*CC186+CD211*CD186+CE211*CE186+CF211*CF186+CG211*CG186+CH211*CH186</f>
        <v>0</v>
      </c>
      <c r="CM186" s="1951">
        <f>E212*E186+F212*F186+G212*G186+H212*H186+I212*I186+J212*J186+K212*K186+L212*L186+M212*M186+N212*N186+O212*O186+P212*P186+Q212*Q186+R212*R186+S212*S186+T212*T186+U212*U186+V212*V186+W212*W186+X212*X186+Y212*Y186+Z212*Z186+AA212*AA186+AB212*AB186+AC212*AC186+AD212*AD186+AE212*AE186+AF212*AF186+AG212*AG186+AH212*AH186+AI212*AI186+AJ212*AJ186+AK212*AK186+AL212*AL186+AM212*AM186+AN212*AN186+AO212*AO186+AP212*AP186+AQ212*AQ186+AR212*AR186+AS212*AS186+AT212*AT186+AU212*AU186+AV212*AV186+AW212*AW186+AX212*AX186+AY212*AY186+AZ212*AZ186+BA212*BA186+BB212*BB186+BC212*BC186+BD212*BD186+BE212*BE186+BF212*BF186+BG212*BG186+BH212*BH186+BI212*BI186+BJ212*BJ186+BK212*BK186+BL212*BL186+BM212*BM186+BN212*BN186+BO212*BO186+BP212*BP186+BQ212*BQ186+BR212*BR186+BS212*BS186+BT212*BT186+BU212*BU186+BV212*BV186+BW212*BW186+BX212*BX186+BY212*BY186+BZ212*BZ186+CA212*CA186+CB212*CB186+CC212*CC186+CD212*CD186+CE212*CE186+CF212*CF186+CG212*CG186+CH212*CH186</f>
        <v>0</v>
      </c>
      <c r="CN186" s="1952">
        <f>E213*E186+F213*F186+G213*G186+H213*H186+I213*I186+J213*J186+K213*K186+L213*L186+M213*M186+N213*N186+O213*O186+P213*P186+Q213*Q186+R213*R186+S213*S186+T213*T186+U213*U186+V213*V186+W213*W186+X213*X186+Y213*Y186+Z213*Z186+AA213*AA186+AB213*AB186+AC213*AC186+AD213*AD186+AE213*AE186+AF213*AF186+AG213*AG186+AH213*AH186+AI213*AI186+AJ213*AJ186+AK213*AK186+AL213*AL186+AM213*AM186+AN213*AN186+AO213*AO186+AP213*AP186+AQ213*AQ186+AR213*AR186+AS213*AS186+AT213*AT186+AU213*AU186+AV213*AV186+AW213*AW186+AX213*AX186+AY213*AY186+AZ213*AZ186+BA213*BA186+BB213*BB186+BC213*BC186+BD213*BD186+BE213*BE186+BF213*BF186+BG213*BG186+BH213*BH186+BI213*BI186+BJ213*BJ186+BK213*BK186+BL213*BL186+BM213*BM186+BN213*BN186+BO213*BO186+BP213*BP186+BQ213*BQ186+BR213*BR186+BS213*BS186+BT213*BT186+BU213*BU186+BV213*BV186+BW213*BW186+BX213*BX186+BY213*BY186+BZ213*BZ186+CA213*CA186+CB213*CB186+CC213*CC186+CD213*CD186+CE213*CE186+CF213*CF186+CG213*CG186+CH213*CH186</f>
        <v>6.9388939039072284E-18</v>
      </c>
      <c r="CO186" s="1952">
        <f>E214*E186+F214*F186+G214*G186+H214*H186+I214*I186+J214*J186+K214*K186+L214*L186+M214*M186+N214*N186+O214*O186+P214*P186+Q214*Q186+R214*R186+S214*S186+T214*T186+U214*U186+V214*V186+W214*W186+X214*X186+Y214*Y186+Z214*Z186+AA214*AA186+AB214*AB186+AC214*AC186+AD214*AD186+AE214*AE186+AF214*AF186+AG214*AG186+AH214*AH186+AI214*AI186+AJ214*AJ186+AK214*AK186+AL214*AL186+AM214*AM186+AN214*AN186+AO214*AO186+AP214*AP186+AQ214*AQ186+AR214*AR186+AS214*AS186+AT214*AT186+AU214*AU186+AV214*AV186+AW214*AW186+AX214*AX186+AY214*AY186+AZ214*AZ186+BA214*BA186+BB214*BB186+BC214*BC186+BD214*BD186+BE214*BE186+BF214*BF186+BG214*BG186+BH214*BH186+BI214*BI186+BJ214*BJ186+BK214*BK186+BL214*BL186+BM214*BM186+BN214*BN186+BO214*BO186+BP214*BP186+BQ214*BQ186+BR214*BR186+BS214*BS186+BT214*BT186+BU214*BU186+BV214*BV186+BW214*BW186+BX214*BX186+BY214*BY186+BZ214*BZ186+CA214*CA186+CB214*CB186+CC214*CC186+CD214*CD186+CE214*CE186+CF214*CF186+CG214*CG186+CH214*CH186</f>
        <v>0</v>
      </c>
      <c r="CP186" s="1952">
        <f>E215*E186+F215*F186+G215*G186+H215*H186+I215*I186+J215*J186+K215*K186+L215*L186+M215*M186+N215*N186+O215*O186+P215*P186+Q215*Q186+R215*R186+S215*S186+T215*T186+U215*U186+V215*V186+W215*W186+X215*X186+Y215*Y186+Z215*Z186+AA215*AA186+AB215*AB186+AC215*AC186+AD215*AD186+AE215*AE186+AF215*AF186+AG215*AG186+AH215*AH186+AI215*AI186+AJ215*AJ186+AK215*AK186+AL215*AL186+AM215*AM186+AN215*AN186+AO215*AO186+AP215*AP186+AQ215*AQ186+AR215*AR186+AS215*AS186+AT215*AT186+AU215*AU186+AV215*AV186+AW215*AW186+AX215*AX186+AY215*AY186+AZ215*AZ186+BA215*BA186+BB215*BB186+BC215*BC186+BD215*BD186+BE215*BE186+BF215*BF186+BG215*BG186+BH215*BH186+BI215*BI186+BJ215*BJ186+BK215*BK186+BL215*BL186+BM215*BM186+BN215*BN186+BO215*BO186+BP215*BP186+BQ215*BQ186+BR215*BR186+BS215*BS186+BT215*BT186+BU215*BU186+BV215*BV186+BW215*BW186+BX215*BX186+BY215*BY186+BZ215*BZ186+CA215*CA186+CB215*CB186+CC215*CC186+CD215*CD186+CE215*CE186+CF215*CF186+CG215*CG186+CH215*CH186</f>
        <v>0</v>
      </c>
      <c r="CQ186" s="1952">
        <f>E216*E186+F216*F186+G216*G186+H216*H186+I216*I186+J216*J186+K216*K186+L216*L186+M216*M186+N216*N186+O216*O186+P216*P186+Q216*Q186+R216*R186+S216*S186+T216*T186+U216*U186+V216*V186+W216*W186+X216*X186+Y216*Y186+Z216*Z186+AA216*AA186+AB216*AB186+AC216*AC186+AD216*AD186+AE216*AE186+AF216*AF186+AG216*AG186+AH216*AH186+AI216*AI186+AJ216*AJ186+AK216*AK186+AL216*AL186+AM216*AM186+AN216*AN186+AO216*AO186+AP216*AP186+AQ216*AQ186+AR216*AR186+AS216*AS186+AT216*AT186+AU216*AU186+AV216*AV186+AW216*AW186+AX216*AX186+AY216*AY186+AZ216*AZ186+BA216*BA186+BB216*BB186+BC216*BC186+BD216*BD186+BE216*BE186+BF216*BF186+BG216*BG186+BH216*BH186+BI216*BI186+BJ216*BJ186+BK216*BK186+BL216*BL186+BM216*BM186+BN216*BN186+BO216*BO186+BP216*BP186+BQ216*BQ186+BR216*BR186+BS216*BS186+BT216*BT186+BU216*BU186+BV216*BV186+BW216*BW186+BX216*BX186+BY216*BY186+BZ216*BZ186+CA216*CA186+CB216*CB186+CC216*CC186+CD216*CD186+CE216*CE186+CF216*CF186+CG216*CG186+CH216*CH186</f>
        <v>0</v>
      </c>
      <c r="CR186" s="1952">
        <f>E217*E186+F217*F186+G217*G186+H217*H186+I217*I186+J217*J186+K217*K186+L217*L186+M217*M186+N217*N186+O217*O186+P217*P186+Q217*Q186+R217*R186+S217*S186+T217*T186+U217*U186+V217*V186+W217*W186+X217*X186+Y217*Y186+Z217*Z186+AA217*AA186+AB217*AB186+AC217*AC186+AD217*AD186+AE217*AE186+AF217*AF186+AG217*AG186+AH217*AH186+AI217*AI186+AJ217*AJ186+AK217*AK186+AL217*AL186+AM217*AM186+AN217*AN186+AO217*AO186+AP217*AP186+AQ217*AQ186+AR217*AR186+AS217*AS186+AT217*AT186+AU217*AU186+AV217*AV186+AW217*AW186+AX217*AX186+AY217*AY186+AZ217*AZ186+BA217*BA186+BB217*BB186+BC217*BC186+BD217*BD186+BE217*BE186+BF217*BF186+BG217*BG186+BH217*BH186+BI217*BI186+BJ217*BJ186+BK217*BK186+BL217*BL186+BM217*BM186+BN217*BN186+BO217*BO186+BP217*BP186+BQ217*BQ186+BR217*BR186+BS217*BS186+BT217*BT186+BU217*BU186+BV217*BV186+BW217*BW186+BX217*BX186+BY217*BY186+BZ217*BZ186+CA217*CA186+CB217*CB186+CC217*CC186+CD217*CD186+CE217*CE186+CF217*CF186+CG217*CG186+CH217*CH186</f>
        <v>0</v>
      </c>
      <c r="CS186" s="1952">
        <f>E218*E186+F218*F186+G218*G186+H218*H186+I218*I186+J218*J186+K218*K186+L218*L186+M218*M186+N218*N186+O218*O186+P218*P186+Q218*Q186+R218*R186+S218*S186+T218*T186+U218*U186+V218*V186+W218*W186+X218*X186+Y218*Y186+Z218*Z186+AA218*AA186+AB218*AB186+AC218*AC186+AD218*AD186+AE218*AE186+AF218*AF186+AG218*AG186+AH218*AH186+AI218*AI186+AJ218*AJ186+AK218*AK186+AL218*AL186+AM218*AM186+AN218*AN186+AO218*AO186+AP218*AP186+AQ218*AQ186+AR218*AR186+AS218*AS186+AT218*AT186+AU218*AU186+AV218*AV186+AW218*AW186+AX218*AX186+AY218*AY186+AZ218*AZ186+BA218*BA186+BB218*BB186+BC218*BC186+BD218*BD186+BE218*BE186+BF218*BF186+BG218*BG186+BH218*BH186+BI218*BI186+BJ218*BJ186+BK218*BK186+BL218*BL186+BM218*BM186+BN218*BN186+BO218*BO186+BP218*BP186+BQ218*BQ186+BR218*BR186+BS218*BS186+BT218*BT186+BU218*BU186+BV218*BV186+BW218*BW186+BX218*BX186+BY218*BY186+BZ218*BZ186+CA218*CA186+CB218*CB186+CC218*CC186+CD218*CD186+CE218*CE186+CF218*CF186+CG218*CG186+CH218*CH186</f>
        <v>0</v>
      </c>
      <c r="CT186" s="1952">
        <f>E219*E186+F219*F186+G219*G186+H219*H186+I219*I186+J219*J186+K219*K186+L219*L186+M219*M186+N219*N186+O219*O186+P219*P186+Q219*Q186+R219*R186+S219*S186+T219*T186+U219*U186+V219*V186+W219*W186+X219*X186+Y219*Y186+Z219*Z186+AA219*AA186+AB219*AB186+AC219*AC186+AD219*AD186+AE219*AE186+AF219*AF186+AG219*AG186+AH219*AH186+AI219*AI186+AJ219*AJ186+AK219*AK186+AL219*AL186+AM219*AM186+AN219*AN186+AO219*AO186+AP219*AP186+AQ219*AQ186+AR219*AR186+AS219*AS186+AT219*AT186+AU219*AU186+AV219*AV186+AW219*AW186+AX219*AX186+AY219*AY186+AZ219*AZ186+BA219*BA186+BB219*BB186+BC219*BC186+BD219*BD186+BE219*BE186+BF219*BF186+BG219*BG186+BH219*BH186+BI219*BI186+BJ219*BJ186+BK219*BK186+BL219*BL186+BM219*BM186+BN219*BN186+BO219*BO186+BP219*BP186+BQ219*BQ186+BR219*BR186+BS219*BS186+BT219*BT186+BU219*BU186+BV219*BV186+BW219*BW186+BX219*BX186+BY219*BY186+BZ219*BZ186+CA219*CA186+CB219*CB186+CC219*CC186+CD219*CD186+CE219*CE186+CF219*CF186+CG219*CG186+CH219*CH186</f>
        <v>0</v>
      </c>
      <c r="CU186" s="1952">
        <f>E220*E186+F220*F186+G220*G186+H220*H186+I220*I186+J220*J186+K220*K186+L220*L186+M220*M186+N220*N186+O220*O186+P220*P186+Q220*Q186+R220*R186+S220*S186+T220*T186+U220*U186+V220*V186+W220*W186+X220*X186+Y220*Y186+Z220*Z186+AA220*AA186+AB220*AB186+AC220*AC186+AD220*AD186+AE220*AE186+AF220*AF186+AG220*AG186+AH220*AH186+AI220*AI186+AJ220*AJ186+AK220*AK186+AL220*AL186+AM220*AM186+AN220*AN186+AO220*AO186+AP220*AP186+AQ220*AQ186+AR220*AR186+AS220*AS186+AT220*AT186+AU220*AU186+AV220*AV186+AW220*AW186+AX220*AX186+AY220*AY186+AZ220*AZ186+BA220*BA186+BB220*BB186+BC220*BC186+BD220*BD186+BE220*BE186+BF220*BF186+BG220*BG186+BH220*BH186+BI220*BI186+BJ220*BJ186+BK220*BK186+BL220*BL186+BM220*BM186+BN220*BN186+BO220*BO186+BP220*BP186+BQ220*BQ186+BR220*BR186+BS220*BS186+BT220*BT186+BU220*BU186+BV220*BV186+BW220*BW186+BX220*BX186+BY220*BY186+BZ220*BZ186+CA220*CA186+CB220*CB186+CC220*CC186+CD220*CD186+CE220*CE186+CF220*CF186+CG220*CG186+CH220*CH186</f>
        <v>0</v>
      </c>
    </row>
    <row r="187" spans="2:99" ht="18" x14ac:dyDescent="0.25">
      <c r="B187" s="1055">
        <v>72</v>
      </c>
      <c r="C187" s="1147" t="s">
        <v>2845</v>
      </c>
      <c r="D187" s="1148" t="s">
        <v>1125</v>
      </c>
      <c r="E187" s="2070">
        <f>0</f>
        <v>0</v>
      </c>
      <c r="F187" s="2070">
        <f>0</f>
        <v>0</v>
      </c>
      <c r="G187" s="2070">
        <f>0</f>
        <v>0</v>
      </c>
      <c r="H187" s="2070">
        <f>0</f>
        <v>0</v>
      </c>
      <c r="I187" s="2087">
        <f>0</f>
        <v>0</v>
      </c>
      <c r="J187" s="2087">
        <f>0</f>
        <v>0</v>
      </c>
      <c r="K187" s="2070">
        <f>0</f>
        <v>0</v>
      </c>
      <c r="L187" s="2070">
        <f>0</f>
        <v>0</v>
      </c>
      <c r="M187" s="2070">
        <f>0</f>
        <v>0</v>
      </c>
      <c r="N187" s="2070">
        <f>0</f>
        <v>0</v>
      </c>
      <c r="O187" s="2070">
        <f>0</f>
        <v>0</v>
      </c>
      <c r="P187" s="2070">
        <f>0</f>
        <v>0</v>
      </c>
      <c r="Q187" s="2070">
        <f>0</f>
        <v>0</v>
      </c>
      <c r="R187" s="2094">
        <f>0</f>
        <v>0</v>
      </c>
      <c r="S187" s="2070">
        <f>0</f>
        <v>0</v>
      </c>
      <c r="T187" s="2070">
        <f>0</f>
        <v>0</v>
      </c>
      <c r="U187" s="2070">
        <f>0</f>
        <v>0</v>
      </c>
      <c r="V187" s="2070">
        <f>0</f>
        <v>0</v>
      </c>
      <c r="W187" s="2070">
        <f>0</f>
        <v>0</v>
      </c>
      <c r="X187" s="2070">
        <f>0</f>
        <v>0</v>
      </c>
      <c r="Y187" s="2070">
        <f>0</f>
        <v>0</v>
      </c>
      <c r="Z187" s="2070">
        <f>0</f>
        <v>0</v>
      </c>
      <c r="AA187" s="2070">
        <f>0</f>
        <v>0</v>
      </c>
      <c r="AB187" s="2070">
        <f>0</f>
        <v>0</v>
      </c>
      <c r="AC187" s="2087">
        <f>0</f>
        <v>0</v>
      </c>
      <c r="AD187" s="2087">
        <f>0</f>
        <v>0</v>
      </c>
      <c r="AE187" s="2070">
        <f>0</f>
        <v>0</v>
      </c>
      <c r="AF187" s="2094">
        <f>0</f>
        <v>0</v>
      </c>
      <c r="AG187" s="2070">
        <f>0</f>
        <v>0</v>
      </c>
      <c r="AH187" s="2070">
        <f>0</f>
        <v>0</v>
      </c>
      <c r="AI187" s="2087">
        <f>0</f>
        <v>0</v>
      </c>
      <c r="AJ187" s="2087">
        <f>0</f>
        <v>0</v>
      </c>
      <c r="AK187" s="2070">
        <f>0</f>
        <v>0</v>
      </c>
      <c r="AL187" s="2070">
        <f>0</f>
        <v>0</v>
      </c>
      <c r="AM187" s="2070">
        <f>0</f>
        <v>0</v>
      </c>
      <c r="AN187" s="2070">
        <f>0</f>
        <v>0</v>
      </c>
      <c r="AO187" s="2094">
        <f>-A_MC/M_MCaCO3</f>
        <v>-0.12000271763837225</v>
      </c>
      <c r="AP187" s="2070">
        <f>0</f>
        <v>0</v>
      </c>
      <c r="AQ187" s="2070">
        <f>0</f>
        <v>0</v>
      </c>
      <c r="AR187" s="2070">
        <f>0</f>
        <v>0</v>
      </c>
      <c r="AS187" s="2094">
        <f>-A_MCa/M_MCaCO3</f>
        <v>-0.40043202457064814</v>
      </c>
      <c r="AT187" s="2070">
        <f>0</f>
        <v>0</v>
      </c>
      <c r="AU187" s="2070">
        <f>0</f>
        <v>0</v>
      </c>
      <c r="AV187" s="2094">
        <f>0</f>
        <v>0</v>
      </c>
      <c r="AW187" s="2070">
        <f>0</f>
        <v>0</v>
      </c>
      <c r="AX187" s="2070">
        <f>0</f>
        <v>0</v>
      </c>
      <c r="AY187" s="2094">
        <f>0</f>
        <v>0</v>
      </c>
      <c r="AZ187" s="2094">
        <f>0</f>
        <v>0</v>
      </c>
      <c r="BA187" s="2070">
        <f>0</f>
        <v>0</v>
      </c>
      <c r="BB187" s="2094">
        <f>0</f>
        <v>0</v>
      </c>
      <c r="BC187" s="2094">
        <f>0</f>
        <v>0</v>
      </c>
      <c r="BD187" s="2070">
        <f>0</f>
        <v>0</v>
      </c>
      <c r="BE187" s="2070">
        <f>0</f>
        <v>0</v>
      </c>
      <c r="BF187" s="2094">
        <f>0</f>
        <v>0</v>
      </c>
      <c r="BG187" s="2094">
        <f>0</f>
        <v>0</v>
      </c>
      <c r="BH187" s="2070">
        <f>0</f>
        <v>0</v>
      </c>
      <c r="BI187" s="2094">
        <f>0</f>
        <v>0</v>
      </c>
      <c r="BJ187" s="2094">
        <f>0</f>
        <v>0</v>
      </c>
      <c r="BK187" s="2094">
        <f>1</f>
        <v>1</v>
      </c>
      <c r="BL187" s="2094">
        <f>0</f>
        <v>0</v>
      </c>
      <c r="BM187" s="2094">
        <f>0</f>
        <v>0</v>
      </c>
      <c r="BN187" s="2094">
        <f>0</f>
        <v>0</v>
      </c>
      <c r="BO187" s="2094">
        <f>0</f>
        <v>0</v>
      </c>
      <c r="BP187" s="2126">
        <f>0</f>
        <v>0</v>
      </c>
      <c r="BQ187" s="2126">
        <f>0</f>
        <v>0</v>
      </c>
      <c r="BR187" s="2126">
        <f>0</f>
        <v>0</v>
      </c>
      <c r="BS187" s="2126">
        <f>0</f>
        <v>0</v>
      </c>
      <c r="BT187" s="2094">
        <f>0</f>
        <v>0</v>
      </c>
      <c r="BU187" s="2094">
        <f>0</f>
        <v>0</v>
      </c>
      <c r="BV187" s="2094">
        <f>0</f>
        <v>0</v>
      </c>
      <c r="BW187" s="2094">
        <f>0</f>
        <v>0</v>
      </c>
      <c r="BX187" s="2094">
        <f>0</f>
        <v>0</v>
      </c>
      <c r="BY187" s="2094">
        <f>0</f>
        <v>0</v>
      </c>
      <c r="BZ187" s="2094">
        <f>0</f>
        <v>0</v>
      </c>
      <c r="CA187" s="2094">
        <f>0</f>
        <v>0</v>
      </c>
      <c r="CB187" s="2094">
        <f>0</f>
        <v>0</v>
      </c>
      <c r="CC187" s="2094">
        <f>0</f>
        <v>0</v>
      </c>
      <c r="CD187" s="2094">
        <f>0</f>
        <v>0</v>
      </c>
      <c r="CE187" s="2094">
        <f>0</f>
        <v>0</v>
      </c>
      <c r="CF187" s="2094">
        <f>0</f>
        <v>0</v>
      </c>
      <c r="CG187" s="2094">
        <f>0</f>
        <v>0</v>
      </c>
      <c r="CH187" s="2094">
        <f>0</f>
        <v>0</v>
      </c>
      <c r="CI187" s="2148">
        <f>q_CaCO3*P_recipDrivingForceCaCO3^2</f>
        <v>0</v>
      </c>
      <c r="CK187" s="1950">
        <f>E210*E187+F210*F187+G210*G187+H210*H187+I210*I187+J210*J187+K210*K187+L210*L187+M210*M187+N210*N187+O210*O187+P210*P187+Q210*Q187+R210*R187+S210*S187+T210*T187+U210*U187+V210*V187+W210*W187+X210*X187+Y210*Y187+Z210*Z187+AA210*AA187+AB210*AB187+AC210*AC187+AD210*AD187+AE210*AE187+AF210*AF187+AG210*AG187+AH210*AH187+AI210*AI187+AJ210*AJ187+AK210*AK187+AL210*AL187+AM210*AM187+AN210*AN187+AO210*AO187+AP210*AP187+AQ210*AQ187+AR210*AR187+AS210*AS187+AT210*AT187+AU210*AU187+AV210*AV187+AW210*AW187+AX210*AX187+AY210*AY187+AZ210*AZ187+BA210*BA187+BB210*BB187+BC210*BC187+BD210*BD187+BE210*BE187+BF210*BF187+BG210*BG187+BH210*BH187+BI210*BI187+BJ210*BJ187+BK210*BK187+BL210*BL187+BM210*BM187+BN210*BN187+BO210*BO187+BP210*BP187+BQ210*BQ187+BR210*BR187+BS210*BS187+BT210*BT187+BU210*BU187+BV210*BV187+BW210*BW187+BX210*BX187+BY210*BY187+BZ210*BZ187+CA210*CA187+CB210*CB187+CC210*CC187+CD210*CD187+CE210*CE187+CF210*CF187+CG210*CG187+CH210*CH187</f>
        <v>0</v>
      </c>
      <c r="CL187" s="1950">
        <f>E211*E187+F211*F187+G211*G187+H211*H187+I211*I187+J211*J187+K211*K187+L211*L187+M211*M187+N211*N187+O211*O187+P211*P187+Q211*Q187+R211*R187+S211*S187+T211*T187+U211*U187+V211*V187+W211*W187+X211*X187+Y211*Y187+Z211*Z187+AA211*AA187+AB211*AB187+AC211*AC187+AD211*AD187+AE211*AE187+AF211*AF187+AG211*AG187+AH211*AH187+AI211*AI187+AJ211*AJ187+AK211*AK187+AL211*AL187+AM211*AM187+AN211*AN187+AO211*AO187+AP211*AP187+AQ211*AQ187+AR211*AR187+AS211*AS187+AT211*AT187+AU211*AU187+AV211*AV187+AW211*AW187+AX211*AX187+AY211*AY187+AZ211*AZ187+BA211*BA187+BB211*BB187+BC211*BC187+BD211*BD187+BE211*BE187+BF211*BF187+BG211*BG187+BH211*BH187+BI211*BI187+BJ211*BJ187+BK211*BK187+BL211*BL187+BM211*BM187+BN211*BN187+BO211*BO187+BP211*BP187+BQ211*BQ187+BR211*BR187+BS211*BS187+BT211*BT187+BU211*BU187+BV211*BV187+BW211*BW187+BX211*BX187+BY211*BY187+BZ211*BZ187+CA211*CA187+CB211*CB187+CC211*CC187+CD211*CD187+CE211*CE187+CF211*CF187+CG211*CG187+CH211*CH187</f>
        <v>0</v>
      </c>
      <c r="CM187" s="1951">
        <f>E212*E187+F212*F187+G212*G187+H212*H187+I212*I187+J212*J187+K212*K187+L212*L187+M212*M187+N212*N187+O212*O187+P212*P187+Q212*Q187+R212*R187+S212*S187+T212*T187+U212*U187+V212*V187+W212*W187+X212*X187+Y212*Y187+Z212*Z187+AA212*AA187+AB212*AB187+AC212*AC187+AD212*AD187+AE212*AE187+AF212*AF187+AG212*AG187+AH212*AH187+AI212*AI187+AJ212*AJ187+AK212*AK187+AL212*AL187+AM212*AM187+AN212*AN187+AO212*AO187+AP212*AP187+AQ212*AQ187+AR212*AR187+AS212*AS187+AT212*AT187+AU212*AU187+AV212*AV187+AW212*AW187+AX212*AX187+AY212*AY187+AZ212*AZ187+BA212*BA187+BB212*BB187+BC212*BC187+BD212*BD187+BE212*BE187+BF212*BF187+BG212*BG187+BH212*BH187+BI212*BI187+BJ212*BJ187+BK212*BK187+BL212*BL187+BM212*BM187+BN212*BN187+BO212*BO187+BP212*BP187+BQ212*BQ187+BR212*BR187+BS212*BS187+BT212*BT187+BU212*BU187+BV212*BV187+BW212*BW187+BX212*BX187+BY212*BY187+BZ212*BZ187+CA212*CA187+CB212*CB187+CC212*CC187+CD212*CD187+CE212*CE187+CF212*CF187+CG212*CG187+CH212*CH187</f>
        <v>0</v>
      </c>
      <c r="CN187" s="1952">
        <f>E213*E187+F213*F187+G213*G187+H213*H187+I213*I187+J213*J187+K213*K187+L213*L187+M213*M187+N213*N187+O213*O187+P213*P187+Q213*Q187+R213*R187+S213*S187+T213*T187+U213*U187+V213*V187+W213*W187+X213*X187+Y213*Y187+Z213*Z187+AA213*AA187+AB213*AB187+AC213*AC187+AD213*AD187+AE213*AE187+AF213*AF187+AG213*AG187+AH213*AH187+AI213*AI187+AJ213*AJ187+AK213*AK187+AL213*AL187+AM213*AM187+AN213*AN187+AO213*AO187+AP213*AP187+AQ213*AQ187+AR213*AR187+AS213*AS187+AT213*AT187+AU213*AU187+AV213*AV187+AW213*AW187+AX213*AX187+AY213*AY187+AZ213*AZ187+BA213*BA187+BB213*BB187+BC213*BC187+BD213*BD187+BE213*BE187+BF213*BF187+BG213*BG187+BH213*BH187+BI213*BI187+BJ213*BJ187+BK213*BK187+BL213*BL187+BM213*BM187+BN213*BN187+BO213*BO187+BP213*BP187+BQ213*BQ187+BR213*BR187+BS213*BS187+BT213*BT187+BU213*BU187+BV213*BV187+BW213*BW187+BX213*BX187+BY213*BY187+BZ213*BZ187+CA213*CA187+CB213*CB187+CC213*CC187+CD213*CD187+CE213*CE187+CF213*CF187+CG213*CG187+CH213*CH187</f>
        <v>0</v>
      </c>
      <c r="CO187" s="1952">
        <f>E214*E187+F214*F187+G214*G187+H214*H187+I214*I187+J214*J187+K214*K187+L214*L187+M214*M187+N214*N187+O214*O187+P214*P187+Q214*Q187+R214*R187+S214*S187+T214*T187+U214*U187+V214*V187+W214*W187+X214*X187+Y214*Y187+Z214*Z187+AA214*AA187+AB214*AB187+AC214*AC187+AD214*AD187+AE214*AE187+AF214*AF187+AG214*AG187+AH214*AH187+AI214*AI187+AJ214*AJ187+AK214*AK187+AL214*AL187+AM214*AM187+AN214*AN187+AO214*AO187+AP214*AP187+AQ214*AQ187+AR214*AR187+AS214*AS187+AT214*AT187+AU214*AU187+AV214*AV187+AW214*AW187+AX214*AX187+AY214*AY187+AZ214*AZ187+BA214*BA187+BB214*BB187+BC214*BC187+BD214*BD187+BE214*BE187+BF214*BF187+BG214*BG187+BH214*BH187+BI214*BI187+BJ214*BJ187+BK214*BK187+BL214*BL187+BM214*BM187+BN214*BN187+BO214*BO187+BP214*BP187+BQ214*BQ187+BR214*BR187+BS214*BS187+BT214*BT187+BU214*BU187+BV214*BV187+BW214*BW187+BX214*BX187+BY214*BY187+BZ214*BZ187+CA214*CA187+CB214*CB187+CC214*CC187+CD214*CD187+CE214*CE187+CF214*CF187+CG214*CG187+CH214*CH187</f>
        <v>0</v>
      </c>
      <c r="CP187" s="1952">
        <f>E215*E187+F215*F187+G215*G187+H215*H187+I215*I187+J215*J187+K215*K187+L215*L187+M215*M187+N215*N187+O215*O187+P215*P187+Q215*Q187+R215*R187+S215*S187+T215*T187+U215*U187+V215*V187+W215*W187+X215*X187+Y215*Y187+Z215*Z187+AA215*AA187+AB215*AB187+AC215*AC187+AD215*AD187+AE215*AE187+AF215*AF187+AG215*AG187+AH215*AH187+AI215*AI187+AJ215*AJ187+AK215*AK187+AL215*AL187+AM215*AM187+AN215*AN187+AO215*AO187+AP215*AP187+AQ215*AQ187+AR215*AR187+AS215*AS187+AT215*AT187+AU215*AU187+AV215*AV187+AW215*AW187+AX215*AX187+AY215*AY187+AZ215*AZ187+BA215*BA187+BB215*BB187+BC215*BC187+BD215*BD187+BE215*BE187+BF215*BF187+BG215*BG187+BH215*BH187+BI215*BI187+BJ215*BJ187+BK215*BK187+BL215*BL187+BM215*BM187+BN215*BN187+BO215*BO187+BP215*BP187+BQ215*BQ187+BR215*BR187+BS215*BS187+BT215*BT187+BU215*BU187+BV215*BV187+BW215*BW187+BX215*BX187+BY215*BY187+BZ215*BZ187+CA215*CA187+CB215*CB187+CC215*CC187+CD215*CD187+CE215*CE187+CF215*CF187+CG215*CG187+CH215*CH187</f>
        <v>0</v>
      </c>
      <c r="CQ187" s="1952">
        <f>E216*E187+F216*F187+G216*G187+H216*H187+I216*I187+J216*J187+K216*K187+L216*L187+M216*M187+N216*N187+O216*O187+P216*P187+Q216*Q187+R216*R187+S216*S187+T216*T187+U216*U187+V216*V187+W216*W187+X216*X187+Y216*Y187+Z216*Z187+AA216*AA187+AB216*AB187+AC216*AC187+AD216*AD187+AE216*AE187+AF216*AF187+AG216*AG187+AH216*AH187+AI216*AI187+AJ216*AJ187+AK216*AK187+AL216*AL187+AM216*AM187+AN216*AN187+AO216*AO187+AP216*AP187+AQ216*AQ187+AR216*AR187+AS216*AS187+AT216*AT187+AU216*AU187+AV216*AV187+AW216*AW187+AX216*AX187+AY216*AY187+AZ216*AZ187+BA216*BA187+BB216*BB187+BC216*BC187+BD216*BD187+BE216*BE187+BF216*BF187+BG216*BG187+BH216*BH187+BI216*BI187+BJ216*BJ187+BK216*BK187+BL216*BL187+BM216*BM187+BN216*BN187+BO216*BO187+BP216*BP187+BQ216*BQ187+BR216*BR187+BS216*BS187+BT216*BT187+BU216*BU187+BV216*BV187+BW216*BW187+BX216*BX187+BY216*BY187+BZ216*BZ187+CA216*CA187+CB216*CB187+CC216*CC187+CD216*CD187+CE216*CE187+CF216*CF187+CG216*CG187+CH216*CH187</f>
        <v>0</v>
      </c>
      <c r="CR187" s="1952">
        <f>E217*E187+F217*F187+G217*G187+H217*H187+I217*I187+J217*J187+K217*K187+L217*L187+M217*M187+N217*N187+O217*O187+P217*P187+Q217*Q187+R217*R187+S217*S187+T217*T187+U217*U187+V217*V187+W217*W187+X217*X187+Y217*Y187+Z217*Z187+AA217*AA187+AB217*AB187+AC217*AC187+AD217*AD187+AE217*AE187+AF217*AF187+AG217*AG187+AH217*AH187+AI217*AI187+AJ217*AJ187+AK217*AK187+AL217*AL187+AM217*AM187+AN217*AN187+AO217*AO187+AP217*AP187+AQ217*AQ187+AR217*AR187+AS217*AS187+AT217*AT187+AU217*AU187+AV217*AV187+AW217*AW187+AX217*AX187+AY217*AY187+AZ217*AZ187+BA217*BA187+BB217*BB187+BC217*BC187+BD217*BD187+BE217*BE187+BF217*BF187+BG217*BG187+BH217*BH187+BI217*BI187+BJ217*BJ187+BK217*BK187+BL217*BL187+BM217*BM187+BN217*BN187+BO217*BO187+BP217*BP187+BQ217*BQ187+BR217*BR187+BS217*BS187+BT217*BT187+BU217*BU187+BV217*BV187+BW217*BW187+BX217*BX187+BY217*BY187+BZ217*BZ187+CA217*CA187+CB217*CB187+CC217*CC187+CD217*CD187+CE217*CE187+CF217*CF187+CG217*CG187+CH217*CH187</f>
        <v>0</v>
      </c>
      <c r="CS187" s="1952">
        <f>E218*E187+F218*F187+G218*G187+H218*H187+I218*I187+J218*J187+K218*K187+L218*L187+M218*M187+N218*N187+O218*O187+P218*P187+Q218*Q187+R218*R187+S218*S187+T218*T187+U218*U187+V218*V187+W218*W187+X218*X187+Y218*Y187+Z218*Z187+AA218*AA187+AB218*AB187+AC218*AC187+AD218*AD187+AE218*AE187+AF218*AF187+AG218*AG187+AH218*AH187+AI218*AI187+AJ218*AJ187+AK218*AK187+AL218*AL187+AM218*AM187+AN218*AN187+AO218*AO187+AP218*AP187+AQ218*AQ187+AR218*AR187+AS218*AS187+AT218*AT187+AU218*AU187+AV218*AV187+AW218*AW187+AX218*AX187+AY218*AY187+AZ218*AZ187+BA218*BA187+BB218*BB187+BC218*BC187+BD218*BD187+BE218*BE187+BF218*BF187+BG218*BG187+BH218*BH187+BI218*BI187+BJ218*BJ187+BK218*BK187+BL218*BL187+BM218*BM187+BN218*BN187+BO218*BO187+BP218*BP187+BQ218*BQ187+BR218*BR187+BS218*BS187+BT218*BT187+BU218*BU187+BV218*BV187+BW218*BW187+BX218*BX187+BY218*BY187+BZ218*BZ187+CA218*CA187+CB218*CB187+CC218*CC187+CD218*CD187+CE218*CE187+CF218*CF187+CG218*CG187+CH218*CH187</f>
        <v>0</v>
      </c>
      <c r="CT187" s="1952">
        <f>E219*E187+F219*F187+G219*G187+H219*H187+I219*I187+J219*J187+K219*K187+L219*L187+M219*M187+N219*N187+O219*O187+P219*P187+Q219*Q187+R219*R187+S219*S187+T219*T187+U219*U187+V219*V187+W219*W187+X219*X187+Y219*Y187+Z219*Z187+AA219*AA187+AB219*AB187+AC219*AC187+AD219*AD187+AE219*AE187+AF219*AF187+AG219*AG187+AH219*AH187+AI219*AI187+AJ219*AJ187+AK219*AK187+AL219*AL187+AM219*AM187+AN219*AN187+AO219*AO187+AP219*AP187+AQ219*AQ187+AR219*AR187+AS219*AS187+AT219*AT187+AU219*AU187+AV219*AV187+AW219*AW187+AX219*AX187+AY219*AY187+AZ219*AZ187+BA219*BA187+BB219*BB187+BC219*BC187+BD219*BD187+BE219*BE187+BF219*BF187+BG219*BG187+BH219*BH187+BI219*BI187+BJ219*BJ187+BK219*BK187+BL219*BL187+BM219*BM187+BN219*BN187+BO219*BO187+BP219*BP187+BQ219*BQ187+BR219*BR187+BS219*BS187+BT219*BT187+BU219*BU187+BV219*BV187+BW219*BW187+BX219*BX187+BY219*BY187+BZ219*BZ187+CA219*CA187+CB219*CB187+CC219*CC187+CD219*CD187+CE219*CE187+CF219*CF187+CG219*CG187+CH219*CH187</f>
        <v>0</v>
      </c>
      <c r="CU187" s="1952">
        <f>E220*E187+F220*F187+G220*G187+H220*H187+I220*I187+J220*J187+K220*K187+L220*L187+M220*M187+N220*N187+O220*O187+P220*P187+Q220*Q187+R220*R187+S220*S187+T220*T187+U220*U187+V220*V187+W220*W187+X220*X187+Y220*Y187+Z220*Z187+AA220*AA187+AB220*AB187+AC220*AC187+AD220*AD187+AE220*AE187+AF220*AF187+AG220*AG187+AH220*AH187+AI220*AI187+AJ220*AJ187+AK220*AK187+AL220*AL187+AM220*AM187+AN220*AN187+AO220*AO187+AP220*AP187+AQ220*AQ187+AR220*AR187+AS220*AS187+AT220*AT187+AU220*AU187+AV220*AV187+AW220*AW187+AX220*AX187+AY220*AY187+AZ220*AZ187+BA220*BA187+BB220*BB187+BC220*BC187+BD220*BD187+BE220*BE187+BF220*BF187+BG220*BG187+BH220*BH187+BI220*BI187+BJ220*BJ187+BK220*BK187+BL220*BL187+BM220*BM187+BN220*BN187+BO220*BO187+BP220*BP187+BQ220*BQ187+BR220*BR187+BS220*BS187+BT220*BT187+BU220*BU187+BV220*BV187+BW220*BW187+BX220*BX187+BY220*BY187+BZ220*BZ187+CA220*CA187+CB220*CB187+CC220*CC187+CD220*CD187+CE220*CE187+CF220*CF187+CG220*CG187+CH220*CH187</f>
        <v>0</v>
      </c>
    </row>
    <row r="188" spans="2:99" ht="18" x14ac:dyDescent="0.25">
      <c r="B188" s="1055">
        <v>73</v>
      </c>
      <c r="C188" s="1147" t="s">
        <v>2846</v>
      </c>
      <c r="D188" s="1148" t="s">
        <v>1124</v>
      </c>
      <c r="E188" s="2070">
        <f>0</f>
        <v>0</v>
      </c>
      <c r="F188" s="2070">
        <f>0</f>
        <v>0</v>
      </c>
      <c r="G188" s="2070">
        <f>0</f>
        <v>0</v>
      </c>
      <c r="H188" s="2070">
        <f>0</f>
        <v>0</v>
      </c>
      <c r="I188" s="2087">
        <f>0</f>
        <v>0</v>
      </c>
      <c r="J188" s="2087">
        <f>0</f>
        <v>0</v>
      </c>
      <c r="K188" s="2070">
        <f>0</f>
        <v>0</v>
      </c>
      <c r="L188" s="2070">
        <f>0</f>
        <v>0</v>
      </c>
      <c r="M188" s="2070">
        <f>0</f>
        <v>0</v>
      </c>
      <c r="N188" s="2070">
        <f>0</f>
        <v>0</v>
      </c>
      <c r="O188" s="2070">
        <f>0</f>
        <v>0</v>
      </c>
      <c r="P188" s="2070">
        <f>0</f>
        <v>0</v>
      </c>
      <c r="Q188" s="2070">
        <f>0</f>
        <v>0</v>
      </c>
      <c r="R188" s="2094">
        <f>0</f>
        <v>0</v>
      </c>
      <c r="S188" s="2070">
        <f>0</f>
        <v>0</v>
      </c>
      <c r="T188" s="2070">
        <f>0</f>
        <v>0</v>
      </c>
      <c r="U188" s="2070">
        <f>0</f>
        <v>0</v>
      </c>
      <c r="V188" s="2070">
        <f>0</f>
        <v>0</v>
      </c>
      <c r="W188" s="2070">
        <f>0</f>
        <v>0</v>
      </c>
      <c r="X188" s="2070">
        <f>0</f>
        <v>0</v>
      </c>
      <c r="Y188" s="2070">
        <f>0</f>
        <v>0</v>
      </c>
      <c r="Z188" s="2070">
        <f>0</f>
        <v>0</v>
      </c>
      <c r="AA188" s="2070">
        <f>0</f>
        <v>0</v>
      </c>
      <c r="AB188" s="2070">
        <f>0</f>
        <v>0</v>
      </c>
      <c r="AC188" s="2087">
        <f>0</f>
        <v>0</v>
      </c>
      <c r="AD188" s="2087">
        <f>0</f>
        <v>0</v>
      </c>
      <c r="AE188" s="2070">
        <f>0</f>
        <v>0</v>
      </c>
      <c r="AF188" s="2094">
        <f>-2*A_MP/M_MACP</f>
        <v>-0.16206538757887573</v>
      </c>
      <c r="AG188" s="2070">
        <f>0</f>
        <v>0</v>
      </c>
      <c r="AH188" s="2070">
        <f>0</f>
        <v>0</v>
      </c>
      <c r="AI188" s="2087">
        <f>0</f>
        <v>0</v>
      </c>
      <c r="AJ188" s="2087">
        <f>0</f>
        <v>0</v>
      </c>
      <c r="AK188" s="2070">
        <f>0</f>
        <v>0</v>
      </c>
      <c r="AL188" s="2070">
        <f>0</f>
        <v>0</v>
      </c>
      <c r="AM188" s="2070">
        <f>0</f>
        <v>0</v>
      </c>
      <c r="AN188" s="2070">
        <f>0</f>
        <v>0</v>
      </c>
      <c r="AO188" s="2070">
        <f>0</f>
        <v>0</v>
      </c>
      <c r="AP188" s="2070">
        <f>0</f>
        <v>0</v>
      </c>
      <c r="AQ188" s="2070">
        <f>0</f>
        <v>0</v>
      </c>
      <c r="AR188" s="2070">
        <f>0</f>
        <v>0</v>
      </c>
      <c r="AS188" s="2094">
        <f>-3*A_MCa/M_MACP</f>
        <v>-0.31455284127800509</v>
      </c>
      <c r="AT188" s="2070">
        <f>0</f>
        <v>0</v>
      </c>
      <c r="AU188" s="2070">
        <f>0</f>
        <v>0</v>
      </c>
      <c r="AV188" s="2094">
        <f>0</f>
        <v>0</v>
      </c>
      <c r="AW188" s="2070">
        <f>0</f>
        <v>0</v>
      </c>
      <c r="AX188" s="2070">
        <f>0</f>
        <v>0</v>
      </c>
      <c r="AY188" s="2094">
        <f>0</f>
        <v>0</v>
      </c>
      <c r="AZ188" s="2094">
        <f>0</f>
        <v>0</v>
      </c>
      <c r="BA188" s="2070">
        <f>0</f>
        <v>0</v>
      </c>
      <c r="BB188" s="2094">
        <f>0</f>
        <v>0</v>
      </c>
      <c r="BC188" s="2094">
        <f>0</f>
        <v>0</v>
      </c>
      <c r="BD188" s="2070">
        <f>0</f>
        <v>0</v>
      </c>
      <c r="BE188" s="2070">
        <f>0</f>
        <v>0</v>
      </c>
      <c r="BF188" s="2094">
        <f>0</f>
        <v>0</v>
      </c>
      <c r="BG188" s="2094">
        <f>0</f>
        <v>0</v>
      </c>
      <c r="BH188" s="2070">
        <f>0</f>
        <v>0</v>
      </c>
      <c r="BI188" s="2094">
        <f>0</f>
        <v>0</v>
      </c>
      <c r="BJ188" s="2094">
        <f>0</f>
        <v>0</v>
      </c>
      <c r="BK188" s="2094">
        <f>0</f>
        <v>0</v>
      </c>
      <c r="BL188" s="2094">
        <f>1</f>
        <v>1</v>
      </c>
      <c r="BM188" s="2094">
        <f>0</f>
        <v>0</v>
      </c>
      <c r="BN188" s="2094">
        <f>0</f>
        <v>0</v>
      </c>
      <c r="BO188" s="2094">
        <f>0</f>
        <v>0</v>
      </c>
      <c r="BP188" s="2126">
        <f>0</f>
        <v>0</v>
      </c>
      <c r="BQ188" s="2126">
        <f>0</f>
        <v>0</v>
      </c>
      <c r="BR188" s="2126">
        <f>0</f>
        <v>0</v>
      </c>
      <c r="BS188" s="2126">
        <f>0</f>
        <v>0</v>
      </c>
      <c r="BT188" s="2094">
        <f>0</f>
        <v>0</v>
      </c>
      <c r="BU188" s="2094">
        <f>0</f>
        <v>0</v>
      </c>
      <c r="BV188" s="2094">
        <f>0</f>
        <v>0</v>
      </c>
      <c r="BW188" s="2094">
        <f>0</f>
        <v>0</v>
      </c>
      <c r="BX188" s="2094">
        <f>0</f>
        <v>0</v>
      </c>
      <c r="BY188" s="2094">
        <f>0</f>
        <v>0</v>
      </c>
      <c r="BZ188" s="2094">
        <f>0</f>
        <v>0</v>
      </c>
      <c r="CA188" s="2094">
        <f>0</f>
        <v>0</v>
      </c>
      <c r="CB188" s="2094">
        <f>0</f>
        <v>0</v>
      </c>
      <c r="CC188" s="2094">
        <f>0</f>
        <v>0</v>
      </c>
      <c r="CD188" s="2094">
        <f>0</f>
        <v>0</v>
      </c>
      <c r="CE188" s="2094">
        <f>0</f>
        <v>0</v>
      </c>
      <c r="CF188" s="2094">
        <f>0</f>
        <v>0</v>
      </c>
      <c r="CG188" s="2094">
        <f>0</f>
        <v>0</v>
      </c>
      <c r="CH188" s="2094">
        <f>0</f>
        <v>0</v>
      </c>
      <c r="CI188" s="2148">
        <f>q_ACP*P_recipDrivingForceACP^2</f>
        <v>0</v>
      </c>
      <c r="CK188" s="1950">
        <f>E210*E188+F210*F188+G210*G188+H210*H188+I210*I188+J210*J188+K210*K188+L210*L188+M210*M188+N210*N188+O210*O188+P210*P188+Q210*Q188+R210*R188+S210*S188+T210*T188+U210*U188+V210*V188+W210*W188+X210*X188+Y210*Y188+Z210*Z188+AA210*AA188+AB210*AB188+AC210*AC188+AD210*AD188+AE210*AE188+AF210*AF188+AG210*AG188+AH210*AH188+AI210*AI188+AJ210*AJ188+AK210*AK188+AL210*AL188+AM210*AM188+AN210*AN188+AO210*AO188+AP210*AP188+AQ210*AQ188+AR210*AR188+AS210*AS188+AT210*AT188+AU210*AU188+AV210*AV188+AW210*AW188+AX210*AX188+AY210*AY188+AZ210*AZ188+BA210*BA188+BB210*BB188+BC210*BC188+BD210*BD188+BE210*BE188+BF210*BF188+BG210*BG188+BH210*BH188+BI210*BI188+BJ210*BJ188+BK210*BK188+BL210*BL188+BM210*BM188+BN210*BN188+BO210*BO188+BP210*BP188+BQ210*BQ188+BR210*BR188+BS210*BS188+BT210*BT188+BU210*BU188+BV210*BV188+BW210*BW188+BX210*BX188+BY210*BY188+BZ210*BZ188+CA210*CA188+CB210*CB188+CC210*CC188+CD210*CD188+CE210*CE188+CF210*CF188+CG210*CG188+CH210*CH188</f>
        <v>0</v>
      </c>
      <c r="CL188" s="1950">
        <f>E211*E188+F211*F188+G211*G188+H211*H188+I211*I188+J211*J188+K211*K188+L211*L188+M211*M188+N211*N188+O211*O188+P211*P188+Q211*Q188+R211*R188+S211*S188+T211*T188+U211*U188+V211*V188+W211*W188+X211*X188+Y211*Y188+Z211*Z188+AA211*AA188+AB211*AB188+AC211*AC188+AD211*AD188+AE211*AE188+AF211*AF188+AG211*AG188+AH211*AH188+AI211*AI188+AJ211*AJ188+AK211*AK188+AL211*AL188+AM211*AM188+AN211*AN188+AO211*AO188+AP211*AP188+AQ211*AQ188+AR211*AR188+AS211*AS188+AT211*AT188+AU211*AU188+AV211*AV188+AW211*AW188+AX211*AX188+AY211*AY188+AZ211*AZ188+BA211*BA188+BB211*BB188+BC211*BC188+BD211*BD188+BE211*BE188+BF211*BF188+BG211*BG188+BH211*BH188+BI211*BI188+BJ211*BJ188+BK211*BK188+BL211*BL188+BM211*BM188+BN211*BN188+BO211*BO188+BP211*BP188+BQ211*BQ188+BR211*BR188+BS211*BS188+BT211*BT188+BU211*BU188+BV211*BV188+BW211*BW188+BX211*BX188+BY211*BY188+BZ211*BZ188+CA211*CA188+CB211*CB188+CC211*CC188+CD211*CD188+CE211*CE188+CF211*CF188+CG211*CG188+CH211*CH188</f>
        <v>0</v>
      </c>
      <c r="CM188" s="1951">
        <f>E212*E188+F212*F188+G212*G188+H212*H188+I212*I188+J212*J188+K212*K188+L212*L188+M212*M188+N212*N188+O212*O188+P212*P188+Q212*Q188+R212*R188+S212*S188+T212*T188+U212*U188+V212*V188+W212*W188+X212*X188+Y212*Y188+Z212*Z188+AA212*AA188+AB212*AB188+AC212*AC188+AD212*AD188+AE212*AE188+AF212*AF188+AG212*AG188+AH212*AH188+AI212*AI188+AJ212*AJ188+AK212*AK188+AL212*AL188+AM212*AM188+AN212*AN188+AO212*AO188+AP212*AP188+AQ212*AQ188+AR212*AR188+AS212*AS188+AT212*AT188+AU212*AU188+AV212*AV188+AW212*AW188+AX212*AX188+AY212*AY188+AZ212*AZ188+BA212*BA188+BB212*BB188+BC212*BC188+BD212*BD188+BE212*BE188+BF212*BF188+BG212*BG188+BH212*BH188+BI212*BI188+BJ212*BJ188+BK212*BK188+BL212*BL188+BM212*BM188+BN212*BN188+BO212*BO188+BP212*BP188+BQ212*BQ188+BR212*BR188+BS212*BS188+BT212*BT188+BU212*BU188+BV212*BV188+BW212*BW188+BX212*BX188+BY212*BY188+BZ212*BZ188+CA212*CA188+CB212*CB188+CC212*CC188+CD212*CD188+CE212*CE188+CF212*CF188+CG212*CG188+CH212*CH188</f>
        <v>0</v>
      </c>
      <c r="CN188" s="1952">
        <f>E213*E188+F213*F188+G213*G188+H213*H188+I213*I188+J213*J188+K213*K188+L213*L188+M213*M188+N213*N188+O213*O188+P213*P188+Q213*Q188+R213*R188+S213*S188+T213*T188+U213*U188+V213*V188+W213*W188+X213*X188+Y213*Y188+Z213*Z188+AA213*AA188+AB213*AB188+AC213*AC188+AD213*AD188+AE213*AE188+AF213*AF188+AG213*AG188+AH213*AH188+AI213*AI188+AJ213*AJ188+AK213*AK188+AL213*AL188+AM213*AM188+AN213*AN188+AO213*AO188+AP213*AP188+AQ213*AQ188+AR213*AR188+AS213*AS188+AT213*AT188+AU213*AU188+AV213*AV188+AW213*AW188+AX213*AX188+AY213*AY188+AZ213*AZ188+BA213*BA188+BB213*BB188+BC213*BC188+BD213*BD188+BE213*BE188+BF213*BF188+BG213*BG188+BH213*BH188+BI213*BI188+BJ213*BJ188+BK213*BK188+BL213*BL188+BM213*BM188+BN213*BN188+BO213*BO188+BP213*BP188+BQ213*BQ188+BR213*BR188+BS213*BS188+BT213*BT188+BU213*BU188+BV213*BV188+BW213*BW188+BX213*BX188+BY213*BY188+BZ213*BZ188+CA213*CA188+CB213*CB188+CC213*CC188+CD213*CD188+CE213*CE188+CF213*CF188+CG213*CG188+CH213*CH188</f>
        <v>0</v>
      </c>
      <c r="CO188" s="1952">
        <f>E214*E188+F214*F188+G214*G188+H214*H188+I214*I188+J214*J188+K214*K188+L214*L188+M214*M188+N214*N188+O214*O188+P214*P188+Q214*Q188+R214*R188+S214*S188+T214*T188+U214*U188+V214*V188+W214*W188+X214*X188+Y214*Y188+Z214*Z188+AA214*AA188+AB214*AB188+AC214*AC188+AD214*AD188+AE214*AE188+AF214*AF188+AG214*AG188+AH214*AH188+AI214*AI188+AJ214*AJ188+AK214*AK188+AL214*AL188+AM214*AM188+AN214*AN188+AO214*AO188+AP214*AP188+AQ214*AQ188+AR214*AR188+AS214*AS188+AT214*AT188+AU214*AU188+AV214*AV188+AW214*AW188+AX214*AX188+AY214*AY188+AZ214*AZ188+BA214*BA188+BB214*BB188+BC214*BC188+BD214*BD188+BE214*BE188+BF214*BF188+BG214*BG188+BH214*BH188+BI214*BI188+BJ214*BJ188+BK214*BK188+BL214*BL188+BM214*BM188+BN214*BN188+BO214*BO188+BP214*BP188+BQ214*BQ188+BR214*BR188+BS214*BS188+BT214*BT188+BU214*BU188+BV214*BV188+BW214*BW188+BX214*BX188+BY214*BY188+BZ214*BZ188+CA214*CA188+CB214*CB188+CC214*CC188+CD214*CD188+CE214*CE188+CF214*CF188+CG214*CG188+CH214*CH188</f>
        <v>0</v>
      </c>
      <c r="CP188" s="1952">
        <f>E215*E188+F215*F188+G215*G188+H215*H188+I215*I188+J215*J188+K215*K188+L215*L188+M215*M188+N215*N188+O215*O188+P215*P188+Q215*Q188+R215*R188+S215*S188+T215*T188+U215*U188+V215*V188+W215*W188+X215*X188+Y215*Y188+Z215*Z188+AA215*AA188+AB215*AB188+AC215*AC188+AD215*AD188+AE215*AE188+AF215*AF188+AG215*AG188+AH215*AH188+AI215*AI188+AJ215*AJ188+AK215*AK188+AL215*AL188+AM215*AM188+AN215*AN188+AO215*AO188+AP215*AP188+AQ215*AQ188+AR215*AR188+AS215*AS188+AT215*AT188+AU215*AU188+AV215*AV188+AW215*AW188+AX215*AX188+AY215*AY188+AZ215*AZ188+BA215*BA188+BB215*BB188+BC215*BC188+BD215*BD188+BE215*BE188+BF215*BF188+BG215*BG188+BH215*BH188+BI215*BI188+BJ215*BJ188+BK215*BK188+BL215*BL188+BM215*BM188+BN215*BN188+BO215*BO188+BP215*BP188+BQ215*BQ188+BR215*BR188+BS215*BS188+BT215*BT188+BU215*BU188+BV215*BV188+BW215*BW188+BX215*BX188+BY215*BY188+BZ215*BZ188+CA215*CA188+CB215*CB188+CC215*CC188+CD215*CD188+CE215*CE188+CF215*CF188+CG215*CG188+CH215*CH188</f>
        <v>0</v>
      </c>
      <c r="CQ188" s="1952">
        <f>E216*E188+F216*F188+G216*G188+H216*H188+I216*I188+J216*J188+K216*K188+L216*L188+M216*M188+N216*N188+O216*O188+P216*P188+Q216*Q188+R216*R188+S216*S188+T216*T188+U216*U188+V216*V188+W216*W188+X216*X188+Y216*Y188+Z216*Z188+AA216*AA188+AB216*AB188+AC216*AC188+AD216*AD188+AE216*AE188+AF216*AF188+AG216*AG188+AH216*AH188+AI216*AI188+AJ216*AJ188+AK216*AK188+AL216*AL188+AM216*AM188+AN216*AN188+AO216*AO188+AP216*AP188+AQ216*AQ188+AR216*AR188+AS216*AS188+AT216*AT188+AU216*AU188+AV216*AV188+AW216*AW188+AX216*AX188+AY216*AY188+AZ216*AZ188+BA216*BA188+BB216*BB188+BC216*BC188+BD216*BD188+BE216*BE188+BF216*BF188+BG216*BG188+BH216*BH188+BI216*BI188+BJ216*BJ188+BK216*BK188+BL216*BL188+BM216*BM188+BN216*BN188+BO216*BO188+BP216*BP188+BQ216*BQ188+BR216*BR188+BS216*BS188+BT216*BT188+BU216*BU188+BV216*BV188+BW216*BW188+BX216*BX188+BY216*BY188+BZ216*BZ188+CA216*CA188+CB216*CB188+CC216*CC188+CD216*CD188+CE216*CE188+CF216*CF188+CG216*CG188+CH216*CH188</f>
        <v>0</v>
      </c>
      <c r="CR188" s="1952">
        <f>E217*E188+F217*F188+G217*G188+H217*H188+I217*I188+J217*J188+K217*K188+L217*L188+M217*M188+N217*N188+O217*O188+P217*P188+Q217*Q188+R217*R188+S217*S188+T217*T188+U217*U188+V217*V188+W217*W188+X217*X188+Y217*Y188+Z217*Z188+AA217*AA188+AB217*AB188+AC217*AC188+AD217*AD188+AE217*AE188+AF217*AF188+AG217*AG188+AH217*AH188+AI217*AI188+AJ217*AJ188+AK217*AK188+AL217*AL188+AM217*AM188+AN217*AN188+AO217*AO188+AP217*AP188+AQ217*AQ188+AR217*AR188+AS217*AS188+AT217*AT188+AU217*AU188+AV217*AV188+AW217*AW188+AX217*AX188+AY217*AY188+AZ217*AZ188+BA217*BA188+BB217*BB188+BC217*BC188+BD217*BD188+BE217*BE188+BF217*BF188+BG217*BG188+BH217*BH188+BI217*BI188+BJ217*BJ188+BK217*BK188+BL217*BL188+BM217*BM188+BN217*BN188+BO217*BO188+BP217*BP188+BQ217*BQ188+BR217*BR188+BS217*BS188+BT217*BT188+BU217*BU188+BV217*BV188+BW217*BW188+BX217*BX188+BY217*BY188+BZ217*BZ188+CA217*CA188+CB217*CB188+CC217*CC188+CD217*CD188+CE217*CE188+CF217*CF188+CG217*CG188+CH217*CH188</f>
        <v>0</v>
      </c>
      <c r="CS188" s="1952">
        <f>E218*E188+F218*F188+G218*G188+H218*H188+I218*I188+J218*J188+K218*K188+L218*L188+M218*M188+N218*N188+O218*O188+P218*P188+Q218*Q188+R218*R188+S218*S188+T218*T188+U218*U188+V218*V188+W218*W188+X218*X188+Y218*Y188+Z218*Z188+AA218*AA188+AB218*AB188+AC218*AC188+AD218*AD188+AE218*AE188+AF218*AF188+AG218*AG188+AH218*AH188+AI218*AI188+AJ218*AJ188+AK218*AK188+AL218*AL188+AM218*AM188+AN218*AN188+AO218*AO188+AP218*AP188+AQ218*AQ188+AR218*AR188+AS218*AS188+AT218*AT188+AU218*AU188+AV218*AV188+AW218*AW188+AX218*AX188+AY218*AY188+AZ218*AZ188+BA218*BA188+BB218*BB188+BC218*BC188+BD218*BD188+BE218*BE188+BF218*BF188+BG218*BG188+BH218*BH188+BI218*BI188+BJ218*BJ188+BK218*BK188+BL218*BL188+BM218*BM188+BN218*BN188+BO218*BO188+BP218*BP188+BQ218*BQ188+BR218*BR188+BS218*BS188+BT218*BT188+BU218*BU188+BV218*BV188+BW218*BW188+BX218*BX188+BY218*BY188+BZ218*BZ188+CA218*CA188+CB218*CB188+CC218*CC188+CD218*CD188+CE218*CE188+CF218*CF188+CG218*CG188+CH218*CH188</f>
        <v>0</v>
      </c>
      <c r="CT188" s="1952">
        <f>E219*E188+F219*F188+G219*G188+H219*H188+I219*I188+J219*J188+K219*K188+L219*L188+M219*M188+N219*N188+O219*O188+P219*P188+Q219*Q188+R219*R188+S219*S188+T219*T188+U219*U188+V219*V188+W219*W188+X219*X188+Y219*Y188+Z219*Z188+AA219*AA188+AB219*AB188+AC219*AC188+AD219*AD188+AE219*AE188+AF219*AF188+AG219*AG188+AH219*AH188+AI219*AI188+AJ219*AJ188+AK219*AK188+AL219*AL188+AM219*AM188+AN219*AN188+AO219*AO188+AP219*AP188+AQ219*AQ188+AR219*AR188+AS219*AS188+AT219*AT188+AU219*AU188+AV219*AV188+AW219*AW188+AX219*AX188+AY219*AY188+AZ219*AZ188+BA219*BA188+BB219*BB188+BC219*BC188+BD219*BD188+BE219*BE188+BF219*BF188+BG219*BG188+BH219*BH188+BI219*BI188+BJ219*BJ188+BK219*BK188+BL219*BL188+BM219*BM188+BN219*BN188+BO219*BO188+BP219*BP188+BQ219*BQ188+BR219*BR188+BS219*BS188+BT219*BT188+BU219*BU188+BV219*BV188+BW219*BW188+BX219*BX188+BY219*BY188+BZ219*BZ188+CA219*CA188+CB219*CB188+CC219*CC188+CD219*CD188+CE219*CE188+CF219*CF188+CG219*CG188+CH219*CH188</f>
        <v>0</v>
      </c>
      <c r="CU188" s="1952">
        <f>E220*E188+F220*F188+G220*G188+H220*H188+I220*I188+J220*J188+K220*K188+L220*L188+M220*M188+N220*N188+O220*O188+P220*P188+Q220*Q188+R220*R188+S220*S188+T220*T188+U220*U188+V220*V188+W220*W188+X220*X188+Y220*Y188+Z220*Z188+AA220*AA188+AB220*AB188+AC220*AC188+AD220*AD188+AE220*AE188+AF220*AF188+AG220*AG188+AH220*AH188+AI220*AI188+AJ220*AJ188+AK220*AK188+AL220*AL188+AM220*AM188+AN220*AN188+AO220*AO188+AP220*AP188+AQ220*AQ188+AR220*AR188+AS220*AS188+AT220*AT188+AU220*AU188+AV220*AV188+AW220*AW188+AX220*AX188+AY220*AY188+AZ220*AZ188+BA220*BA188+BB220*BB188+BC220*BC188+BD220*BD188+BE220*BE188+BF220*BF188+BG220*BG188+BH220*BH188+BI220*BI188+BJ220*BJ188+BK220*BK188+BL220*BL188+BM220*BM188+BN220*BN188+BO220*BO188+BP220*BP188+BQ220*BQ188+BR220*BR188+BS220*BS188+BT220*BT188+BU220*BU188+BV220*BV188+BW220*BW188+BX220*BX188+BY220*BY188+BZ220*BZ188+CA220*CA188+CB220*CB188+CC220*CC188+CD220*CD188+CE220*CE188+CF220*CF188+CG220*CG188+CH220*CH188</f>
        <v>0</v>
      </c>
    </row>
    <row r="189" spans="2:99" ht="18" x14ac:dyDescent="0.25">
      <c r="B189" s="1055">
        <v>74</v>
      </c>
      <c r="C189" s="1147" t="s">
        <v>2847</v>
      </c>
      <c r="D189" s="1148" t="s">
        <v>3576</v>
      </c>
      <c r="E189" s="2070">
        <f>0</f>
        <v>0</v>
      </c>
      <c r="F189" s="2070">
        <f>0</f>
        <v>0</v>
      </c>
      <c r="G189" s="2070">
        <f>0</f>
        <v>0</v>
      </c>
      <c r="H189" s="2070">
        <f>0</f>
        <v>0</v>
      </c>
      <c r="I189" s="2087">
        <f>0</f>
        <v>0</v>
      </c>
      <c r="J189" s="2087">
        <f>0</f>
        <v>0</v>
      </c>
      <c r="K189" s="2070">
        <f>0</f>
        <v>0</v>
      </c>
      <c r="L189" s="2070">
        <f>0</f>
        <v>0</v>
      </c>
      <c r="M189" s="2070">
        <f>0</f>
        <v>0</v>
      </c>
      <c r="N189" s="2070">
        <f>0</f>
        <v>0</v>
      </c>
      <c r="O189" s="2070">
        <f>0</f>
        <v>0</v>
      </c>
      <c r="P189" s="2070">
        <f>0</f>
        <v>0</v>
      </c>
      <c r="Q189" s="2070">
        <f>0</f>
        <v>0</v>
      </c>
      <c r="R189" s="2094">
        <f>0</f>
        <v>0</v>
      </c>
      <c r="S189" s="2070">
        <f>0</f>
        <v>0</v>
      </c>
      <c r="T189" s="2070">
        <f>0</f>
        <v>0</v>
      </c>
      <c r="U189" s="2070">
        <f>0</f>
        <v>0</v>
      </c>
      <c r="V189" s="2070">
        <f>0</f>
        <v>0</v>
      </c>
      <c r="W189" s="2070">
        <f>0</f>
        <v>0</v>
      </c>
      <c r="X189" s="2070">
        <f>0</f>
        <v>0</v>
      </c>
      <c r="Y189" s="2070">
        <f>0</f>
        <v>0</v>
      </c>
      <c r="Z189" s="2070">
        <f>0</f>
        <v>0</v>
      </c>
      <c r="AA189" s="2070">
        <f>0</f>
        <v>0</v>
      </c>
      <c r="AB189" s="2070">
        <f>0</f>
        <v>0</v>
      </c>
      <c r="AC189" s="2087">
        <f>0</f>
        <v>0</v>
      </c>
      <c r="AD189" s="2087">
        <f>0</f>
        <v>0</v>
      </c>
      <c r="AE189" s="2070">
        <f>0</f>
        <v>0</v>
      </c>
      <c r="AF189" s="2094">
        <f>-A_MP/M_MBSH</f>
        <v>-0.17998807007087103</v>
      </c>
      <c r="AG189" s="2070">
        <f>0</f>
        <v>0</v>
      </c>
      <c r="AH189" s="2070">
        <f>0</f>
        <v>0</v>
      </c>
      <c r="AI189" s="2087">
        <f>0</f>
        <v>0</v>
      </c>
      <c r="AJ189" s="2087">
        <f>0</f>
        <v>0</v>
      </c>
      <c r="AK189" s="2070">
        <f>0</f>
        <v>0</v>
      </c>
      <c r="AL189" s="2070">
        <f>0</f>
        <v>0</v>
      </c>
      <c r="AM189" s="2070">
        <f>0</f>
        <v>0</v>
      </c>
      <c r="AN189" s="2070">
        <f>0</f>
        <v>0</v>
      </c>
      <c r="AO189" s="2070">
        <f>0</f>
        <v>0</v>
      </c>
      <c r="AP189" s="2070">
        <f>0</f>
        <v>0</v>
      </c>
      <c r="AQ189" s="2070">
        <f>0</f>
        <v>0</v>
      </c>
      <c r="AR189" s="2070">
        <f>0</f>
        <v>0</v>
      </c>
      <c r="AS189" s="2094">
        <f>-A_MCa/M_MBSH</f>
        <v>-0.2328926601076691</v>
      </c>
      <c r="AT189" s="2070">
        <f>0</f>
        <v>0</v>
      </c>
      <c r="AU189" s="2070">
        <f>0</f>
        <v>0</v>
      </c>
      <c r="AV189" s="2094">
        <f>0</f>
        <v>0</v>
      </c>
      <c r="AW189" s="2070">
        <f>0</f>
        <v>0</v>
      </c>
      <c r="AX189" s="2070">
        <f>0</f>
        <v>0</v>
      </c>
      <c r="AY189" s="2094">
        <f>0</f>
        <v>0</v>
      </c>
      <c r="AZ189" s="2094">
        <f>0</f>
        <v>0</v>
      </c>
      <c r="BA189" s="2070">
        <f>0</f>
        <v>0</v>
      </c>
      <c r="BB189" s="2094">
        <f>0</f>
        <v>0</v>
      </c>
      <c r="BC189" s="2094">
        <f>0</f>
        <v>0</v>
      </c>
      <c r="BD189" s="2070">
        <f>0</f>
        <v>0</v>
      </c>
      <c r="BE189" s="2070">
        <f>0</f>
        <v>0</v>
      </c>
      <c r="BF189" s="2094">
        <f>0</f>
        <v>0</v>
      </c>
      <c r="BG189" s="2094">
        <f>0</f>
        <v>0</v>
      </c>
      <c r="BH189" s="2070">
        <f>0</f>
        <v>0</v>
      </c>
      <c r="BI189" s="2094">
        <f>0</f>
        <v>0</v>
      </c>
      <c r="BJ189" s="2094">
        <f>0</f>
        <v>0</v>
      </c>
      <c r="BK189" s="2094">
        <f>0</f>
        <v>0</v>
      </c>
      <c r="BL189" s="2094">
        <f>0</f>
        <v>0</v>
      </c>
      <c r="BM189" s="2094">
        <f>1</f>
        <v>1</v>
      </c>
      <c r="BN189" s="2094">
        <f>0</f>
        <v>0</v>
      </c>
      <c r="BO189" s="2094">
        <f>0</f>
        <v>0</v>
      </c>
      <c r="BP189" s="2126">
        <f>0</f>
        <v>0</v>
      </c>
      <c r="BQ189" s="2126">
        <f>0</f>
        <v>0</v>
      </c>
      <c r="BR189" s="2126">
        <f>0</f>
        <v>0</v>
      </c>
      <c r="BS189" s="2126">
        <f>0</f>
        <v>0</v>
      </c>
      <c r="BT189" s="2094">
        <f>0</f>
        <v>0</v>
      </c>
      <c r="BU189" s="2094">
        <f>0</f>
        <v>0</v>
      </c>
      <c r="BV189" s="2094">
        <f>0</f>
        <v>0</v>
      </c>
      <c r="BW189" s="2094">
        <f>0</f>
        <v>0</v>
      </c>
      <c r="BX189" s="2094">
        <f>0</f>
        <v>0</v>
      </c>
      <c r="BY189" s="2094">
        <f>0</f>
        <v>0</v>
      </c>
      <c r="BZ189" s="2094">
        <f>0</f>
        <v>0</v>
      </c>
      <c r="CA189" s="2094">
        <f>0</f>
        <v>0</v>
      </c>
      <c r="CB189" s="2094">
        <f>0</f>
        <v>0</v>
      </c>
      <c r="CC189" s="2094">
        <f>0</f>
        <v>0</v>
      </c>
      <c r="CD189" s="2094">
        <f>0</f>
        <v>0</v>
      </c>
      <c r="CE189" s="2094">
        <f>0</f>
        <v>0</v>
      </c>
      <c r="CF189" s="2094">
        <f>0</f>
        <v>0</v>
      </c>
      <c r="CG189" s="2094">
        <f>0</f>
        <v>0</v>
      </c>
      <c r="CH189" s="2094">
        <f>0</f>
        <v>0</v>
      </c>
      <c r="CI189" s="2148">
        <f>q_BSH*P_recipDrivingForceBSH^2</f>
        <v>0</v>
      </c>
      <c r="CK189" s="1950">
        <f>E210*E189+F210*F189+G210*G189+H210*H189+I210*I189+J210*J189+K210*K189+L210*L189+M210*M189+N210*N189+O210*O189+P210*P189+Q210*Q189+R210*R189+S210*S189+T210*T189+U210*U189+V210*V189+W210*W189+X210*X189+Y210*Y189+Z210*Z189+AA210*AA189+AB210*AB189+AC210*AC189+AD210*AD189+AE210*AE189+AF210*AF189+AG210*AG189+AH210*AH189+AI210*AI189+AJ210*AJ189+AK210*AK189+AL210*AL189+AM210*AM189+AN210*AN189+AO210*AO189+AP210*AP189+AQ210*AQ189+AR210*AR189+AS210*AS189+AT210*AT189+AU210*AU189+AV210*AV189+AW210*AW189+AX210*AX189+AY210*AY189+AZ210*AZ189+BA210*BA189+BB210*BB189+BC210*BC189+BD210*BD189+BE210*BE189+BF210*BF189+BG210*BG189+BH210*BH189+BI210*BI189+BJ210*BJ189+BK210*BK189+BL210*BL189+BM210*BM189+BN210*BN189+BO210*BO189+BP210*BP189+BQ210*BQ189+BR210*BR189+BS210*BS189+BT210*BT189+BU210*BU189+BV210*BV189+BW210*BW189+BX210*BX189+BY210*BY189+BZ210*BZ189+CA210*CA189+CB210*CB189+CC210*CC189+CD210*CD189+CE210*CE189+CF210*CF189+CG210*CG189+CH210*CH189</f>
        <v>0</v>
      </c>
      <c r="CL189" s="1950">
        <f>E211*E189+F211*F189+G211*G189+H211*H189+I211*I189+J211*J189+K211*K189+L211*L189+M211*M189+N211*N189+O211*O189+P211*P189+Q211*Q189+R211*R189+S211*S189+T211*T189+U211*U189+V211*V189+W211*W189+X211*X189+Y211*Y189+Z211*Z189+AA211*AA189+AB211*AB189+AC211*AC189+AD211*AD189+AE211*AE189+AF211*AF189+AG211*AG189+AH211*AH189+AI211*AI189+AJ211*AJ189+AK211*AK189+AL211*AL189+AM211*AM189+AN211*AN189+AO211*AO189+AP211*AP189+AQ211*AQ189+AR211*AR189+AS211*AS189+AT211*AT189+AU211*AU189+AV211*AV189+AW211*AW189+AX211*AX189+AY211*AY189+AZ211*AZ189+BA211*BA189+BB211*BB189+BC211*BC189+BD211*BD189+BE211*BE189+BF211*BF189+BG211*BG189+BH211*BH189+BI211*BI189+BJ211*BJ189+BK211*BK189+BL211*BL189+BM211*BM189+BN211*BN189+BO211*BO189+BP211*BP189+BQ211*BQ189+BR211*BR189+BS211*BS189+BT211*BT189+BU211*BU189+BV211*BV189+BW211*BW189+BX211*BX189+BY211*BY189+BZ211*BZ189+CA211*CA189+CB211*CB189+CC211*CC189+CD211*CD189+CE211*CE189+CF211*CF189+CG211*CG189+CH211*CH189</f>
        <v>0</v>
      </c>
      <c r="CM189" s="1951">
        <f>E212*E189+F212*F189+G212*G189+H212*H189+I212*I189+J212*J189+K212*K189+L212*L189+M212*M189+N212*N189+O212*O189+P212*P189+Q212*Q189+R212*R189+S212*S189+T212*T189+U212*U189+V212*V189+W212*W189+X212*X189+Y212*Y189+Z212*Z189+AA212*AA189+AB212*AB189+AC212*AC189+AD212*AD189+AE212*AE189+AF212*AF189+AG212*AG189+AH212*AH189+AI212*AI189+AJ212*AJ189+AK212*AK189+AL212*AL189+AM212*AM189+AN212*AN189+AO212*AO189+AP212*AP189+AQ212*AQ189+AR212*AR189+AS212*AS189+AT212*AT189+AU212*AU189+AV212*AV189+AW212*AW189+AX212*AX189+AY212*AY189+AZ212*AZ189+BA212*BA189+BB212*BB189+BC212*BC189+BD212*BD189+BE212*BE189+BF212*BF189+BG212*BG189+BH212*BH189+BI212*BI189+BJ212*BJ189+BK212*BK189+BL212*BL189+BM212*BM189+BN212*BN189+BO212*BO189+BP212*BP189+BQ212*BQ189+BR212*BR189+BS212*BS189+BT212*BT189+BU212*BU189+BV212*BV189+BW212*BW189+BX212*BX189+BY212*BY189+BZ212*BZ189+CA212*CA189+CB212*CB189+CC212*CC189+CD212*CD189+CE212*CE189+CF212*CF189+CG212*CG189+CH212*CH189</f>
        <v>0</v>
      </c>
      <c r="CN189" s="1952">
        <f>E213*E189+F213*F189+G213*G189+H213*H189+I213*I189+J213*J189+K213*K189+L213*L189+M213*M189+N213*N189+O213*O189+P213*P189+Q213*Q189+R213*R189+S213*S189+T213*T189+U213*U189+V213*V189+W213*W189+X213*X189+Y213*Y189+Z213*Z189+AA213*AA189+AB213*AB189+AC213*AC189+AD213*AD189+AE213*AE189+AF213*AF189+AG213*AG189+AH213*AH189+AI213*AI189+AJ213*AJ189+AK213*AK189+AL213*AL189+AM213*AM189+AN213*AN189+AO213*AO189+AP213*AP189+AQ213*AQ189+AR213*AR189+AS213*AS189+AT213*AT189+AU213*AU189+AV213*AV189+AW213*AW189+AX213*AX189+AY213*AY189+AZ213*AZ189+BA213*BA189+BB213*BB189+BC213*BC189+BD213*BD189+BE213*BE189+BF213*BF189+BG213*BG189+BH213*BH189+BI213*BI189+BJ213*BJ189+BK213*BK189+BL213*BL189+BM213*BM189+BN213*BN189+BO213*BO189+BP213*BP189+BQ213*BQ189+BR213*BR189+BS213*BS189+BT213*BT189+BU213*BU189+BV213*BV189+BW213*BW189+BX213*BX189+BY213*BY189+BZ213*BZ189+CA213*CA189+CB213*CB189+CC213*CC189+CD213*CD189+CE213*CE189+CF213*CF189+CG213*CG189+CH213*CH189</f>
        <v>0</v>
      </c>
      <c r="CO189" s="1952">
        <f>E214*E189+F214*F189+G214*G189+H214*H189+I214*I189+J214*J189+K214*K189+L214*L189+M214*M189+N214*N189+O214*O189+P214*P189+Q214*Q189+R214*R189+S214*S189+T214*T189+U214*U189+V214*V189+W214*W189+X214*X189+Y214*Y189+Z214*Z189+AA214*AA189+AB214*AB189+AC214*AC189+AD214*AD189+AE214*AE189+AF214*AF189+AG214*AG189+AH214*AH189+AI214*AI189+AJ214*AJ189+AK214*AK189+AL214*AL189+AM214*AM189+AN214*AN189+AO214*AO189+AP214*AP189+AQ214*AQ189+AR214*AR189+AS214*AS189+AT214*AT189+AU214*AU189+AV214*AV189+AW214*AW189+AX214*AX189+AY214*AY189+AZ214*AZ189+BA214*BA189+BB214*BB189+BC214*BC189+BD214*BD189+BE214*BE189+BF214*BF189+BG214*BG189+BH214*BH189+BI214*BI189+BJ214*BJ189+BK214*BK189+BL214*BL189+BM214*BM189+BN214*BN189+BO214*BO189+BP214*BP189+BQ214*BQ189+BR214*BR189+BS214*BS189+BT214*BT189+BU214*BU189+BV214*BV189+BW214*BW189+BX214*BX189+BY214*BY189+BZ214*BZ189+CA214*CA189+CB214*CB189+CC214*CC189+CD214*CD189+CE214*CE189+CF214*CF189+CG214*CG189+CH214*CH189</f>
        <v>0</v>
      </c>
      <c r="CP189" s="1952">
        <f>E215*E189+F215*F189+G215*G189+H215*H189+I215*I189+J215*J189+K215*K189+L215*L189+M215*M189+N215*N189+O215*O189+P215*P189+Q215*Q189+R215*R189+S215*S189+T215*T189+U215*U189+V215*V189+W215*W189+X215*X189+Y215*Y189+Z215*Z189+AA215*AA189+AB215*AB189+AC215*AC189+AD215*AD189+AE215*AE189+AF215*AF189+AG215*AG189+AH215*AH189+AI215*AI189+AJ215*AJ189+AK215*AK189+AL215*AL189+AM215*AM189+AN215*AN189+AO215*AO189+AP215*AP189+AQ215*AQ189+AR215*AR189+AS215*AS189+AT215*AT189+AU215*AU189+AV215*AV189+AW215*AW189+AX215*AX189+AY215*AY189+AZ215*AZ189+BA215*BA189+BB215*BB189+BC215*BC189+BD215*BD189+BE215*BE189+BF215*BF189+BG215*BG189+BH215*BH189+BI215*BI189+BJ215*BJ189+BK215*BK189+BL215*BL189+BM215*BM189+BN215*BN189+BO215*BO189+BP215*BP189+BQ215*BQ189+BR215*BR189+BS215*BS189+BT215*BT189+BU215*BU189+BV215*BV189+BW215*BW189+BX215*BX189+BY215*BY189+BZ215*BZ189+CA215*CA189+CB215*CB189+CC215*CC189+CD215*CD189+CE215*CE189+CF215*CF189+CG215*CG189+CH215*CH189</f>
        <v>0</v>
      </c>
      <c r="CQ189" s="1952">
        <f>E216*E189+F216*F189+G216*G189+H216*H189+I216*I189+J216*J189+K216*K189+L216*L189+M216*M189+N216*N189+O216*O189+P216*P189+Q216*Q189+R216*R189+S216*S189+T216*T189+U216*U189+V216*V189+W216*W189+X216*X189+Y216*Y189+Z216*Z189+AA216*AA189+AB216*AB189+AC216*AC189+AD216*AD189+AE216*AE189+AF216*AF189+AG216*AG189+AH216*AH189+AI216*AI189+AJ216*AJ189+AK216*AK189+AL216*AL189+AM216*AM189+AN216*AN189+AO216*AO189+AP216*AP189+AQ216*AQ189+AR216*AR189+AS216*AS189+AT216*AT189+AU216*AU189+AV216*AV189+AW216*AW189+AX216*AX189+AY216*AY189+AZ216*AZ189+BA216*BA189+BB216*BB189+BC216*BC189+BD216*BD189+BE216*BE189+BF216*BF189+BG216*BG189+BH216*BH189+BI216*BI189+BJ216*BJ189+BK216*BK189+BL216*BL189+BM216*BM189+BN216*BN189+BO216*BO189+BP216*BP189+BQ216*BQ189+BR216*BR189+BS216*BS189+BT216*BT189+BU216*BU189+BV216*BV189+BW216*BW189+BX216*BX189+BY216*BY189+BZ216*BZ189+CA216*CA189+CB216*CB189+CC216*CC189+CD216*CD189+CE216*CE189+CF216*CF189+CG216*CG189+CH216*CH189</f>
        <v>0</v>
      </c>
      <c r="CR189" s="1952">
        <f>E217*E189+F217*F189+G217*G189+H217*H189+I217*I189+J217*J189+K217*K189+L217*L189+M217*M189+N217*N189+O217*O189+P217*P189+Q217*Q189+R217*R189+S217*S189+T217*T189+U217*U189+V217*V189+W217*W189+X217*X189+Y217*Y189+Z217*Z189+AA217*AA189+AB217*AB189+AC217*AC189+AD217*AD189+AE217*AE189+AF217*AF189+AG217*AG189+AH217*AH189+AI217*AI189+AJ217*AJ189+AK217*AK189+AL217*AL189+AM217*AM189+AN217*AN189+AO217*AO189+AP217*AP189+AQ217*AQ189+AR217*AR189+AS217*AS189+AT217*AT189+AU217*AU189+AV217*AV189+AW217*AW189+AX217*AX189+AY217*AY189+AZ217*AZ189+BA217*BA189+BB217*BB189+BC217*BC189+BD217*BD189+BE217*BE189+BF217*BF189+BG217*BG189+BH217*BH189+BI217*BI189+BJ217*BJ189+BK217*BK189+BL217*BL189+BM217*BM189+BN217*BN189+BO217*BO189+BP217*BP189+BQ217*BQ189+BR217*BR189+BS217*BS189+BT217*BT189+BU217*BU189+BV217*BV189+BW217*BW189+BX217*BX189+BY217*BY189+BZ217*BZ189+CA217*CA189+CB217*CB189+CC217*CC189+CD217*CD189+CE217*CE189+CF217*CF189+CG217*CG189+CH217*CH189</f>
        <v>0</v>
      </c>
      <c r="CS189" s="1952">
        <f>E218*E189+F218*F189+G218*G189+H218*H189+I218*I189+J218*J189+K218*K189+L218*L189+M218*M189+N218*N189+O218*O189+P218*P189+Q218*Q189+R218*R189+S218*S189+T218*T189+U218*U189+V218*V189+W218*W189+X218*X189+Y218*Y189+Z218*Z189+AA218*AA189+AB218*AB189+AC218*AC189+AD218*AD189+AE218*AE189+AF218*AF189+AG218*AG189+AH218*AH189+AI218*AI189+AJ218*AJ189+AK218*AK189+AL218*AL189+AM218*AM189+AN218*AN189+AO218*AO189+AP218*AP189+AQ218*AQ189+AR218*AR189+AS218*AS189+AT218*AT189+AU218*AU189+AV218*AV189+AW218*AW189+AX218*AX189+AY218*AY189+AZ218*AZ189+BA218*BA189+BB218*BB189+BC218*BC189+BD218*BD189+BE218*BE189+BF218*BF189+BG218*BG189+BH218*BH189+BI218*BI189+BJ218*BJ189+BK218*BK189+BL218*BL189+BM218*BM189+BN218*BN189+BO218*BO189+BP218*BP189+BQ218*BQ189+BR218*BR189+BS218*BS189+BT218*BT189+BU218*BU189+BV218*BV189+BW218*BW189+BX218*BX189+BY218*BY189+BZ218*BZ189+CA218*CA189+CB218*CB189+CC218*CC189+CD218*CD189+CE218*CE189+CF218*CF189+CG218*CG189+CH218*CH189</f>
        <v>0</v>
      </c>
      <c r="CT189" s="1952">
        <f>E219*E189+F219*F189+G219*G189+H219*H189+I219*I189+J219*J189+K219*K189+L219*L189+M219*M189+N219*N189+O219*O189+P219*P189+Q219*Q189+R219*R189+S219*S189+T219*T189+U219*U189+V219*V189+W219*W189+X219*X189+Y219*Y189+Z219*Z189+AA219*AA189+AB219*AB189+AC219*AC189+AD219*AD189+AE219*AE189+AF219*AF189+AG219*AG189+AH219*AH189+AI219*AI189+AJ219*AJ189+AK219*AK189+AL219*AL189+AM219*AM189+AN219*AN189+AO219*AO189+AP219*AP189+AQ219*AQ189+AR219*AR189+AS219*AS189+AT219*AT189+AU219*AU189+AV219*AV189+AW219*AW189+AX219*AX189+AY219*AY189+AZ219*AZ189+BA219*BA189+BB219*BB189+BC219*BC189+BD219*BD189+BE219*BE189+BF219*BF189+BG219*BG189+BH219*BH189+BI219*BI189+BJ219*BJ189+BK219*BK189+BL219*BL189+BM219*BM189+BN219*BN189+BO219*BO189+BP219*BP189+BQ219*BQ189+BR219*BR189+BS219*BS189+BT219*BT189+BU219*BU189+BV219*BV189+BW219*BW189+BX219*BX189+BY219*BY189+BZ219*BZ189+CA219*CA189+CB219*CB189+CC219*CC189+CD219*CD189+CE219*CE189+CF219*CF189+CG219*CG189+CH219*CH189</f>
        <v>0</v>
      </c>
      <c r="CU189" s="1952">
        <f>E220*E189+F220*F189+G220*G189+H220*H189+I220*I189+J220*J189+K220*K189+L220*L189+M220*M189+N220*N189+O220*O189+P220*P189+Q220*Q189+R220*R189+S220*S189+T220*T189+U220*U189+V220*V189+W220*W189+X220*X189+Y220*Y189+Z220*Z189+AA220*AA189+AB220*AB189+AC220*AC189+AD220*AD189+AE220*AE189+AF220*AF189+AG220*AG189+AH220*AH189+AI220*AI189+AJ220*AJ189+AK220*AK189+AL220*AL189+AM220*AM189+AN220*AN189+AO220*AO189+AP220*AP189+AQ220*AQ189+AR220*AR189+AS220*AS189+AT220*AT189+AU220*AU189+AV220*AV189+AW220*AW189+AX220*AX189+AY220*AY189+AZ220*AZ189+BA220*BA189+BB220*BB189+BC220*BC189+BD220*BD189+BE220*BE189+BF220*BF189+BG220*BG189+BH220*BH189+BI220*BI189+BJ220*BJ189+BK220*BK189+BL220*BL189+BM220*BM189+BN220*BN189+BO220*BO189+BP220*BP189+BQ220*BQ189+BR220*BR189+BS220*BS189+BT220*BT189+BU220*BU189+BV220*BV189+BW220*BW189+BX220*BX189+BY220*BY189+BZ220*BZ189+CA220*CA189+CB220*CB189+CC220*CC189+CD220*CD189+CE220*CE189+CF220*CF189+CG220*CG189+CH220*CH189</f>
        <v>0</v>
      </c>
    </row>
    <row r="190" spans="2:99" ht="18" x14ac:dyDescent="0.25">
      <c r="B190" s="1055">
        <v>75</v>
      </c>
      <c r="C190" s="1147" t="s">
        <v>2848</v>
      </c>
      <c r="D190" s="1148" t="s">
        <v>286</v>
      </c>
      <c r="E190" s="2070">
        <f>0</f>
        <v>0</v>
      </c>
      <c r="F190" s="2070">
        <f>0</f>
        <v>0</v>
      </c>
      <c r="G190" s="2070">
        <f>0</f>
        <v>0</v>
      </c>
      <c r="H190" s="2070">
        <f>0</f>
        <v>0</v>
      </c>
      <c r="I190" s="2087">
        <f>0</f>
        <v>0</v>
      </c>
      <c r="J190" s="2087">
        <f>0</f>
        <v>0</v>
      </c>
      <c r="K190" s="2070">
        <f>0</f>
        <v>0</v>
      </c>
      <c r="L190" s="2070">
        <f>0</f>
        <v>0</v>
      </c>
      <c r="M190" s="2070">
        <f>0</f>
        <v>0</v>
      </c>
      <c r="N190" s="2070">
        <f>0</f>
        <v>0</v>
      </c>
      <c r="O190" s="2070">
        <f>0</f>
        <v>0</v>
      </c>
      <c r="P190" s="2070">
        <f>0</f>
        <v>0</v>
      </c>
      <c r="Q190" s="2070">
        <f>0</f>
        <v>0</v>
      </c>
      <c r="R190" s="2094">
        <f>0</f>
        <v>0</v>
      </c>
      <c r="S190" s="2070">
        <f>0</f>
        <v>0</v>
      </c>
      <c r="T190" s="2070">
        <f>0</f>
        <v>0</v>
      </c>
      <c r="U190" s="2070">
        <f>0</f>
        <v>0</v>
      </c>
      <c r="V190" s="2070">
        <f>0</f>
        <v>0</v>
      </c>
      <c r="W190" s="2070">
        <f>0</f>
        <v>0</v>
      </c>
      <c r="X190" s="2070">
        <f>0</f>
        <v>0</v>
      </c>
      <c r="Y190" s="2094">
        <f>-A_MN/M_MSTR</f>
        <v>-5.7075504823359977E-2</v>
      </c>
      <c r="Z190" s="2070">
        <f>0</f>
        <v>0</v>
      </c>
      <c r="AA190" s="2070">
        <f>0</f>
        <v>0</v>
      </c>
      <c r="AB190" s="2070">
        <f>0</f>
        <v>0</v>
      </c>
      <c r="AC190" s="2087">
        <f>0</f>
        <v>0</v>
      </c>
      <c r="AD190" s="2087">
        <f>0</f>
        <v>0</v>
      </c>
      <c r="AE190" s="2070">
        <f>0</f>
        <v>0</v>
      </c>
      <c r="AF190" s="2094">
        <f>-A_MP/M_MSTR</f>
        <v>-0.12621410566683836</v>
      </c>
      <c r="AG190" s="2070">
        <f>0</f>
        <v>0</v>
      </c>
      <c r="AH190" s="2070">
        <f>0</f>
        <v>0</v>
      </c>
      <c r="AI190" s="2087">
        <f>0</f>
        <v>0</v>
      </c>
      <c r="AJ190" s="2087">
        <f>0</f>
        <v>0</v>
      </c>
      <c r="AK190" s="2070">
        <f>0</f>
        <v>0</v>
      </c>
      <c r="AL190" s="2070">
        <f>0</f>
        <v>0</v>
      </c>
      <c r="AM190" s="2070">
        <f>0</f>
        <v>0</v>
      </c>
      <c r="AN190" s="2070">
        <f>0</f>
        <v>0</v>
      </c>
      <c r="AO190" s="2070">
        <f>0</f>
        <v>0</v>
      </c>
      <c r="AP190" s="2070">
        <f>0</f>
        <v>0</v>
      </c>
      <c r="AQ190" s="2070">
        <f>0</f>
        <v>0</v>
      </c>
      <c r="AR190" s="2070">
        <f>0</f>
        <v>0</v>
      </c>
      <c r="AS190" s="2070">
        <f>0</f>
        <v>0</v>
      </c>
      <c r="AT190" s="2094">
        <f>-A_MMg/M_MSTR</f>
        <v>-9.9039755597804202E-2</v>
      </c>
      <c r="AU190" s="2070">
        <f>0</f>
        <v>0</v>
      </c>
      <c r="AV190" s="2094">
        <f>0</f>
        <v>0</v>
      </c>
      <c r="AW190" s="2070">
        <f>0</f>
        <v>0</v>
      </c>
      <c r="AX190" s="2070">
        <f>0</f>
        <v>0</v>
      </c>
      <c r="AY190" s="2094">
        <f>0</f>
        <v>0</v>
      </c>
      <c r="AZ190" s="2094">
        <f>0</f>
        <v>0</v>
      </c>
      <c r="BA190" s="2070">
        <f>0</f>
        <v>0</v>
      </c>
      <c r="BB190" s="2094">
        <f>0</f>
        <v>0</v>
      </c>
      <c r="BC190" s="2094">
        <f>0</f>
        <v>0</v>
      </c>
      <c r="BD190" s="2070">
        <f>0</f>
        <v>0</v>
      </c>
      <c r="BE190" s="2070">
        <f>0</f>
        <v>0</v>
      </c>
      <c r="BF190" s="2094">
        <f>0</f>
        <v>0</v>
      </c>
      <c r="BG190" s="2094">
        <f>0</f>
        <v>0</v>
      </c>
      <c r="BH190" s="2070">
        <f>0</f>
        <v>0</v>
      </c>
      <c r="BI190" s="2094">
        <f>0</f>
        <v>0</v>
      </c>
      <c r="BJ190" s="2094">
        <f>0</f>
        <v>0</v>
      </c>
      <c r="BK190" s="2094">
        <f>0</f>
        <v>0</v>
      </c>
      <c r="BL190" s="2094">
        <f>0</f>
        <v>0</v>
      </c>
      <c r="BM190" s="2094">
        <f>0</f>
        <v>0</v>
      </c>
      <c r="BN190" s="2094">
        <f>1</f>
        <v>1</v>
      </c>
      <c r="BO190" s="2094">
        <f>0</f>
        <v>0</v>
      </c>
      <c r="BP190" s="2126">
        <f>0</f>
        <v>0</v>
      </c>
      <c r="BQ190" s="2126">
        <f>0</f>
        <v>0</v>
      </c>
      <c r="BR190" s="2126">
        <f>0</f>
        <v>0</v>
      </c>
      <c r="BS190" s="2126">
        <f>0</f>
        <v>0</v>
      </c>
      <c r="BT190" s="2094">
        <f>0</f>
        <v>0</v>
      </c>
      <c r="BU190" s="2094">
        <f>0</f>
        <v>0</v>
      </c>
      <c r="BV190" s="2094">
        <f>0</f>
        <v>0</v>
      </c>
      <c r="BW190" s="2094">
        <f>0</f>
        <v>0</v>
      </c>
      <c r="BX190" s="2094">
        <f>0</f>
        <v>0</v>
      </c>
      <c r="BY190" s="2094">
        <f>0</f>
        <v>0</v>
      </c>
      <c r="BZ190" s="2094">
        <f>0</f>
        <v>0</v>
      </c>
      <c r="CA190" s="2094">
        <f>0</f>
        <v>0</v>
      </c>
      <c r="CB190" s="2094">
        <f>0</f>
        <v>0</v>
      </c>
      <c r="CC190" s="2094">
        <f>0</f>
        <v>0</v>
      </c>
      <c r="CD190" s="2094">
        <f>0</f>
        <v>0</v>
      </c>
      <c r="CE190" s="2094">
        <f>0</f>
        <v>0</v>
      </c>
      <c r="CF190" s="2094">
        <f>0</f>
        <v>0</v>
      </c>
      <c r="CG190" s="2094">
        <f>0</f>
        <v>0</v>
      </c>
      <c r="CH190" s="2094">
        <f>0</f>
        <v>0</v>
      </c>
      <c r="CI190" s="2148">
        <f>q_STR*P_recipDrivingForceSTR^3</f>
        <v>0</v>
      </c>
      <c r="CK190" s="1950">
        <f>E210*E190+F210*F190+G210*G190+H210*H190+I210*I190+J210*J190+K210*K190+L210*L190+M210*M190+N210*N190+O210*O190+P210*P190+Q210*Q190+R210*R190+S210*S190+T210*T190+U210*U190+V210*V190+W210*W190+X210*X190+Y210*Y190+Z210*Z190+AA210*AA190+AB210*AB190+AC210*AC190+AD210*AD190+AE210*AE190+AF210*AF190+AG210*AG190+AH210*AH190+AI210*AI190+AJ210*AJ190+AK210*AK190+AL210*AL190+AM210*AM190+AN210*AN190+AO210*AO190+AP210*AP190+AQ210*AQ190+AR210*AR190+AS210*AS190+AT210*AT190+AU210*AU190+AV210*AV190+AW210*AW190+AX210*AX190+AY210*AY190+AZ210*AZ190+BA210*BA190+BB210*BB190+BC210*BC190+BD210*BD190+BE210*BE190+BF210*BF190+BG210*BG190+BH210*BH190+BI210*BI190+BJ210*BJ190+BK210*BK190+BL210*BL190+BM210*BM190+BN210*BN190+BO210*BO190+BP210*BP190+BQ210*BQ190+BR210*BR190+BS210*BS190+BT210*BT190+BU210*BU190+BV210*BV190+BW210*BW190+BX210*BX190+BY210*BY190+BZ210*BZ190+CA210*CA190+CB210*CB190+CC210*CC190+CD210*CD190+CE210*CE190+CF210*CF190+CG210*CG190+CH210*CH190</f>
        <v>0</v>
      </c>
      <c r="CL190" s="1950">
        <f>E211*E190+F211*F190+G211*G190+H211*H190+I211*I190+J211*J190+K211*K190+L211*L190+M211*M190+N211*N190+O211*O190+P211*P190+Q211*Q190+R211*R190+S211*S190+T211*T190+U211*U190+V211*V190+W211*W190+X211*X190+Y211*Y190+Z211*Z190+AA211*AA190+AB211*AB190+AC211*AC190+AD211*AD190+AE211*AE190+AF211*AF190+AG211*AG190+AH211*AH190+AI211*AI190+AJ211*AJ190+AK211*AK190+AL211*AL190+AM211*AM190+AN211*AN190+AO211*AO190+AP211*AP190+AQ211*AQ190+AR211*AR190+AS211*AS190+AT211*AT190+AU211*AU190+AV211*AV190+AW211*AW190+AX211*AX190+AY211*AY190+AZ211*AZ190+BA211*BA190+BB211*BB190+BC211*BC190+BD211*BD190+BE211*BE190+BF211*BF190+BG211*BG190+BH211*BH190+BI211*BI190+BJ211*BJ190+BK211*BK190+BL211*BL190+BM211*BM190+BN211*BN190+BO211*BO190+BP211*BP190+BQ211*BQ190+BR211*BR190+BS211*BS190+BT211*BT190+BU211*BU190+BV211*BV190+BW211*BW190+BX211*BX190+BY211*BY190+BZ211*BZ190+CA211*CA190+CB211*CB190+CC211*CC190+CD211*CD190+CE211*CE190+CF211*CF190+CG211*CG190+CH211*CH190</f>
        <v>0</v>
      </c>
      <c r="CM190" s="1951">
        <f>E212*E190+F212*F190+G212*G190+H212*H190+I212*I190+J212*J190+K212*K190+L212*L190+M212*M190+N212*N190+O212*O190+P212*P190+Q212*Q190+R212*R190+S212*S190+T212*T190+U212*U190+V212*V190+W212*W190+X212*X190+Y212*Y190+Z212*Z190+AA212*AA190+AB212*AB190+AC212*AC190+AD212*AD190+AE212*AE190+AF212*AF190+AG212*AG190+AH212*AH190+AI212*AI190+AJ212*AJ190+AK212*AK190+AL212*AL190+AM212*AM190+AN212*AN190+AO212*AO190+AP212*AP190+AQ212*AQ190+AR212*AR190+AS212*AS190+AT212*AT190+AU212*AU190+AV212*AV190+AW212*AW190+AX212*AX190+AY212*AY190+AZ212*AZ190+BA212*BA190+BB212*BB190+BC212*BC190+BD212*BD190+BE212*BE190+BF212*BF190+BG212*BG190+BH212*BH190+BI212*BI190+BJ212*BJ190+BK212*BK190+BL212*BL190+BM212*BM190+BN212*BN190+BO212*BO190+BP212*BP190+BQ212*BQ190+BR212*BR190+BS212*BS190+BT212*BT190+BU212*BU190+BV212*BV190+BW212*BW190+BX212*BX190+BY212*BY190+BZ212*BZ190+CA212*CA190+CB212*CB190+CC212*CC190+CD212*CD190+CE212*CE190+CF212*CF190+CG212*CG190+CH212*CH190</f>
        <v>0</v>
      </c>
      <c r="CN190" s="1952">
        <f>E213*E190+F213*F190+G213*G190+H213*H190+I213*I190+J213*J190+K213*K190+L213*L190+M213*M190+N213*N190+O213*O190+P213*P190+Q213*Q190+R213*R190+S213*S190+T213*T190+U213*U190+V213*V190+W213*W190+X213*X190+Y213*Y190+Z213*Z190+AA213*AA190+AB213*AB190+AC213*AC190+AD213*AD190+AE213*AE190+AF213*AF190+AG213*AG190+AH213*AH190+AI213*AI190+AJ213*AJ190+AK213*AK190+AL213*AL190+AM213*AM190+AN213*AN190+AO213*AO190+AP213*AP190+AQ213*AQ190+AR213*AR190+AS213*AS190+AT213*AT190+AU213*AU190+AV213*AV190+AW213*AW190+AX213*AX190+AY213*AY190+AZ213*AZ190+BA213*BA190+BB213*BB190+BC213*BC190+BD213*BD190+BE213*BE190+BF213*BF190+BG213*BG190+BH213*BH190+BI213*BI190+BJ213*BJ190+BK213*BK190+BL213*BL190+BM213*BM190+BN213*BN190+BO213*BO190+BP213*BP190+BQ213*BQ190+BR213*BR190+BS213*BS190+BT213*BT190+BU213*BU190+BV213*BV190+BW213*BW190+BX213*BX190+BY213*BY190+BZ213*BZ190+CA213*CA190+CB213*CB190+CC213*CC190+CD213*CD190+CE213*CE190+CF213*CF190+CG213*CG190+CH213*CH190</f>
        <v>0</v>
      </c>
      <c r="CO190" s="1952">
        <f>E214*E190+F214*F190+G214*G190+H214*H190+I214*I190+J214*J190+K214*K190+L214*L190+M214*M190+N214*N190+O214*O190+P214*P190+Q214*Q190+R214*R190+S214*S190+T214*T190+U214*U190+V214*V190+W214*W190+X214*X190+Y214*Y190+Z214*Z190+AA214*AA190+AB214*AB190+AC214*AC190+AD214*AD190+AE214*AE190+AF214*AF190+AG214*AG190+AH214*AH190+AI214*AI190+AJ214*AJ190+AK214*AK190+AL214*AL190+AM214*AM190+AN214*AN190+AO214*AO190+AP214*AP190+AQ214*AQ190+AR214*AR190+AS214*AS190+AT214*AT190+AU214*AU190+AV214*AV190+AW214*AW190+AX214*AX190+AY214*AY190+AZ214*AZ190+BA214*BA190+BB214*BB190+BC214*BC190+BD214*BD190+BE214*BE190+BF214*BF190+BG214*BG190+BH214*BH190+BI214*BI190+BJ214*BJ190+BK214*BK190+BL214*BL190+BM214*BM190+BN214*BN190+BO214*BO190+BP214*BP190+BQ214*BQ190+BR214*BR190+BS214*BS190+BT214*BT190+BU214*BU190+BV214*BV190+BW214*BW190+BX214*BX190+BY214*BY190+BZ214*BZ190+CA214*CA190+CB214*CB190+CC214*CC190+CD214*CD190+CE214*CE190+CF214*CF190+CG214*CG190+CH214*CH190</f>
        <v>0</v>
      </c>
      <c r="CP190" s="1952">
        <f>E215*E190+F215*F190+G215*G190+H215*H190+I215*I190+J215*J190+K215*K190+L215*L190+M215*M190+N215*N190+O215*O190+P215*P190+Q215*Q190+R215*R190+S215*S190+T215*T190+U215*U190+V215*V190+W215*W190+X215*X190+Y215*Y190+Z215*Z190+AA215*AA190+AB215*AB190+AC215*AC190+AD215*AD190+AE215*AE190+AF215*AF190+AG215*AG190+AH215*AH190+AI215*AI190+AJ215*AJ190+AK215*AK190+AL215*AL190+AM215*AM190+AN215*AN190+AO215*AO190+AP215*AP190+AQ215*AQ190+AR215*AR190+AS215*AS190+AT215*AT190+AU215*AU190+AV215*AV190+AW215*AW190+AX215*AX190+AY215*AY190+AZ215*AZ190+BA215*BA190+BB215*BB190+BC215*BC190+BD215*BD190+BE215*BE190+BF215*BF190+BG215*BG190+BH215*BH190+BI215*BI190+BJ215*BJ190+BK215*BK190+BL215*BL190+BM215*BM190+BN215*BN190+BO215*BO190+BP215*BP190+BQ215*BQ190+BR215*BR190+BS215*BS190+BT215*BT190+BU215*BU190+BV215*BV190+BW215*BW190+BX215*BX190+BY215*BY190+BZ215*BZ190+CA215*CA190+CB215*CB190+CC215*CC190+CD215*CD190+CE215*CE190+CF215*CF190+CG215*CG190+CH215*CH190</f>
        <v>0</v>
      </c>
      <c r="CQ190" s="1952">
        <f>E216*E190+F216*F190+G216*G190+H216*H190+I216*I190+J216*J190+K216*K190+L216*L190+M216*M190+N216*N190+O216*O190+P216*P190+Q216*Q190+R216*R190+S216*S190+T216*T190+U216*U190+V216*V190+W216*W190+X216*X190+Y216*Y190+Z216*Z190+AA216*AA190+AB216*AB190+AC216*AC190+AD216*AD190+AE216*AE190+AF216*AF190+AG216*AG190+AH216*AH190+AI216*AI190+AJ216*AJ190+AK216*AK190+AL216*AL190+AM216*AM190+AN216*AN190+AO216*AO190+AP216*AP190+AQ216*AQ190+AR216*AR190+AS216*AS190+AT216*AT190+AU216*AU190+AV216*AV190+AW216*AW190+AX216*AX190+AY216*AY190+AZ216*AZ190+BA216*BA190+BB216*BB190+BC216*BC190+BD216*BD190+BE216*BE190+BF216*BF190+BG216*BG190+BH216*BH190+BI216*BI190+BJ216*BJ190+BK216*BK190+BL216*BL190+BM216*BM190+BN216*BN190+BO216*BO190+BP216*BP190+BQ216*BQ190+BR216*BR190+BS216*BS190+BT216*BT190+BU216*BU190+BV216*BV190+BW216*BW190+BX216*BX190+BY216*BY190+BZ216*BZ190+CA216*CA190+CB216*CB190+CC216*CC190+CD216*CD190+CE216*CE190+CF216*CF190+CG216*CG190+CH216*CH190</f>
        <v>0</v>
      </c>
      <c r="CR190" s="1952">
        <f>E217*E190+F217*F190+G217*G190+H217*H190+I217*I190+J217*J190+K217*K190+L217*L190+M217*M190+N217*N190+O217*O190+P217*P190+Q217*Q190+R217*R190+S217*S190+T217*T190+U217*U190+V217*V190+W217*W190+X217*X190+Y217*Y190+Z217*Z190+AA217*AA190+AB217*AB190+AC217*AC190+AD217*AD190+AE217*AE190+AF217*AF190+AG217*AG190+AH217*AH190+AI217*AI190+AJ217*AJ190+AK217*AK190+AL217*AL190+AM217*AM190+AN217*AN190+AO217*AO190+AP217*AP190+AQ217*AQ190+AR217*AR190+AS217*AS190+AT217*AT190+AU217*AU190+AV217*AV190+AW217*AW190+AX217*AX190+AY217*AY190+AZ217*AZ190+BA217*BA190+BB217*BB190+BC217*BC190+BD217*BD190+BE217*BE190+BF217*BF190+BG217*BG190+BH217*BH190+BI217*BI190+BJ217*BJ190+BK217*BK190+BL217*BL190+BM217*BM190+BN217*BN190+BO217*BO190+BP217*BP190+BQ217*BQ190+BR217*BR190+BS217*BS190+BT217*BT190+BU217*BU190+BV217*BV190+BW217*BW190+BX217*BX190+BY217*BY190+BZ217*BZ190+CA217*CA190+CB217*CB190+CC217*CC190+CD217*CD190+CE217*CE190+CF217*CF190+CG217*CG190+CH217*CH190</f>
        <v>0</v>
      </c>
      <c r="CS190" s="1952">
        <f>E218*E190+F218*F190+G218*G190+H218*H190+I218*I190+J218*J190+K218*K190+L218*L190+M218*M190+N218*N190+O218*O190+P218*P190+Q218*Q190+R218*R190+S218*S190+T218*T190+U218*U190+V218*V190+W218*W190+X218*X190+Y218*Y190+Z218*Z190+AA218*AA190+AB218*AB190+AC218*AC190+AD218*AD190+AE218*AE190+AF218*AF190+AG218*AG190+AH218*AH190+AI218*AI190+AJ218*AJ190+AK218*AK190+AL218*AL190+AM218*AM190+AN218*AN190+AO218*AO190+AP218*AP190+AQ218*AQ190+AR218*AR190+AS218*AS190+AT218*AT190+AU218*AU190+AV218*AV190+AW218*AW190+AX218*AX190+AY218*AY190+AZ218*AZ190+BA218*BA190+BB218*BB190+BC218*BC190+BD218*BD190+BE218*BE190+BF218*BF190+BG218*BG190+BH218*BH190+BI218*BI190+BJ218*BJ190+BK218*BK190+BL218*BL190+BM218*BM190+BN218*BN190+BO218*BO190+BP218*BP190+BQ218*BQ190+BR218*BR190+BS218*BS190+BT218*BT190+BU218*BU190+BV218*BV190+BW218*BW190+BX218*BX190+BY218*BY190+BZ218*BZ190+CA218*CA190+CB218*CB190+CC218*CC190+CD218*CD190+CE218*CE190+CF218*CF190+CG218*CG190+CH218*CH190</f>
        <v>0</v>
      </c>
      <c r="CT190" s="1952">
        <f>E219*E190+F219*F190+G219*G190+H219*H190+I219*I190+J219*J190+K219*K190+L219*L190+M219*M190+N219*N190+O219*O190+P219*P190+Q219*Q190+R219*R190+S219*S190+T219*T190+U219*U190+V219*V190+W219*W190+X219*X190+Y219*Y190+Z219*Z190+AA219*AA190+AB219*AB190+AC219*AC190+AD219*AD190+AE219*AE190+AF219*AF190+AG219*AG190+AH219*AH190+AI219*AI190+AJ219*AJ190+AK219*AK190+AL219*AL190+AM219*AM190+AN219*AN190+AO219*AO190+AP219*AP190+AQ219*AQ190+AR219*AR190+AS219*AS190+AT219*AT190+AU219*AU190+AV219*AV190+AW219*AW190+AX219*AX190+AY219*AY190+AZ219*AZ190+BA219*BA190+BB219*BB190+BC219*BC190+BD219*BD190+BE219*BE190+BF219*BF190+BG219*BG190+BH219*BH190+BI219*BI190+BJ219*BJ190+BK219*BK190+BL219*BL190+BM219*BM190+BN219*BN190+BO219*BO190+BP219*BP190+BQ219*BQ190+BR219*BR190+BS219*BS190+BT219*BT190+BU219*BU190+BV219*BV190+BW219*BW190+BX219*BX190+BY219*BY190+BZ219*BZ190+CA219*CA190+CB219*CB190+CC219*CC190+CD219*CD190+CE219*CE190+CF219*CF190+CG219*CG190+CH219*CH190</f>
        <v>0</v>
      </c>
      <c r="CU190" s="1952">
        <f>E220*E190+F220*F190+G220*G190+H220*H190+I220*I190+J220*J190+K220*K190+L220*L190+M220*M190+N220*N190+O220*O190+P220*P190+Q220*Q190+R220*R190+S220*S190+T220*T190+U220*U190+V220*V190+W220*W190+X220*X190+Y220*Y190+Z220*Z190+AA220*AA190+AB220*AB190+AC220*AC190+AD220*AD190+AE220*AE190+AF220*AF190+AG220*AG190+AH220*AH190+AI220*AI190+AJ220*AJ190+AK220*AK190+AL220*AL190+AM220*AM190+AN220*AN190+AO220*AO190+AP220*AP190+AQ220*AQ190+AR220*AR190+AS220*AS190+AT220*AT190+AU220*AU190+AV220*AV190+AW220*AW190+AX220*AX190+AY220*AY190+AZ220*AZ190+BA220*BA190+BB220*BB190+BC220*BC190+BD220*BD190+BE220*BE190+BF220*BF190+BG220*BG190+BH220*BH190+BI220*BI190+BJ220*BJ190+BK220*BK190+BL220*BL190+BM220*BM190+BN220*BN190+BO220*BO190+BP220*BP190+BQ220*BQ190+BR220*BR190+BS220*BS190+BT220*BT190+BU220*BU190+BV220*BV190+BW220*BW190+BX220*BX190+BY220*BY190+BZ220*BZ190+CA220*CA190+CB220*CB190+CC220*CC190+CD220*CD190+CE220*CE190+CF220*CF190+CG220*CG190+CH220*CH190</f>
        <v>0</v>
      </c>
    </row>
    <row r="191" spans="2:99" ht="18" x14ac:dyDescent="0.25">
      <c r="B191" s="1055">
        <v>76</v>
      </c>
      <c r="C191" s="1147" t="s">
        <v>2849</v>
      </c>
      <c r="D191" s="1148" t="s">
        <v>1122</v>
      </c>
      <c r="E191" s="2070">
        <f>0</f>
        <v>0</v>
      </c>
      <c r="F191" s="2070">
        <f>0</f>
        <v>0</v>
      </c>
      <c r="G191" s="2070">
        <f>0</f>
        <v>0</v>
      </c>
      <c r="H191" s="2070">
        <f>0</f>
        <v>0</v>
      </c>
      <c r="I191" s="2087">
        <f>0</f>
        <v>0</v>
      </c>
      <c r="J191" s="2087">
        <f>0</f>
        <v>0</v>
      </c>
      <c r="K191" s="2070">
        <f>0</f>
        <v>0</v>
      </c>
      <c r="L191" s="2070">
        <f>0</f>
        <v>0</v>
      </c>
      <c r="M191" s="2070">
        <f>0</f>
        <v>0</v>
      </c>
      <c r="N191" s="2070">
        <f>0</f>
        <v>0</v>
      </c>
      <c r="O191" s="2070">
        <f>0</f>
        <v>0</v>
      </c>
      <c r="P191" s="2070">
        <f>0</f>
        <v>0</v>
      </c>
      <c r="Q191" s="2070">
        <f>0</f>
        <v>0</v>
      </c>
      <c r="R191" s="2094">
        <f>0</f>
        <v>0</v>
      </c>
      <c r="S191" s="2070">
        <f>0</f>
        <v>0</v>
      </c>
      <c r="T191" s="2070">
        <f>0</f>
        <v>0</v>
      </c>
      <c r="U191" s="2070">
        <f>0</f>
        <v>0</v>
      </c>
      <c r="V191" s="2070">
        <f>0</f>
        <v>0</v>
      </c>
      <c r="W191" s="2070">
        <f>0</f>
        <v>0</v>
      </c>
      <c r="X191" s="2070">
        <f>0</f>
        <v>0</v>
      </c>
      <c r="Y191" s="2094">
        <f>0</f>
        <v>0</v>
      </c>
      <c r="Z191" s="2070">
        <f>0</f>
        <v>0</v>
      </c>
      <c r="AA191" s="2070">
        <f>0</f>
        <v>0</v>
      </c>
      <c r="AB191" s="2070">
        <f>0</f>
        <v>0</v>
      </c>
      <c r="AC191" s="2087">
        <f>0</f>
        <v>0</v>
      </c>
      <c r="AD191" s="2087">
        <f>0</f>
        <v>0</v>
      </c>
      <c r="AE191" s="2070">
        <f>0</f>
        <v>0</v>
      </c>
      <c r="AF191" s="2094">
        <f>-2*A_MP/M_MVivi</f>
        <v>-0.1234998580474381</v>
      </c>
      <c r="AG191" s="2070">
        <f>0</f>
        <v>0</v>
      </c>
      <c r="AH191" s="2070">
        <f>0</f>
        <v>0</v>
      </c>
      <c r="AI191" s="2087">
        <f>0</f>
        <v>0</v>
      </c>
      <c r="AJ191" s="2087">
        <f>0</f>
        <v>0</v>
      </c>
      <c r="AK191" s="2070">
        <f>0</f>
        <v>0</v>
      </c>
      <c r="AL191" s="2070">
        <f>0</f>
        <v>0</v>
      </c>
      <c r="AM191" s="2070">
        <f>0</f>
        <v>0</v>
      </c>
      <c r="AN191" s="2070">
        <f>0</f>
        <v>0</v>
      </c>
      <c r="AO191" s="2070">
        <f>0</f>
        <v>0</v>
      </c>
      <c r="AP191" s="2070">
        <f>0</f>
        <v>0</v>
      </c>
      <c r="AQ191" s="2070">
        <f>0</f>
        <v>0</v>
      </c>
      <c r="AR191" s="2070">
        <f>0</f>
        <v>0</v>
      </c>
      <c r="AS191" s="2070">
        <f>0</f>
        <v>0</v>
      </c>
      <c r="AT191" s="2094">
        <f>0</f>
        <v>0</v>
      </c>
      <c r="AU191" s="2070">
        <f>0</f>
        <v>0</v>
      </c>
      <c r="AV191" s="2094">
        <f>-3*A_MFe/M_MVivi</f>
        <v>-0.33400121987727954</v>
      </c>
      <c r="AW191" s="2070">
        <f>0</f>
        <v>0</v>
      </c>
      <c r="AX191" s="2070">
        <f>0</f>
        <v>0</v>
      </c>
      <c r="AY191" s="2094">
        <f>0</f>
        <v>0</v>
      </c>
      <c r="AZ191" s="2094">
        <f>0</f>
        <v>0</v>
      </c>
      <c r="BA191" s="2070">
        <f>0</f>
        <v>0</v>
      </c>
      <c r="BB191" s="2094">
        <f>0</f>
        <v>0</v>
      </c>
      <c r="BC191" s="2094">
        <f>0</f>
        <v>0</v>
      </c>
      <c r="BD191" s="2070">
        <f>0</f>
        <v>0</v>
      </c>
      <c r="BE191" s="2070">
        <f>0</f>
        <v>0</v>
      </c>
      <c r="BF191" s="2094">
        <f>0</f>
        <v>0</v>
      </c>
      <c r="BG191" s="2094">
        <f>0</f>
        <v>0</v>
      </c>
      <c r="BH191" s="2070">
        <f>0</f>
        <v>0</v>
      </c>
      <c r="BI191" s="2094">
        <f>0</f>
        <v>0</v>
      </c>
      <c r="BJ191" s="2094">
        <f>0</f>
        <v>0</v>
      </c>
      <c r="BK191" s="2094">
        <f>0</f>
        <v>0</v>
      </c>
      <c r="BL191" s="2094">
        <f>0</f>
        <v>0</v>
      </c>
      <c r="BM191" s="2094">
        <f>0</f>
        <v>0</v>
      </c>
      <c r="BN191" s="2094">
        <f>0</f>
        <v>0</v>
      </c>
      <c r="BO191" s="2094">
        <f>1</f>
        <v>1</v>
      </c>
      <c r="BP191" s="2126">
        <f>0</f>
        <v>0</v>
      </c>
      <c r="BQ191" s="2126">
        <f>0</f>
        <v>0</v>
      </c>
      <c r="BR191" s="2126">
        <f>0</f>
        <v>0</v>
      </c>
      <c r="BS191" s="2126">
        <f>0</f>
        <v>0</v>
      </c>
      <c r="BT191" s="2094">
        <f>0</f>
        <v>0</v>
      </c>
      <c r="BU191" s="2094">
        <f>0</f>
        <v>0</v>
      </c>
      <c r="BV191" s="2094">
        <f>0</f>
        <v>0</v>
      </c>
      <c r="BW191" s="2094">
        <f>0</f>
        <v>0</v>
      </c>
      <c r="BX191" s="2094">
        <f>0</f>
        <v>0</v>
      </c>
      <c r="BY191" s="2094">
        <f>0</f>
        <v>0</v>
      </c>
      <c r="BZ191" s="2094">
        <f>0</f>
        <v>0</v>
      </c>
      <c r="CA191" s="2094">
        <f>0</f>
        <v>0</v>
      </c>
      <c r="CB191" s="2094">
        <f>0</f>
        <v>0</v>
      </c>
      <c r="CC191" s="2094">
        <f>0</f>
        <v>0</v>
      </c>
      <c r="CD191" s="2094">
        <f>0</f>
        <v>0</v>
      </c>
      <c r="CE191" s="2094">
        <f>0</f>
        <v>0</v>
      </c>
      <c r="CF191" s="2094">
        <f>0</f>
        <v>0</v>
      </c>
      <c r="CG191" s="2094">
        <f>0</f>
        <v>0</v>
      </c>
      <c r="CH191" s="2094">
        <f>0</f>
        <v>0</v>
      </c>
      <c r="CI191" s="2148">
        <f>q_Vivi*P_recipDrivingForceVivi^2</f>
        <v>0</v>
      </c>
      <c r="CK191" s="1950">
        <f>E210*E191+F210*F191+G210*G191+H210*H191+I210*I191+J210*J191+K210*K191+L210*L191+M210*M191+N210*N191+O210*O191+P210*P191+Q210*Q191+R210*R191+S210*S191+T210*T191+U210*U191+V210*V191+W210*W191+X210*X191+Y210*Y191+Z210*Z191+AA210*AA191+AB210*AB191+AC210*AC191+AD210*AD191+AE210*AE191+AF210*AF191+AG210*AG191+AH210*AH191+AI210*AI191+AJ210*AJ191+AK210*AK191+AL210*AL191+AM210*AM191+AN210*AN191+AO210*AO191+AP210*AP191+AQ210*AQ191+AR210*AR191+AS210*AS191+AT210*AT191+AU210*AU191+AV210*AV191+AW210*AW191+AX210*AX191+AY210*AY191+AZ210*AZ191+BA210*BA191+BB210*BB191+BC210*BC191+BD210*BD191+BE210*BE191+BF210*BF191+BG210*BG191+BH210*BH191+BI210*BI191+BJ210*BJ191+BK210*BK191+BL210*BL191+BM210*BM191+BN210*BN191+BO210*BO191+BP210*BP191+BQ210*BQ191+BR210*BR191+BS210*BS191+BT210*BT191+BU210*BU191+BV210*BV191+BW210*BW191+BX210*BX191+BY210*BY191+BZ210*BZ191+CA210*CA191+CB210*CB191+CC210*CC191+CD210*CD191+CE210*CE191+CF210*CF191+CG210*CG191+CH210*CH191</f>
        <v>0</v>
      </c>
      <c r="CL191" s="1950">
        <f>E211*E191+F211*F191+G211*G191+H211*H191+I211*I191+J211*J191+K211*K191+L211*L191+M211*M191+N211*N191+O211*O191+P211*P191+Q211*Q191+R211*R191+S211*S191+T211*T191+U211*U191+V211*V191+W211*W191+X211*X191+Y211*Y191+Z211*Z191+AA211*AA191+AB211*AB191+AC211*AC191+AD211*AD191+AE211*AE191+AF211*AF191+AG211*AG191+AH211*AH191+AI211*AI191+AJ211*AJ191+AK211*AK191+AL211*AL191+AM211*AM191+AN211*AN191+AO211*AO191+AP211*AP191+AQ211*AQ191+AR211*AR191+AS211*AS191+AT211*AT191+AU211*AU191+AV211*AV191+AW211*AW191+AX211*AX191+AY211*AY191+AZ211*AZ191+BA211*BA191+BB211*BB191+BC211*BC191+BD211*BD191+BE211*BE191+BF211*BF191+BG211*BG191+BH211*BH191+BI211*BI191+BJ211*BJ191+BK211*BK191+BL211*BL191+BM211*BM191+BN211*BN191+BO211*BO191+BP211*BP191+BQ211*BQ191+BR211*BR191+BS211*BS191+BT211*BT191+BU211*BU191+BV211*BV191+BW211*BW191+BX211*BX191+BY211*BY191+BZ211*BZ191+CA211*CA191+CB211*CB191+CC211*CC191+CD211*CD191+CE211*CE191+CF211*CF191+CG211*CG191+CH211*CH191</f>
        <v>0</v>
      </c>
      <c r="CM191" s="1951">
        <f>E212*E191+F212*F191+G212*G191+H212*H191+I212*I191+J212*J191+K212*K191+L212*L191+M212*M191+N212*N191+O212*O191+P212*P191+Q212*Q191+R212*R191+S212*S191+T212*T191+U212*U191+V212*V191+W212*W191+X212*X191+Y212*Y191+Z212*Z191+AA212*AA191+AB212*AB191+AC212*AC191+AD212*AD191+AE212*AE191+AF212*AF191+AG212*AG191+AH212*AH191+AI212*AI191+AJ212*AJ191+AK212*AK191+AL212*AL191+AM212*AM191+AN212*AN191+AO212*AO191+AP212*AP191+AQ212*AQ191+AR212*AR191+AS212*AS191+AT212*AT191+AU212*AU191+AV212*AV191+AW212*AW191+AX212*AX191+AY212*AY191+AZ212*AZ191+BA212*BA191+BB212*BB191+BC212*BC191+BD212*BD191+BE212*BE191+BF212*BF191+BG212*BG191+BH212*BH191+BI212*BI191+BJ212*BJ191+BK212*BK191+BL212*BL191+BM212*BM191+BN212*BN191+BO212*BO191+BP212*BP191+BQ212*BQ191+BR212*BR191+BS212*BS191+BT212*BT191+BU212*BU191+BV212*BV191+BW212*BW191+BX212*BX191+BY212*BY191+BZ212*BZ191+CA212*CA191+CB212*CB191+CC212*CC191+CD212*CD191+CE212*CE191+CF212*CF191+CG212*CG191+CH212*CH191</f>
        <v>0</v>
      </c>
      <c r="CN191" s="1952">
        <f>E213*E191+F213*F191+G213*G191+H213*H191+I213*I191+J213*J191+K213*K191+L213*L191+M213*M191+N213*N191+O213*O191+P213*P191+Q213*Q191+R213*R191+S213*S191+T213*T191+U213*U191+V213*V191+W213*W191+X213*X191+Y213*Y191+Z213*Z191+AA213*AA191+AB213*AB191+AC213*AC191+AD213*AD191+AE213*AE191+AF213*AF191+AG213*AG191+AH213*AH191+AI213*AI191+AJ213*AJ191+AK213*AK191+AL213*AL191+AM213*AM191+AN213*AN191+AO213*AO191+AP213*AP191+AQ213*AQ191+AR213*AR191+AS213*AS191+AT213*AT191+AU213*AU191+AV213*AV191+AW213*AW191+AX213*AX191+AY213*AY191+AZ213*AZ191+BA213*BA191+BB213*BB191+BC213*BC191+BD213*BD191+BE213*BE191+BF213*BF191+BG213*BG191+BH213*BH191+BI213*BI191+BJ213*BJ191+BK213*BK191+BL213*BL191+BM213*BM191+BN213*BN191+BO213*BO191+BP213*BP191+BQ213*BQ191+BR213*BR191+BS213*BS191+BT213*BT191+BU213*BU191+BV213*BV191+BW213*BW191+BX213*BX191+BY213*BY191+BZ213*BZ191+CA213*CA191+CB213*CB191+CC213*CC191+CD213*CD191+CE213*CE191+CF213*CF191+CG213*CG191+CH213*CH191</f>
        <v>0</v>
      </c>
      <c r="CO191" s="1952">
        <f>E214*E191+F214*F191+G214*G191+H214*H191+I214*I191+J214*J191+K214*K191+L214*L191+M214*M191+N214*N191+O214*O191+P214*P191+Q214*Q191+R214*R191+S214*S191+T214*T191+U214*U191+V214*V191+W214*W191+X214*X191+Y214*Y191+Z214*Z191+AA214*AA191+AB214*AB191+AC214*AC191+AD214*AD191+AE214*AE191+AF214*AF191+AG214*AG191+AH214*AH191+AI214*AI191+AJ214*AJ191+AK214*AK191+AL214*AL191+AM214*AM191+AN214*AN191+AO214*AO191+AP214*AP191+AQ214*AQ191+AR214*AR191+AS214*AS191+AT214*AT191+AU214*AU191+AV214*AV191+AW214*AW191+AX214*AX191+AY214*AY191+AZ214*AZ191+BA214*BA191+BB214*BB191+BC214*BC191+BD214*BD191+BE214*BE191+BF214*BF191+BG214*BG191+BH214*BH191+BI214*BI191+BJ214*BJ191+BK214*BK191+BL214*BL191+BM214*BM191+BN214*BN191+BO214*BO191+BP214*BP191+BQ214*BQ191+BR214*BR191+BS214*BS191+BT214*BT191+BU214*BU191+BV214*BV191+BW214*BW191+BX214*BX191+BY214*BY191+BZ214*BZ191+CA214*CA191+CB214*CB191+CC214*CC191+CD214*CD191+CE214*CE191+CF214*CF191+CG214*CG191+CH214*CH191</f>
        <v>0</v>
      </c>
      <c r="CP191" s="1952">
        <f>E215*E191+F215*F191+G215*G191+H215*H191+I215*I191+J215*J191+K215*K191+L215*L191+M215*M191+N215*N191+O215*O191+P215*P191+Q215*Q191+R215*R191+S215*S191+T215*T191+U215*U191+V215*V191+W215*W191+X215*X191+Y215*Y191+Z215*Z191+AA215*AA191+AB215*AB191+AC215*AC191+AD215*AD191+AE215*AE191+AF215*AF191+AG215*AG191+AH215*AH191+AI215*AI191+AJ215*AJ191+AK215*AK191+AL215*AL191+AM215*AM191+AN215*AN191+AO215*AO191+AP215*AP191+AQ215*AQ191+AR215*AR191+AS215*AS191+AT215*AT191+AU215*AU191+AV215*AV191+AW215*AW191+AX215*AX191+AY215*AY191+AZ215*AZ191+BA215*BA191+BB215*BB191+BC215*BC191+BD215*BD191+BE215*BE191+BF215*BF191+BG215*BG191+BH215*BH191+BI215*BI191+BJ215*BJ191+BK215*BK191+BL215*BL191+BM215*BM191+BN215*BN191+BO215*BO191+BP215*BP191+BQ215*BQ191+BR215*BR191+BS215*BS191+BT215*BT191+BU215*BU191+BV215*BV191+BW215*BW191+BX215*BX191+BY215*BY191+BZ215*BZ191+CA215*CA191+CB215*CB191+CC215*CC191+CD215*CD191+CE215*CE191+CF215*CF191+CG215*CG191+CH215*CH191</f>
        <v>0</v>
      </c>
      <c r="CQ191" s="1952">
        <f>E216*E191+F216*F191+G216*G191+H216*H191+I216*I191+J216*J191+K216*K191+L216*L191+M216*M191+N216*N191+O216*O191+P216*P191+Q216*Q191+R216*R191+S216*S191+T216*T191+U216*U191+V216*V191+W216*W191+X216*X191+Y216*Y191+Z216*Z191+AA216*AA191+AB216*AB191+AC216*AC191+AD216*AD191+AE216*AE191+AF216*AF191+AG216*AG191+AH216*AH191+AI216*AI191+AJ216*AJ191+AK216*AK191+AL216*AL191+AM216*AM191+AN216*AN191+AO216*AO191+AP216*AP191+AQ216*AQ191+AR216*AR191+AS216*AS191+AT216*AT191+AU216*AU191+AV216*AV191+AW216*AW191+AX216*AX191+AY216*AY191+AZ216*AZ191+BA216*BA191+BB216*BB191+BC216*BC191+BD216*BD191+BE216*BE191+BF216*BF191+BG216*BG191+BH216*BH191+BI216*BI191+BJ216*BJ191+BK216*BK191+BL216*BL191+BM216*BM191+BN216*BN191+BO216*BO191+BP216*BP191+BQ216*BQ191+BR216*BR191+BS216*BS191+BT216*BT191+BU216*BU191+BV216*BV191+BW216*BW191+BX216*BX191+BY216*BY191+BZ216*BZ191+CA216*CA191+CB216*CB191+CC216*CC191+CD216*CD191+CE216*CE191+CF216*CF191+CG216*CG191+CH216*CH191</f>
        <v>0</v>
      </c>
      <c r="CR191" s="1952">
        <f>E217*E191+F217*F191+G217*G191+H217*H191+I217*I191+J217*J191+K217*K191+L217*L191+M217*M191+N217*N191+O217*O191+P217*P191+Q217*Q191+R217*R191+S217*S191+T217*T191+U217*U191+V217*V191+W217*W191+X217*X191+Y217*Y191+Z217*Z191+AA217*AA191+AB217*AB191+AC217*AC191+AD217*AD191+AE217*AE191+AF217*AF191+AG217*AG191+AH217*AH191+AI217*AI191+AJ217*AJ191+AK217*AK191+AL217*AL191+AM217*AM191+AN217*AN191+AO217*AO191+AP217*AP191+AQ217*AQ191+AR217*AR191+AS217*AS191+AT217*AT191+AU217*AU191+AV217*AV191+AW217*AW191+AX217*AX191+AY217*AY191+AZ217*AZ191+BA217*BA191+BB217*BB191+BC217*BC191+BD217*BD191+BE217*BE191+BF217*BF191+BG217*BG191+BH217*BH191+BI217*BI191+BJ217*BJ191+BK217*BK191+BL217*BL191+BM217*BM191+BN217*BN191+BO217*BO191+BP217*BP191+BQ217*BQ191+BR217*BR191+BS217*BS191+BT217*BT191+BU217*BU191+BV217*BV191+BW217*BW191+BX217*BX191+BY217*BY191+BZ217*BZ191+CA217*CA191+CB217*CB191+CC217*CC191+CD217*CD191+CE217*CE191+CF217*CF191+CG217*CG191+CH217*CH191</f>
        <v>0</v>
      </c>
      <c r="CS191" s="1952">
        <f>E218*E191+F218*F191+G218*G191+H218*H191+I218*I191+J218*J191+K218*K191+L218*L191+M218*M191+N218*N191+O218*O191+P218*P191+Q218*Q191+R218*R191+S218*S191+T218*T191+U218*U191+V218*V191+W218*W191+X218*X191+Y218*Y191+Z218*Z191+AA218*AA191+AB218*AB191+AC218*AC191+AD218*AD191+AE218*AE191+AF218*AF191+AG218*AG191+AH218*AH191+AI218*AI191+AJ218*AJ191+AK218*AK191+AL218*AL191+AM218*AM191+AN218*AN191+AO218*AO191+AP218*AP191+AQ218*AQ191+AR218*AR191+AS218*AS191+AT218*AT191+AU218*AU191+AV218*AV191+AW218*AW191+AX218*AX191+AY218*AY191+AZ218*AZ191+BA218*BA191+BB218*BB191+BC218*BC191+BD218*BD191+BE218*BE191+BF218*BF191+BG218*BG191+BH218*BH191+BI218*BI191+BJ218*BJ191+BK218*BK191+BL218*BL191+BM218*BM191+BN218*BN191+BO218*BO191+BP218*BP191+BQ218*BQ191+BR218*BR191+BS218*BS191+BT218*BT191+BU218*BU191+BV218*BV191+BW218*BW191+BX218*BX191+BY218*BY191+BZ218*BZ191+CA218*CA191+CB218*CB191+CC218*CC191+CD218*CD191+CE218*CE191+CF218*CF191+CG218*CG191+CH218*CH191</f>
        <v>0</v>
      </c>
      <c r="CT191" s="1952">
        <f>E219*E191+F219*F191+G219*G191+H219*H191+I219*I191+J219*J191+K219*K191+L219*L191+M219*M191+N219*N191+O219*O191+P219*P191+Q219*Q191+R219*R191+S219*S191+T219*T191+U219*U191+V219*V191+W219*W191+X219*X191+Y219*Y191+Z219*Z191+AA219*AA191+AB219*AB191+AC219*AC191+AD219*AD191+AE219*AE191+AF219*AF191+AG219*AG191+AH219*AH191+AI219*AI191+AJ219*AJ191+AK219*AK191+AL219*AL191+AM219*AM191+AN219*AN191+AO219*AO191+AP219*AP191+AQ219*AQ191+AR219*AR191+AS219*AS191+AT219*AT191+AU219*AU191+AV219*AV191+AW219*AW191+AX219*AX191+AY219*AY191+AZ219*AZ191+BA219*BA191+BB219*BB191+BC219*BC191+BD219*BD191+BE219*BE191+BF219*BF191+BG219*BG191+BH219*BH191+BI219*BI191+BJ219*BJ191+BK219*BK191+BL219*BL191+BM219*BM191+BN219*BN191+BO219*BO191+BP219*BP191+BQ219*BQ191+BR219*BR191+BS219*BS191+BT219*BT191+BU219*BU191+BV219*BV191+BW219*BW191+BX219*BX191+BY219*BY191+BZ219*BZ191+CA219*CA191+CB219*CB191+CC219*CC191+CD219*CD191+CE219*CE191+CF219*CF191+CG219*CG191+CH219*CH191</f>
        <v>0</v>
      </c>
      <c r="CU191" s="1952">
        <f>E220*E191+F220*F191+G220*G191+H220*H191+I220*I191+J220*J191+K220*K191+L220*L191+M220*M191+N220*N191+O220*O191+P220*P191+Q220*Q191+R220*R191+S220*S191+T220*T191+U220*U191+V220*V191+W220*W191+X220*X191+Y220*Y191+Z220*Z191+AA220*AA191+AB220*AB191+AC220*AC191+AD220*AD191+AE220*AE191+AF220*AF191+AG220*AG191+AH220*AH191+AI220*AI191+AJ220*AJ191+AK220*AK191+AL220*AL191+AM220*AM191+AN220*AN191+AO220*AO191+AP220*AP191+AQ220*AQ191+AR220*AR191+AS220*AS191+AT220*AT191+AU220*AU191+AV220*AV191+AW220*AW191+AX220*AX191+AY220*AY191+AZ220*AZ191+BA220*BA191+BB220*BB191+BC220*BC191+BD220*BD191+BE220*BE191+BF220*BF191+BG220*BG191+BH220*BH191+BI220*BI191+BJ220*BJ191+BK220*BK191+BL220*BL191+BM220*BM191+BN220*BN191+BO220*BO191+BP220*BP191+BQ220*BQ191+BR220*BR191+BS220*BS191+BT220*BT191+BU220*BU191+BV220*BV191+BW220*BW191+BX220*BX191+BY220*BY191+BZ220*BZ191+CA220*CA191+CB220*CB191+CC220*CC191+CD220*CD191+CE220*CE191+CF220*CF191+CG220*CG191+CH220*CH191</f>
        <v>0</v>
      </c>
    </row>
    <row r="192" spans="2:99" ht="18" x14ac:dyDescent="0.25">
      <c r="B192" s="1554">
        <v>77</v>
      </c>
      <c r="C192" s="1555" t="s">
        <v>3065</v>
      </c>
      <c r="D192" s="1556" t="s">
        <v>4479</v>
      </c>
      <c r="E192" s="2071">
        <f>0</f>
        <v>0</v>
      </c>
      <c r="F192" s="2071">
        <f>0</f>
        <v>0</v>
      </c>
      <c r="G192" s="2071">
        <f>0</f>
        <v>0</v>
      </c>
      <c r="H192" s="2071">
        <f>0</f>
        <v>0</v>
      </c>
      <c r="I192" s="2088">
        <f>0</f>
        <v>0</v>
      </c>
      <c r="J192" s="2088">
        <f>0</f>
        <v>0</v>
      </c>
      <c r="K192" s="2092">
        <f>0</f>
        <v>0</v>
      </c>
      <c r="L192" s="2071">
        <f>0</f>
        <v>0</v>
      </c>
      <c r="M192" s="2071">
        <f>0</f>
        <v>0</v>
      </c>
      <c r="N192" s="2071">
        <f>0</f>
        <v>0</v>
      </c>
      <c r="O192" s="2071">
        <f>0</f>
        <v>0</v>
      </c>
      <c r="P192" s="2071">
        <f>0</f>
        <v>0</v>
      </c>
      <c r="Q192" s="2071">
        <f>0</f>
        <v>0</v>
      </c>
      <c r="R192" s="2071">
        <f>0</f>
        <v>0</v>
      </c>
      <c r="S192" s="2071">
        <f>0</f>
        <v>0</v>
      </c>
      <c r="T192" s="2071">
        <f>0</f>
        <v>0</v>
      </c>
      <c r="U192" s="2071">
        <f>0</f>
        <v>0</v>
      </c>
      <c r="V192" s="2071">
        <f>0</f>
        <v>0</v>
      </c>
      <c r="W192" s="2071">
        <f>0</f>
        <v>0</v>
      </c>
      <c r="X192" s="2071">
        <f>0</f>
        <v>0</v>
      </c>
      <c r="Y192" s="2071">
        <f>0</f>
        <v>0</v>
      </c>
      <c r="Z192" s="2071">
        <f>0</f>
        <v>0</v>
      </c>
      <c r="AA192" s="2071">
        <f>0</f>
        <v>0</v>
      </c>
      <c r="AB192" s="2092">
        <f>0</f>
        <v>0</v>
      </c>
      <c r="AC192" s="2099">
        <f>0</f>
        <v>0</v>
      </c>
      <c r="AD192" s="2099">
        <f>0</f>
        <v>0</v>
      </c>
      <c r="AE192" s="2092">
        <f>0</f>
        <v>0</v>
      </c>
      <c r="AF192" s="2092">
        <f>0</f>
        <v>0</v>
      </c>
      <c r="AG192" s="2092">
        <f>0</f>
        <v>0</v>
      </c>
      <c r="AH192" s="2092">
        <f>0</f>
        <v>0</v>
      </c>
      <c r="AI192" s="2099">
        <f>0</f>
        <v>0</v>
      </c>
      <c r="AJ192" s="2099">
        <f>0</f>
        <v>0</v>
      </c>
      <c r="AK192" s="2092">
        <f>0</f>
        <v>0</v>
      </c>
      <c r="AL192" s="2092">
        <f>0</f>
        <v>0</v>
      </c>
      <c r="AM192" s="2092">
        <f>0</f>
        <v>0</v>
      </c>
      <c r="AN192" s="2092">
        <f>0</f>
        <v>0</v>
      </c>
      <c r="AO192" s="2071">
        <f>0</f>
        <v>0</v>
      </c>
      <c r="AP192" s="2092">
        <f>0</f>
        <v>0</v>
      </c>
      <c r="AQ192" s="2092">
        <f>0</f>
        <v>0</v>
      </c>
      <c r="AR192" s="2092">
        <f>0</f>
        <v>0</v>
      </c>
      <c r="AS192" s="2071">
        <f>0</f>
        <v>0</v>
      </c>
      <c r="AT192" s="2092">
        <f>0</f>
        <v>0</v>
      </c>
      <c r="AU192" s="2092">
        <f>0</f>
        <v>0</v>
      </c>
      <c r="AV192" s="2092">
        <f>0</f>
        <v>0</v>
      </c>
      <c r="AW192" s="2092">
        <f>0</f>
        <v>0</v>
      </c>
      <c r="AX192" s="2092">
        <f>0</f>
        <v>0</v>
      </c>
      <c r="AY192" s="2092">
        <f>0</f>
        <v>0</v>
      </c>
      <c r="AZ192" s="2092">
        <f>0</f>
        <v>0</v>
      </c>
      <c r="BA192" s="2092">
        <f>0</f>
        <v>0</v>
      </c>
      <c r="BB192" s="2092">
        <f>0</f>
        <v>0</v>
      </c>
      <c r="BC192" s="2092">
        <f>0</f>
        <v>0</v>
      </c>
      <c r="BD192" s="2092">
        <f>0</f>
        <v>0</v>
      </c>
      <c r="BE192" s="2092">
        <f>0</f>
        <v>0</v>
      </c>
      <c r="BF192" s="2092">
        <f>0</f>
        <v>0</v>
      </c>
      <c r="BG192" s="2092">
        <f>0</f>
        <v>0</v>
      </c>
      <c r="BH192" s="2092">
        <f>0</f>
        <v>0</v>
      </c>
      <c r="BI192" s="2092">
        <f>0</f>
        <v>0</v>
      </c>
      <c r="BJ192" s="2092">
        <f>0</f>
        <v>0</v>
      </c>
      <c r="BK192" s="2092">
        <f>0</f>
        <v>0</v>
      </c>
      <c r="BL192" s="2092">
        <f>0</f>
        <v>0</v>
      </c>
      <c r="BM192" s="2092">
        <f>0</f>
        <v>0</v>
      </c>
      <c r="BN192" s="2092">
        <f>0</f>
        <v>0</v>
      </c>
      <c r="BO192" s="2092">
        <f>0</f>
        <v>0</v>
      </c>
      <c r="BP192" s="2092">
        <f>-1</f>
        <v>-1</v>
      </c>
      <c r="BQ192" s="2092">
        <f>1</f>
        <v>1</v>
      </c>
      <c r="BR192" s="2092">
        <f>0</f>
        <v>0</v>
      </c>
      <c r="BS192" s="2092">
        <f>0</f>
        <v>0</v>
      </c>
      <c r="BT192" s="2092">
        <f>0</f>
        <v>0</v>
      </c>
      <c r="BU192" s="2092">
        <f>0</f>
        <v>0</v>
      </c>
      <c r="BV192" s="2092">
        <f>0</f>
        <v>0</v>
      </c>
      <c r="BW192" s="2092">
        <f>0</f>
        <v>0</v>
      </c>
      <c r="BX192" s="2092">
        <f>0</f>
        <v>0</v>
      </c>
      <c r="BY192" s="2092">
        <f>0</f>
        <v>0</v>
      </c>
      <c r="BZ192" s="2092">
        <f>0</f>
        <v>0</v>
      </c>
      <c r="CA192" s="2092">
        <f>0</f>
        <v>0</v>
      </c>
      <c r="CB192" s="2092">
        <f>0</f>
        <v>0</v>
      </c>
      <c r="CC192" s="2092">
        <f>0</f>
        <v>0</v>
      </c>
      <c r="CD192" s="2092">
        <f>0</f>
        <v>0</v>
      </c>
      <c r="CE192" s="2092">
        <f>0</f>
        <v>0</v>
      </c>
      <c r="CF192" s="2092">
        <f>0</f>
        <v>0</v>
      </c>
      <c r="CG192" s="2092">
        <f>0</f>
        <v>0</v>
      </c>
      <c r="CH192" s="2092">
        <f>0</f>
        <v>0</v>
      </c>
      <c r="CI192" s="2149">
        <f>q_PFOA_SORP*(S_PFOA-(X_PFOA/X_VSS)*(c_g_kg*c_mg_g)/K_OC_PFOA_EQ)</f>
        <v>2.9900721615664576E-6</v>
      </c>
      <c r="CK192" s="1950">
        <f>E210*E192+F210*F192+G210*G192+H210*H192+I210*I192+J210*J192+K210*K192+L210*L192+M210*M192+N210*N192+O210*O192+P210*P192+Q210*Q192+R210*R192+S210*S192+T210*T192+U210*U192+V210*V192+W210*W192+X210*X192+Y210*Y192+Z210*Z192+AA210*AA192+AB210*AB192+AC210*AC192+AD210*AD192+AE210*AE192+AF210*AF192+AG210*AG192+AH210*AH192+AI210*AI192+AJ210*AJ192+AK210*AK192+AL210*AL192+AM210*AM192+AN210*AN192+AO210*AO192+AP210*AP192+AQ210*AQ192+AR210*AR192+AS210*AS192+AT210*AT192+AU210*AU192+AV210*AV192+AW210*AW192+AX210*AX192+AY210*AY192+AZ210*AZ192+BA210*BA192+BB210*BB192+BC210*BC192+BD210*BD192+BE210*BE192+BF210*BF192+BG210*BG192+BH210*BH192+BI210*BI192+BJ210*BJ192+BK210*BK192+BL210*BL192+BM210*BM192+BN210*BN192+BO210*BO192+BP210*BP192+BQ210*BQ192+BR210*BR192+BS210*BS192+BT210*BT192+BU210*BU192+BV210*BV192+BW210*BW192+BX210*BX192+BY210*BY192+BZ210*BZ192+CA210*CA192+CB210*CB192+CC210*CC192+CD210*CD192+CE210*CE192+CF210*CF192+CG210*CG192+CH210*CH192</f>
        <v>0</v>
      </c>
      <c r="CL192" s="1950">
        <f>E211*E192+F211*F192+G211*G192+H211*H192+I211*I192+J211*J192+K211*K192+L211*L192+M211*M192+N211*N192+O211*O192+P211*P192+Q211*Q192+R211*R192+S211*S192+T211*T192+U211*U192+V211*V192+W211*W192+X211*X192+Y211*Y192+Z211*Z192+AA211*AA192+AB211*AB192+AC211*AC192+AD211*AD192+AE211*AE192+AF211*AF192+AG211*AG192+AH211*AH192+AI211*AI192+AJ211*AJ192+AK211*AK192+AL211*AL192+AM211*AM192+AN211*AN192+AO211*AO192+AP211*AP192+AQ211*AQ192+AR211*AR192+AS211*AS192+AT211*AT192+AU211*AU192+AV211*AV192+AW211*AW192+AX211*AX192+AY211*AY192+AZ211*AZ192+BA211*BA192+BB211*BB192+BC211*BC192+BD211*BD192+BE211*BE192+BF211*BF192+BG211*BG192+BH211*BH192+BI211*BI192+BJ211*BJ192+BK211*BK192+BL211*BL192+BM211*BM192+BN211*BN192+BO211*BO192+BP211*BP192+BQ211*BQ192+BR211*BR192+BS211*BS192+BT211*BT192+BU211*BU192+BV211*BV192+BW211*BW192+BX211*BX192+BY211*BY192+BZ211*BZ192+CA211*CA192+CB211*CB192+CC211*CC192+CD211*CD192+CE211*CE192+CF211*CF192+CG211*CG192+CH211*CH192</f>
        <v>0</v>
      </c>
      <c r="CM192" s="1951">
        <f>E212*E192+F212*F192+G212*G192+H212*H192+I212*I192+J212*J192+K212*K192+L212*L192+M212*M192+N212*N192+O212*O192+P212*P192+Q212*Q192+R212*R192+S212*S192+T212*T192+U212*U192+V212*V192+W212*W192+X212*X192+Y212*Y192+Z212*Z192+AA212*AA192+AB212*AB192+AC212*AC192+AD212*AD192+AE212*AE192+AF212*AF192+AG212*AG192+AH212*AH192+AI212*AI192+AJ212*AJ192+AK212*AK192+AL212*AL192+AM212*AM192+AN212*AN192+AO212*AO192+AP212*AP192+AQ212*AQ192+AR212*AR192+AS212*AS192+AT212*AT192+AU212*AU192+AV212*AV192+AW212*AW192+AX212*AX192+AY212*AY192+AZ212*AZ192+BA212*BA192+BB212*BB192+BC212*BC192+BD212*BD192+BE212*BE192+BF212*BF192+BG212*BG192+BH212*BH192+BI212*BI192+BJ212*BJ192+BK212*BK192+BL212*BL192+BM212*BM192+BN212*BN192+BO212*BO192+BP212*BP192+BQ212*BQ192+BR212*BR192+BS212*BS192+BT212*BT192+BU212*BU192+BV212*BV192+BW212*BW192+BX212*BX192+BY212*BY192+BZ212*BZ192+CA212*CA192+CB212*CB192+CC212*CC192+CD212*CD192+CE212*CE192+CF212*CF192+CG212*CG192+CH212*CH192</f>
        <v>0</v>
      </c>
      <c r="CN192" s="1952">
        <f>E213*E192+F213*F192+G213*G192+H213*H192+I213*I192+J213*J192+K213*K192+L213*L192+M213*M192+N213*N192+O213*O192+P213*P192+Q213*Q192+R213*R192+S213*S192+T213*T192+U213*U192+V213*V192+W213*W192+X213*X192+Y213*Y192+Z213*Z192+AA213*AA192+AB213*AB192+AC213*AC192+AD213*AD192+AE213*AE192+AF213*AF192+AG213*AG192+AH213*AH192+AI213*AI192+AJ213*AJ192+AK213*AK192+AL213*AL192+AM213*AM192+AN213*AN192+AO213*AO192+AP213*AP192+AQ213*AQ192+AR213*AR192+AS213*AS192+AT213*AT192+AU213*AU192+AV213*AV192+AW213*AW192+AX213*AX192+AY213*AY192+AZ213*AZ192+BA213*BA192+BB213*BB192+BC213*BC192+BD213*BD192+BE213*BE192+BF213*BF192+BG213*BG192+BH213*BH192+BI213*BI192+BJ213*BJ192+BK213*BK192+BL213*BL192+BM213*BM192+BN213*BN192+BO213*BO192+BP213*BP192+BQ213*BQ192+BR213*BR192+BS213*BS192+BT213*BT192+BU213*BU192+BV213*BV192+BW213*BW192+BX213*BX192+BY213*BY192+BZ213*BZ192+CA213*CA192+CB213*CB192+CC213*CC192+CD213*CD192+CE213*CE192+CF213*CF192+CG213*CG192+CH213*CH192</f>
        <v>0</v>
      </c>
      <c r="CO192" s="1952">
        <f>E214*E192+F214*F192+G214*G192+H214*H192+I214*I192+J214*J192+K214*K192+L214*L192+M214*M192+N214*N192+O214*O192+P214*P192+Q214*Q192+R214*R192+S214*S192+T214*T192+U214*U192+V214*V192+W214*W192+X214*X192+Y214*Y192+Z214*Z192+AA214*AA192+AB214*AB192+AC214*AC192+AD214*AD192+AE214*AE192+AF214*AF192+AG214*AG192+AH214*AH192+AI214*AI192+AJ214*AJ192+AK214*AK192+AL214*AL192+AM214*AM192+AN214*AN192+AO214*AO192+AP214*AP192+AQ214*AQ192+AR214*AR192+AS214*AS192+AT214*AT192+AU214*AU192+AV214*AV192+AW214*AW192+AX214*AX192+AY214*AY192+AZ214*AZ192+BA214*BA192+BB214*BB192+BC214*BC192+BD214*BD192+BE214*BE192+BF214*BF192+BG214*BG192+BH214*BH192+BI214*BI192+BJ214*BJ192+BK214*BK192+BL214*BL192+BM214*BM192+BN214*BN192+BO214*BO192+BP214*BP192+BQ214*BQ192+BR214*BR192+BS214*BS192+BT214*BT192+BU214*BU192+BV214*BV192+BW214*BW192+BX214*BX192+BY214*BY192+BZ214*BZ192+CA214*CA192+CB214*CB192+CC214*CC192+CD214*CD192+CE214*CE192+CF214*CF192+CG214*CG192+CH214*CH192</f>
        <v>0</v>
      </c>
      <c r="CP192" s="1952">
        <f>E215*E192+F215*F192+G215*G192+H215*H192+I215*I192+J215*J192+K215*K192+L215*L192+M215*M192+N215*N192+O215*O192+P215*P192+Q215*Q192+R215*R192+S215*S192+T215*T192+U215*U192+V215*V192+W215*W192+X215*X192+Y215*Y192+Z215*Z192+AA215*AA192+AB215*AB192+AC215*AC192+AD215*AD192+AE215*AE192+AF215*AF192+AG215*AG192+AH215*AH192+AI215*AI192+AJ215*AJ192+AK215*AK192+AL215*AL192+AM215*AM192+AN215*AN192+AO215*AO192+AP215*AP192+AQ215*AQ192+AR215*AR192+AS215*AS192+AT215*AT192+AU215*AU192+AV215*AV192+AW215*AW192+AX215*AX192+AY215*AY192+AZ215*AZ192+BA215*BA192+BB215*BB192+BC215*BC192+BD215*BD192+BE215*BE192+BF215*BF192+BG215*BG192+BH215*BH192+BI215*BI192+BJ215*BJ192+BK215*BK192+BL215*BL192+BM215*BM192+BN215*BN192+BO215*BO192+BP215*BP192+BQ215*BQ192+BR215*BR192+BS215*BS192+BT215*BT192+BU215*BU192+BV215*BV192+BW215*BW192+BX215*BX192+BY215*BY192+BZ215*BZ192+CA215*CA192+CB215*CB192+CC215*CC192+CD215*CD192+CE215*CE192+CF215*CF192+CG215*CG192+CH215*CH192</f>
        <v>0</v>
      </c>
      <c r="CQ192" s="1952">
        <f>E216*E192+F216*F192+G216*G192+H216*H192+I216*I192+J216*J192+K216*K192+L216*L192+M216*M192+N216*N192+O216*O192+P216*P192+Q216*Q192+R216*R192+S216*S192+T216*T192+U216*U192+V216*V192+W216*W192+X216*X192+Y216*Y192+Z216*Z192+AA216*AA192+AB216*AB192+AC216*AC192+AD216*AD192+AE216*AE192+AF216*AF192+AG216*AG192+AH216*AH192+AI216*AI192+AJ216*AJ192+AK216*AK192+AL216*AL192+AM216*AM192+AN216*AN192+AO216*AO192+AP216*AP192+AQ216*AQ192+AR216*AR192+AS216*AS192+AT216*AT192+AU216*AU192+AV216*AV192+AW216*AW192+AX216*AX192+AY216*AY192+AZ216*AZ192+BA216*BA192+BB216*BB192+BC216*BC192+BD216*BD192+BE216*BE192+BF216*BF192+BG216*BG192+BH216*BH192+BI216*BI192+BJ216*BJ192+BK216*BK192+BL216*BL192+BM216*BM192+BN216*BN192+BO216*BO192+BP216*BP192+BQ216*BQ192+BR216*BR192+BS216*BS192+BT216*BT192+BU216*BU192+BV216*BV192+BW216*BW192+BX216*BX192+BY216*BY192+BZ216*BZ192+CA216*CA192+CB216*CB192+CC216*CC192+CD216*CD192+CE216*CE192+CF216*CF192+CG216*CG192+CH216*CH192</f>
        <v>0</v>
      </c>
      <c r="CR192" s="1952">
        <f>E217*E192+F217*F192+G217*G192+H217*H192+I217*I192+J217*J192+K217*K192+L217*L192+M217*M192+N217*N192+O217*O192+P217*P192+Q217*Q192+R217*R192+S217*S192+T217*T192+U217*U192+V217*V192+W217*W192+X217*X192+Y217*Y192+Z217*Z192+AA217*AA192+AB217*AB192+AC217*AC192+AD217*AD192+AE217*AE192+AF217*AF192+AG217*AG192+AH217*AH192+AI217*AI192+AJ217*AJ192+AK217*AK192+AL217*AL192+AM217*AM192+AN217*AN192+AO217*AO192+AP217*AP192+AQ217*AQ192+AR217*AR192+AS217*AS192+AT217*AT192+AU217*AU192+AV217*AV192+AW217*AW192+AX217*AX192+AY217*AY192+AZ217*AZ192+BA217*BA192+BB217*BB192+BC217*BC192+BD217*BD192+BE217*BE192+BF217*BF192+BG217*BG192+BH217*BH192+BI217*BI192+BJ217*BJ192+BK217*BK192+BL217*BL192+BM217*BM192+BN217*BN192+BO217*BO192+BP217*BP192+BQ217*BQ192+BR217*BR192+BS217*BS192+BT217*BT192+BU217*BU192+BV217*BV192+BW217*BW192+BX217*BX192+BY217*BY192+BZ217*BZ192+CA217*CA192+CB217*CB192+CC217*CC192+CD217*CD192+CE217*CE192+CF217*CF192+CG217*CG192+CH217*CH192</f>
        <v>0</v>
      </c>
      <c r="CS192" s="1952">
        <f>E218*E192+F218*F192+G218*G192+H218*H192+I218*I192+J218*J192+K218*K192+L218*L192+M218*M192+N218*N192+O218*O192+P218*P192+Q218*Q192+R218*R192+S218*S192+T218*T192+U218*U192+V218*V192+W218*W192+X218*X192+Y218*Y192+Z218*Z192+AA218*AA192+AB218*AB192+AC218*AC192+AD218*AD192+AE218*AE192+AF218*AF192+AG218*AG192+AH218*AH192+AI218*AI192+AJ218*AJ192+AK218*AK192+AL218*AL192+AM218*AM192+AN218*AN192+AO218*AO192+AP218*AP192+AQ218*AQ192+AR218*AR192+AS218*AS192+AT218*AT192+AU218*AU192+AV218*AV192+AW218*AW192+AX218*AX192+AY218*AY192+AZ218*AZ192+BA218*BA192+BB218*BB192+BC218*BC192+BD218*BD192+BE218*BE192+BF218*BF192+BG218*BG192+BH218*BH192+BI218*BI192+BJ218*BJ192+BK218*BK192+BL218*BL192+BM218*BM192+BN218*BN192+BO218*BO192+BP218*BP192+BQ218*BQ192+BR218*BR192+BS218*BS192+BT218*BT192+BU218*BU192+BV218*BV192+BW218*BW192+BX218*BX192+BY218*BY192+BZ218*BZ192+CA218*CA192+CB218*CB192+CC218*CC192+CD218*CD192+CE218*CE192+CF218*CF192+CG218*CG192+CH218*CH192</f>
        <v>0</v>
      </c>
      <c r="CT192" s="1952">
        <f>E219*E192+F219*F192+G219*G192+H219*H192+I219*I192+J219*J192+K219*K192+L219*L192+M219*M192+N219*N192+O219*O192+P219*P192+Q219*Q192+R219*R192+S219*S192+T219*T192+U219*U192+V219*V192+W219*W192+X219*X192+Y219*Y192+Z219*Z192+AA219*AA192+AB219*AB192+AC219*AC192+AD219*AD192+AE219*AE192+AF219*AF192+AG219*AG192+AH219*AH192+AI219*AI192+AJ219*AJ192+AK219*AK192+AL219*AL192+AM219*AM192+AN219*AN192+AO219*AO192+AP219*AP192+AQ219*AQ192+AR219*AR192+AS219*AS192+AT219*AT192+AU219*AU192+AV219*AV192+AW219*AW192+AX219*AX192+AY219*AY192+AZ219*AZ192+BA219*BA192+BB219*BB192+BC219*BC192+BD219*BD192+BE219*BE192+BF219*BF192+BG219*BG192+BH219*BH192+BI219*BI192+BJ219*BJ192+BK219*BK192+BL219*BL192+BM219*BM192+BN219*BN192+BO219*BO192+BP219*BP192+BQ219*BQ192+BR219*BR192+BS219*BS192+BT219*BT192+BU219*BU192+BV219*BV192+BW219*BW192+BX219*BX192+BY219*BY192+BZ219*BZ192+CA219*CA192+CB219*CB192+CC219*CC192+CD219*CD192+CE219*CE192+CF219*CF192+CG219*CG192+CH219*CH192</f>
        <v>0</v>
      </c>
      <c r="CU192" s="1952">
        <f>E220*E192+F220*F192+G220*G192+H220*H192+I220*I192+J220*J192+K220*K192+L220*L192+M220*M192+N220*N192+O220*O192+P220*P192+Q220*Q192+R220*R192+S220*S192+T220*T192+U220*U192+V220*V192+W220*W192+X220*X192+Y220*Y192+Z220*Z192+AA220*AA192+AB220*AB192+AC220*AC192+AD220*AD192+AE220*AE192+AF220*AF192+AG220*AG192+AH220*AH192+AI220*AI192+AJ220*AJ192+AK220*AK192+AL220*AL192+AM220*AM192+AN220*AN192+AO220*AO192+AP220*AP192+AQ220*AQ192+AR220*AR192+AS220*AS192+AT220*AT192+AU220*AU192+AV220*AV192+AW220*AW192+AX220*AX192+AY220*AY192+AZ220*AZ192+BA220*BA192+BB220*BB192+BC220*BC192+BD220*BD192+BE220*BE192+BF220*BF192+BG220*BG192+BH220*BH192+BI220*BI192+BJ220*BJ192+BK220*BK192+BL220*BL192+BM220*BM192+BN220*BN192+BO220*BO192+BP220*BP192+BQ220*BQ192+BR220*BR192+BS220*BS192+BT220*BT192+BU220*BU192+BV220*BV192+BW220*BW192+BX220*BX192+BY220*BY192+BZ220*BZ192+CA220*CA192+CB220*CB192+CC220*CC192+CD220*CD192+CE220*CE192+CF220*CF192+CG220*CG192+CH220*CH192</f>
        <v>0</v>
      </c>
    </row>
    <row r="193" spans="2:99" ht="18" x14ac:dyDescent="0.25">
      <c r="B193" s="1554">
        <v>78</v>
      </c>
      <c r="C193" s="1555" t="s">
        <v>3066</v>
      </c>
      <c r="D193" s="1556" t="s">
        <v>4481</v>
      </c>
      <c r="E193" s="2071">
        <f>0</f>
        <v>0</v>
      </c>
      <c r="F193" s="2071">
        <f>0</f>
        <v>0</v>
      </c>
      <c r="G193" s="2071">
        <f>0</f>
        <v>0</v>
      </c>
      <c r="H193" s="2071">
        <f>0</f>
        <v>0</v>
      </c>
      <c r="I193" s="2088">
        <f>0</f>
        <v>0</v>
      </c>
      <c r="J193" s="2088">
        <f>0</f>
        <v>0</v>
      </c>
      <c r="K193" s="2092">
        <f>0</f>
        <v>0</v>
      </c>
      <c r="L193" s="2071">
        <f>0</f>
        <v>0</v>
      </c>
      <c r="M193" s="2071">
        <f>0</f>
        <v>0</v>
      </c>
      <c r="N193" s="2071">
        <f>0</f>
        <v>0</v>
      </c>
      <c r="O193" s="2071">
        <f>0</f>
        <v>0</v>
      </c>
      <c r="P193" s="2071">
        <f>0</f>
        <v>0</v>
      </c>
      <c r="Q193" s="2071">
        <f>0</f>
        <v>0</v>
      </c>
      <c r="R193" s="2071">
        <f>0</f>
        <v>0</v>
      </c>
      <c r="S193" s="2071">
        <f>0</f>
        <v>0</v>
      </c>
      <c r="T193" s="2071">
        <f>0</f>
        <v>0</v>
      </c>
      <c r="U193" s="2071">
        <f>0</f>
        <v>0</v>
      </c>
      <c r="V193" s="2071">
        <f>0</f>
        <v>0</v>
      </c>
      <c r="W193" s="2071">
        <f>0</f>
        <v>0</v>
      </c>
      <c r="X193" s="2071">
        <f>0</f>
        <v>0</v>
      </c>
      <c r="Y193" s="2071">
        <f>0</f>
        <v>0</v>
      </c>
      <c r="Z193" s="2071">
        <f>0</f>
        <v>0</v>
      </c>
      <c r="AA193" s="2071">
        <f>0</f>
        <v>0</v>
      </c>
      <c r="AB193" s="2092">
        <f>0</f>
        <v>0</v>
      </c>
      <c r="AC193" s="2099">
        <f>0</f>
        <v>0</v>
      </c>
      <c r="AD193" s="2099">
        <f>0</f>
        <v>0</v>
      </c>
      <c r="AE193" s="2092">
        <f>0</f>
        <v>0</v>
      </c>
      <c r="AF193" s="2092">
        <f>0</f>
        <v>0</v>
      </c>
      <c r="AG193" s="2092">
        <f>0</f>
        <v>0</v>
      </c>
      <c r="AH193" s="2092">
        <f>0</f>
        <v>0</v>
      </c>
      <c r="AI193" s="2099">
        <f>0</f>
        <v>0</v>
      </c>
      <c r="AJ193" s="2099">
        <f>0</f>
        <v>0</v>
      </c>
      <c r="AK193" s="2092">
        <f>0</f>
        <v>0</v>
      </c>
      <c r="AL193" s="2092">
        <f>0</f>
        <v>0</v>
      </c>
      <c r="AM193" s="2092">
        <f>0</f>
        <v>0</v>
      </c>
      <c r="AN193" s="2092">
        <f>0</f>
        <v>0</v>
      </c>
      <c r="AO193" s="2071">
        <f>0</f>
        <v>0</v>
      </c>
      <c r="AP193" s="2092">
        <f>0</f>
        <v>0</v>
      </c>
      <c r="AQ193" s="2092">
        <f>0</f>
        <v>0</v>
      </c>
      <c r="AR193" s="2092">
        <f>0</f>
        <v>0</v>
      </c>
      <c r="AS193" s="2071">
        <f>0</f>
        <v>0</v>
      </c>
      <c r="AT193" s="2092">
        <f>0</f>
        <v>0</v>
      </c>
      <c r="AU193" s="2092">
        <f>0</f>
        <v>0</v>
      </c>
      <c r="AV193" s="2092">
        <f>0</f>
        <v>0</v>
      </c>
      <c r="AW193" s="2092">
        <f>0</f>
        <v>0</v>
      </c>
      <c r="AX193" s="2092">
        <f>0</f>
        <v>0</v>
      </c>
      <c r="AY193" s="2092">
        <f>0</f>
        <v>0</v>
      </c>
      <c r="AZ193" s="2092">
        <f>0</f>
        <v>0</v>
      </c>
      <c r="BA193" s="2092">
        <f>0</f>
        <v>0</v>
      </c>
      <c r="BB193" s="2092">
        <f>0</f>
        <v>0</v>
      </c>
      <c r="BC193" s="2092">
        <f>0</f>
        <v>0</v>
      </c>
      <c r="BD193" s="2092">
        <f>0</f>
        <v>0</v>
      </c>
      <c r="BE193" s="2092">
        <f>0</f>
        <v>0</v>
      </c>
      <c r="BF193" s="2092">
        <f>0</f>
        <v>0</v>
      </c>
      <c r="BG193" s="2092">
        <f>0</f>
        <v>0</v>
      </c>
      <c r="BH193" s="2092">
        <f>0</f>
        <v>0</v>
      </c>
      <c r="BI193" s="2092">
        <f>0</f>
        <v>0</v>
      </c>
      <c r="BJ193" s="2092">
        <f>0</f>
        <v>0</v>
      </c>
      <c r="BK193" s="2092">
        <f>0</f>
        <v>0</v>
      </c>
      <c r="BL193" s="2092">
        <f>0</f>
        <v>0</v>
      </c>
      <c r="BM193" s="2092">
        <f>0</f>
        <v>0</v>
      </c>
      <c r="BN193" s="2092">
        <f>0</f>
        <v>0</v>
      </c>
      <c r="BO193" s="2092">
        <f>0</f>
        <v>0</v>
      </c>
      <c r="BP193" s="2092">
        <f>0</f>
        <v>0</v>
      </c>
      <c r="BQ193" s="2092">
        <f>0</f>
        <v>0</v>
      </c>
      <c r="BR193" s="2092">
        <f>-1</f>
        <v>-1</v>
      </c>
      <c r="BS193" s="2092">
        <f>1</f>
        <v>1</v>
      </c>
      <c r="BT193" s="2092">
        <f>0</f>
        <v>0</v>
      </c>
      <c r="BU193" s="2092">
        <f>0</f>
        <v>0</v>
      </c>
      <c r="BV193" s="2092">
        <f>0</f>
        <v>0</v>
      </c>
      <c r="BW193" s="2092">
        <f>0</f>
        <v>0</v>
      </c>
      <c r="BX193" s="2092">
        <f>0</f>
        <v>0</v>
      </c>
      <c r="BY193" s="2092">
        <f>0</f>
        <v>0</v>
      </c>
      <c r="BZ193" s="2092">
        <f>0</f>
        <v>0</v>
      </c>
      <c r="CA193" s="2092">
        <f>0</f>
        <v>0</v>
      </c>
      <c r="CB193" s="2092">
        <f>0</f>
        <v>0</v>
      </c>
      <c r="CC193" s="2092">
        <f>0</f>
        <v>0</v>
      </c>
      <c r="CD193" s="2092">
        <f>0</f>
        <v>0</v>
      </c>
      <c r="CE193" s="2092">
        <f>0</f>
        <v>0</v>
      </c>
      <c r="CF193" s="2092">
        <f>0</f>
        <v>0</v>
      </c>
      <c r="CG193" s="2092">
        <f>0</f>
        <v>0</v>
      </c>
      <c r="CH193" s="2092">
        <f>0</f>
        <v>0</v>
      </c>
      <c r="CI193" s="2149">
        <f>q_PFOS_SORP*(S_PFOS-(X_PFOS/X_VSS)*(c_g_kg*c_mg_g)/K_OC_PFOS_EQ)</f>
        <v>3.2675180403916145E-6</v>
      </c>
      <c r="CK193" s="1950">
        <f>E210*E193+F210*F193+G210*G193+H210*H193+I210*I193+J210*J193+K210*K193+L210*L193+M210*M193+N210*N193+O210*O193+P210*P193+Q210*Q193+R210*R193+S210*S193+T210*T193+U210*U193+V210*V193+W210*W193+X210*X193+Y210*Y193+Z210*Z193+AA210*AA193+AB210*AB193+AC210*AC193+AD210*AD193+AE210*AE193+AF210*AF193+AG210*AG193+AH210*AH193+AI210*AI193+AJ210*AJ193+AK210*AK193+AL210*AL193+AM210*AM193+AN210*AN193+AO210*AO193+AP210*AP193+AQ210*AQ193+AR210*AR193+AS210*AS193+AT210*AT193+AU210*AU193+AV210*AV193+AW210*AW193+AX210*AX193+AY210*AY193+AZ210*AZ193+BA210*BA193+BB210*BB193+BC210*BC193+BD210*BD193+BE210*BE193+BF210*BF193+BG210*BG193+BH210*BH193+BI210*BI193+BJ210*BJ193+BK210*BK193+BL210*BL193+BM210*BM193+BN210*BN193+BO210*BO193+BP210*BP193+BQ210*BQ193+BR210*BR193+BS210*BS193+BT210*BT193+BU210*BU193+BV210*BV193+BW210*BW193+BX210*BX193+BY210*BY193+BZ210*BZ193+CA210*CA193+CB210*CB193+CC210*CC193+CD210*CD193+CE210*CE193+CF210*CF193+CG210*CG193+CH210*CH193</f>
        <v>0</v>
      </c>
      <c r="CL193" s="1950">
        <f>E211*E193+F211*F193+G211*G193+H211*H193+I211*I193+J211*J193+K211*K193+L211*L193+M211*M193+N211*N193+O211*O193+P211*P193+Q211*Q193+R211*R193+S211*S193+T211*T193+U211*U193+V211*V193+W211*W193+X211*X193+Y211*Y193+Z211*Z193+AA211*AA193+AB211*AB193+AC211*AC193+AD211*AD193+AE211*AE193+AF211*AF193+AG211*AG193+AH211*AH193+AI211*AI193+AJ211*AJ193+AK211*AK193+AL211*AL193+AM211*AM193+AN211*AN193+AO211*AO193+AP211*AP193+AQ211*AQ193+AR211*AR193+AS211*AS193+AT211*AT193+AU211*AU193+AV211*AV193+AW211*AW193+AX211*AX193+AY211*AY193+AZ211*AZ193+BA211*BA193+BB211*BB193+BC211*BC193+BD211*BD193+BE211*BE193+BF211*BF193+BG211*BG193+BH211*BH193+BI211*BI193+BJ211*BJ193+BK211*BK193+BL211*BL193+BM211*BM193+BN211*BN193+BO211*BO193+BP211*BP193+BQ211*BQ193+BR211*BR193+BS211*BS193+BT211*BT193+BU211*BU193+BV211*BV193+BW211*BW193+BX211*BX193+BY211*BY193+BZ211*BZ193+CA211*CA193+CB211*CB193+CC211*CC193+CD211*CD193+CE211*CE193+CF211*CF193+CG211*CG193+CH211*CH193</f>
        <v>0</v>
      </c>
      <c r="CM193" s="1951">
        <f>E212*E193+F212*F193+G212*G193+H212*H193+I212*I193+J212*J193+K212*K193+L212*L193+M212*M193+N212*N193+O212*O193+P212*P193+Q212*Q193+R212*R193+S212*S193+T212*T193+U212*U193+V212*V193+W212*W193+X212*X193+Y212*Y193+Z212*Z193+AA212*AA193+AB212*AB193+AC212*AC193+AD212*AD193+AE212*AE193+AF212*AF193+AG212*AG193+AH212*AH193+AI212*AI193+AJ212*AJ193+AK212*AK193+AL212*AL193+AM212*AM193+AN212*AN193+AO212*AO193+AP212*AP193+AQ212*AQ193+AR212*AR193+AS212*AS193+AT212*AT193+AU212*AU193+AV212*AV193+AW212*AW193+AX212*AX193+AY212*AY193+AZ212*AZ193+BA212*BA193+BB212*BB193+BC212*BC193+BD212*BD193+BE212*BE193+BF212*BF193+BG212*BG193+BH212*BH193+BI212*BI193+BJ212*BJ193+BK212*BK193+BL212*BL193+BM212*BM193+BN212*BN193+BO212*BO193+BP212*BP193+BQ212*BQ193+BR212*BR193+BS212*BS193+BT212*BT193+BU212*BU193+BV212*BV193+BW212*BW193+BX212*BX193+BY212*BY193+BZ212*BZ193+CA212*CA193+CB212*CB193+CC212*CC193+CD212*CD193+CE212*CE193+CF212*CF193+CG212*CG193+CH212*CH193</f>
        <v>0</v>
      </c>
      <c r="CN193" s="1952">
        <f>E213*E193+F213*F193+G213*G193+H213*H193+I213*I193+J213*J193+K213*K193+L213*L193+M213*M193+N213*N193+O213*O193+P213*P193+Q213*Q193+R213*R193+S213*S193+T213*T193+U213*U193+V213*V193+W213*W193+X213*X193+Y213*Y193+Z213*Z193+AA213*AA193+AB213*AB193+AC213*AC193+AD213*AD193+AE213*AE193+AF213*AF193+AG213*AG193+AH213*AH193+AI213*AI193+AJ213*AJ193+AK213*AK193+AL213*AL193+AM213*AM193+AN213*AN193+AO213*AO193+AP213*AP193+AQ213*AQ193+AR213*AR193+AS213*AS193+AT213*AT193+AU213*AU193+AV213*AV193+AW213*AW193+AX213*AX193+AY213*AY193+AZ213*AZ193+BA213*BA193+BB213*BB193+BC213*BC193+BD213*BD193+BE213*BE193+BF213*BF193+BG213*BG193+BH213*BH193+BI213*BI193+BJ213*BJ193+BK213*BK193+BL213*BL193+BM213*BM193+BN213*BN193+BO213*BO193+BP213*BP193+BQ213*BQ193+BR213*BR193+BS213*BS193+BT213*BT193+BU213*BU193+BV213*BV193+BW213*BW193+BX213*BX193+BY213*BY193+BZ213*BZ193+CA213*CA193+CB213*CB193+CC213*CC193+CD213*CD193+CE213*CE193+CF213*CF193+CG213*CG193+CH213*CH193</f>
        <v>0</v>
      </c>
      <c r="CO193" s="1952">
        <f>E214*E193+F214*F193+G214*G193+H214*H193+I214*I193+J214*J193+K214*K193+L214*L193+M214*M193+N214*N193+O214*O193+P214*P193+Q214*Q193+R214*R193+S214*S193+T214*T193+U214*U193+V214*V193+W214*W193+X214*X193+Y214*Y193+Z214*Z193+AA214*AA193+AB214*AB193+AC214*AC193+AD214*AD193+AE214*AE193+AF214*AF193+AG214*AG193+AH214*AH193+AI214*AI193+AJ214*AJ193+AK214*AK193+AL214*AL193+AM214*AM193+AN214*AN193+AO214*AO193+AP214*AP193+AQ214*AQ193+AR214*AR193+AS214*AS193+AT214*AT193+AU214*AU193+AV214*AV193+AW214*AW193+AX214*AX193+AY214*AY193+AZ214*AZ193+BA214*BA193+BB214*BB193+BC214*BC193+BD214*BD193+BE214*BE193+BF214*BF193+BG214*BG193+BH214*BH193+BI214*BI193+BJ214*BJ193+BK214*BK193+BL214*BL193+BM214*BM193+BN214*BN193+BO214*BO193+BP214*BP193+BQ214*BQ193+BR214*BR193+BS214*BS193+BT214*BT193+BU214*BU193+BV214*BV193+BW214*BW193+BX214*BX193+BY214*BY193+BZ214*BZ193+CA214*CA193+CB214*CB193+CC214*CC193+CD214*CD193+CE214*CE193+CF214*CF193+CG214*CG193+CH214*CH193</f>
        <v>0</v>
      </c>
      <c r="CP193" s="1952">
        <f>E215*E193+F215*F193+G215*G193+H215*H193+I215*I193+J215*J193+K215*K193+L215*L193+M215*M193+N215*N193+O215*O193+P215*P193+Q215*Q193+R215*R193+S215*S193+T215*T193+U215*U193+V215*V193+W215*W193+X215*X193+Y215*Y193+Z215*Z193+AA215*AA193+AB215*AB193+AC215*AC193+AD215*AD193+AE215*AE193+AF215*AF193+AG215*AG193+AH215*AH193+AI215*AI193+AJ215*AJ193+AK215*AK193+AL215*AL193+AM215*AM193+AN215*AN193+AO215*AO193+AP215*AP193+AQ215*AQ193+AR215*AR193+AS215*AS193+AT215*AT193+AU215*AU193+AV215*AV193+AW215*AW193+AX215*AX193+AY215*AY193+AZ215*AZ193+BA215*BA193+BB215*BB193+BC215*BC193+BD215*BD193+BE215*BE193+BF215*BF193+BG215*BG193+BH215*BH193+BI215*BI193+BJ215*BJ193+BK215*BK193+BL215*BL193+BM215*BM193+BN215*BN193+BO215*BO193+BP215*BP193+BQ215*BQ193+BR215*BR193+BS215*BS193+BT215*BT193+BU215*BU193+BV215*BV193+BW215*BW193+BX215*BX193+BY215*BY193+BZ215*BZ193+CA215*CA193+CB215*CB193+CC215*CC193+CD215*CD193+CE215*CE193+CF215*CF193+CG215*CG193+CH215*CH193</f>
        <v>0</v>
      </c>
      <c r="CQ193" s="1952">
        <f>E216*E193+F216*F193+G216*G193+H216*H193+I216*I193+J216*J193+K216*K193+L216*L193+M216*M193+N216*N193+O216*O193+P216*P193+Q216*Q193+R216*R193+S216*S193+T216*T193+U216*U193+V216*V193+W216*W193+X216*X193+Y216*Y193+Z216*Z193+AA216*AA193+AB216*AB193+AC216*AC193+AD216*AD193+AE216*AE193+AF216*AF193+AG216*AG193+AH216*AH193+AI216*AI193+AJ216*AJ193+AK216*AK193+AL216*AL193+AM216*AM193+AN216*AN193+AO216*AO193+AP216*AP193+AQ216*AQ193+AR216*AR193+AS216*AS193+AT216*AT193+AU216*AU193+AV216*AV193+AW216*AW193+AX216*AX193+AY216*AY193+AZ216*AZ193+BA216*BA193+BB216*BB193+BC216*BC193+BD216*BD193+BE216*BE193+BF216*BF193+BG216*BG193+BH216*BH193+BI216*BI193+BJ216*BJ193+BK216*BK193+BL216*BL193+BM216*BM193+BN216*BN193+BO216*BO193+BP216*BP193+BQ216*BQ193+BR216*BR193+BS216*BS193+BT216*BT193+BU216*BU193+BV216*BV193+BW216*BW193+BX216*BX193+BY216*BY193+BZ216*BZ193+CA216*CA193+CB216*CB193+CC216*CC193+CD216*CD193+CE216*CE193+CF216*CF193+CG216*CG193+CH216*CH193</f>
        <v>0</v>
      </c>
      <c r="CR193" s="1952">
        <f>E217*E193+F217*F193+G217*G193+H217*H193+I217*I193+J217*J193+K217*K193+L217*L193+M217*M193+N217*N193+O217*O193+P217*P193+Q217*Q193+R217*R193+S217*S193+T217*T193+U217*U193+V217*V193+W217*W193+X217*X193+Y217*Y193+Z217*Z193+AA217*AA193+AB217*AB193+AC217*AC193+AD217*AD193+AE217*AE193+AF217*AF193+AG217*AG193+AH217*AH193+AI217*AI193+AJ217*AJ193+AK217*AK193+AL217*AL193+AM217*AM193+AN217*AN193+AO217*AO193+AP217*AP193+AQ217*AQ193+AR217*AR193+AS217*AS193+AT217*AT193+AU217*AU193+AV217*AV193+AW217*AW193+AX217*AX193+AY217*AY193+AZ217*AZ193+BA217*BA193+BB217*BB193+BC217*BC193+BD217*BD193+BE217*BE193+BF217*BF193+BG217*BG193+BH217*BH193+BI217*BI193+BJ217*BJ193+BK217*BK193+BL217*BL193+BM217*BM193+BN217*BN193+BO217*BO193+BP217*BP193+BQ217*BQ193+BR217*BR193+BS217*BS193+BT217*BT193+BU217*BU193+BV217*BV193+BW217*BW193+BX217*BX193+BY217*BY193+BZ217*BZ193+CA217*CA193+CB217*CB193+CC217*CC193+CD217*CD193+CE217*CE193+CF217*CF193+CG217*CG193+CH217*CH193</f>
        <v>0</v>
      </c>
      <c r="CS193" s="1952">
        <f>E218*E193+F218*F193+G218*G193+H218*H193+I218*I193+J218*J193+K218*K193+L218*L193+M218*M193+N218*N193+O218*O193+P218*P193+Q218*Q193+R218*R193+S218*S193+T218*T193+U218*U193+V218*V193+W218*W193+X218*X193+Y218*Y193+Z218*Z193+AA218*AA193+AB218*AB193+AC218*AC193+AD218*AD193+AE218*AE193+AF218*AF193+AG218*AG193+AH218*AH193+AI218*AI193+AJ218*AJ193+AK218*AK193+AL218*AL193+AM218*AM193+AN218*AN193+AO218*AO193+AP218*AP193+AQ218*AQ193+AR218*AR193+AS218*AS193+AT218*AT193+AU218*AU193+AV218*AV193+AW218*AW193+AX218*AX193+AY218*AY193+AZ218*AZ193+BA218*BA193+BB218*BB193+BC218*BC193+BD218*BD193+BE218*BE193+BF218*BF193+BG218*BG193+BH218*BH193+BI218*BI193+BJ218*BJ193+BK218*BK193+BL218*BL193+BM218*BM193+BN218*BN193+BO218*BO193+BP218*BP193+BQ218*BQ193+BR218*BR193+BS218*BS193+BT218*BT193+BU218*BU193+BV218*BV193+BW218*BW193+BX218*BX193+BY218*BY193+BZ218*BZ193+CA218*CA193+CB218*CB193+CC218*CC193+CD218*CD193+CE218*CE193+CF218*CF193+CG218*CG193+CH218*CH193</f>
        <v>0</v>
      </c>
      <c r="CT193" s="1952">
        <f>E219*E193+F219*F193+G219*G193+H219*H193+I219*I193+J219*J193+K219*K193+L219*L193+M219*M193+N219*N193+O219*O193+P219*P193+Q219*Q193+R219*R193+S219*S193+T219*T193+U219*U193+V219*V193+W219*W193+X219*X193+Y219*Y193+Z219*Z193+AA219*AA193+AB219*AB193+AC219*AC193+AD219*AD193+AE219*AE193+AF219*AF193+AG219*AG193+AH219*AH193+AI219*AI193+AJ219*AJ193+AK219*AK193+AL219*AL193+AM219*AM193+AN219*AN193+AO219*AO193+AP219*AP193+AQ219*AQ193+AR219*AR193+AS219*AS193+AT219*AT193+AU219*AU193+AV219*AV193+AW219*AW193+AX219*AX193+AY219*AY193+AZ219*AZ193+BA219*BA193+BB219*BB193+BC219*BC193+BD219*BD193+BE219*BE193+BF219*BF193+BG219*BG193+BH219*BH193+BI219*BI193+BJ219*BJ193+BK219*BK193+BL219*BL193+BM219*BM193+BN219*BN193+BO219*BO193+BP219*BP193+BQ219*BQ193+BR219*BR193+BS219*BS193+BT219*BT193+BU219*BU193+BV219*BV193+BW219*BW193+BX219*BX193+BY219*BY193+BZ219*BZ193+CA219*CA193+CB219*CB193+CC219*CC193+CD219*CD193+CE219*CE193+CF219*CF193+CG219*CG193+CH219*CH193</f>
        <v>0</v>
      </c>
      <c r="CU193" s="1952">
        <f>E220*E193+F220*F193+G220*G193+H220*H193+I220*I193+J220*J193+K220*K193+L220*L193+M220*M193+N220*N193+O220*O193+P220*P193+Q220*Q193+R220*R193+S220*S193+T220*T193+U220*U193+V220*V193+W220*W193+X220*X193+Y220*Y193+Z220*Z193+AA220*AA193+AB220*AB193+AC220*AC193+AD220*AD193+AE220*AE193+AF220*AF193+AG220*AG193+AH220*AH193+AI220*AI193+AJ220*AJ193+AK220*AK193+AL220*AL193+AM220*AM193+AN220*AN193+AO220*AO193+AP220*AP193+AQ220*AQ193+AR220*AR193+AS220*AS193+AT220*AT193+AU220*AU193+AV220*AV193+AW220*AW193+AX220*AX193+AY220*AY193+AZ220*AZ193+BA220*BA193+BB220*BB193+BC220*BC193+BD220*BD193+BE220*BE193+BF220*BF193+BG220*BG193+BH220*BH193+BI220*BI193+BJ220*BJ193+BK220*BK193+BL220*BL193+BM220*BM193+BN220*BN193+BO220*BO193+BP220*BP193+BQ220*BQ193+BR220*BR193+BS220*BS193+BT220*BT193+BU220*BU193+BV220*BV193+BW220*BW193+BX220*BX193+BY220*BY193+BZ220*BZ193+CA220*CA193+CB220*CB193+CC220*CC193+CD220*CD193+CE220*CE193+CF220*CF193+CG220*CG193+CH220*CH193</f>
        <v>0</v>
      </c>
    </row>
    <row r="194" spans="2:99" ht="18" x14ac:dyDescent="0.25">
      <c r="B194" s="1152">
        <v>79</v>
      </c>
      <c r="C194" s="1153" t="s">
        <v>3077</v>
      </c>
      <c r="D194" s="1154" t="s">
        <v>3759</v>
      </c>
      <c r="E194" s="2072">
        <f>0</f>
        <v>0</v>
      </c>
      <c r="F194" s="2072">
        <f>0</f>
        <v>0</v>
      </c>
      <c r="G194" s="2072">
        <f>0</f>
        <v>0</v>
      </c>
      <c r="H194" s="2072">
        <f>0</f>
        <v>0</v>
      </c>
      <c r="I194" s="2089">
        <f>0</f>
        <v>0</v>
      </c>
      <c r="J194" s="2089">
        <f>0</f>
        <v>0</v>
      </c>
      <c r="K194" s="2072">
        <f>0</f>
        <v>0</v>
      </c>
      <c r="L194" s="2072">
        <f>0</f>
        <v>0</v>
      </c>
      <c r="M194" s="2072">
        <f>0</f>
        <v>0</v>
      </c>
      <c r="N194" s="2072">
        <f>0</f>
        <v>0</v>
      </c>
      <c r="O194" s="2072">
        <f>0</f>
        <v>0</v>
      </c>
      <c r="P194" s="2072">
        <f>0</f>
        <v>0</v>
      </c>
      <c r="Q194" s="2072">
        <f>0</f>
        <v>0</v>
      </c>
      <c r="R194" s="2095">
        <f>0</f>
        <v>0</v>
      </c>
      <c r="S194" s="2072">
        <f>0</f>
        <v>0</v>
      </c>
      <c r="T194" s="2072">
        <f>0</f>
        <v>0</v>
      </c>
      <c r="U194" s="2072">
        <f>0</f>
        <v>0</v>
      </c>
      <c r="V194" s="2072">
        <f>0</f>
        <v>0</v>
      </c>
      <c r="W194" s="2072">
        <f>0</f>
        <v>0</v>
      </c>
      <c r="X194" s="2072">
        <f>0</f>
        <v>0</v>
      </c>
      <c r="Y194" s="2095">
        <f>0</f>
        <v>0</v>
      </c>
      <c r="Z194" s="2072">
        <f>0</f>
        <v>0</v>
      </c>
      <c r="AA194" s="2072">
        <f>0</f>
        <v>0</v>
      </c>
      <c r="AB194" s="2072">
        <f>0</f>
        <v>0</v>
      </c>
      <c r="AC194" s="2089">
        <f>0</f>
        <v>0</v>
      </c>
      <c r="AD194" s="2089">
        <f>0</f>
        <v>0</v>
      </c>
      <c r="AE194" s="2072">
        <f>0</f>
        <v>0</v>
      </c>
      <c r="AF194" s="2095">
        <f>0</f>
        <v>0</v>
      </c>
      <c r="AG194" s="2072">
        <f>0</f>
        <v>0</v>
      </c>
      <c r="AH194" s="2072">
        <f>0</f>
        <v>0</v>
      </c>
      <c r="AI194" s="2089">
        <f>0</f>
        <v>0</v>
      </c>
      <c r="AJ194" s="2089">
        <f>0</f>
        <v>0</v>
      </c>
      <c r="AK194" s="2072">
        <f>0</f>
        <v>0</v>
      </c>
      <c r="AL194" s="2072">
        <f>0</f>
        <v>0</v>
      </c>
      <c r="AM194" s="2072">
        <f>0</f>
        <v>0</v>
      </c>
      <c r="AN194" s="2072">
        <f>0</f>
        <v>0</v>
      </c>
      <c r="AO194" s="2072">
        <f>0</f>
        <v>0</v>
      </c>
      <c r="AP194" s="2072">
        <f>0</f>
        <v>0</v>
      </c>
      <c r="AQ194" s="2072">
        <f>0</f>
        <v>0</v>
      </c>
      <c r="AR194" s="2072">
        <f>0</f>
        <v>0</v>
      </c>
      <c r="AS194" s="2072">
        <f>0</f>
        <v>0</v>
      </c>
      <c r="AT194" s="2095">
        <f>0</f>
        <v>0</v>
      </c>
      <c r="AU194" s="2072">
        <f>0</f>
        <v>0</v>
      </c>
      <c r="AV194" s="2095">
        <f>0</f>
        <v>0</v>
      </c>
      <c r="AW194" s="2072">
        <f>0</f>
        <v>0</v>
      </c>
      <c r="AX194" s="2072">
        <f>0</f>
        <v>0</v>
      </c>
      <c r="AY194" s="2095">
        <f>0</f>
        <v>0</v>
      </c>
      <c r="AZ194" s="2095">
        <f>0</f>
        <v>0</v>
      </c>
      <c r="BA194" s="2072">
        <f>0</f>
        <v>0</v>
      </c>
      <c r="BB194" s="2095">
        <f>0</f>
        <v>0</v>
      </c>
      <c r="BC194" s="2095">
        <f>0</f>
        <v>0</v>
      </c>
      <c r="BD194" s="2072">
        <f>0</f>
        <v>0</v>
      </c>
      <c r="BE194" s="2072">
        <f>0</f>
        <v>0</v>
      </c>
      <c r="BF194" s="2095">
        <f>0</f>
        <v>0</v>
      </c>
      <c r="BG194" s="2095">
        <f>0</f>
        <v>0</v>
      </c>
      <c r="BH194" s="2072">
        <f>0</f>
        <v>0</v>
      </c>
      <c r="BI194" s="2095">
        <f>0</f>
        <v>0</v>
      </c>
      <c r="BJ194" s="2095">
        <f>0</f>
        <v>0</v>
      </c>
      <c r="BK194" s="2095">
        <f>0</f>
        <v>0</v>
      </c>
      <c r="BL194" s="2095">
        <f>0</f>
        <v>0</v>
      </c>
      <c r="BM194" s="2095">
        <f>0</f>
        <v>0</v>
      </c>
      <c r="BN194" s="2095">
        <f>0</f>
        <v>0</v>
      </c>
      <c r="BO194" s="2095">
        <f>0</f>
        <v>0</v>
      </c>
      <c r="BP194" s="2127">
        <f>0</f>
        <v>0</v>
      </c>
      <c r="BQ194" s="2127">
        <f>0</f>
        <v>0</v>
      </c>
      <c r="BR194" s="2127">
        <f>0</f>
        <v>0</v>
      </c>
      <c r="BS194" s="2127">
        <f>0</f>
        <v>0</v>
      </c>
      <c r="BT194" s="2095">
        <f>0</f>
        <v>0</v>
      </c>
      <c r="BU194" s="2095">
        <f>1</f>
        <v>1</v>
      </c>
      <c r="BV194" s="2095">
        <f>0</f>
        <v>0</v>
      </c>
      <c r="BW194" s="2095">
        <f>0</f>
        <v>0</v>
      </c>
      <c r="BX194" s="2095">
        <f>0</f>
        <v>0</v>
      </c>
      <c r="BY194" s="2095">
        <f>0</f>
        <v>0</v>
      </c>
      <c r="BZ194" s="2095">
        <f>0</f>
        <v>0</v>
      </c>
      <c r="CA194" s="2095">
        <f>0</f>
        <v>0</v>
      </c>
      <c r="CB194" s="2095">
        <f>0</f>
        <v>0</v>
      </c>
      <c r="CC194" s="2095">
        <f>0</f>
        <v>0</v>
      </c>
      <c r="CD194" s="2095">
        <f>0</f>
        <v>0</v>
      </c>
      <c r="CE194" s="2095">
        <f>0</f>
        <v>0</v>
      </c>
      <c r="CF194" s="2095">
        <f>0</f>
        <v>0</v>
      </c>
      <c r="CG194" s="2095">
        <f>0</f>
        <v>0</v>
      </c>
      <c r="CH194" s="2095">
        <f>0</f>
        <v>0</v>
      </c>
      <c r="CI194" s="2135">
        <f>q_ALPHA_O2*X_VSS*d_ampALPHA*(S_ALPHA_sat-S_ALPHA)</f>
        <v>1.3532518907502249</v>
      </c>
      <c r="CK194" s="1950">
        <f>E210*E194+F210*F194+G210*G194+H210*H194+I210*I194+J210*J194+K210*K194+L210*L194+M210*M194+N210*N194+O210*O194+P210*P194+Q210*Q194+R210*R194+S210*S194+T210*T194+U210*U194+V210*V194+W210*W194+X210*X194+Y210*Y194+Z210*Z194+AA210*AA194+AB210*AB194+AC210*AC194+AD210*AD194+AE210*AE194+AF210*AF194+AG210*AG194+AH210*AH194+AI210*AI194+AJ210*AJ194+AK210*AK194+AL210*AL194+AM210*AM194+AN210*AN194+AO210*AO194+AP210*AP194+AQ210*AQ194+AR210*AR194+AS210*AS194+AT210*AT194+AU210*AU194+AV210*AV194+AW210*AW194+AX210*AX194+AY210*AY194+AZ210*AZ194+BA210*BA194+BB210*BB194+BC210*BC194+BD210*BD194+BE210*BE194+BF210*BF194+BG210*BG194+BH210*BH194+BI210*BI194+BJ210*BJ194+BK210*BK194+BL210*BL194+BM210*BM194+BN210*BN194+BO210*BO194+BP210*BP194+BQ210*BQ194+BR210*BR194+BS210*BS194+BT210*BT194+BU210*BU194+BV210*BV194+BW210*BW194+BX210*BX194+BY210*BY194+BZ210*BZ194+CA210*CA194+CB210*CB194+CC210*CC194+CD210*CD194+CE210*CE194+CF210*CF194+CG210*CG194+CH210*CH194</f>
        <v>0</v>
      </c>
      <c r="CL194" s="1950">
        <f>E211*E194+F211*F194+G211*G194+H211*H194+I211*I194+J211*J194+K211*K194+L211*L194+M211*M194+N211*N194+O211*O194+P211*P194+Q211*Q194+R211*R194+S211*S194+T211*T194+U211*U194+V211*V194+W211*W194+X211*X194+Y211*Y194+Z211*Z194+AA211*AA194+AB211*AB194+AC211*AC194+AD211*AD194+AE211*AE194+AF211*AF194+AG211*AG194+AH211*AH194+AI211*AI194+AJ211*AJ194+AK211*AK194+AL211*AL194+AM211*AM194+AN211*AN194+AO211*AO194+AP211*AP194+AQ211*AQ194+AR211*AR194+AS211*AS194+AT211*AT194+AU211*AU194+AV211*AV194+AW211*AW194+AX211*AX194+AY211*AY194+AZ211*AZ194+BA211*BA194+BB211*BB194+BC211*BC194+BD211*BD194+BE211*BE194+BF211*BF194+BG211*BG194+BH211*BH194+BI211*BI194+BJ211*BJ194+BK211*BK194+BL211*BL194+BM211*BM194+BN211*BN194+BO211*BO194+BP211*BP194+BQ211*BQ194+BR211*BR194+BS211*BS194+BT211*BT194+BU211*BU194+BV211*BV194+BW211*BW194+BX211*BX194+BY211*BY194+BZ211*BZ194+CA211*CA194+CB211*CB194+CC211*CC194+CD211*CD194+CE211*CE194+CF211*CF194+CG211*CG194+CH211*CH194</f>
        <v>0</v>
      </c>
      <c r="CM194" s="1951">
        <f>E212*E194+F212*F194+G212*G194+H212*H194+I212*I194+J212*J194+K212*K194+L212*L194+M212*M194+N212*N194+O212*O194+P212*P194+Q212*Q194+R212*R194+S212*S194+T212*T194+U212*U194+V212*V194+W212*W194+X212*X194+Y212*Y194+Z212*Z194+AA212*AA194+AB212*AB194+AC212*AC194+AD212*AD194+AE212*AE194+AF212*AF194+AG212*AG194+AH212*AH194+AI212*AI194+AJ212*AJ194+AK212*AK194+AL212*AL194+AM212*AM194+AN212*AN194+AO212*AO194+AP212*AP194+AQ212*AQ194+AR212*AR194+AS212*AS194+AT212*AT194+AU212*AU194+AV212*AV194+AW212*AW194+AX212*AX194+AY212*AY194+AZ212*AZ194+BA212*BA194+BB212*BB194+BC212*BC194+BD212*BD194+BE212*BE194+BF212*BF194+BG212*BG194+BH212*BH194+BI212*BI194+BJ212*BJ194+BK212*BK194+BL212*BL194+BM212*BM194+BN212*BN194+BO212*BO194+BP212*BP194+BQ212*BQ194+BR212*BR194+BS212*BS194+BT212*BT194+BU212*BU194+BV212*BV194+BW212*BW194+BX212*BX194+BY212*BY194+BZ212*BZ194+CA212*CA194+CB212*CB194+CC212*CC194+CD212*CD194+CE212*CE194+CF212*CF194+CG212*CG194+CH212*CH194</f>
        <v>0</v>
      </c>
      <c r="CN194" s="1952">
        <f>E213*E194+F213*F194+G213*G194+H213*H194+I213*I194+J213*J194+K213*K194+L213*L194+M213*M194+N213*N194+O213*O194+P213*P194+Q213*Q194+R213*R194+S213*S194+T213*T194+U213*U194+V213*V194+W213*W194+X213*X194+Y213*Y194+Z213*Z194+AA213*AA194+AB213*AB194+AC213*AC194+AD213*AD194+AE213*AE194+AF213*AF194+AG213*AG194+AH213*AH194+AI213*AI194+AJ213*AJ194+AK213*AK194+AL213*AL194+AM213*AM194+AN213*AN194+AO213*AO194+AP213*AP194+AQ213*AQ194+AR213*AR194+AS213*AS194+AT213*AT194+AU213*AU194+AV213*AV194+AW213*AW194+AX213*AX194+AY213*AY194+AZ213*AZ194+BA213*BA194+BB213*BB194+BC213*BC194+BD213*BD194+BE213*BE194+BF213*BF194+BG213*BG194+BH213*BH194+BI213*BI194+BJ213*BJ194+BK213*BK194+BL213*BL194+BM213*BM194+BN213*BN194+BO213*BO194+BP213*BP194+BQ213*BQ194+BR213*BR194+BS213*BS194+BT213*BT194+BU213*BU194+BV213*BV194+BW213*BW194+BX213*BX194+BY213*BY194+BZ213*BZ194+CA213*CA194+CB213*CB194+CC213*CC194+CD213*CD194+CE213*CE194+CF213*CF194+CG213*CG194+CH213*CH194</f>
        <v>0</v>
      </c>
      <c r="CO194" s="1952">
        <f>E214*E194+F214*F194+G214*G194+H214*H194+I214*I194+J214*J194+K214*K194+L214*L194+M214*M194+N214*N194+O214*O194+P214*P194+Q214*Q194+R214*R194+S214*S194+T214*T194+U214*U194+V214*V194+W214*W194+X214*X194+Y214*Y194+Z214*Z194+AA214*AA194+AB214*AB194+AC214*AC194+AD214*AD194+AE214*AE194+AF214*AF194+AG214*AG194+AH214*AH194+AI214*AI194+AJ214*AJ194+AK214*AK194+AL214*AL194+AM214*AM194+AN214*AN194+AO214*AO194+AP214*AP194+AQ214*AQ194+AR214*AR194+AS214*AS194+AT214*AT194+AU214*AU194+AV214*AV194+AW214*AW194+AX214*AX194+AY214*AY194+AZ214*AZ194+BA214*BA194+BB214*BB194+BC214*BC194+BD214*BD194+BE214*BE194+BF214*BF194+BG214*BG194+BH214*BH194+BI214*BI194+BJ214*BJ194+BK214*BK194+BL214*BL194+BM214*BM194+BN214*BN194+BO214*BO194+BP214*BP194+BQ214*BQ194+BR214*BR194+BS214*BS194+BT214*BT194+BU214*BU194+BV214*BV194+BW214*BW194+BX214*BX194+BY214*BY194+BZ214*BZ194+CA214*CA194+CB214*CB194+CC214*CC194+CD214*CD194+CE214*CE194+CF214*CF194+CG214*CG194+CH214*CH194</f>
        <v>0</v>
      </c>
      <c r="CP194" s="1952">
        <f>E215*E194+F215*F194+G215*G194+H215*H194+I215*I194+J215*J194+K215*K194+L215*L194+M215*M194+N215*N194+O215*O194+P215*P194+Q215*Q194+R215*R194+S215*S194+T215*T194+U215*U194+V215*V194+W215*W194+X215*X194+Y215*Y194+Z215*Z194+AA215*AA194+AB215*AB194+AC215*AC194+AD215*AD194+AE215*AE194+AF215*AF194+AG215*AG194+AH215*AH194+AI215*AI194+AJ215*AJ194+AK215*AK194+AL215*AL194+AM215*AM194+AN215*AN194+AO215*AO194+AP215*AP194+AQ215*AQ194+AR215*AR194+AS215*AS194+AT215*AT194+AU215*AU194+AV215*AV194+AW215*AW194+AX215*AX194+AY215*AY194+AZ215*AZ194+BA215*BA194+BB215*BB194+BC215*BC194+BD215*BD194+BE215*BE194+BF215*BF194+BG215*BG194+BH215*BH194+BI215*BI194+BJ215*BJ194+BK215*BK194+BL215*BL194+BM215*BM194+BN215*BN194+BO215*BO194+BP215*BP194+BQ215*BQ194+BR215*BR194+BS215*BS194+BT215*BT194+BU215*BU194+BV215*BV194+BW215*BW194+BX215*BX194+BY215*BY194+BZ215*BZ194+CA215*CA194+CB215*CB194+CC215*CC194+CD215*CD194+CE215*CE194+CF215*CF194+CG215*CG194+CH215*CH194</f>
        <v>0</v>
      </c>
      <c r="CQ194" s="1952">
        <f>E216*E194+F216*F194+G216*G194+H216*H194+I216*I194+J216*J194+K216*K194+L216*L194+M216*M194+N216*N194+O216*O194+P216*P194+Q216*Q194+R216*R194+S216*S194+T216*T194+U216*U194+V216*V194+W216*W194+X216*X194+Y216*Y194+Z216*Z194+AA216*AA194+AB216*AB194+AC216*AC194+AD216*AD194+AE216*AE194+AF216*AF194+AG216*AG194+AH216*AH194+AI216*AI194+AJ216*AJ194+AK216*AK194+AL216*AL194+AM216*AM194+AN216*AN194+AO216*AO194+AP216*AP194+AQ216*AQ194+AR216*AR194+AS216*AS194+AT216*AT194+AU216*AU194+AV216*AV194+AW216*AW194+AX216*AX194+AY216*AY194+AZ216*AZ194+BA216*BA194+BB216*BB194+BC216*BC194+BD216*BD194+BE216*BE194+BF216*BF194+BG216*BG194+BH216*BH194+BI216*BI194+BJ216*BJ194+BK216*BK194+BL216*BL194+BM216*BM194+BN216*BN194+BO216*BO194+BP216*BP194+BQ216*BQ194+BR216*BR194+BS216*BS194+BT216*BT194+BU216*BU194+BV216*BV194+BW216*BW194+BX216*BX194+BY216*BY194+BZ216*BZ194+CA216*CA194+CB216*CB194+CC216*CC194+CD216*CD194+CE216*CE194+CF216*CF194+CG216*CG194+CH216*CH194</f>
        <v>0</v>
      </c>
      <c r="CR194" s="1952">
        <f>E217*E194+F217*F194+G217*G194+H217*H194+I217*I194+J217*J194+K217*K194+L217*L194+M217*M194+N217*N194+O217*O194+P217*P194+Q217*Q194+R217*R194+S217*S194+T217*T194+U217*U194+V217*V194+W217*W194+X217*X194+Y217*Y194+Z217*Z194+AA217*AA194+AB217*AB194+AC217*AC194+AD217*AD194+AE217*AE194+AF217*AF194+AG217*AG194+AH217*AH194+AI217*AI194+AJ217*AJ194+AK217*AK194+AL217*AL194+AM217*AM194+AN217*AN194+AO217*AO194+AP217*AP194+AQ217*AQ194+AR217*AR194+AS217*AS194+AT217*AT194+AU217*AU194+AV217*AV194+AW217*AW194+AX217*AX194+AY217*AY194+AZ217*AZ194+BA217*BA194+BB217*BB194+BC217*BC194+BD217*BD194+BE217*BE194+BF217*BF194+BG217*BG194+BH217*BH194+BI217*BI194+BJ217*BJ194+BK217*BK194+BL217*BL194+BM217*BM194+BN217*BN194+BO217*BO194+BP217*BP194+BQ217*BQ194+BR217*BR194+BS217*BS194+BT217*BT194+BU217*BU194+BV217*BV194+BW217*BW194+BX217*BX194+BY217*BY194+BZ217*BZ194+CA217*CA194+CB217*CB194+CC217*CC194+CD217*CD194+CE217*CE194+CF217*CF194+CG217*CG194+CH217*CH194</f>
        <v>0</v>
      </c>
      <c r="CS194" s="1952">
        <f>E218*E194+F218*F194+G218*G194+H218*H194+I218*I194+J218*J194+K218*K194+L218*L194+M218*M194+N218*N194+O218*O194+P218*P194+Q218*Q194+R218*R194+S218*S194+T218*T194+U218*U194+V218*V194+W218*W194+X218*X194+Y218*Y194+Z218*Z194+AA218*AA194+AB218*AB194+AC218*AC194+AD218*AD194+AE218*AE194+AF218*AF194+AG218*AG194+AH218*AH194+AI218*AI194+AJ218*AJ194+AK218*AK194+AL218*AL194+AM218*AM194+AN218*AN194+AO218*AO194+AP218*AP194+AQ218*AQ194+AR218*AR194+AS218*AS194+AT218*AT194+AU218*AU194+AV218*AV194+AW218*AW194+AX218*AX194+AY218*AY194+AZ218*AZ194+BA218*BA194+BB218*BB194+BC218*BC194+BD218*BD194+BE218*BE194+BF218*BF194+BG218*BG194+BH218*BH194+BI218*BI194+BJ218*BJ194+BK218*BK194+BL218*BL194+BM218*BM194+BN218*BN194+BO218*BO194+BP218*BP194+BQ218*BQ194+BR218*BR194+BS218*BS194+BT218*BT194+BU218*BU194+BV218*BV194+BW218*BW194+BX218*BX194+BY218*BY194+BZ218*BZ194+CA218*CA194+CB218*CB194+CC218*CC194+CD218*CD194+CE218*CE194+CF218*CF194+CG218*CG194+CH218*CH194</f>
        <v>0</v>
      </c>
      <c r="CT194" s="1952">
        <f>E219*E194+F219*F194+G219*G194+H219*H194+I219*I194+J219*J194+K219*K194+L219*L194+M219*M194+N219*N194+O219*O194+P219*P194+Q219*Q194+R219*R194+S219*S194+T219*T194+U219*U194+V219*V194+W219*W194+X219*X194+Y219*Y194+Z219*Z194+AA219*AA194+AB219*AB194+AC219*AC194+AD219*AD194+AE219*AE194+AF219*AF194+AG219*AG194+AH219*AH194+AI219*AI194+AJ219*AJ194+AK219*AK194+AL219*AL194+AM219*AM194+AN219*AN194+AO219*AO194+AP219*AP194+AQ219*AQ194+AR219*AR194+AS219*AS194+AT219*AT194+AU219*AU194+AV219*AV194+AW219*AW194+AX219*AX194+AY219*AY194+AZ219*AZ194+BA219*BA194+BB219*BB194+BC219*BC194+BD219*BD194+BE219*BE194+BF219*BF194+BG219*BG194+BH219*BH194+BI219*BI194+BJ219*BJ194+BK219*BK194+BL219*BL194+BM219*BM194+BN219*BN194+BO219*BO194+BP219*BP194+BQ219*BQ194+BR219*BR194+BS219*BS194+BT219*BT194+BU219*BU194+BV219*BV194+BW219*BW194+BX219*BX194+BY219*BY194+BZ219*BZ194+CA219*CA194+CB219*CB194+CC219*CC194+CD219*CD194+CE219*CE194+CF219*CF194+CG219*CG194+CH219*CH194</f>
        <v>0</v>
      </c>
      <c r="CU194" s="1952">
        <f>E220*E194+F220*F194+G220*G194+H220*H194+I220*I194+J220*J194+K220*K194+L220*L194+M220*M194+N220*N194+O220*O194+P220*P194+Q220*Q194+R220*R194+S220*S194+T220*T194+U220*U194+V220*V194+W220*W194+X220*X194+Y220*Y194+Z220*Z194+AA220*AA194+AB220*AB194+AC220*AC194+AD220*AD194+AE220*AE194+AF220*AF194+AG220*AG194+AH220*AH194+AI220*AI194+AJ220*AJ194+AK220*AK194+AL220*AL194+AM220*AM194+AN220*AN194+AO220*AO194+AP220*AP194+AQ220*AQ194+AR220*AR194+AS220*AS194+AT220*AT194+AU220*AU194+AV220*AV194+AW220*AW194+AX220*AX194+AY220*AY194+AZ220*AZ194+BA220*BA194+BB220*BB194+BC220*BC194+BD220*BD194+BE220*BE194+BF220*BF194+BG220*BG194+BH220*BH194+BI220*BI194+BJ220*BJ194+BK220*BK194+BL220*BL194+BM220*BM194+BN220*BN194+BO220*BO194+BP220*BP194+BQ220*BQ194+BR220*BR194+BS220*BS194+BT220*BT194+BU220*BU194+BV220*BV194+BW220*BW194+BX220*BX194+BY220*BY194+BZ220*BZ194+CA220*CA194+CB220*CB194+CC220*CC194+CD220*CD194+CE220*CE194+CF220*CF194+CG220*CG194+CH220*CH194</f>
        <v>0</v>
      </c>
    </row>
    <row r="195" spans="2:99" ht="18" x14ac:dyDescent="0.25">
      <c r="B195" s="1058">
        <v>80</v>
      </c>
      <c r="C195" s="1158" t="s">
        <v>3490</v>
      </c>
      <c r="D195" s="1159" t="s">
        <v>2850</v>
      </c>
      <c r="E195" s="2073">
        <f>0</f>
        <v>0</v>
      </c>
      <c r="F195" s="2073">
        <f>0</f>
        <v>0</v>
      </c>
      <c r="G195" s="2073">
        <f>0</f>
        <v>0</v>
      </c>
      <c r="H195" s="2073">
        <f>0</f>
        <v>0</v>
      </c>
      <c r="I195" s="2090">
        <f>0</f>
        <v>0</v>
      </c>
      <c r="J195" s="2090">
        <f>0</f>
        <v>0</v>
      </c>
      <c r="K195" s="2073">
        <f>0</f>
        <v>0</v>
      </c>
      <c r="L195" s="2073">
        <f>0</f>
        <v>0</v>
      </c>
      <c r="M195" s="2073">
        <f>0</f>
        <v>0</v>
      </c>
      <c r="N195" s="2073">
        <f>0</f>
        <v>0</v>
      </c>
      <c r="O195" s="2073">
        <f>0</f>
        <v>0</v>
      </c>
      <c r="P195" s="2073">
        <f>0</f>
        <v>0</v>
      </c>
      <c r="Q195" s="2073">
        <f>0</f>
        <v>0</v>
      </c>
      <c r="R195" s="2073">
        <f>0</f>
        <v>0</v>
      </c>
      <c r="S195" s="2073">
        <f>0</f>
        <v>0</v>
      </c>
      <c r="T195" s="2073">
        <f>0</f>
        <v>0</v>
      </c>
      <c r="U195" s="2073">
        <f>0</f>
        <v>0</v>
      </c>
      <c r="V195" s="2073">
        <f>0</f>
        <v>0</v>
      </c>
      <c r="W195" s="2073">
        <f>0</f>
        <v>0</v>
      </c>
      <c r="X195" s="2073">
        <f>0</f>
        <v>0</v>
      </c>
      <c r="Y195" s="2073">
        <f>0</f>
        <v>0</v>
      </c>
      <c r="Z195" s="2073">
        <f>0</f>
        <v>0</v>
      </c>
      <c r="AA195" s="2073">
        <f>0</f>
        <v>0</v>
      </c>
      <c r="AB195" s="2073">
        <f>0</f>
        <v>0</v>
      </c>
      <c r="AC195" s="2090">
        <f>0</f>
        <v>0</v>
      </c>
      <c r="AD195" s="2090">
        <f>0</f>
        <v>0</v>
      </c>
      <c r="AE195" s="2073">
        <f>0</f>
        <v>0</v>
      </c>
      <c r="AF195" s="2073">
        <f>0</f>
        <v>0</v>
      </c>
      <c r="AG195" s="2073">
        <f>0</f>
        <v>0</v>
      </c>
      <c r="AH195" s="2073">
        <f>0</f>
        <v>0</v>
      </c>
      <c r="AI195" s="2090">
        <f>0</f>
        <v>0</v>
      </c>
      <c r="AJ195" s="2090">
        <f>0</f>
        <v>0</v>
      </c>
      <c r="AK195" s="2073">
        <f>0</f>
        <v>0</v>
      </c>
      <c r="AL195" s="2073">
        <f>0</f>
        <v>0</v>
      </c>
      <c r="AM195" s="2073">
        <f>0</f>
        <v>0</v>
      </c>
      <c r="AN195" s="2073">
        <f>0</f>
        <v>0</v>
      </c>
      <c r="AO195" s="2073">
        <f>1</f>
        <v>1</v>
      </c>
      <c r="AP195" s="2073">
        <f>0</f>
        <v>0</v>
      </c>
      <c r="AQ195" s="2073">
        <f>0</f>
        <v>0</v>
      </c>
      <c r="AR195" s="2073">
        <f>0</f>
        <v>0</v>
      </c>
      <c r="AS195" s="2073">
        <f>0</f>
        <v>0</v>
      </c>
      <c r="AT195" s="2073">
        <f>0</f>
        <v>0</v>
      </c>
      <c r="AU195" s="2073">
        <f>0</f>
        <v>0</v>
      </c>
      <c r="AV195" s="2073">
        <f>0</f>
        <v>0</v>
      </c>
      <c r="AW195" s="2073">
        <f>0</f>
        <v>0</v>
      </c>
      <c r="AX195" s="2073">
        <f>0</f>
        <v>0</v>
      </c>
      <c r="AY195" s="2073">
        <f>0</f>
        <v>0</v>
      </c>
      <c r="AZ195" s="2073">
        <f>0</f>
        <v>0</v>
      </c>
      <c r="BA195" s="2073">
        <f>0</f>
        <v>0</v>
      </c>
      <c r="BB195" s="2073">
        <f>0</f>
        <v>0</v>
      </c>
      <c r="BC195" s="2073">
        <f>0</f>
        <v>0</v>
      </c>
      <c r="BD195" s="2073">
        <f>0</f>
        <v>0</v>
      </c>
      <c r="BE195" s="2073">
        <f>0</f>
        <v>0</v>
      </c>
      <c r="BF195" s="2073">
        <f>0</f>
        <v>0</v>
      </c>
      <c r="BG195" s="2073">
        <f>0</f>
        <v>0</v>
      </c>
      <c r="BH195" s="2073">
        <f>0</f>
        <v>0</v>
      </c>
      <c r="BI195" s="2073">
        <f>0</f>
        <v>0</v>
      </c>
      <c r="BJ195" s="2073">
        <f>0</f>
        <v>0</v>
      </c>
      <c r="BK195" s="2073">
        <f>0</f>
        <v>0</v>
      </c>
      <c r="BL195" s="2073">
        <f>0</f>
        <v>0</v>
      </c>
      <c r="BM195" s="2073">
        <f>0</f>
        <v>0</v>
      </c>
      <c r="BN195" s="2073">
        <f>0</f>
        <v>0</v>
      </c>
      <c r="BO195" s="2073">
        <f>0</f>
        <v>0</v>
      </c>
      <c r="BP195" s="2128">
        <f>0</f>
        <v>0</v>
      </c>
      <c r="BQ195" s="2128">
        <f>0</f>
        <v>0</v>
      </c>
      <c r="BR195" s="2128">
        <f>0</f>
        <v>0</v>
      </c>
      <c r="BS195" s="2128">
        <f>0</f>
        <v>0</v>
      </c>
      <c r="BT195" s="2073">
        <f>0</f>
        <v>0</v>
      </c>
      <c r="BU195" s="2073">
        <f>0</f>
        <v>0</v>
      </c>
      <c r="BV195" s="2073">
        <f>0</f>
        <v>0</v>
      </c>
      <c r="BW195" s="2073">
        <f>-1</f>
        <v>-1</v>
      </c>
      <c r="BX195" s="2073">
        <f>0</f>
        <v>0</v>
      </c>
      <c r="BY195" s="2073">
        <f>0</f>
        <v>0</v>
      </c>
      <c r="BZ195" s="2073">
        <f>0</f>
        <v>0</v>
      </c>
      <c r="CA195" s="2073">
        <f>0</f>
        <v>0</v>
      </c>
      <c r="CB195" s="2073">
        <f>0</f>
        <v>0</v>
      </c>
      <c r="CC195" s="2073">
        <f>0</f>
        <v>0</v>
      </c>
      <c r="CD195" s="2073">
        <f>0</f>
        <v>0</v>
      </c>
      <c r="CE195" s="2073">
        <f>0</f>
        <v>0</v>
      </c>
      <c r="CF195" s="2073">
        <f>0</f>
        <v>0</v>
      </c>
      <c r="CG195" s="2073">
        <f>0</f>
        <v>0</v>
      </c>
      <c r="CH195" s="2073">
        <f>0</f>
        <v>0</v>
      </c>
      <c r="CI195" s="2150">
        <f>k_transfer_GCO2_bub</f>
        <v>2861.6873452767227</v>
      </c>
      <c r="CK195" s="1950">
        <f>E210*E195+F210*F195+G210*G195+H210*H195+I210*I195+J210*J195+K210*K195+L210*L195+M210*M195+N210*N195+O210*O195+P210*P195+Q210*Q195+R210*R195+S210*S195+T210*T195+U210*U195+V210*V195+W210*W195+X210*X195+Y210*Y195+Z210*Z195+AA210*AA195+AB210*AB195+AC210*AC195+AD210*AD195+AE210*AE195+AF210*AF195+AG210*AG195+AH210*AH195+AI210*AI195+AJ210*AJ195+AK210*AK195+AL210*AL195+AM210*AM195+AN210*AN195+AO210*AO195+AP210*AP195+AQ210*AQ195+AR210*AR195+AS210*AS195+AT210*AT195+AU210*AU195+AV210*AV195+AW210*AW195+AX210*AX195+AY210*AY195+AZ210*AZ195+BA210*BA195+BB210*BB195+BC210*BC195+BD210*BD195+BE210*BE195+BF210*BF195+BG210*BG195+BH210*BH195+BI210*BI195+BJ210*BJ195+BK210*BK195+BL210*BL195+BM210*BM195+BN210*BN195+BO210*BO195+BP210*BP195+BQ210*BQ195+BR210*BR195+BS210*BS195+BT210*BT195+BU210*BU195+BV210*BV195+BW210*BW195+BX210*BX195+BY210*BY195+BZ210*BZ195+CA210*CA195+CB210*CB195+CC210*CC195+CD210*CD195+CE210*CE195+CF210*CF195+CG210*CG195+CH210*CH195</f>
        <v>0</v>
      </c>
      <c r="CL195" s="1950">
        <f>E211*E195+F211*F195+G211*G195+H211*H195+I211*I195+J211*J195+K211*K195+L211*L195+M211*M195+N211*N195+O211*O195+P211*P195+Q211*Q195+R211*R195+S211*S195+T211*T195+U211*U195+V211*V195+W211*W195+X211*X195+Y211*Y195+Z211*Z195+AA211*AA195+AB211*AB195+AC211*AC195+AD211*AD195+AE211*AE195+AF211*AF195+AG211*AG195+AH211*AH195+AI211*AI195+AJ211*AJ195+AK211*AK195+AL211*AL195+AM211*AM195+AN211*AN195+AO211*AO195+AP211*AP195+AQ211*AQ195+AR211*AR195+AS211*AS195+AT211*AT195+AU211*AU195+AV211*AV195+AW211*AW195+AX211*AX195+AY211*AY195+AZ211*AZ195+BA211*BA195+BB211*BB195+BC211*BC195+BD211*BD195+BE211*BE195+BF211*BF195+BG211*BG195+BH211*BH195+BI211*BI195+BJ211*BJ195+BK211*BK195+BL211*BL195+BM211*BM195+BN211*BN195+BO211*BO195+BP211*BP195+BQ211*BQ195+BR211*BR195+BS211*BS195+BT211*BT195+BU211*BU195+BV211*BV195+BW211*BW195+BX211*BX195+BY211*BY195+BZ211*BZ195+CA211*CA195+CB211*CB195+CC211*CC195+CD211*CD195+CE211*CE195+CF211*CF195+CG211*CG195+CH211*CH195</f>
        <v>0</v>
      </c>
      <c r="CM195" s="1951">
        <f>E212*E195+F212*F195+G212*G195+H212*H195+I212*I195+J212*J195+K212*K195+L212*L195+M212*M195+N212*N195+O212*O195+P212*P195+Q212*Q195+R212*R195+S212*S195+T212*T195+U212*U195+V212*V195+W212*W195+X212*X195+Y212*Y195+Z212*Z195+AA212*AA195+AB212*AB195+AC212*AC195+AD212*AD195+AE212*AE195+AF212*AF195+AG212*AG195+AH212*AH195+AI212*AI195+AJ212*AJ195+AK212*AK195+AL212*AL195+AM212*AM195+AN212*AN195+AO212*AO195+AP212*AP195+AQ212*AQ195+AR212*AR195+AS212*AS195+AT212*AT195+AU212*AU195+AV212*AV195+AW212*AW195+AX212*AX195+AY212*AY195+AZ212*AZ195+BA212*BA195+BB212*BB195+BC212*BC195+BD212*BD195+BE212*BE195+BF212*BF195+BG212*BG195+BH212*BH195+BI212*BI195+BJ212*BJ195+BK212*BK195+BL212*BL195+BM212*BM195+BN212*BN195+BO212*BO195+BP212*BP195+BQ212*BQ195+BR212*BR195+BS212*BS195+BT212*BT195+BU212*BU195+BV212*BV195+BW212*BW195+BX212*BX195+BY212*BY195+BZ212*BZ195+CA212*CA195+CB212*CB195+CC212*CC195+CD212*CD195+CE212*CE195+CF212*CF195+CG212*CG195+CH212*CH195</f>
        <v>0</v>
      </c>
      <c r="CN195" s="1952">
        <f>E213*E195+F213*F195+G213*G195+H213*H195+I213*I195+J213*J195+K213*K195+L213*L195+M213*M195+N213*N195+O213*O195+P213*P195+Q213*Q195+R213*R195+S213*S195+T213*T195+U213*U195+V213*V195+W213*W195+X213*X195+Y213*Y195+Z213*Z195+AA213*AA195+AB213*AB195+AC213*AC195+AD213*AD195+AE213*AE195+AF213*AF195+AG213*AG195+AH213*AH195+AI213*AI195+AJ213*AJ195+AK213*AK195+AL213*AL195+AM213*AM195+AN213*AN195+AO213*AO195+AP213*AP195+AQ213*AQ195+AR213*AR195+AS213*AS195+AT213*AT195+AU213*AU195+AV213*AV195+AW213*AW195+AX213*AX195+AY213*AY195+AZ213*AZ195+BA213*BA195+BB213*BB195+BC213*BC195+BD213*BD195+BE213*BE195+BF213*BF195+BG213*BG195+BH213*BH195+BI213*BI195+BJ213*BJ195+BK213*BK195+BL213*BL195+BM213*BM195+BN213*BN195+BO213*BO195+BP213*BP195+BQ213*BQ195+BR213*BR195+BS213*BS195+BT213*BT195+BU213*BU195+BV213*BV195+BW213*BW195+BX213*BX195+BY213*BY195+BZ213*BZ195+CA213*CA195+CB213*CB195+CC213*CC195+CD213*CD195+CE213*CE195+CF213*CF195+CG213*CG195+CH213*CH195</f>
        <v>0</v>
      </c>
      <c r="CO195" s="1952">
        <f>E214*E195+F214*F195+G214*G195+H214*H195+I214*I195+J214*J195+K214*K195+L214*L195+M214*M195+N214*N195+O214*O195+P214*P195+Q214*Q195+R214*R195+S214*S195+T214*T195+U214*U195+V214*V195+W214*W195+X214*X195+Y214*Y195+Z214*Z195+AA214*AA195+AB214*AB195+AC214*AC195+AD214*AD195+AE214*AE195+AF214*AF195+AG214*AG195+AH214*AH195+AI214*AI195+AJ214*AJ195+AK214*AK195+AL214*AL195+AM214*AM195+AN214*AN195+AO214*AO195+AP214*AP195+AQ214*AQ195+AR214*AR195+AS214*AS195+AT214*AT195+AU214*AU195+AV214*AV195+AW214*AW195+AX214*AX195+AY214*AY195+AZ214*AZ195+BA214*BA195+BB214*BB195+BC214*BC195+BD214*BD195+BE214*BE195+BF214*BF195+BG214*BG195+BH214*BH195+BI214*BI195+BJ214*BJ195+BK214*BK195+BL214*BL195+BM214*BM195+BN214*BN195+BO214*BO195+BP214*BP195+BQ214*BQ195+BR214*BR195+BS214*BS195+BT214*BT195+BU214*BU195+BV214*BV195+BW214*BW195+BX214*BX195+BY214*BY195+BZ214*BZ195+CA214*CA195+CB214*CB195+CC214*CC195+CD214*CD195+CE214*CE195+CF214*CF195+CG214*CG195+CH214*CH195</f>
        <v>0</v>
      </c>
      <c r="CP195" s="1952">
        <f>E215*E195+F215*F195+G215*G195+H215*H195+I215*I195+J215*J195+K215*K195+L215*L195+M215*M195+N215*N195+O215*O195+P215*P195+Q215*Q195+R215*R195+S215*S195+T215*T195+U215*U195+V215*V195+W215*W195+X215*X195+Y215*Y195+Z215*Z195+AA215*AA195+AB215*AB195+AC215*AC195+AD215*AD195+AE215*AE195+AF215*AF195+AG215*AG195+AH215*AH195+AI215*AI195+AJ215*AJ195+AK215*AK195+AL215*AL195+AM215*AM195+AN215*AN195+AO215*AO195+AP215*AP195+AQ215*AQ195+AR215*AR195+AS215*AS195+AT215*AT195+AU215*AU195+AV215*AV195+AW215*AW195+AX215*AX195+AY215*AY195+AZ215*AZ195+BA215*BA195+BB215*BB195+BC215*BC195+BD215*BD195+BE215*BE195+BF215*BF195+BG215*BG195+BH215*BH195+BI215*BI195+BJ215*BJ195+BK215*BK195+BL215*BL195+BM215*BM195+BN215*BN195+BO215*BO195+BP215*BP195+BQ215*BQ195+BR215*BR195+BS215*BS195+BT215*BT195+BU215*BU195+BV215*BV195+BW215*BW195+BX215*BX195+BY215*BY195+BZ215*BZ195+CA215*CA195+CB215*CB195+CC215*CC195+CD215*CD195+CE215*CE195+CF215*CF195+CG215*CG195+CH215*CH195</f>
        <v>0</v>
      </c>
      <c r="CQ195" s="1952">
        <f>E216*E195+F216*F195+G216*G195+H216*H195+I216*I195+J216*J195+K216*K195+L216*L195+M216*M195+N216*N195+O216*O195+P216*P195+Q216*Q195+R216*R195+S216*S195+T216*T195+U216*U195+V216*V195+W216*W195+X216*X195+Y216*Y195+Z216*Z195+AA216*AA195+AB216*AB195+AC216*AC195+AD216*AD195+AE216*AE195+AF216*AF195+AG216*AG195+AH216*AH195+AI216*AI195+AJ216*AJ195+AK216*AK195+AL216*AL195+AM216*AM195+AN216*AN195+AO216*AO195+AP216*AP195+AQ216*AQ195+AR216*AR195+AS216*AS195+AT216*AT195+AU216*AU195+AV216*AV195+AW216*AW195+AX216*AX195+AY216*AY195+AZ216*AZ195+BA216*BA195+BB216*BB195+BC216*BC195+BD216*BD195+BE216*BE195+BF216*BF195+BG216*BG195+BH216*BH195+BI216*BI195+BJ216*BJ195+BK216*BK195+BL216*BL195+BM216*BM195+BN216*BN195+BO216*BO195+BP216*BP195+BQ216*BQ195+BR216*BR195+BS216*BS195+BT216*BT195+BU216*BU195+BV216*BV195+BW216*BW195+BX216*BX195+BY216*BY195+BZ216*BZ195+CA216*CA195+CB216*CB195+CC216*CC195+CD216*CD195+CE216*CE195+CF216*CF195+CG216*CG195+CH216*CH195</f>
        <v>0</v>
      </c>
      <c r="CR195" s="1952">
        <f>E217*E195+F217*F195+G217*G195+H217*H195+I217*I195+J217*J195+K217*K195+L217*L195+M217*M195+N217*N195+O217*O195+P217*P195+Q217*Q195+R217*R195+S217*S195+T217*T195+U217*U195+V217*V195+W217*W195+X217*X195+Y217*Y195+Z217*Z195+AA217*AA195+AB217*AB195+AC217*AC195+AD217*AD195+AE217*AE195+AF217*AF195+AG217*AG195+AH217*AH195+AI217*AI195+AJ217*AJ195+AK217*AK195+AL217*AL195+AM217*AM195+AN217*AN195+AO217*AO195+AP217*AP195+AQ217*AQ195+AR217*AR195+AS217*AS195+AT217*AT195+AU217*AU195+AV217*AV195+AW217*AW195+AX217*AX195+AY217*AY195+AZ217*AZ195+BA217*BA195+BB217*BB195+BC217*BC195+BD217*BD195+BE217*BE195+BF217*BF195+BG217*BG195+BH217*BH195+BI217*BI195+BJ217*BJ195+BK217*BK195+BL217*BL195+BM217*BM195+BN217*BN195+BO217*BO195+BP217*BP195+BQ217*BQ195+BR217*BR195+BS217*BS195+BT217*BT195+BU217*BU195+BV217*BV195+BW217*BW195+BX217*BX195+BY217*BY195+BZ217*BZ195+CA217*CA195+CB217*CB195+CC217*CC195+CD217*CD195+CE217*CE195+CF217*CF195+CG217*CG195+CH217*CH195</f>
        <v>0</v>
      </c>
      <c r="CS195" s="1952">
        <f>E218*E195+F218*F195+G218*G195+H218*H195+I218*I195+J218*J195+K218*K195+L218*L195+M218*M195+N218*N195+O218*O195+P218*P195+Q218*Q195+R218*R195+S218*S195+T218*T195+U218*U195+V218*V195+W218*W195+X218*X195+Y218*Y195+Z218*Z195+AA218*AA195+AB218*AB195+AC218*AC195+AD218*AD195+AE218*AE195+AF218*AF195+AG218*AG195+AH218*AH195+AI218*AI195+AJ218*AJ195+AK218*AK195+AL218*AL195+AM218*AM195+AN218*AN195+AO218*AO195+AP218*AP195+AQ218*AQ195+AR218*AR195+AS218*AS195+AT218*AT195+AU218*AU195+AV218*AV195+AW218*AW195+AX218*AX195+AY218*AY195+AZ218*AZ195+BA218*BA195+BB218*BB195+BC218*BC195+BD218*BD195+BE218*BE195+BF218*BF195+BG218*BG195+BH218*BH195+BI218*BI195+BJ218*BJ195+BK218*BK195+BL218*BL195+BM218*BM195+BN218*BN195+BO218*BO195+BP218*BP195+BQ218*BQ195+BR218*BR195+BS218*BS195+BT218*BT195+BU218*BU195+BV218*BV195+BW218*BW195+BX218*BX195+BY218*BY195+BZ218*BZ195+CA218*CA195+CB218*CB195+CC218*CC195+CD218*CD195+CE218*CE195+CF218*CF195+CG218*CG195+CH218*CH195</f>
        <v>0</v>
      </c>
      <c r="CT195" s="1952">
        <f>E219*E195+F219*F195+G219*G195+H219*H195+I219*I195+J219*J195+K219*K195+L219*L195+M219*M195+N219*N195+O219*O195+P219*P195+Q219*Q195+R219*R195+S219*S195+T219*T195+U219*U195+V219*V195+W219*W195+X219*X195+Y219*Y195+Z219*Z195+AA219*AA195+AB219*AB195+AC219*AC195+AD219*AD195+AE219*AE195+AF219*AF195+AG219*AG195+AH219*AH195+AI219*AI195+AJ219*AJ195+AK219*AK195+AL219*AL195+AM219*AM195+AN219*AN195+AO219*AO195+AP219*AP195+AQ219*AQ195+AR219*AR195+AS219*AS195+AT219*AT195+AU219*AU195+AV219*AV195+AW219*AW195+AX219*AX195+AY219*AY195+AZ219*AZ195+BA219*BA195+BB219*BB195+BC219*BC195+BD219*BD195+BE219*BE195+BF219*BF195+BG219*BG195+BH219*BH195+BI219*BI195+BJ219*BJ195+BK219*BK195+BL219*BL195+BM219*BM195+BN219*BN195+BO219*BO195+BP219*BP195+BQ219*BQ195+BR219*BR195+BS219*BS195+BT219*BT195+BU219*BU195+BV219*BV195+BW219*BW195+BX219*BX195+BY219*BY195+BZ219*BZ195+CA219*CA195+CB219*CB195+CC219*CC195+CD219*CD195+CE219*CE195+CF219*CF195+CG219*CG195+CH219*CH195</f>
        <v>0</v>
      </c>
      <c r="CU195" s="1952">
        <f>E220*E195+F220*F195+G220*G195+H220*H195+I220*I195+J220*J195+K220*K195+L220*L195+M220*M195+N220*N195+O220*O195+P220*P195+Q220*Q195+R220*R195+S220*S195+T220*T195+U220*U195+V220*V195+W220*W195+X220*X195+Y220*Y195+Z220*Z195+AA220*AA195+AB220*AB195+AC220*AC195+AD220*AD195+AE220*AE195+AF220*AF195+AG220*AG195+AH220*AH195+AI220*AI195+AJ220*AJ195+AK220*AK195+AL220*AL195+AM220*AM195+AN220*AN195+AO220*AO195+AP220*AP195+AQ220*AQ195+AR220*AR195+AS220*AS195+AT220*AT195+AU220*AU195+AV220*AV195+AW220*AW195+AX220*AX195+AY220*AY195+AZ220*AZ195+BA220*BA195+BB220*BB195+BC220*BC195+BD220*BD195+BE220*BE195+BF220*BF195+BG220*BG195+BH220*BH195+BI220*BI195+BJ220*BJ195+BK220*BK195+BL220*BL195+BM220*BM195+BN220*BN195+BO220*BO195+BP220*BP195+BQ220*BQ195+BR220*BR195+BS220*BS195+BT220*BT195+BU220*BU195+BV220*BV195+BW220*BW195+BX220*BX195+BY220*BY195+BZ220*BZ195+CA220*CA195+CB220*CB195+CC220*CC195+CD220*CD195+CE220*CE195+CF220*CF195+CG220*CG195+CH220*CH195</f>
        <v>0</v>
      </c>
    </row>
    <row r="196" spans="2:99" ht="18" x14ac:dyDescent="0.25">
      <c r="B196" s="1058">
        <v>81</v>
      </c>
      <c r="C196" s="1158" t="s">
        <v>3491</v>
      </c>
      <c r="D196" s="1159" t="s">
        <v>2851</v>
      </c>
      <c r="E196" s="2073">
        <f>0</f>
        <v>0</v>
      </c>
      <c r="F196" s="2073">
        <f>0</f>
        <v>0</v>
      </c>
      <c r="G196" s="2073">
        <f>0</f>
        <v>0</v>
      </c>
      <c r="H196" s="2073">
        <f>0</f>
        <v>0</v>
      </c>
      <c r="I196" s="2090">
        <f>0</f>
        <v>0</v>
      </c>
      <c r="J196" s="2090">
        <f>0</f>
        <v>0</v>
      </c>
      <c r="K196" s="2073">
        <f>0</f>
        <v>0</v>
      </c>
      <c r="L196" s="2073">
        <f>0</f>
        <v>0</v>
      </c>
      <c r="M196" s="2073">
        <f>0</f>
        <v>0</v>
      </c>
      <c r="N196" s="2073">
        <f>0</f>
        <v>0</v>
      </c>
      <c r="O196" s="2073">
        <f>0</f>
        <v>0</v>
      </c>
      <c r="P196" s="2073">
        <f>0</f>
        <v>0</v>
      </c>
      <c r="Q196" s="2073">
        <f>0</f>
        <v>0</v>
      </c>
      <c r="R196" s="2073">
        <f>0</f>
        <v>0</v>
      </c>
      <c r="S196" s="2073">
        <f>0</f>
        <v>0</v>
      </c>
      <c r="T196" s="2073">
        <f>0</f>
        <v>0</v>
      </c>
      <c r="U196" s="2073">
        <f>0</f>
        <v>0</v>
      </c>
      <c r="V196" s="2073">
        <f>0</f>
        <v>0</v>
      </c>
      <c r="W196" s="2073">
        <f>0</f>
        <v>0</v>
      </c>
      <c r="X196" s="2073">
        <f>0</f>
        <v>0</v>
      </c>
      <c r="Y196" s="2073">
        <f>0</f>
        <v>0</v>
      </c>
      <c r="Z196" s="2073">
        <f>0</f>
        <v>0</v>
      </c>
      <c r="AA196" s="2073">
        <f>0</f>
        <v>0</v>
      </c>
      <c r="AB196" s="2073">
        <f>0</f>
        <v>0</v>
      </c>
      <c r="AC196" s="2090">
        <f>0</f>
        <v>0</v>
      </c>
      <c r="AD196" s="2090">
        <f>0</f>
        <v>0</v>
      </c>
      <c r="AE196" s="2073">
        <f>0</f>
        <v>0</v>
      </c>
      <c r="AF196" s="2073">
        <f>0</f>
        <v>0</v>
      </c>
      <c r="AG196" s="2073">
        <f>0</f>
        <v>0</v>
      </c>
      <c r="AH196" s="2073">
        <f>0</f>
        <v>0</v>
      </c>
      <c r="AI196" s="2090">
        <f>0</f>
        <v>0</v>
      </c>
      <c r="AJ196" s="2090">
        <f>0</f>
        <v>0</v>
      </c>
      <c r="AK196" s="2073">
        <f>0</f>
        <v>0</v>
      </c>
      <c r="AL196" s="2073">
        <f>0</f>
        <v>0</v>
      </c>
      <c r="AM196" s="2073">
        <f>1</f>
        <v>1</v>
      </c>
      <c r="AN196" s="2073">
        <f>0</f>
        <v>0</v>
      </c>
      <c r="AO196" s="2073">
        <f>0</f>
        <v>0</v>
      </c>
      <c r="AP196" s="2073">
        <f>0</f>
        <v>0</v>
      </c>
      <c r="AQ196" s="2073">
        <f>0</f>
        <v>0</v>
      </c>
      <c r="AR196" s="2073">
        <f>0</f>
        <v>0</v>
      </c>
      <c r="AS196" s="2073">
        <f>0</f>
        <v>0</v>
      </c>
      <c r="AT196" s="2073">
        <f>0</f>
        <v>0</v>
      </c>
      <c r="AU196" s="2073">
        <f>0</f>
        <v>0</v>
      </c>
      <c r="AV196" s="2073">
        <f>0</f>
        <v>0</v>
      </c>
      <c r="AW196" s="2073">
        <f>0</f>
        <v>0</v>
      </c>
      <c r="AX196" s="2073">
        <f>0</f>
        <v>0</v>
      </c>
      <c r="AY196" s="2073">
        <f>0</f>
        <v>0</v>
      </c>
      <c r="AZ196" s="2073">
        <f>0</f>
        <v>0</v>
      </c>
      <c r="BA196" s="2073">
        <f>0</f>
        <v>0</v>
      </c>
      <c r="BB196" s="2073">
        <f>0</f>
        <v>0</v>
      </c>
      <c r="BC196" s="2073">
        <f>0</f>
        <v>0</v>
      </c>
      <c r="BD196" s="2073">
        <f>0</f>
        <v>0</v>
      </c>
      <c r="BE196" s="2073">
        <f>0</f>
        <v>0</v>
      </c>
      <c r="BF196" s="2073">
        <f>0</f>
        <v>0</v>
      </c>
      <c r="BG196" s="2073">
        <f>0</f>
        <v>0</v>
      </c>
      <c r="BH196" s="2073">
        <f>0</f>
        <v>0</v>
      </c>
      <c r="BI196" s="2073">
        <f>0</f>
        <v>0</v>
      </c>
      <c r="BJ196" s="2073">
        <f>0</f>
        <v>0</v>
      </c>
      <c r="BK196" s="2073">
        <f>0</f>
        <v>0</v>
      </c>
      <c r="BL196" s="2073">
        <f>0</f>
        <v>0</v>
      </c>
      <c r="BM196" s="2073">
        <f>0</f>
        <v>0</v>
      </c>
      <c r="BN196" s="2073">
        <f>0</f>
        <v>0</v>
      </c>
      <c r="BO196" s="2073">
        <f>0</f>
        <v>0</v>
      </c>
      <c r="BP196" s="2128">
        <f>0</f>
        <v>0</v>
      </c>
      <c r="BQ196" s="2128">
        <f>0</f>
        <v>0</v>
      </c>
      <c r="BR196" s="2128">
        <f>0</f>
        <v>0</v>
      </c>
      <c r="BS196" s="2128">
        <f>0</f>
        <v>0</v>
      </c>
      <c r="BT196" s="2073">
        <f>0</f>
        <v>0</v>
      </c>
      <c r="BU196" s="2073">
        <f>0</f>
        <v>0</v>
      </c>
      <c r="BV196" s="2073">
        <f>0</f>
        <v>0</v>
      </c>
      <c r="BW196" s="2073">
        <f>0</f>
        <v>0</v>
      </c>
      <c r="BX196" s="2073">
        <f>-1</f>
        <v>-1</v>
      </c>
      <c r="BY196" s="2073">
        <f>0</f>
        <v>0</v>
      </c>
      <c r="BZ196" s="2073">
        <f>0</f>
        <v>0</v>
      </c>
      <c r="CA196" s="2073">
        <f>0</f>
        <v>0</v>
      </c>
      <c r="CB196" s="2073">
        <f>0</f>
        <v>0</v>
      </c>
      <c r="CC196" s="2073">
        <f>0</f>
        <v>0</v>
      </c>
      <c r="CD196" s="2073">
        <f>0</f>
        <v>0</v>
      </c>
      <c r="CE196" s="2073">
        <f>0</f>
        <v>0</v>
      </c>
      <c r="CF196" s="2073">
        <f>0</f>
        <v>0</v>
      </c>
      <c r="CG196" s="2073">
        <f>0</f>
        <v>0</v>
      </c>
      <c r="CH196" s="2073">
        <f>0</f>
        <v>0</v>
      </c>
      <c r="CI196" s="2150">
        <f>k_LaGCH4_bub*(S_GCH4_bub_sat-S_CH4)</f>
        <v>-0.84435000000000004</v>
      </c>
      <c r="CK196" s="1950">
        <f>E210*E196+F210*F196+G210*G196+H210*H196+I210*I196+J210*J196+K210*K196+L210*L196+M210*M196+N210*N196+O210*O196+P210*P196+Q210*Q196+R210*R196+S210*S196+T210*T196+U210*U196+V210*V196+W210*W196+X210*X196+Y210*Y196+Z210*Z196+AA210*AA196+AB210*AB196+AC210*AC196+AD210*AD196+AE210*AE196+AF210*AF196+AG210*AG196+AH210*AH196+AI210*AI196+AJ210*AJ196+AK210*AK196+AL210*AL196+AM210*AM196+AN210*AN196+AO210*AO196+AP210*AP196+AQ210*AQ196+AR210*AR196+AS210*AS196+AT210*AT196+AU210*AU196+AV210*AV196+AW210*AW196+AX210*AX196+AY210*AY196+AZ210*AZ196+BA210*BA196+BB210*BB196+BC210*BC196+BD210*BD196+BE210*BE196+BF210*BF196+BG210*BG196+BH210*BH196+BI210*BI196+BJ210*BJ196+BK210*BK196+BL210*BL196+BM210*BM196+BN210*BN196+BO210*BO196+BP210*BP196+BQ210*BQ196+BR210*BR196+BS210*BS196+BT210*BT196+BU210*BU196+BV210*BV196+BW210*BW196+BX210*BX196+BY210*BY196+BZ210*BZ196+CA210*CA196+CB210*CB196+CC210*CC196+CD210*CD196+CE210*CE196+CF210*CF196+CG210*CG196+CH210*CH196</f>
        <v>0</v>
      </c>
      <c r="CL196" s="1950">
        <f>E211*E196+F211*F196+G211*G196+H211*H196+I211*I196+J211*J196+K211*K196+L211*L196+M211*M196+N211*N196+O211*O196+P211*P196+Q211*Q196+R211*R196+S211*S196+T211*T196+U211*U196+V211*V196+W211*W196+X211*X196+Y211*Y196+Z211*Z196+AA211*AA196+AB211*AB196+AC211*AC196+AD211*AD196+AE211*AE196+AF211*AF196+AG211*AG196+AH211*AH196+AI211*AI196+AJ211*AJ196+AK211*AK196+AL211*AL196+AM211*AM196+AN211*AN196+AO211*AO196+AP211*AP196+AQ211*AQ196+AR211*AR196+AS211*AS196+AT211*AT196+AU211*AU196+AV211*AV196+AW211*AW196+AX211*AX196+AY211*AY196+AZ211*AZ196+BA211*BA196+BB211*BB196+BC211*BC196+BD211*BD196+BE211*BE196+BF211*BF196+BG211*BG196+BH211*BH196+BI211*BI196+BJ211*BJ196+BK211*BK196+BL211*BL196+BM211*BM196+BN211*BN196+BO211*BO196+BP211*BP196+BQ211*BQ196+BR211*BR196+BS211*BS196+BT211*BT196+BU211*BU196+BV211*BV196+BW211*BW196+BX211*BX196+BY211*BY196+BZ211*BZ196+CA211*CA196+CB211*CB196+CC211*CC196+CD211*CD196+CE211*CE196+CF211*CF196+CG211*CG196+CH211*CH196</f>
        <v>0</v>
      </c>
      <c r="CM196" s="1951">
        <f>E212*E196+F212*F196+G212*G196+H212*H196+I212*I196+J212*J196+K212*K196+L212*L196+M212*M196+N212*N196+O212*O196+P212*P196+Q212*Q196+R212*R196+S212*S196+T212*T196+U212*U196+V212*V196+W212*W196+X212*X196+Y212*Y196+Z212*Z196+AA212*AA196+AB212*AB196+AC212*AC196+AD212*AD196+AE212*AE196+AF212*AF196+AG212*AG196+AH212*AH196+AI212*AI196+AJ212*AJ196+AK212*AK196+AL212*AL196+AM212*AM196+AN212*AN196+AO212*AO196+AP212*AP196+AQ212*AQ196+AR212*AR196+AS212*AS196+AT212*AT196+AU212*AU196+AV212*AV196+AW212*AW196+AX212*AX196+AY212*AY196+AZ212*AZ196+BA212*BA196+BB212*BB196+BC212*BC196+BD212*BD196+BE212*BE196+BF212*BF196+BG212*BG196+BH212*BH196+BI212*BI196+BJ212*BJ196+BK212*BK196+BL212*BL196+BM212*BM196+BN212*BN196+BO212*BO196+BP212*BP196+BQ212*BQ196+BR212*BR196+BS212*BS196+BT212*BT196+BU212*BU196+BV212*BV196+BW212*BW196+BX212*BX196+BY212*BY196+BZ212*BZ196+CA212*CA196+CB212*CB196+CC212*CC196+CD212*CD196+CE212*CE196+CF212*CF196+CG212*CG196+CH212*CH196</f>
        <v>0</v>
      </c>
      <c r="CN196" s="1952">
        <f>E213*E196+F213*F196+G213*G196+H213*H196+I213*I196+J213*J196+K213*K196+L213*L196+M213*M196+N213*N196+O213*O196+P213*P196+Q213*Q196+R213*R196+S213*S196+T213*T196+U213*U196+V213*V196+W213*W196+X213*X196+Y213*Y196+Z213*Z196+AA213*AA196+AB213*AB196+AC213*AC196+AD213*AD196+AE213*AE196+AF213*AF196+AG213*AG196+AH213*AH196+AI213*AI196+AJ213*AJ196+AK213*AK196+AL213*AL196+AM213*AM196+AN213*AN196+AO213*AO196+AP213*AP196+AQ213*AQ196+AR213*AR196+AS213*AS196+AT213*AT196+AU213*AU196+AV213*AV196+AW213*AW196+AX213*AX196+AY213*AY196+AZ213*AZ196+BA213*BA196+BB213*BB196+BC213*BC196+BD213*BD196+BE213*BE196+BF213*BF196+BG213*BG196+BH213*BH196+BI213*BI196+BJ213*BJ196+BK213*BK196+BL213*BL196+BM213*BM196+BN213*BN196+BO213*BO196+BP213*BP196+BQ213*BQ196+BR213*BR196+BS213*BS196+BT213*BT196+BU213*BU196+BV213*BV196+BW213*BW196+BX213*BX196+BY213*BY196+BZ213*BZ196+CA213*CA196+CB213*CB196+CC213*CC196+CD213*CD196+CE213*CE196+CF213*CF196+CG213*CG196+CH213*CH196</f>
        <v>0</v>
      </c>
      <c r="CO196" s="1952">
        <f>E214*E196+F214*F196+G214*G196+H214*H196+I214*I196+J214*J196+K214*K196+L214*L196+M214*M196+N214*N196+O214*O196+P214*P196+Q214*Q196+R214*R196+S214*S196+T214*T196+U214*U196+V214*V196+W214*W196+X214*X196+Y214*Y196+Z214*Z196+AA214*AA196+AB214*AB196+AC214*AC196+AD214*AD196+AE214*AE196+AF214*AF196+AG214*AG196+AH214*AH196+AI214*AI196+AJ214*AJ196+AK214*AK196+AL214*AL196+AM214*AM196+AN214*AN196+AO214*AO196+AP214*AP196+AQ214*AQ196+AR214*AR196+AS214*AS196+AT214*AT196+AU214*AU196+AV214*AV196+AW214*AW196+AX214*AX196+AY214*AY196+AZ214*AZ196+BA214*BA196+BB214*BB196+BC214*BC196+BD214*BD196+BE214*BE196+BF214*BF196+BG214*BG196+BH214*BH196+BI214*BI196+BJ214*BJ196+BK214*BK196+BL214*BL196+BM214*BM196+BN214*BN196+BO214*BO196+BP214*BP196+BQ214*BQ196+BR214*BR196+BS214*BS196+BT214*BT196+BU214*BU196+BV214*BV196+BW214*BW196+BX214*BX196+BY214*BY196+BZ214*BZ196+CA214*CA196+CB214*CB196+CC214*CC196+CD214*CD196+CE214*CE196+CF214*CF196+CG214*CG196+CH214*CH196</f>
        <v>0</v>
      </c>
      <c r="CP196" s="1952">
        <f>E215*E196+F215*F196+G215*G196+H215*H196+I215*I196+J215*J196+K215*K196+L215*L196+M215*M196+N215*N196+O215*O196+P215*P196+Q215*Q196+R215*R196+S215*S196+T215*T196+U215*U196+V215*V196+W215*W196+X215*X196+Y215*Y196+Z215*Z196+AA215*AA196+AB215*AB196+AC215*AC196+AD215*AD196+AE215*AE196+AF215*AF196+AG215*AG196+AH215*AH196+AI215*AI196+AJ215*AJ196+AK215*AK196+AL215*AL196+AM215*AM196+AN215*AN196+AO215*AO196+AP215*AP196+AQ215*AQ196+AR215*AR196+AS215*AS196+AT215*AT196+AU215*AU196+AV215*AV196+AW215*AW196+AX215*AX196+AY215*AY196+AZ215*AZ196+BA215*BA196+BB215*BB196+BC215*BC196+BD215*BD196+BE215*BE196+BF215*BF196+BG215*BG196+BH215*BH196+BI215*BI196+BJ215*BJ196+BK215*BK196+BL215*BL196+BM215*BM196+BN215*BN196+BO215*BO196+BP215*BP196+BQ215*BQ196+BR215*BR196+BS215*BS196+BT215*BT196+BU215*BU196+BV215*BV196+BW215*BW196+BX215*BX196+BY215*BY196+BZ215*BZ196+CA215*CA196+CB215*CB196+CC215*CC196+CD215*CD196+CE215*CE196+CF215*CF196+CG215*CG196+CH215*CH196</f>
        <v>0</v>
      </c>
      <c r="CQ196" s="1952">
        <f>E216*E196+F216*F196+G216*G196+H216*H196+I216*I196+J216*J196+K216*K196+L216*L196+M216*M196+N216*N196+O216*O196+P216*P196+Q216*Q196+R216*R196+S216*S196+T216*T196+U216*U196+V216*V196+W216*W196+X216*X196+Y216*Y196+Z216*Z196+AA216*AA196+AB216*AB196+AC216*AC196+AD216*AD196+AE216*AE196+AF216*AF196+AG216*AG196+AH216*AH196+AI216*AI196+AJ216*AJ196+AK216*AK196+AL216*AL196+AM216*AM196+AN216*AN196+AO216*AO196+AP216*AP196+AQ216*AQ196+AR216*AR196+AS216*AS196+AT216*AT196+AU216*AU196+AV216*AV196+AW216*AW196+AX216*AX196+AY216*AY196+AZ216*AZ196+BA216*BA196+BB216*BB196+BC216*BC196+BD216*BD196+BE216*BE196+BF216*BF196+BG216*BG196+BH216*BH196+BI216*BI196+BJ216*BJ196+BK216*BK196+BL216*BL196+BM216*BM196+BN216*BN196+BO216*BO196+BP216*BP196+BQ216*BQ196+BR216*BR196+BS216*BS196+BT216*BT196+BU216*BU196+BV216*BV196+BW216*BW196+BX216*BX196+BY216*BY196+BZ216*BZ196+CA216*CA196+CB216*CB196+CC216*CC196+CD216*CD196+CE216*CE196+CF216*CF196+CG216*CG196+CH216*CH196</f>
        <v>0</v>
      </c>
      <c r="CR196" s="1952">
        <f>E217*E196+F217*F196+G217*G196+H217*H196+I217*I196+J217*J196+K217*K196+L217*L196+M217*M196+N217*N196+O217*O196+P217*P196+Q217*Q196+R217*R196+S217*S196+T217*T196+U217*U196+V217*V196+W217*W196+X217*X196+Y217*Y196+Z217*Z196+AA217*AA196+AB217*AB196+AC217*AC196+AD217*AD196+AE217*AE196+AF217*AF196+AG217*AG196+AH217*AH196+AI217*AI196+AJ217*AJ196+AK217*AK196+AL217*AL196+AM217*AM196+AN217*AN196+AO217*AO196+AP217*AP196+AQ217*AQ196+AR217*AR196+AS217*AS196+AT217*AT196+AU217*AU196+AV217*AV196+AW217*AW196+AX217*AX196+AY217*AY196+AZ217*AZ196+BA217*BA196+BB217*BB196+BC217*BC196+BD217*BD196+BE217*BE196+BF217*BF196+BG217*BG196+BH217*BH196+BI217*BI196+BJ217*BJ196+BK217*BK196+BL217*BL196+BM217*BM196+BN217*BN196+BO217*BO196+BP217*BP196+BQ217*BQ196+BR217*BR196+BS217*BS196+BT217*BT196+BU217*BU196+BV217*BV196+BW217*BW196+BX217*BX196+BY217*BY196+BZ217*BZ196+CA217*CA196+CB217*CB196+CC217*CC196+CD217*CD196+CE217*CE196+CF217*CF196+CG217*CG196+CH217*CH196</f>
        <v>0</v>
      </c>
      <c r="CS196" s="1952">
        <f>E218*E196+F218*F196+G218*G196+H218*H196+I218*I196+J218*J196+K218*K196+L218*L196+M218*M196+N218*N196+O218*O196+P218*P196+Q218*Q196+R218*R196+S218*S196+T218*T196+U218*U196+V218*V196+W218*W196+X218*X196+Y218*Y196+Z218*Z196+AA218*AA196+AB218*AB196+AC218*AC196+AD218*AD196+AE218*AE196+AF218*AF196+AG218*AG196+AH218*AH196+AI218*AI196+AJ218*AJ196+AK218*AK196+AL218*AL196+AM218*AM196+AN218*AN196+AO218*AO196+AP218*AP196+AQ218*AQ196+AR218*AR196+AS218*AS196+AT218*AT196+AU218*AU196+AV218*AV196+AW218*AW196+AX218*AX196+AY218*AY196+AZ218*AZ196+BA218*BA196+BB218*BB196+BC218*BC196+BD218*BD196+BE218*BE196+BF218*BF196+BG218*BG196+BH218*BH196+BI218*BI196+BJ218*BJ196+BK218*BK196+BL218*BL196+BM218*BM196+BN218*BN196+BO218*BO196+BP218*BP196+BQ218*BQ196+BR218*BR196+BS218*BS196+BT218*BT196+BU218*BU196+BV218*BV196+BW218*BW196+BX218*BX196+BY218*BY196+BZ218*BZ196+CA218*CA196+CB218*CB196+CC218*CC196+CD218*CD196+CE218*CE196+CF218*CF196+CG218*CG196+CH218*CH196</f>
        <v>0</v>
      </c>
      <c r="CT196" s="1952">
        <f>E219*E196+F219*F196+G219*G196+H219*H196+I219*I196+J219*J196+K219*K196+L219*L196+M219*M196+N219*N196+O219*O196+P219*P196+Q219*Q196+R219*R196+S219*S196+T219*T196+U219*U196+V219*V196+W219*W196+X219*X196+Y219*Y196+Z219*Z196+AA219*AA196+AB219*AB196+AC219*AC196+AD219*AD196+AE219*AE196+AF219*AF196+AG219*AG196+AH219*AH196+AI219*AI196+AJ219*AJ196+AK219*AK196+AL219*AL196+AM219*AM196+AN219*AN196+AO219*AO196+AP219*AP196+AQ219*AQ196+AR219*AR196+AS219*AS196+AT219*AT196+AU219*AU196+AV219*AV196+AW219*AW196+AX219*AX196+AY219*AY196+AZ219*AZ196+BA219*BA196+BB219*BB196+BC219*BC196+BD219*BD196+BE219*BE196+BF219*BF196+BG219*BG196+BH219*BH196+BI219*BI196+BJ219*BJ196+BK219*BK196+BL219*BL196+BM219*BM196+BN219*BN196+BO219*BO196+BP219*BP196+BQ219*BQ196+BR219*BR196+BS219*BS196+BT219*BT196+BU219*BU196+BV219*BV196+BW219*BW196+BX219*BX196+BY219*BY196+BZ219*BZ196+CA219*CA196+CB219*CB196+CC219*CC196+CD219*CD196+CE219*CE196+CF219*CF196+CG219*CG196+CH219*CH196</f>
        <v>0</v>
      </c>
      <c r="CU196" s="1952">
        <f>E220*E196+F220*F196+G220*G196+H220*H196+I220*I196+J220*J196+K220*K196+L220*L196+M220*M196+N220*N196+O220*O196+P220*P196+Q220*Q196+R220*R196+S220*S196+T220*T196+U220*U196+V220*V196+W220*W196+X220*X196+Y220*Y196+Z220*Z196+AA220*AA196+AB220*AB196+AC220*AC196+AD220*AD196+AE220*AE196+AF220*AF196+AG220*AG196+AH220*AH196+AI220*AI196+AJ220*AJ196+AK220*AK196+AL220*AL196+AM220*AM196+AN220*AN196+AO220*AO196+AP220*AP196+AQ220*AQ196+AR220*AR196+AS220*AS196+AT220*AT196+AU220*AU196+AV220*AV196+AW220*AW196+AX220*AX196+AY220*AY196+AZ220*AZ196+BA220*BA196+BB220*BB196+BC220*BC196+BD220*BD196+BE220*BE196+BF220*BF196+BG220*BG196+BH220*BH196+BI220*BI196+BJ220*BJ196+BK220*BK196+BL220*BL196+BM220*BM196+BN220*BN196+BO220*BO196+BP220*BP196+BQ220*BQ196+BR220*BR196+BS220*BS196+BT220*BT196+BU220*BU196+BV220*BV196+BW220*BW196+BX220*BX196+BY220*BY196+BZ220*BZ196+CA220*CA196+CB220*CB196+CC220*CC196+CD220*CD196+CE220*CE196+CF220*CF196+CG220*CG196+CH220*CH196</f>
        <v>0</v>
      </c>
    </row>
    <row r="197" spans="2:99" ht="18" x14ac:dyDescent="0.25">
      <c r="B197" s="1058">
        <v>82</v>
      </c>
      <c r="C197" s="1158" t="s">
        <v>3492</v>
      </c>
      <c r="D197" s="1159" t="s">
        <v>2852</v>
      </c>
      <c r="E197" s="2073">
        <f>0</f>
        <v>0</v>
      </c>
      <c r="F197" s="2073">
        <f>0</f>
        <v>0</v>
      </c>
      <c r="G197" s="2073">
        <f>0</f>
        <v>0</v>
      </c>
      <c r="H197" s="2073">
        <f>0</f>
        <v>0</v>
      </c>
      <c r="I197" s="2090">
        <f>0</f>
        <v>0</v>
      </c>
      <c r="J197" s="2090">
        <f>0</f>
        <v>0</v>
      </c>
      <c r="K197" s="2073">
        <f>0</f>
        <v>0</v>
      </c>
      <c r="L197" s="2073">
        <f>0</f>
        <v>0</v>
      </c>
      <c r="M197" s="2073">
        <f>0</f>
        <v>0</v>
      </c>
      <c r="N197" s="2073">
        <f>0</f>
        <v>0</v>
      </c>
      <c r="O197" s="2073">
        <f>0</f>
        <v>0</v>
      </c>
      <c r="P197" s="2073">
        <f>0</f>
        <v>0</v>
      </c>
      <c r="Q197" s="2073">
        <f>0</f>
        <v>0</v>
      </c>
      <c r="R197" s="2073">
        <f>0</f>
        <v>0</v>
      </c>
      <c r="S197" s="2073">
        <f>0</f>
        <v>0</v>
      </c>
      <c r="T197" s="2073">
        <f>0</f>
        <v>0</v>
      </c>
      <c r="U197" s="2073">
        <f>0</f>
        <v>0</v>
      </c>
      <c r="V197" s="2073">
        <f>0</f>
        <v>0</v>
      </c>
      <c r="W197" s="2073">
        <f>0</f>
        <v>0</v>
      </c>
      <c r="X197" s="2073">
        <f>0</f>
        <v>0</v>
      </c>
      <c r="Y197" s="2073">
        <f>0</f>
        <v>0</v>
      </c>
      <c r="Z197" s="2073">
        <f>0</f>
        <v>0</v>
      </c>
      <c r="AA197" s="2073">
        <f>0</f>
        <v>0</v>
      </c>
      <c r="AB197" s="2073">
        <f>0</f>
        <v>0</v>
      </c>
      <c r="AC197" s="2090">
        <f>0</f>
        <v>0</v>
      </c>
      <c r="AD197" s="2090">
        <f>0</f>
        <v>0</v>
      </c>
      <c r="AE197" s="2073">
        <f>0</f>
        <v>0</v>
      </c>
      <c r="AF197" s="2073">
        <f>0</f>
        <v>0</v>
      </c>
      <c r="AG197" s="2073">
        <f>0</f>
        <v>0</v>
      </c>
      <c r="AH197" s="2073">
        <f>0</f>
        <v>0</v>
      </c>
      <c r="AI197" s="2090">
        <f>0</f>
        <v>0</v>
      </c>
      <c r="AJ197" s="2090">
        <f>0</f>
        <v>0</v>
      </c>
      <c r="AK197" s="2073">
        <f>0</f>
        <v>0</v>
      </c>
      <c r="AL197" s="2073">
        <f>0</f>
        <v>0</v>
      </c>
      <c r="AM197" s="2073">
        <f>0</f>
        <v>0</v>
      </c>
      <c r="AN197" s="2073">
        <f>1</f>
        <v>1</v>
      </c>
      <c r="AO197" s="2073">
        <f>0</f>
        <v>0</v>
      </c>
      <c r="AP197" s="2073">
        <f>0</f>
        <v>0</v>
      </c>
      <c r="AQ197" s="2073">
        <f>0</f>
        <v>0</v>
      </c>
      <c r="AR197" s="2073">
        <f>0</f>
        <v>0</v>
      </c>
      <c r="AS197" s="2073">
        <f>0</f>
        <v>0</v>
      </c>
      <c r="AT197" s="2073">
        <f>0</f>
        <v>0</v>
      </c>
      <c r="AU197" s="2073">
        <f>0</f>
        <v>0</v>
      </c>
      <c r="AV197" s="2073">
        <f>0</f>
        <v>0</v>
      </c>
      <c r="AW197" s="2073">
        <f>0</f>
        <v>0</v>
      </c>
      <c r="AX197" s="2073">
        <f>0</f>
        <v>0</v>
      </c>
      <c r="AY197" s="2073">
        <f>0</f>
        <v>0</v>
      </c>
      <c r="AZ197" s="2073">
        <f>0</f>
        <v>0</v>
      </c>
      <c r="BA197" s="2073">
        <f>0</f>
        <v>0</v>
      </c>
      <c r="BB197" s="2073">
        <f>0</f>
        <v>0</v>
      </c>
      <c r="BC197" s="2073">
        <f>0</f>
        <v>0</v>
      </c>
      <c r="BD197" s="2073">
        <f>0</f>
        <v>0</v>
      </c>
      <c r="BE197" s="2073">
        <f>0</f>
        <v>0</v>
      </c>
      <c r="BF197" s="2073">
        <f>0</f>
        <v>0</v>
      </c>
      <c r="BG197" s="2073">
        <f>0</f>
        <v>0</v>
      </c>
      <c r="BH197" s="2073">
        <f>0</f>
        <v>0</v>
      </c>
      <c r="BI197" s="2073">
        <f>0</f>
        <v>0</v>
      </c>
      <c r="BJ197" s="2073">
        <f>0</f>
        <v>0</v>
      </c>
      <c r="BK197" s="2073">
        <f>0</f>
        <v>0</v>
      </c>
      <c r="BL197" s="2073">
        <f>0</f>
        <v>0</v>
      </c>
      <c r="BM197" s="2073">
        <f>0</f>
        <v>0</v>
      </c>
      <c r="BN197" s="2073">
        <f>0</f>
        <v>0</v>
      </c>
      <c r="BO197" s="2073">
        <f>0</f>
        <v>0</v>
      </c>
      <c r="BP197" s="2128">
        <f>0</f>
        <v>0</v>
      </c>
      <c r="BQ197" s="2128">
        <f>0</f>
        <v>0</v>
      </c>
      <c r="BR197" s="2128">
        <f>0</f>
        <v>0</v>
      </c>
      <c r="BS197" s="2128">
        <f>0</f>
        <v>0</v>
      </c>
      <c r="BT197" s="2073">
        <f>0</f>
        <v>0</v>
      </c>
      <c r="BU197" s="2073">
        <f>0</f>
        <v>0</v>
      </c>
      <c r="BV197" s="2073">
        <f>0</f>
        <v>0</v>
      </c>
      <c r="BW197" s="2073">
        <f>0</f>
        <v>0</v>
      </c>
      <c r="BX197" s="2073">
        <f>0</f>
        <v>0</v>
      </c>
      <c r="BY197" s="2073">
        <f>-1</f>
        <v>-1</v>
      </c>
      <c r="BZ197" s="2073">
        <f>0</f>
        <v>0</v>
      </c>
      <c r="CA197" s="2073">
        <f>0</f>
        <v>0</v>
      </c>
      <c r="CB197" s="2073">
        <f>0</f>
        <v>0</v>
      </c>
      <c r="CC197" s="2073">
        <f>0</f>
        <v>0</v>
      </c>
      <c r="CD197" s="2073">
        <f>0</f>
        <v>0</v>
      </c>
      <c r="CE197" s="2073">
        <f>0</f>
        <v>0</v>
      </c>
      <c r="CF197" s="2073">
        <f>0</f>
        <v>0</v>
      </c>
      <c r="CG197" s="2073">
        <f>0</f>
        <v>0</v>
      </c>
      <c r="CH197" s="2073">
        <f>0</f>
        <v>0</v>
      </c>
      <c r="CI197" s="2150">
        <f>k_LaGH2_bub*(S_GH2_bub_sat-S_H2)</f>
        <v>-1.4673500000000002</v>
      </c>
      <c r="CK197" s="1950">
        <f>E210*E197+F210*F197+G210*G197+H210*H197+I210*I197+J210*J197+K210*K197+L210*L197+M210*M197+N210*N197+O210*O197+P210*P197+Q210*Q197+R210*R197+S210*S197+T210*T197+U210*U197+V210*V197+W210*W197+X210*X197+Y210*Y197+Z210*Z197+AA210*AA197+AB210*AB197+AC210*AC197+AD210*AD197+AE210*AE197+AF210*AF197+AG210*AG197+AH210*AH197+AI210*AI197+AJ210*AJ197+AK210*AK197+AL210*AL197+AM210*AM197+AN210*AN197+AO210*AO197+AP210*AP197+AQ210*AQ197+AR210*AR197+AS210*AS197+AT210*AT197+AU210*AU197+AV210*AV197+AW210*AW197+AX210*AX197+AY210*AY197+AZ210*AZ197+BA210*BA197+BB210*BB197+BC210*BC197+BD210*BD197+BE210*BE197+BF210*BF197+BG210*BG197+BH210*BH197+BI210*BI197+BJ210*BJ197+BK210*BK197+BL210*BL197+BM210*BM197+BN210*BN197+BO210*BO197+BP210*BP197+BQ210*BQ197+BR210*BR197+BS210*BS197+BT210*BT197+BU210*BU197+BV210*BV197+BW210*BW197+BX210*BX197+BY210*BY197+BZ210*BZ197+CA210*CA197+CB210*CB197+CC210*CC197+CD210*CD197+CE210*CE197+CF210*CF197+CG210*CG197+CH210*CH197</f>
        <v>0</v>
      </c>
      <c r="CL197" s="1950">
        <f>E211*E197+F211*F197+G211*G197+H211*H197+I211*I197+J211*J197+K211*K197+L211*L197+M211*M197+N211*N197+O211*O197+P211*P197+Q211*Q197+R211*R197+S211*S197+T211*T197+U211*U197+V211*V197+W211*W197+X211*X197+Y211*Y197+Z211*Z197+AA211*AA197+AB211*AB197+AC211*AC197+AD211*AD197+AE211*AE197+AF211*AF197+AG211*AG197+AH211*AH197+AI211*AI197+AJ211*AJ197+AK211*AK197+AL211*AL197+AM211*AM197+AN211*AN197+AO211*AO197+AP211*AP197+AQ211*AQ197+AR211*AR197+AS211*AS197+AT211*AT197+AU211*AU197+AV211*AV197+AW211*AW197+AX211*AX197+AY211*AY197+AZ211*AZ197+BA211*BA197+BB211*BB197+BC211*BC197+BD211*BD197+BE211*BE197+BF211*BF197+BG211*BG197+BH211*BH197+BI211*BI197+BJ211*BJ197+BK211*BK197+BL211*BL197+BM211*BM197+BN211*BN197+BO211*BO197+BP211*BP197+BQ211*BQ197+BR211*BR197+BS211*BS197+BT211*BT197+BU211*BU197+BV211*BV197+BW211*BW197+BX211*BX197+BY211*BY197+BZ211*BZ197+CA211*CA197+CB211*CB197+CC211*CC197+CD211*CD197+CE211*CE197+CF211*CF197+CG211*CG197+CH211*CH197</f>
        <v>0</v>
      </c>
      <c r="CM197" s="1951">
        <f>E212*E197+F212*F197+G212*G197+H212*H197+I212*I197+J212*J197+K212*K197+L212*L197+M212*M197+N212*N197+O212*O197+P212*P197+Q212*Q197+R212*R197+S212*S197+T212*T197+U212*U197+V212*V197+W212*W197+X212*X197+Y212*Y197+Z212*Z197+AA212*AA197+AB212*AB197+AC212*AC197+AD212*AD197+AE212*AE197+AF212*AF197+AG212*AG197+AH212*AH197+AI212*AI197+AJ212*AJ197+AK212*AK197+AL212*AL197+AM212*AM197+AN212*AN197+AO212*AO197+AP212*AP197+AQ212*AQ197+AR212*AR197+AS212*AS197+AT212*AT197+AU212*AU197+AV212*AV197+AW212*AW197+AX212*AX197+AY212*AY197+AZ212*AZ197+BA212*BA197+BB212*BB197+BC212*BC197+BD212*BD197+BE212*BE197+BF212*BF197+BG212*BG197+BH212*BH197+BI212*BI197+BJ212*BJ197+BK212*BK197+BL212*BL197+BM212*BM197+BN212*BN197+BO212*BO197+BP212*BP197+BQ212*BQ197+BR212*BR197+BS212*BS197+BT212*BT197+BU212*BU197+BV212*BV197+BW212*BW197+BX212*BX197+BY212*BY197+BZ212*BZ197+CA212*CA197+CB212*CB197+CC212*CC197+CD212*CD197+CE212*CE197+CF212*CF197+CG212*CG197+CH212*CH197</f>
        <v>0</v>
      </c>
      <c r="CN197" s="1952">
        <f>E213*E197+F213*F197+G213*G197+H213*H197+I213*I197+J213*J197+K213*K197+L213*L197+M213*M197+N213*N197+O213*O197+P213*P197+Q213*Q197+R213*R197+S213*S197+T213*T197+U213*U197+V213*V197+W213*W197+X213*X197+Y213*Y197+Z213*Z197+AA213*AA197+AB213*AB197+AC213*AC197+AD213*AD197+AE213*AE197+AF213*AF197+AG213*AG197+AH213*AH197+AI213*AI197+AJ213*AJ197+AK213*AK197+AL213*AL197+AM213*AM197+AN213*AN197+AO213*AO197+AP213*AP197+AQ213*AQ197+AR213*AR197+AS213*AS197+AT213*AT197+AU213*AU197+AV213*AV197+AW213*AW197+AX213*AX197+AY213*AY197+AZ213*AZ197+BA213*BA197+BB213*BB197+BC213*BC197+BD213*BD197+BE213*BE197+BF213*BF197+BG213*BG197+BH213*BH197+BI213*BI197+BJ213*BJ197+BK213*BK197+BL213*BL197+BM213*BM197+BN213*BN197+BO213*BO197+BP213*BP197+BQ213*BQ197+BR213*BR197+BS213*BS197+BT213*BT197+BU213*BU197+BV213*BV197+BW213*BW197+BX213*BX197+BY213*BY197+BZ213*BZ197+CA213*CA197+CB213*CB197+CC213*CC197+CD213*CD197+CE213*CE197+CF213*CF197+CG213*CG197+CH213*CH197</f>
        <v>0</v>
      </c>
      <c r="CO197" s="1952">
        <f>E214*E197+F214*F197+G214*G197+H214*H197+I214*I197+J214*J197+K214*K197+L214*L197+M214*M197+N214*N197+O214*O197+P214*P197+Q214*Q197+R214*R197+S214*S197+T214*T197+U214*U197+V214*V197+W214*W197+X214*X197+Y214*Y197+Z214*Z197+AA214*AA197+AB214*AB197+AC214*AC197+AD214*AD197+AE214*AE197+AF214*AF197+AG214*AG197+AH214*AH197+AI214*AI197+AJ214*AJ197+AK214*AK197+AL214*AL197+AM214*AM197+AN214*AN197+AO214*AO197+AP214*AP197+AQ214*AQ197+AR214*AR197+AS214*AS197+AT214*AT197+AU214*AU197+AV214*AV197+AW214*AW197+AX214*AX197+AY214*AY197+AZ214*AZ197+BA214*BA197+BB214*BB197+BC214*BC197+BD214*BD197+BE214*BE197+BF214*BF197+BG214*BG197+BH214*BH197+BI214*BI197+BJ214*BJ197+BK214*BK197+BL214*BL197+BM214*BM197+BN214*BN197+BO214*BO197+BP214*BP197+BQ214*BQ197+BR214*BR197+BS214*BS197+BT214*BT197+BU214*BU197+BV214*BV197+BW214*BW197+BX214*BX197+BY214*BY197+BZ214*BZ197+CA214*CA197+CB214*CB197+CC214*CC197+CD214*CD197+CE214*CE197+CF214*CF197+CG214*CG197+CH214*CH197</f>
        <v>0</v>
      </c>
      <c r="CP197" s="1952">
        <f>E215*E197+F215*F197+G215*G197+H215*H197+I215*I197+J215*J197+K215*K197+L215*L197+M215*M197+N215*N197+O215*O197+P215*P197+Q215*Q197+R215*R197+S215*S197+T215*T197+U215*U197+V215*V197+W215*W197+X215*X197+Y215*Y197+Z215*Z197+AA215*AA197+AB215*AB197+AC215*AC197+AD215*AD197+AE215*AE197+AF215*AF197+AG215*AG197+AH215*AH197+AI215*AI197+AJ215*AJ197+AK215*AK197+AL215*AL197+AM215*AM197+AN215*AN197+AO215*AO197+AP215*AP197+AQ215*AQ197+AR215*AR197+AS215*AS197+AT215*AT197+AU215*AU197+AV215*AV197+AW215*AW197+AX215*AX197+AY215*AY197+AZ215*AZ197+BA215*BA197+BB215*BB197+BC215*BC197+BD215*BD197+BE215*BE197+BF215*BF197+BG215*BG197+BH215*BH197+BI215*BI197+BJ215*BJ197+BK215*BK197+BL215*BL197+BM215*BM197+BN215*BN197+BO215*BO197+BP215*BP197+BQ215*BQ197+BR215*BR197+BS215*BS197+BT215*BT197+BU215*BU197+BV215*BV197+BW215*BW197+BX215*BX197+BY215*BY197+BZ215*BZ197+CA215*CA197+CB215*CB197+CC215*CC197+CD215*CD197+CE215*CE197+CF215*CF197+CG215*CG197+CH215*CH197</f>
        <v>0</v>
      </c>
      <c r="CQ197" s="1952">
        <f>E216*E197+F216*F197+G216*G197+H216*H197+I216*I197+J216*J197+K216*K197+L216*L197+M216*M197+N216*N197+O216*O197+P216*P197+Q216*Q197+R216*R197+S216*S197+T216*T197+U216*U197+V216*V197+W216*W197+X216*X197+Y216*Y197+Z216*Z197+AA216*AA197+AB216*AB197+AC216*AC197+AD216*AD197+AE216*AE197+AF216*AF197+AG216*AG197+AH216*AH197+AI216*AI197+AJ216*AJ197+AK216*AK197+AL216*AL197+AM216*AM197+AN216*AN197+AO216*AO197+AP216*AP197+AQ216*AQ197+AR216*AR197+AS216*AS197+AT216*AT197+AU216*AU197+AV216*AV197+AW216*AW197+AX216*AX197+AY216*AY197+AZ216*AZ197+BA216*BA197+BB216*BB197+BC216*BC197+BD216*BD197+BE216*BE197+BF216*BF197+BG216*BG197+BH216*BH197+BI216*BI197+BJ216*BJ197+BK216*BK197+BL216*BL197+BM216*BM197+BN216*BN197+BO216*BO197+BP216*BP197+BQ216*BQ197+BR216*BR197+BS216*BS197+BT216*BT197+BU216*BU197+BV216*BV197+BW216*BW197+BX216*BX197+BY216*BY197+BZ216*BZ197+CA216*CA197+CB216*CB197+CC216*CC197+CD216*CD197+CE216*CE197+CF216*CF197+CG216*CG197+CH216*CH197</f>
        <v>0</v>
      </c>
      <c r="CR197" s="1952">
        <f>E217*E197+F217*F197+G217*G197+H217*H197+I217*I197+J217*J197+K217*K197+L217*L197+M217*M197+N217*N197+O217*O197+P217*P197+Q217*Q197+R217*R197+S217*S197+T217*T197+U217*U197+V217*V197+W217*W197+X217*X197+Y217*Y197+Z217*Z197+AA217*AA197+AB217*AB197+AC217*AC197+AD217*AD197+AE217*AE197+AF217*AF197+AG217*AG197+AH217*AH197+AI217*AI197+AJ217*AJ197+AK217*AK197+AL217*AL197+AM217*AM197+AN217*AN197+AO217*AO197+AP217*AP197+AQ217*AQ197+AR217*AR197+AS217*AS197+AT217*AT197+AU217*AU197+AV217*AV197+AW217*AW197+AX217*AX197+AY217*AY197+AZ217*AZ197+BA217*BA197+BB217*BB197+BC217*BC197+BD217*BD197+BE217*BE197+BF217*BF197+BG217*BG197+BH217*BH197+BI217*BI197+BJ217*BJ197+BK217*BK197+BL217*BL197+BM217*BM197+BN217*BN197+BO217*BO197+BP217*BP197+BQ217*BQ197+BR217*BR197+BS217*BS197+BT217*BT197+BU217*BU197+BV217*BV197+BW217*BW197+BX217*BX197+BY217*BY197+BZ217*BZ197+CA217*CA197+CB217*CB197+CC217*CC197+CD217*CD197+CE217*CE197+CF217*CF197+CG217*CG197+CH217*CH197</f>
        <v>0</v>
      </c>
      <c r="CS197" s="1952">
        <f>E218*E197+F218*F197+G218*G197+H218*H197+I218*I197+J218*J197+K218*K197+L218*L197+M218*M197+N218*N197+O218*O197+P218*P197+Q218*Q197+R218*R197+S218*S197+T218*T197+U218*U197+V218*V197+W218*W197+X218*X197+Y218*Y197+Z218*Z197+AA218*AA197+AB218*AB197+AC218*AC197+AD218*AD197+AE218*AE197+AF218*AF197+AG218*AG197+AH218*AH197+AI218*AI197+AJ218*AJ197+AK218*AK197+AL218*AL197+AM218*AM197+AN218*AN197+AO218*AO197+AP218*AP197+AQ218*AQ197+AR218*AR197+AS218*AS197+AT218*AT197+AU218*AU197+AV218*AV197+AW218*AW197+AX218*AX197+AY218*AY197+AZ218*AZ197+BA218*BA197+BB218*BB197+BC218*BC197+BD218*BD197+BE218*BE197+BF218*BF197+BG218*BG197+BH218*BH197+BI218*BI197+BJ218*BJ197+BK218*BK197+BL218*BL197+BM218*BM197+BN218*BN197+BO218*BO197+BP218*BP197+BQ218*BQ197+BR218*BR197+BS218*BS197+BT218*BT197+BU218*BU197+BV218*BV197+BW218*BW197+BX218*BX197+BY218*BY197+BZ218*BZ197+CA218*CA197+CB218*CB197+CC218*CC197+CD218*CD197+CE218*CE197+CF218*CF197+CG218*CG197+CH218*CH197</f>
        <v>0</v>
      </c>
      <c r="CT197" s="1952">
        <f>E219*E197+F219*F197+G219*G197+H219*H197+I219*I197+J219*J197+K219*K197+L219*L197+M219*M197+N219*N197+O219*O197+P219*P197+Q219*Q197+R219*R197+S219*S197+T219*T197+U219*U197+V219*V197+W219*W197+X219*X197+Y219*Y197+Z219*Z197+AA219*AA197+AB219*AB197+AC219*AC197+AD219*AD197+AE219*AE197+AF219*AF197+AG219*AG197+AH219*AH197+AI219*AI197+AJ219*AJ197+AK219*AK197+AL219*AL197+AM219*AM197+AN219*AN197+AO219*AO197+AP219*AP197+AQ219*AQ197+AR219*AR197+AS219*AS197+AT219*AT197+AU219*AU197+AV219*AV197+AW219*AW197+AX219*AX197+AY219*AY197+AZ219*AZ197+BA219*BA197+BB219*BB197+BC219*BC197+BD219*BD197+BE219*BE197+BF219*BF197+BG219*BG197+BH219*BH197+BI219*BI197+BJ219*BJ197+BK219*BK197+BL219*BL197+BM219*BM197+BN219*BN197+BO219*BO197+BP219*BP197+BQ219*BQ197+BR219*BR197+BS219*BS197+BT219*BT197+BU219*BU197+BV219*BV197+BW219*BW197+BX219*BX197+BY219*BY197+BZ219*BZ197+CA219*CA197+CB219*CB197+CC219*CC197+CD219*CD197+CE219*CE197+CF219*CF197+CG219*CG197+CH219*CH197</f>
        <v>0</v>
      </c>
      <c r="CU197" s="1952">
        <f>E220*E197+F220*F197+G220*G197+H220*H197+I220*I197+J220*J197+K220*K197+L220*L197+M220*M197+N220*N197+O220*O197+P220*P197+Q220*Q197+R220*R197+S220*S197+T220*T197+U220*U197+V220*V197+W220*W197+X220*X197+Y220*Y197+Z220*Z197+AA220*AA197+AB220*AB197+AC220*AC197+AD220*AD197+AE220*AE197+AF220*AF197+AG220*AG197+AH220*AH197+AI220*AI197+AJ220*AJ197+AK220*AK197+AL220*AL197+AM220*AM197+AN220*AN197+AO220*AO197+AP220*AP197+AQ220*AQ197+AR220*AR197+AS220*AS197+AT220*AT197+AU220*AU197+AV220*AV197+AW220*AW197+AX220*AX197+AY220*AY197+AZ220*AZ197+BA220*BA197+BB220*BB197+BC220*BC197+BD220*BD197+BE220*BE197+BF220*BF197+BG220*BG197+BH220*BH197+BI220*BI197+BJ220*BJ197+BK220*BK197+BL220*BL197+BM220*BM197+BN220*BN197+BO220*BO197+BP220*BP197+BQ220*BQ197+BR220*BR197+BS220*BS197+BT220*BT197+BU220*BU197+BV220*BV197+BW220*BW197+BX220*BX197+BY220*BY197+BZ220*BZ197+CA220*CA197+CB220*CB197+CC220*CC197+CD220*CD197+CE220*CE197+CF220*CF197+CG220*CG197+CH220*CH197</f>
        <v>0</v>
      </c>
    </row>
    <row r="198" spans="2:99" ht="18" x14ac:dyDescent="0.25">
      <c r="B198" s="1058">
        <v>83</v>
      </c>
      <c r="C198" s="1158" t="s">
        <v>4234</v>
      </c>
      <c r="D198" s="1159" t="s">
        <v>2853</v>
      </c>
      <c r="E198" s="2073">
        <f>0</f>
        <v>0</v>
      </c>
      <c r="F198" s="2073">
        <f>0</f>
        <v>0</v>
      </c>
      <c r="G198" s="2073">
        <f>0</f>
        <v>0</v>
      </c>
      <c r="H198" s="2073">
        <f>0</f>
        <v>0</v>
      </c>
      <c r="I198" s="2090">
        <f>0</f>
        <v>0</v>
      </c>
      <c r="J198" s="2090">
        <f>0</f>
        <v>0</v>
      </c>
      <c r="K198" s="2073">
        <f>0</f>
        <v>0</v>
      </c>
      <c r="L198" s="2073">
        <f>0</f>
        <v>0</v>
      </c>
      <c r="M198" s="2073">
        <f>0</f>
        <v>0</v>
      </c>
      <c r="N198" s="2073">
        <f>0</f>
        <v>0</v>
      </c>
      <c r="O198" s="2073">
        <f>0</f>
        <v>0</v>
      </c>
      <c r="P198" s="2073">
        <f>0</f>
        <v>0</v>
      </c>
      <c r="Q198" s="2073">
        <f>0</f>
        <v>0</v>
      </c>
      <c r="R198" s="2073">
        <f>0</f>
        <v>0</v>
      </c>
      <c r="S198" s="2073">
        <f>0</f>
        <v>0</v>
      </c>
      <c r="T198" s="2073">
        <f>0</f>
        <v>0</v>
      </c>
      <c r="U198" s="2073">
        <f>0</f>
        <v>0</v>
      </c>
      <c r="V198" s="2073">
        <f>0</f>
        <v>0</v>
      </c>
      <c r="W198" s="2073">
        <f>0</f>
        <v>0</v>
      </c>
      <c r="X198" s="2073">
        <f>0</f>
        <v>0</v>
      </c>
      <c r="Y198" s="2073">
        <f>0</f>
        <v>0</v>
      </c>
      <c r="Z198" s="2073">
        <f>0</f>
        <v>0</v>
      </c>
      <c r="AA198" s="2073">
        <f>0</f>
        <v>0</v>
      </c>
      <c r="AB198" s="2073">
        <f>0</f>
        <v>0</v>
      </c>
      <c r="AC198" s="2090">
        <f>0</f>
        <v>0</v>
      </c>
      <c r="AD198" s="2090">
        <f>0</f>
        <v>0</v>
      </c>
      <c r="AE198" s="2073">
        <f>0</f>
        <v>0</v>
      </c>
      <c r="AF198" s="2073">
        <f>0</f>
        <v>0</v>
      </c>
      <c r="AG198" s="2073">
        <f>0</f>
        <v>0</v>
      </c>
      <c r="AH198" s="2073">
        <f>0</f>
        <v>0</v>
      </c>
      <c r="AI198" s="2090">
        <f>0</f>
        <v>0</v>
      </c>
      <c r="AJ198" s="2090">
        <f>0</f>
        <v>0</v>
      </c>
      <c r="AK198" s="2073">
        <f>0</f>
        <v>0</v>
      </c>
      <c r="AL198" s="2073">
        <f>1</f>
        <v>1</v>
      </c>
      <c r="AM198" s="2073">
        <f>0</f>
        <v>0</v>
      </c>
      <c r="AN198" s="2073">
        <f>0</f>
        <v>0</v>
      </c>
      <c r="AO198" s="2073">
        <f>0</f>
        <v>0</v>
      </c>
      <c r="AP198" s="2073">
        <f>0</f>
        <v>0</v>
      </c>
      <c r="AQ198" s="2073">
        <f>0</f>
        <v>0</v>
      </c>
      <c r="AR198" s="2073">
        <f>0</f>
        <v>0</v>
      </c>
      <c r="AS198" s="2073">
        <f>0</f>
        <v>0</v>
      </c>
      <c r="AT198" s="2073">
        <f>0</f>
        <v>0</v>
      </c>
      <c r="AU198" s="2073">
        <f>0</f>
        <v>0</v>
      </c>
      <c r="AV198" s="2073">
        <f>0</f>
        <v>0</v>
      </c>
      <c r="AW198" s="2073">
        <f>0</f>
        <v>0</v>
      </c>
      <c r="AX198" s="2073">
        <f>0</f>
        <v>0</v>
      </c>
      <c r="AY198" s="2073">
        <f>0</f>
        <v>0</v>
      </c>
      <c r="AZ198" s="2073">
        <f>0</f>
        <v>0</v>
      </c>
      <c r="BA198" s="2073">
        <f>0</f>
        <v>0</v>
      </c>
      <c r="BB198" s="2073">
        <f>0</f>
        <v>0</v>
      </c>
      <c r="BC198" s="2073">
        <f>0</f>
        <v>0</v>
      </c>
      <c r="BD198" s="2073">
        <f>0</f>
        <v>0</v>
      </c>
      <c r="BE198" s="2073">
        <f>0</f>
        <v>0</v>
      </c>
      <c r="BF198" s="2073">
        <f>0</f>
        <v>0</v>
      </c>
      <c r="BG198" s="2073">
        <f>0</f>
        <v>0</v>
      </c>
      <c r="BH198" s="2073">
        <f>0</f>
        <v>0</v>
      </c>
      <c r="BI198" s="2073">
        <f>0</f>
        <v>0</v>
      </c>
      <c r="BJ198" s="2073">
        <f>0</f>
        <v>0</v>
      </c>
      <c r="BK198" s="2073">
        <f>0</f>
        <v>0</v>
      </c>
      <c r="BL198" s="2073">
        <f>0</f>
        <v>0</v>
      </c>
      <c r="BM198" s="2073">
        <f>0</f>
        <v>0</v>
      </c>
      <c r="BN198" s="2073">
        <f>0</f>
        <v>0</v>
      </c>
      <c r="BO198" s="2073">
        <f>0</f>
        <v>0</v>
      </c>
      <c r="BP198" s="2128">
        <f>0</f>
        <v>0</v>
      </c>
      <c r="BQ198" s="2128">
        <f>0</f>
        <v>0</v>
      </c>
      <c r="BR198" s="2128">
        <f>0</f>
        <v>0</v>
      </c>
      <c r="BS198" s="2128">
        <f>0</f>
        <v>0</v>
      </c>
      <c r="BT198" s="2073">
        <f>0</f>
        <v>0</v>
      </c>
      <c r="BU198" s="2073">
        <f>0</f>
        <v>0</v>
      </c>
      <c r="BV198" s="2073">
        <f>0</f>
        <v>0</v>
      </c>
      <c r="BW198" s="2073">
        <f>0</f>
        <v>0</v>
      </c>
      <c r="BX198" s="2073">
        <f>0</f>
        <v>0</v>
      </c>
      <c r="BY198" s="2073">
        <f>0</f>
        <v>0</v>
      </c>
      <c r="BZ198" s="2073">
        <f>-1</f>
        <v>-1</v>
      </c>
      <c r="CA198" s="2073">
        <f>0</f>
        <v>0</v>
      </c>
      <c r="CB198" s="2073">
        <f>0</f>
        <v>0</v>
      </c>
      <c r="CC198" s="2073">
        <f>0</f>
        <v>0</v>
      </c>
      <c r="CD198" s="2073">
        <f>0</f>
        <v>0</v>
      </c>
      <c r="CE198" s="2073">
        <f>0</f>
        <v>0</v>
      </c>
      <c r="CF198" s="2073">
        <f>0</f>
        <v>0</v>
      </c>
      <c r="CG198" s="2073">
        <f>0</f>
        <v>0</v>
      </c>
      <c r="CH198" s="2073">
        <f>0</f>
        <v>0</v>
      </c>
      <c r="CI198" s="2150">
        <f>k_LaGO2_bub*(S_GO2_bub_sat-S_O2)</f>
        <v>800</v>
      </c>
      <c r="CK198" s="1950">
        <f>E210*E198+F210*F198+G210*G198+H210*H198+I210*I198+J210*J198+K210*K198+L210*L198+M210*M198+N210*N198+O210*O198+P210*P198+Q210*Q198+R210*R198+S210*S198+T210*T198+U210*U198+V210*V198+W210*W198+X210*X198+Y210*Y198+Z210*Z198+AA210*AA198+AB210*AB198+AC210*AC198+AD210*AD198+AE210*AE198+AF210*AF198+AG210*AG198+AH210*AH198+AI210*AI198+AJ210*AJ198+AK210*AK198+AL210*AL198+AM210*AM198+AN210*AN198+AO210*AO198+AP210*AP198+AQ210*AQ198+AR210*AR198+AS210*AS198+AT210*AT198+AU210*AU198+AV210*AV198+AW210*AW198+AX210*AX198+AY210*AY198+AZ210*AZ198+BA210*BA198+BB210*BB198+BC210*BC198+BD210*BD198+BE210*BE198+BF210*BF198+BG210*BG198+BH210*BH198+BI210*BI198+BJ210*BJ198+BK210*BK198+BL210*BL198+BM210*BM198+BN210*BN198+BO210*BO198+BP210*BP198+BQ210*BQ198+BR210*BR198+BS210*BS198+BT210*BT198+BU210*BU198+BV210*BV198+BW210*BW198+BX210*BX198+BY210*BY198+BZ210*BZ198+CA210*CA198+CB210*CB198+CC210*CC198+CD210*CD198+CE210*CE198+CF210*CF198+CG210*CG198+CH210*CH198</f>
        <v>0</v>
      </c>
      <c r="CL198" s="1950">
        <f>E211*E198+F211*F198+G211*G198+H211*H198+I211*I198+J211*J198+K211*K198+L211*L198+M211*M198+N211*N198+O211*O198+P211*P198+Q211*Q198+R211*R198+S211*S198+T211*T198+U211*U198+V211*V198+W211*W198+X211*X198+Y211*Y198+Z211*Z198+AA211*AA198+AB211*AB198+AC211*AC198+AD211*AD198+AE211*AE198+AF211*AF198+AG211*AG198+AH211*AH198+AI211*AI198+AJ211*AJ198+AK211*AK198+AL211*AL198+AM211*AM198+AN211*AN198+AO211*AO198+AP211*AP198+AQ211*AQ198+AR211*AR198+AS211*AS198+AT211*AT198+AU211*AU198+AV211*AV198+AW211*AW198+AX211*AX198+AY211*AY198+AZ211*AZ198+BA211*BA198+BB211*BB198+BC211*BC198+BD211*BD198+BE211*BE198+BF211*BF198+BG211*BG198+BH211*BH198+BI211*BI198+BJ211*BJ198+BK211*BK198+BL211*BL198+BM211*BM198+BN211*BN198+BO211*BO198+BP211*BP198+BQ211*BQ198+BR211*BR198+BS211*BS198+BT211*BT198+BU211*BU198+BV211*BV198+BW211*BW198+BX211*BX198+BY211*BY198+BZ211*BZ198+CA211*CA198+CB211*CB198+CC211*CC198+CD211*CD198+CE211*CE198+CF211*CF198+CG211*CG198+CH211*CH198</f>
        <v>0</v>
      </c>
      <c r="CM198" s="1951">
        <f>E212*E198+F212*F198+G212*G198+H212*H198+I212*I198+J212*J198+K212*K198+L212*L198+M212*M198+N212*N198+O212*O198+P212*P198+Q212*Q198+R212*R198+S212*S198+T212*T198+U212*U198+V212*V198+W212*W198+X212*X198+Y212*Y198+Z212*Z198+AA212*AA198+AB212*AB198+AC212*AC198+AD212*AD198+AE212*AE198+AF212*AF198+AG212*AG198+AH212*AH198+AI212*AI198+AJ212*AJ198+AK212*AK198+AL212*AL198+AM212*AM198+AN212*AN198+AO212*AO198+AP212*AP198+AQ212*AQ198+AR212*AR198+AS212*AS198+AT212*AT198+AU212*AU198+AV212*AV198+AW212*AW198+AX212*AX198+AY212*AY198+AZ212*AZ198+BA212*BA198+BB212*BB198+BC212*BC198+BD212*BD198+BE212*BE198+BF212*BF198+BG212*BG198+BH212*BH198+BI212*BI198+BJ212*BJ198+BK212*BK198+BL212*BL198+BM212*BM198+BN212*BN198+BO212*BO198+BP212*BP198+BQ212*BQ198+BR212*BR198+BS212*BS198+BT212*BT198+BU212*BU198+BV212*BV198+BW212*BW198+BX212*BX198+BY212*BY198+BZ212*BZ198+CA212*CA198+CB212*CB198+CC212*CC198+CD212*CD198+CE212*CE198+CF212*CF198+CG212*CG198+CH212*CH198</f>
        <v>0</v>
      </c>
      <c r="CN198" s="1952">
        <f>E213*E198+F213*F198+G213*G198+H213*H198+I213*I198+J213*J198+K213*K198+L213*L198+M213*M198+N213*N198+O213*O198+P213*P198+Q213*Q198+R213*R198+S213*S198+T213*T198+U213*U198+V213*V198+W213*W198+X213*X198+Y213*Y198+Z213*Z198+AA213*AA198+AB213*AB198+AC213*AC198+AD213*AD198+AE213*AE198+AF213*AF198+AG213*AG198+AH213*AH198+AI213*AI198+AJ213*AJ198+AK213*AK198+AL213*AL198+AM213*AM198+AN213*AN198+AO213*AO198+AP213*AP198+AQ213*AQ198+AR213*AR198+AS213*AS198+AT213*AT198+AU213*AU198+AV213*AV198+AW213*AW198+AX213*AX198+AY213*AY198+AZ213*AZ198+BA213*BA198+BB213*BB198+BC213*BC198+BD213*BD198+BE213*BE198+BF213*BF198+BG213*BG198+BH213*BH198+BI213*BI198+BJ213*BJ198+BK213*BK198+BL213*BL198+BM213*BM198+BN213*BN198+BO213*BO198+BP213*BP198+BQ213*BQ198+BR213*BR198+BS213*BS198+BT213*BT198+BU213*BU198+BV213*BV198+BW213*BW198+BX213*BX198+BY213*BY198+BZ213*BZ198+CA213*CA198+CB213*CB198+CC213*CC198+CD213*CD198+CE213*CE198+CF213*CF198+CG213*CG198+CH213*CH198</f>
        <v>0</v>
      </c>
      <c r="CO198" s="1952">
        <f>E214*E198+F214*F198+G214*G198+H214*H198+I214*I198+J214*J198+K214*K198+L214*L198+M214*M198+N214*N198+O214*O198+P214*P198+Q214*Q198+R214*R198+S214*S198+T214*T198+U214*U198+V214*V198+W214*W198+X214*X198+Y214*Y198+Z214*Z198+AA214*AA198+AB214*AB198+AC214*AC198+AD214*AD198+AE214*AE198+AF214*AF198+AG214*AG198+AH214*AH198+AI214*AI198+AJ214*AJ198+AK214*AK198+AL214*AL198+AM214*AM198+AN214*AN198+AO214*AO198+AP214*AP198+AQ214*AQ198+AR214*AR198+AS214*AS198+AT214*AT198+AU214*AU198+AV214*AV198+AW214*AW198+AX214*AX198+AY214*AY198+AZ214*AZ198+BA214*BA198+BB214*BB198+BC214*BC198+BD214*BD198+BE214*BE198+BF214*BF198+BG214*BG198+BH214*BH198+BI214*BI198+BJ214*BJ198+BK214*BK198+BL214*BL198+BM214*BM198+BN214*BN198+BO214*BO198+BP214*BP198+BQ214*BQ198+BR214*BR198+BS214*BS198+BT214*BT198+BU214*BU198+BV214*BV198+BW214*BW198+BX214*BX198+BY214*BY198+BZ214*BZ198+CA214*CA198+CB214*CB198+CC214*CC198+CD214*CD198+CE214*CE198+CF214*CF198+CG214*CG198+CH214*CH198</f>
        <v>0</v>
      </c>
      <c r="CP198" s="1952">
        <f>E215*E198+F215*F198+G215*G198+H215*H198+I215*I198+J215*J198+K215*K198+L215*L198+M215*M198+N215*N198+O215*O198+P215*P198+Q215*Q198+R215*R198+S215*S198+T215*T198+U215*U198+V215*V198+W215*W198+X215*X198+Y215*Y198+Z215*Z198+AA215*AA198+AB215*AB198+AC215*AC198+AD215*AD198+AE215*AE198+AF215*AF198+AG215*AG198+AH215*AH198+AI215*AI198+AJ215*AJ198+AK215*AK198+AL215*AL198+AM215*AM198+AN215*AN198+AO215*AO198+AP215*AP198+AQ215*AQ198+AR215*AR198+AS215*AS198+AT215*AT198+AU215*AU198+AV215*AV198+AW215*AW198+AX215*AX198+AY215*AY198+AZ215*AZ198+BA215*BA198+BB215*BB198+BC215*BC198+BD215*BD198+BE215*BE198+BF215*BF198+BG215*BG198+BH215*BH198+BI215*BI198+BJ215*BJ198+BK215*BK198+BL215*BL198+BM215*BM198+BN215*BN198+BO215*BO198+BP215*BP198+BQ215*BQ198+BR215*BR198+BS215*BS198+BT215*BT198+BU215*BU198+BV215*BV198+BW215*BW198+BX215*BX198+BY215*BY198+BZ215*BZ198+CA215*CA198+CB215*CB198+CC215*CC198+CD215*CD198+CE215*CE198+CF215*CF198+CG215*CG198+CH215*CH198</f>
        <v>0</v>
      </c>
      <c r="CQ198" s="1952">
        <f>E216*E198+F216*F198+G216*G198+H216*H198+I216*I198+J216*J198+K216*K198+L216*L198+M216*M198+N216*N198+O216*O198+P216*P198+Q216*Q198+R216*R198+S216*S198+T216*T198+U216*U198+V216*V198+W216*W198+X216*X198+Y216*Y198+Z216*Z198+AA216*AA198+AB216*AB198+AC216*AC198+AD216*AD198+AE216*AE198+AF216*AF198+AG216*AG198+AH216*AH198+AI216*AI198+AJ216*AJ198+AK216*AK198+AL216*AL198+AM216*AM198+AN216*AN198+AO216*AO198+AP216*AP198+AQ216*AQ198+AR216*AR198+AS216*AS198+AT216*AT198+AU216*AU198+AV216*AV198+AW216*AW198+AX216*AX198+AY216*AY198+AZ216*AZ198+BA216*BA198+BB216*BB198+BC216*BC198+BD216*BD198+BE216*BE198+BF216*BF198+BG216*BG198+BH216*BH198+BI216*BI198+BJ216*BJ198+BK216*BK198+BL216*BL198+BM216*BM198+BN216*BN198+BO216*BO198+BP216*BP198+BQ216*BQ198+BR216*BR198+BS216*BS198+BT216*BT198+BU216*BU198+BV216*BV198+BW216*BW198+BX216*BX198+BY216*BY198+BZ216*BZ198+CA216*CA198+CB216*CB198+CC216*CC198+CD216*CD198+CE216*CE198+CF216*CF198+CG216*CG198+CH216*CH198</f>
        <v>0</v>
      </c>
      <c r="CR198" s="1952">
        <f>E217*E198+F217*F198+G217*G198+H217*H198+I217*I198+J217*J198+K217*K198+L217*L198+M217*M198+N217*N198+O217*O198+P217*P198+Q217*Q198+R217*R198+S217*S198+T217*T198+U217*U198+V217*V198+W217*W198+X217*X198+Y217*Y198+Z217*Z198+AA217*AA198+AB217*AB198+AC217*AC198+AD217*AD198+AE217*AE198+AF217*AF198+AG217*AG198+AH217*AH198+AI217*AI198+AJ217*AJ198+AK217*AK198+AL217*AL198+AM217*AM198+AN217*AN198+AO217*AO198+AP217*AP198+AQ217*AQ198+AR217*AR198+AS217*AS198+AT217*AT198+AU217*AU198+AV217*AV198+AW217*AW198+AX217*AX198+AY217*AY198+AZ217*AZ198+BA217*BA198+BB217*BB198+BC217*BC198+BD217*BD198+BE217*BE198+BF217*BF198+BG217*BG198+BH217*BH198+BI217*BI198+BJ217*BJ198+BK217*BK198+BL217*BL198+BM217*BM198+BN217*BN198+BO217*BO198+BP217*BP198+BQ217*BQ198+BR217*BR198+BS217*BS198+BT217*BT198+BU217*BU198+BV217*BV198+BW217*BW198+BX217*BX198+BY217*BY198+BZ217*BZ198+CA217*CA198+CB217*CB198+CC217*CC198+CD217*CD198+CE217*CE198+CF217*CF198+CG217*CG198+CH217*CH198</f>
        <v>0</v>
      </c>
      <c r="CS198" s="1952">
        <f>E218*E198+F218*F198+G218*G198+H218*H198+I218*I198+J218*J198+K218*K198+L218*L198+M218*M198+N218*N198+O218*O198+P218*P198+Q218*Q198+R218*R198+S218*S198+T218*T198+U218*U198+V218*V198+W218*W198+X218*X198+Y218*Y198+Z218*Z198+AA218*AA198+AB218*AB198+AC218*AC198+AD218*AD198+AE218*AE198+AF218*AF198+AG218*AG198+AH218*AH198+AI218*AI198+AJ218*AJ198+AK218*AK198+AL218*AL198+AM218*AM198+AN218*AN198+AO218*AO198+AP218*AP198+AQ218*AQ198+AR218*AR198+AS218*AS198+AT218*AT198+AU218*AU198+AV218*AV198+AW218*AW198+AX218*AX198+AY218*AY198+AZ218*AZ198+BA218*BA198+BB218*BB198+BC218*BC198+BD218*BD198+BE218*BE198+BF218*BF198+BG218*BG198+BH218*BH198+BI218*BI198+BJ218*BJ198+BK218*BK198+BL218*BL198+BM218*BM198+BN218*BN198+BO218*BO198+BP218*BP198+BQ218*BQ198+BR218*BR198+BS218*BS198+BT218*BT198+BU218*BU198+BV218*BV198+BW218*BW198+BX218*BX198+BY218*BY198+BZ218*BZ198+CA218*CA198+CB218*CB198+CC218*CC198+CD218*CD198+CE218*CE198+CF218*CF198+CG218*CG198+CH218*CH198</f>
        <v>0</v>
      </c>
      <c r="CT198" s="1952">
        <f>E219*E198+F219*F198+G219*G198+H219*H198+I219*I198+J219*J198+K219*K198+L219*L198+M219*M198+N219*N198+O219*O198+P219*P198+Q219*Q198+R219*R198+S219*S198+T219*T198+U219*U198+V219*V198+W219*W198+X219*X198+Y219*Y198+Z219*Z198+AA219*AA198+AB219*AB198+AC219*AC198+AD219*AD198+AE219*AE198+AF219*AF198+AG219*AG198+AH219*AH198+AI219*AI198+AJ219*AJ198+AK219*AK198+AL219*AL198+AM219*AM198+AN219*AN198+AO219*AO198+AP219*AP198+AQ219*AQ198+AR219*AR198+AS219*AS198+AT219*AT198+AU219*AU198+AV219*AV198+AW219*AW198+AX219*AX198+AY219*AY198+AZ219*AZ198+BA219*BA198+BB219*BB198+BC219*BC198+BD219*BD198+BE219*BE198+BF219*BF198+BG219*BG198+BH219*BH198+BI219*BI198+BJ219*BJ198+BK219*BK198+BL219*BL198+BM219*BM198+BN219*BN198+BO219*BO198+BP219*BP198+BQ219*BQ198+BR219*BR198+BS219*BS198+BT219*BT198+BU219*BU198+BV219*BV198+BW219*BW198+BX219*BX198+BY219*BY198+BZ219*BZ198+CA219*CA198+CB219*CB198+CC219*CC198+CD219*CD198+CE219*CE198+CF219*CF198+CG219*CG198+CH219*CH198</f>
        <v>0</v>
      </c>
      <c r="CU198" s="1952">
        <f>E220*E198+F220*F198+G220*G198+H220*H198+I220*I198+J220*J198+K220*K198+L220*L198+M220*M198+N220*N198+O220*O198+P220*P198+Q220*Q198+R220*R198+S220*S198+T220*T198+U220*U198+V220*V198+W220*W198+X220*X198+Y220*Y198+Z220*Z198+AA220*AA198+AB220*AB198+AC220*AC198+AD220*AD198+AE220*AE198+AF220*AF198+AG220*AG198+AH220*AH198+AI220*AI198+AJ220*AJ198+AK220*AK198+AL220*AL198+AM220*AM198+AN220*AN198+AO220*AO198+AP220*AP198+AQ220*AQ198+AR220*AR198+AS220*AS198+AT220*AT198+AU220*AU198+AV220*AV198+AW220*AW198+AX220*AX198+AY220*AY198+AZ220*AZ198+BA220*BA198+BB220*BB198+BC220*BC198+BD220*BD198+BE220*BE198+BF220*BF198+BG220*BG198+BH220*BH198+BI220*BI198+BJ220*BJ198+BK220*BK198+BL220*BL198+BM220*BM198+BN220*BN198+BO220*BO198+BP220*BP198+BQ220*BQ198+BR220*BR198+BS220*BS198+BT220*BT198+BU220*BU198+BV220*BV198+BW220*BW198+BX220*BX198+BY220*BY198+BZ220*BZ198+CA220*CA198+CB220*CB198+CC220*CC198+CD220*CD198+CE220*CE198+CF220*CF198+CG220*CG198+CH220*CH198</f>
        <v>0</v>
      </c>
    </row>
    <row r="199" spans="2:99" ht="18" x14ac:dyDescent="0.25">
      <c r="B199" s="1058">
        <v>84</v>
      </c>
      <c r="C199" s="1158" t="s">
        <v>4285</v>
      </c>
      <c r="D199" s="1159" t="s">
        <v>2854</v>
      </c>
      <c r="E199" s="2073">
        <f>0</f>
        <v>0</v>
      </c>
      <c r="F199" s="2073">
        <f>0</f>
        <v>0</v>
      </c>
      <c r="G199" s="2073">
        <f>0</f>
        <v>0</v>
      </c>
      <c r="H199" s="2073">
        <f>0</f>
        <v>0</v>
      </c>
      <c r="I199" s="2090">
        <f>0</f>
        <v>0</v>
      </c>
      <c r="J199" s="2090">
        <f>0</f>
        <v>0</v>
      </c>
      <c r="K199" s="2073">
        <f>0</f>
        <v>0</v>
      </c>
      <c r="L199" s="2073">
        <f>0</f>
        <v>0</v>
      </c>
      <c r="M199" s="2073">
        <f>0</f>
        <v>0</v>
      </c>
      <c r="N199" s="2073">
        <f>0</f>
        <v>0</v>
      </c>
      <c r="O199" s="2073">
        <f>0</f>
        <v>0</v>
      </c>
      <c r="P199" s="2073">
        <f>0</f>
        <v>0</v>
      </c>
      <c r="Q199" s="2073">
        <f>0</f>
        <v>0</v>
      </c>
      <c r="R199" s="2073">
        <f>0</f>
        <v>0</v>
      </c>
      <c r="S199" s="2073">
        <f>0</f>
        <v>0</v>
      </c>
      <c r="T199" s="2073">
        <f>0</f>
        <v>0</v>
      </c>
      <c r="U199" s="2073">
        <f>0</f>
        <v>0</v>
      </c>
      <c r="V199" s="2073">
        <f>0</f>
        <v>0</v>
      </c>
      <c r="W199" s="2073">
        <f>0</f>
        <v>0</v>
      </c>
      <c r="X199" s="2073">
        <f>0</f>
        <v>0</v>
      </c>
      <c r="Y199" s="2073">
        <f>1</f>
        <v>1</v>
      </c>
      <c r="Z199" s="2073">
        <f>0</f>
        <v>0</v>
      </c>
      <c r="AA199" s="2073">
        <f>0</f>
        <v>0</v>
      </c>
      <c r="AB199" s="2073">
        <f>0</f>
        <v>0</v>
      </c>
      <c r="AC199" s="2090">
        <f>0</f>
        <v>0</v>
      </c>
      <c r="AD199" s="2090">
        <f>0</f>
        <v>0</v>
      </c>
      <c r="AE199" s="2073">
        <f>0</f>
        <v>0</v>
      </c>
      <c r="AF199" s="2073">
        <f>0</f>
        <v>0</v>
      </c>
      <c r="AG199" s="2073">
        <f>0</f>
        <v>0</v>
      </c>
      <c r="AH199" s="2073">
        <f>0</f>
        <v>0</v>
      </c>
      <c r="AI199" s="2090">
        <f>0</f>
        <v>0</v>
      </c>
      <c r="AJ199" s="2090">
        <f>0</f>
        <v>0</v>
      </c>
      <c r="AK199" s="2073">
        <f>0</f>
        <v>0</v>
      </c>
      <c r="AL199" s="2073">
        <f>0</f>
        <v>0</v>
      </c>
      <c r="AM199" s="2073">
        <f>0</f>
        <v>0</v>
      </c>
      <c r="AN199" s="2073">
        <f>0</f>
        <v>0</v>
      </c>
      <c r="AO199" s="2073">
        <f>0</f>
        <v>0</v>
      </c>
      <c r="AP199" s="2073">
        <f>0</f>
        <v>0</v>
      </c>
      <c r="AQ199" s="2073">
        <f>0</f>
        <v>0</v>
      </c>
      <c r="AR199" s="2073">
        <f>0</f>
        <v>0</v>
      </c>
      <c r="AS199" s="2073">
        <f>0</f>
        <v>0</v>
      </c>
      <c r="AT199" s="2073">
        <f>0</f>
        <v>0</v>
      </c>
      <c r="AU199" s="2073">
        <f>0</f>
        <v>0</v>
      </c>
      <c r="AV199" s="2073">
        <f>0</f>
        <v>0</v>
      </c>
      <c r="AW199" s="2073">
        <f>0</f>
        <v>0</v>
      </c>
      <c r="AX199" s="2073">
        <f>0</f>
        <v>0</v>
      </c>
      <c r="AY199" s="2073">
        <f>0</f>
        <v>0</v>
      </c>
      <c r="AZ199" s="2073">
        <f>0</f>
        <v>0</v>
      </c>
      <c r="BA199" s="2073">
        <f>0</f>
        <v>0</v>
      </c>
      <c r="BB199" s="2073">
        <f>0</f>
        <v>0</v>
      </c>
      <c r="BC199" s="2073">
        <f>0</f>
        <v>0</v>
      </c>
      <c r="BD199" s="2073">
        <f>0</f>
        <v>0</v>
      </c>
      <c r="BE199" s="2073">
        <f>0</f>
        <v>0</v>
      </c>
      <c r="BF199" s="2073">
        <f>0</f>
        <v>0</v>
      </c>
      <c r="BG199" s="2073">
        <f>0</f>
        <v>0</v>
      </c>
      <c r="BH199" s="2073">
        <f>0</f>
        <v>0</v>
      </c>
      <c r="BI199" s="2073">
        <f>0</f>
        <v>0</v>
      </c>
      <c r="BJ199" s="2073">
        <f>0</f>
        <v>0</v>
      </c>
      <c r="BK199" s="2073">
        <f>0</f>
        <v>0</v>
      </c>
      <c r="BL199" s="2073">
        <f>0</f>
        <v>0</v>
      </c>
      <c r="BM199" s="2073">
        <f>0</f>
        <v>0</v>
      </c>
      <c r="BN199" s="2073">
        <f>0</f>
        <v>0</v>
      </c>
      <c r="BO199" s="2073">
        <f>0</f>
        <v>0</v>
      </c>
      <c r="BP199" s="2128">
        <f>0</f>
        <v>0</v>
      </c>
      <c r="BQ199" s="2128">
        <f>0</f>
        <v>0</v>
      </c>
      <c r="BR199" s="2128">
        <f>0</f>
        <v>0</v>
      </c>
      <c r="BS199" s="2128">
        <f>0</f>
        <v>0</v>
      </c>
      <c r="BT199" s="2073">
        <f>0</f>
        <v>0</v>
      </c>
      <c r="BU199" s="2073">
        <f>0</f>
        <v>0</v>
      </c>
      <c r="BV199" s="2073">
        <f>0</f>
        <v>0</v>
      </c>
      <c r="BW199" s="2073">
        <f>0</f>
        <v>0</v>
      </c>
      <c r="BX199" s="2073">
        <f>0</f>
        <v>0</v>
      </c>
      <c r="BY199" s="2073">
        <f>0</f>
        <v>0</v>
      </c>
      <c r="BZ199" s="2073">
        <f>0</f>
        <v>0</v>
      </c>
      <c r="CA199" s="2073">
        <f>-1</f>
        <v>-1</v>
      </c>
      <c r="CB199" s="2073">
        <f>0</f>
        <v>0</v>
      </c>
      <c r="CC199" s="2073">
        <f>0</f>
        <v>0</v>
      </c>
      <c r="CD199" s="2073">
        <f>0</f>
        <v>0</v>
      </c>
      <c r="CE199" s="2073">
        <f>0</f>
        <v>0</v>
      </c>
      <c r="CF199" s="2073">
        <f>0</f>
        <v>0</v>
      </c>
      <c r="CG199" s="2073">
        <f>0</f>
        <v>0</v>
      </c>
      <c r="CH199" s="2073">
        <f>0</f>
        <v>0</v>
      </c>
      <c r="CI199" s="2150">
        <f>k_transfer_GNH3_bub</f>
        <v>0</v>
      </c>
      <c r="CK199" s="1950">
        <f>E210*E199+F210*F199+G210*G199+H210*H199+I210*I199+J210*J199+K210*K199+L210*L199+M210*M199+N210*N199+O210*O199+P210*P199+Q210*Q199+R210*R199+S210*S199+T210*T199+U210*U199+V210*V199+W210*W199+X210*X199+Y210*Y199+Z210*Z199+AA210*AA199+AB210*AB199+AC210*AC199+AD210*AD199+AE210*AE199+AF210*AF199+AG210*AG199+AH210*AH199+AI210*AI199+AJ210*AJ199+AK210*AK199+AL210*AL199+AM210*AM199+AN210*AN199+AO210*AO199+AP210*AP199+AQ210*AQ199+AR210*AR199+AS210*AS199+AT210*AT199+AU210*AU199+AV210*AV199+AW210*AW199+AX210*AX199+AY210*AY199+AZ210*AZ199+BA210*BA199+BB210*BB199+BC210*BC199+BD210*BD199+BE210*BE199+BF210*BF199+BG210*BG199+BH210*BH199+BI210*BI199+BJ210*BJ199+BK210*BK199+BL210*BL199+BM210*BM199+BN210*BN199+BO210*BO199+BP210*BP199+BQ210*BQ199+BR210*BR199+BS210*BS199+BT210*BT199+BU210*BU199+BV210*BV199+BW210*BW199+BX210*BX199+BY210*BY199+BZ210*BZ199+CA210*CA199+CB210*CB199+CC210*CC199+CD210*CD199+CE210*CE199+CF210*CF199+CG210*CG199+CH210*CH199</f>
        <v>0</v>
      </c>
      <c r="CL199" s="1950">
        <f>E211*E199+F211*F199+G211*G199+H211*H199+I211*I199+J211*J199+K211*K199+L211*L199+M211*M199+N211*N199+O211*O199+P211*P199+Q211*Q199+R211*R199+S211*S199+T211*T199+U211*U199+V211*V199+W211*W199+X211*X199+Y211*Y199+Z211*Z199+AA211*AA199+AB211*AB199+AC211*AC199+AD211*AD199+AE211*AE199+AF211*AF199+AG211*AG199+AH211*AH199+AI211*AI199+AJ211*AJ199+AK211*AK199+AL211*AL199+AM211*AM199+AN211*AN199+AO211*AO199+AP211*AP199+AQ211*AQ199+AR211*AR199+AS211*AS199+AT211*AT199+AU211*AU199+AV211*AV199+AW211*AW199+AX211*AX199+AY211*AY199+AZ211*AZ199+BA211*BA199+BB211*BB199+BC211*BC199+BD211*BD199+BE211*BE199+BF211*BF199+BG211*BG199+BH211*BH199+BI211*BI199+BJ211*BJ199+BK211*BK199+BL211*BL199+BM211*BM199+BN211*BN199+BO211*BO199+BP211*BP199+BQ211*BQ199+BR211*BR199+BS211*BS199+BT211*BT199+BU211*BU199+BV211*BV199+BW211*BW199+BX211*BX199+BY211*BY199+BZ211*BZ199+CA211*CA199+CB211*CB199+CC211*CC199+CD211*CD199+CE211*CE199+CF211*CF199+CG211*CG199+CH211*CH199</f>
        <v>0</v>
      </c>
      <c r="CM199" s="1951">
        <f>E212*E199+F212*F199+G212*G199+H212*H199+I212*I199+J212*J199+K212*K199+L212*L199+M212*M199+N212*N199+O212*O199+P212*P199+Q212*Q199+R212*R199+S212*S199+T212*T199+U212*U199+V212*V199+W212*W199+X212*X199+Y212*Y199+Z212*Z199+AA212*AA199+AB212*AB199+AC212*AC199+AD212*AD199+AE212*AE199+AF212*AF199+AG212*AG199+AH212*AH199+AI212*AI199+AJ212*AJ199+AK212*AK199+AL212*AL199+AM212*AM199+AN212*AN199+AO212*AO199+AP212*AP199+AQ212*AQ199+AR212*AR199+AS212*AS199+AT212*AT199+AU212*AU199+AV212*AV199+AW212*AW199+AX212*AX199+AY212*AY199+AZ212*AZ199+BA212*BA199+BB212*BB199+BC212*BC199+BD212*BD199+BE212*BE199+BF212*BF199+BG212*BG199+BH212*BH199+BI212*BI199+BJ212*BJ199+BK212*BK199+BL212*BL199+BM212*BM199+BN212*BN199+BO212*BO199+BP212*BP199+BQ212*BQ199+BR212*BR199+BS212*BS199+BT212*BT199+BU212*BU199+BV212*BV199+BW212*BW199+BX212*BX199+BY212*BY199+BZ212*BZ199+CA212*CA199+CB212*CB199+CC212*CC199+CD212*CD199+CE212*CE199+CF212*CF199+CG212*CG199+CH212*CH199</f>
        <v>0</v>
      </c>
      <c r="CN199" s="1952">
        <f>E213*E199+F213*F199+G213*G199+H213*H199+I213*I199+J213*J199+K213*K199+L213*L199+M213*M199+N213*N199+O213*O199+P213*P199+Q213*Q199+R213*R199+S213*S199+T213*T199+U213*U199+V213*V199+W213*W199+X213*X199+Y213*Y199+Z213*Z199+AA213*AA199+AB213*AB199+AC213*AC199+AD213*AD199+AE213*AE199+AF213*AF199+AG213*AG199+AH213*AH199+AI213*AI199+AJ213*AJ199+AK213*AK199+AL213*AL199+AM213*AM199+AN213*AN199+AO213*AO199+AP213*AP199+AQ213*AQ199+AR213*AR199+AS213*AS199+AT213*AT199+AU213*AU199+AV213*AV199+AW213*AW199+AX213*AX199+AY213*AY199+AZ213*AZ199+BA213*BA199+BB213*BB199+BC213*BC199+BD213*BD199+BE213*BE199+BF213*BF199+BG213*BG199+BH213*BH199+BI213*BI199+BJ213*BJ199+BK213*BK199+BL213*BL199+BM213*BM199+BN213*BN199+BO213*BO199+BP213*BP199+BQ213*BQ199+BR213*BR199+BS213*BS199+BT213*BT199+BU213*BU199+BV213*BV199+BW213*BW199+BX213*BX199+BY213*BY199+BZ213*BZ199+CA213*CA199+CB213*CB199+CC213*CC199+CD213*CD199+CE213*CE199+CF213*CF199+CG213*CG199+CH213*CH199</f>
        <v>0</v>
      </c>
      <c r="CO199" s="1952">
        <f>E214*E199+F214*F199+G214*G199+H214*H199+I214*I199+J214*J199+K214*K199+L214*L199+M214*M199+N214*N199+O214*O199+P214*P199+Q214*Q199+R214*R199+S214*S199+T214*T199+U214*U199+V214*V199+W214*W199+X214*X199+Y214*Y199+Z214*Z199+AA214*AA199+AB214*AB199+AC214*AC199+AD214*AD199+AE214*AE199+AF214*AF199+AG214*AG199+AH214*AH199+AI214*AI199+AJ214*AJ199+AK214*AK199+AL214*AL199+AM214*AM199+AN214*AN199+AO214*AO199+AP214*AP199+AQ214*AQ199+AR214*AR199+AS214*AS199+AT214*AT199+AU214*AU199+AV214*AV199+AW214*AW199+AX214*AX199+AY214*AY199+AZ214*AZ199+BA214*BA199+BB214*BB199+BC214*BC199+BD214*BD199+BE214*BE199+BF214*BF199+BG214*BG199+BH214*BH199+BI214*BI199+BJ214*BJ199+BK214*BK199+BL214*BL199+BM214*BM199+BN214*BN199+BO214*BO199+BP214*BP199+BQ214*BQ199+BR214*BR199+BS214*BS199+BT214*BT199+BU214*BU199+BV214*BV199+BW214*BW199+BX214*BX199+BY214*BY199+BZ214*BZ199+CA214*CA199+CB214*CB199+CC214*CC199+CD214*CD199+CE214*CE199+CF214*CF199+CG214*CG199+CH214*CH199</f>
        <v>0</v>
      </c>
      <c r="CP199" s="1952">
        <f>E215*E199+F215*F199+G215*G199+H215*H199+I215*I199+J215*J199+K215*K199+L215*L199+M215*M199+N215*N199+O215*O199+P215*P199+Q215*Q199+R215*R199+S215*S199+T215*T199+U215*U199+V215*V199+W215*W199+X215*X199+Y215*Y199+Z215*Z199+AA215*AA199+AB215*AB199+AC215*AC199+AD215*AD199+AE215*AE199+AF215*AF199+AG215*AG199+AH215*AH199+AI215*AI199+AJ215*AJ199+AK215*AK199+AL215*AL199+AM215*AM199+AN215*AN199+AO215*AO199+AP215*AP199+AQ215*AQ199+AR215*AR199+AS215*AS199+AT215*AT199+AU215*AU199+AV215*AV199+AW215*AW199+AX215*AX199+AY215*AY199+AZ215*AZ199+BA215*BA199+BB215*BB199+BC215*BC199+BD215*BD199+BE215*BE199+BF215*BF199+BG215*BG199+BH215*BH199+BI215*BI199+BJ215*BJ199+BK215*BK199+BL215*BL199+BM215*BM199+BN215*BN199+BO215*BO199+BP215*BP199+BQ215*BQ199+BR215*BR199+BS215*BS199+BT215*BT199+BU215*BU199+BV215*BV199+BW215*BW199+BX215*BX199+BY215*BY199+BZ215*BZ199+CA215*CA199+CB215*CB199+CC215*CC199+CD215*CD199+CE215*CE199+CF215*CF199+CG215*CG199+CH215*CH199</f>
        <v>0</v>
      </c>
      <c r="CQ199" s="1952">
        <f>E216*E199+F216*F199+G216*G199+H216*H199+I216*I199+J216*J199+K216*K199+L216*L199+M216*M199+N216*N199+O216*O199+P216*P199+Q216*Q199+R216*R199+S216*S199+T216*T199+U216*U199+V216*V199+W216*W199+X216*X199+Y216*Y199+Z216*Z199+AA216*AA199+AB216*AB199+AC216*AC199+AD216*AD199+AE216*AE199+AF216*AF199+AG216*AG199+AH216*AH199+AI216*AI199+AJ216*AJ199+AK216*AK199+AL216*AL199+AM216*AM199+AN216*AN199+AO216*AO199+AP216*AP199+AQ216*AQ199+AR216*AR199+AS216*AS199+AT216*AT199+AU216*AU199+AV216*AV199+AW216*AW199+AX216*AX199+AY216*AY199+AZ216*AZ199+BA216*BA199+BB216*BB199+BC216*BC199+BD216*BD199+BE216*BE199+BF216*BF199+BG216*BG199+BH216*BH199+BI216*BI199+BJ216*BJ199+BK216*BK199+BL216*BL199+BM216*BM199+BN216*BN199+BO216*BO199+BP216*BP199+BQ216*BQ199+BR216*BR199+BS216*BS199+BT216*BT199+BU216*BU199+BV216*BV199+BW216*BW199+BX216*BX199+BY216*BY199+BZ216*BZ199+CA216*CA199+CB216*CB199+CC216*CC199+CD216*CD199+CE216*CE199+CF216*CF199+CG216*CG199+CH216*CH199</f>
        <v>0</v>
      </c>
      <c r="CR199" s="1952">
        <f>E217*E199+F217*F199+G217*G199+H217*H199+I217*I199+J217*J199+K217*K199+L217*L199+M217*M199+N217*N199+O217*O199+P217*P199+Q217*Q199+R217*R199+S217*S199+T217*T199+U217*U199+V217*V199+W217*W199+X217*X199+Y217*Y199+Z217*Z199+AA217*AA199+AB217*AB199+AC217*AC199+AD217*AD199+AE217*AE199+AF217*AF199+AG217*AG199+AH217*AH199+AI217*AI199+AJ217*AJ199+AK217*AK199+AL217*AL199+AM217*AM199+AN217*AN199+AO217*AO199+AP217*AP199+AQ217*AQ199+AR217*AR199+AS217*AS199+AT217*AT199+AU217*AU199+AV217*AV199+AW217*AW199+AX217*AX199+AY217*AY199+AZ217*AZ199+BA217*BA199+BB217*BB199+BC217*BC199+BD217*BD199+BE217*BE199+BF217*BF199+BG217*BG199+BH217*BH199+BI217*BI199+BJ217*BJ199+BK217*BK199+BL217*BL199+BM217*BM199+BN217*BN199+BO217*BO199+BP217*BP199+BQ217*BQ199+BR217*BR199+BS217*BS199+BT217*BT199+BU217*BU199+BV217*BV199+BW217*BW199+BX217*BX199+BY217*BY199+BZ217*BZ199+CA217*CA199+CB217*CB199+CC217*CC199+CD217*CD199+CE217*CE199+CF217*CF199+CG217*CG199+CH217*CH199</f>
        <v>0</v>
      </c>
      <c r="CS199" s="1952">
        <f>E218*E199+F218*F199+G218*G199+H218*H199+I218*I199+J218*J199+K218*K199+L218*L199+M218*M199+N218*N199+O218*O199+P218*P199+Q218*Q199+R218*R199+S218*S199+T218*T199+U218*U199+V218*V199+W218*W199+X218*X199+Y218*Y199+Z218*Z199+AA218*AA199+AB218*AB199+AC218*AC199+AD218*AD199+AE218*AE199+AF218*AF199+AG218*AG199+AH218*AH199+AI218*AI199+AJ218*AJ199+AK218*AK199+AL218*AL199+AM218*AM199+AN218*AN199+AO218*AO199+AP218*AP199+AQ218*AQ199+AR218*AR199+AS218*AS199+AT218*AT199+AU218*AU199+AV218*AV199+AW218*AW199+AX218*AX199+AY218*AY199+AZ218*AZ199+BA218*BA199+BB218*BB199+BC218*BC199+BD218*BD199+BE218*BE199+BF218*BF199+BG218*BG199+BH218*BH199+BI218*BI199+BJ218*BJ199+BK218*BK199+BL218*BL199+BM218*BM199+BN218*BN199+BO218*BO199+BP218*BP199+BQ218*BQ199+BR218*BR199+BS218*BS199+BT218*BT199+BU218*BU199+BV218*BV199+BW218*BW199+BX218*BX199+BY218*BY199+BZ218*BZ199+CA218*CA199+CB218*CB199+CC218*CC199+CD218*CD199+CE218*CE199+CF218*CF199+CG218*CG199+CH218*CH199</f>
        <v>0</v>
      </c>
      <c r="CT199" s="1952">
        <f>E219*E199+F219*F199+G219*G199+H219*H199+I219*I199+J219*J199+K219*K199+L219*L199+M219*M199+N219*N199+O219*O199+P219*P199+Q219*Q199+R219*R199+S219*S199+T219*T199+U219*U199+V219*V199+W219*W199+X219*X199+Y219*Y199+Z219*Z199+AA219*AA199+AB219*AB199+AC219*AC199+AD219*AD199+AE219*AE199+AF219*AF199+AG219*AG199+AH219*AH199+AI219*AI199+AJ219*AJ199+AK219*AK199+AL219*AL199+AM219*AM199+AN219*AN199+AO219*AO199+AP219*AP199+AQ219*AQ199+AR219*AR199+AS219*AS199+AT219*AT199+AU219*AU199+AV219*AV199+AW219*AW199+AX219*AX199+AY219*AY199+AZ219*AZ199+BA219*BA199+BB219*BB199+BC219*BC199+BD219*BD199+BE219*BE199+BF219*BF199+BG219*BG199+BH219*BH199+BI219*BI199+BJ219*BJ199+BK219*BK199+BL219*BL199+BM219*BM199+BN219*BN199+BO219*BO199+BP219*BP199+BQ219*BQ199+BR219*BR199+BS219*BS199+BT219*BT199+BU219*BU199+BV219*BV199+BW219*BW199+BX219*BX199+BY219*BY199+BZ219*BZ199+CA219*CA199+CB219*CB199+CC219*CC199+CD219*CD199+CE219*CE199+CF219*CF199+CG219*CG199+CH219*CH199</f>
        <v>0</v>
      </c>
      <c r="CU199" s="1952">
        <f>E220*E199+F220*F199+G220*G199+H220*H199+I220*I199+J220*J199+K220*K199+L220*L199+M220*M199+N220*N199+O220*O199+P220*P199+Q220*Q199+R220*R199+S220*S199+T220*T199+U220*U199+V220*V199+W220*W199+X220*X199+Y220*Y199+Z220*Z199+AA220*AA199+AB220*AB199+AC220*AC199+AD220*AD199+AE220*AE199+AF220*AF199+AG220*AG199+AH220*AH199+AI220*AI199+AJ220*AJ199+AK220*AK199+AL220*AL199+AM220*AM199+AN220*AN199+AO220*AO199+AP220*AP199+AQ220*AQ199+AR220*AR199+AS220*AS199+AT220*AT199+AU220*AU199+AV220*AV199+AW220*AW199+AX220*AX199+AY220*AY199+AZ220*AZ199+BA220*BA199+BB220*BB199+BC220*BC199+BD220*BD199+BE220*BE199+BF220*BF199+BG220*BG199+BH220*BH199+BI220*BI199+BJ220*BJ199+BK220*BK199+BL220*BL199+BM220*BM199+BN220*BN199+BO220*BO199+BP220*BP199+BQ220*BQ199+BR220*BR199+BS220*BS199+BT220*BT199+BU220*BU199+BV220*BV199+BW220*BW199+BX220*BX199+BY220*BY199+BZ220*BZ199+CA220*CA199+CB220*CB199+CC220*CC199+CD220*CD199+CE220*CE199+CF220*CF199+CG220*CG199+CH220*CH199</f>
        <v>0</v>
      </c>
    </row>
    <row r="200" spans="2:99" ht="18" x14ac:dyDescent="0.25">
      <c r="B200" s="1058">
        <v>85</v>
      </c>
      <c r="C200" s="1158" t="s">
        <v>4380</v>
      </c>
      <c r="D200" s="1159" t="s">
        <v>2855</v>
      </c>
      <c r="E200" s="2073">
        <f>0</f>
        <v>0</v>
      </c>
      <c r="F200" s="2073">
        <f>0</f>
        <v>0</v>
      </c>
      <c r="G200" s="2073">
        <f>0</f>
        <v>0</v>
      </c>
      <c r="H200" s="2073">
        <f>0</f>
        <v>0</v>
      </c>
      <c r="I200" s="2090">
        <f>0</f>
        <v>0</v>
      </c>
      <c r="J200" s="2090">
        <f>0</f>
        <v>0</v>
      </c>
      <c r="K200" s="2073">
        <f>0</f>
        <v>0</v>
      </c>
      <c r="L200" s="2073">
        <f>0</f>
        <v>0</v>
      </c>
      <c r="M200" s="2073">
        <f>0</f>
        <v>0</v>
      </c>
      <c r="N200" s="2073">
        <f>0</f>
        <v>0</v>
      </c>
      <c r="O200" s="2073">
        <f>0</f>
        <v>0</v>
      </c>
      <c r="P200" s="2073">
        <f>0</f>
        <v>0</v>
      </c>
      <c r="Q200" s="2073">
        <f>0</f>
        <v>0</v>
      </c>
      <c r="R200" s="2073">
        <f>0</f>
        <v>0</v>
      </c>
      <c r="S200" s="2073">
        <f>0</f>
        <v>0</v>
      </c>
      <c r="T200" s="2073">
        <f>0</f>
        <v>0</v>
      </c>
      <c r="U200" s="2073">
        <f>0</f>
        <v>0</v>
      </c>
      <c r="V200" s="2073">
        <f>0</f>
        <v>0</v>
      </c>
      <c r="W200" s="2073">
        <f>0</f>
        <v>0</v>
      </c>
      <c r="X200" s="2073">
        <f>0</f>
        <v>0</v>
      </c>
      <c r="Y200" s="2073">
        <f>0</f>
        <v>0</v>
      </c>
      <c r="Z200" s="2073">
        <f>0</f>
        <v>0</v>
      </c>
      <c r="AA200" s="2073">
        <f>1</f>
        <v>1</v>
      </c>
      <c r="AB200" s="2073">
        <f>0</f>
        <v>0</v>
      </c>
      <c r="AC200" s="2090">
        <f>0</f>
        <v>0</v>
      </c>
      <c r="AD200" s="2090">
        <f>0</f>
        <v>0</v>
      </c>
      <c r="AE200" s="2073">
        <f>0</f>
        <v>0</v>
      </c>
      <c r="AF200" s="2073">
        <f>0</f>
        <v>0</v>
      </c>
      <c r="AG200" s="2073">
        <f>0</f>
        <v>0</v>
      </c>
      <c r="AH200" s="2073">
        <f>0</f>
        <v>0</v>
      </c>
      <c r="AI200" s="2090">
        <f>0</f>
        <v>0</v>
      </c>
      <c r="AJ200" s="2090">
        <f>0</f>
        <v>0</v>
      </c>
      <c r="AK200" s="2073">
        <f>0</f>
        <v>0</v>
      </c>
      <c r="AL200" s="2073">
        <f>0</f>
        <v>0</v>
      </c>
      <c r="AM200" s="2073">
        <f>0</f>
        <v>0</v>
      </c>
      <c r="AN200" s="2073">
        <f>0</f>
        <v>0</v>
      </c>
      <c r="AO200" s="2073">
        <f>0</f>
        <v>0</v>
      </c>
      <c r="AP200" s="2073">
        <f>0</f>
        <v>0</v>
      </c>
      <c r="AQ200" s="2073">
        <f>0</f>
        <v>0</v>
      </c>
      <c r="AR200" s="2073">
        <f>0</f>
        <v>0</v>
      </c>
      <c r="AS200" s="2073">
        <f>0</f>
        <v>0</v>
      </c>
      <c r="AT200" s="2073">
        <f>0</f>
        <v>0</v>
      </c>
      <c r="AU200" s="2073">
        <f>0</f>
        <v>0</v>
      </c>
      <c r="AV200" s="2073">
        <f>0</f>
        <v>0</v>
      </c>
      <c r="AW200" s="2073">
        <f>0</f>
        <v>0</v>
      </c>
      <c r="AX200" s="2073">
        <f>0</f>
        <v>0</v>
      </c>
      <c r="AY200" s="2073">
        <f>0</f>
        <v>0</v>
      </c>
      <c r="AZ200" s="2073">
        <f>0</f>
        <v>0</v>
      </c>
      <c r="BA200" s="2073">
        <f>0</f>
        <v>0</v>
      </c>
      <c r="BB200" s="2073">
        <f>0</f>
        <v>0</v>
      </c>
      <c r="BC200" s="2073">
        <f>0</f>
        <v>0</v>
      </c>
      <c r="BD200" s="2073">
        <f>0</f>
        <v>0</v>
      </c>
      <c r="BE200" s="2073">
        <f>0</f>
        <v>0</v>
      </c>
      <c r="BF200" s="2073">
        <f>0</f>
        <v>0</v>
      </c>
      <c r="BG200" s="2073">
        <f>0</f>
        <v>0</v>
      </c>
      <c r="BH200" s="2073">
        <f>0</f>
        <v>0</v>
      </c>
      <c r="BI200" s="2073">
        <f>0</f>
        <v>0</v>
      </c>
      <c r="BJ200" s="2073">
        <f>0</f>
        <v>0</v>
      </c>
      <c r="BK200" s="2073">
        <f>0</f>
        <v>0</v>
      </c>
      <c r="BL200" s="2073">
        <f>0</f>
        <v>0</v>
      </c>
      <c r="BM200" s="2073">
        <f>0</f>
        <v>0</v>
      </c>
      <c r="BN200" s="2073">
        <f>0</f>
        <v>0</v>
      </c>
      <c r="BO200" s="2073">
        <f>0</f>
        <v>0</v>
      </c>
      <c r="BP200" s="2128">
        <f>0</f>
        <v>0</v>
      </c>
      <c r="BQ200" s="2128">
        <f>0</f>
        <v>0</v>
      </c>
      <c r="BR200" s="2128">
        <f>0</f>
        <v>0</v>
      </c>
      <c r="BS200" s="2128">
        <f>0</f>
        <v>0</v>
      </c>
      <c r="BT200" s="2073">
        <f>0</f>
        <v>0</v>
      </c>
      <c r="BU200" s="2073">
        <f>0</f>
        <v>0</v>
      </c>
      <c r="BV200" s="2073">
        <f>0</f>
        <v>0</v>
      </c>
      <c r="BW200" s="2073">
        <f>0</f>
        <v>0</v>
      </c>
      <c r="BX200" s="2073">
        <f>0</f>
        <v>0</v>
      </c>
      <c r="BY200" s="2073">
        <f>0</f>
        <v>0</v>
      </c>
      <c r="BZ200" s="2073">
        <f>0</f>
        <v>0</v>
      </c>
      <c r="CA200" s="2073">
        <f>0</f>
        <v>0</v>
      </c>
      <c r="CB200" s="2073">
        <f>-1</f>
        <v>-1</v>
      </c>
      <c r="CC200" s="2073">
        <f>0</f>
        <v>0</v>
      </c>
      <c r="CD200" s="2073">
        <f>0</f>
        <v>0</v>
      </c>
      <c r="CE200" s="2073">
        <f>0</f>
        <v>0</v>
      </c>
      <c r="CF200" s="2073">
        <f>0</f>
        <v>0</v>
      </c>
      <c r="CG200" s="2073">
        <f>0</f>
        <v>0</v>
      </c>
      <c r="CH200" s="2073">
        <f>0</f>
        <v>0</v>
      </c>
      <c r="CI200" s="2150">
        <f>k_LaGN2_bub*(S_GN2_bub_sat-S_N2)</f>
        <v>-272.94299999999998</v>
      </c>
      <c r="CK200" s="1950">
        <f>E210*E200+F210*F200+G210*G200+H210*H200+I210*I200+J210*J200+K210*K200+L210*L200+M210*M200+N210*N200+O210*O200+P210*P200+Q210*Q200+R210*R200+S210*S200+T210*T200+U210*U200+V210*V200+W210*W200+X210*X200+Y210*Y200+Z210*Z200+AA210*AA200+AB210*AB200+AC210*AC200+AD210*AD200+AE210*AE200+AF210*AF200+AG210*AG200+AH210*AH200+AI210*AI200+AJ210*AJ200+AK210*AK200+AL210*AL200+AM210*AM200+AN210*AN200+AO210*AO200+AP210*AP200+AQ210*AQ200+AR210*AR200+AS210*AS200+AT210*AT200+AU210*AU200+AV210*AV200+AW210*AW200+AX210*AX200+AY210*AY200+AZ210*AZ200+BA210*BA200+BB210*BB200+BC210*BC200+BD210*BD200+BE210*BE200+BF210*BF200+BG210*BG200+BH210*BH200+BI210*BI200+BJ210*BJ200+BK210*BK200+BL210*BL200+BM210*BM200+BN210*BN200+BO210*BO200+BP210*BP200+BQ210*BQ200+BR210*BR200+BS210*BS200+BT210*BT200+BU210*BU200+BV210*BV200+BW210*BW200+BX210*BX200+BY210*BY200+BZ210*BZ200+CA210*CA200+CB210*CB200+CC210*CC200+CD210*CD200+CE210*CE200+CF210*CF200+CG210*CG200+CH210*CH200</f>
        <v>0</v>
      </c>
      <c r="CL200" s="1950">
        <f>E211*E200+F211*F200+G211*G200+H211*H200+I211*I200+J211*J200+K211*K200+L211*L200+M211*M200+N211*N200+O211*O200+P211*P200+Q211*Q200+R211*R200+S211*S200+T211*T200+U211*U200+V211*V200+W211*W200+X211*X200+Y211*Y200+Z211*Z200+AA211*AA200+AB211*AB200+AC211*AC200+AD211*AD200+AE211*AE200+AF211*AF200+AG211*AG200+AH211*AH200+AI211*AI200+AJ211*AJ200+AK211*AK200+AL211*AL200+AM211*AM200+AN211*AN200+AO211*AO200+AP211*AP200+AQ211*AQ200+AR211*AR200+AS211*AS200+AT211*AT200+AU211*AU200+AV211*AV200+AW211*AW200+AX211*AX200+AY211*AY200+AZ211*AZ200+BA211*BA200+BB211*BB200+BC211*BC200+BD211*BD200+BE211*BE200+BF211*BF200+BG211*BG200+BH211*BH200+BI211*BI200+BJ211*BJ200+BK211*BK200+BL211*BL200+BM211*BM200+BN211*BN200+BO211*BO200+BP211*BP200+BQ211*BQ200+BR211*BR200+BS211*BS200+BT211*BT200+BU211*BU200+BV211*BV200+BW211*BW200+BX211*BX200+BY211*BY200+BZ211*BZ200+CA211*CA200+CB211*CB200+CC211*CC200+CD211*CD200+CE211*CE200+CF211*CF200+CG211*CG200+CH211*CH200</f>
        <v>0</v>
      </c>
      <c r="CM200" s="1951">
        <f>E212*E200+F212*F200+G212*G200+H212*H200+I212*I200+J212*J200+K212*K200+L212*L200+M212*M200+N212*N200+O212*O200+P212*P200+Q212*Q200+R212*R200+S212*S200+T212*T200+U212*U200+V212*V200+W212*W200+X212*X200+Y212*Y200+Z212*Z200+AA212*AA200+AB212*AB200+AC212*AC200+AD212*AD200+AE212*AE200+AF212*AF200+AG212*AG200+AH212*AH200+AI212*AI200+AJ212*AJ200+AK212*AK200+AL212*AL200+AM212*AM200+AN212*AN200+AO212*AO200+AP212*AP200+AQ212*AQ200+AR212*AR200+AS212*AS200+AT212*AT200+AU212*AU200+AV212*AV200+AW212*AW200+AX212*AX200+AY212*AY200+AZ212*AZ200+BA212*BA200+BB212*BB200+BC212*BC200+BD212*BD200+BE212*BE200+BF212*BF200+BG212*BG200+BH212*BH200+BI212*BI200+BJ212*BJ200+BK212*BK200+BL212*BL200+BM212*BM200+BN212*BN200+BO212*BO200+BP212*BP200+BQ212*BQ200+BR212*BR200+BS212*BS200+BT212*BT200+BU212*BU200+BV212*BV200+BW212*BW200+BX212*BX200+BY212*BY200+BZ212*BZ200+CA212*CA200+CB212*CB200+CC212*CC200+CD212*CD200+CE212*CE200+CF212*CF200+CG212*CG200+CH212*CH200</f>
        <v>0</v>
      </c>
      <c r="CN200" s="1952">
        <f>E213*E200+F213*F200+G213*G200+H213*H200+I213*I200+J213*J200+K213*K200+L213*L200+M213*M200+N213*N200+O213*O200+P213*P200+Q213*Q200+R213*R200+S213*S200+T213*T200+U213*U200+V213*V200+W213*W200+X213*X200+Y213*Y200+Z213*Z200+AA213*AA200+AB213*AB200+AC213*AC200+AD213*AD200+AE213*AE200+AF213*AF200+AG213*AG200+AH213*AH200+AI213*AI200+AJ213*AJ200+AK213*AK200+AL213*AL200+AM213*AM200+AN213*AN200+AO213*AO200+AP213*AP200+AQ213*AQ200+AR213*AR200+AS213*AS200+AT213*AT200+AU213*AU200+AV213*AV200+AW213*AW200+AX213*AX200+AY213*AY200+AZ213*AZ200+BA213*BA200+BB213*BB200+BC213*BC200+BD213*BD200+BE213*BE200+BF213*BF200+BG213*BG200+BH213*BH200+BI213*BI200+BJ213*BJ200+BK213*BK200+BL213*BL200+BM213*BM200+BN213*BN200+BO213*BO200+BP213*BP200+BQ213*BQ200+BR213*BR200+BS213*BS200+BT213*BT200+BU213*BU200+BV213*BV200+BW213*BW200+BX213*BX200+BY213*BY200+BZ213*BZ200+CA213*CA200+CB213*CB200+CC213*CC200+CD213*CD200+CE213*CE200+CF213*CF200+CG213*CG200+CH213*CH200</f>
        <v>0</v>
      </c>
      <c r="CO200" s="1952">
        <f>E214*E200+F214*F200+G214*G200+H214*H200+I214*I200+J214*J200+K214*K200+L214*L200+M214*M200+N214*N200+O214*O200+P214*P200+Q214*Q200+R214*R200+S214*S200+T214*T200+U214*U200+V214*V200+W214*W200+X214*X200+Y214*Y200+Z214*Z200+AA214*AA200+AB214*AB200+AC214*AC200+AD214*AD200+AE214*AE200+AF214*AF200+AG214*AG200+AH214*AH200+AI214*AI200+AJ214*AJ200+AK214*AK200+AL214*AL200+AM214*AM200+AN214*AN200+AO214*AO200+AP214*AP200+AQ214*AQ200+AR214*AR200+AS214*AS200+AT214*AT200+AU214*AU200+AV214*AV200+AW214*AW200+AX214*AX200+AY214*AY200+AZ214*AZ200+BA214*BA200+BB214*BB200+BC214*BC200+BD214*BD200+BE214*BE200+BF214*BF200+BG214*BG200+BH214*BH200+BI214*BI200+BJ214*BJ200+BK214*BK200+BL214*BL200+BM214*BM200+BN214*BN200+BO214*BO200+BP214*BP200+BQ214*BQ200+BR214*BR200+BS214*BS200+BT214*BT200+BU214*BU200+BV214*BV200+BW214*BW200+BX214*BX200+BY214*BY200+BZ214*BZ200+CA214*CA200+CB214*CB200+CC214*CC200+CD214*CD200+CE214*CE200+CF214*CF200+CG214*CG200+CH214*CH200</f>
        <v>0</v>
      </c>
      <c r="CP200" s="1952">
        <f>E215*E200+F215*F200+G215*G200+H215*H200+I215*I200+J215*J200+K215*K200+L215*L200+M215*M200+N215*N200+O215*O200+P215*P200+Q215*Q200+R215*R200+S215*S200+T215*T200+U215*U200+V215*V200+W215*W200+X215*X200+Y215*Y200+Z215*Z200+AA215*AA200+AB215*AB200+AC215*AC200+AD215*AD200+AE215*AE200+AF215*AF200+AG215*AG200+AH215*AH200+AI215*AI200+AJ215*AJ200+AK215*AK200+AL215*AL200+AM215*AM200+AN215*AN200+AO215*AO200+AP215*AP200+AQ215*AQ200+AR215*AR200+AS215*AS200+AT215*AT200+AU215*AU200+AV215*AV200+AW215*AW200+AX215*AX200+AY215*AY200+AZ215*AZ200+BA215*BA200+BB215*BB200+BC215*BC200+BD215*BD200+BE215*BE200+BF215*BF200+BG215*BG200+BH215*BH200+BI215*BI200+BJ215*BJ200+BK215*BK200+BL215*BL200+BM215*BM200+BN215*BN200+BO215*BO200+BP215*BP200+BQ215*BQ200+BR215*BR200+BS215*BS200+BT215*BT200+BU215*BU200+BV215*BV200+BW215*BW200+BX215*BX200+BY215*BY200+BZ215*BZ200+CA215*CA200+CB215*CB200+CC215*CC200+CD215*CD200+CE215*CE200+CF215*CF200+CG215*CG200+CH215*CH200</f>
        <v>0</v>
      </c>
      <c r="CQ200" s="1952">
        <f>E216*E200+F216*F200+G216*G200+H216*H200+I216*I200+J216*J200+K216*K200+L216*L200+M216*M200+N216*N200+O216*O200+P216*P200+Q216*Q200+R216*R200+S216*S200+T216*T200+U216*U200+V216*V200+W216*W200+X216*X200+Y216*Y200+Z216*Z200+AA216*AA200+AB216*AB200+AC216*AC200+AD216*AD200+AE216*AE200+AF216*AF200+AG216*AG200+AH216*AH200+AI216*AI200+AJ216*AJ200+AK216*AK200+AL216*AL200+AM216*AM200+AN216*AN200+AO216*AO200+AP216*AP200+AQ216*AQ200+AR216*AR200+AS216*AS200+AT216*AT200+AU216*AU200+AV216*AV200+AW216*AW200+AX216*AX200+AY216*AY200+AZ216*AZ200+BA216*BA200+BB216*BB200+BC216*BC200+BD216*BD200+BE216*BE200+BF216*BF200+BG216*BG200+BH216*BH200+BI216*BI200+BJ216*BJ200+BK216*BK200+BL216*BL200+BM216*BM200+BN216*BN200+BO216*BO200+BP216*BP200+BQ216*BQ200+BR216*BR200+BS216*BS200+BT216*BT200+BU216*BU200+BV216*BV200+BW216*BW200+BX216*BX200+BY216*BY200+BZ216*BZ200+CA216*CA200+CB216*CB200+CC216*CC200+CD216*CD200+CE216*CE200+CF216*CF200+CG216*CG200+CH216*CH200</f>
        <v>0</v>
      </c>
      <c r="CR200" s="1952">
        <f>E217*E200+F217*F200+G217*G200+H217*H200+I217*I200+J217*J200+K217*K200+L217*L200+M217*M200+N217*N200+O217*O200+P217*P200+Q217*Q200+R217*R200+S217*S200+T217*T200+U217*U200+V217*V200+W217*W200+X217*X200+Y217*Y200+Z217*Z200+AA217*AA200+AB217*AB200+AC217*AC200+AD217*AD200+AE217*AE200+AF217*AF200+AG217*AG200+AH217*AH200+AI217*AI200+AJ217*AJ200+AK217*AK200+AL217*AL200+AM217*AM200+AN217*AN200+AO217*AO200+AP217*AP200+AQ217*AQ200+AR217*AR200+AS217*AS200+AT217*AT200+AU217*AU200+AV217*AV200+AW217*AW200+AX217*AX200+AY217*AY200+AZ217*AZ200+BA217*BA200+BB217*BB200+BC217*BC200+BD217*BD200+BE217*BE200+BF217*BF200+BG217*BG200+BH217*BH200+BI217*BI200+BJ217*BJ200+BK217*BK200+BL217*BL200+BM217*BM200+BN217*BN200+BO217*BO200+BP217*BP200+BQ217*BQ200+BR217*BR200+BS217*BS200+BT217*BT200+BU217*BU200+BV217*BV200+BW217*BW200+BX217*BX200+BY217*BY200+BZ217*BZ200+CA217*CA200+CB217*CB200+CC217*CC200+CD217*CD200+CE217*CE200+CF217*CF200+CG217*CG200+CH217*CH200</f>
        <v>0</v>
      </c>
      <c r="CS200" s="1952">
        <f>E218*E200+F218*F200+G218*G200+H218*H200+I218*I200+J218*J200+K218*K200+L218*L200+M218*M200+N218*N200+O218*O200+P218*P200+Q218*Q200+R218*R200+S218*S200+T218*T200+U218*U200+V218*V200+W218*W200+X218*X200+Y218*Y200+Z218*Z200+AA218*AA200+AB218*AB200+AC218*AC200+AD218*AD200+AE218*AE200+AF218*AF200+AG218*AG200+AH218*AH200+AI218*AI200+AJ218*AJ200+AK218*AK200+AL218*AL200+AM218*AM200+AN218*AN200+AO218*AO200+AP218*AP200+AQ218*AQ200+AR218*AR200+AS218*AS200+AT218*AT200+AU218*AU200+AV218*AV200+AW218*AW200+AX218*AX200+AY218*AY200+AZ218*AZ200+BA218*BA200+BB218*BB200+BC218*BC200+BD218*BD200+BE218*BE200+BF218*BF200+BG218*BG200+BH218*BH200+BI218*BI200+BJ218*BJ200+BK218*BK200+BL218*BL200+BM218*BM200+BN218*BN200+BO218*BO200+BP218*BP200+BQ218*BQ200+BR218*BR200+BS218*BS200+BT218*BT200+BU218*BU200+BV218*BV200+BW218*BW200+BX218*BX200+BY218*BY200+BZ218*BZ200+CA218*CA200+CB218*CB200+CC218*CC200+CD218*CD200+CE218*CE200+CF218*CF200+CG218*CG200+CH218*CH200</f>
        <v>0</v>
      </c>
      <c r="CT200" s="1952">
        <f>E219*E200+F219*F200+G219*G200+H219*H200+I219*I200+J219*J200+K219*K200+L219*L200+M219*M200+N219*N200+O219*O200+P219*P200+Q219*Q200+R219*R200+S219*S200+T219*T200+U219*U200+V219*V200+W219*W200+X219*X200+Y219*Y200+Z219*Z200+AA219*AA200+AB219*AB200+AC219*AC200+AD219*AD200+AE219*AE200+AF219*AF200+AG219*AG200+AH219*AH200+AI219*AI200+AJ219*AJ200+AK219*AK200+AL219*AL200+AM219*AM200+AN219*AN200+AO219*AO200+AP219*AP200+AQ219*AQ200+AR219*AR200+AS219*AS200+AT219*AT200+AU219*AU200+AV219*AV200+AW219*AW200+AX219*AX200+AY219*AY200+AZ219*AZ200+BA219*BA200+BB219*BB200+BC219*BC200+BD219*BD200+BE219*BE200+BF219*BF200+BG219*BG200+BH219*BH200+BI219*BI200+BJ219*BJ200+BK219*BK200+BL219*BL200+BM219*BM200+BN219*BN200+BO219*BO200+BP219*BP200+BQ219*BQ200+BR219*BR200+BS219*BS200+BT219*BT200+BU219*BU200+BV219*BV200+BW219*BW200+BX219*BX200+BY219*BY200+BZ219*BZ200+CA219*CA200+CB219*CB200+CC219*CC200+CD219*CD200+CE219*CE200+CF219*CF200+CG219*CG200+CH219*CH200</f>
        <v>0</v>
      </c>
      <c r="CU200" s="1952">
        <f>E220*E200+F220*F200+G220*G200+H220*H200+I220*I200+J220*J200+K220*K200+L220*L200+M220*M200+N220*N200+O220*O200+P220*P200+Q220*Q200+R220*R200+S220*S200+T220*T200+U220*U200+V220*V200+W220*W200+X220*X200+Y220*Y200+Z220*Z200+AA220*AA200+AB220*AB200+AC220*AC200+AD220*AD200+AE220*AE200+AF220*AF200+AG220*AG200+AH220*AH200+AI220*AI200+AJ220*AJ200+AK220*AK200+AL220*AL200+AM220*AM200+AN220*AN200+AO220*AO200+AP220*AP200+AQ220*AQ200+AR220*AR200+AS220*AS200+AT220*AT200+AU220*AU200+AV220*AV200+AW220*AW200+AX220*AX200+AY220*AY200+AZ220*AZ200+BA220*BA200+BB220*BB200+BC220*BC200+BD220*BD200+BE220*BE200+BF220*BF200+BG220*BG200+BH220*BH200+BI220*BI200+BJ220*BJ200+BK220*BK200+BL220*BL200+BM220*BM200+BN220*BN200+BO220*BO200+BP220*BP200+BQ220*BQ200+BR220*BR200+BS220*BS200+BT220*BT200+BU220*BU200+BV220*BV200+BW220*BW200+BX220*BX200+BY220*BY200+BZ220*BZ200+CA220*CA200+CB220*CB200+CC220*CC200+CD220*CD200+CE220*CE200+CF220*CF200+CG220*CG200+CH220*CH200</f>
        <v>0</v>
      </c>
    </row>
    <row r="201" spans="2:99" ht="18" x14ac:dyDescent="0.25">
      <c r="B201" s="1043">
        <v>86</v>
      </c>
      <c r="C201" s="1112" t="s">
        <v>4381</v>
      </c>
      <c r="D201" s="1113" t="s">
        <v>2856</v>
      </c>
      <c r="E201" s="2062">
        <f>0</f>
        <v>0</v>
      </c>
      <c r="F201" s="2062">
        <f>0</f>
        <v>0</v>
      </c>
      <c r="G201" s="2062">
        <f>0</f>
        <v>0</v>
      </c>
      <c r="H201" s="2062">
        <f>0</f>
        <v>0</v>
      </c>
      <c r="I201" s="2083">
        <f>0</f>
        <v>0</v>
      </c>
      <c r="J201" s="2083">
        <f>0</f>
        <v>0</v>
      </c>
      <c r="K201" s="2062">
        <f>0</f>
        <v>0</v>
      </c>
      <c r="L201" s="2062">
        <f>0</f>
        <v>0</v>
      </c>
      <c r="M201" s="2062">
        <f>0</f>
        <v>0</v>
      </c>
      <c r="N201" s="2062">
        <f>0</f>
        <v>0</v>
      </c>
      <c r="O201" s="2062">
        <f>0</f>
        <v>0</v>
      </c>
      <c r="P201" s="2062">
        <f>0</f>
        <v>0</v>
      </c>
      <c r="Q201" s="2062">
        <f>0</f>
        <v>0</v>
      </c>
      <c r="R201" s="2062">
        <f>0</f>
        <v>0</v>
      </c>
      <c r="S201" s="2062">
        <f>0</f>
        <v>0</v>
      </c>
      <c r="T201" s="2062">
        <f>0</f>
        <v>0</v>
      </c>
      <c r="U201" s="2062">
        <f>0</f>
        <v>0</v>
      </c>
      <c r="V201" s="2062">
        <f>0</f>
        <v>0</v>
      </c>
      <c r="W201" s="2062">
        <f>0</f>
        <v>0</v>
      </c>
      <c r="X201" s="2062">
        <f>0</f>
        <v>0</v>
      </c>
      <c r="Y201" s="2062">
        <f>0</f>
        <v>0</v>
      </c>
      <c r="Z201" s="2062">
        <f>0</f>
        <v>0</v>
      </c>
      <c r="AA201" s="2062">
        <f>0</f>
        <v>0</v>
      </c>
      <c r="AB201" s="2062">
        <f>0</f>
        <v>0</v>
      </c>
      <c r="AC201" s="2083">
        <f>0</f>
        <v>0</v>
      </c>
      <c r="AD201" s="2083">
        <f>0</f>
        <v>0</v>
      </c>
      <c r="AE201" s="2062">
        <f>0</f>
        <v>0</v>
      </c>
      <c r="AF201" s="2062">
        <f>0</f>
        <v>0</v>
      </c>
      <c r="AG201" s="2062">
        <f>0</f>
        <v>0</v>
      </c>
      <c r="AH201" s="2062">
        <f>0</f>
        <v>0</v>
      </c>
      <c r="AI201" s="2083">
        <f>0</f>
        <v>0</v>
      </c>
      <c r="AJ201" s="2083">
        <f>0</f>
        <v>0</v>
      </c>
      <c r="AK201" s="2062">
        <f>0</f>
        <v>0</v>
      </c>
      <c r="AL201" s="2062">
        <f>0</f>
        <v>0</v>
      </c>
      <c r="AM201" s="2062">
        <f>0</f>
        <v>0</v>
      </c>
      <c r="AN201" s="2062">
        <f>0</f>
        <v>0</v>
      </c>
      <c r="AO201" s="2062">
        <f>1</f>
        <v>1</v>
      </c>
      <c r="AP201" s="2062">
        <f>0</f>
        <v>0</v>
      </c>
      <c r="AQ201" s="2062">
        <f>0</f>
        <v>0</v>
      </c>
      <c r="AR201" s="2062">
        <f>0</f>
        <v>0</v>
      </c>
      <c r="AS201" s="2062">
        <f>0</f>
        <v>0</v>
      </c>
      <c r="AT201" s="2062">
        <f>0</f>
        <v>0</v>
      </c>
      <c r="AU201" s="2062">
        <f>0</f>
        <v>0</v>
      </c>
      <c r="AV201" s="2062">
        <f>0</f>
        <v>0</v>
      </c>
      <c r="AW201" s="2062">
        <f>0</f>
        <v>0</v>
      </c>
      <c r="AX201" s="2062">
        <f>0</f>
        <v>0</v>
      </c>
      <c r="AY201" s="2062">
        <f>0</f>
        <v>0</v>
      </c>
      <c r="AZ201" s="2062">
        <f>0</f>
        <v>0</v>
      </c>
      <c r="BA201" s="2062">
        <f>0</f>
        <v>0</v>
      </c>
      <c r="BB201" s="2062">
        <f>0</f>
        <v>0</v>
      </c>
      <c r="BC201" s="2062">
        <f>0</f>
        <v>0</v>
      </c>
      <c r="BD201" s="2062">
        <f>0</f>
        <v>0</v>
      </c>
      <c r="BE201" s="2062">
        <f>0</f>
        <v>0</v>
      </c>
      <c r="BF201" s="2062">
        <f>0</f>
        <v>0</v>
      </c>
      <c r="BG201" s="2062">
        <f>0</f>
        <v>0</v>
      </c>
      <c r="BH201" s="2062">
        <f>0</f>
        <v>0</v>
      </c>
      <c r="BI201" s="2062">
        <f>0</f>
        <v>0</v>
      </c>
      <c r="BJ201" s="2062">
        <f>0</f>
        <v>0</v>
      </c>
      <c r="BK201" s="2062">
        <f>0</f>
        <v>0</v>
      </c>
      <c r="BL201" s="2062">
        <f>0</f>
        <v>0</v>
      </c>
      <c r="BM201" s="2062">
        <f>0</f>
        <v>0</v>
      </c>
      <c r="BN201" s="2062">
        <f>0</f>
        <v>0</v>
      </c>
      <c r="BO201" s="2062">
        <f>0</f>
        <v>0</v>
      </c>
      <c r="BP201" s="2119">
        <f>0</f>
        <v>0</v>
      </c>
      <c r="BQ201" s="2119">
        <f>0</f>
        <v>0</v>
      </c>
      <c r="BR201" s="2119">
        <f>0</f>
        <v>0</v>
      </c>
      <c r="BS201" s="2119">
        <f>0</f>
        <v>0</v>
      </c>
      <c r="BT201" s="2062">
        <f>0</f>
        <v>0</v>
      </c>
      <c r="BU201" s="2062">
        <f>0</f>
        <v>0</v>
      </c>
      <c r="BV201" s="2062">
        <f>0</f>
        <v>0</v>
      </c>
      <c r="BW201" s="2062">
        <f>0</f>
        <v>0</v>
      </c>
      <c r="BX201" s="2062">
        <f>0</f>
        <v>0</v>
      </c>
      <c r="BY201" s="2062">
        <f>0</f>
        <v>0</v>
      </c>
      <c r="BZ201" s="2062">
        <f>0</f>
        <v>0</v>
      </c>
      <c r="CA201" s="2062">
        <f>0</f>
        <v>0</v>
      </c>
      <c r="CB201" s="2062">
        <f>0</f>
        <v>0</v>
      </c>
      <c r="CC201" s="2100">
        <f>-Δ_atm</f>
        <v>-1</v>
      </c>
      <c r="CD201" s="2062">
        <f>0</f>
        <v>0</v>
      </c>
      <c r="CE201" s="2062">
        <f>0</f>
        <v>0</v>
      </c>
      <c r="CF201" s="2062">
        <f>0</f>
        <v>0</v>
      </c>
      <c r="CG201" s="2062">
        <f>0</f>
        <v>0</v>
      </c>
      <c r="CH201" s="2062">
        <f>0</f>
        <v>0</v>
      </c>
      <c r="CI201" s="2141">
        <f>k_transfer_GCO2_sur</f>
        <v>85.864791591722664</v>
      </c>
      <c r="CK201" s="1950">
        <f>E210*E201+F210*F201+G210*G201+H210*H201+I210*I201+J210*J201+K210*K201+L210*L201+M210*M201+N210*N201+O210*O201+P210*P201+Q210*Q201+R210*R201+S210*S201+T210*T201+U210*U201+V210*V201+W210*W201+X210*X201+Y210*Y201+Z210*Z201+AA210*AA201+AB210*AB201+AC210*AC201+AD210*AD201+AE210*AE201+AF210*AF201+AG210*AG201+AH210*AH201+AI210*AI201+AJ210*AJ201+AK210*AK201+AL210*AL201+AM210*AM201+AN210*AN201+AO210*AO201+AP210*AP201+AQ210*AQ201+AR210*AR201+AS210*AS201+AT210*AT201+AU210*AU201+AV210*AV201+AW210*AW201+AX210*AX201+AY210*AY201+AZ210*AZ201+BA210*BA201+BB210*BB201+BC210*BC201+BD210*BD201+BE210*BE201+BF210*BF201+BG210*BG201+BH210*BH201+BI210*BI201+BJ210*BJ201+BK210*BK201+BL210*BL201+BM210*BM201+BN210*BN201+BO210*BO201+BP210*BP201+BQ210*BQ201+BR210*BR201+BS210*BS201+BT210*BT201+BU210*BU201+BV210*BV201+BW210*BW201+BX210*BX201+BY210*BY201+BZ210*BZ201+CA210*CA201+CB210*CB201+CC210*CC201+CD210*CD201+CE210*CE201+CF210*CF201+CG210*CG201+CH210*CH201</f>
        <v>0</v>
      </c>
      <c r="CL201" s="1950">
        <f>E211*E201+F211*F201+G211*G201+H211*H201+I211*I201+J211*J201+K211*K201+L211*L201+M211*M201+N211*N201+O211*O201+P211*P201+Q211*Q201+R211*R201+S211*S201+T211*T201+U211*U201+V211*V201+W211*W201+X211*X201+Y211*Y201+Z211*Z201+AA211*AA201+AB211*AB201+AC211*AC201+AD211*AD201+AE211*AE201+AF211*AF201+AG211*AG201+AH211*AH201+AI211*AI201+AJ211*AJ201+AK211*AK201+AL211*AL201+AM211*AM201+AN211*AN201+AO211*AO201+AP211*AP201+AQ211*AQ201+AR211*AR201+AS211*AS201+AT211*AT201+AU211*AU201+AV211*AV201+AW211*AW201+AX211*AX201+AY211*AY201+AZ211*AZ201+BA211*BA201+BB211*BB201+BC211*BC201+BD211*BD201+BE211*BE201+BF211*BF201+BG211*BG201+BH211*BH201+BI211*BI201+BJ211*BJ201+BK211*BK201+BL211*BL201+BM211*BM201+BN211*BN201+BO211*BO201+BP211*BP201+BQ211*BQ201+BR211*BR201+BS211*BS201+BT211*BT201+BU211*BU201+BV211*BV201+BW211*BW201+BX211*BX201+BY211*BY201+BZ211*BZ201+CA211*CA201+CB211*CB201+CC211*CC201+CD211*CD201+CE211*CE201+CF211*CF201+CG211*CG201+CH211*CH201</f>
        <v>0</v>
      </c>
      <c r="CM201" s="1951">
        <f>E212*E201+F212*F201+G212*G201+H212*H201+I212*I201+J212*J201+K212*K201+L212*L201+M212*M201+N212*N201+O212*O201+P212*P201+Q212*Q201+R212*R201+S212*S201+T212*T201+U212*U201+V212*V201+W212*W201+X212*X201+Y212*Y201+Z212*Z201+AA212*AA201+AB212*AB201+AC212*AC201+AD212*AD201+AE212*AE201+AF212*AF201+AG212*AG201+AH212*AH201+AI212*AI201+AJ212*AJ201+AK212*AK201+AL212*AL201+AM212*AM201+AN212*AN201+AO212*AO201+AP212*AP201+AQ212*AQ201+AR212*AR201+AS212*AS201+AT212*AT201+AU212*AU201+AV212*AV201+AW212*AW201+AX212*AX201+AY212*AY201+AZ212*AZ201+BA212*BA201+BB212*BB201+BC212*BC201+BD212*BD201+BE212*BE201+BF212*BF201+BG212*BG201+BH212*BH201+BI212*BI201+BJ212*BJ201+BK212*BK201+BL212*BL201+BM212*BM201+BN212*BN201+BO212*BO201+BP212*BP201+BQ212*BQ201+BR212*BR201+BS212*BS201+BT212*BT201+BU212*BU201+BV212*BV201+BW212*BW201+BX212*BX201+BY212*BY201+BZ212*BZ201+CA212*CA201+CB212*CB201+CC212*CC201+CD212*CD201+CE212*CE201+CF212*CF201+CG212*CG201+CH212*CH201</f>
        <v>0</v>
      </c>
      <c r="CN201" s="1952">
        <f>E213*E201+F213*F201+G213*G201+H213*H201+I213*I201+J213*J201+K213*K201+L213*L201+M213*M201+N213*N201+O213*O201+P213*P201+Q213*Q201+R213*R201+S213*S201+T213*T201+U213*U201+V213*V201+W213*W201+X213*X201+Y213*Y201+Z213*Z201+AA213*AA201+AB213*AB201+AC213*AC201+AD213*AD201+AE213*AE201+AF213*AF201+AG213*AG201+AH213*AH201+AI213*AI201+AJ213*AJ201+AK213*AK201+AL213*AL201+AM213*AM201+AN213*AN201+AO213*AO201+AP213*AP201+AQ213*AQ201+AR213*AR201+AS213*AS201+AT213*AT201+AU213*AU201+AV213*AV201+AW213*AW201+AX213*AX201+AY213*AY201+AZ213*AZ201+BA213*BA201+BB213*BB201+BC213*BC201+BD213*BD201+BE213*BE201+BF213*BF201+BG213*BG201+BH213*BH201+BI213*BI201+BJ213*BJ201+BK213*BK201+BL213*BL201+BM213*BM201+BN213*BN201+BO213*BO201+BP213*BP201+BQ213*BQ201+BR213*BR201+BS213*BS201+BT213*BT201+BU213*BU201+BV213*BV201+BW213*BW201+BX213*BX201+BY213*BY201+BZ213*BZ201+CA213*CA201+CB213*CB201+CC213*CC201+CD213*CD201+CE213*CE201+CF213*CF201+CG213*CG201+CH213*CH201</f>
        <v>0</v>
      </c>
      <c r="CO201" s="1952">
        <f>E214*E201+F214*F201+G214*G201+H214*H201+I214*I201+J214*J201+K214*K201+L214*L201+M214*M201+N214*N201+O214*O201+P214*P201+Q214*Q201+R214*R201+S214*S201+T214*T201+U214*U201+V214*V201+W214*W201+X214*X201+Y214*Y201+Z214*Z201+AA214*AA201+AB214*AB201+AC214*AC201+AD214*AD201+AE214*AE201+AF214*AF201+AG214*AG201+AH214*AH201+AI214*AI201+AJ214*AJ201+AK214*AK201+AL214*AL201+AM214*AM201+AN214*AN201+AO214*AO201+AP214*AP201+AQ214*AQ201+AR214*AR201+AS214*AS201+AT214*AT201+AU214*AU201+AV214*AV201+AW214*AW201+AX214*AX201+AY214*AY201+AZ214*AZ201+BA214*BA201+BB214*BB201+BC214*BC201+BD214*BD201+BE214*BE201+BF214*BF201+BG214*BG201+BH214*BH201+BI214*BI201+BJ214*BJ201+BK214*BK201+BL214*BL201+BM214*BM201+BN214*BN201+BO214*BO201+BP214*BP201+BQ214*BQ201+BR214*BR201+BS214*BS201+BT214*BT201+BU214*BU201+BV214*BV201+BW214*BW201+BX214*BX201+BY214*BY201+BZ214*BZ201+CA214*CA201+CB214*CB201+CC214*CC201+CD214*CD201+CE214*CE201+CF214*CF201+CG214*CG201+CH214*CH201</f>
        <v>0</v>
      </c>
      <c r="CP201" s="1952">
        <f>E215*E201+F215*F201+G215*G201+H215*H201+I215*I201+J215*J201+K215*K201+L215*L201+M215*M201+N215*N201+O215*O201+P215*P201+Q215*Q201+R215*R201+S215*S201+T215*T201+U215*U201+V215*V201+W215*W201+X215*X201+Y215*Y201+Z215*Z201+AA215*AA201+AB215*AB201+AC215*AC201+AD215*AD201+AE215*AE201+AF215*AF201+AG215*AG201+AH215*AH201+AI215*AI201+AJ215*AJ201+AK215*AK201+AL215*AL201+AM215*AM201+AN215*AN201+AO215*AO201+AP215*AP201+AQ215*AQ201+AR215*AR201+AS215*AS201+AT215*AT201+AU215*AU201+AV215*AV201+AW215*AW201+AX215*AX201+AY215*AY201+AZ215*AZ201+BA215*BA201+BB215*BB201+BC215*BC201+BD215*BD201+BE215*BE201+BF215*BF201+BG215*BG201+BH215*BH201+BI215*BI201+BJ215*BJ201+BK215*BK201+BL215*BL201+BM215*BM201+BN215*BN201+BO215*BO201+BP215*BP201+BQ215*BQ201+BR215*BR201+BS215*BS201+BT215*BT201+BU215*BU201+BV215*BV201+BW215*BW201+BX215*BX201+BY215*BY201+BZ215*BZ201+CA215*CA201+CB215*CB201+CC215*CC201+CD215*CD201+CE215*CE201+CF215*CF201+CG215*CG201+CH215*CH201</f>
        <v>0</v>
      </c>
      <c r="CQ201" s="1952">
        <f>E216*E201+F216*F201+G216*G201+H216*H201+I216*I201+J216*J201+K216*K201+L216*L201+M216*M201+N216*N201+O216*O201+P216*P201+Q216*Q201+R216*R201+S216*S201+T216*T201+U216*U201+V216*V201+W216*W201+X216*X201+Y216*Y201+Z216*Z201+AA216*AA201+AB216*AB201+AC216*AC201+AD216*AD201+AE216*AE201+AF216*AF201+AG216*AG201+AH216*AH201+AI216*AI201+AJ216*AJ201+AK216*AK201+AL216*AL201+AM216*AM201+AN216*AN201+AO216*AO201+AP216*AP201+AQ216*AQ201+AR216*AR201+AS216*AS201+AT216*AT201+AU216*AU201+AV216*AV201+AW216*AW201+AX216*AX201+AY216*AY201+AZ216*AZ201+BA216*BA201+BB216*BB201+BC216*BC201+BD216*BD201+BE216*BE201+BF216*BF201+BG216*BG201+BH216*BH201+BI216*BI201+BJ216*BJ201+BK216*BK201+BL216*BL201+BM216*BM201+BN216*BN201+BO216*BO201+BP216*BP201+BQ216*BQ201+BR216*BR201+BS216*BS201+BT216*BT201+BU216*BU201+BV216*BV201+BW216*BW201+BX216*BX201+BY216*BY201+BZ216*BZ201+CA216*CA201+CB216*CB201+CC216*CC201+CD216*CD201+CE216*CE201+CF216*CF201+CG216*CG201+CH216*CH201</f>
        <v>0</v>
      </c>
      <c r="CR201" s="1952">
        <f>E217*E201+F217*F201+G217*G201+H217*H201+I217*I201+J217*J201+K217*K201+L217*L201+M217*M201+N217*N201+O217*O201+P217*P201+Q217*Q201+R217*R201+S217*S201+T217*T201+U217*U201+V217*V201+W217*W201+X217*X201+Y217*Y201+Z217*Z201+AA217*AA201+AB217*AB201+AC217*AC201+AD217*AD201+AE217*AE201+AF217*AF201+AG217*AG201+AH217*AH201+AI217*AI201+AJ217*AJ201+AK217*AK201+AL217*AL201+AM217*AM201+AN217*AN201+AO217*AO201+AP217*AP201+AQ217*AQ201+AR217*AR201+AS217*AS201+AT217*AT201+AU217*AU201+AV217*AV201+AW217*AW201+AX217*AX201+AY217*AY201+AZ217*AZ201+BA217*BA201+BB217*BB201+BC217*BC201+BD217*BD201+BE217*BE201+BF217*BF201+BG217*BG201+BH217*BH201+BI217*BI201+BJ217*BJ201+BK217*BK201+BL217*BL201+BM217*BM201+BN217*BN201+BO217*BO201+BP217*BP201+BQ217*BQ201+BR217*BR201+BS217*BS201+BT217*BT201+BU217*BU201+BV217*BV201+BW217*BW201+BX217*BX201+BY217*BY201+BZ217*BZ201+CA217*CA201+CB217*CB201+CC217*CC201+CD217*CD201+CE217*CE201+CF217*CF201+CG217*CG201+CH217*CH201</f>
        <v>0</v>
      </c>
      <c r="CS201" s="1952">
        <f>E218*E201+F218*F201+G218*G201+H218*H201+I218*I201+J218*J201+K218*K201+L218*L201+M218*M201+N218*N201+O218*O201+P218*P201+Q218*Q201+R218*R201+S218*S201+T218*T201+U218*U201+V218*V201+W218*W201+X218*X201+Y218*Y201+Z218*Z201+AA218*AA201+AB218*AB201+AC218*AC201+AD218*AD201+AE218*AE201+AF218*AF201+AG218*AG201+AH218*AH201+AI218*AI201+AJ218*AJ201+AK218*AK201+AL218*AL201+AM218*AM201+AN218*AN201+AO218*AO201+AP218*AP201+AQ218*AQ201+AR218*AR201+AS218*AS201+AT218*AT201+AU218*AU201+AV218*AV201+AW218*AW201+AX218*AX201+AY218*AY201+AZ218*AZ201+BA218*BA201+BB218*BB201+BC218*BC201+BD218*BD201+BE218*BE201+BF218*BF201+BG218*BG201+BH218*BH201+BI218*BI201+BJ218*BJ201+BK218*BK201+BL218*BL201+BM218*BM201+BN218*BN201+BO218*BO201+BP218*BP201+BQ218*BQ201+BR218*BR201+BS218*BS201+BT218*BT201+BU218*BU201+BV218*BV201+BW218*BW201+BX218*BX201+BY218*BY201+BZ218*BZ201+CA218*CA201+CB218*CB201+CC218*CC201+CD218*CD201+CE218*CE201+CF218*CF201+CG218*CG201+CH218*CH201</f>
        <v>0</v>
      </c>
      <c r="CT201" s="1952">
        <f>E219*E201+F219*F201+G219*G201+H219*H201+I219*I201+J219*J201+K219*K201+L219*L201+M219*M201+N219*N201+O219*O201+P219*P201+Q219*Q201+R219*R201+S219*S201+T219*T201+U219*U201+V219*V201+W219*W201+X219*X201+Y219*Y201+Z219*Z201+AA219*AA201+AB219*AB201+AC219*AC201+AD219*AD201+AE219*AE201+AF219*AF201+AG219*AG201+AH219*AH201+AI219*AI201+AJ219*AJ201+AK219*AK201+AL219*AL201+AM219*AM201+AN219*AN201+AO219*AO201+AP219*AP201+AQ219*AQ201+AR219*AR201+AS219*AS201+AT219*AT201+AU219*AU201+AV219*AV201+AW219*AW201+AX219*AX201+AY219*AY201+AZ219*AZ201+BA219*BA201+BB219*BB201+BC219*BC201+BD219*BD201+BE219*BE201+BF219*BF201+BG219*BG201+BH219*BH201+BI219*BI201+BJ219*BJ201+BK219*BK201+BL219*BL201+BM219*BM201+BN219*BN201+BO219*BO201+BP219*BP201+BQ219*BQ201+BR219*BR201+BS219*BS201+BT219*BT201+BU219*BU201+BV219*BV201+BW219*BW201+BX219*BX201+BY219*BY201+BZ219*BZ201+CA219*CA201+CB219*CB201+CC219*CC201+CD219*CD201+CE219*CE201+CF219*CF201+CG219*CG201+CH219*CH201</f>
        <v>0</v>
      </c>
      <c r="CU201" s="1952">
        <f>E220*E201+F220*F201+G220*G201+H220*H201+I220*I201+J220*J201+K220*K201+L220*L201+M220*M201+N220*N201+O220*O201+P220*P201+Q220*Q201+R220*R201+S220*S201+T220*T201+U220*U201+V220*V201+W220*W201+X220*X201+Y220*Y201+Z220*Z201+AA220*AA201+AB220*AB201+AC220*AC201+AD220*AD201+AE220*AE201+AF220*AF201+AG220*AG201+AH220*AH201+AI220*AI201+AJ220*AJ201+AK220*AK201+AL220*AL201+AM220*AM201+AN220*AN201+AO220*AO201+AP220*AP201+AQ220*AQ201+AR220*AR201+AS220*AS201+AT220*AT201+AU220*AU201+AV220*AV201+AW220*AW201+AX220*AX201+AY220*AY201+AZ220*AZ201+BA220*BA201+BB220*BB201+BC220*BC201+BD220*BD201+BE220*BE201+BF220*BF201+BG220*BG201+BH220*BH201+BI220*BI201+BJ220*BJ201+BK220*BK201+BL220*BL201+BM220*BM201+BN220*BN201+BO220*BO201+BP220*BP201+BQ220*BQ201+BR220*BR201+BS220*BS201+BT220*BT201+BU220*BU201+BV220*BV201+BW220*BW201+BX220*BX201+BY220*BY201+BZ220*BZ201+CA220*CA201+CB220*CB201+CC220*CC201+CD220*CD201+CE220*CE201+CF220*CF201+CG220*CG201+CH220*CH201</f>
        <v>0</v>
      </c>
    </row>
    <row r="202" spans="2:99" ht="18" x14ac:dyDescent="0.25">
      <c r="B202" s="1043">
        <v>87</v>
      </c>
      <c r="C202" s="1112" t="s">
        <v>4382</v>
      </c>
      <c r="D202" s="1113" t="s">
        <v>2857</v>
      </c>
      <c r="E202" s="2062">
        <f>0</f>
        <v>0</v>
      </c>
      <c r="F202" s="2062">
        <f>0</f>
        <v>0</v>
      </c>
      <c r="G202" s="2062">
        <f>0</f>
        <v>0</v>
      </c>
      <c r="H202" s="2062">
        <f>0</f>
        <v>0</v>
      </c>
      <c r="I202" s="2083">
        <f>0</f>
        <v>0</v>
      </c>
      <c r="J202" s="2083">
        <f>0</f>
        <v>0</v>
      </c>
      <c r="K202" s="2062">
        <f>0</f>
        <v>0</v>
      </c>
      <c r="L202" s="2062">
        <f>0</f>
        <v>0</v>
      </c>
      <c r="M202" s="2062">
        <f>0</f>
        <v>0</v>
      </c>
      <c r="N202" s="2062">
        <f>0</f>
        <v>0</v>
      </c>
      <c r="O202" s="2062">
        <f>0</f>
        <v>0</v>
      </c>
      <c r="P202" s="2062">
        <f>0</f>
        <v>0</v>
      </c>
      <c r="Q202" s="2062">
        <f>0</f>
        <v>0</v>
      </c>
      <c r="R202" s="2062">
        <f>0</f>
        <v>0</v>
      </c>
      <c r="S202" s="2062">
        <f>0</f>
        <v>0</v>
      </c>
      <c r="T202" s="2062">
        <f>0</f>
        <v>0</v>
      </c>
      <c r="U202" s="2062">
        <f>0</f>
        <v>0</v>
      </c>
      <c r="V202" s="2062">
        <f>0</f>
        <v>0</v>
      </c>
      <c r="W202" s="2062">
        <f>0</f>
        <v>0</v>
      </c>
      <c r="X202" s="2062">
        <f>0</f>
        <v>0</v>
      </c>
      <c r="Y202" s="2062">
        <f>0</f>
        <v>0</v>
      </c>
      <c r="Z202" s="2062">
        <f>0</f>
        <v>0</v>
      </c>
      <c r="AA202" s="2062">
        <f>0</f>
        <v>0</v>
      </c>
      <c r="AB202" s="2062">
        <f>0</f>
        <v>0</v>
      </c>
      <c r="AC202" s="2083">
        <f>0</f>
        <v>0</v>
      </c>
      <c r="AD202" s="2083">
        <f>0</f>
        <v>0</v>
      </c>
      <c r="AE202" s="2062">
        <f>0</f>
        <v>0</v>
      </c>
      <c r="AF202" s="2062">
        <f>0</f>
        <v>0</v>
      </c>
      <c r="AG202" s="2062">
        <f>0</f>
        <v>0</v>
      </c>
      <c r="AH202" s="2062">
        <f>0</f>
        <v>0</v>
      </c>
      <c r="AI202" s="2083">
        <f>0</f>
        <v>0</v>
      </c>
      <c r="AJ202" s="2083">
        <f>0</f>
        <v>0</v>
      </c>
      <c r="AK202" s="2062">
        <f>0</f>
        <v>0</v>
      </c>
      <c r="AL202" s="2062">
        <f>0</f>
        <v>0</v>
      </c>
      <c r="AM202" s="2062">
        <f>1</f>
        <v>1</v>
      </c>
      <c r="AN202" s="2062">
        <f>0</f>
        <v>0</v>
      </c>
      <c r="AO202" s="2062">
        <f>0</f>
        <v>0</v>
      </c>
      <c r="AP202" s="2062">
        <f>0</f>
        <v>0</v>
      </c>
      <c r="AQ202" s="2062">
        <f>0</f>
        <v>0</v>
      </c>
      <c r="AR202" s="2062">
        <f>0</f>
        <v>0</v>
      </c>
      <c r="AS202" s="2062">
        <f>0</f>
        <v>0</v>
      </c>
      <c r="AT202" s="2062">
        <f>0</f>
        <v>0</v>
      </c>
      <c r="AU202" s="2062">
        <f>0</f>
        <v>0</v>
      </c>
      <c r="AV202" s="2062">
        <f>0</f>
        <v>0</v>
      </c>
      <c r="AW202" s="2062">
        <f>0</f>
        <v>0</v>
      </c>
      <c r="AX202" s="2062">
        <f>0</f>
        <v>0</v>
      </c>
      <c r="AY202" s="2062">
        <f>0</f>
        <v>0</v>
      </c>
      <c r="AZ202" s="2062">
        <f>0</f>
        <v>0</v>
      </c>
      <c r="BA202" s="2062">
        <f>0</f>
        <v>0</v>
      </c>
      <c r="BB202" s="2062">
        <f>0</f>
        <v>0</v>
      </c>
      <c r="BC202" s="2062">
        <f>0</f>
        <v>0</v>
      </c>
      <c r="BD202" s="2062">
        <f>0</f>
        <v>0</v>
      </c>
      <c r="BE202" s="2062">
        <f>0</f>
        <v>0</v>
      </c>
      <c r="BF202" s="2062">
        <f>0</f>
        <v>0</v>
      </c>
      <c r="BG202" s="2062">
        <f>0</f>
        <v>0</v>
      </c>
      <c r="BH202" s="2062">
        <f>0</f>
        <v>0</v>
      </c>
      <c r="BI202" s="2062">
        <f>0</f>
        <v>0</v>
      </c>
      <c r="BJ202" s="2062">
        <f>0</f>
        <v>0</v>
      </c>
      <c r="BK202" s="2062">
        <f>0</f>
        <v>0</v>
      </c>
      <c r="BL202" s="2062">
        <f>0</f>
        <v>0</v>
      </c>
      <c r="BM202" s="2062">
        <f>0</f>
        <v>0</v>
      </c>
      <c r="BN202" s="2062">
        <f>0</f>
        <v>0</v>
      </c>
      <c r="BO202" s="2062">
        <f>0</f>
        <v>0</v>
      </c>
      <c r="BP202" s="2119">
        <f>0</f>
        <v>0</v>
      </c>
      <c r="BQ202" s="2119">
        <f>0</f>
        <v>0</v>
      </c>
      <c r="BR202" s="2119">
        <f>0</f>
        <v>0</v>
      </c>
      <c r="BS202" s="2119">
        <f>0</f>
        <v>0</v>
      </c>
      <c r="BT202" s="2062">
        <f>0</f>
        <v>0</v>
      </c>
      <c r="BU202" s="2062">
        <f>0</f>
        <v>0</v>
      </c>
      <c r="BV202" s="2062">
        <f>0</f>
        <v>0</v>
      </c>
      <c r="BW202" s="2062">
        <f>0</f>
        <v>0</v>
      </c>
      <c r="BX202" s="2062">
        <f>0</f>
        <v>0</v>
      </c>
      <c r="BY202" s="2062">
        <f>0</f>
        <v>0</v>
      </c>
      <c r="BZ202" s="2062">
        <f>0</f>
        <v>0</v>
      </c>
      <c r="CA202" s="2062">
        <f>0</f>
        <v>0</v>
      </c>
      <c r="CB202" s="2062">
        <f>0</f>
        <v>0</v>
      </c>
      <c r="CC202" s="2062">
        <f>0</f>
        <v>0</v>
      </c>
      <c r="CD202" s="2100">
        <f>-Δ_atm</f>
        <v>-1</v>
      </c>
      <c r="CE202" s="2062">
        <f>0</f>
        <v>0</v>
      </c>
      <c r="CF202" s="2062">
        <f>0</f>
        <v>0</v>
      </c>
      <c r="CG202" s="2062">
        <f>0</f>
        <v>0</v>
      </c>
      <c r="CH202" s="2062">
        <f>0</f>
        <v>0</v>
      </c>
      <c r="CI202" s="2141">
        <f>k_LaGCH4_sur*(S_GCH4_sur_sat-S_CH4)</f>
        <v>-2.5329999999999998E-2</v>
      </c>
      <c r="CK202" s="1950">
        <f>E210*E202+F210*F202+G210*G202+H210*H202+I210*I202+J210*J202+K210*K202+L210*L202+M210*M202+N210*N202+O210*O202+P210*P202+Q210*Q202+R210*R202+S210*S202+T210*T202+U210*U202+V210*V202+W210*W202+X210*X202+Y210*Y202+Z210*Z202+AA210*AA202+AB210*AB202+AC210*AC202+AD210*AD202+AE210*AE202+AF210*AF202+AG210*AG202+AH210*AH202+AI210*AI202+AJ210*AJ202+AK210*AK202+AL210*AL202+AM210*AM202+AN210*AN202+AO210*AO202+AP210*AP202+AQ210*AQ202+AR210*AR202+AS210*AS202+AT210*AT202+AU210*AU202+AV210*AV202+AW210*AW202+AX210*AX202+AY210*AY202+AZ210*AZ202+BA210*BA202+BB210*BB202+BC210*BC202+BD210*BD202+BE210*BE202+BF210*BF202+BG210*BG202+BH210*BH202+BI210*BI202+BJ210*BJ202+BK210*BK202+BL210*BL202+BM210*BM202+BN210*BN202+BO210*BO202+BP210*BP202+BQ210*BQ202+BR210*BR202+BS210*BS202+BT210*BT202+BU210*BU202+BV210*BV202+BW210*BW202+BX210*BX202+BY210*BY202+BZ210*BZ202+CA210*CA202+CB210*CB202+CC210*CC202+CD210*CD202+CE210*CE202+CF210*CF202+CG210*CG202+CH210*CH202</f>
        <v>0</v>
      </c>
      <c r="CL202" s="1950">
        <f>E211*E202+F211*F202+G211*G202+H211*H202+I211*I202+J211*J202+K211*K202+L211*L202+M211*M202+N211*N202+O211*O202+P211*P202+Q211*Q202+R211*R202+S211*S202+T211*T202+U211*U202+V211*V202+W211*W202+X211*X202+Y211*Y202+Z211*Z202+AA211*AA202+AB211*AB202+AC211*AC202+AD211*AD202+AE211*AE202+AF211*AF202+AG211*AG202+AH211*AH202+AI211*AI202+AJ211*AJ202+AK211*AK202+AL211*AL202+AM211*AM202+AN211*AN202+AO211*AO202+AP211*AP202+AQ211*AQ202+AR211*AR202+AS211*AS202+AT211*AT202+AU211*AU202+AV211*AV202+AW211*AW202+AX211*AX202+AY211*AY202+AZ211*AZ202+BA211*BA202+BB211*BB202+BC211*BC202+BD211*BD202+BE211*BE202+BF211*BF202+BG211*BG202+BH211*BH202+BI211*BI202+BJ211*BJ202+BK211*BK202+BL211*BL202+BM211*BM202+BN211*BN202+BO211*BO202+BP211*BP202+BQ211*BQ202+BR211*BR202+BS211*BS202+BT211*BT202+BU211*BU202+BV211*BV202+BW211*BW202+BX211*BX202+BY211*BY202+BZ211*BZ202+CA211*CA202+CB211*CB202+CC211*CC202+CD211*CD202+CE211*CE202+CF211*CF202+CG211*CG202+CH211*CH202</f>
        <v>0</v>
      </c>
      <c r="CM202" s="1951">
        <f>E212*E202+F212*F202+G212*G202+H212*H202+I212*I202+J212*J202+K212*K202+L212*L202+M212*M202+N212*N202+O212*O202+P212*P202+Q212*Q202+R212*R202+S212*S202+T212*T202+U212*U202+V212*V202+W212*W202+X212*X202+Y212*Y202+Z212*Z202+AA212*AA202+AB212*AB202+AC212*AC202+AD212*AD202+AE212*AE202+AF212*AF202+AG212*AG202+AH212*AH202+AI212*AI202+AJ212*AJ202+AK212*AK202+AL212*AL202+AM212*AM202+AN212*AN202+AO212*AO202+AP212*AP202+AQ212*AQ202+AR212*AR202+AS212*AS202+AT212*AT202+AU212*AU202+AV212*AV202+AW212*AW202+AX212*AX202+AY212*AY202+AZ212*AZ202+BA212*BA202+BB212*BB202+BC212*BC202+BD212*BD202+BE212*BE202+BF212*BF202+BG212*BG202+BH212*BH202+BI212*BI202+BJ212*BJ202+BK212*BK202+BL212*BL202+BM212*BM202+BN212*BN202+BO212*BO202+BP212*BP202+BQ212*BQ202+BR212*BR202+BS212*BS202+BT212*BT202+BU212*BU202+BV212*BV202+BW212*BW202+BX212*BX202+BY212*BY202+BZ212*BZ202+CA212*CA202+CB212*CB202+CC212*CC202+CD212*CD202+CE212*CE202+CF212*CF202+CG212*CG202+CH212*CH202</f>
        <v>0</v>
      </c>
      <c r="CN202" s="1952">
        <f>E213*E202+F213*F202+G213*G202+H213*H202+I213*I202+J213*J202+K213*K202+L213*L202+M213*M202+N213*N202+O213*O202+P213*P202+Q213*Q202+R213*R202+S213*S202+T213*T202+U213*U202+V213*V202+W213*W202+X213*X202+Y213*Y202+Z213*Z202+AA213*AA202+AB213*AB202+AC213*AC202+AD213*AD202+AE213*AE202+AF213*AF202+AG213*AG202+AH213*AH202+AI213*AI202+AJ213*AJ202+AK213*AK202+AL213*AL202+AM213*AM202+AN213*AN202+AO213*AO202+AP213*AP202+AQ213*AQ202+AR213*AR202+AS213*AS202+AT213*AT202+AU213*AU202+AV213*AV202+AW213*AW202+AX213*AX202+AY213*AY202+AZ213*AZ202+BA213*BA202+BB213*BB202+BC213*BC202+BD213*BD202+BE213*BE202+BF213*BF202+BG213*BG202+BH213*BH202+BI213*BI202+BJ213*BJ202+BK213*BK202+BL213*BL202+BM213*BM202+BN213*BN202+BO213*BO202+BP213*BP202+BQ213*BQ202+BR213*BR202+BS213*BS202+BT213*BT202+BU213*BU202+BV213*BV202+BW213*BW202+BX213*BX202+BY213*BY202+BZ213*BZ202+CA213*CA202+CB213*CB202+CC213*CC202+CD213*CD202+CE213*CE202+CF213*CF202+CG213*CG202+CH213*CH202</f>
        <v>0</v>
      </c>
      <c r="CO202" s="1952">
        <f>E214*E202+F214*F202+G214*G202+H214*H202+I214*I202+J214*J202+K214*K202+L214*L202+M214*M202+N214*N202+O214*O202+P214*P202+Q214*Q202+R214*R202+S214*S202+T214*T202+U214*U202+V214*V202+W214*W202+X214*X202+Y214*Y202+Z214*Z202+AA214*AA202+AB214*AB202+AC214*AC202+AD214*AD202+AE214*AE202+AF214*AF202+AG214*AG202+AH214*AH202+AI214*AI202+AJ214*AJ202+AK214*AK202+AL214*AL202+AM214*AM202+AN214*AN202+AO214*AO202+AP214*AP202+AQ214*AQ202+AR214*AR202+AS214*AS202+AT214*AT202+AU214*AU202+AV214*AV202+AW214*AW202+AX214*AX202+AY214*AY202+AZ214*AZ202+BA214*BA202+BB214*BB202+BC214*BC202+BD214*BD202+BE214*BE202+BF214*BF202+BG214*BG202+BH214*BH202+BI214*BI202+BJ214*BJ202+BK214*BK202+BL214*BL202+BM214*BM202+BN214*BN202+BO214*BO202+BP214*BP202+BQ214*BQ202+BR214*BR202+BS214*BS202+BT214*BT202+BU214*BU202+BV214*BV202+BW214*BW202+BX214*BX202+BY214*BY202+BZ214*BZ202+CA214*CA202+CB214*CB202+CC214*CC202+CD214*CD202+CE214*CE202+CF214*CF202+CG214*CG202+CH214*CH202</f>
        <v>0</v>
      </c>
      <c r="CP202" s="1952">
        <f>E215*E202+F215*F202+G215*G202+H215*H202+I215*I202+J215*J202+K215*K202+L215*L202+M215*M202+N215*N202+O215*O202+P215*P202+Q215*Q202+R215*R202+S215*S202+T215*T202+U215*U202+V215*V202+W215*W202+X215*X202+Y215*Y202+Z215*Z202+AA215*AA202+AB215*AB202+AC215*AC202+AD215*AD202+AE215*AE202+AF215*AF202+AG215*AG202+AH215*AH202+AI215*AI202+AJ215*AJ202+AK215*AK202+AL215*AL202+AM215*AM202+AN215*AN202+AO215*AO202+AP215*AP202+AQ215*AQ202+AR215*AR202+AS215*AS202+AT215*AT202+AU215*AU202+AV215*AV202+AW215*AW202+AX215*AX202+AY215*AY202+AZ215*AZ202+BA215*BA202+BB215*BB202+BC215*BC202+BD215*BD202+BE215*BE202+BF215*BF202+BG215*BG202+BH215*BH202+BI215*BI202+BJ215*BJ202+BK215*BK202+BL215*BL202+BM215*BM202+BN215*BN202+BO215*BO202+BP215*BP202+BQ215*BQ202+BR215*BR202+BS215*BS202+BT215*BT202+BU215*BU202+BV215*BV202+BW215*BW202+BX215*BX202+BY215*BY202+BZ215*BZ202+CA215*CA202+CB215*CB202+CC215*CC202+CD215*CD202+CE215*CE202+CF215*CF202+CG215*CG202+CH215*CH202</f>
        <v>0</v>
      </c>
      <c r="CQ202" s="1952">
        <f>E216*E202+F216*F202+G216*G202+H216*H202+I216*I202+J216*J202+K216*K202+L216*L202+M216*M202+N216*N202+O216*O202+P216*P202+Q216*Q202+R216*R202+S216*S202+T216*T202+U216*U202+V216*V202+W216*W202+X216*X202+Y216*Y202+Z216*Z202+AA216*AA202+AB216*AB202+AC216*AC202+AD216*AD202+AE216*AE202+AF216*AF202+AG216*AG202+AH216*AH202+AI216*AI202+AJ216*AJ202+AK216*AK202+AL216*AL202+AM216*AM202+AN216*AN202+AO216*AO202+AP216*AP202+AQ216*AQ202+AR216*AR202+AS216*AS202+AT216*AT202+AU216*AU202+AV216*AV202+AW216*AW202+AX216*AX202+AY216*AY202+AZ216*AZ202+BA216*BA202+BB216*BB202+BC216*BC202+BD216*BD202+BE216*BE202+BF216*BF202+BG216*BG202+BH216*BH202+BI216*BI202+BJ216*BJ202+BK216*BK202+BL216*BL202+BM216*BM202+BN216*BN202+BO216*BO202+BP216*BP202+BQ216*BQ202+BR216*BR202+BS216*BS202+BT216*BT202+BU216*BU202+BV216*BV202+BW216*BW202+BX216*BX202+BY216*BY202+BZ216*BZ202+CA216*CA202+CB216*CB202+CC216*CC202+CD216*CD202+CE216*CE202+CF216*CF202+CG216*CG202+CH216*CH202</f>
        <v>0</v>
      </c>
      <c r="CR202" s="1952">
        <f>E217*E202+F217*F202+G217*G202+H217*H202+I217*I202+J217*J202+K217*K202+L217*L202+M217*M202+N217*N202+O217*O202+P217*P202+Q217*Q202+R217*R202+S217*S202+T217*T202+U217*U202+V217*V202+W217*W202+X217*X202+Y217*Y202+Z217*Z202+AA217*AA202+AB217*AB202+AC217*AC202+AD217*AD202+AE217*AE202+AF217*AF202+AG217*AG202+AH217*AH202+AI217*AI202+AJ217*AJ202+AK217*AK202+AL217*AL202+AM217*AM202+AN217*AN202+AO217*AO202+AP217*AP202+AQ217*AQ202+AR217*AR202+AS217*AS202+AT217*AT202+AU217*AU202+AV217*AV202+AW217*AW202+AX217*AX202+AY217*AY202+AZ217*AZ202+BA217*BA202+BB217*BB202+BC217*BC202+BD217*BD202+BE217*BE202+BF217*BF202+BG217*BG202+BH217*BH202+BI217*BI202+BJ217*BJ202+BK217*BK202+BL217*BL202+BM217*BM202+BN217*BN202+BO217*BO202+BP217*BP202+BQ217*BQ202+BR217*BR202+BS217*BS202+BT217*BT202+BU217*BU202+BV217*BV202+BW217*BW202+BX217*BX202+BY217*BY202+BZ217*BZ202+CA217*CA202+CB217*CB202+CC217*CC202+CD217*CD202+CE217*CE202+CF217*CF202+CG217*CG202+CH217*CH202</f>
        <v>0</v>
      </c>
      <c r="CS202" s="1952">
        <f>E218*E202+F218*F202+G218*G202+H218*H202+I218*I202+J218*J202+K218*K202+L218*L202+M218*M202+N218*N202+O218*O202+P218*P202+Q218*Q202+R218*R202+S218*S202+T218*T202+U218*U202+V218*V202+W218*W202+X218*X202+Y218*Y202+Z218*Z202+AA218*AA202+AB218*AB202+AC218*AC202+AD218*AD202+AE218*AE202+AF218*AF202+AG218*AG202+AH218*AH202+AI218*AI202+AJ218*AJ202+AK218*AK202+AL218*AL202+AM218*AM202+AN218*AN202+AO218*AO202+AP218*AP202+AQ218*AQ202+AR218*AR202+AS218*AS202+AT218*AT202+AU218*AU202+AV218*AV202+AW218*AW202+AX218*AX202+AY218*AY202+AZ218*AZ202+BA218*BA202+BB218*BB202+BC218*BC202+BD218*BD202+BE218*BE202+BF218*BF202+BG218*BG202+BH218*BH202+BI218*BI202+BJ218*BJ202+BK218*BK202+BL218*BL202+BM218*BM202+BN218*BN202+BO218*BO202+BP218*BP202+BQ218*BQ202+BR218*BR202+BS218*BS202+BT218*BT202+BU218*BU202+BV218*BV202+BW218*BW202+BX218*BX202+BY218*BY202+BZ218*BZ202+CA218*CA202+CB218*CB202+CC218*CC202+CD218*CD202+CE218*CE202+CF218*CF202+CG218*CG202+CH218*CH202</f>
        <v>0</v>
      </c>
      <c r="CT202" s="1952">
        <f>E219*E202+F219*F202+G219*G202+H219*H202+I219*I202+J219*J202+K219*K202+L219*L202+M219*M202+N219*N202+O219*O202+P219*P202+Q219*Q202+R219*R202+S219*S202+T219*T202+U219*U202+V219*V202+W219*W202+X219*X202+Y219*Y202+Z219*Z202+AA219*AA202+AB219*AB202+AC219*AC202+AD219*AD202+AE219*AE202+AF219*AF202+AG219*AG202+AH219*AH202+AI219*AI202+AJ219*AJ202+AK219*AK202+AL219*AL202+AM219*AM202+AN219*AN202+AO219*AO202+AP219*AP202+AQ219*AQ202+AR219*AR202+AS219*AS202+AT219*AT202+AU219*AU202+AV219*AV202+AW219*AW202+AX219*AX202+AY219*AY202+AZ219*AZ202+BA219*BA202+BB219*BB202+BC219*BC202+BD219*BD202+BE219*BE202+BF219*BF202+BG219*BG202+BH219*BH202+BI219*BI202+BJ219*BJ202+BK219*BK202+BL219*BL202+BM219*BM202+BN219*BN202+BO219*BO202+BP219*BP202+BQ219*BQ202+BR219*BR202+BS219*BS202+BT219*BT202+BU219*BU202+BV219*BV202+BW219*BW202+BX219*BX202+BY219*BY202+BZ219*BZ202+CA219*CA202+CB219*CB202+CC219*CC202+CD219*CD202+CE219*CE202+CF219*CF202+CG219*CG202+CH219*CH202</f>
        <v>0</v>
      </c>
      <c r="CU202" s="1952">
        <f>E220*E202+F220*F202+G220*G202+H220*H202+I220*I202+J220*J202+K220*K202+L220*L202+M220*M202+N220*N202+O220*O202+P220*P202+Q220*Q202+R220*R202+S220*S202+T220*T202+U220*U202+V220*V202+W220*W202+X220*X202+Y220*Y202+Z220*Z202+AA220*AA202+AB220*AB202+AC220*AC202+AD220*AD202+AE220*AE202+AF220*AF202+AG220*AG202+AH220*AH202+AI220*AI202+AJ220*AJ202+AK220*AK202+AL220*AL202+AM220*AM202+AN220*AN202+AO220*AO202+AP220*AP202+AQ220*AQ202+AR220*AR202+AS220*AS202+AT220*AT202+AU220*AU202+AV220*AV202+AW220*AW202+AX220*AX202+AY220*AY202+AZ220*AZ202+BA220*BA202+BB220*BB202+BC220*BC202+BD220*BD202+BE220*BE202+BF220*BF202+BG220*BG202+BH220*BH202+BI220*BI202+BJ220*BJ202+BK220*BK202+BL220*BL202+BM220*BM202+BN220*BN202+BO220*BO202+BP220*BP202+BQ220*BQ202+BR220*BR202+BS220*BS202+BT220*BT202+BU220*BU202+BV220*BV202+BW220*BW202+BX220*BX202+BY220*BY202+BZ220*BZ202+CA220*CA202+CB220*CB202+CC220*CC202+CD220*CD202+CE220*CE202+CF220*CF202+CG220*CG202+CH220*CH202</f>
        <v>0</v>
      </c>
    </row>
    <row r="203" spans="2:99" ht="18" x14ac:dyDescent="0.25">
      <c r="B203" s="1043">
        <v>88</v>
      </c>
      <c r="C203" s="1112" t="s">
        <v>4383</v>
      </c>
      <c r="D203" s="1113" t="s">
        <v>2858</v>
      </c>
      <c r="E203" s="2062">
        <f>0</f>
        <v>0</v>
      </c>
      <c r="F203" s="2062">
        <f>0</f>
        <v>0</v>
      </c>
      <c r="G203" s="2062">
        <f>0</f>
        <v>0</v>
      </c>
      <c r="H203" s="2062">
        <f>0</f>
        <v>0</v>
      </c>
      <c r="I203" s="2083">
        <f>0</f>
        <v>0</v>
      </c>
      <c r="J203" s="2083">
        <f>0</f>
        <v>0</v>
      </c>
      <c r="K203" s="2062">
        <f>0</f>
        <v>0</v>
      </c>
      <c r="L203" s="2062">
        <f>0</f>
        <v>0</v>
      </c>
      <c r="M203" s="2062">
        <f>0</f>
        <v>0</v>
      </c>
      <c r="N203" s="2062">
        <f>0</f>
        <v>0</v>
      </c>
      <c r="O203" s="2062">
        <f>0</f>
        <v>0</v>
      </c>
      <c r="P203" s="2062">
        <f>0</f>
        <v>0</v>
      </c>
      <c r="Q203" s="2062">
        <f>0</f>
        <v>0</v>
      </c>
      <c r="R203" s="2062">
        <f>0</f>
        <v>0</v>
      </c>
      <c r="S203" s="2062">
        <f>0</f>
        <v>0</v>
      </c>
      <c r="T203" s="2062">
        <f>0</f>
        <v>0</v>
      </c>
      <c r="U203" s="2062">
        <f>0</f>
        <v>0</v>
      </c>
      <c r="V203" s="2062">
        <f>0</f>
        <v>0</v>
      </c>
      <c r="W203" s="2062">
        <f>0</f>
        <v>0</v>
      </c>
      <c r="X203" s="2062">
        <f>0</f>
        <v>0</v>
      </c>
      <c r="Y203" s="2062">
        <f>0</f>
        <v>0</v>
      </c>
      <c r="Z203" s="2062">
        <f>0</f>
        <v>0</v>
      </c>
      <c r="AA203" s="2062">
        <f>0</f>
        <v>0</v>
      </c>
      <c r="AB203" s="2062">
        <f>0</f>
        <v>0</v>
      </c>
      <c r="AC203" s="2083">
        <f>0</f>
        <v>0</v>
      </c>
      <c r="AD203" s="2083">
        <f>0</f>
        <v>0</v>
      </c>
      <c r="AE203" s="2062">
        <f>0</f>
        <v>0</v>
      </c>
      <c r="AF203" s="2062">
        <f>0</f>
        <v>0</v>
      </c>
      <c r="AG203" s="2062">
        <f>0</f>
        <v>0</v>
      </c>
      <c r="AH203" s="2062">
        <f>0</f>
        <v>0</v>
      </c>
      <c r="AI203" s="2083">
        <f>0</f>
        <v>0</v>
      </c>
      <c r="AJ203" s="2083">
        <f>0</f>
        <v>0</v>
      </c>
      <c r="AK203" s="2062">
        <f>0</f>
        <v>0</v>
      </c>
      <c r="AL203" s="2062">
        <f>0</f>
        <v>0</v>
      </c>
      <c r="AM203" s="2062">
        <f>0</f>
        <v>0</v>
      </c>
      <c r="AN203" s="2062">
        <f>1</f>
        <v>1</v>
      </c>
      <c r="AO203" s="2062">
        <f>0</f>
        <v>0</v>
      </c>
      <c r="AP203" s="2062">
        <f>0</f>
        <v>0</v>
      </c>
      <c r="AQ203" s="2062">
        <f>0</f>
        <v>0</v>
      </c>
      <c r="AR203" s="2062">
        <f>0</f>
        <v>0</v>
      </c>
      <c r="AS203" s="2062">
        <f>0</f>
        <v>0</v>
      </c>
      <c r="AT203" s="2062">
        <f>0</f>
        <v>0</v>
      </c>
      <c r="AU203" s="2062">
        <f>0</f>
        <v>0</v>
      </c>
      <c r="AV203" s="2062">
        <f>0</f>
        <v>0</v>
      </c>
      <c r="AW203" s="2062">
        <f>0</f>
        <v>0</v>
      </c>
      <c r="AX203" s="2062">
        <f>0</f>
        <v>0</v>
      </c>
      <c r="AY203" s="2062">
        <f>0</f>
        <v>0</v>
      </c>
      <c r="AZ203" s="2062">
        <f>0</f>
        <v>0</v>
      </c>
      <c r="BA203" s="2062">
        <f>0</f>
        <v>0</v>
      </c>
      <c r="BB203" s="2062">
        <f>0</f>
        <v>0</v>
      </c>
      <c r="BC203" s="2062">
        <f>0</f>
        <v>0</v>
      </c>
      <c r="BD203" s="2062">
        <f>0</f>
        <v>0</v>
      </c>
      <c r="BE203" s="2062">
        <f>0</f>
        <v>0</v>
      </c>
      <c r="BF203" s="2062">
        <f>0</f>
        <v>0</v>
      </c>
      <c r="BG203" s="2062">
        <f>0</f>
        <v>0</v>
      </c>
      <c r="BH203" s="2062">
        <f>0</f>
        <v>0</v>
      </c>
      <c r="BI203" s="2062">
        <f>0</f>
        <v>0</v>
      </c>
      <c r="BJ203" s="2062">
        <f>0</f>
        <v>0</v>
      </c>
      <c r="BK203" s="2062">
        <f>0</f>
        <v>0</v>
      </c>
      <c r="BL203" s="2062">
        <f>0</f>
        <v>0</v>
      </c>
      <c r="BM203" s="2062">
        <f>0</f>
        <v>0</v>
      </c>
      <c r="BN203" s="2062">
        <f>0</f>
        <v>0</v>
      </c>
      <c r="BO203" s="2062">
        <f>0</f>
        <v>0</v>
      </c>
      <c r="BP203" s="2119">
        <f>0</f>
        <v>0</v>
      </c>
      <c r="BQ203" s="2119">
        <f>0</f>
        <v>0</v>
      </c>
      <c r="BR203" s="2119">
        <f>0</f>
        <v>0</v>
      </c>
      <c r="BS203" s="2119">
        <f>0</f>
        <v>0</v>
      </c>
      <c r="BT203" s="2062">
        <f>0</f>
        <v>0</v>
      </c>
      <c r="BU203" s="2062">
        <f>0</f>
        <v>0</v>
      </c>
      <c r="BV203" s="2062">
        <f>0</f>
        <v>0</v>
      </c>
      <c r="BW203" s="2062">
        <f>0</f>
        <v>0</v>
      </c>
      <c r="BX203" s="2062">
        <f>0</f>
        <v>0</v>
      </c>
      <c r="BY203" s="2062">
        <f>0</f>
        <v>0</v>
      </c>
      <c r="BZ203" s="2062">
        <f>0</f>
        <v>0</v>
      </c>
      <c r="CA203" s="2062">
        <f>0</f>
        <v>0</v>
      </c>
      <c r="CB203" s="2062">
        <f>0</f>
        <v>0</v>
      </c>
      <c r="CC203" s="2062">
        <f>0</f>
        <v>0</v>
      </c>
      <c r="CD203" s="2062">
        <f>0</f>
        <v>0</v>
      </c>
      <c r="CE203" s="2100">
        <f>-Δ_atm</f>
        <v>-1</v>
      </c>
      <c r="CF203" s="2062">
        <f>0</f>
        <v>0</v>
      </c>
      <c r="CG203" s="2062">
        <f>0</f>
        <v>0</v>
      </c>
      <c r="CH203" s="2062">
        <f>0</f>
        <v>0</v>
      </c>
      <c r="CI203" s="2141">
        <f>k_LaGH2_sur*(S_GH2_sur_sat-S_H2)</f>
        <v>-4.4020000000000004E-2</v>
      </c>
      <c r="CK203" s="1950">
        <f>E210*E203+F210*F203+G210*G203+H210*H203+I210*I203+J210*J203+K210*K203+L210*L203+M210*M203+N210*N203+O210*O203+P210*P203+Q210*Q203+R210*R203+S210*S203+T210*T203+U210*U203+V210*V203+W210*W203+X210*X203+Y210*Y203+Z210*Z203+AA210*AA203+AB210*AB203+AC210*AC203+AD210*AD203+AE210*AE203+AF210*AF203+AG210*AG203+AH210*AH203+AI210*AI203+AJ210*AJ203+AK210*AK203+AL210*AL203+AM210*AM203+AN210*AN203+AO210*AO203+AP210*AP203+AQ210*AQ203+AR210*AR203+AS210*AS203+AT210*AT203+AU210*AU203+AV210*AV203+AW210*AW203+AX210*AX203+AY210*AY203+AZ210*AZ203+BA210*BA203+BB210*BB203+BC210*BC203+BD210*BD203+BE210*BE203+BF210*BF203+BG210*BG203+BH210*BH203+BI210*BI203+BJ210*BJ203+BK210*BK203+BL210*BL203+BM210*BM203+BN210*BN203+BO210*BO203+BP210*BP203+BQ210*BQ203+BR210*BR203+BS210*BS203+BT210*BT203+BU210*BU203+BV210*BV203+BW210*BW203+BX210*BX203+BY210*BY203+BZ210*BZ203+CA210*CA203+CB210*CB203+CC210*CC203+CD210*CD203+CE210*CE203+CF210*CF203+CG210*CG203+CH210*CH203</f>
        <v>0</v>
      </c>
      <c r="CL203" s="1950">
        <f>E211*E203+F211*F203+G211*G203+H211*H203+I211*I203+J211*J203+K211*K203+L211*L203+M211*M203+N211*N203+O211*O203+P211*P203+Q211*Q203+R211*R203+S211*S203+T211*T203+U211*U203+V211*V203+W211*W203+X211*X203+Y211*Y203+Z211*Z203+AA211*AA203+AB211*AB203+AC211*AC203+AD211*AD203+AE211*AE203+AF211*AF203+AG211*AG203+AH211*AH203+AI211*AI203+AJ211*AJ203+AK211*AK203+AL211*AL203+AM211*AM203+AN211*AN203+AO211*AO203+AP211*AP203+AQ211*AQ203+AR211*AR203+AS211*AS203+AT211*AT203+AU211*AU203+AV211*AV203+AW211*AW203+AX211*AX203+AY211*AY203+AZ211*AZ203+BA211*BA203+BB211*BB203+BC211*BC203+BD211*BD203+BE211*BE203+BF211*BF203+BG211*BG203+BH211*BH203+BI211*BI203+BJ211*BJ203+BK211*BK203+BL211*BL203+BM211*BM203+BN211*BN203+BO211*BO203+BP211*BP203+BQ211*BQ203+BR211*BR203+BS211*BS203+BT211*BT203+BU211*BU203+BV211*BV203+BW211*BW203+BX211*BX203+BY211*BY203+BZ211*BZ203+CA211*CA203+CB211*CB203+CC211*CC203+CD211*CD203+CE211*CE203+CF211*CF203+CG211*CG203+CH211*CH203</f>
        <v>0</v>
      </c>
      <c r="CM203" s="1951">
        <f>E212*E203+F212*F203+G212*G203+H212*H203+I212*I203+J212*J203+K212*K203+L212*L203+M212*M203+N212*N203+O212*O203+P212*P203+Q212*Q203+R212*R203+S212*S203+T212*T203+U212*U203+V212*V203+W212*W203+X212*X203+Y212*Y203+Z212*Z203+AA212*AA203+AB212*AB203+AC212*AC203+AD212*AD203+AE212*AE203+AF212*AF203+AG212*AG203+AH212*AH203+AI212*AI203+AJ212*AJ203+AK212*AK203+AL212*AL203+AM212*AM203+AN212*AN203+AO212*AO203+AP212*AP203+AQ212*AQ203+AR212*AR203+AS212*AS203+AT212*AT203+AU212*AU203+AV212*AV203+AW212*AW203+AX212*AX203+AY212*AY203+AZ212*AZ203+BA212*BA203+BB212*BB203+BC212*BC203+BD212*BD203+BE212*BE203+BF212*BF203+BG212*BG203+BH212*BH203+BI212*BI203+BJ212*BJ203+BK212*BK203+BL212*BL203+BM212*BM203+BN212*BN203+BO212*BO203+BP212*BP203+BQ212*BQ203+BR212*BR203+BS212*BS203+BT212*BT203+BU212*BU203+BV212*BV203+BW212*BW203+BX212*BX203+BY212*BY203+BZ212*BZ203+CA212*CA203+CB212*CB203+CC212*CC203+CD212*CD203+CE212*CE203+CF212*CF203+CG212*CG203+CH212*CH203</f>
        <v>0</v>
      </c>
      <c r="CN203" s="1952">
        <f>E213*E203+F213*F203+G213*G203+H213*H203+I213*I203+J213*J203+K213*K203+L213*L203+M213*M203+N213*N203+O213*O203+P213*P203+Q213*Q203+R213*R203+S213*S203+T213*T203+U213*U203+V213*V203+W213*W203+X213*X203+Y213*Y203+Z213*Z203+AA213*AA203+AB213*AB203+AC213*AC203+AD213*AD203+AE213*AE203+AF213*AF203+AG213*AG203+AH213*AH203+AI213*AI203+AJ213*AJ203+AK213*AK203+AL213*AL203+AM213*AM203+AN213*AN203+AO213*AO203+AP213*AP203+AQ213*AQ203+AR213*AR203+AS213*AS203+AT213*AT203+AU213*AU203+AV213*AV203+AW213*AW203+AX213*AX203+AY213*AY203+AZ213*AZ203+BA213*BA203+BB213*BB203+BC213*BC203+BD213*BD203+BE213*BE203+BF213*BF203+BG213*BG203+BH213*BH203+BI213*BI203+BJ213*BJ203+BK213*BK203+BL213*BL203+BM213*BM203+BN213*BN203+BO213*BO203+BP213*BP203+BQ213*BQ203+BR213*BR203+BS213*BS203+BT213*BT203+BU213*BU203+BV213*BV203+BW213*BW203+BX213*BX203+BY213*BY203+BZ213*BZ203+CA213*CA203+CB213*CB203+CC213*CC203+CD213*CD203+CE213*CE203+CF213*CF203+CG213*CG203+CH213*CH203</f>
        <v>0</v>
      </c>
      <c r="CO203" s="1952">
        <f>E214*E203+F214*F203+G214*G203+H214*H203+I214*I203+J214*J203+K214*K203+L214*L203+M214*M203+N214*N203+O214*O203+P214*P203+Q214*Q203+R214*R203+S214*S203+T214*T203+U214*U203+V214*V203+W214*W203+X214*X203+Y214*Y203+Z214*Z203+AA214*AA203+AB214*AB203+AC214*AC203+AD214*AD203+AE214*AE203+AF214*AF203+AG214*AG203+AH214*AH203+AI214*AI203+AJ214*AJ203+AK214*AK203+AL214*AL203+AM214*AM203+AN214*AN203+AO214*AO203+AP214*AP203+AQ214*AQ203+AR214*AR203+AS214*AS203+AT214*AT203+AU214*AU203+AV214*AV203+AW214*AW203+AX214*AX203+AY214*AY203+AZ214*AZ203+BA214*BA203+BB214*BB203+BC214*BC203+BD214*BD203+BE214*BE203+BF214*BF203+BG214*BG203+BH214*BH203+BI214*BI203+BJ214*BJ203+BK214*BK203+BL214*BL203+BM214*BM203+BN214*BN203+BO214*BO203+BP214*BP203+BQ214*BQ203+BR214*BR203+BS214*BS203+BT214*BT203+BU214*BU203+BV214*BV203+BW214*BW203+BX214*BX203+BY214*BY203+BZ214*BZ203+CA214*CA203+CB214*CB203+CC214*CC203+CD214*CD203+CE214*CE203+CF214*CF203+CG214*CG203+CH214*CH203</f>
        <v>0</v>
      </c>
      <c r="CP203" s="1952">
        <f>E215*E203+F215*F203+G215*G203+H215*H203+I215*I203+J215*J203+K215*K203+L215*L203+M215*M203+N215*N203+O215*O203+P215*P203+Q215*Q203+R215*R203+S215*S203+T215*T203+U215*U203+V215*V203+W215*W203+X215*X203+Y215*Y203+Z215*Z203+AA215*AA203+AB215*AB203+AC215*AC203+AD215*AD203+AE215*AE203+AF215*AF203+AG215*AG203+AH215*AH203+AI215*AI203+AJ215*AJ203+AK215*AK203+AL215*AL203+AM215*AM203+AN215*AN203+AO215*AO203+AP215*AP203+AQ215*AQ203+AR215*AR203+AS215*AS203+AT215*AT203+AU215*AU203+AV215*AV203+AW215*AW203+AX215*AX203+AY215*AY203+AZ215*AZ203+BA215*BA203+BB215*BB203+BC215*BC203+BD215*BD203+BE215*BE203+BF215*BF203+BG215*BG203+BH215*BH203+BI215*BI203+BJ215*BJ203+BK215*BK203+BL215*BL203+BM215*BM203+BN215*BN203+BO215*BO203+BP215*BP203+BQ215*BQ203+BR215*BR203+BS215*BS203+BT215*BT203+BU215*BU203+BV215*BV203+BW215*BW203+BX215*BX203+BY215*BY203+BZ215*BZ203+CA215*CA203+CB215*CB203+CC215*CC203+CD215*CD203+CE215*CE203+CF215*CF203+CG215*CG203+CH215*CH203</f>
        <v>0</v>
      </c>
      <c r="CQ203" s="1952">
        <f>E216*E203+F216*F203+G216*G203+H216*H203+I216*I203+J216*J203+K216*K203+L216*L203+M216*M203+N216*N203+O216*O203+P216*P203+Q216*Q203+R216*R203+S216*S203+T216*T203+U216*U203+V216*V203+W216*W203+X216*X203+Y216*Y203+Z216*Z203+AA216*AA203+AB216*AB203+AC216*AC203+AD216*AD203+AE216*AE203+AF216*AF203+AG216*AG203+AH216*AH203+AI216*AI203+AJ216*AJ203+AK216*AK203+AL216*AL203+AM216*AM203+AN216*AN203+AO216*AO203+AP216*AP203+AQ216*AQ203+AR216*AR203+AS216*AS203+AT216*AT203+AU216*AU203+AV216*AV203+AW216*AW203+AX216*AX203+AY216*AY203+AZ216*AZ203+BA216*BA203+BB216*BB203+BC216*BC203+BD216*BD203+BE216*BE203+BF216*BF203+BG216*BG203+BH216*BH203+BI216*BI203+BJ216*BJ203+BK216*BK203+BL216*BL203+BM216*BM203+BN216*BN203+BO216*BO203+BP216*BP203+BQ216*BQ203+BR216*BR203+BS216*BS203+BT216*BT203+BU216*BU203+BV216*BV203+BW216*BW203+BX216*BX203+BY216*BY203+BZ216*BZ203+CA216*CA203+CB216*CB203+CC216*CC203+CD216*CD203+CE216*CE203+CF216*CF203+CG216*CG203+CH216*CH203</f>
        <v>0</v>
      </c>
      <c r="CR203" s="1952">
        <f>E217*E203+F217*F203+G217*G203+H217*H203+I217*I203+J217*J203+K217*K203+L217*L203+M217*M203+N217*N203+O217*O203+P217*P203+Q217*Q203+R217*R203+S217*S203+T217*T203+U217*U203+V217*V203+W217*W203+X217*X203+Y217*Y203+Z217*Z203+AA217*AA203+AB217*AB203+AC217*AC203+AD217*AD203+AE217*AE203+AF217*AF203+AG217*AG203+AH217*AH203+AI217*AI203+AJ217*AJ203+AK217*AK203+AL217*AL203+AM217*AM203+AN217*AN203+AO217*AO203+AP217*AP203+AQ217*AQ203+AR217*AR203+AS217*AS203+AT217*AT203+AU217*AU203+AV217*AV203+AW217*AW203+AX217*AX203+AY217*AY203+AZ217*AZ203+BA217*BA203+BB217*BB203+BC217*BC203+BD217*BD203+BE217*BE203+BF217*BF203+BG217*BG203+BH217*BH203+BI217*BI203+BJ217*BJ203+BK217*BK203+BL217*BL203+BM217*BM203+BN217*BN203+BO217*BO203+BP217*BP203+BQ217*BQ203+BR217*BR203+BS217*BS203+BT217*BT203+BU217*BU203+BV217*BV203+BW217*BW203+BX217*BX203+BY217*BY203+BZ217*BZ203+CA217*CA203+CB217*CB203+CC217*CC203+CD217*CD203+CE217*CE203+CF217*CF203+CG217*CG203+CH217*CH203</f>
        <v>0</v>
      </c>
      <c r="CS203" s="1952">
        <f>E218*E203+F218*F203+G218*G203+H218*H203+I218*I203+J218*J203+K218*K203+L218*L203+M218*M203+N218*N203+O218*O203+P218*P203+Q218*Q203+R218*R203+S218*S203+T218*T203+U218*U203+V218*V203+W218*W203+X218*X203+Y218*Y203+Z218*Z203+AA218*AA203+AB218*AB203+AC218*AC203+AD218*AD203+AE218*AE203+AF218*AF203+AG218*AG203+AH218*AH203+AI218*AI203+AJ218*AJ203+AK218*AK203+AL218*AL203+AM218*AM203+AN218*AN203+AO218*AO203+AP218*AP203+AQ218*AQ203+AR218*AR203+AS218*AS203+AT218*AT203+AU218*AU203+AV218*AV203+AW218*AW203+AX218*AX203+AY218*AY203+AZ218*AZ203+BA218*BA203+BB218*BB203+BC218*BC203+BD218*BD203+BE218*BE203+BF218*BF203+BG218*BG203+BH218*BH203+BI218*BI203+BJ218*BJ203+BK218*BK203+BL218*BL203+BM218*BM203+BN218*BN203+BO218*BO203+BP218*BP203+BQ218*BQ203+BR218*BR203+BS218*BS203+BT218*BT203+BU218*BU203+BV218*BV203+BW218*BW203+BX218*BX203+BY218*BY203+BZ218*BZ203+CA218*CA203+CB218*CB203+CC218*CC203+CD218*CD203+CE218*CE203+CF218*CF203+CG218*CG203+CH218*CH203</f>
        <v>0</v>
      </c>
      <c r="CT203" s="1952">
        <f>E219*E203+F219*F203+G219*G203+H219*H203+I219*I203+J219*J203+K219*K203+L219*L203+M219*M203+N219*N203+O219*O203+P219*P203+Q219*Q203+R219*R203+S219*S203+T219*T203+U219*U203+V219*V203+W219*W203+X219*X203+Y219*Y203+Z219*Z203+AA219*AA203+AB219*AB203+AC219*AC203+AD219*AD203+AE219*AE203+AF219*AF203+AG219*AG203+AH219*AH203+AI219*AI203+AJ219*AJ203+AK219*AK203+AL219*AL203+AM219*AM203+AN219*AN203+AO219*AO203+AP219*AP203+AQ219*AQ203+AR219*AR203+AS219*AS203+AT219*AT203+AU219*AU203+AV219*AV203+AW219*AW203+AX219*AX203+AY219*AY203+AZ219*AZ203+BA219*BA203+BB219*BB203+BC219*BC203+BD219*BD203+BE219*BE203+BF219*BF203+BG219*BG203+BH219*BH203+BI219*BI203+BJ219*BJ203+BK219*BK203+BL219*BL203+BM219*BM203+BN219*BN203+BO219*BO203+BP219*BP203+BQ219*BQ203+BR219*BR203+BS219*BS203+BT219*BT203+BU219*BU203+BV219*BV203+BW219*BW203+BX219*BX203+BY219*BY203+BZ219*BZ203+CA219*CA203+CB219*CB203+CC219*CC203+CD219*CD203+CE219*CE203+CF219*CF203+CG219*CG203+CH219*CH203</f>
        <v>0</v>
      </c>
      <c r="CU203" s="1952">
        <f>E220*E203+F220*F203+G220*G203+H220*H203+I220*I203+J220*J203+K220*K203+L220*L203+M220*M203+N220*N203+O220*O203+P220*P203+Q220*Q203+R220*R203+S220*S203+T220*T203+U220*U203+V220*V203+W220*W203+X220*X203+Y220*Y203+Z220*Z203+AA220*AA203+AB220*AB203+AC220*AC203+AD220*AD203+AE220*AE203+AF220*AF203+AG220*AG203+AH220*AH203+AI220*AI203+AJ220*AJ203+AK220*AK203+AL220*AL203+AM220*AM203+AN220*AN203+AO220*AO203+AP220*AP203+AQ220*AQ203+AR220*AR203+AS220*AS203+AT220*AT203+AU220*AU203+AV220*AV203+AW220*AW203+AX220*AX203+AY220*AY203+AZ220*AZ203+BA220*BA203+BB220*BB203+BC220*BC203+BD220*BD203+BE220*BE203+BF220*BF203+BG220*BG203+BH220*BH203+BI220*BI203+BJ220*BJ203+BK220*BK203+BL220*BL203+BM220*BM203+BN220*BN203+BO220*BO203+BP220*BP203+BQ220*BQ203+BR220*BR203+BS220*BS203+BT220*BT203+BU220*BU203+BV220*BV203+BW220*BW203+BX220*BX203+BY220*BY203+BZ220*BZ203+CA220*CA203+CB220*CB203+CC220*CC203+CD220*CD203+CE220*CE203+CF220*CF203+CG220*CG203+CH220*CH203</f>
        <v>0</v>
      </c>
    </row>
    <row r="204" spans="2:99" ht="18" x14ac:dyDescent="0.25">
      <c r="B204" s="1043">
        <v>89</v>
      </c>
      <c r="C204" s="1112" t="s">
        <v>4483</v>
      </c>
      <c r="D204" s="1113" t="s">
        <v>2859</v>
      </c>
      <c r="E204" s="2062">
        <f>0</f>
        <v>0</v>
      </c>
      <c r="F204" s="2062">
        <f>0</f>
        <v>0</v>
      </c>
      <c r="G204" s="2062">
        <f>0</f>
        <v>0</v>
      </c>
      <c r="H204" s="2062">
        <f>0</f>
        <v>0</v>
      </c>
      <c r="I204" s="2083">
        <f>0</f>
        <v>0</v>
      </c>
      <c r="J204" s="2083">
        <f>0</f>
        <v>0</v>
      </c>
      <c r="K204" s="2062">
        <f>0</f>
        <v>0</v>
      </c>
      <c r="L204" s="2062">
        <f>0</f>
        <v>0</v>
      </c>
      <c r="M204" s="2062">
        <f>0</f>
        <v>0</v>
      </c>
      <c r="N204" s="2062">
        <f>0</f>
        <v>0</v>
      </c>
      <c r="O204" s="2062">
        <f>0</f>
        <v>0</v>
      </c>
      <c r="P204" s="2062">
        <f>0</f>
        <v>0</v>
      </c>
      <c r="Q204" s="2062">
        <f>0</f>
        <v>0</v>
      </c>
      <c r="R204" s="2062">
        <f>0</f>
        <v>0</v>
      </c>
      <c r="S204" s="2062">
        <f>0</f>
        <v>0</v>
      </c>
      <c r="T204" s="2062">
        <f>0</f>
        <v>0</v>
      </c>
      <c r="U204" s="2062">
        <f>0</f>
        <v>0</v>
      </c>
      <c r="V204" s="2062">
        <f>0</f>
        <v>0</v>
      </c>
      <c r="W204" s="2062">
        <f>0</f>
        <v>0</v>
      </c>
      <c r="X204" s="2062">
        <f>0</f>
        <v>0</v>
      </c>
      <c r="Y204" s="2062">
        <f>0</f>
        <v>0</v>
      </c>
      <c r="Z204" s="2062">
        <f>0</f>
        <v>0</v>
      </c>
      <c r="AA204" s="2062">
        <f>0</f>
        <v>0</v>
      </c>
      <c r="AB204" s="2062">
        <f>0</f>
        <v>0</v>
      </c>
      <c r="AC204" s="2083">
        <f>0</f>
        <v>0</v>
      </c>
      <c r="AD204" s="2083">
        <f>0</f>
        <v>0</v>
      </c>
      <c r="AE204" s="2062">
        <f>0</f>
        <v>0</v>
      </c>
      <c r="AF204" s="2062">
        <f>0</f>
        <v>0</v>
      </c>
      <c r="AG204" s="2062">
        <f>0</f>
        <v>0</v>
      </c>
      <c r="AH204" s="2062">
        <f>0</f>
        <v>0</v>
      </c>
      <c r="AI204" s="2083">
        <f>0</f>
        <v>0</v>
      </c>
      <c r="AJ204" s="2083">
        <f>0</f>
        <v>0</v>
      </c>
      <c r="AK204" s="2062">
        <f>0</f>
        <v>0</v>
      </c>
      <c r="AL204" s="2062">
        <f>1</f>
        <v>1</v>
      </c>
      <c r="AM204" s="2062">
        <f>0</f>
        <v>0</v>
      </c>
      <c r="AN204" s="2062">
        <f>0</f>
        <v>0</v>
      </c>
      <c r="AO204" s="2062">
        <f>0</f>
        <v>0</v>
      </c>
      <c r="AP204" s="2062">
        <f>0</f>
        <v>0</v>
      </c>
      <c r="AQ204" s="2062">
        <f>0</f>
        <v>0</v>
      </c>
      <c r="AR204" s="2062">
        <f>0</f>
        <v>0</v>
      </c>
      <c r="AS204" s="2062">
        <f>0</f>
        <v>0</v>
      </c>
      <c r="AT204" s="2062">
        <f>0</f>
        <v>0</v>
      </c>
      <c r="AU204" s="2062">
        <f>0</f>
        <v>0</v>
      </c>
      <c r="AV204" s="2062">
        <f>0</f>
        <v>0</v>
      </c>
      <c r="AW204" s="2062">
        <f>0</f>
        <v>0</v>
      </c>
      <c r="AX204" s="2062">
        <f>0</f>
        <v>0</v>
      </c>
      <c r="AY204" s="2062">
        <f>0</f>
        <v>0</v>
      </c>
      <c r="AZ204" s="2062">
        <f>0</f>
        <v>0</v>
      </c>
      <c r="BA204" s="2062">
        <f>0</f>
        <v>0</v>
      </c>
      <c r="BB204" s="2062">
        <f>0</f>
        <v>0</v>
      </c>
      <c r="BC204" s="2062">
        <f>0</f>
        <v>0</v>
      </c>
      <c r="BD204" s="2062">
        <f>0</f>
        <v>0</v>
      </c>
      <c r="BE204" s="2062">
        <f>0</f>
        <v>0</v>
      </c>
      <c r="BF204" s="2062">
        <f>0</f>
        <v>0</v>
      </c>
      <c r="BG204" s="2062">
        <f>0</f>
        <v>0</v>
      </c>
      <c r="BH204" s="2062">
        <f>0</f>
        <v>0</v>
      </c>
      <c r="BI204" s="2062">
        <f>0</f>
        <v>0</v>
      </c>
      <c r="BJ204" s="2062">
        <f>0</f>
        <v>0</v>
      </c>
      <c r="BK204" s="2062">
        <f>0</f>
        <v>0</v>
      </c>
      <c r="BL204" s="2062">
        <f>0</f>
        <v>0</v>
      </c>
      <c r="BM204" s="2062">
        <f>0</f>
        <v>0</v>
      </c>
      <c r="BN204" s="2062">
        <f>0</f>
        <v>0</v>
      </c>
      <c r="BO204" s="2062">
        <f>0</f>
        <v>0</v>
      </c>
      <c r="BP204" s="2119">
        <f>0</f>
        <v>0</v>
      </c>
      <c r="BQ204" s="2119">
        <f>0</f>
        <v>0</v>
      </c>
      <c r="BR204" s="2119">
        <f>0</f>
        <v>0</v>
      </c>
      <c r="BS204" s="2119">
        <f>0</f>
        <v>0</v>
      </c>
      <c r="BT204" s="2062">
        <f>0</f>
        <v>0</v>
      </c>
      <c r="BU204" s="2062">
        <f>0</f>
        <v>0</v>
      </c>
      <c r="BV204" s="2062">
        <f>0</f>
        <v>0</v>
      </c>
      <c r="BW204" s="2062">
        <f>0</f>
        <v>0</v>
      </c>
      <c r="BX204" s="2062">
        <f>0</f>
        <v>0</v>
      </c>
      <c r="BY204" s="2062">
        <f>0</f>
        <v>0</v>
      </c>
      <c r="BZ204" s="2062">
        <f>0</f>
        <v>0</v>
      </c>
      <c r="CA204" s="2062">
        <f>0</f>
        <v>0</v>
      </c>
      <c r="CB204" s="2062">
        <f>0</f>
        <v>0</v>
      </c>
      <c r="CC204" s="2062">
        <f>0</f>
        <v>0</v>
      </c>
      <c r="CD204" s="2062">
        <f>0</f>
        <v>0</v>
      </c>
      <c r="CE204" s="2062">
        <f>0</f>
        <v>0</v>
      </c>
      <c r="CF204" s="2100">
        <f>-Δ_atm</f>
        <v>-1</v>
      </c>
      <c r="CG204" s="2062">
        <f>0</f>
        <v>0</v>
      </c>
      <c r="CH204" s="2062">
        <f>0</f>
        <v>0</v>
      </c>
      <c r="CI204" s="2141">
        <f>k_LaGO2_sur*(S_GO2_sur_sat-S_O2)</f>
        <v>24</v>
      </c>
      <c r="CK204" s="1950">
        <f>E210*E204+F210*F204+G210*G204+H210*H204+I210*I204+J210*J204+K210*K204+L210*L204+M210*M204+N210*N204+O210*O204+P210*P204+Q210*Q204+R210*R204+S210*S204+T210*T204+U210*U204+V210*V204+W210*W204+X210*X204+Y210*Y204+Z210*Z204+AA210*AA204+AB210*AB204+AC210*AC204+AD210*AD204+AE210*AE204+AF210*AF204+AG210*AG204+AH210*AH204+AI210*AI204+AJ210*AJ204+AK210*AK204+AL210*AL204+AM210*AM204+AN210*AN204+AO210*AO204+AP210*AP204+AQ210*AQ204+AR210*AR204+AS210*AS204+AT210*AT204+AU210*AU204+AV210*AV204+AW210*AW204+AX210*AX204+AY210*AY204+AZ210*AZ204+BA210*BA204+BB210*BB204+BC210*BC204+BD210*BD204+BE210*BE204+BF210*BF204+BG210*BG204+BH210*BH204+BI210*BI204+BJ210*BJ204+BK210*BK204+BL210*BL204+BM210*BM204+BN210*BN204+BO210*BO204+BP210*BP204+BQ210*BQ204+BR210*BR204+BS210*BS204+BT210*BT204+BU210*BU204+BV210*BV204+BW210*BW204+BX210*BX204+BY210*BY204+BZ210*BZ204+CA210*CA204+CB210*CB204+CC210*CC204+CD210*CD204+CE210*CE204+CF210*CF204+CG210*CG204+CH210*CH204</f>
        <v>0</v>
      </c>
      <c r="CL204" s="1950">
        <f>E211*E204+F211*F204+G211*G204+H211*H204+I211*I204+J211*J204+K211*K204+L211*L204+M211*M204+N211*N204+O211*O204+P211*P204+Q211*Q204+R211*R204+S211*S204+T211*T204+U211*U204+V211*V204+W211*W204+X211*X204+Y211*Y204+Z211*Z204+AA211*AA204+AB211*AB204+AC211*AC204+AD211*AD204+AE211*AE204+AF211*AF204+AG211*AG204+AH211*AH204+AI211*AI204+AJ211*AJ204+AK211*AK204+AL211*AL204+AM211*AM204+AN211*AN204+AO211*AO204+AP211*AP204+AQ211*AQ204+AR211*AR204+AS211*AS204+AT211*AT204+AU211*AU204+AV211*AV204+AW211*AW204+AX211*AX204+AY211*AY204+AZ211*AZ204+BA211*BA204+BB211*BB204+BC211*BC204+BD211*BD204+BE211*BE204+BF211*BF204+BG211*BG204+BH211*BH204+BI211*BI204+BJ211*BJ204+BK211*BK204+BL211*BL204+BM211*BM204+BN211*BN204+BO211*BO204+BP211*BP204+BQ211*BQ204+BR211*BR204+BS211*BS204+BT211*BT204+BU211*BU204+BV211*BV204+BW211*BW204+BX211*BX204+BY211*BY204+BZ211*BZ204+CA211*CA204+CB211*CB204+CC211*CC204+CD211*CD204+CE211*CE204+CF211*CF204+CG211*CG204+CH211*CH204</f>
        <v>0</v>
      </c>
      <c r="CM204" s="1951">
        <f>E212*E204+F212*F204+G212*G204+H212*H204+I212*I204+J212*J204+K212*K204+L212*L204+M212*M204+N212*N204+O212*O204+P212*P204+Q212*Q204+R212*R204+S212*S204+T212*T204+U212*U204+V212*V204+W212*W204+X212*X204+Y212*Y204+Z212*Z204+AA212*AA204+AB212*AB204+AC212*AC204+AD212*AD204+AE212*AE204+AF212*AF204+AG212*AG204+AH212*AH204+AI212*AI204+AJ212*AJ204+AK212*AK204+AL212*AL204+AM212*AM204+AN212*AN204+AO212*AO204+AP212*AP204+AQ212*AQ204+AR212*AR204+AS212*AS204+AT212*AT204+AU212*AU204+AV212*AV204+AW212*AW204+AX212*AX204+AY212*AY204+AZ212*AZ204+BA212*BA204+BB212*BB204+BC212*BC204+BD212*BD204+BE212*BE204+BF212*BF204+BG212*BG204+BH212*BH204+BI212*BI204+BJ212*BJ204+BK212*BK204+BL212*BL204+BM212*BM204+BN212*BN204+BO212*BO204+BP212*BP204+BQ212*BQ204+BR212*BR204+BS212*BS204+BT212*BT204+BU212*BU204+BV212*BV204+BW212*BW204+BX212*BX204+BY212*BY204+BZ212*BZ204+CA212*CA204+CB212*CB204+CC212*CC204+CD212*CD204+CE212*CE204+CF212*CF204+CG212*CG204+CH212*CH204</f>
        <v>0</v>
      </c>
      <c r="CN204" s="1952">
        <f>E213*E204+F213*F204+G213*G204+H213*H204+I213*I204+J213*J204+K213*K204+L213*L204+M213*M204+N213*N204+O213*O204+P213*P204+Q213*Q204+R213*R204+S213*S204+T213*T204+U213*U204+V213*V204+W213*W204+X213*X204+Y213*Y204+Z213*Z204+AA213*AA204+AB213*AB204+AC213*AC204+AD213*AD204+AE213*AE204+AF213*AF204+AG213*AG204+AH213*AH204+AI213*AI204+AJ213*AJ204+AK213*AK204+AL213*AL204+AM213*AM204+AN213*AN204+AO213*AO204+AP213*AP204+AQ213*AQ204+AR213*AR204+AS213*AS204+AT213*AT204+AU213*AU204+AV213*AV204+AW213*AW204+AX213*AX204+AY213*AY204+AZ213*AZ204+BA213*BA204+BB213*BB204+BC213*BC204+BD213*BD204+BE213*BE204+BF213*BF204+BG213*BG204+BH213*BH204+BI213*BI204+BJ213*BJ204+BK213*BK204+BL213*BL204+BM213*BM204+BN213*BN204+BO213*BO204+BP213*BP204+BQ213*BQ204+BR213*BR204+BS213*BS204+BT213*BT204+BU213*BU204+BV213*BV204+BW213*BW204+BX213*BX204+BY213*BY204+BZ213*BZ204+CA213*CA204+CB213*CB204+CC213*CC204+CD213*CD204+CE213*CE204+CF213*CF204+CG213*CG204+CH213*CH204</f>
        <v>0</v>
      </c>
      <c r="CO204" s="1952">
        <f>E214*E204+F214*F204+G214*G204+H214*H204+I214*I204+J214*J204+K214*K204+L214*L204+M214*M204+N214*N204+O214*O204+P214*P204+Q214*Q204+R214*R204+S214*S204+T214*T204+U214*U204+V214*V204+W214*W204+X214*X204+Y214*Y204+Z214*Z204+AA214*AA204+AB214*AB204+AC214*AC204+AD214*AD204+AE214*AE204+AF214*AF204+AG214*AG204+AH214*AH204+AI214*AI204+AJ214*AJ204+AK214*AK204+AL214*AL204+AM214*AM204+AN214*AN204+AO214*AO204+AP214*AP204+AQ214*AQ204+AR214*AR204+AS214*AS204+AT214*AT204+AU214*AU204+AV214*AV204+AW214*AW204+AX214*AX204+AY214*AY204+AZ214*AZ204+BA214*BA204+BB214*BB204+BC214*BC204+BD214*BD204+BE214*BE204+BF214*BF204+BG214*BG204+BH214*BH204+BI214*BI204+BJ214*BJ204+BK214*BK204+BL214*BL204+BM214*BM204+BN214*BN204+BO214*BO204+BP214*BP204+BQ214*BQ204+BR214*BR204+BS214*BS204+BT214*BT204+BU214*BU204+BV214*BV204+BW214*BW204+BX214*BX204+BY214*BY204+BZ214*BZ204+CA214*CA204+CB214*CB204+CC214*CC204+CD214*CD204+CE214*CE204+CF214*CF204+CG214*CG204+CH214*CH204</f>
        <v>0</v>
      </c>
      <c r="CP204" s="1952">
        <f>E215*E204+F215*F204+G215*G204+H215*H204+I215*I204+J215*J204+K215*K204+L215*L204+M215*M204+N215*N204+O215*O204+P215*P204+Q215*Q204+R215*R204+S215*S204+T215*T204+U215*U204+V215*V204+W215*W204+X215*X204+Y215*Y204+Z215*Z204+AA215*AA204+AB215*AB204+AC215*AC204+AD215*AD204+AE215*AE204+AF215*AF204+AG215*AG204+AH215*AH204+AI215*AI204+AJ215*AJ204+AK215*AK204+AL215*AL204+AM215*AM204+AN215*AN204+AO215*AO204+AP215*AP204+AQ215*AQ204+AR215*AR204+AS215*AS204+AT215*AT204+AU215*AU204+AV215*AV204+AW215*AW204+AX215*AX204+AY215*AY204+AZ215*AZ204+BA215*BA204+BB215*BB204+BC215*BC204+BD215*BD204+BE215*BE204+BF215*BF204+BG215*BG204+BH215*BH204+BI215*BI204+BJ215*BJ204+BK215*BK204+BL215*BL204+BM215*BM204+BN215*BN204+BO215*BO204+BP215*BP204+BQ215*BQ204+BR215*BR204+BS215*BS204+BT215*BT204+BU215*BU204+BV215*BV204+BW215*BW204+BX215*BX204+BY215*BY204+BZ215*BZ204+CA215*CA204+CB215*CB204+CC215*CC204+CD215*CD204+CE215*CE204+CF215*CF204+CG215*CG204+CH215*CH204</f>
        <v>0</v>
      </c>
      <c r="CQ204" s="1952">
        <f>E216*E204+F216*F204+G216*G204+H216*H204+I216*I204+J216*J204+K216*K204+L216*L204+M216*M204+N216*N204+O216*O204+P216*P204+Q216*Q204+R216*R204+S216*S204+T216*T204+U216*U204+V216*V204+W216*W204+X216*X204+Y216*Y204+Z216*Z204+AA216*AA204+AB216*AB204+AC216*AC204+AD216*AD204+AE216*AE204+AF216*AF204+AG216*AG204+AH216*AH204+AI216*AI204+AJ216*AJ204+AK216*AK204+AL216*AL204+AM216*AM204+AN216*AN204+AO216*AO204+AP216*AP204+AQ216*AQ204+AR216*AR204+AS216*AS204+AT216*AT204+AU216*AU204+AV216*AV204+AW216*AW204+AX216*AX204+AY216*AY204+AZ216*AZ204+BA216*BA204+BB216*BB204+BC216*BC204+BD216*BD204+BE216*BE204+BF216*BF204+BG216*BG204+BH216*BH204+BI216*BI204+BJ216*BJ204+BK216*BK204+BL216*BL204+BM216*BM204+BN216*BN204+BO216*BO204+BP216*BP204+BQ216*BQ204+BR216*BR204+BS216*BS204+BT216*BT204+BU216*BU204+BV216*BV204+BW216*BW204+BX216*BX204+BY216*BY204+BZ216*BZ204+CA216*CA204+CB216*CB204+CC216*CC204+CD216*CD204+CE216*CE204+CF216*CF204+CG216*CG204+CH216*CH204</f>
        <v>0</v>
      </c>
      <c r="CR204" s="1952">
        <f>E217*E204+F217*F204+G217*G204+H217*H204+I217*I204+J217*J204+K217*K204+L217*L204+M217*M204+N217*N204+O217*O204+P217*P204+Q217*Q204+R217*R204+S217*S204+T217*T204+U217*U204+V217*V204+W217*W204+X217*X204+Y217*Y204+Z217*Z204+AA217*AA204+AB217*AB204+AC217*AC204+AD217*AD204+AE217*AE204+AF217*AF204+AG217*AG204+AH217*AH204+AI217*AI204+AJ217*AJ204+AK217*AK204+AL217*AL204+AM217*AM204+AN217*AN204+AO217*AO204+AP217*AP204+AQ217*AQ204+AR217*AR204+AS217*AS204+AT217*AT204+AU217*AU204+AV217*AV204+AW217*AW204+AX217*AX204+AY217*AY204+AZ217*AZ204+BA217*BA204+BB217*BB204+BC217*BC204+BD217*BD204+BE217*BE204+BF217*BF204+BG217*BG204+BH217*BH204+BI217*BI204+BJ217*BJ204+BK217*BK204+BL217*BL204+BM217*BM204+BN217*BN204+BO217*BO204+BP217*BP204+BQ217*BQ204+BR217*BR204+BS217*BS204+BT217*BT204+BU217*BU204+BV217*BV204+BW217*BW204+BX217*BX204+BY217*BY204+BZ217*BZ204+CA217*CA204+CB217*CB204+CC217*CC204+CD217*CD204+CE217*CE204+CF217*CF204+CG217*CG204+CH217*CH204</f>
        <v>0</v>
      </c>
      <c r="CS204" s="1952">
        <f>E218*E204+F218*F204+G218*G204+H218*H204+I218*I204+J218*J204+K218*K204+L218*L204+M218*M204+N218*N204+O218*O204+P218*P204+Q218*Q204+R218*R204+S218*S204+T218*T204+U218*U204+V218*V204+W218*W204+X218*X204+Y218*Y204+Z218*Z204+AA218*AA204+AB218*AB204+AC218*AC204+AD218*AD204+AE218*AE204+AF218*AF204+AG218*AG204+AH218*AH204+AI218*AI204+AJ218*AJ204+AK218*AK204+AL218*AL204+AM218*AM204+AN218*AN204+AO218*AO204+AP218*AP204+AQ218*AQ204+AR218*AR204+AS218*AS204+AT218*AT204+AU218*AU204+AV218*AV204+AW218*AW204+AX218*AX204+AY218*AY204+AZ218*AZ204+BA218*BA204+BB218*BB204+BC218*BC204+BD218*BD204+BE218*BE204+BF218*BF204+BG218*BG204+BH218*BH204+BI218*BI204+BJ218*BJ204+BK218*BK204+BL218*BL204+BM218*BM204+BN218*BN204+BO218*BO204+BP218*BP204+BQ218*BQ204+BR218*BR204+BS218*BS204+BT218*BT204+BU218*BU204+BV218*BV204+BW218*BW204+BX218*BX204+BY218*BY204+BZ218*BZ204+CA218*CA204+CB218*CB204+CC218*CC204+CD218*CD204+CE218*CE204+CF218*CF204+CG218*CG204+CH218*CH204</f>
        <v>0</v>
      </c>
      <c r="CT204" s="1952">
        <f>E219*E204+F219*F204+G219*G204+H219*H204+I219*I204+J219*J204+K219*K204+L219*L204+M219*M204+N219*N204+O219*O204+P219*P204+Q219*Q204+R219*R204+S219*S204+T219*T204+U219*U204+V219*V204+W219*W204+X219*X204+Y219*Y204+Z219*Z204+AA219*AA204+AB219*AB204+AC219*AC204+AD219*AD204+AE219*AE204+AF219*AF204+AG219*AG204+AH219*AH204+AI219*AI204+AJ219*AJ204+AK219*AK204+AL219*AL204+AM219*AM204+AN219*AN204+AO219*AO204+AP219*AP204+AQ219*AQ204+AR219*AR204+AS219*AS204+AT219*AT204+AU219*AU204+AV219*AV204+AW219*AW204+AX219*AX204+AY219*AY204+AZ219*AZ204+BA219*BA204+BB219*BB204+BC219*BC204+BD219*BD204+BE219*BE204+BF219*BF204+BG219*BG204+BH219*BH204+BI219*BI204+BJ219*BJ204+BK219*BK204+BL219*BL204+BM219*BM204+BN219*BN204+BO219*BO204+BP219*BP204+BQ219*BQ204+BR219*BR204+BS219*BS204+BT219*BT204+BU219*BU204+BV219*BV204+BW219*BW204+BX219*BX204+BY219*BY204+BZ219*BZ204+CA219*CA204+CB219*CB204+CC219*CC204+CD219*CD204+CE219*CE204+CF219*CF204+CG219*CG204+CH219*CH204</f>
        <v>0</v>
      </c>
      <c r="CU204" s="1952">
        <f>E220*E204+F220*F204+G220*G204+H220*H204+I220*I204+J220*J204+K220*K204+L220*L204+M220*M204+N220*N204+O220*O204+P220*P204+Q220*Q204+R220*R204+S220*S204+T220*T204+U220*U204+V220*V204+W220*W204+X220*X204+Y220*Y204+Z220*Z204+AA220*AA204+AB220*AB204+AC220*AC204+AD220*AD204+AE220*AE204+AF220*AF204+AG220*AG204+AH220*AH204+AI220*AI204+AJ220*AJ204+AK220*AK204+AL220*AL204+AM220*AM204+AN220*AN204+AO220*AO204+AP220*AP204+AQ220*AQ204+AR220*AR204+AS220*AS204+AT220*AT204+AU220*AU204+AV220*AV204+AW220*AW204+AX220*AX204+AY220*AY204+AZ220*AZ204+BA220*BA204+BB220*BB204+BC220*BC204+BD220*BD204+BE220*BE204+BF220*BF204+BG220*BG204+BH220*BH204+BI220*BI204+BJ220*BJ204+BK220*BK204+BL220*BL204+BM220*BM204+BN220*BN204+BO220*BO204+BP220*BP204+BQ220*BQ204+BR220*BR204+BS220*BS204+BT220*BT204+BU220*BU204+BV220*BV204+BW220*BW204+BX220*BX204+BY220*BY204+BZ220*BZ204+CA220*CA204+CB220*CB204+CC220*CC204+CD220*CD204+CE220*CE204+CF220*CF204+CG220*CG204+CH220*CH204</f>
        <v>0</v>
      </c>
    </row>
    <row r="205" spans="2:99" ht="18" x14ac:dyDescent="0.25">
      <c r="B205" s="1043">
        <v>90</v>
      </c>
      <c r="C205" s="1112" t="s">
        <v>4484</v>
      </c>
      <c r="D205" s="1113" t="s">
        <v>2860</v>
      </c>
      <c r="E205" s="2062">
        <f>0</f>
        <v>0</v>
      </c>
      <c r="F205" s="2062">
        <f>0</f>
        <v>0</v>
      </c>
      <c r="G205" s="2062">
        <f>0</f>
        <v>0</v>
      </c>
      <c r="H205" s="2062">
        <f>0</f>
        <v>0</v>
      </c>
      <c r="I205" s="2083">
        <f>0</f>
        <v>0</v>
      </c>
      <c r="J205" s="2083">
        <f>0</f>
        <v>0</v>
      </c>
      <c r="K205" s="2062">
        <f>0</f>
        <v>0</v>
      </c>
      <c r="L205" s="2062">
        <f>0</f>
        <v>0</v>
      </c>
      <c r="M205" s="2062">
        <f>0</f>
        <v>0</v>
      </c>
      <c r="N205" s="2062">
        <f>0</f>
        <v>0</v>
      </c>
      <c r="O205" s="2062">
        <f>0</f>
        <v>0</v>
      </c>
      <c r="P205" s="2062">
        <f>0</f>
        <v>0</v>
      </c>
      <c r="Q205" s="2062">
        <f>0</f>
        <v>0</v>
      </c>
      <c r="R205" s="2062">
        <f>0</f>
        <v>0</v>
      </c>
      <c r="S205" s="2062">
        <f>0</f>
        <v>0</v>
      </c>
      <c r="T205" s="2062">
        <f>0</f>
        <v>0</v>
      </c>
      <c r="U205" s="2062">
        <f>0</f>
        <v>0</v>
      </c>
      <c r="V205" s="2062">
        <f>0</f>
        <v>0</v>
      </c>
      <c r="W205" s="2062">
        <f>0</f>
        <v>0</v>
      </c>
      <c r="X205" s="2062">
        <f>0</f>
        <v>0</v>
      </c>
      <c r="Y205" s="2062">
        <f>1</f>
        <v>1</v>
      </c>
      <c r="Z205" s="2062">
        <f>0</f>
        <v>0</v>
      </c>
      <c r="AA205" s="2062">
        <f>0</f>
        <v>0</v>
      </c>
      <c r="AB205" s="2062">
        <f>0</f>
        <v>0</v>
      </c>
      <c r="AC205" s="2083">
        <f>0</f>
        <v>0</v>
      </c>
      <c r="AD205" s="2083">
        <f>0</f>
        <v>0</v>
      </c>
      <c r="AE205" s="2062">
        <f>0</f>
        <v>0</v>
      </c>
      <c r="AF205" s="2062">
        <f>0</f>
        <v>0</v>
      </c>
      <c r="AG205" s="2062">
        <f>0</f>
        <v>0</v>
      </c>
      <c r="AH205" s="2062">
        <f>0</f>
        <v>0</v>
      </c>
      <c r="AI205" s="2083">
        <f>0</f>
        <v>0</v>
      </c>
      <c r="AJ205" s="2083">
        <f>0</f>
        <v>0</v>
      </c>
      <c r="AK205" s="2062">
        <f>0</f>
        <v>0</v>
      </c>
      <c r="AL205" s="2062">
        <f>0</f>
        <v>0</v>
      </c>
      <c r="AM205" s="2062">
        <f>0</f>
        <v>0</v>
      </c>
      <c r="AN205" s="2062">
        <f>0</f>
        <v>0</v>
      </c>
      <c r="AO205" s="2062">
        <f>0</f>
        <v>0</v>
      </c>
      <c r="AP205" s="2062">
        <f>0</f>
        <v>0</v>
      </c>
      <c r="AQ205" s="2062">
        <f>0</f>
        <v>0</v>
      </c>
      <c r="AR205" s="2062">
        <f>0</f>
        <v>0</v>
      </c>
      <c r="AS205" s="2062">
        <f>0</f>
        <v>0</v>
      </c>
      <c r="AT205" s="2062">
        <f>0</f>
        <v>0</v>
      </c>
      <c r="AU205" s="2062">
        <f>0</f>
        <v>0</v>
      </c>
      <c r="AV205" s="2062">
        <f>0</f>
        <v>0</v>
      </c>
      <c r="AW205" s="2062">
        <f>0</f>
        <v>0</v>
      </c>
      <c r="AX205" s="2062">
        <f>0</f>
        <v>0</v>
      </c>
      <c r="AY205" s="2062">
        <f>0</f>
        <v>0</v>
      </c>
      <c r="AZ205" s="2062">
        <f>0</f>
        <v>0</v>
      </c>
      <c r="BA205" s="2062">
        <f>0</f>
        <v>0</v>
      </c>
      <c r="BB205" s="2062">
        <f>0</f>
        <v>0</v>
      </c>
      <c r="BC205" s="2062">
        <f>0</f>
        <v>0</v>
      </c>
      <c r="BD205" s="2062">
        <f>0</f>
        <v>0</v>
      </c>
      <c r="BE205" s="2062">
        <f>0</f>
        <v>0</v>
      </c>
      <c r="BF205" s="2062">
        <f>0</f>
        <v>0</v>
      </c>
      <c r="BG205" s="2062">
        <f>0</f>
        <v>0</v>
      </c>
      <c r="BH205" s="2062">
        <f>0</f>
        <v>0</v>
      </c>
      <c r="BI205" s="2062">
        <f>0</f>
        <v>0</v>
      </c>
      <c r="BJ205" s="2062">
        <f>0</f>
        <v>0</v>
      </c>
      <c r="BK205" s="2062">
        <f>0</f>
        <v>0</v>
      </c>
      <c r="BL205" s="2062">
        <f>0</f>
        <v>0</v>
      </c>
      <c r="BM205" s="2062">
        <f>0</f>
        <v>0</v>
      </c>
      <c r="BN205" s="2062">
        <f>0</f>
        <v>0</v>
      </c>
      <c r="BO205" s="2062">
        <f>0</f>
        <v>0</v>
      </c>
      <c r="BP205" s="2119">
        <f>0</f>
        <v>0</v>
      </c>
      <c r="BQ205" s="2119">
        <f>0</f>
        <v>0</v>
      </c>
      <c r="BR205" s="2119">
        <f>0</f>
        <v>0</v>
      </c>
      <c r="BS205" s="2119">
        <f>0</f>
        <v>0</v>
      </c>
      <c r="BT205" s="2062">
        <f>0</f>
        <v>0</v>
      </c>
      <c r="BU205" s="2062">
        <f>0</f>
        <v>0</v>
      </c>
      <c r="BV205" s="2062">
        <f>0</f>
        <v>0</v>
      </c>
      <c r="BW205" s="2062">
        <f>0</f>
        <v>0</v>
      </c>
      <c r="BX205" s="2062">
        <f>0</f>
        <v>0</v>
      </c>
      <c r="BY205" s="2062">
        <f>0</f>
        <v>0</v>
      </c>
      <c r="BZ205" s="2062">
        <f>0</f>
        <v>0</v>
      </c>
      <c r="CA205" s="2062">
        <f>0</f>
        <v>0</v>
      </c>
      <c r="CB205" s="2062">
        <f>0</f>
        <v>0</v>
      </c>
      <c r="CC205" s="2062">
        <f>0</f>
        <v>0</v>
      </c>
      <c r="CD205" s="2062">
        <f>0</f>
        <v>0</v>
      </c>
      <c r="CE205" s="2062">
        <f>0</f>
        <v>0</v>
      </c>
      <c r="CF205" s="2062">
        <f>0</f>
        <v>0</v>
      </c>
      <c r="CG205" s="2100">
        <f>-Δ_atm</f>
        <v>-1</v>
      </c>
      <c r="CH205" s="2062">
        <f>0</f>
        <v>0</v>
      </c>
      <c r="CI205" s="2141">
        <f>k_transfer_GNH3_sur</f>
        <v>0</v>
      </c>
      <c r="CK205" s="1950">
        <f>E210*E205+F210*F205+G210*G205+H210*H205+I210*I205+J210*J205+K210*K205+L210*L205+M210*M205+N210*N205+O210*O205+P210*P205+Q210*Q205+R210*R205+S210*S205+T210*T205+U210*U205+V210*V205+W210*W205+X210*X205+Y210*Y205+Z210*Z205+AA210*AA205+AB210*AB205+AC210*AC205+AD210*AD205+AE210*AE205+AF210*AF205+AG210*AG205+AH210*AH205+AI210*AI205+AJ210*AJ205+AK210*AK205+AL210*AL205+AM210*AM205+AN210*AN205+AO210*AO205+AP210*AP205+AQ210*AQ205+AR210*AR205+AS210*AS205+AT210*AT205+AU210*AU205+AV210*AV205+AW210*AW205+AX210*AX205+AY210*AY205+AZ210*AZ205+BA210*BA205+BB210*BB205+BC210*BC205+BD210*BD205+BE210*BE205+BF210*BF205+BG210*BG205+BH210*BH205+BI210*BI205+BJ210*BJ205+BK210*BK205+BL210*BL205+BM210*BM205+BN210*BN205+BO210*BO205+BP210*BP205+BQ210*BQ205+BR210*BR205+BS210*BS205+BT210*BT205+BU210*BU205+BV210*BV205+BW210*BW205+BX210*BX205+BY210*BY205+BZ210*BZ205+CA210*CA205+CB210*CB205+CC210*CC205+CD210*CD205+CE210*CE205+CF210*CF205+CG210*CG205+CH210*CH205</f>
        <v>0</v>
      </c>
      <c r="CL205" s="1950">
        <f>E211*E205+F211*F205+G211*G205+H211*H205+I211*I205+J211*J205+K211*K205+L211*L205+M211*M205+N211*N205+O211*O205+P211*P205+Q211*Q205+R211*R205+S211*S205+T211*T205+U211*U205+V211*V205+W211*W205+X211*X205+Y211*Y205+Z211*Z205+AA211*AA205+AB211*AB205+AC211*AC205+AD211*AD205+AE211*AE205+AF211*AF205+AG211*AG205+AH211*AH205+AI211*AI205+AJ211*AJ205+AK211*AK205+AL211*AL205+AM211*AM205+AN211*AN205+AO211*AO205+AP211*AP205+AQ211*AQ205+AR211*AR205+AS211*AS205+AT211*AT205+AU211*AU205+AV211*AV205+AW211*AW205+AX211*AX205+AY211*AY205+AZ211*AZ205+BA211*BA205+BB211*BB205+BC211*BC205+BD211*BD205+BE211*BE205+BF211*BF205+BG211*BG205+BH211*BH205+BI211*BI205+BJ211*BJ205+BK211*BK205+BL211*BL205+BM211*BM205+BN211*BN205+BO211*BO205+BP211*BP205+BQ211*BQ205+BR211*BR205+BS211*BS205+BT211*BT205+BU211*BU205+BV211*BV205+BW211*BW205+BX211*BX205+BY211*BY205+BZ211*BZ205+CA211*CA205+CB211*CB205+CC211*CC205+CD211*CD205+CE211*CE205+CF211*CF205+CG211*CG205+CH211*CH205</f>
        <v>0</v>
      </c>
      <c r="CM205" s="1951">
        <f>E212*E205+F212*F205+G212*G205+H212*H205+I212*I205+J212*J205+K212*K205+L212*L205+M212*M205+N212*N205+O212*O205+P212*P205+Q212*Q205+R212*R205+S212*S205+T212*T205+U212*U205+V212*V205+W212*W205+X212*X205+Y212*Y205+Z212*Z205+AA212*AA205+AB212*AB205+AC212*AC205+AD212*AD205+AE212*AE205+AF212*AF205+AG212*AG205+AH212*AH205+AI212*AI205+AJ212*AJ205+AK212*AK205+AL212*AL205+AM212*AM205+AN212*AN205+AO212*AO205+AP212*AP205+AQ212*AQ205+AR212*AR205+AS212*AS205+AT212*AT205+AU212*AU205+AV212*AV205+AW212*AW205+AX212*AX205+AY212*AY205+AZ212*AZ205+BA212*BA205+BB212*BB205+BC212*BC205+BD212*BD205+BE212*BE205+BF212*BF205+BG212*BG205+BH212*BH205+BI212*BI205+BJ212*BJ205+BK212*BK205+BL212*BL205+BM212*BM205+BN212*BN205+BO212*BO205+BP212*BP205+BQ212*BQ205+BR212*BR205+BS212*BS205+BT212*BT205+BU212*BU205+BV212*BV205+BW212*BW205+BX212*BX205+BY212*BY205+BZ212*BZ205+CA212*CA205+CB212*CB205+CC212*CC205+CD212*CD205+CE212*CE205+CF212*CF205+CG212*CG205+CH212*CH205</f>
        <v>0</v>
      </c>
      <c r="CN205" s="1952">
        <f>E213*E205+F213*F205+G213*G205+H213*H205+I213*I205+J213*J205+K213*K205+L213*L205+M213*M205+N213*N205+O213*O205+P213*P205+Q213*Q205+R213*R205+S213*S205+T213*T205+U213*U205+V213*V205+W213*W205+X213*X205+Y213*Y205+Z213*Z205+AA213*AA205+AB213*AB205+AC213*AC205+AD213*AD205+AE213*AE205+AF213*AF205+AG213*AG205+AH213*AH205+AI213*AI205+AJ213*AJ205+AK213*AK205+AL213*AL205+AM213*AM205+AN213*AN205+AO213*AO205+AP213*AP205+AQ213*AQ205+AR213*AR205+AS213*AS205+AT213*AT205+AU213*AU205+AV213*AV205+AW213*AW205+AX213*AX205+AY213*AY205+AZ213*AZ205+BA213*BA205+BB213*BB205+BC213*BC205+BD213*BD205+BE213*BE205+BF213*BF205+BG213*BG205+BH213*BH205+BI213*BI205+BJ213*BJ205+BK213*BK205+BL213*BL205+BM213*BM205+BN213*BN205+BO213*BO205+BP213*BP205+BQ213*BQ205+BR213*BR205+BS213*BS205+BT213*BT205+BU213*BU205+BV213*BV205+BW213*BW205+BX213*BX205+BY213*BY205+BZ213*BZ205+CA213*CA205+CB213*CB205+CC213*CC205+CD213*CD205+CE213*CE205+CF213*CF205+CG213*CG205+CH213*CH205</f>
        <v>0</v>
      </c>
      <c r="CO205" s="1952">
        <f>E214*E205+F214*F205+G214*G205+H214*H205+I214*I205+J214*J205+K214*K205+L214*L205+M214*M205+N214*N205+O214*O205+P214*P205+Q214*Q205+R214*R205+S214*S205+T214*T205+U214*U205+V214*V205+W214*W205+X214*X205+Y214*Y205+Z214*Z205+AA214*AA205+AB214*AB205+AC214*AC205+AD214*AD205+AE214*AE205+AF214*AF205+AG214*AG205+AH214*AH205+AI214*AI205+AJ214*AJ205+AK214*AK205+AL214*AL205+AM214*AM205+AN214*AN205+AO214*AO205+AP214*AP205+AQ214*AQ205+AR214*AR205+AS214*AS205+AT214*AT205+AU214*AU205+AV214*AV205+AW214*AW205+AX214*AX205+AY214*AY205+AZ214*AZ205+BA214*BA205+BB214*BB205+BC214*BC205+BD214*BD205+BE214*BE205+BF214*BF205+BG214*BG205+BH214*BH205+BI214*BI205+BJ214*BJ205+BK214*BK205+BL214*BL205+BM214*BM205+BN214*BN205+BO214*BO205+BP214*BP205+BQ214*BQ205+BR214*BR205+BS214*BS205+BT214*BT205+BU214*BU205+BV214*BV205+BW214*BW205+BX214*BX205+BY214*BY205+BZ214*BZ205+CA214*CA205+CB214*CB205+CC214*CC205+CD214*CD205+CE214*CE205+CF214*CF205+CG214*CG205+CH214*CH205</f>
        <v>0</v>
      </c>
      <c r="CP205" s="1952">
        <f>E215*E205+F215*F205+G215*G205+H215*H205+I215*I205+J215*J205+K215*K205+L215*L205+M215*M205+N215*N205+O215*O205+P215*P205+Q215*Q205+R215*R205+S215*S205+T215*T205+U215*U205+V215*V205+W215*W205+X215*X205+Y215*Y205+Z215*Z205+AA215*AA205+AB215*AB205+AC215*AC205+AD215*AD205+AE215*AE205+AF215*AF205+AG215*AG205+AH215*AH205+AI215*AI205+AJ215*AJ205+AK215*AK205+AL215*AL205+AM215*AM205+AN215*AN205+AO215*AO205+AP215*AP205+AQ215*AQ205+AR215*AR205+AS215*AS205+AT215*AT205+AU215*AU205+AV215*AV205+AW215*AW205+AX215*AX205+AY215*AY205+AZ215*AZ205+BA215*BA205+BB215*BB205+BC215*BC205+BD215*BD205+BE215*BE205+BF215*BF205+BG215*BG205+BH215*BH205+BI215*BI205+BJ215*BJ205+BK215*BK205+BL215*BL205+BM215*BM205+BN215*BN205+BO215*BO205+BP215*BP205+BQ215*BQ205+BR215*BR205+BS215*BS205+BT215*BT205+BU215*BU205+BV215*BV205+BW215*BW205+BX215*BX205+BY215*BY205+BZ215*BZ205+CA215*CA205+CB215*CB205+CC215*CC205+CD215*CD205+CE215*CE205+CF215*CF205+CG215*CG205+CH215*CH205</f>
        <v>0</v>
      </c>
      <c r="CQ205" s="1952">
        <f>E216*E205+F216*F205+G216*G205+H216*H205+I216*I205+J216*J205+K216*K205+L216*L205+M216*M205+N216*N205+O216*O205+P216*P205+Q216*Q205+R216*R205+S216*S205+T216*T205+U216*U205+V216*V205+W216*W205+X216*X205+Y216*Y205+Z216*Z205+AA216*AA205+AB216*AB205+AC216*AC205+AD216*AD205+AE216*AE205+AF216*AF205+AG216*AG205+AH216*AH205+AI216*AI205+AJ216*AJ205+AK216*AK205+AL216*AL205+AM216*AM205+AN216*AN205+AO216*AO205+AP216*AP205+AQ216*AQ205+AR216*AR205+AS216*AS205+AT216*AT205+AU216*AU205+AV216*AV205+AW216*AW205+AX216*AX205+AY216*AY205+AZ216*AZ205+BA216*BA205+BB216*BB205+BC216*BC205+BD216*BD205+BE216*BE205+BF216*BF205+BG216*BG205+BH216*BH205+BI216*BI205+BJ216*BJ205+BK216*BK205+BL216*BL205+BM216*BM205+BN216*BN205+BO216*BO205+BP216*BP205+BQ216*BQ205+BR216*BR205+BS216*BS205+BT216*BT205+BU216*BU205+BV216*BV205+BW216*BW205+BX216*BX205+BY216*BY205+BZ216*BZ205+CA216*CA205+CB216*CB205+CC216*CC205+CD216*CD205+CE216*CE205+CF216*CF205+CG216*CG205+CH216*CH205</f>
        <v>0</v>
      </c>
      <c r="CR205" s="1952">
        <f>E217*E205+F217*F205+G217*G205+H217*H205+I217*I205+J217*J205+K217*K205+L217*L205+M217*M205+N217*N205+O217*O205+P217*P205+Q217*Q205+R217*R205+S217*S205+T217*T205+U217*U205+V217*V205+W217*W205+X217*X205+Y217*Y205+Z217*Z205+AA217*AA205+AB217*AB205+AC217*AC205+AD217*AD205+AE217*AE205+AF217*AF205+AG217*AG205+AH217*AH205+AI217*AI205+AJ217*AJ205+AK217*AK205+AL217*AL205+AM217*AM205+AN217*AN205+AO217*AO205+AP217*AP205+AQ217*AQ205+AR217*AR205+AS217*AS205+AT217*AT205+AU217*AU205+AV217*AV205+AW217*AW205+AX217*AX205+AY217*AY205+AZ217*AZ205+BA217*BA205+BB217*BB205+BC217*BC205+BD217*BD205+BE217*BE205+BF217*BF205+BG217*BG205+BH217*BH205+BI217*BI205+BJ217*BJ205+BK217*BK205+BL217*BL205+BM217*BM205+BN217*BN205+BO217*BO205+BP217*BP205+BQ217*BQ205+BR217*BR205+BS217*BS205+BT217*BT205+BU217*BU205+BV217*BV205+BW217*BW205+BX217*BX205+BY217*BY205+BZ217*BZ205+CA217*CA205+CB217*CB205+CC217*CC205+CD217*CD205+CE217*CE205+CF217*CF205+CG217*CG205+CH217*CH205</f>
        <v>0</v>
      </c>
      <c r="CS205" s="1952">
        <f>E218*E205+F218*F205+G218*G205+H218*H205+I218*I205+J218*J205+K218*K205+L218*L205+M218*M205+N218*N205+O218*O205+P218*P205+Q218*Q205+R218*R205+S218*S205+T218*T205+U218*U205+V218*V205+W218*W205+X218*X205+Y218*Y205+Z218*Z205+AA218*AA205+AB218*AB205+AC218*AC205+AD218*AD205+AE218*AE205+AF218*AF205+AG218*AG205+AH218*AH205+AI218*AI205+AJ218*AJ205+AK218*AK205+AL218*AL205+AM218*AM205+AN218*AN205+AO218*AO205+AP218*AP205+AQ218*AQ205+AR218*AR205+AS218*AS205+AT218*AT205+AU218*AU205+AV218*AV205+AW218*AW205+AX218*AX205+AY218*AY205+AZ218*AZ205+BA218*BA205+BB218*BB205+BC218*BC205+BD218*BD205+BE218*BE205+BF218*BF205+BG218*BG205+BH218*BH205+BI218*BI205+BJ218*BJ205+BK218*BK205+BL218*BL205+BM218*BM205+BN218*BN205+BO218*BO205+BP218*BP205+BQ218*BQ205+BR218*BR205+BS218*BS205+BT218*BT205+BU218*BU205+BV218*BV205+BW218*BW205+BX218*BX205+BY218*BY205+BZ218*BZ205+CA218*CA205+CB218*CB205+CC218*CC205+CD218*CD205+CE218*CE205+CF218*CF205+CG218*CG205+CH218*CH205</f>
        <v>0</v>
      </c>
      <c r="CT205" s="1952">
        <f>E219*E205+F219*F205+G219*G205+H219*H205+I219*I205+J219*J205+K219*K205+L219*L205+M219*M205+N219*N205+O219*O205+P219*P205+Q219*Q205+R219*R205+S219*S205+T219*T205+U219*U205+V219*V205+W219*W205+X219*X205+Y219*Y205+Z219*Z205+AA219*AA205+AB219*AB205+AC219*AC205+AD219*AD205+AE219*AE205+AF219*AF205+AG219*AG205+AH219*AH205+AI219*AI205+AJ219*AJ205+AK219*AK205+AL219*AL205+AM219*AM205+AN219*AN205+AO219*AO205+AP219*AP205+AQ219*AQ205+AR219*AR205+AS219*AS205+AT219*AT205+AU219*AU205+AV219*AV205+AW219*AW205+AX219*AX205+AY219*AY205+AZ219*AZ205+BA219*BA205+BB219*BB205+BC219*BC205+BD219*BD205+BE219*BE205+BF219*BF205+BG219*BG205+BH219*BH205+BI219*BI205+BJ219*BJ205+BK219*BK205+BL219*BL205+BM219*BM205+BN219*BN205+BO219*BO205+BP219*BP205+BQ219*BQ205+BR219*BR205+BS219*BS205+BT219*BT205+BU219*BU205+BV219*BV205+BW219*BW205+BX219*BX205+BY219*BY205+BZ219*BZ205+CA219*CA205+CB219*CB205+CC219*CC205+CD219*CD205+CE219*CE205+CF219*CF205+CG219*CG205+CH219*CH205</f>
        <v>0</v>
      </c>
      <c r="CU205" s="1952">
        <f>E220*E205+F220*F205+G220*G205+H220*H205+I220*I205+J220*J205+K220*K205+L220*L205+M220*M205+N220*N205+O220*O205+P220*P205+Q220*Q205+R220*R205+S220*S205+T220*T205+U220*U205+V220*V205+W220*W205+X220*X205+Y220*Y205+Z220*Z205+AA220*AA205+AB220*AB205+AC220*AC205+AD220*AD205+AE220*AE205+AF220*AF205+AG220*AG205+AH220*AH205+AI220*AI205+AJ220*AJ205+AK220*AK205+AL220*AL205+AM220*AM205+AN220*AN205+AO220*AO205+AP220*AP205+AQ220*AQ205+AR220*AR205+AS220*AS205+AT220*AT205+AU220*AU205+AV220*AV205+AW220*AW205+AX220*AX205+AY220*AY205+AZ220*AZ205+BA220*BA205+BB220*BB205+BC220*BC205+BD220*BD205+BE220*BE205+BF220*BF205+BG220*BG205+BH220*BH205+BI220*BI205+BJ220*BJ205+BK220*BK205+BL220*BL205+BM220*BM205+BN220*BN205+BO220*BO205+BP220*BP205+BQ220*BQ205+BR220*BR205+BS220*BS205+BT220*BT205+BU220*BU205+BV220*BV205+BW220*BW205+BX220*BX205+BY220*BY205+BZ220*BZ205+CA220*CA205+CB220*CB205+CC220*CC205+CD220*CD205+CE220*CE205+CF220*CF205+CG220*CG205+CH220*CH205</f>
        <v>0</v>
      </c>
    </row>
    <row r="206" spans="2:99" ht="18.75" thickBot="1" x14ac:dyDescent="0.3">
      <c r="B206" s="768">
        <v>91</v>
      </c>
      <c r="C206" s="1078" t="s">
        <v>4973</v>
      </c>
      <c r="D206" s="1079" t="s">
        <v>2861</v>
      </c>
      <c r="E206" s="2074">
        <f>0</f>
        <v>0</v>
      </c>
      <c r="F206" s="2074">
        <f>0</f>
        <v>0</v>
      </c>
      <c r="G206" s="2074">
        <f>0</f>
        <v>0</v>
      </c>
      <c r="H206" s="2074">
        <f>0</f>
        <v>0</v>
      </c>
      <c r="I206" s="2091">
        <f>0</f>
        <v>0</v>
      </c>
      <c r="J206" s="2091">
        <f>0</f>
        <v>0</v>
      </c>
      <c r="K206" s="2074">
        <f>0</f>
        <v>0</v>
      </c>
      <c r="L206" s="2074">
        <f>0</f>
        <v>0</v>
      </c>
      <c r="M206" s="2074">
        <f>0</f>
        <v>0</v>
      </c>
      <c r="N206" s="2074">
        <f>0</f>
        <v>0</v>
      </c>
      <c r="O206" s="2074">
        <f>0</f>
        <v>0</v>
      </c>
      <c r="P206" s="2074">
        <f>0</f>
        <v>0</v>
      </c>
      <c r="Q206" s="2074">
        <f>0</f>
        <v>0</v>
      </c>
      <c r="R206" s="2074">
        <f>0</f>
        <v>0</v>
      </c>
      <c r="S206" s="2074">
        <f>0</f>
        <v>0</v>
      </c>
      <c r="T206" s="2074">
        <f>0</f>
        <v>0</v>
      </c>
      <c r="U206" s="2074">
        <f>0</f>
        <v>0</v>
      </c>
      <c r="V206" s="2074">
        <f>0</f>
        <v>0</v>
      </c>
      <c r="W206" s="2074">
        <f>0</f>
        <v>0</v>
      </c>
      <c r="X206" s="2074">
        <f>0</f>
        <v>0</v>
      </c>
      <c r="Y206" s="2074">
        <f>0</f>
        <v>0</v>
      </c>
      <c r="Z206" s="2074">
        <f>0</f>
        <v>0</v>
      </c>
      <c r="AA206" s="2074">
        <f>1</f>
        <v>1</v>
      </c>
      <c r="AB206" s="2074">
        <f>0</f>
        <v>0</v>
      </c>
      <c r="AC206" s="2091">
        <f>0</f>
        <v>0</v>
      </c>
      <c r="AD206" s="2091">
        <f>0</f>
        <v>0</v>
      </c>
      <c r="AE206" s="2074">
        <f>0</f>
        <v>0</v>
      </c>
      <c r="AF206" s="2074">
        <f>0</f>
        <v>0</v>
      </c>
      <c r="AG206" s="2074">
        <f>0</f>
        <v>0</v>
      </c>
      <c r="AH206" s="2074">
        <f>0</f>
        <v>0</v>
      </c>
      <c r="AI206" s="2091">
        <f>0</f>
        <v>0</v>
      </c>
      <c r="AJ206" s="2091">
        <f>0</f>
        <v>0</v>
      </c>
      <c r="AK206" s="2074">
        <f>0</f>
        <v>0</v>
      </c>
      <c r="AL206" s="2074">
        <f>0</f>
        <v>0</v>
      </c>
      <c r="AM206" s="2074">
        <f>0</f>
        <v>0</v>
      </c>
      <c r="AN206" s="2074">
        <f>0</f>
        <v>0</v>
      </c>
      <c r="AO206" s="2074">
        <f>0</f>
        <v>0</v>
      </c>
      <c r="AP206" s="2074">
        <f>0</f>
        <v>0</v>
      </c>
      <c r="AQ206" s="2074">
        <f>0</f>
        <v>0</v>
      </c>
      <c r="AR206" s="2074">
        <f>0</f>
        <v>0</v>
      </c>
      <c r="AS206" s="2074">
        <f>0</f>
        <v>0</v>
      </c>
      <c r="AT206" s="2074">
        <f>0</f>
        <v>0</v>
      </c>
      <c r="AU206" s="2074">
        <f>0</f>
        <v>0</v>
      </c>
      <c r="AV206" s="2074">
        <f>0</f>
        <v>0</v>
      </c>
      <c r="AW206" s="2074">
        <f>0</f>
        <v>0</v>
      </c>
      <c r="AX206" s="2074">
        <f>0</f>
        <v>0</v>
      </c>
      <c r="AY206" s="2074">
        <f>0</f>
        <v>0</v>
      </c>
      <c r="AZ206" s="2074">
        <f>0</f>
        <v>0</v>
      </c>
      <c r="BA206" s="2074">
        <f>0</f>
        <v>0</v>
      </c>
      <c r="BB206" s="2074">
        <f>0</f>
        <v>0</v>
      </c>
      <c r="BC206" s="2074">
        <f>0</f>
        <v>0</v>
      </c>
      <c r="BD206" s="2074">
        <f>0</f>
        <v>0</v>
      </c>
      <c r="BE206" s="2074">
        <f>0</f>
        <v>0</v>
      </c>
      <c r="BF206" s="2074">
        <f>0</f>
        <v>0</v>
      </c>
      <c r="BG206" s="2074">
        <f>0</f>
        <v>0</v>
      </c>
      <c r="BH206" s="2074">
        <f>0</f>
        <v>0</v>
      </c>
      <c r="BI206" s="2074">
        <f>0</f>
        <v>0</v>
      </c>
      <c r="BJ206" s="2074">
        <f>0</f>
        <v>0</v>
      </c>
      <c r="BK206" s="2074">
        <f>0</f>
        <v>0</v>
      </c>
      <c r="BL206" s="2074">
        <f>0</f>
        <v>0</v>
      </c>
      <c r="BM206" s="2074">
        <f>0</f>
        <v>0</v>
      </c>
      <c r="BN206" s="2074">
        <f>0</f>
        <v>0</v>
      </c>
      <c r="BO206" s="2074">
        <f>0</f>
        <v>0</v>
      </c>
      <c r="BP206" s="2129">
        <f>0</f>
        <v>0</v>
      </c>
      <c r="BQ206" s="2129">
        <f>0</f>
        <v>0</v>
      </c>
      <c r="BR206" s="2129">
        <f>0</f>
        <v>0</v>
      </c>
      <c r="BS206" s="2129">
        <f>0</f>
        <v>0</v>
      </c>
      <c r="BT206" s="2074">
        <f>0</f>
        <v>0</v>
      </c>
      <c r="BU206" s="2074">
        <f>0</f>
        <v>0</v>
      </c>
      <c r="BV206" s="2074">
        <f>0</f>
        <v>0</v>
      </c>
      <c r="BW206" s="2074">
        <f>0</f>
        <v>0</v>
      </c>
      <c r="BX206" s="2074">
        <f>0</f>
        <v>0</v>
      </c>
      <c r="BY206" s="2074">
        <f>0</f>
        <v>0</v>
      </c>
      <c r="BZ206" s="2074">
        <f>0</f>
        <v>0</v>
      </c>
      <c r="CA206" s="2074">
        <f>0</f>
        <v>0</v>
      </c>
      <c r="CB206" s="2074">
        <f>0</f>
        <v>0</v>
      </c>
      <c r="CC206" s="2074">
        <f>0</f>
        <v>0</v>
      </c>
      <c r="CD206" s="2074">
        <f>0</f>
        <v>0</v>
      </c>
      <c r="CE206" s="2074">
        <f>0</f>
        <v>0</v>
      </c>
      <c r="CF206" s="2074">
        <f>0</f>
        <v>0</v>
      </c>
      <c r="CG206" s="2130">
        <f>0</f>
        <v>0</v>
      </c>
      <c r="CH206" s="2074">
        <f>-Δ_atm</f>
        <v>-1</v>
      </c>
      <c r="CI206" s="2151">
        <f>k_LaGN2_sur*(S_GN2_sur_sat-S_N2)</f>
        <v>-8.19</v>
      </c>
      <c r="CK206" s="1950">
        <f>E210*E206+F210*F206+G210*G206+H210*H206+I210*I206+J210*J206+K210*K206+L210*L206+M210*M206+N210*N206+O210*O206+P210*P206+Q210*Q206+R210*R206+S210*S206+T210*T206+U210*U206+V210*V206+W210*W206+X210*X206+Y210*Y206+Z210*Z206+AA210*AA206+AB210*AB206+AC210*AC206+AD210*AD206+AE210*AE206+AF210*AF206+AG210*AG206+AH210*AH206+AI210*AI206+AJ210*AJ206+AK210*AK206+AL210*AL206+AM210*AM206+AN210*AN206+AO210*AO206+AP210*AP206+AQ210*AQ206+AR210*AR206+AS210*AS206+AT210*AT206+AU210*AU206+AV210*AV206+AW210*AW206+AX210*AX206+AY210*AY206+AZ210*AZ206+BA210*BA206+BB210*BB206+BC210*BC206+BD210*BD206+BE210*BE206+BF210*BF206+BG210*BG206+BH210*BH206+BI210*BI206+BJ210*BJ206+BK210*BK206+BL210*BL206+BM210*BM206+BN210*BN206+BO210*BO206+BP210*BP206+BQ210*BQ206+BR210*BR206+BS210*BS206+BT210*BT206+BU210*BU206+BV210*BV206+BW210*BW206+BX210*BX206+BY210*BY206+BZ210*BZ206+CA210*CA206+CB210*CB206+CC210*CC206+CD210*CD206+CE210*CE206+CF210*CF206+CG210*CG206+CH210*CH206</f>
        <v>0</v>
      </c>
      <c r="CL206" s="1950">
        <f>E211*E206+F211*F206+G211*G206+H211*H206+I211*I206+J211*J206+K211*K206+L211*L206+M211*M206+N211*N206+O211*O206+P211*P206+Q211*Q206+R211*R206+S211*S206+T211*T206+U211*U206+V211*V206+W211*W206+X211*X206+Y211*Y206+Z211*Z206+AA211*AA206+AB211*AB206+AC211*AC206+AD211*AD206+AE211*AE206+AF211*AF206+AG211*AG206+AH211*AH206+AI211*AI206+AJ211*AJ206+AK211*AK206+AL211*AL206+AM211*AM206+AN211*AN206+AO211*AO206+AP211*AP206+AQ211*AQ206+AR211*AR206+AS211*AS206+AT211*AT206+AU211*AU206+AV211*AV206+AW211*AW206+AX211*AX206+AY211*AY206+AZ211*AZ206+BA211*BA206+BB211*BB206+BC211*BC206+BD211*BD206+BE211*BE206+BF211*BF206+BG211*BG206+BH211*BH206+BI211*BI206+BJ211*BJ206+BK211*BK206+BL211*BL206+BM211*BM206+BN211*BN206+BO211*BO206+BP211*BP206+BQ211*BQ206+BR211*BR206+BS211*BS206+BT211*BT206+BU211*BU206+BV211*BV206+BW211*BW206+BX211*BX206+BY211*BY206+BZ211*BZ206+CA211*CA206+CB211*CB206+CC211*CC206+CD211*CD206+CE211*CE206+CF211*CF206+CG211*CG206+CH211*CH206</f>
        <v>0</v>
      </c>
      <c r="CM206" s="1951">
        <f>E212*E206+F212*F206+G212*G206+H212*H206+I212*I206+J212*J206+K212*K206+L212*L206+M212*M206+N212*N206+O212*O206+P212*P206+Q212*Q206+R212*R206+S212*S206+T212*T206+U212*U206+V212*V206+W212*W206+X212*X206+Y212*Y206+Z212*Z206+AA212*AA206+AB212*AB206+AC212*AC206+AD212*AD206+AE212*AE206+AF212*AF206+AG212*AG206+AH212*AH206+AI212*AI206+AJ212*AJ206+AK212*AK206+AL212*AL206+AM212*AM206+AN212*AN206+AO212*AO206+AP212*AP206+AQ212*AQ206+AR212*AR206+AS212*AS206+AT212*AT206+AU212*AU206+AV212*AV206+AW212*AW206+AX212*AX206+AY212*AY206+AZ212*AZ206+BA212*BA206+BB212*BB206+BC212*BC206+BD212*BD206+BE212*BE206+BF212*BF206+BG212*BG206+BH212*BH206+BI212*BI206+BJ212*BJ206+BK212*BK206+BL212*BL206+BM212*BM206+BN212*BN206+BO212*BO206+BP212*BP206+BQ212*BQ206+BR212*BR206+BS212*BS206+BT212*BT206+BU212*BU206+BV212*BV206+BW212*BW206+BX212*BX206+BY212*BY206+BZ212*BZ206+CA212*CA206+CB212*CB206+CC212*CC206+CD212*CD206+CE212*CE206+CF212*CF206+CG212*CG206+CH212*CH206</f>
        <v>0</v>
      </c>
      <c r="CN206" s="1952">
        <f>E213*E206+F213*F206+G213*G206+H213*H206+I213*I206+J213*J206+K213*K206+L213*L206+M213*M206+N213*N206+O213*O206+P213*P206+Q213*Q206+R213*R206+S213*S206+T213*T206+U213*U206+V213*V206+W213*W206+X213*X206+Y213*Y206+Z213*Z206+AA213*AA206+AB213*AB206+AC213*AC206+AD213*AD206+AE213*AE206+AF213*AF206+AG213*AG206+AH213*AH206+AI213*AI206+AJ213*AJ206+AK213*AK206+AL213*AL206+AM213*AM206+AN213*AN206+AO213*AO206+AP213*AP206+AQ213*AQ206+AR213*AR206+AS213*AS206+AT213*AT206+AU213*AU206+AV213*AV206+AW213*AW206+AX213*AX206+AY213*AY206+AZ213*AZ206+BA213*BA206+BB213*BB206+BC213*BC206+BD213*BD206+BE213*BE206+BF213*BF206+BG213*BG206+BH213*BH206+BI213*BI206+BJ213*BJ206+BK213*BK206+BL213*BL206+BM213*BM206+BN213*BN206+BO213*BO206+BP213*BP206+BQ213*BQ206+BR213*BR206+BS213*BS206+BT213*BT206+BU213*BU206+BV213*BV206+BW213*BW206+BX213*BX206+BY213*BY206+BZ213*BZ206+CA213*CA206+CB213*CB206+CC213*CC206+CD213*CD206+CE213*CE206+CF213*CF206+CG213*CG206+CH213*CH206</f>
        <v>0</v>
      </c>
      <c r="CO206" s="1952">
        <f>E214*E206+F214*F206+G214*G206+H214*H206+I214*I206+J214*J206+K214*K206+L214*L206+M214*M206+N214*N206+O214*O206+P214*P206+Q214*Q206+R214*R206+S214*S206+T214*T206+U214*U206+V214*V206+W214*W206+X214*X206+Y214*Y206+Z214*Z206+AA214*AA206+AB214*AB206+AC214*AC206+AD214*AD206+AE214*AE206+AF214*AF206+AG214*AG206+AH214*AH206+AI214*AI206+AJ214*AJ206+AK214*AK206+AL214*AL206+AM214*AM206+AN214*AN206+AO214*AO206+AP214*AP206+AQ214*AQ206+AR214*AR206+AS214*AS206+AT214*AT206+AU214*AU206+AV214*AV206+AW214*AW206+AX214*AX206+AY214*AY206+AZ214*AZ206+BA214*BA206+BB214*BB206+BC214*BC206+BD214*BD206+BE214*BE206+BF214*BF206+BG214*BG206+BH214*BH206+BI214*BI206+BJ214*BJ206+BK214*BK206+BL214*BL206+BM214*BM206+BN214*BN206+BO214*BO206+BP214*BP206+BQ214*BQ206+BR214*BR206+BS214*BS206+BT214*BT206+BU214*BU206+BV214*BV206+BW214*BW206+BX214*BX206+BY214*BY206+BZ214*BZ206+CA214*CA206+CB214*CB206+CC214*CC206+CD214*CD206+CE214*CE206+CF214*CF206+CG214*CG206+CH214*CH206</f>
        <v>0</v>
      </c>
      <c r="CP206" s="1952">
        <f>E215*E206+F215*F206+G215*G206+H215*H206+I215*I206+J215*J206+K215*K206+L215*L206+M215*M206+N215*N206+O215*O206+P215*P206+Q215*Q206+R215*R206+S215*S206+T215*T206+U215*U206+V215*V206+W215*W206+X215*X206+Y215*Y206+Z215*Z206+AA215*AA206+AB215*AB206+AC215*AC206+AD215*AD206+AE215*AE206+AF215*AF206+AG215*AG206+AH215*AH206+AI215*AI206+AJ215*AJ206+AK215*AK206+AL215*AL206+AM215*AM206+AN215*AN206+AO215*AO206+AP215*AP206+AQ215*AQ206+AR215*AR206+AS215*AS206+AT215*AT206+AU215*AU206+AV215*AV206+AW215*AW206+AX215*AX206+AY215*AY206+AZ215*AZ206+BA215*BA206+BB215*BB206+BC215*BC206+BD215*BD206+BE215*BE206+BF215*BF206+BG215*BG206+BH215*BH206+BI215*BI206+BJ215*BJ206+BK215*BK206+BL215*BL206+BM215*BM206+BN215*BN206+BO215*BO206+BP215*BP206+BQ215*BQ206+BR215*BR206+BS215*BS206+BT215*BT206+BU215*BU206+BV215*BV206+BW215*BW206+BX215*BX206+BY215*BY206+BZ215*BZ206+CA215*CA206+CB215*CB206+CC215*CC206+CD215*CD206+CE215*CE206+CF215*CF206+CG215*CG206+CH215*CH206</f>
        <v>0</v>
      </c>
      <c r="CQ206" s="1952">
        <f>E216*E206+F216*F206+G216*G206+H216*H206+I216*I206+J216*J206+K216*K206+L216*L206+M216*M206+N216*N206+O216*O206+P216*P206+Q216*Q206+R216*R206+S216*S206+T216*T206+U216*U206+V216*V206+W216*W206+X216*X206+Y216*Y206+Z216*Z206+AA216*AA206+AB216*AB206+AC216*AC206+AD216*AD206+AE216*AE206+AF216*AF206+AG216*AG206+AH216*AH206+AI216*AI206+AJ216*AJ206+AK216*AK206+AL216*AL206+AM216*AM206+AN216*AN206+AO216*AO206+AP216*AP206+AQ216*AQ206+AR216*AR206+AS216*AS206+AT216*AT206+AU216*AU206+AV216*AV206+AW216*AW206+AX216*AX206+AY216*AY206+AZ216*AZ206+BA216*BA206+BB216*BB206+BC216*BC206+BD216*BD206+BE216*BE206+BF216*BF206+BG216*BG206+BH216*BH206+BI216*BI206+BJ216*BJ206+BK216*BK206+BL216*BL206+BM216*BM206+BN216*BN206+BO216*BO206+BP216*BP206+BQ216*BQ206+BR216*BR206+BS216*BS206+BT216*BT206+BU216*BU206+BV216*BV206+BW216*BW206+BX216*BX206+BY216*BY206+BZ216*BZ206+CA216*CA206+CB216*CB206+CC216*CC206+CD216*CD206+CE216*CE206+CF216*CF206+CG216*CG206+CH216*CH206</f>
        <v>0</v>
      </c>
      <c r="CR206" s="1952">
        <f>E217*E206+F217*F206+G217*G206+H217*H206+I217*I206+J217*J206+K217*K206+L217*L206+M217*M206+N217*N206+O217*O206+P217*P206+Q217*Q206+R217*R206+S217*S206+T217*T206+U217*U206+V217*V206+W217*W206+X217*X206+Y217*Y206+Z217*Z206+AA217*AA206+AB217*AB206+AC217*AC206+AD217*AD206+AE217*AE206+AF217*AF206+AG217*AG206+AH217*AH206+AI217*AI206+AJ217*AJ206+AK217*AK206+AL217*AL206+AM217*AM206+AN217*AN206+AO217*AO206+AP217*AP206+AQ217*AQ206+AR217*AR206+AS217*AS206+AT217*AT206+AU217*AU206+AV217*AV206+AW217*AW206+AX217*AX206+AY217*AY206+AZ217*AZ206+BA217*BA206+BB217*BB206+BC217*BC206+BD217*BD206+BE217*BE206+BF217*BF206+BG217*BG206+BH217*BH206+BI217*BI206+BJ217*BJ206+BK217*BK206+BL217*BL206+BM217*BM206+BN217*BN206+BO217*BO206+BP217*BP206+BQ217*BQ206+BR217*BR206+BS217*BS206+BT217*BT206+BU217*BU206+BV217*BV206+BW217*BW206+BX217*BX206+BY217*BY206+BZ217*BZ206+CA217*CA206+CB217*CB206+CC217*CC206+CD217*CD206+CE217*CE206+CF217*CF206+CG217*CG206+CH217*CH206</f>
        <v>0</v>
      </c>
      <c r="CS206" s="1952">
        <f>E218*E206+F218*F206+G218*G206+H218*H206+I218*I206+J218*J206+K218*K206+L218*L206+M218*M206+N218*N206+O218*O206+P218*P206+Q218*Q206+R218*R206+S218*S206+T218*T206+U218*U206+V218*V206+W218*W206+X218*X206+Y218*Y206+Z218*Z206+AA218*AA206+AB218*AB206+AC218*AC206+AD218*AD206+AE218*AE206+AF218*AF206+AG218*AG206+AH218*AH206+AI218*AI206+AJ218*AJ206+AK218*AK206+AL218*AL206+AM218*AM206+AN218*AN206+AO218*AO206+AP218*AP206+AQ218*AQ206+AR218*AR206+AS218*AS206+AT218*AT206+AU218*AU206+AV218*AV206+AW218*AW206+AX218*AX206+AY218*AY206+AZ218*AZ206+BA218*BA206+BB218*BB206+BC218*BC206+BD218*BD206+BE218*BE206+BF218*BF206+BG218*BG206+BH218*BH206+BI218*BI206+BJ218*BJ206+BK218*BK206+BL218*BL206+BM218*BM206+BN218*BN206+BO218*BO206+BP218*BP206+BQ218*BQ206+BR218*BR206+BS218*BS206+BT218*BT206+BU218*BU206+BV218*BV206+BW218*BW206+BX218*BX206+BY218*BY206+BZ218*BZ206+CA218*CA206+CB218*CB206+CC218*CC206+CD218*CD206+CE218*CE206+CF218*CF206+CG218*CG206+CH218*CH206</f>
        <v>0</v>
      </c>
      <c r="CT206" s="1952">
        <f>E219*E206+F219*F206+G219*G206+H219*H206+I219*I206+J219*J206+K219*K206+L219*L206+M219*M206+N219*N206+O219*O206+P219*P206+Q219*Q206+R219*R206+S219*S206+T219*T206+U219*U206+V219*V206+W219*W206+X219*X206+Y219*Y206+Z219*Z206+AA219*AA206+AB219*AB206+AC219*AC206+AD219*AD206+AE219*AE206+AF219*AF206+AG219*AG206+AH219*AH206+AI219*AI206+AJ219*AJ206+AK219*AK206+AL219*AL206+AM219*AM206+AN219*AN206+AO219*AO206+AP219*AP206+AQ219*AQ206+AR219*AR206+AS219*AS206+AT219*AT206+AU219*AU206+AV219*AV206+AW219*AW206+AX219*AX206+AY219*AY206+AZ219*AZ206+BA219*BA206+BB219*BB206+BC219*BC206+BD219*BD206+BE219*BE206+BF219*BF206+BG219*BG206+BH219*BH206+BI219*BI206+BJ219*BJ206+BK219*BK206+BL219*BL206+BM219*BM206+BN219*BN206+BO219*BO206+BP219*BP206+BQ219*BQ206+BR219*BR206+BS219*BS206+BT219*BT206+BU219*BU206+BV219*BV206+BW219*BW206+BX219*BX206+BY219*BY206+BZ219*BZ206+CA219*CA206+CB219*CB206+CC219*CC206+CD219*CD206+CE219*CE206+CF219*CF206+CG219*CG206+CH219*CH206</f>
        <v>0</v>
      </c>
      <c r="CU206" s="1952">
        <f>E220*E206+F220*F206+G220*G206+H220*H206+I220*I206+J220*J206+K220*K206+L220*L206+M220*M206+N220*N206+O220*O206+P220*P206+Q220*Q206+R220*R206+S220*S206+T220*T206+U220*U206+V220*V206+W220*W206+X220*X206+Y220*Y206+Z220*Z206+AA220*AA206+AB220*AB206+AC220*AC206+AD220*AD206+AE220*AE206+AF220*AF206+AG220*AG206+AH220*AH206+AI220*AI206+AJ220*AJ206+AK220*AK206+AL220*AL206+AM220*AM206+AN220*AN206+AO220*AO206+AP220*AP206+AQ220*AQ206+AR220*AR206+AS220*AS206+AT220*AT206+AU220*AU206+AV220*AV206+AW220*AW206+AX220*AX206+AY220*AY206+AZ220*AZ206+BA220*BA206+BB220*BB206+BC220*BC206+BD220*BD206+BE220*BE206+BF220*BF206+BG220*BG206+BH220*BH206+BI220*BI206+BJ220*BJ206+BK220*BK206+BL220*BL206+BM220*BM206+BN220*BN206+BO220*BO206+BP220*BP206+BQ220*BQ206+BR220*BR206+BS220*BS206+BT220*BT206+BU220*BU206+BV220*BV206+BW220*BW206+BX220*BX206+BY220*BY206+BZ220*BZ206+CA220*CA206+CB220*CB206+CC220*CC206+CD220*CD206+CE220*CE206+CF220*CF206+CG220*CG206+CH220*CH206</f>
        <v>0</v>
      </c>
    </row>
    <row r="208" spans="2:99" ht="15.75" thickBot="1" x14ac:dyDescent="0.3"/>
    <row r="209" spans="4:86" ht="15.75" thickBot="1" x14ac:dyDescent="0.3">
      <c r="D209" s="454" t="s">
        <v>6</v>
      </c>
      <c r="E209" s="353"/>
      <c r="F209" s="353"/>
      <c r="G209" s="353"/>
      <c r="H209" s="353"/>
      <c r="I209" s="353"/>
      <c r="J209" s="353"/>
      <c r="K209" s="353"/>
      <c r="L209" s="353"/>
      <c r="M209" s="353"/>
      <c r="N209" s="353"/>
      <c r="O209" s="353"/>
      <c r="P209" s="353"/>
      <c r="Q209" s="353"/>
      <c r="R209" s="353"/>
      <c r="S209" s="353"/>
      <c r="T209" s="353"/>
      <c r="U209" s="353"/>
      <c r="V209" s="353"/>
      <c r="W209" s="353"/>
      <c r="X209" s="353"/>
      <c r="Y209" s="353"/>
      <c r="Z209" s="353"/>
      <c r="AA209" s="353"/>
      <c r="AB209" s="353"/>
      <c r="AC209" s="353"/>
      <c r="AD209" s="353"/>
      <c r="AE209" s="353"/>
      <c r="AF209" s="353"/>
      <c r="AG209" s="353"/>
      <c r="AH209" s="353"/>
      <c r="AI209" s="353"/>
      <c r="AJ209" s="353"/>
      <c r="AK209" s="353"/>
      <c r="AL209" s="353"/>
      <c r="AM209" s="353"/>
      <c r="AN209" s="353"/>
      <c r="AO209" s="353"/>
      <c r="AP209" s="353"/>
      <c r="AQ209" s="353"/>
      <c r="AR209" s="353"/>
      <c r="AS209" s="353"/>
      <c r="AT209" s="353"/>
      <c r="AU209" s="353"/>
      <c r="AV209" s="353"/>
      <c r="AW209" s="353"/>
      <c r="AX209" s="353"/>
      <c r="AY209" s="353"/>
      <c r="AZ209" s="353"/>
      <c r="BA209" s="353"/>
      <c r="BB209" s="353"/>
      <c r="BC209" s="353"/>
      <c r="BD209" s="353"/>
      <c r="BE209" s="353"/>
      <c r="BF209" s="353"/>
      <c r="BG209" s="353"/>
      <c r="BH209" s="353"/>
      <c r="BI209" s="353"/>
      <c r="BJ209" s="353"/>
      <c r="BK209" s="353"/>
      <c r="BL209" s="353"/>
      <c r="BM209" s="353"/>
      <c r="BN209" s="353"/>
      <c r="BO209" s="353"/>
      <c r="BP209" s="353"/>
      <c r="BQ209" s="353"/>
      <c r="BR209" s="353"/>
      <c r="BS209" s="353"/>
      <c r="BT209" s="353"/>
      <c r="BU209" s="353"/>
      <c r="BV209" s="353"/>
      <c r="BW209" s="353"/>
      <c r="BX209" s="353"/>
      <c r="BY209" s="353"/>
      <c r="BZ209" s="353"/>
      <c r="CA209" s="353"/>
      <c r="CB209" s="353"/>
      <c r="CC209" s="353"/>
      <c r="CD209" s="353"/>
      <c r="CE209" s="353"/>
      <c r="CF209" s="353"/>
      <c r="CG209" s="353"/>
      <c r="CH209" s="353"/>
    </row>
    <row r="210" spans="4:86" ht="18.75" x14ac:dyDescent="0.25">
      <c r="D210" s="473" t="s">
        <v>148</v>
      </c>
      <c r="E210" s="746">
        <v>1</v>
      </c>
      <c r="F210" s="746">
        <v>1</v>
      </c>
      <c r="G210" s="746">
        <v>1</v>
      </c>
      <c r="H210" s="746">
        <v>1</v>
      </c>
      <c r="I210" s="1609">
        <v>1</v>
      </c>
      <c r="J210" s="1609">
        <v>1</v>
      </c>
      <c r="K210" s="746">
        <v>1</v>
      </c>
      <c r="L210" s="746">
        <v>1</v>
      </c>
      <c r="M210" s="746">
        <v>1</v>
      </c>
      <c r="N210" s="746">
        <v>1</v>
      </c>
      <c r="O210" s="746">
        <v>1</v>
      </c>
      <c r="P210" s="746">
        <v>1</v>
      </c>
      <c r="Q210" s="746">
        <v>1</v>
      </c>
      <c r="R210" s="746">
        <v>1</v>
      </c>
      <c r="S210" s="746">
        <v>1</v>
      </c>
      <c r="T210" s="746">
        <v>1</v>
      </c>
      <c r="U210" s="746">
        <v>1</v>
      </c>
      <c r="V210" s="746">
        <v>1</v>
      </c>
      <c r="W210" s="746">
        <v>1</v>
      </c>
      <c r="X210" s="746">
        <v>1</v>
      </c>
      <c r="Y210" s="746"/>
      <c r="Z210" s="747">
        <f>-E_EQNO3</f>
        <v>-4.5690705162529355</v>
      </c>
      <c r="AA210" s="747">
        <f>-E_EQN2</f>
        <v>-1.7134014435948508</v>
      </c>
      <c r="AB210" s="746"/>
      <c r="AC210" s="1609"/>
      <c r="AD210" s="1609"/>
      <c r="AE210" s="746"/>
      <c r="AF210" s="746"/>
      <c r="AG210" s="746"/>
      <c r="AH210" s="746"/>
      <c r="AI210" s="1609"/>
      <c r="AJ210" s="1609"/>
      <c r="AK210" s="746"/>
      <c r="AL210" s="746">
        <v>-1</v>
      </c>
      <c r="AM210" s="746">
        <v>1</v>
      </c>
      <c r="AN210" s="746">
        <v>1</v>
      </c>
      <c r="AO210" s="746"/>
      <c r="AP210" s="746"/>
      <c r="AQ210" s="746"/>
      <c r="AR210" s="746"/>
      <c r="AS210" s="746"/>
      <c r="AT210" s="746"/>
      <c r="AU210" s="746"/>
      <c r="AV210" s="746">
        <f>E_EQFe2</f>
        <v>0.14325364849136002</v>
      </c>
      <c r="AW210" s="746"/>
      <c r="AX210" s="746"/>
      <c r="AY210" s="746"/>
      <c r="AZ210" s="746"/>
      <c r="BA210" s="746"/>
      <c r="BB210" s="746"/>
      <c r="BC210" s="746"/>
      <c r="BD210" s="746"/>
      <c r="BE210" s="746"/>
      <c r="BF210" s="746"/>
      <c r="BG210" s="746"/>
      <c r="BH210" s="746"/>
      <c r="BI210" s="746"/>
      <c r="BJ210" s="746"/>
      <c r="BK210" s="746"/>
      <c r="BL210" s="746"/>
      <c r="BM210" s="748"/>
      <c r="BN210" s="746"/>
      <c r="BO210" s="749">
        <f>3*A_MFe/M_MVivi*E_EQFe2</f>
        <v>4.7846893347985253E-2</v>
      </c>
      <c r="BP210" s="1199"/>
      <c r="BQ210" s="1199"/>
      <c r="BR210" s="1199"/>
      <c r="BS210" s="1199"/>
      <c r="BT210" s="749"/>
      <c r="BU210" s="750"/>
      <c r="BV210" s="943"/>
      <c r="BW210" s="746"/>
      <c r="BX210" s="747" t="s">
        <v>2877</v>
      </c>
      <c r="BY210" s="747" t="s">
        <v>2877</v>
      </c>
      <c r="BZ210" s="747" t="s">
        <v>1145</v>
      </c>
      <c r="CA210" s="746"/>
      <c r="CB210" s="747">
        <f>-E_EQN2</f>
        <v>-1.7134014435948508</v>
      </c>
      <c r="CC210" s="746"/>
      <c r="CD210" s="747">
        <f>1/Δ_atm</f>
        <v>1</v>
      </c>
      <c r="CE210" s="747">
        <f>1/Δ_atm</f>
        <v>1</v>
      </c>
      <c r="CF210" s="747">
        <f>-1/Δ_atm</f>
        <v>-1</v>
      </c>
      <c r="CG210" s="746"/>
      <c r="CH210" s="751">
        <f>-E_EQN2/Δ_atm</f>
        <v>-1.7134014435948508</v>
      </c>
    </row>
    <row r="211" spans="4:86" ht="18.75" x14ac:dyDescent="0.25">
      <c r="D211" s="475" t="s">
        <v>254</v>
      </c>
      <c r="E211" s="753">
        <f>i_CIT_VFA</f>
        <v>0.375</v>
      </c>
      <c r="F211" s="753">
        <f>i_CIT_SB</f>
        <v>0.28599999999999998</v>
      </c>
      <c r="G211" s="753">
        <f>i_CIT_MEOL</f>
        <v>0.25</v>
      </c>
      <c r="H211" s="753">
        <f>i_CIT_SB</f>
        <v>0.28599999999999998</v>
      </c>
      <c r="I211" s="1610">
        <f>i_CIT_SB</f>
        <v>0.28599999999999998</v>
      </c>
      <c r="J211" s="1610">
        <f>i_CIT_XBe</f>
        <v>0.28599999999999998</v>
      </c>
      <c r="K211" s="753">
        <f>i_CIT_SB</f>
        <v>0.28599999999999998</v>
      </c>
      <c r="L211" s="753">
        <f>i_CIT_SB</f>
        <v>0.28599999999999998</v>
      </c>
      <c r="M211" s="753">
        <f>i_CIT_SB</f>
        <v>0.28599999999999998</v>
      </c>
      <c r="N211" s="753">
        <f>i_CIT_PHA</f>
        <v>0.33300000000000002</v>
      </c>
      <c r="O211" s="753">
        <f>i_CIT_PHA</f>
        <v>0.33300000000000002</v>
      </c>
      <c r="P211" s="753">
        <f>i_CIT_BIO</f>
        <v>0.35199999999999998</v>
      </c>
      <c r="Q211" s="753">
        <f>i_CIT_BIO</f>
        <v>0.35199999999999998</v>
      </c>
      <c r="R211" s="753">
        <f>i_CIT_BIO</f>
        <v>0.35199999999999998</v>
      </c>
      <c r="S211" s="753">
        <f>i_CIT_BIO</f>
        <v>0.35199999999999998</v>
      </c>
      <c r="T211" s="753">
        <f>i_CIT_BIO</f>
        <v>0.35199999999999998</v>
      </c>
      <c r="U211" s="753">
        <f>i_CIT_BIO</f>
        <v>0.35199999999999998</v>
      </c>
      <c r="V211" s="753">
        <f>i_CIT_BIO</f>
        <v>0.35199999999999998</v>
      </c>
      <c r="W211" s="753">
        <f>i_CIT_BIO</f>
        <v>0.35199999999999998</v>
      </c>
      <c r="X211" s="753">
        <f>i_CIT_ALGAE</f>
        <v>0.375</v>
      </c>
      <c r="Y211" s="753"/>
      <c r="Z211" s="754"/>
      <c r="AA211" s="754"/>
      <c r="AB211" s="753"/>
      <c r="AC211" s="1610"/>
      <c r="AD211" s="1610"/>
      <c r="AE211" s="753"/>
      <c r="AF211" s="753"/>
      <c r="AG211" s="753"/>
      <c r="AH211" s="753"/>
      <c r="AI211" s="1610"/>
      <c r="AJ211" s="1610"/>
      <c r="AK211" s="753"/>
      <c r="AL211" s="753"/>
      <c r="AM211" s="753">
        <f>i_CIT_CH4</f>
        <v>0.188</v>
      </c>
      <c r="AN211" s="753"/>
      <c r="AO211" s="753">
        <v>1</v>
      </c>
      <c r="AP211" s="753"/>
      <c r="AQ211" s="753"/>
      <c r="AR211" s="753"/>
      <c r="AS211" s="753"/>
      <c r="AT211" s="753"/>
      <c r="AU211" s="753"/>
      <c r="AV211" s="753"/>
      <c r="AW211" s="753"/>
      <c r="AX211" s="753"/>
      <c r="AY211" s="753"/>
      <c r="AZ211" s="753"/>
      <c r="BA211" s="753"/>
      <c r="BB211" s="753"/>
      <c r="BC211" s="753"/>
      <c r="BD211" s="753"/>
      <c r="BE211" s="753"/>
      <c r="BF211" s="753"/>
      <c r="BG211" s="753"/>
      <c r="BH211" s="753"/>
      <c r="BI211" s="753"/>
      <c r="BJ211" s="753"/>
      <c r="BK211" s="753">
        <f>A_MC/M_MCaCO3</f>
        <v>0.12000271763837225</v>
      </c>
      <c r="BL211" s="753"/>
      <c r="BM211" s="684"/>
      <c r="BN211" s="753"/>
      <c r="BO211" s="755"/>
      <c r="BP211" s="1178"/>
      <c r="BQ211" s="1178"/>
      <c r="BR211" s="1178"/>
      <c r="BS211" s="1178"/>
      <c r="BT211" s="755"/>
      <c r="BU211" s="756"/>
      <c r="BV211" s="944"/>
      <c r="BW211" s="754" t="s">
        <v>2877</v>
      </c>
      <c r="BX211" s="753">
        <f>i_CIT_CH4</f>
        <v>0.188</v>
      </c>
      <c r="BY211" s="753"/>
      <c r="BZ211" s="754"/>
      <c r="CA211" s="753"/>
      <c r="CB211" s="754"/>
      <c r="CC211" s="754">
        <f>1/Δ_atm</f>
        <v>1</v>
      </c>
      <c r="CD211" s="754">
        <f>i_CIT_CH4/Δ_atm</f>
        <v>0.188</v>
      </c>
      <c r="CE211" s="753"/>
      <c r="CF211" s="754"/>
      <c r="CG211" s="753"/>
      <c r="CH211" s="757"/>
    </row>
    <row r="212" spans="4:86" ht="18.75" x14ac:dyDescent="0.25">
      <c r="D212" s="475" t="s">
        <v>250</v>
      </c>
      <c r="E212" s="753"/>
      <c r="F212" s="753"/>
      <c r="G212" s="753"/>
      <c r="H212" s="753">
        <f>i_N_CB</f>
        <v>0.01</v>
      </c>
      <c r="I212" s="1610"/>
      <c r="J212" s="1610"/>
      <c r="K212" s="753">
        <f>i_N_SU</f>
        <v>0.01</v>
      </c>
      <c r="L212" s="753">
        <f>i_N_CU</f>
        <v>0.01</v>
      </c>
      <c r="M212" s="753"/>
      <c r="N212" s="753"/>
      <c r="O212" s="753"/>
      <c r="P212" s="753">
        <f>i_N_XE</f>
        <v>0.06</v>
      </c>
      <c r="Q212" s="753">
        <f>i_N_XE</f>
        <v>0.06</v>
      </c>
      <c r="R212" s="753">
        <f>i_N_BIO</f>
        <v>7.0000000000000007E-2</v>
      </c>
      <c r="S212" s="753">
        <f>i_N_BIO</f>
        <v>7.0000000000000007E-2</v>
      </c>
      <c r="T212" s="753">
        <f>i_N_BIO</f>
        <v>7.0000000000000007E-2</v>
      </c>
      <c r="U212" s="753">
        <f>i_N_BIO</f>
        <v>7.0000000000000007E-2</v>
      </c>
      <c r="V212" s="753">
        <f>i_N_BIO</f>
        <v>7.0000000000000007E-2</v>
      </c>
      <c r="W212" s="753">
        <f>i_N_BIO</f>
        <v>7.0000000000000007E-2</v>
      </c>
      <c r="X212" s="753">
        <f>i_N_ALGAE</f>
        <v>7.0000000000000007E-2</v>
      </c>
      <c r="Y212" s="753">
        <v>1</v>
      </c>
      <c r="Z212" s="753">
        <v>1</v>
      </c>
      <c r="AA212" s="753">
        <v>1</v>
      </c>
      <c r="AB212" s="753">
        <v>1</v>
      </c>
      <c r="AC212" s="1610">
        <v>1</v>
      </c>
      <c r="AD212" s="1610">
        <v>1</v>
      </c>
      <c r="AE212" s="753">
        <v>1</v>
      </c>
      <c r="AF212" s="753"/>
      <c r="AG212" s="753"/>
      <c r="AH212" s="753"/>
      <c r="AI212" s="1610"/>
      <c r="AJ212" s="1610"/>
      <c r="AK212" s="753"/>
      <c r="AL212" s="753"/>
      <c r="AM212" s="753"/>
      <c r="AN212" s="753"/>
      <c r="AO212" s="753"/>
      <c r="AP212" s="753"/>
      <c r="AQ212" s="753"/>
      <c r="AR212" s="753"/>
      <c r="AS212" s="753"/>
      <c r="AT212" s="753"/>
      <c r="AU212" s="753"/>
      <c r="AV212" s="753"/>
      <c r="AW212" s="753"/>
      <c r="AX212" s="753"/>
      <c r="AY212" s="753"/>
      <c r="AZ212" s="753"/>
      <c r="BA212" s="753"/>
      <c r="BB212" s="753"/>
      <c r="BC212" s="753"/>
      <c r="BD212" s="753"/>
      <c r="BE212" s="753"/>
      <c r="BF212" s="753"/>
      <c r="BG212" s="753"/>
      <c r="BH212" s="753"/>
      <c r="BI212" s="753"/>
      <c r="BJ212" s="753"/>
      <c r="BK212" s="753"/>
      <c r="BL212" s="753"/>
      <c r="BM212" s="684"/>
      <c r="BN212" s="753">
        <f>A_MN/M_MSTR</f>
        <v>5.7075504823359977E-2</v>
      </c>
      <c r="BO212" s="753"/>
      <c r="BP212" s="1200"/>
      <c r="BQ212" s="1200"/>
      <c r="BR212" s="1200"/>
      <c r="BS212" s="1200"/>
      <c r="BT212" s="753"/>
      <c r="BU212" s="759"/>
      <c r="BV212" s="945"/>
      <c r="BW212" s="753"/>
      <c r="BX212" s="753"/>
      <c r="BY212" s="753"/>
      <c r="BZ212" s="753"/>
      <c r="CA212" s="754" t="s">
        <v>2877</v>
      </c>
      <c r="CB212" s="754" t="s">
        <v>2877</v>
      </c>
      <c r="CC212" s="753"/>
      <c r="CD212" s="753"/>
      <c r="CE212" s="753"/>
      <c r="CF212" s="753"/>
      <c r="CG212" s="753">
        <f>1/Δ_atm</f>
        <v>1</v>
      </c>
      <c r="CH212" s="757">
        <f>1/Δ_atm</f>
        <v>1</v>
      </c>
    </row>
    <row r="213" spans="4:86" ht="18" x14ac:dyDescent="0.25">
      <c r="D213" s="475" t="s">
        <v>251</v>
      </c>
      <c r="E213" s="753"/>
      <c r="F213" s="753"/>
      <c r="G213" s="753"/>
      <c r="H213" s="753">
        <f>i_P_CB</f>
        <v>2E-3</v>
      </c>
      <c r="I213" s="1610"/>
      <c r="J213" s="1610"/>
      <c r="K213" s="753">
        <f>i_P_SU</f>
        <v>2E-3</v>
      </c>
      <c r="L213" s="753">
        <f>i_P_CU</f>
        <v>2E-3</v>
      </c>
      <c r="M213" s="753"/>
      <c r="N213" s="753"/>
      <c r="O213" s="753"/>
      <c r="P213" s="753">
        <f>i_P_BIO</f>
        <v>0.02</v>
      </c>
      <c r="Q213" s="753">
        <f>i_P_BIO</f>
        <v>0.02</v>
      </c>
      <c r="R213" s="753">
        <f>i_P_BIO</f>
        <v>0.02</v>
      </c>
      <c r="S213" s="753">
        <f>i_P_BIO</f>
        <v>0.02</v>
      </c>
      <c r="T213" s="753">
        <f>i_P_BIO</f>
        <v>0.02</v>
      </c>
      <c r="U213" s="753">
        <f>i_P_BIO</f>
        <v>0.02</v>
      </c>
      <c r="V213" s="753">
        <f>i_P_BIO</f>
        <v>0.02</v>
      </c>
      <c r="W213" s="753">
        <f>i_P_BIO</f>
        <v>0.02</v>
      </c>
      <c r="X213" s="753">
        <f>i_P_ALGAE</f>
        <v>0.02</v>
      </c>
      <c r="Y213" s="753"/>
      <c r="Z213" s="753"/>
      <c r="AA213" s="753"/>
      <c r="AB213" s="753"/>
      <c r="AC213" s="1610"/>
      <c r="AD213" s="1610"/>
      <c r="AE213" s="753"/>
      <c r="AF213" s="753">
        <v>1</v>
      </c>
      <c r="AG213" s="753">
        <v>1</v>
      </c>
      <c r="AH213" s="753">
        <v>1</v>
      </c>
      <c r="AI213" s="1610">
        <v>1</v>
      </c>
      <c r="AJ213" s="1610">
        <v>1</v>
      </c>
      <c r="AK213" s="753">
        <v>1</v>
      </c>
      <c r="AL213" s="753"/>
      <c r="AM213" s="753"/>
      <c r="AN213" s="753"/>
      <c r="AO213" s="753"/>
      <c r="AP213" s="753"/>
      <c r="AQ213" s="753"/>
      <c r="AR213" s="753"/>
      <c r="AS213" s="753"/>
      <c r="AT213" s="753"/>
      <c r="AU213" s="753"/>
      <c r="AV213" s="755"/>
      <c r="AW213" s="753"/>
      <c r="AX213" s="753"/>
      <c r="AY213" s="755"/>
      <c r="AZ213" s="753">
        <f>A_SFHFO_H*(A_MP/A_MFe)</f>
        <v>0.66556566639806602</v>
      </c>
      <c r="BA213" s="753">
        <f>A_SFHFO_L*(A_MP/A_MFe)</f>
        <v>0.11092761106634436</v>
      </c>
      <c r="BB213" s="753">
        <f>A_SFHFO_H*(A_MP/A_MFe)</f>
        <v>0.66556566639806602</v>
      </c>
      <c r="BC213" s="753">
        <f>A_SFHFO_L*(A_MP/A_MFe)</f>
        <v>0.11092761106634436</v>
      </c>
      <c r="BD213" s="753"/>
      <c r="BE213" s="753"/>
      <c r="BF213" s="755"/>
      <c r="BG213" s="753">
        <f>A_SFHAO_H*(A_MP/A_MAl)</f>
        <v>1.1479629449808202</v>
      </c>
      <c r="BH213" s="753">
        <f>A_SFHAO_L*(A_MP/A_MAl)</f>
        <v>0.11479629449808203</v>
      </c>
      <c r="BI213" s="753">
        <f>A_SFHAO_H*(A_MP/A_MAl)</f>
        <v>1.1479629449808202</v>
      </c>
      <c r="BJ213" s="753">
        <f>A_SFHAO_L*(A_MP/A_MAl)</f>
        <v>0.11479629449808203</v>
      </c>
      <c r="BK213" s="755"/>
      <c r="BL213" s="753">
        <f>2*A_MP/M_MACP</f>
        <v>0.16206538757887573</v>
      </c>
      <c r="BM213" s="684">
        <f>A_MP/M_MBSH</f>
        <v>0.17998807007087103</v>
      </c>
      <c r="BN213" s="753">
        <f>A_MP/M_MSTR</f>
        <v>0.12621410566683836</v>
      </c>
      <c r="BO213" s="755">
        <f>2*A_MP/M_MVivi</f>
        <v>0.1234998580474381</v>
      </c>
      <c r="BP213" s="1178"/>
      <c r="BQ213" s="1178"/>
      <c r="BR213" s="1178"/>
      <c r="BS213" s="1178"/>
      <c r="BT213" s="755"/>
      <c r="BU213" s="756"/>
      <c r="BV213" s="944"/>
      <c r="BW213" s="753"/>
      <c r="BX213" s="753"/>
      <c r="BY213" s="753"/>
      <c r="BZ213" s="753"/>
      <c r="CA213" s="753"/>
      <c r="CB213" s="753"/>
      <c r="CC213" s="753"/>
      <c r="CD213" s="753"/>
      <c r="CE213" s="753"/>
      <c r="CF213" s="753"/>
      <c r="CG213" s="753"/>
      <c r="CH213" s="757"/>
    </row>
    <row r="214" spans="4:86" ht="18" x14ac:dyDescent="0.25">
      <c r="D214" s="475" t="s">
        <v>1111</v>
      </c>
      <c r="E214" s="753"/>
      <c r="F214" s="753"/>
      <c r="G214" s="753"/>
      <c r="H214" s="753"/>
      <c r="I214" s="1610"/>
      <c r="J214" s="1610"/>
      <c r="K214" s="753"/>
      <c r="L214" s="753"/>
      <c r="M214" s="753"/>
      <c r="N214" s="753"/>
      <c r="O214" s="753"/>
      <c r="P214" s="753"/>
      <c r="Q214" s="753"/>
      <c r="R214" s="753"/>
      <c r="S214" s="753"/>
      <c r="T214" s="753"/>
      <c r="U214" s="753"/>
      <c r="V214" s="753"/>
      <c r="W214" s="753"/>
      <c r="X214" s="983"/>
      <c r="Y214" s="753"/>
      <c r="Z214" s="753"/>
      <c r="AA214" s="753"/>
      <c r="AB214" s="753"/>
      <c r="AC214" s="1610"/>
      <c r="AD214" s="1610"/>
      <c r="AE214" s="753"/>
      <c r="AF214" s="753"/>
      <c r="AG214" s="753"/>
      <c r="AH214" s="684"/>
      <c r="AI214" s="1610"/>
      <c r="AJ214" s="1610"/>
      <c r="AK214" s="753"/>
      <c r="AL214" s="753"/>
      <c r="AM214" s="753"/>
      <c r="AN214" s="753"/>
      <c r="AO214" s="753"/>
      <c r="AP214" s="753">
        <f>(1-i_Ca_INORG*(A_MCa+2*A_MCl)/A_MCa-i_Mg_INORG*(A_MMg+2*A_MCl)/A_MMg)*f_Na</f>
        <v>0.26185730529816786</v>
      </c>
      <c r="AQ214" s="753">
        <v>1</v>
      </c>
      <c r="AR214" s="753"/>
      <c r="AS214" s="753"/>
      <c r="AT214" s="753"/>
      <c r="AU214" s="753"/>
      <c r="AV214" s="755"/>
      <c r="AW214" s="753"/>
      <c r="AX214" s="753"/>
      <c r="AY214" s="755"/>
      <c r="AZ214" s="755"/>
      <c r="BA214" s="753"/>
      <c r="BB214" s="755"/>
      <c r="BC214" s="755"/>
      <c r="BD214" s="753"/>
      <c r="BE214" s="753"/>
      <c r="BF214" s="755"/>
      <c r="BG214" s="755"/>
      <c r="BH214" s="753"/>
      <c r="BI214" s="755"/>
      <c r="BJ214" s="755"/>
      <c r="BK214" s="755"/>
      <c r="BL214" s="755"/>
      <c r="BM214" s="761"/>
      <c r="BN214" s="753"/>
      <c r="BO214" s="755"/>
      <c r="BP214" s="1178"/>
      <c r="BQ214" s="1178"/>
      <c r="BR214" s="1178"/>
      <c r="BS214" s="1178"/>
      <c r="BT214" s="755"/>
      <c r="BU214" s="756"/>
      <c r="BV214" s="944"/>
      <c r="BW214" s="753"/>
      <c r="BX214" s="753"/>
      <c r="BY214" s="753"/>
      <c r="BZ214" s="753"/>
      <c r="CA214" s="753"/>
      <c r="CB214" s="753"/>
      <c r="CC214" s="753"/>
      <c r="CD214" s="753"/>
      <c r="CE214" s="753"/>
      <c r="CF214" s="753"/>
      <c r="CG214" s="753"/>
      <c r="CH214" s="757"/>
    </row>
    <row r="215" spans="4:86" ht="18" x14ac:dyDescent="0.25">
      <c r="D215" s="475" t="s">
        <v>475</v>
      </c>
      <c r="E215" s="753"/>
      <c r="F215" s="753"/>
      <c r="G215" s="753"/>
      <c r="H215" s="753"/>
      <c r="I215" s="1610"/>
      <c r="J215" s="1610"/>
      <c r="K215" s="753"/>
      <c r="L215" s="753"/>
      <c r="M215" s="753"/>
      <c r="N215" s="753"/>
      <c r="O215" s="753"/>
      <c r="P215" s="753"/>
      <c r="Q215" s="753"/>
      <c r="R215" s="753"/>
      <c r="S215" s="753"/>
      <c r="T215" s="753"/>
      <c r="U215" s="753"/>
      <c r="V215" s="753"/>
      <c r="W215" s="753"/>
      <c r="X215" s="983"/>
      <c r="Y215" s="753"/>
      <c r="Z215" s="753"/>
      <c r="AA215" s="753"/>
      <c r="AB215" s="753"/>
      <c r="AC215" s="1610"/>
      <c r="AD215" s="1610"/>
      <c r="AE215" s="753"/>
      <c r="AF215" s="753"/>
      <c r="AG215" s="753">
        <f>i_K_PP*A_MK/A_MP</f>
        <v>0.12623038734377579</v>
      </c>
      <c r="AH215" s="753"/>
      <c r="AI215" s="1610"/>
      <c r="AJ215" s="1610"/>
      <c r="AK215" s="753"/>
      <c r="AL215" s="753"/>
      <c r="AM215" s="753"/>
      <c r="AN215" s="753"/>
      <c r="AO215" s="753"/>
      <c r="AP215" s="753"/>
      <c r="AQ215" s="753"/>
      <c r="AR215" s="753"/>
      <c r="AS215" s="753"/>
      <c r="AT215" s="753"/>
      <c r="AU215" s="753">
        <v>1</v>
      </c>
      <c r="AV215" s="753"/>
      <c r="AW215" s="753"/>
      <c r="AX215" s="753"/>
      <c r="AY215" s="753"/>
      <c r="AZ215" s="753"/>
      <c r="BA215" s="753"/>
      <c r="BB215" s="753"/>
      <c r="BC215" s="753"/>
      <c r="BD215" s="753"/>
      <c r="BE215" s="753"/>
      <c r="BF215" s="753"/>
      <c r="BG215" s="753"/>
      <c r="BH215" s="753"/>
      <c r="BI215" s="753"/>
      <c r="BJ215" s="753"/>
      <c r="BK215" s="753"/>
      <c r="BL215" s="753"/>
      <c r="BM215" s="684"/>
      <c r="BN215" s="753"/>
      <c r="BO215" s="753"/>
      <c r="BP215" s="1200"/>
      <c r="BQ215" s="1200"/>
      <c r="BR215" s="1200"/>
      <c r="BS215" s="1200"/>
      <c r="BT215" s="753"/>
      <c r="BU215" s="759"/>
      <c r="BV215" s="945"/>
      <c r="BW215" s="753"/>
      <c r="BX215" s="753"/>
      <c r="BY215" s="753"/>
      <c r="BZ215" s="753"/>
      <c r="CA215" s="753"/>
      <c r="CB215" s="753"/>
      <c r="CC215" s="753"/>
      <c r="CD215" s="753"/>
      <c r="CE215" s="753"/>
      <c r="CF215" s="753"/>
      <c r="CG215" s="753"/>
      <c r="CH215" s="757"/>
    </row>
    <row r="216" spans="4:86" ht="18" x14ac:dyDescent="0.25">
      <c r="D216" s="475" t="s">
        <v>986</v>
      </c>
      <c r="E216" s="753"/>
      <c r="F216" s="753"/>
      <c r="G216" s="753"/>
      <c r="H216" s="753"/>
      <c r="I216" s="1610"/>
      <c r="J216" s="1610"/>
      <c r="K216" s="753"/>
      <c r="L216" s="753"/>
      <c r="M216" s="753"/>
      <c r="N216" s="753"/>
      <c r="O216" s="753"/>
      <c r="P216" s="753"/>
      <c r="Q216" s="753"/>
      <c r="R216" s="753"/>
      <c r="S216" s="753"/>
      <c r="T216" s="753"/>
      <c r="U216" s="753"/>
      <c r="V216" s="753"/>
      <c r="W216" s="753"/>
      <c r="X216" s="983"/>
      <c r="Y216" s="753"/>
      <c r="Z216" s="753"/>
      <c r="AA216" s="753"/>
      <c r="AB216" s="753"/>
      <c r="AC216" s="1610"/>
      <c r="AD216" s="1610"/>
      <c r="AE216" s="753"/>
      <c r="AF216" s="753"/>
      <c r="AG216" s="753">
        <f>i_Ca_PP*A_MCa/A_MP</f>
        <v>0.12939338702613273</v>
      </c>
      <c r="AH216" s="753"/>
      <c r="AI216" s="1610"/>
      <c r="AJ216" s="1610"/>
      <c r="AK216" s="753"/>
      <c r="AL216" s="753"/>
      <c r="AM216" s="753"/>
      <c r="AN216" s="753"/>
      <c r="AO216" s="753"/>
      <c r="AP216" s="753">
        <f>i_Ca_INORG</f>
        <v>0.05</v>
      </c>
      <c r="AQ216" s="753"/>
      <c r="AR216" s="753"/>
      <c r="AS216" s="753">
        <v>1</v>
      </c>
      <c r="AT216" s="753"/>
      <c r="AU216" s="753"/>
      <c r="AV216" s="753"/>
      <c r="AW216" s="753"/>
      <c r="AX216" s="753"/>
      <c r="AY216" s="753"/>
      <c r="AZ216" s="753"/>
      <c r="BA216" s="753"/>
      <c r="BB216" s="753"/>
      <c r="BC216" s="753"/>
      <c r="BD216" s="753"/>
      <c r="BE216" s="753"/>
      <c r="BF216" s="753"/>
      <c r="BG216" s="753"/>
      <c r="BH216" s="753"/>
      <c r="BI216" s="753"/>
      <c r="BJ216" s="753"/>
      <c r="BK216" s="753">
        <f>A_MCa/M_MCaCO3</f>
        <v>0.40043202457064814</v>
      </c>
      <c r="BL216" s="753">
        <f>3*A_MCa/M_MACP</f>
        <v>0.31455284127800509</v>
      </c>
      <c r="BM216" s="684">
        <f>A_MCa/M_MBSH</f>
        <v>0.2328926601076691</v>
      </c>
      <c r="BN216" s="753"/>
      <c r="BO216" s="753"/>
      <c r="BP216" s="1200"/>
      <c r="BQ216" s="1200"/>
      <c r="BR216" s="1200"/>
      <c r="BS216" s="1200"/>
      <c r="BT216" s="753"/>
      <c r="BU216" s="759"/>
      <c r="BV216" s="945"/>
      <c r="BW216" s="753"/>
      <c r="BX216" s="753"/>
      <c r="BY216" s="753"/>
      <c r="BZ216" s="753"/>
      <c r="CA216" s="753"/>
      <c r="CB216" s="753"/>
      <c r="CC216" s="753"/>
      <c r="CD216" s="753"/>
      <c r="CE216" s="753"/>
      <c r="CF216" s="753"/>
      <c r="CG216" s="753"/>
      <c r="CH216" s="757"/>
    </row>
    <row r="217" spans="4:86" ht="18" x14ac:dyDescent="0.25">
      <c r="D217" s="475" t="s">
        <v>987</v>
      </c>
      <c r="E217" s="753"/>
      <c r="F217" s="753"/>
      <c r="G217" s="753"/>
      <c r="H217" s="753"/>
      <c r="I217" s="1610"/>
      <c r="J217" s="1610"/>
      <c r="K217" s="753"/>
      <c r="L217" s="753"/>
      <c r="M217" s="753"/>
      <c r="N217" s="753"/>
      <c r="O217" s="753"/>
      <c r="P217" s="753"/>
      <c r="Q217" s="753"/>
      <c r="R217" s="753"/>
      <c r="S217" s="753"/>
      <c r="T217" s="753"/>
      <c r="U217" s="753"/>
      <c r="V217" s="753"/>
      <c r="W217" s="753"/>
      <c r="X217" s="983"/>
      <c r="Y217" s="753"/>
      <c r="Z217" s="753"/>
      <c r="AA217" s="753"/>
      <c r="AB217" s="753"/>
      <c r="AC217" s="1610"/>
      <c r="AD217" s="1610"/>
      <c r="AE217" s="753"/>
      <c r="AF217" s="753"/>
      <c r="AG217" s="753">
        <f>i_Mg_PP*A_MMg/A_MP</f>
        <v>0.27464374347136938</v>
      </c>
      <c r="AH217" s="753"/>
      <c r="AI217" s="1610"/>
      <c r="AJ217" s="1610"/>
      <c r="AK217" s="753"/>
      <c r="AL217" s="753"/>
      <c r="AM217" s="753"/>
      <c r="AN217" s="753"/>
      <c r="AO217" s="753"/>
      <c r="AP217" s="753">
        <f>i_Mg_INORG</f>
        <v>0.05</v>
      </c>
      <c r="AQ217" s="753"/>
      <c r="AR217" s="753"/>
      <c r="AS217" s="753"/>
      <c r="AT217" s="753">
        <v>1</v>
      </c>
      <c r="AU217" s="753"/>
      <c r="AV217" s="753"/>
      <c r="AW217" s="753"/>
      <c r="AX217" s="753"/>
      <c r="AY217" s="753"/>
      <c r="AZ217" s="753"/>
      <c r="BA217" s="753"/>
      <c r="BB217" s="753"/>
      <c r="BC217" s="753"/>
      <c r="BD217" s="753"/>
      <c r="BE217" s="753"/>
      <c r="BF217" s="753"/>
      <c r="BG217" s="753"/>
      <c r="BH217" s="753"/>
      <c r="BI217" s="753"/>
      <c r="BJ217" s="753"/>
      <c r="BK217" s="753"/>
      <c r="BL217" s="753"/>
      <c r="BM217" s="684"/>
      <c r="BN217" s="753">
        <f>A_MMg/M_MSTR</f>
        <v>9.9039755597804202E-2</v>
      </c>
      <c r="BO217" s="753"/>
      <c r="BP217" s="1200"/>
      <c r="BQ217" s="1200"/>
      <c r="BR217" s="1200"/>
      <c r="BS217" s="1200"/>
      <c r="BT217" s="753"/>
      <c r="BU217" s="759"/>
      <c r="BV217" s="945"/>
      <c r="BW217" s="753"/>
      <c r="BX217" s="753"/>
      <c r="BY217" s="753"/>
      <c r="BZ217" s="753"/>
      <c r="CA217" s="753"/>
      <c r="CB217" s="753"/>
      <c r="CC217" s="753"/>
      <c r="CD217" s="753"/>
      <c r="CE217" s="753"/>
      <c r="CF217" s="753"/>
      <c r="CG217" s="753"/>
      <c r="CH217" s="757"/>
    </row>
    <row r="218" spans="4:86" ht="18" x14ac:dyDescent="0.25">
      <c r="D218" s="475" t="s">
        <v>142</v>
      </c>
      <c r="E218" s="753"/>
      <c r="F218" s="753"/>
      <c r="G218" s="753"/>
      <c r="H218" s="753"/>
      <c r="I218" s="1610"/>
      <c r="J218" s="1610"/>
      <c r="K218" s="753"/>
      <c r="L218" s="753"/>
      <c r="M218" s="753"/>
      <c r="N218" s="753"/>
      <c r="O218" s="753"/>
      <c r="P218" s="753"/>
      <c r="Q218" s="753"/>
      <c r="R218" s="753"/>
      <c r="S218" s="753"/>
      <c r="T218" s="753"/>
      <c r="U218" s="753"/>
      <c r="V218" s="753"/>
      <c r="W218" s="753"/>
      <c r="X218" s="983"/>
      <c r="Y218" s="753"/>
      <c r="Z218" s="753"/>
      <c r="AA218" s="753"/>
      <c r="AB218" s="753"/>
      <c r="AC218" s="1610"/>
      <c r="AD218" s="1610"/>
      <c r="AE218" s="753"/>
      <c r="AF218" s="753"/>
      <c r="AG218" s="753"/>
      <c r="AH218" s="753"/>
      <c r="AI218" s="1610"/>
      <c r="AJ218" s="1610"/>
      <c r="AK218" s="753"/>
      <c r="AL218" s="753"/>
      <c r="AM218" s="753"/>
      <c r="AN218" s="753"/>
      <c r="AO218" s="753"/>
      <c r="AP218" s="753">
        <f>(i_Ca_INORG*(2*A_MCl)/A_MCa+i_Mg_INORG*(2*A_MCl)/A_MMg)+(1-i_Ca_INORG*(A_MCa+2*A_MCl)/A_MCa-i_Mg_INORG*(A_MMg+2*A_MCl)/A_MMg)*(1-f_Na)</f>
        <v>0.63814269470183216</v>
      </c>
      <c r="AQ218" s="753"/>
      <c r="AR218" s="753">
        <v>1</v>
      </c>
      <c r="AS218" s="753"/>
      <c r="AT218" s="753"/>
      <c r="AU218" s="753"/>
      <c r="AV218" s="753"/>
      <c r="AW218" s="753"/>
      <c r="AX218" s="753"/>
      <c r="AY218" s="753"/>
      <c r="AZ218" s="753"/>
      <c r="BA218" s="753"/>
      <c r="BB218" s="753"/>
      <c r="BC218" s="753"/>
      <c r="BD218" s="753"/>
      <c r="BE218" s="753"/>
      <c r="BF218" s="753"/>
      <c r="BG218" s="753"/>
      <c r="BH218" s="753"/>
      <c r="BI218" s="753"/>
      <c r="BJ218" s="753"/>
      <c r="BK218" s="753"/>
      <c r="BL218" s="753"/>
      <c r="BM218" s="684"/>
      <c r="BN218" s="753"/>
      <c r="BO218" s="753"/>
      <c r="BP218" s="1200"/>
      <c r="BQ218" s="1200"/>
      <c r="BR218" s="1200"/>
      <c r="BS218" s="1200"/>
      <c r="BT218" s="753"/>
      <c r="BU218" s="759"/>
      <c r="BV218" s="945"/>
      <c r="BW218" s="753"/>
      <c r="BX218" s="753"/>
      <c r="BY218" s="753"/>
      <c r="BZ218" s="753"/>
      <c r="CA218" s="753"/>
      <c r="CB218" s="753"/>
      <c r="CC218" s="753"/>
      <c r="CD218" s="753"/>
      <c r="CE218" s="753"/>
      <c r="CF218" s="753"/>
      <c r="CG218" s="753"/>
      <c r="CH218" s="757"/>
    </row>
    <row r="219" spans="4:86" ht="18" x14ac:dyDescent="0.25">
      <c r="D219" s="475" t="s">
        <v>2662</v>
      </c>
      <c r="E219" s="753"/>
      <c r="F219" s="753"/>
      <c r="G219" s="753"/>
      <c r="H219" s="753"/>
      <c r="I219" s="1610"/>
      <c r="J219" s="1610"/>
      <c r="K219" s="753"/>
      <c r="L219" s="753"/>
      <c r="M219" s="753"/>
      <c r="N219" s="753"/>
      <c r="O219" s="753"/>
      <c r="P219" s="753"/>
      <c r="Q219" s="753"/>
      <c r="R219" s="753"/>
      <c r="S219" s="753"/>
      <c r="T219" s="753"/>
      <c r="U219" s="753"/>
      <c r="V219" s="753"/>
      <c r="W219" s="753"/>
      <c r="X219" s="983"/>
      <c r="Y219" s="753"/>
      <c r="Z219" s="753"/>
      <c r="AA219" s="753"/>
      <c r="AB219" s="753"/>
      <c r="AC219" s="1610"/>
      <c r="AD219" s="1610"/>
      <c r="AE219" s="753"/>
      <c r="AF219" s="753"/>
      <c r="AG219" s="753"/>
      <c r="AH219" s="753"/>
      <c r="AI219" s="1610"/>
      <c r="AJ219" s="1610"/>
      <c r="AK219" s="753"/>
      <c r="AL219" s="753"/>
      <c r="AM219" s="753"/>
      <c r="AN219" s="753"/>
      <c r="AO219" s="753"/>
      <c r="AP219" s="753"/>
      <c r="AQ219" s="753"/>
      <c r="AR219" s="753"/>
      <c r="AS219" s="753"/>
      <c r="AT219" s="753"/>
      <c r="AU219" s="753"/>
      <c r="AV219" s="753">
        <v>1</v>
      </c>
      <c r="AW219" s="753">
        <v>1</v>
      </c>
      <c r="AX219" s="753">
        <v>1</v>
      </c>
      <c r="AY219" s="753">
        <v>1</v>
      </c>
      <c r="AZ219" s="753">
        <v>1</v>
      </c>
      <c r="BA219" s="753">
        <v>1</v>
      </c>
      <c r="BB219" s="753">
        <v>1</v>
      </c>
      <c r="BC219" s="753">
        <v>1</v>
      </c>
      <c r="BD219" s="753"/>
      <c r="BE219" s="753"/>
      <c r="BF219" s="753"/>
      <c r="BG219" s="753"/>
      <c r="BH219" s="753"/>
      <c r="BI219" s="753"/>
      <c r="BJ219" s="753"/>
      <c r="BK219" s="753"/>
      <c r="BL219" s="753"/>
      <c r="BM219" s="684"/>
      <c r="BN219" s="753"/>
      <c r="BO219" s="753">
        <f>3*A_MFe/M_MVivi</f>
        <v>0.33400121987727954</v>
      </c>
      <c r="BP219" s="1200"/>
      <c r="BQ219" s="1200"/>
      <c r="BR219" s="1200"/>
      <c r="BS219" s="1200"/>
      <c r="BT219" s="753"/>
      <c r="BU219" s="759"/>
      <c r="BV219" s="945"/>
      <c r="BW219" s="753"/>
      <c r="BX219" s="753"/>
      <c r="BY219" s="753"/>
      <c r="BZ219" s="753"/>
      <c r="CA219" s="753"/>
      <c r="CB219" s="753"/>
      <c r="CC219" s="753"/>
      <c r="CD219" s="753"/>
      <c r="CE219" s="753"/>
      <c r="CF219" s="753"/>
      <c r="CG219" s="753"/>
      <c r="CH219" s="757"/>
    </row>
    <row r="220" spans="4:86" ht="15.75" thickBot="1" x14ac:dyDescent="0.3">
      <c r="D220" s="476" t="s">
        <v>2663</v>
      </c>
      <c r="E220" s="762"/>
      <c r="F220" s="762"/>
      <c r="G220" s="762"/>
      <c r="H220" s="762"/>
      <c r="I220" s="1611"/>
      <c r="J220" s="1611"/>
      <c r="K220" s="762"/>
      <c r="L220" s="762"/>
      <c r="M220" s="762"/>
      <c r="N220" s="762"/>
      <c r="O220" s="762"/>
      <c r="P220" s="762"/>
      <c r="Q220" s="762"/>
      <c r="R220" s="762"/>
      <c r="S220" s="762"/>
      <c r="T220" s="762"/>
      <c r="U220" s="762"/>
      <c r="V220" s="762"/>
      <c r="W220" s="762"/>
      <c r="X220" s="984"/>
      <c r="Y220" s="762"/>
      <c r="Z220" s="762"/>
      <c r="AA220" s="762"/>
      <c r="AB220" s="762"/>
      <c r="AC220" s="1611"/>
      <c r="AD220" s="1611"/>
      <c r="AE220" s="762"/>
      <c r="AF220" s="762"/>
      <c r="AG220" s="762"/>
      <c r="AH220" s="762"/>
      <c r="AI220" s="1611"/>
      <c r="AJ220" s="1611"/>
      <c r="AK220" s="762"/>
      <c r="AL220" s="762"/>
      <c r="AM220" s="762"/>
      <c r="AN220" s="762"/>
      <c r="AO220" s="762"/>
      <c r="AP220" s="762"/>
      <c r="AQ220" s="762"/>
      <c r="AR220" s="762"/>
      <c r="AS220" s="762"/>
      <c r="AT220" s="762"/>
      <c r="AU220" s="762"/>
      <c r="AV220" s="763"/>
      <c r="AW220" s="762"/>
      <c r="AX220" s="762"/>
      <c r="AY220" s="763"/>
      <c r="AZ220" s="763"/>
      <c r="BA220" s="762"/>
      <c r="BB220" s="763"/>
      <c r="BC220" s="763"/>
      <c r="BD220" s="753">
        <v>1</v>
      </c>
      <c r="BE220" s="753">
        <v>1</v>
      </c>
      <c r="BF220" s="753">
        <v>1</v>
      </c>
      <c r="BG220" s="753">
        <v>1</v>
      </c>
      <c r="BH220" s="753">
        <v>1</v>
      </c>
      <c r="BI220" s="753">
        <v>1</v>
      </c>
      <c r="BJ220" s="753">
        <v>1</v>
      </c>
      <c r="BK220" s="763"/>
      <c r="BL220" s="763"/>
      <c r="BM220" s="764"/>
      <c r="BN220" s="762"/>
      <c r="BO220" s="763"/>
      <c r="BP220" s="1201"/>
      <c r="BQ220" s="1201"/>
      <c r="BR220" s="1201"/>
      <c r="BS220" s="1201"/>
      <c r="BT220" s="763"/>
      <c r="BU220" s="764"/>
      <c r="BV220" s="946"/>
      <c r="BW220" s="762"/>
      <c r="BX220" s="762"/>
      <c r="BY220" s="762"/>
      <c r="BZ220" s="762"/>
      <c r="CA220" s="762"/>
      <c r="CB220" s="762"/>
      <c r="CC220" s="762"/>
      <c r="CD220" s="762"/>
      <c r="CE220" s="762"/>
      <c r="CF220" s="762"/>
      <c r="CG220" s="762"/>
      <c r="CH220" s="765"/>
    </row>
  </sheetData>
  <phoneticPr fontId="29" type="noConversion"/>
  <pageMargins left="0.7" right="0.7" top="0.75" bottom="0.75" header="0.3" footer="0.3"/>
  <pageSetup orientation="portrait" r:id="rId1"/>
  <ignoredErrors>
    <ignoredError sqref="AV68" numberStoredAsText="1"/>
  </ignoredError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Munka4"/>
  <dimension ref="A1:AD44"/>
  <sheetViews>
    <sheetView showGridLines="0" zoomScaleNormal="100" workbookViewId="0">
      <pane xSplit="3" ySplit="3" topLeftCell="D4" activePane="bottomRight" state="frozen"/>
      <selection pane="topRight" activeCell="D1" sqref="D1"/>
      <selection pane="bottomLeft" activeCell="A4" sqref="A4"/>
      <selection pane="bottomRight" activeCell="B41" sqref="B41:AD44"/>
    </sheetView>
  </sheetViews>
  <sheetFormatPr baseColWidth="10" defaultColWidth="9.140625" defaultRowHeight="15" x14ac:dyDescent="0.25"/>
  <cols>
    <col min="1" max="1" width="6" customWidth="1"/>
    <col min="2" max="2" width="17.85546875" bestFit="1" customWidth="1"/>
    <col min="3" max="3" width="34.85546875" customWidth="1"/>
    <col min="4" max="4" width="20.140625" bestFit="1" customWidth="1"/>
    <col min="5" max="5" width="9.85546875" bestFit="1" customWidth="1"/>
    <col min="6" max="6" width="34" customWidth="1"/>
    <col min="7" max="7" width="32.85546875" bestFit="1" customWidth="1"/>
    <col min="8" max="8" width="16" bestFit="1" customWidth="1"/>
    <col min="9" max="9" width="48.140625" bestFit="1" customWidth="1"/>
    <col min="10" max="10" width="49.85546875" bestFit="1" customWidth="1"/>
    <col min="11" max="11" width="49" bestFit="1" customWidth="1"/>
    <col min="12" max="12" width="63.85546875" bestFit="1" customWidth="1"/>
    <col min="13" max="13" width="67.28515625" bestFit="1" customWidth="1"/>
    <col min="14" max="14" width="69" bestFit="1" customWidth="1"/>
    <col min="15" max="15" width="68.140625" bestFit="1" customWidth="1"/>
    <col min="16" max="16" width="35.85546875" customWidth="1"/>
    <col min="17" max="17" width="36.140625" customWidth="1"/>
    <col min="18" max="18" width="20.28515625" customWidth="1"/>
    <col min="19" max="19" width="19.140625" customWidth="1"/>
    <col min="20" max="20" width="16.85546875" customWidth="1"/>
    <col min="21" max="22" width="15.28515625" bestFit="1" customWidth="1"/>
    <col min="23" max="23" width="20.140625" customWidth="1"/>
    <col min="24" max="24" width="15.85546875" customWidth="1"/>
    <col min="25" max="25" width="7" bestFit="1" customWidth="1"/>
    <col min="26" max="26" width="9" bestFit="1" customWidth="1"/>
    <col min="27" max="27" width="5" bestFit="1" customWidth="1"/>
    <col min="28" max="28" width="18.28515625" bestFit="1" customWidth="1"/>
  </cols>
  <sheetData>
    <row r="1" spans="1:28" s="46" customFormat="1" ht="48" customHeight="1" thickBot="1" x14ac:dyDescent="0.3">
      <c r="A1" s="47"/>
    </row>
    <row r="2" spans="1:28" ht="21" customHeight="1" thickBot="1" x14ac:dyDescent="0.3">
      <c r="A2" t="s">
        <v>1119</v>
      </c>
      <c r="C2" s="51" t="s">
        <v>4</v>
      </c>
      <c r="D2" s="133" t="s">
        <v>321</v>
      </c>
      <c r="H2" s="1"/>
      <c r="I2" s="1"/>
    </row>
    <row r="3" spans="1:28" s="7" customFormat="1" ht="18.75" thickBot="1" x14ac:dyDescent="0.3">
      <c r="B3" s="319" t="s">
        <v>0</v>
      </c>
      <c r="C3" s="317" t="s">
        <v>1</v>
      </c>
      <c r="D3" s="566" t="s">
        <v>401</v>
      </c>
      <c r="E3" s="566" t="s">
        <v>403</v>
      </c>
      <c r="F3" s="566" t="s">
        <v>405</v>
      </c>
      <c r="G3" s="566" t="s">
        <v>407</v>
      </c>
      <c r="H3" s="566" t="s">
        <v>428</v>
      </c>
      <c r="I3" s="566" t="s">
        <v>409</v>
      </c>
      <c r="J3" s="566" t="s">
        <v>411</v>
      </c>
      <c r="K3" s="566" t="s">
        <v>413</v>
      </c>
      <c r="L3" s="566" t="s">
        <v>415</v>
      </c>
      <c r="M3" s="566" t="s">
        <v>417</v>
      </c>
      <c r="N3" s="566" t="s">
        <v>419</v>
      </c>
      <c r="O3" s="566" t="s">
        <v>421</v>
      </c>
      <c r="P3" s="566" t="s">
        <v>423</v>
      </c>
      <c r="Q3" s="566" t="s">
        <v>425</v>
      </c>
      <c r="R3" s="566" t="s">
        <v>994</v>
      </c>
      <c r="S3" s="566" t="s">
        <v>995</v>
      </c>
      <c r="T3" s="566" t="s">
        <v>1252</v>
      </c>
      <c r="U3" s="567" t="s">
        <v>1051</v>
      </c>
      <c r="V3" s="567" t="s">
        <v>1251</v>
      </c>
      <c r="W3" s="567" t="s">
        <v>1053</v>
      </c>
      <c r="X3" s="320" t="s">
        <v>152</v>
      </c>
      <c r="Y3" s="320" t="s">
        <v>2</v>
      </c>
      <c r="Z3" s="320" t="s">
        <v>302</v>
      </c>
      <c r="AA3" s="320" t="s">
        <v>116</v>
      </c>
      <c r="AB3" s="321" t="s">
        <v>117</v>
      </c>
    </row>
    <row r="4" spans="1:28" ht="18.75" x14ac:dyDescent="0.25">
      <c r="B4" s="263" t="s">
        <v>429</v>
      </c>
      <c r="C4" s="261" t="s">
        <v>310</v>
      </c>
      <c r="D4" s="261" t="s">
        <v>311</v>
      </c>
      <c r="E4" s="261" t="s">
        <v>430</v>
      </c>
      <c r="F4" s="261"/>
      <c r="G4" s="261"/>
      <c r="H4" s="261"/>
      <c r="I4" s="261"/>
      <c r="J4" s="261"/>
      <c r="K4" s="261"/>
      <c r="L4" s="261"/>
      <c r="M4" s="261"/>
      <c r="N4" s="261"/>
      <c r="O4" s="261"/>
      <c r="P4" s="261"/>
      <c r="Q4" s="261"/>
      <c r="R4" s="261"/>
      <c r="S4" s="261"/>
      <c r="T4" s="261"/>
      <c r="U4" s="261"/>
      <c r="V4" s="261"/>
      <c r="W4" s="261"/>
      <c r="X4" s="262"/>
      <c r="Y4" s="260" t="s">
        <v>840</v>
      </c>
      <c r="Z4" s="262"/>
      <c r="AA4" s="262" t="s">
        <v>11</v>
      </c>
      <c r="AB4" s="264"/>
    </row>
    <row r="5" spans="1:28" ht="21" customHeight="1" x14ac:dyDescent="0.25">
      <c r="B5" s="322" t="s">
        <v>2576</v>
      </c>
      <c r="C5" s="257" t="s">
        <v>312</v>
      </c>
      <c r="D5" s="257"/>
      <c r="E5" s="257"/>
      <c r="F5" s="257" t="s">
        <v>2531</v>
      </c>
      <c r="G5" s="257" t="s">
        <v>2532</v>
      </c>
      <c r="H5" s="257"/>
      <c r="I5" s="257"/>
      <c r="J5" s="257"/>
      <c r="K5" s="257"/>
      <c r="L5" s="257"/>
      <c r="M5" s="257"/>
      <c r="N5" s="257"/>
      <c r="O5" s="257"/>
      <c r="P5" s="257"/>
      <c r="Q5" s="257"/>
      <c r="R5" s="257"/>
      <c r="S5" s="257"/>
      <c r="T5" s="257"/>
      <c r="U5" s="257"/>
      <c r="V5" s="257"/>
      <c r="W5" s="257"/>
      <c r="X5" s="258"/>
      <c r="Y5" s="256" t="s">
        <v>840</v>
      </c>
      <c r="Z5" s="258"/>
      <c r="AA5" s="262" t="s">
        <v>11</v>
      </c>
      <c r="AB5" s="323"/>
    </row>
    <row r="6" spans="1:28" ht="21" customHeight="1" x14ac:dyDescent="0.25">
      <c r="B6" s="322" t="s">
        <v>1102</v>
      </c>
      <c r="C6" s="257" t="s">
        <v>313</v>
      </c>
      <c r="D6" s="257"/>
      <c r="E6" s="257"/>
      <c r="F6" s="257"/>
      <c r="G6" s="257"/>
      <c r="H6" s="257" t="s">
        <v>431</v>
      </c>
      <c r="I6" s="257"/>
      <c r="J6" s="257"/>
      <c r="K6" s="257"/>
      <c r="L6" s="257"/>
      <c r="M6" s="257"/>
      <c r="N6" s="257"/>
      <c r="O6" s="257"/>
      <c r="P6" s="257"/>
      <c r="Q6" s="257"/>
      <c r="R6" s="257"/>
      <c r="S6" s="257"/>
      <c r="T6" s="257"/>
      <c r="U6" s="257"/>
      <c r="V6" s="257"/>
      <c r="W6" s="257"/>
      <c r="X6" s="258"/>
      <c r="Y6" s="256" t="s">
        <v>840</v>
      </c>
      <c r="Z6" s="258"/>
      <c r="AA6" s="262" t="s">
        <v>11</v>
      </c>
      <c r="AB6" s="323"/>
    </row>
    <row r="7" spans="1:28" ht="21" customHeight="1" x14ac:dyDescent="0.25">
      <c r="B7" s="322" t="s">
        <v>432</v>
      </c>
      <c r="C7" s="257" t="s">
        <v>316</v>
      </c>
      <c r="D7" s="257"/>
      <c r="E7" s="257"/>
      <c r="F7" s="257"/>
      <c r="G7" s="257"/>
      <c r="H7" s="257"/>
      <c r="I7" s="257" t="s">
        <v>2206</v>
      </c>
      <c r="J7" s="257" t="s">
        <v>2207</v>
      </c>
      <c r="K7" s="257" t="s">
        <v>2208</v>
      </c>
      <c r="L7" s="257"/>
      <c r="M7" s="257"/>
      <c r="N7" s="257"/>
      <c r="O7" s="257"/>
      <c r="P7" s="257"/>
      <c r="Q7" s="257"/>
      <c r="R7" s="257"/>
      <c r="S7" s="257"/>
      <c r="T7" s="257"/>
      <c r="U7" s="257"/>
      <c r="V7" s="257"/>
      <c r="W7" s="257"/>
      <c r="X7" s="258"/>
      <c r="Y7" s="256" t="s">
        <v>840</v>
      </c>
      <c r="Z7" s="258"/>
      <c r="AA7" s="262" t="s">
        <v>11</v>
      </c>
      <c r="AB7" s="323"/>
    </row>
    <row r="8" spans="1:28" ht="21" customHeight="1" x14ac:dyDescent="0.25">
      <c r="B8" s="322" t="s">
        <v>433</v>
      </c>
      <c r="C8" s="257" t="s">
        <v>317</v>
      </c>
      <c r="D8" s="257"/>
      <c r="E8" s="257"/>
      <c r="F8" s="257"/>
      <c r="G8" s="257"/>
      <c r="H8" s="257"/>
      <c r="I8" s="257"/>
      <c r="J8" s="257"/>
      <c r="K8" s="257"/>
      <c r="L8" s="257" t="s">
        <v>434</v>
      </c>
      <c r="M8" s="257" t="s">
        <v>435</v>
      </c>
      <c r="N8" s="257" t="s">
        <v>436</v>
      </c>
      <c r="O8" s="257" t="s">
        <v>437</v>
      </c>
      <c r="P8" s="257"/>
      <c r="Q8" s="257"/>
      <c r="R8" s="257"/>
      <c r="S8" s="257"/>
      <c r="T8" s="257"/>
      <c r="U8" s="257"/>
      <c r="V8" s="257"/>
      <c r="W8" s="257"/>
      <c r="X8" s="258"/>
      <c r="Y8" s="256" t="s">
        <v>840</v>
      </c>
      <c r="Z8" s="258"/>
      <c r="AA8" s="262" t="s">
        <v>11</v>
      </c>
      <c r="AB8" s="323"/>
    </row>
    <row r="9" spans="1:28" ht="21" customHeight="1" x14ac:dyDescent="0.25">
      <c r="B9" s="322" t="s">
        <v>438</v>
      </c>
      <c r="C9" s="257" t="s">
        <v>318</v>
      </c>
      <c r="D9" s="257"/>
      <c r="E9" s="257"/>
      <c r="F9" s="257"/>
      <c r="G9" s="257"/>
      <c r="H9" s="257"/>
      <c r="I9" s="257"/>
      <c r="J9" s="257"/>
      <c r="K9" s="257"/>
      <c r="L9" s="257"/>
      <c r="M9" s="257"/>
      <c r="N9" s="257"/>
      <c r="O9" s="257"/>
      <c r="P9" s="257" t="s">
        <v>2533</v>
      </c>
      <c r="Q9" s="257" t="s">
        <v>2534</v>
      </c>
      <c r="R9" s="257"/>
      <c r="S9" s="257"/>
      <c r="T9" s="257"/>
      <c r="U9" s="257"/>
      <c r="V9" s="257"/>
      <c r="W9" s="257"/>
      <c r="X9" s="258"/>
      <c r="Y9" s="256" t="s">
        <v>840</v>
      </c>
      <c r="Z9" s="258"/>
      <c r="AA9" s="262" t="s">
        <v>11</v>
      </c>
      <c r="AB9" s="323"/>
    </row>
    <row r="10" spans="1:28" ht="21" customHeight="1" x14ac:dyDescent="0.25">
      <c r="B10" s="322" t="s">
        <v>988</v>
      </c>
      <c r="C10" s="257" t="s">
        <v>990</v>
      </c>
      <c r="D10" s="257"/>
      <c r="E10" s="257"/>
      <c r="F10" s="257"/>
      <c r="G10" s="257"/>
      <c r="H10" s="257"/>
      <c r="I10" s="257"/>
      <c r="J10" s="257"/>
      <c r="K10" s="257"/>
      <c r="L10" s="257"/>
      <c r="M10" s="257"/>
      <c r="N10" s="257"/>
      <c r="O10" s="257"/>
      <c r="P10" s="257"/>
      <c r="Q10" s="257"/>
      <c r="R10" s="257" t="s">
        <v>992</v>
      </c>
      <c r="S10" s="257"/>
      <c r="T10" s="257"/>
      <c r="U10" s="257"/>
      <c r="V10" s="257"/>
      <c r="W10" s="257"/>
      <c r="X10" s="258"/>
      <c r="Y10" s="256" t="s">
        <v>841</v>
      </c>
      <c r="Z10" s="258"/>
      <c r="AA10" s="262" t="s">
        <v>11</v>
      </c>
      <c r="AB10" s="323"/>
    </row>
    <row r="11" spans="1:28" ht="21" customHeight="1" x14ac:dyDescent="0.25">
      <c r="B11" s="322" t="s">
        <v>989</v>
      </c>
      <c r="C11" s="257" t="s">
        <v>991</v>
      </c>
      <c r="D11" s="257"/>
      <c r="E11" s="257"/>
      <c r="F11" s="257"/>
      <c r="G11" s="257"/>
      <c r="H11" s="257"/>
      <c r="I11" s="257"/>
      <c r="J11" s="257"/>
      <c r="K11" s="257"/>
      <c r="L11" s="257"/>
      <c r="M11" s="257"/>
      <c r="N11" s="257"/>
      <c r="O11" s="257"/>
      <c r="P11" s="257"/>
      <c r="Q11" s="257"/>
      <c r="R11" s="257"/>
      <c r="S11" s="257" t="s">
        <v>993</v>
      </c>
      <c r="T11" s="257"/>
      <c r="U11" s="257"/>
      <c r="V11" s="257"/>
      <c r="W11" s="257"/>
      <c r="X11" s="258"/>
      <c r="Y11" s="256" t="s">
        <v>841</v>
      </c>
      <c r="Z11" s="258"/>
      <c r="AA11" s="262" t="s">
        <v>11</v>
      </c>
      <c r="AB11" s="323"/>
    </row>
    <row r="12" spans="1:28" ht="21" customHeight="1" x14ac:dyDescent="0.25">
      <c r="B12" s="322" t="s">
        <v>439</v>
      </c>
      <c r="C12" s="257" t="s">
        <v>314</v>
      </c>
      <c r="D12" s="257"/>
      <c r="E12" s="257"/>
      <c r="F12" s="257"/>
      <c r="G12" s="257"/>
      <c r="H12" s="257"/>
      <c r="I12" s="257"/>
      <c r="J12" s="257"/>
      <c r="K12" s="257"/>
      <c r="L12" s="256"/>
      <c r="M12" s="257"/>
      <c r="N12" s="257"/>
      <c r="O12" s="257"/>
      <c r="P12" s="257"/>
      <c r="Q12" s="257"/>
      <c r="R12" s="257"/>
      <c r="S12" s="257"/>
      <c r="T12" s="257" t="s">
        <v>1158</v>
      </c>
      <c r="U12" s="257"/>
      <c r="V12" s="257"/>
      <c r="W12" s="257"/>
      <c r="X12" s="258"/>
      <c r="Y12" s="256" t="s">
        <v>841</v>
      </c>
      <c r="Z12" s="258"/>
      <c r="AA12" s="262" t="s">
        <v>11</v>
      </c>
      <c r="AB12" s="323"/>
    </row>
    <row r="13" spans="1:28" ht="18" x14ac:dyDescent="0.25">
      <c r="B13" s="322" t="s">
        <v>1101</v>
      </c>
      <c r="C13" s="257" t="s">
        <v>1103</v>
      </c>
      <c r="D13" s="257"/>
      <c r="E13" s="257"/>
      <c r="F13" s="257"/>
      <c r="G13" s="257"/>
      <c r="H13" s="257"/>
      <c r="I13" s="257"/>
      <c r="J13" s="257"/>
      <c r="K13" s="257"/>
      <c r="L13" s="256"/>
      <c r="M13" s="257"/>
      <c r="N13" s="257"/>
      <c r="O13" s="257"/>
      <c r="P13" s="257"/>
      <c r="Q13" s="257"/>
      <c r="R13" s="257"/>
      <c r="S13" s="257"/>
      <c r="T13" s="257"/>
      <c r="U13" s="257" t="s">
        <v>1100</v>
      </c>
      <c r="V13" s="257"/>
      <c r="W13" s="257"/>
      <c r="X13" s="258"/>
      <c r="Y13" s="256" t="s">
        <v>841</v>
      </c>
      <c r="Z13" s="258"/>
      <c r="AA13" s="262" t="s">
        <v>11</v>
      </c>
      <c r="AB13" s="323"/>
    </row>
    <row r="14" spans="1:28" ht="18" x14ac:dyDescent="0.25">
      <c r="B14" s="322" t="s">
        <v>440</v>
      </c>
      <c r="C14" s="257" t="s">
        <v>315</v>
      </c>
      <c r="D14" s="257"/>
      <c r="E14" s="257"/>
      <c r="F14" s="257"/>
      <c r="G14" s="257"/>
      <c r="H14" s="257"/>
      <c r="I14" s="257"/>
      <c r="J14" s="257"/>
      <c r="K14" s="257"/>
      <c r="L14" s="257"/>
      <c r="M14" s="257"/>
      <c r="N14" s="257"/>
      <c r="O14" s="257"/>
      <c r="P14" s="257"/>
      <c r="Q14" s="257"/>
      <c r="R14" s="257"/>
      <c r="S14" s="257"/>
      <c r="T14" s="257"/>
      <c r="U14" s="259"/>
      <c r="V14" s="257" t="s">
        <v>1159</v>
      </c>
      <c r="W14" s="257"/>
      <c r="X14" s="258"/>
      <c r="Y14" s="256" t="s">
        <v>841</v>
      </c>
      <c r="Z14" s="258"/>
      <c r="AA14" s="262" t="s">
        <v>11</v>
      </c>
      <c r="AB14" s="323"/>
    </row>
    <row r="15" spans="1:28" ht="18.75" thickBot="1" x14ac:dyDescent="0.3">
      <c r="B15" s="265" t="s">
        <v>1104</v>
      </c>
      <c r="C15" s="266" t="s">
        <v>1992</v>
      </c>
      <c r="D15" s="266"/>
      <c r="E15" s="266"/>
      <c r="F15" s="266"/>
      <c r="G15" s="266"/>
      <c r="H15" s="266"/>
      <c r="I15" s="266"/>
      <c r="J15" s="266"/>
      <c r="K15" s="266"/>
      <c r="L15" s="266"/>
      <c r="M15" s="266"/>
      <c r="N15" s="266"/>
      <c r="O15" s="266"/>
      <c r="P15" s="266"/>
      <c r="Q15" s="266"/>
      <c r="R15" s="266"/>
      <c r="S15" s="266"/>
      <c r="T15" s="266"/>
      <c r="U15" s="266"/>
      <c r="V15" s="266"/>
      <c r="W15" s="266" t="s">
        <v>1590</v>
      </c>
      <c r="X15" s="267"/>
      <c r="Y15" s="324" t="s">
        <v>841</v>
      </c>
      <c r="Z15" s="267"/>
      <c r="AA15" s="325" t="s">
        <v>11</v>
      </c>
      <c r="AB15" s="268"/>
    </row>
    <row r="16" spans="1:28" ht="15.75" thickBot="1" x14ac:dyDescent="0.3">
      <c r="B16" s="108"/>
      <c r="C16" s="136"/>
      <c r="D16" s="136"/>
      <c r="E16" s="136"/>
      <c r="F16" s="136"/>
      <c r="G16" s="136"/>
      <c r="H16" s="136"/>
      <c r="I16" s="136"/>
      <c r="J16" s="136"/>
      <c r="K16" s="136"/>
      <c r="L16" s="136"/>
      <c r="M16" s="136"/>
      <c r="N16" s="136"/>
      <c r="O16" s="136"/>
      <c r="P16" s="136"/>
      <c r="Q16" s="136"/>
      <c r="R16" s="136"/>
      <c r="S16" s="136"/>
      <c r="T16" s="136"/>
      <c r="U16" s="136"/>
      <c r="V16" s="136"/>
      <c r="W16" s="136"/>
      <c r="X16" s="109"/>
      <c r="Y16" s="108"/>
      <c r="Z16" s="109"/>
      <c r="AA16" s="109"/>
      <c r="AB16" s="109"/>
    </row>
    <row r="17" spans="2:30" ht="22.5" customHeight="1" thickBot="1" x14ac:dyDescent="0.3">
      <c r="B17" s="3"/>
      <c r="C17" s="137" t="s">
        <v>398</v>
      </c>
      <c r="D17" s="133" t="s">
        <v>1217</v>
      </c>
      <c r="E17" s="312"/>
      <c r="F17" s="312"/>
      <c r="G17" s="312"/>
      <c r="H17" s="312"/>
      <c r="I17" s="312"/>
      <c r="J17" s="312"/>
      <c r="K17" s="312"/>
      <c r="L17" s="312"/>
      <c r="M17" s="312"/>
      <c r="N17" s="312"/>
      <c r="O17" s="312"/>
      <c r="P17" s="312"/>
      <c r="Q17" s="312"/>
      <c r="R17" s="312"/>
      <c r="S17" s="312"/>
      <c r="T17" s="312"/>
      <c r="U17" s="313"/>
      <c r="V17" s="313"/>
      <c r="W17" s="313"/>
    </row>
    <row r="18" spans="2:30" s="7" customFormat="1" ht="18.75" thickBot="1" x14ac:dyDescent="0.3">
      <c r="B18" s="319" t="s">
        <v>0</v>
      </c>
      <c r="C18" s="317" t="s">
        <v>1</v>
      </c>
      <c r="D18" s="566" t="s">
        <v>401</v>
      </c>
      <c r="E18" s="566" t="s">
        <v>403</v>
      </c>
      <c r="F18" s="566" t="s">
        <v>405</v>
      </c>
      <c r="G18" s="566" t="s">
        <v>407</v>
      </c>
      <c r="H18" s="566" t="s">
        <v>428</v>
      </c>
      <c r="I18" s="566" t="s">
        <v>409</v>
      </c>
      <c r="J18" s="566" t="s">
        <v>411</v>
      </c>
      <c r="K18" s="566" t="s">
        <v>413</v>
      </c>
      <c r="L18" s="566" t="s">
        <v>415</v>
      </c>
      <c r="M18" s="566" t="s">
        <v>417</v>
      </c>
      <c r="N18" s="566" t="s">
        <v>419</v>
      </c>
      <c r="O18" s="566" t="s">
        <v>421</v>
      </c>
      <c r="P18" s="566" t="s">
        <v>423</v>
      </c>
      <c r="Q18" s="566" t="s">
        <v>425</v>
      </c>
      <c r="R18" s="566" t="s">
        <v>994</v>
      </c>
      <c r="S18" s="566" t="s">
        <v>995</v>
      </c>
      <c r="T18" s="566" t="s">
        <v>1252</v>
      </c>
      <c r="U18" s="567" t="s">
        <v>1051</v>
      </c>
      <c r="V18" s="567" t="s">
        <v>1251</v>
      </c>
      <c r="W18" s="567" t="s">
        <v>1053</v>
      </c>
      <c r="X18" s="320" t="s">
        <v>152</v>
      </c>
      <c r="Y18" s="320" t="s">
        <v>2</v>
      </c>
      <c r="Z18" s="320" t="s">
        <v>302</v>
      </c>
      <c r="AA18" s="320" t="s">
        <v>116</v>
      </c>
      <c r="AB18" s="321" t="s">
        <v>117</v>
      </c>
    </row>
    <row r="19" spans="2:30" ht="22.5" customHeight="1" x14ac:dyDescent="0.25">
      <c r="B19" s="326" t="s">
        <v>394</v>
      </c>
      <c r="C19" s="327" t="s">
        <v>320</v>
      </c>
      <c r="D19" s="327">
        <v>1</v>
      </c>
      <c r="E19" s="327">
        <v>-1</v>
      </c>
      <c r="F19" s="327">
        <v>0</v>
      </c>
      <c r="G19" s="327">
        <v>1</v>
      </c>
      <c r="H19" s="327">
        <v>-1</v>
      </c>
      <c r="I19" s="327">
        <v>0</v>
      </c>
      <c r="J19" s="327">
        <v>-1</v>
      </c>
      <c r="K19" s="327">
        <v>-2</v>
      </c>
      <c r="L19" s="327">
        <v>0</v>
      </c>
      <c r="M19" s="327">
        <v>-1</v>
      </c>
      <c r="N19" s="327">
        <v>-2</v>
      </c>
      <c r="O19" s="327">
        <v>-3</v>
      </c>
      <c r="P19" s="327">
        <v>0</v>
      </c>
      <c r="Q19" s="327">
        <v>-1</v>
      </c>
      <c r="R19" s="327">
        <v>2</v>
      </c>
      <c r="S19" s="327">
        <v>2</v>
      </c>
      <c r="T19" s="327">
        <v>1</v>
      </c>
      <c r="U19" s="327">
        <v>1</v>
      </c>
      <c r="V19" s="327">
        <v>-1</v>
      </c>
      <c r="W19" s="327">
        <v>2</v>
      </c>
      <c r="X19" s="328">
        <f>SUM(pH!D43:W43)</f>
        <v>5.6395576928428871E-4</v>
      </c>
      <c r="Y19" s="328" t="s">
        <v>841</v>
      </c>
      <c r="Z19" s="328"/>
      <c r="AA19" s="328" t="s">
        <v>11</v>
      </c>
      <c r="AB19" s="329"/>
    </row>
    <row r="20" spans="2:30" ht="22.5" customHeight="1" thickBot="1" x14ac:dyDescent="0.3">
      <c r="B20" s="265" t="s">
        <v>842</v>
      </c>
      <c r="C20" s="266" t="s">
        <v>384</v>
      </c>
      <c r="D20" s="266" t="s">
        <v>1282</v>
      </c>
      <c r="E20" s="266" t="s">
        <v>1283</v>
      </c>
      <c r="F20" s="266">
        <v>0</v>
      </c>
      <c r="G20" s="266" t="s">
        <v>1282</v>
      </c>
      <c r="H20" s="266" t="s">
        <v>1283</v>
      </c>
      <c r="I20" s="266">
        <v>0</v>
      </c>
      <c r="J20" s="266" t="s">
        <v>1283</v>
      </c>
      <c r="K20" s="266" t="s">
        <v>1284</v>
      </c>
      <c r="L20" s="266">
        <v>0</v>
      </c>
      <c r="M20" s="266" t="s">
        <v>1283</v>
      </c>
      <c r="N20" s="266" t="s">
        <v>1284</v>
      </c>
      <c r="O20" s="266" t="s">
        <v>1285</v>
      </c>
      <c r="P20" s="266">
        <v>0</v>
      </c>
      <c r="Q20" s="266" t="s">
        <v>1283</v>
      </c>
      <c r="R20" s="266" t="s">
        <v>1286</v>
      </c>
      <c r="S20" s="266" t="s">
        <v>1286</v>
      </c>
      <c r="T20" s="266" t="s">
        <v>1282</v>
      </c>
      <c r="U20" s="266" t="s">
        <v>1282</v>
      </c>
      <c r="V20" s="266" t="s">
        <v>1283</v>
      </c>
      <c r="W20" s="266" t="s">
        <v>1286</v>
      </c>
      <c r="X20" s="267">
        <f>SUM(pH!D44:W44)</f>
        <v>1.4790786550905715E-2</v>
      </c>
      <c r="Y20" s="267" t="s">
        <v>841</v>
      </c>
      <c r="Z20" s="267"/>
      <c r="AA20" s="325" t="s">
        <v>11</v>
      </c>
      <c r="AB20" s="268"/>
    </row>
    <row r="21" spans="2:30" x14ac:dyDescent="0.25">
      <c r="B21" s="6"/>
    </row>
    <row r="22" spans="2:30" x14ac:dyDescent="0.25">
      <c r="B22" s="67"/>
      <c r="C22" s="67"/>
      <c r="D22" s="67"/>
      <c r="E22" s="67"/>
      <c r="F22" s="67"/>
    </row>
    <row r="24" spans="2:30" ht="15.75" thickBot="1" x14ac:dyDescent="0.3"/>
    <row r="25" spans="2:30" ht="15.75" thickBot="1" x14ac:dyDescent="0.3">
      <c r="C25" s="51" t="s">
        <v>4</v>
      </c>
      <c r="D25" s="133" t="s">
        <v>321</v>
      </c>
      <c r="H25" s="1"/>
      <c r="I25" s="1"/>
    </row>
    <row r="26" spans="2:30" ht="18.75" thickBot="1" x14ac:dyDescent="0.3">
      <c r="B26" s="319"/>
      <c r="C26" s="317" t="s">
        <v>1</v>
      </c>
      <c r="D26" s="566" t="s">
        <v>401</v>
      </c>
      <c r="E26" s="566" t="s">
        <v>403</v>
      </c>
      <c r="F26" s="566" t="s">
        <v>405</v>
      </c>
      <c r="G26" s="566" t="s">
        <v>407</v>
      </c>
      <c r="H26" s="566" t="s">
        <v>428</v>
      </c>
      <c r="I26" s="566" t="s">
        <v>409</v>
      </c>
      <c r="J26" s="566" t="s">
        <v>411</v>
      </c>
      <c r="K26" s="566" t="s">
        <v>413</v>
      </c>
      <c r="L26" s="566" t="s">
        <v>415</v>
      </c>
      <c r="M26" s="566" t="s">
        <v>417</v>
      </c>
      <c r="N26" s="566" t="s">
        <v>419</v>
      </c>
      <c r="O26" s="566" t="s">
        <v>421</v>
      </c>
      <c r="P26" s="566" t="s">
        <v>423</v>
      </c>
      <c r="Q26" s="566" t="s">
        <v>425</v>
      </c>
      <c r="R26" s="566" t="s">
        <v>994</v>
      </c>
      <c r="S26" s="566" t="s">
        <v>995</v>
      </c>
      <c r="T26" s="566" t="s">
        <v>1252</v>
      </c>
      <c r="U26" s="567" t="s">
        <v>1051</v>
      </c>
      <c r="V26" s="567" t="s">
        <v>1251</v>
      </c>
      <c r="W26" s="567" t="s">
        <v>1053</v>
      </c>
      <c r="X26" s="320" t="s">
        <v>152</v>
      </c>
      <c r="Y26" s="320" t="s">
        <v>2</v>
      </c>
      <c r="Z26" s="320" t="s">
        <v>302</v>
      </c>
      <c r="AA26" s="320" t="s">
        <v>116</v>
      </c>
      <c r="AB26" s="321" t="s">
        <v>117</v>
      </c>
      <c r="AC26" s="7"/>
      <c r="AD26" s="7"/>
    </row>
    <row r="27" spans="2:30" ht="18.75" x14ac:dyDescent="0.25">
      <c r="B27" s="263" t="s">
        <v>429</v>
      </c>
      <c r="C27" s="261" t="s">
        <v>310</v>
      </c>
      <c r="D27" s="261">
        <f>10^(-p_H)</f>
        <v>6.3095734448019177E-8</v>
      </c>
      <c r="E27" s="261">
        <f>K_W/conc_Hp_I</f>
        <v>1.384875770636308E-7</v>
      </c>
      <c r="F27" s="261">
        <f>0</f>
        <v>0</v>
      </c>
      <c r="G27" s="261">
        <f>0</f>
        <v>0</v>
      </c>
      <c r="H27" s="261">
        <f>0</f>
        <v>0</v>
      </c>
      <c r="I27" s="261">
        <f>0</f>
        <v>0</v>
      </c>
      <c r="J27" s="261">
        <f>0</f>
        <v>0</v>
      </c>
      <c r="K27" s="261">
        <f>0</f>
        <v>0</v>
      </c>
      <c r="L27" s="261">
        <f>0</f>
        <v>0</v>
      </c>
      <c r="M27" s="261">
        <f>0</f>
        <v>0</v>
      </c>
      <c r="N27" s="261">
        <f>0</f>
        <v>0</v>
      </c>
      <c r="O27" s="261">
        <f>0</f>
        <v>0</v>
      </c>
      <c r="P27" s="261">
        <f>0</f>
        <v>0</v>
      </c>
      <c r="Q27" s="261">
        <f>0</f>
        <v>0</v>
      </c>
      <c r="R27" s="261">
        <f>0</f>
        <v>0</v>
      </c>
      <c r="S27" s="261">
        <f>0</f>
        <v>0</v>
      </c>
      <c r="T27" s="261">
        <f>0</f>
        <v>0</v>
      </c>
      <c r="U27" s="261">
        <f>0</f>
        <v>0</v>
      </c>
      <c r="V27" s="261">
        <f>0</f>
        <v>0</v>
      </c>
      <c r="W27" s="261">
        <f>0</f>
        <v>0</v>
      </c>
      <c r="X27" s="262"/>
      <c r="Y27" s="260" t="s">
        <v>840</v>
      </c>
      <c r="Z27" s="262"/>
      <c r="AA27" s="262" t="s">
        <v>11</v>
      </c>
      <c r="AB27" s="264"/>
    </row>
    <row r="28" spans="2:30" ht="18.75" x14ac:dyDescent="0.25">
      <c r="B28" s="322" t="s">
        <v>2576</v>
      </c>
      <c r="C28" s="257" t="s">
        <v>312</v>
      </c>
      <c r="D28" s="257">
        <f>0</f>
        <v>0</v>
      </c>
      <c r="E28" s="257">
        <f>0</f>
        <v>0</v>
      </c>
      <c r="F28" s="257">
        <f>(S_NHx/(A_MN*1000))*K_NH3/(conc_Hp_I+K_NH3)</f>
        <v>4.456809975059031E-7</v>
      </c>
      <c r="G28" s="257">
        <f>(S_NHx/(A_MN*1000))*conc_Hp_I/(conc_Hp_I+K_NH3)</f>
        <v>7.0948723109100212E-5</v>
      </c>
      <c r="H28" s="257">
        <f>0</f>
        <v>0</v>
      </c>
      <c r="I28" s="257">
        <f>0</f>
        <v>0</v>
      </c>
      <c r="J28" s="257">
        <f>0</f>
        <v>0</v>
      </c>
      <c r="K28" s="257">
        <f>0</f>
        <v>0</v>
      </c>
      <c r="L28" s="257">
        <f>0</f>
        <v>0</v>
      </c>
      <c r="M28" s="257">
        <f>0</f>
        <v>0</v>
      </c>
      <c r="N28" s="257">
        <f>0</f>
        <v>0</v>
      </c>
      <c r="O28" s="257">
        <f>0</f>
        <v>0</v>
      </c>
      <c r="P28" s="257">
        <f>0</f>
        <v>0</v>
      </c>
      <c r="Q28" s="257">
        <f>0</f>
        <v>0</v>
      </c>
      <c r="R28" s="257">
        <f>0</f>
        <v>0</v>
      </c>
      <c r="S28" s="257">
        <f>0</f>
        <v>0</v>
      </c>
      <c r="T28" s="257">
        <f>0</f>
        <v>0</v>
      </c>
      <c r="U28" s="257">
        <f>0</f>
        <v>0</v>
      </c>
      <c r="V28" s="257">
        <f>0</f>
        <v>0</v>
      </c>
      <c r="W28" s="257">
        <f>0</f>
        <v>0</v>
      </c>
      <c r="X28" s="258"/>
      <c r="Y28" s="256" t="s">
        <v>840</v>
      </c>
      <c r="Z28" s="258"/>
      <c r="AA28" s="262" t="s">
        <v>11</v>
      </c>
      <c r="AB28" s="323"/>
    </row>
    <row r="29" spans="2:30" ht="18" x14ac:dyDescent="0.25">
      <c r="B29" s="322" t="s">
        <v>1102</v>
      </c>
      <c r="C29" s="257" t="s">
        <v>313</v>
      </c>
      <c r="D29" s="257">
        <f>0</f>
        <v>0</v>
      </c>
      <c r="E29" s="257">
        <f>0</f>
        <v>0</v>
      </c>
      <c r="F29" s="257">
        <f>0</f>
        <v>0</v>
      </c>
      <c r="G29" s="257">
        <f>0</f>
        <v>0</v>
      </c>
      <c r="H29" s="257">
        <f>S_NOx/(A_MN*1000)</f>
        <v>3.5697202053303062E-4</v>
      </c>
      <c r="I29" s="257">
        <f>0</f>
        <v>0</v>
      </c>
      <c r="J29" s="257">
        <f>0</f>
        <v>0</v>
      </c>
      <c r="K29" s="257">
        <f>0</f>
        <v>0</v>
      </c>
      <c r="L29" s="257">
        <f>0</f>
        <v>0</v>
      </c>
      <c r="M29" s="257">
        <f>0</f>
        <v>0</v>
      </c>
      <c r="N29" s="257">
        <f>0</f>
        <v>0</v>
      </c>
      <c r="O29" s="257">
        <f>0</f>
        <v>0</v>
      </c>
      <c r="P29" s="257">
        <f>0</f>
        <v>0</v>
      </c>
      <c r="Q29" s="257">
        <f>0</f>
        <v>0</v>
      </c>
      <c r="R29" s="257">
        <f>0</f>
        <v>0</v>
      </c>
      <c r="S29" s="257">
        <f>0</f>
        <v>0</v>
      </c>
      <c r="T29" s="257">
        <f>0</f>
        <v>0</v>
      </c>
      <c r="U29" s="257">
        <f>0</f>
        <v>0</v>
      </c>
      <c r="V29" s="257">
        <f>0</f>
        <v>0</v>
      </c>
      <c r="W29" s="257">
        <f>0</f>
        <v>0</v>
      </c>
      <c r="X29" s="258"/>
      <c r="Y29" s="256" t="s">
        <v>840</v>
      </c>
      <c r="Z29" s="258"/>
      <c r="AA29" s="262" t="s">
        <v>11</v>
      </c>
      <c r="AB29" s="323"/>
    </row>
    <row r="30" spans="2:30" ht="18.75" x14ac:dyDescent="0.25">
      <c r="B30" s="322" t="s">
        <v>432</v>
      </c>
      <c r="C30" s="257" t="s">
        <v>316</v>
      </c>
      <c r="D30" s="257">
        <f>0</f>
        <v>0</v>
      </c>
      <c r="E30" s="257">
        <f>0</f>
        <v>0</v>
      </c>
      <c r="F30" s="257">
        <f>0</f>
        <v>0</v>
      </c>
      <c r="G30" s="257">
        <f>0</f>
        <v>0</v>
      </c>
      <c r="H30" s="257">
        <f>0</f>
        <v>0</v>
      </c>
      <c r="I30" s="257">
        <f>S_CO2/(A_MC*1000)*conc_Hp_I^2/(conc_Hp_I^2+conc_Hp_I*K_C1+K_C1*K_C2)</f>
        <v>6.4880908822408209E-4</v>
      </c>
      <c r="J30" s="257">
        <f>conc_Hp_I*K_C1*S_CO2/(A_MC*1000)/(conc_Hp_I^2+conc_Hp_I*K_C1+K_C1*K_C2)</f>
        <v>5.5062302620906018E-3</v>
      </c>
      <c r="K30" s="257">
        <f>K_C2*K_C1*S_CO2/(A_MC*1000)/(conc_Hp_I^2+conc_Hp_I*K_C1+K_C1*K_C2)</f>
        <v>6.1336038012281396E-6</v>
      </c>
      <c r="L30" s="257">
        <f>0</f>
        <v>0</v>
      </c>
      <c r="M30" s="257">
        <f>0</f>
        <v>0</v>
      </c>
      <c r="N30" s="257">
        <f>0</f>
        <v>0</v>
      </c>
      <c r="O30" s="257">
        <f>0</f>
        <v>0</v>
      </c>
      <c r="P30" s="257">
        <f>0</f>
        <v>0</v>
      </c>
      <c r="Q30" s="257">
        <f>0</f>
        <v>0</v>
      </c>
      <c r="R30" s="257">
        <f>0</f>
        <v>0</v>
      </c>
      <c r="S30" s="257">
        <f>0</f>
        <v>0</v>
      </c>
      <c r="T30" s="257">
        <f>0</f>
        <v>0</v>
      </c>
      <c r="U30" s="257">
        <f>0</f>
        <v>0</v>
      </c>
      <c r="V30" s="257">
        <f>0</f>
        <v>0</v>
      </c>
      <c r="W30" s="257">
        <f>0</f>
        <v>0</v>
      </c>
      <c r="X30" s="258"/>
      <c r="Y30" s="256" t="s">
        <v>840</v>
      </c>
      <c r="Z30" s="258"/>
      <c r="AA30" s="262" t="s">
        <v>11</v>
      </c>
      <c r="AB30" s="323"/>
    </row>
    <row r="31" spans="2:30" ht="18.75" x14ac:dyDescent="0.25">
      <c r="B31" s="322" t="s">
        <v>433</v>
      </c>
      <c r="C31" s="257" t="s">
        <v>317</v>
      </c>
      <c r="D31" s="257">
        <f>0</f>
        <v>0</v>
      </c>
      <c r="E31" s="257">
        <f>0</f>
        <v>0</v>
      </c>
      <c r="F31" s="257">
        <f>0</f>
        <v>0</v>
      </c>
      <c r="G31" s="257">
        <f>0</f>
        <v>0</v>
      </c>
      <c r="H31" s="257">
        <f>0</f>
        <v>0</v>
      </c>
      <c r="I31" s="257">
        <f>0</f>
        <v>0</v>
      </c>
      <c r="J31" s="257">
        <f>0</f>
        <v>0</v>
      </c>
      <c r="K31" s="257">
        <f>0</f>
        <v>0</v>
      </c>
      <c r="L31" s="257">
        <f>S_PO4/(A_MP*1000)*conc_Hp_I^3/(conc_Hp_I^3+conc_Hp_I^2*K_P1+K_P2*conc_Hp_I*K_P1+K_P2*K_P1*K_P3)</f>
        <v>4.0344172931174842E-11</v>
      </c>
      <c r="M31" s="257">
        <f>conc_Hp_I^2*K_P1*S_PO4/(A_MP*1000)/(conc_Hp_I^3+conc_Hp_I^2*K_P1+K_P2*conc_Hp_I*K_P1+K_P2*K_P1*K_P3)</f>
        <v>6.1647215595877176E-6</v>
      </c>
      <c r="N31" s="257">
        <f>conc_Hp_I*K_P2/(conc_Hp_I^3+conc_Hp_I^2*K_P1+K_P2*conc_Hp_I*K_P1+K_P2*K_P1*K_P3)*K_P1*S_PO4/(A_MP*1000)</f>
        <v>9.9778036227837607E-6</v>
      </c>
      <c r="O31" s="257">
        <f>K_P3*K_P2/(conc_Hp_I^3+conc_Hp_I^2*K_P1+K_P2*conc_Hp_I*K_P1+K_P2*K_P1*K_P3)*K_P1*S_PO4/(A_MP*1000)</f>
        <v>1.2959623276590366E-10</v>
      </c>
      <c r="P31" s="257">
        <f>0</f>
        <v>0</v>
      </c>
      <c r="Q31" s="257">
        <f>0</f>
        <v>0</v>
      </c>
      <c r="R31" s="257">
        <f>0</f>
        <v>0</v>
      </c>
      <c r="S31" s="257">
        <f>0</f>
        <v>0</v>
      </c>
      <c r="T31" s="257">
        <f>0</f>
        <v>0</v>
      </c>
      <c r="U31" s="257">
        <f>0</f>
        <v>0</v>
      </c>
      <c r="V31" s="257">
        <f>0</f>
        <v>0</v>
      </c>
      <c r="W31" s="257">
        <f>0</f>
        <v>0</v>
      </c>
      <c r="X31" s="258"/>
      <c r="Y31" s="256" t="s">
        <v>840</v>
      </c>
      <c r="Z31" s="258"/>
      <c r="AA31" s="262" t="s">
        <v>11</v>
      </c>
      <c r="AB31" s="323"/>
    </row>
    <row r="32" spans="2:30" ht="18.75" x14ac:dyDescent="0.25">
      <c r="B32" s="322" t="s">
        <v>438</v>
      </c>
      <c r="C32" s="257" t="s">
        <v>318</v>
      </c>
      <c r="D32" s="257">
        <f>0</f>
        <v>0</v>
      </c>
      <c r="E32" s="257">
        <f>0</f>
        <v>0</v>
      </c>
      <c r="F32" s="257">
        <f>0</f>
        <v>0</v>
      </c>
      <c r="G32" s="257">
        <f>0</f>
        <v>0</v>
      </c>
      <c r="H32" s="257">
        <f>0</f>
        <v>0</v>
      </c>
      <c r="I32" s="257">
        <f>0</f>
        <v>0</v>
      </c>
      <c r="J32" s="257">
        <f>0</f>
        <v>0</v>
      </c>
      <c r="K32" s="257">
        <f>0</f>
        <v>0</v>
      </c>
      <c r="L32" s="257">
        <f>0</f>
        <v>0</v>
      </c>
      <c r="M32" s="257">
        <f>0</f>
        <v>0</v>
      </c>
      <c r="N32" s="257">
        <f>0</f>
        <v>0</v>
      </c>
      <c r="O32" s="257">
        <f>0</f>
        <v>0</v>
      </c>
      <c r="P32" s="257">
        <f>conc_Hp_I*S_VFA/(4*A_MO*1000)/(conc_Hp_I+K_Ac)</f>
        <v>4.3337108963713439E-10</v>
      </c>
      <c r="Q32" s="257">
        <f>S_VFA/(4*A_MO*1000)*K_Ac/(conc_Hp_I+K_Ac)</f>
        <v>1.5582248850509766E-7</v>
      </c>
      <c r="R32" s="257">
        <f>0</f>
        <v>0</v>
      </c>
      <c r="S32" s="257">
        <f>0</f>
        <v>0</v>
      </c>
      <c r="T32" s="257">
        <f>0</f>
        <v>0</v>
      </c>
      <c r="U32" s="257">
        <f>0</f>
        <v>0</v>
      </c>
      <c r="V32" s="257">
        <f>0</f>
        <v>0</v>
      </c>
      <c r="W32" s="257">
        <f>0</f>
        <v>0</v>
      </c>
      <c r="X32" s="258"/>
      <c r="Y32" s="256" t="s">
        <v>840</v>
      </c>
      <c r="Z32" s="258"/>
      <c r="AA32" s="262" t="s">
        <v>11</v>
      </c>
      <c r="AB32" s="323"/>
    </row>
    <row r="33" spans="2:30" ht="18" x14ac:dyDescent="0.25">
      <c r="B33" s="322" t="s">
        <v>988</v>
      </c>
      <c r="C33" s="257" t="s">
        <v>990</v>
      </c>
      <c r="D33" s="257">
        <f>0</f>
        <v>0</v>
      </c>
      <c r="E33" s="257">
        <f>0</f>
        <v>0</v>
      </c>
      <c r="F33" s="257">
        <f>0</f>
        <v>0</v>
      </c>
      <c r="G33" s="257">
        <f>0</f>
        <v>0</v>
      </c>
      <c r="H33" s="257">
        <f>0</f>
        <v>0</v>
      </c>
      <c r="I33" s="257">
        <f>0</f>
        <v>0</v>
      </c>
      <c r="J33" s="257">
        <f>0</f>
        <v>0</v>
      </c>
      <c r="K33" s="257">
        <f>0</f>
        <v>0</v>
      </c>
      <c r="L33" s="257">
        <f>0</f>
        <v>0</v>
      </c>
      <c r="M33" s="257">
        <f>0</f>
        <v>0</v>
      </c>
      <c r="N33" s="257">
        <f>0</f>
        <v>0</v>
      </c>
      <c r="O33" s="257">
        <f>0</f>
        <v>0</v>
      </c>
      <c r="P33" s="257">
        <f>0</f>
        <v>0</v>
      </c>
      <c r="Q33" s="257">
        <f>0</f>
        <v>0</v>
      </c>
      <c r="R33" s="257">
        <f>S_Ca/(A_MCa*1000)</f>
        <v>3.7427017316233346E-3</v>
      </c>
      <c r="S33" s="257">
        <f>0</f>
        <v>0</v>
      </c>
      <c r="T33" s="257">
        <f>0</f>
        <v>0</v>
      </c>
      <c r="U33" s="257">
        <f>0</f>
        <v>0</v>
      </c>
      <c r="V33" s="257">
        <f>0</f>
        <v>0</v>
      </c>
      <c r="W33" s="257">
        <f>0</f>
        <v>0</v>
      </c>
      <c r="X33" s="258"/>
      <c r="Y33" s="256" t="s">
        <v>841</v>
      </c>
      <c r="Z33" s="258"/>
      <c r="AA33" s="262" t="s">
        <v>11</v>
      </c>
      <c r="AB33" s="323"/>
    </row>
    <row r="34" spans="2:30" ht="18" x14ac:dyDescent="0.25">
      <c r="B34" s="322" t="s">
        <v>989</v>
      </c>
      <c r="C34" s="257" t="s">
        <v>991</v>
      </c>
      <c r="D34" s="257">
        <f>0</f>
        <v>0</v>
      </c>
      <c r="E34" s="257">
        <f>0</f>
        <v>0</v>
      </c>
      <c r="F34" s="257">
        <f>0</f>
        <v>0</v>
      </c>
      <c r="G34" s="257">
        <f>0</f>
        <v>0</v>
      </c>
      <c r="H34" s="257">
        <f>0</f>
        <v>0</v>
      </c>
      <c r="I34" s="257">
        <f>0</f>
        <v>0</v>
      </c>
      <c r="J34" s="257">
        <f>0</f>
        <v>0</v>
      </c>
      <c r="K34" s="257">
        <f>0</f>
        <v>0</v>
      </c>
      <c r="L34" s="257">
        <f>0</f>
        <v>0</v>
      </c>
      <c r="M34" s="257">
        <f>0</f>
        <v>0</v>
      </c>
      <c r="N34" s="257">
        <f>0</f>
        <v>0</v>
      </c>
      <c r="O34" s="257">
        <f>0</f>
        <v>0</v>
      </c>
      <c r="P34" s="257">
        <f>0</f>
        <v>0</v>
      </c>
      <c r="Q34" s="257">
        <f>0</f>
        <v>0</v>
      </c>
      <c r="R34" s="257">
        <f>0</f>
        <v>0</v>
      </c>
      <c r="S34" s="257">
        <f>S_Mg/(A_MMg*1000)</f>
        <v>6.1715696358773911E-4</v>
      </c>
      <c r="T34" s="257">
        <f>0</f>
        <v>0</v>
      </c>
      <c r="U34" s="257">
        <f>0</f>
        <v>0</v>
      </c>
      <c r="V34" s="257">
        <f>0</f>
        <v>0</v>
      </c>
      <c r="W34" s="257">
        <f>0</f>
        <v>0</v>
      </c>
      <c r="X34" s="258"/>
      <c r="Y34" s="256" t="s">
        <v>841</v>
      </c>
      <c r="Z34" s="258"/>
      <c r="AA34" s="262" t="s">
        <v>11</v>
      </c>
      <c r="AB34" s="323"/>
    </row>
    <row r="35" spans="2:30" ht="18" x14ac:dyDescent="0.25">
      <c r="B35" s="322" t="s">
        <v>439</v>
      </c>
      <c r="C35" s="257" t="s">
        <v>314</v>
      </c>
      <c r="D35" s="257">
        <f>0</f>
        <v>0</v>
      </c>
      <c r="E35" s="257">
        <f>0</f>
        <v>0</v>
      </c>
      <c r="F35" s="257">
        <f>0</f>
        <v>0</v>
      </c>
      <c r="G35" s="257">
        <f>0</f>
        <v>0</v>
      </c>
      <c r="H35" s="257">
        <f>0</f>
        <v>0</v>
      </c>
      <c r="I35" s="257">
        <f>0</f>
        <v>0</v>
      </c>
      <c r="J35" s="257">
        <f>0</f>
        <v>0</v>
      </c>
      <c r="K35" s="257">
        <f>0</f>
        <v>0</v>
      </c>
      <c r="L35" s="256">
        <f>0</f>
        <v>0</v>
      </c>
      <c r="M35" s="257">
        <f>0</f>
        <v>0</v>
      </c>
      <c r="N35" s="257">
        <f>0</f>
        <v>0</v>
      </c>
      <c r="O35" s="257">
        <f>0</f>
        <v>0</v>
      </c>
      <c r="P35" s="257">
        <f>0</f>
        <v>0</v>
      </c>
      <c r="Q35" s="257">
        <f>0</f>
        <v>0</v>
      </c>
      <c r="R35" s="257">
        <f>0</f>
        <v>0</v>
      </c>
      <c r="S35" s="257">
        <f>0</f>
        <v>0</v>
      </c>
      <c r="T35" s="257">
        <f>S_CAT/(A_MNa*1000)</f>
        <v>1.5224163409384409E-3</v>
      </c>
      <c r="U35" s="257">
        <f>0</f>
        <v>0</v>
      </c>
      <c r="V35" s="257">
        <f>0</f>
        <v>0</v>
      </c>
      <c r="W35" s="257">
        <f>0</f>
        <v>0</v>
      </c>
      <c r="X35" s="258"/>
      <c r="Y35" s="256" t="s">
        <v>841</v>
      </c>
      <c r="Z35" s="258"/>
      <c r="AA35" s="262" t="s">
        <v>11</v>
      </c>
      <c r="AB35" s="323"/>
    </row>
    <row r="36" spans="2:30" ht="18" x14ac:dyDescent="0.25">
      <c r="B36" s="322" t="s">
        <v>1101</v>
      </c>
      <c r="C36" s="257" t="s">
        <v>1103</v>
      </c>
      <c r="D36" s="257">
        <f>0</f>
        <v>0</v>
      </c>
      <c r="E36" s="257">
        <f>0</f>
        <v>0</v>
      </c>
      <c r="F36" s="257">
        <f>0</f>
        <v>0</v>
      </c>
      <c r="G36" s="257">
        <f>0</f>
        <v>0</v>
      </c>
      <c r="H36" s="257">
        <f>0</f>
        <v>0</v>
      </c>
      <c r="I36" s="257">
        <f>0</f>
        <v>0</v>
      </c>
      <c r="J36" s="257">
        <f>0</f>
        <v>0</v>
      </c>
      <c r="K36" s="257">
        <f>0</f>
        <v>0</v>
      </c>
      <c r="L36" s="256">
        <f>0</f>
        <v>0</v>
      </c>
      <c r="M36" s="257">
        <f>0</f>
        <v>0</v>
      </c>
      <c r="N36" s="257">
        <f>0</f>
        <v>0</v>
      </c>
      <c r="O36" s="257">
        <f>0</f>
        <v>0</v>
      </c>
      <c r="P36" s="257">
        <f>0</f>
        <v>0</v>
      </c>
      <c r="Q36" s="257">
        <f>0</f>
        <v>0</v>
      </c>
      <c r="R36" s="257">
        <f>0</f>
        <v>0</v>
      </c>
      <c r="S36" s="257">
        <f>0</f>
        <v>0</v>
      </c>
      <c r="T36" s="257">
        <f>0</f>
        <v>0</v>
      </c>
      <c r="U36" s="257">
        <f>S_K/(A_MK*1000)</f>
        <v>3.8364839391994023E-4</v>
      </c>
      <c r="V36" s="257">
        <f>0</f>
        <v>0</v>
      </c>
      <c r="W36" s="257">
        <f>0</f>
        <v>0</v>
      </c>
      <c r="X36" s="258"/>
      <c r="Y36" s="256" t="s">
        <v>841</v>
      </c>
      <c r="Z36" s="258"/>
      <c r="AA36" s="262" t="s">
        <v>11</v>
      </c>
      <c r="AB36" s="323"/>
    </row>
    <row r="37" spans="2:30" ht="18" x14ac:dyDescent="0.25">
      <c r="B37" s="322" t="s">
        <v>440</v>
      </c>
      <c r="C37" s="257" t="s">
        <v>315</v>
      </c>
      <c r="D37" s="257">
        <f>0</f>
        <v>0</v>
      </c>
      <c r="E37" s="257">
        <f>0</f>
        <v>0</v>
      </c>
      <c r="F37" s="257">
        <f>0</f>
        <v>0</v>
      </c>
      <c r="G37" s="257">
        <f>0</f>
        <v>0</v>
      </c>
      <c r="H37" s="257">
        <f>0</f>
        <v>0</v>
      </c>
      <c r="I37" s="257">
        <f>0</f>
        <v>0</v>
      </c>
      <c r="J37" s="257">
        <f>0</f>
        <v>0</v>
      </c>
      <c r="K37" s="257">
        <f>0</f>
        <v>0</v>
      </c>
      <c r="L37" s="257">
        <f>0</f>
        <v>0</v>
      </c>
      <c r="M37" s="257">
        <f>0</f>
        <v>0</v>
      </c>
      <c r="N37" s="257">
        <f>0</f>
        <v>0</v>
      </c>
      <c r="O37" s="257">
        <f>0</f>
        <v>0</v>
      </c>
      <c r="P37" s="257">
        <f>0</f>
        <v>0</v>
      </c>
      <c r="Q37" s="257">
        <f>0</f>
        <v>0</v>
      </c>
      <c r="R37" s="257">
        <f>0</f>
        <v>0</v>
      </c>
      <c r="S37" s="257">
        <f>0</f>
        <v>0</v>
      </c>
      <c r="T37" s="257">
        <f>0</f>
        <v>0</v>
      </c>
      <c r="U37" s="259">
        <f>0</f>
        <v>0</v>
      </c>
      <c r="V37" s="257">
        <f>S_AN/(A_MCl*1000)</f>
        <v>4.2309536569542774E-3</v>
      </c>
      <c r="W37" s="257">
        <f>0</f>
        <v>0</v>
      </c>
      <c r="X37" s="258"/>
      <c r="Y37" s="256" t="s">
        <v>841</v>
      </c>
      <c r="Z37" s="258"/>
      <c r="AA37" s="262" t="s">
        <v>11</v>
      </c>
      <c r="AB37" s="323"/>
    </row>
    <row r="38" spans="2:30" ht="18.75" thickBot="1" x14ac:dyDescent="0.3">
      <c r="B38" s="265" t="s">
        <v>1104</v>
      </c>
      <c r="C38" s="266" t="s">
        <v>1992</v>
      </c>
      <c r="D38" s="266">
        <f>0</f>
        <v>0</v>
      </c>
      <c r="E38" s="266">
        <f>0</f>
        <v>0</v>
      </c>
      <c r="F38" s="266">
        <f>0</f>
        <v>0</v>
      </c>
      <c r="G38" s="266">
        <f>0</f>
        <v>0</v>
      </c>
      <c r="H38" s="266">
        <f>0</f>
        <v>0</v>
      </c>
      <c r="I38" s="266">
        <f>0</f>
        <v>0</v>
      </c>
      <c r="J38" s="266">
        <f>0</f>
        <v>0</v>
      </c>
      <c r="K38" s="266">
        <f>0</f>
        <v>0</v>
      </c>
      <c r="L38" s="266">
        <f>0</f>
        <v>0</v>
      </c>
      <c r="M38" s="266">
        <f>0</f>
        <v>0</v>
      </c>
      <c r="N38" s="266">
        <f>0</f>
        <v>0</v>
      </c>
      <c r="O38" s="266">
        <f>0</f>
        <v>0</v>
      </c>
      <c r="P38" s="266">
        <f>0</f>
        <v>0</v>
      </c>
      <c r="Q38" s="266">
        <f>0</f>
        <v>0</v>
      </c>
      <c r="R38" s="266">
        <f>0</f>
        <v>0</v>
      </c>
      <c r="S38" s="266">
        <f>0</f>
        <v>0</v>
      </c>
      <c r="T38" s="266">
        <f>0</f>
        <v>0</v>
      </c>
      <c r="U38" s="266">
        <f>0</f>
        <v>0</v>
      </c>
      <c r="V38" s="266">
        <f>0</f>
        <v>0</v>
      </c>
      <c r="W38" s="266">
        <f>S_Fe2/(A_MFe*1000)</f>
        <v>1.7906706061420003E-55</v>
      </c>
      <c r="X38" s="267"/>
      <c r="Y38" s="324" t="s">
        <v>841</v>
      </c>
      <c r="Z38" s="267"/>
      <c r="AA38" s="325" t="s">
        <v>11</v>
      </c>
      <c r="AB38" s="268"/>
    </row>
    <row r="40" spans="2:30" ht="15.75" thickBot="1" x14ac:dyDescent="0.3"/>
    <row r="41" spans="2:30" ht="15.75" thickBot="1" x14ac:dyDescent="0.3">
      <c r="B41" s="3"/>
      <c r="C41" s="137" t="s">
        <v>398</v>
      </c>
      <c r="D41" s="133" t="s">
        <v>1217</v>
      </c>
      <c r="E41" s="312"/>
      <c r="F41" s="312"/>
      <c r="G41" s="312"/>
      <c r="H41" s="312"/>
      <c r="I41" s="312"/>
      <c r="J41" s="312"/>
      <c r="K41" s="312"/>
      <c r="L41" s="312"/>
      <c r="M41" s="312"/>
      <c r="N41" s="312"/>
      <c r="O41" s="312"/>
      <c r="P41" s="312"/>
      <c r="Q41" s="312"/>
      <c r="R41" s="312"/>
      <c r="S41" s="312"/>
      <c r="T41" s="312"/>
      <c r="U41" s="313"/>
      <c r="V41" s="313"/>
      <c r="W41" s="313"/>
    </row>
    <row r="42" spans="2:30" ht="18.75" thickBot="1" x14ac:dyDescent="0.3">
      <c r="B42" s="319"/>
      <c r="C42" s="317" t="s">
        <v>1</v>
      </c>
      <c r="D42" s="566" t="s">
        <v>401</v>
      </c>
      <c r="E42" s="566" t="s">
        <v>403</v>
      </c>
      <c r="F42" s="566" t="s">
        <v>405</v>
      </c>
      <c r="G42" s="566" t="s">
        <v>407</v>
      </c>
      <c r="H42" s="566" t="s">
        <v>428</v>
      </c>
      <c r="I42" s="566" t="s">
        <v>409</v>
      </c>
      <c r="J42" s="566" t="s">
        <v>411</v>
      </c>
      <c r="K42" s="566" t="s">
        <v>413</v>
      </c>
      <c r="L42" s="566" t="s">
        <v>415</v>
      </c>
      <c r="M42" s="566" t="s">
        <v>417</v>
      </c>
      <c r="N42" s="566" t="s">
        <v>419</v>
      </c>
      <c r="O42" s="566" t="s">
        <v>421</v>
      </c>
      <c r="P42" s="566" t="s">
        <v>423</v>
      </c>
      <c r="Q42" s="566" t="s">
        <v>425</v>
      </c>
      <c r="R42" s="566" t="s">
        <v>994</v>
      </c>
      <c r="S42" s="566" t="s">
        <v>995</v>
      </c>
      <c r="T42" s="566" t="s">
        <v>1252</v>
      </c>
      <c r="U42" s="567" t="s">
        <v>1051</v>
      </c>
      <c r="V42" s="567" t="s">
        <v>1251</v>
      </c>
      <c r="W42" s="567" t="s">
        <v>1053</v>
      </c>
      <c r="X42" s="320" t="s">
        <v>152</v>
      </c>
      <c r="Y42" s="320" t="s">
        <v>2</v>
      </c>
      <c r="Z42" s="320" t="s">
        <v>302</v>
      </c>
      <c r="AA42" s="320" t="s">
        <v>116</v>
      </c>
      <c r="AB42" s="321" t="s">
        <v>117</v>
      </c>
      <c r="AC42" s="7"/>
      <c r="AD42" s="7"/>
    </row>
    <row r="43" spans="2:30" ht="17.25" x14ac:dyDescent="0.25">
      <c r="B43" s="326" t="s">
        <v>394</v>
      </c>
      <c r="C43" s="327" t="s">
        <v>320</v>
      </c>
      <c r="D43" s="327">
        <f>(1)*conc_Hp_I</f>
        <v>6.3095734448019177E-8</v>
      </c>
      <c r="E43" s="327">
        <f>(-1)*conc_OHm_I</f>
        <v>-1.384875770636308E-7</v>
      </c>
      <c r="F43" s="327">
        <f>(0)*conc_NH3_I</f>
        <v>0</v>
      </c>
      <c r="G43" s="327">
        <f>(1)*conc_NH4p_I</f>
        <v>7.0948723109100212E-5</v>
      </c>
      <c r="H43" s="327">
        <f>(-1)*conc_NO3m_I</f>
        <v>-3.5697202053303062E-4</v>
      </c>
      <c r="I43" s="327">
        <f>(0)*conc_H2CO3_I</f>
        <v>0</v>
      </c>
      <c r="J43" s="327">
        <f>(-1)*conc_HCO3m_I</f>
        <v>-5.5062302620906018E-3</v>
      </c>
      <c r="K43" s="327">
        <f>(-2)*conc_CO32m_I</f>
        <v>-1.2267207602456279E-5</v>
      </c>
      <c r="L43" s="327">
        <f>(0)*conc_H3PO4_I</f>
        <v>0</v>
      </c>
      <c r="M43" s="327">
        <f>(-1)*conc_H2PO4m_I</f>
        <v>-6.1647215595877176E-6</v>
      </c>
      <c r="N43" s="327">
        <f>(-2)*conc_HPO42m_I</f>
        <v>-1.9955607245567521E-5</v>
      </c>
      <c r="O43" s="327">
        <f>(-3)*conc_PO43m_I</f>
        <v>-3.8878869829771096E-10</v>
      </c>
      <c r="P43" s="327">
        <f>(0)*conc_HAc_I</f>
        <v>0</v>
      </c>
      <c r="Q43" s="327">
        <f>(-1)*conc_Acm_I</f>
        <v>-1.5582248850509766E-7</v>
      </c>
      <c r="R43" s="327">
        <f>(2)*conc_Ca2p_I</f>
        <v>7.4854034632466692E-3</v>
      </c>
      <c r="S43" s="327">
        <f>(2)*conc_Mg2p_I</f>
        <v>1.2343139271754782E-3</v>
      </c>
      <c r="T43" s="327">
        <f>(1)*conc_CATp_I</f>
        <v>1.5224163409384409E-3</v>
      </c>
      <c r="U43" s="327">
        <f>(1)*conc_Kp_I</f>
        <v>3.8364839391994023E-4</v>
      </c>
      <c r="V43" s="327">
        <f>(-1)*conc_ANm_I</f>
        <v>-4.2309536569542774E-3</v>
      </c>
      <c r="W43" s="327">
        <f>(2)*conc_Fe2p_I</f>
        <v>3.5813412122840006E-55</v>
      </c>
      <c r="X43" s="328" t="e">
        <f>SUM(pH!#REF!)</f>
        <v>#REF!</v>
      </c>
      <c r="Y43" s="328" t="s">
        <v>841</v>
      </c>
      <c r="Z43" s="328"/>
      <c r="AA43" s="328" t="s">
        <v>11</v>
      </c>
      <c r="AB43" s="329"/>
    </row>
    <row r="44" spans="2:30" ht="18.75" thickBot="1" x14ac:dyDescent="0.3">
      <c r="B44" s="265" t="s">
        <v>842</v>
      </c>
      <c r="C44" s="266" t="s">
        <v>384</v>
      </c>
      <c r="D44" s="266">
        <f>(f_mono_IS_cat)*conc_Hp_I</f>
        <v>3.1547867224009589E-8</v>
      </c>
      <c r="E44" s="266">
        <f>(f_mono_IS_an)*conc_OHm_I</f>
        <v>6.92437885318154E-8</v>
      </c>
      <c r="F44" s="266">
        <f>(0)*conc_NH3_I</f>
        <v>0</v>
      </c>
      <c r="G44" s="266">
        <f>(f_mono_IS_cat)*conc_NH4p_I</f>
        <v>3.5474361554550106E-5</v>
      </c>
      <c r="H44" s="266">
        <f>(f_mono_IS_an)*conc_NO3m_I</f>
        <v>1.7848601026651531E-4</v>
      </c>
      <c r="I44" s="266">
        <f>(0)*conc_H2CO3_I</f>
        <v>0</v>
      </c>
      <c r="J44" s="266">
        <f>(f_mono_IS_an)*conc_HCO3m_I</f>
        <v>2.7531151310453009E-3</v>
      </c>
      <c r="K44" s="266">
        <f>(f_di_IS_an)*conc_CO32m_I</f>
        <v>1.2267207602456279E-5</v>
      </c>
      <c r="L44" s="266">
        <f>(0)*conc_H3PO4_I</f>
        <v>0</v>
      </c>
      <c r="M44" s="266">
        <f>(f_mono_IS_an)*conc_H2PO4m_I</f>
        <v>3.0823607797938588E-6</v>
      </c>
      <c r="N44" s="266">
        <f>(f_di_IS_an)*conc_HPO42m_I</f>
        <v>1.9955607245567521E-5</v>
      </c>
      <c r="O44" s="266">
        <f>(f_tri_IS_an)*conc_PO43m_I</f>
        <v>5.8318304744656643E-10</v>
      </c>
      <c r="P44" s="266">
        <f>(0)*conc_HAc_I</f>
        <v>0</v>
      </c>
      <c r="Q44" s="266">
        <f>(f_mono_IS_an)*conc_Acm_I</f>
        <v>7.7911244252548829E-8</v>
      </c>
      <c r="R44" s="266">
        <f>(f_di_IS_cat)*conc_Ca2p_I</f>
        <v>7.4854034632466692E-3</v>
      </c>
      <c r="S44" s="266">
        <f>(f_di_IS_cat)*conc_Mg2p_I</f>
        <v>1.2343139271754782E-3</v>
      </c>
      <c r="T44" s="266">
        <f>(f_mono_IS_cat)*conc_CATp_I</f>
        <v>7.6120817046922043E-4</v>
      </c>
      <c r="U44" s="266">
        <f>(f_mono_IS_cat)*conc_Kp_I</f>
        <v>1.9182419695997011E-4</v>
      </c>
      <c r="V44" s="266">
        <f>(f_mono_IS_an)*conc_ANm_I</f>
        <v>2.1154768284771387E-3</v>
      </c>
      <c r="W44" s="266">
        <f>(f_di_IS_cat)*conc_Fe2p_I</f>
        <v>3.5813412122840006E-55</v>
      </c>
      <c r="X44" s="267" t="e">
        <f>SUM(pH!#REF!)</f>
        <v>#REF!</v>
      </c>
      <c r="Y44" s="267" t="s">
        <v>841</v>
      </c>
      <c r="Z44" s="267"/>
      <c r="AA44" s="325" t="s">
        <v>11</v>
      </c>
      <c r="AB44" s="268"/>
    </row>
  </sheetData>
  <phoneticPr fontId="29" type="noConversion"/>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Munka23"/>
  <dimension ref="B1:H23"/>
  <sheetViews>
    <sheetView showGridLines="0" zoomScaleNormal="100" workbookViewId="0">
      <selection activeCell="B23" sqref="B23:D23"/>
    </sheetView>
  </sheetViews>
  <sheetFormatPr baseColWidth="10" defaultColWidth="9.140625" defaultRowHeight="15" x14ac:dyDescent="0.25"/>
  <cols>
    <col min="3" max="3" width="24.85546875" bestFit="1" customWidth="1"/>
    <col min="4" max="4" width="12" bestFit="1" customWidth="1"/>
    <col min="6" max="6" width="12" customWidth="1"/>
    <col min="7" max="7" width="14.85546875" style="160" customWidth="1"/>
    <col min="8" max="8" width="20.85546875" customWidth="1"/>
  </cols>
  <sheetData>
    <row r="1" spans="2:8" s="46" customFormat="1" ht="48" customHeight="1" thickBot="1" x14ac:dyDescent="0.3">
      <c r="G1" s="158"/>
    </row>
    <row r="2" spans="2:8" ht="15.75" thickBot="1" x14ac:dyDescent="0.3">
      <c r="B2" s="94"/>
      <c r="C2" s="111" t="s">
        <v>400</v>
      </c>
      <c r="D2" s="94"/>
      <c r="E2" s="94"/>
      <c r="F2" s="94"/>
      <c r="G2" s="159"/>
      <c r="H2" s="110"/>
    </row>
    <row r="3" spans="2:8" ht="15.75" thickBot="1" x14ac:dyDescent="0.3">
      <c r="B3" s="314" t="s">
        <v>0</v>
      </c>
      <c r="C3" s="315" t="s">
        <v>1</v>
      </c>
      <c r="D3" s="134" t="s">
        <v>152</v>
      </c>
      <c r="E3" s="315" t="s">
        <v>2</v>
      </c>
      <c r="F3" s="315" t="s">
        <v>302</v>
      </c>
      <c r="G3" s="315" t="s">
        <v>116</v>
      </c>
      <c r="H3" s="316" t="s">
        <v>117</v>
      </c>
    </row>
    <row r="4" spans="2:8" ht="17.25" x14ac:dyDescent="0.25">
      <c r="B4" s="161" t="s">
        <v>401</v>
      </c>
      <c r="C4" s="80" t="s">
        <v>402</v>
      </c>
      <c r="D4" s="75">
        <f>SUM(pH!D27:D38)</f>
        <v>6.3095734448019177E-8</v>
      </c>
      <c r="E4" s="83" t="s">
        <v>389</v>
      </c>
      <c r="F4" s="79">
        <v>2</v>
      </c>
      <c r="G4" s="79" t="s">
        <v>11</v>
      </c>
      <c r="H4" s="81"/>
    </row>
    <row r="5" spans="2:8" ht="17.25" x14ac:dyDescent="0.25">
      <c r="B5" s="82" t="s">
        <v>403</v>
      </c>
      <c r="C5" s="73" t="s">
        <v>404</v>
      </c>
      <c r="D5" s="83">
        <f>SUM(pH!E27:E38)</f>
        <v>1.384875770636308E-7</v>
      </c>
      <c r="E5" s="83" t="s">
        <v>389</v>
      </c>
      <c r="F5" s="83">
        <v>2</v>
      </c>
      <c r="G5" s="83" t="s">
        <v>11</v>
      </c>
      <c r="H5" s="84"/>
    </row>
    <row r="6" spans="2:8" ht="18" x14ac:dyDescent="0.25">
      <c r="B6" s="82" t="s">
        <v>405</v>
      </c>
      <c r="C6" s="73" t="s">
        <v>406</v>
      </c>
      <c r="D6" s="83">
        <f>SUM(pH!F27:F38)</f>
        <v>4.456809975059031E-7</v>
      </c>
      <c r="E6" s="83" t="s">
        <v>389</v>
      </c>
      <c r="F6" s="83">
        <v>2</v>
      </c>
      <c r="G6" s="83" t="s">
        <v>1248</v>
      </c>
      <c r="H6" s="84"/>
    </row>
    <row r="7" spans="2:8" ht="18" x14ac:dyDescent="0.25">
      <c r="B7" s="82" t="s">
        <v>407</v>
      </c>
      <c r="C7" s="73" t="s">
        <v>408</v>
      </c>
      <c r="D7" s="83">
        <f>SUM(pH!G27:G38)</f>
        <v>7.0948723109100212E-5</v>
      </c>
      <c r="E7" s="83" t="s">
        <v>389</v>
      </c>
      <c r="F7" s="83">
        <v>2</v>
      </c>
      <c r="G7" s="83" t="s">
        <v>1248</v>
      </c>
      <c r="H7" s="84"/>
    </row>
    <row r="8" spans="2:8" ht="18" x14ac:dyDescent="0.25">
      <c r="B8" s="82" t="s">
        <v>428</v>
      </c>
      <c r="C8" s="73" t="s">
        <v>427</v>
      </c>
      <c r="D8" s="76">
        <f>SUM(pH!H27:H38)</f>
        <v>3.5697202053303062E-4</v>
      </c>
      <c r="E8" s="83" t="s">
        <v>389</v>
      </c>
      <c r="F8" s="83">
        <v>2</v>
      </c>
      <c r="G8" s="83" t="s">
        <v>11</v>
      </c>
      <c r="H8" s="84"/>
    </row>
    <row r="9" spans="2:8" ht="18" x14ac:dyDescent="0.25">
      <c r="B9" s="82" t="s">
        <v>409</v>
      </c>
      <c r="C9" s="73" t="s">
        <v>410</v>
      </c>
      <c r="D9" s="83">
        <f>SUM(pH!I27:I38)</f>
        <v>6.4880908822408209E-4</v>
      </c>
      <c r="E9" s="83" t="s">
        <v>389</v>
      </c>
      <c r="F9" s="83">
        <v>2</v>
      </c>
      <c r="G9" s="83" t="s">
        <v>1219</v>
      </c>
      <c r="H9" s="84"/>
    </row>
    <row r="10" spans="2:8" ht="18" x14ac:dyDescent="0.25">
      <c r="B10" s="82" t="s">
        <v>411</v>
      </c>
      <c r="C10" s="73" t="s">
        <v>412</v>
      </c>
      <c r="D10" s="83">
        <f>SUM(pH!J27:J38)</f>
        <v>5.5062302620906018E-3</v>
      </c>
      <c r="E10" s="83" t="s">
        <v>389</v>
      </c>
      <c r="F10" s="83">
        <v>2</v>
      </c>
      <c r="G10" s="83" t="s">
        <v>1219</v>
      </c>
      <c r="H10" s="84"/>
    </row>
    <row r="11" spans="2:8" ht="18" x14ac:dyDescent="0.25">
      <c r="B11" s="82" t="s">
        <v>413</v>
      </c>
      <c r="C11" s="73" t="s">
        <v>414</v>
      </c>
      <c r="D11" s="83">
        <f>SUM(pH!K27:K38)</f>
        <v>6.1336038012281396E-6</v>
      </c>
      <c r="E11" s="83" t="s">
        <v>389</v>
      </c>
      <c r="F11" s="83">
        <v>2</v>
      </c>
      <c r="G11" s="83" t="s">
        <v>1219</v>
      </c>
      <c r="H11" s="84"/>
    </row>
    <row r="12" spans="2:8" ht="18" x14ac:dyDescent="0.25">
      <c r="B12" s="82" t="s">
        <v>415</v>
      </c>
      <c r="C12" s="73" t="s">
        <v>416</v>
      </c>
      <c r="D12" s="83">
        <f>SUM(pH!L27:L38)</f>
        <v>4.0344172931174842E-11</v>
      </c>
      <c r="E12" s="83" t="s">
        <v>389</v>
      </c>
      <c r="F12" s="83">
        <v>2</v>
      </c>
      <c r="G12" s="83" t="s">
        <v>1220</v>
      </c>
      <c r="H12" s="84"/>
    </row>
    <row r="13" spans="2:8" ht="18" x14ac:dyDescent="0.25">
      <c r="B13" s="82" t="s">
        <v>417</v>
      </c>
      <c r="C13" s="73" t="s">
        <v>418</v>
      </c>
      <c r="D13" s="83">
        <f>SUM(pH!M27:M38)</f>
        <v>6.1647215595877176E-6</v>
      </c>
      <c r="E13" s="83" t="s">
        <v>389</v>
      </c>
      <c r="F13" s="83">
        <v>2</v>
      </c>
      <c r="G13" s="83" t="s">
        <v>1220</v>
      </c>
      <c r="H13" s="84"/>
    </row>
    <row r="14" spans="2:8" ht="18" x14ac:dyDescent="0.25">
      <c r="B14" s="82" t="s">
        <v>419</v>
      </c>
      <c r="C14" s="73" t="s">
        <v>420</v>
      </c>
      <c r="D14" s="83">
        <f>SUM(pH!N27:N38)</f>
        <v>9.9778036227837607E-6</v>
      </c>
      <c r="E14" s="83" t="s">
        <v>389</v>
      </c>
      <c r="F14" s="83">
        <v>2</v>
      </c>
      <c r="G14" s="83" t="s">
        <v>1220</v>
      </c>
      <c r="H14" s="77"/>
    </row>
    <row r="15" spans="2:8" ht="18" x14ac:dyDescent="0.25">
      <c r="B15" s="82" t="s">
        <v>421</v>
      </c>
      <c r="C15" s="76" t="s">
        <v>422</v>
      </c>
      <c r="D15" s="76">
        <f>SUM(pH!O27:O38)</f>
        <v>1.2959623276590366E-10</v>
      </c>
      <c r="E15" s="83" t="s">
        <v>389</v>
      </c>
      <c r="F15" s="83">
        <v>2</v>
      </c>
      <c r="G15" s="83" t="s">
        <v>1220</v>
      </c>
      <c r="H15" s="77"/>
    </row>
    <row r="16" spans="2:8" ht="18" x14ac:dyDescent="0.35">
      <c r="B16" s="85" t="s">
        <v>423</v>
      </c>
      <c r="C16" s="76" t="s">
        <v>424</v>
      </c>
      <c r="D16" s="76">
        <f>SUM(pH!P27:P38)</f>
        <v>4.3337108963713439E-10</v>
      </c>
      <c r="E16" s="83" t="s">
        <v>389</v>
      </c>
      <c r="F16" s="83">
        <v>2</v>
      </c>
      <c r="G16" s="89" t="s">
        <v>1597</v>
      </c>
      <c r="H16" s="77"/>
    </row>
    <row r="17" spans="2:8" ht="18" x14ac:dyDescent="0.35">
      <c r="B17" s="85" t="s">
        <v>425</v>
      </c>
      <c r="C17" s="76" t="s">
        <v>426</v>
      </c>
      <c r="D17" s="76">
        <f>SUM(pH!Q27:Q38)</f>
        <v>1.5582248850509766E-7</v>
      </c>
      <c r="E17" s="83" t="s">
        <v>389</v>
      </c>
      <c r="F17" s="83">
        <v>2</v>
      </c>
      <c r="G17" s="89" t="s">
        <v>1597</v>
      </c>
      <c r="H17" s="77"/>
    </row>
    <row r="18" spans="2:8" ht="18" x14ac:dyDescent="0.25">
      <c r="B18" s="82" t="s">
        <v>994</v>
      </c>
      <c r="C18" s="76" t="s">
        <v>996</v>
      </c>
      <c r="D18" s="76">
        <f>SUM(pH!R27:R38)</f>
        <v>3.7427017316233346E-3</v>
      </c>
      <c r="E18" s="83" t="s">
        <v>389</v>
      </c>
      <c r="F18" s="83">
        <v>2</v>
      </c>
      <c r="G18" s="83" t="s">
        <v>1221</v>
      </c>
      <c r="H18" s="77"/>
    </row>
    <row r="19" spans="2:8" ht="18" x14ac:dyDescent="0.35">
      <c r="B19" s="82" t="s">
        <v>995</v>
      </c>
      <c r="C19" s="76" t="s">
        <v>997</v>
      </c>
      <c r="D19" s="76">
        <f>SUM(pH!S27:S38)</f>
        <v>6.1715696358773911E-4</v>
      </c>
      <c r="E19" s="83" t="s">
        <v>389</v>
      </c>
      <c r="F19" s="83">
        <v>2</v>
      </c>
      <c r="G19" s="89" t="s">
        <v>1222</v>
      </c>
      <c r="H19" s="77"/>
    </row>
    <row r="20" spans="2:8" ht="18" x14ac:dyDescent="0.35">
      <c r="B20" s="85" t="s">
        <v>1252</v>
      </c>
      <c r="C20" s="76" t="s">
        <v>1050</v>
      </c>
      <c r="D20" s="76">
        <f>SUM(pH!T27:T38)</f>
        <v>1.5224163409384409E-3</v>
      </c>
      <c r="E20" s="83" t="s">
        <v>389</v>
      </c>
      <c r="F20" s="83">
        <v>2</v>
      </c>
      <c r="G20" s="89" t="s">
        <v>1223</v>
      </c>
      <c r="H20" s="77"/>
    </row>
    <row r="21" spans="2:8" ht="18" x14ac:dyDescent="0.35">
      <c r="B21" s="85" t="s">
        <v>1051</v>
      </c>
      <c r="C21" s="76" t="s">
        <v>1044</v>
      </c>
      <c r="D21" s="76">
        <f>SUM(pH!U27:U38)</f>
        <v>3.8364839391994023E-4</v>
      </c>
      <c r="E21" s="83" t="s">
        <v>389</v>
      </c>
      <c r="F21" s="83">
        <v>2</v>
      </c>
      <c r="G21" s="89" t="s">
        <v>1224</v>
      </c>
      <c r="H21" s="77"/>
    </row>
    <row r="22" spans="2:8" ht="18" x14ac:dyDescent="0.35">
      <c r="B22" s="85" t="s">
        <v>1251</v>
      </c>
      <c r="C22" s="76" t="s">
        <v>1052</v>
      </c>
      <c r="D22" s="76">
        <f>SUM(pH!V27:V38)</f>
        <v>4.2309536569542774E-3</v>
      </c>
      <c r="E22" s="83" t="s">
        <v>389</v>
      </c>
      <c r="F22" s="83">
        <v>2</v>
      </c>
      <c r="G22" s="89" t="s">
        <v>1225</v>
      </c>
      <c r="H22" s="77"/>
    </row>
    <row r="23" spans="2:8" ht="18.75" thickBot="1" x14ac:dyDescent="0.4">
      <c r="B23" s="86" t="s">
        <v>1053</v>
      </c>
      <c r="C23" s="87" t="s">
        <v>1048</v>
      </c>
      <c r="D23" s="87">
        <f>SUM(pH!W27:W38)</f>
        <v>1.7906706061420003E-55</v>
      </c>
      <c r="E23" s="83" t="s">
        <v>389</v>
      </c>
      <c r="F23" s="88">
        <v>2</v>
      </c>
      <c r="G23" s="90" t="s">
        <v>1607</v>
      </c>
      <c r="H23" s="78"/>
    </row>
  </sheetData>
  <pageMargins left="0.7" right="0.7" top="0.75" bottom="0.75" header="0.3" footer="0.3"/>
  <pageSetup paperSize="9" orientation="portrait" horizontalDpi="4294967293" verticalDpi="30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Munka13"/>
  <dimension ref="B1:I13"/>
  <sheetViews>
    <sheetView showGridLines="0" workbookViewId="0">
      <selection activeCell="D13" sqref="D13"/>
    </sheetView>
  </sheetViews>
  <sheetFormatPr baseColWidth="10" defaultColWidth="9.140625" defaultRowHeight="15" x14ac:dyDescent="0.25"/>
  <cols>
    <col min="1" max="1" width="4" style="20" customWidth="1"/>
    <col min="2" max="2" width="22" style="19" customWidth="1"/>
    <col min="3" max="3" width="9.5703125" style="20" customWidth="1"/>
    <col min="4" max="16384" width="9.140625" style="20"/>
  </cols>
  <sheetData>
    <row r="1" spans="2:9" ht="56.25" customHeight="1" thickBot="1" x14ac:dyDescent="0.3"/>
    <row r="2" spans="2:9" s="19" customFormat="1" ht="15.75" thickBot="1" x14ac:dyDescent="0.3">
      <c r="B2" s="21" t="s">
        <v>134</v>
      </c>
      <c r="C2" s="22" t="s">
        <v>135</v>
      </c>
      <c r="D2" s="22" t="s">
        <v>136</v>
      </c>
      <c r="E2" s="22" t="s">
        <v>137</v>
      </c>
      <c r="F2" s="22" t="s">
        <v>138</v>
      </c>
      <c r="G2" s="22" t="s">
        <v>139</v>
      </c>
      <c r="H2" s="22" t="s">
        <v>140</v>
      </c>
      <c r="I2" s="23" t="s">
        <v>141</v>
      </c>
    </row>
    <row r="3" spans="2:9" ht="15.75" thickBot="1" x14ac:dyDescent="0.3">
      <c r="B3" s="24" t="s">
        <v>8</v>
      </c>
      <c r="C3" s="25">
        <v>1</v>
      </c>
      <c r="D3" s="25">
        <v>0</v>
      </c>
      <c r="E3" s="25">
        <v>-1</v>
      </c>
      <c r="F3" s="25">
        <v>-1</v>
      </c>
      <c r="G3" s="25">
        <v>1</v>
      </c>
      <c r="H3" s="26">
        <v>-1</v>
      </c>
      <c r="I3" s="27"/>
    </row>
    <row r="4" spans="2:9" x14ac:dyDescent="0.25">
      <c r="B4" s="28" t="s">
        <v>135</v>
      </c>
      <c r="C4" s="29">
        <v>1</v>
      </c>
      <c r="D4" s="29"/>
      <c r="E4" s="29"/>
      <c r="F4" s="29"/>
      <c r="G4" s="29"/>
      <c r="H4" s="30"/>
      <c r="I4" s="27"/>
    </row>
    <row r="5" spans="2:9" x14ac:dyDescent="0.25">
      <c r="B5" s="28" t="s">
        <v>136</v>
      </c>
      <c r="C5" s="29"/>
      <c r="D5" s="29">
        <v>1</v>
      </c>
      <c r="E5" s="29"/>
      <c r="F5" s="29"/>
      <c r="G5" s="29"/>
      <c r="H5" s="30"/>
      <c r="I5" s="27"/>
    </row>
    <row r="6" spans="2:9" x14ac:dyDescent="0.25">
      <c r="B6" s="28" t="s">
        <v>142</v>
      </c>
      <c r="C6" s="29"/>
      <c r="D6" s="29"/>
      <c r="E6" s="29">
        <v>1</v>
      </c>
      <c r="F6" s="29"/>
      <c r="G6" s="29"/>
      <c r="H6" s="30"/>
      <c r="I6" s="27"/>
    </row>
    <row r="7" spans="2:9" x14ac:dyDescent="0.25">
      <c r="B7" s="28" t="s">
        <v>143</v>
      </c>
      <c r="C7" s="29"/>
      <c r="D7" s="29"/>
      <c r="E7" s="29"/>
      <c r="F7" s="29">
        <v>1</v>
      </c>
      <c r="G7" s="29"/>
      <c r="H7" s="30"/>
      <c r="I7" s="27"/>
    </row>
    <row r="8" spans="2:9" x14ac:dyDescent="0.25">
      <c r="B8" s="28" t="s">
        <v>139</v>
      </c>
      <c r="C8" s="29"/>
      <c r="D8" s="29"/>
      <c r="E8" s="29"/>
      <c r="F8" s="29"/>
      <c r="G8" s="29">
        <v>1</v>
      </c>
      <c r="H8" s="30"/>
      <c r="I8" s="27"/>
    </row>
    <row r="9" spans="2:9" ht="15.75" thickBot="1" x14ac:dyDescent="0.3">
      <c r="B9" s="31" t="s">
        <v>140</v>
      </c>
      <c r="C9" s="32"/>
      <c r="D9" s="32"/>
      <c r="E9" s="32"/>
      <c r="F9" s="32"/>
      <c r="G9" s="32"/>
      <c r="H9" s="33">
        <v>1</v>
      </c>
    </row>
    <row r="10" spans="2:9" x14ac:dyDescent="0.25">
      <c r="B10" s="28" t="s">
        <v>144</v>
      </c>
      <c r="C10" s="29">
        <v>-1</v>
      </c>
      <c r="D10" s="29">
        <v>0</v>
      </c>
      <c r="E10" s="29">
        <v>0</v>
      </c>
      <c r="F10" s="29">
        <v>0</v>
      </c>
      <c r="G10" s="29">
        <v>0</v>
      </c>
      <c r="H10" s="29">
        <v>0</v>
      </c>
      <c r="I10" s="34">
        <v>-14.163232949999999</v>
      </c>
    </row>
    <row r="11" spans="2:9" ht="15.75" thickBot="1" x14ac:dyDescent="0.3">
      <c r="B11" s="28" t="s">
        <v>145</v>
      </c>
      <c r="C11" s="29">
        <v>1</v>
      </c>
      <c r="D11" s="29">
        <v>1</v>
      </c>
      <c r="E11" s="29">
        <v>0</v>
      </c>
      <c r="F11" s="29">
        <v>0</v>
      </c>
      <c r="G11" s="29">
        <v>0</v>
      </c>
      <c r="H11" s="29">
        <v>0</v>
      </c>
      <c r="I11" s="35">
        <v>9.4016472899999997</v>
      </c>
    </row>
    <row r="12" spans="2:9" x14ac:dyDescent="0.25">
      <c r="B12" s="36" t="s">
        <v>146</v>
      </c>
      <c r="C12" s="39"/>
      <c r="D12" s="39">
        <v>1E-3</v>
      </c>
      <c r="E12" s="39">
        <v>1E-3</v>
      </c>
      <c r="F12" s="39">
        <v>1E-3</v>
      </c>
      <c r="G12" s="39">
        <v>1E-3</v>
      </c>
      <c r="H12" s="37">
        <v>1E-3</v>
      </c>
      <c r="I12" s="27"/>
    </row>
    <row r="13" spans="2:9" ht="15.75" thickBot="1" x14ac:dyDescent="0.3">
      <c r="B13" s="31" t="s">
        <v>147</v>
      </c>
      <c r="C13" s="38">
        <v>9.9999999999999995E-8</v>
      </c>
      <c r="D13" s="38">
        <v>1E-4</v>
      </c>
      <c r="E13" s="32">
        <v>1E-3</v>
      </c>
      <c r="F13" s="32">
        <v>1E-3</v>
      </c>
      <c r="G13" s="32">
        <v>1E-3</v>
      </c>
      <c r="H13" s="33">
        <v>1E-3</v>
      </c>
      <c r="I13" s="27"/>
    </row>
  </sheetData>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Munka7"/>
  <dimension ref="A1:Z85"/>
  <sheetViews>
    <sheetView showGridLines="0" zoomScaleNormal="100" workbookViewId="0">
      <pane xSplit="2" ySplit="3" topLeftCell="C4" activePane="bottomRight" state="frozen"/>
      <selection pane="topRight" activeCell="C1" sqref="C1"/>
      <selection pane="bottomLeft" activeCell="A4" sqref="A4"/>
      <selection pane="bottomRight" activeCell="B85" sqref="B85:E85"/>
    </sheetView>
  </sheetViews>
  <sheetFormatPr baseColWidth="10" defaultColWidth="9.140625" defaultRowHeight="15" x14ac:dyDescent="0.25"/>
  <cols>
    <col min="1" max="1" width="8.140625" style="65" customWidth="1"/>
    <col min="2" max="2" width="18.28515625" style="65" customWidth="1"/>
    <col min="3" max="3" width="53.5703125" style="65" bestFit="1" customWidth="1"/>
    <col min="4" max="7" width="19.140625" style="160" customWidth="1"/>
    <col min="8" max="8" width="19.28515625" style="160" customWidth="1"/>
    <col min="9" max="13" width="19.140625" style="160" customWidth="1"/>
    <col min="14" max="15" width="12.140625" style="160" customWidth="1"/>
    <col min="16" max="16" width="13.5703125" style="160" bestFit="1" customWidth="1"/>
    <col min="17" max="18" width="10.140625" style="160" customWidth="1"/>
    <col min="19" max="19" width="13" style="160" customWidth="1"/>
    <col min="20" max="20" width="12" style="65" customWidth="1"/>
    <col min="21" max="21" width="13" style="160" customWidth="1"/>
    <col min="22" max="22" width="29.7109375" style="65" bestFit="1" customWidth="1"/>
    <col min="23" max="23" width="74.140625" style="65" bestFit="1" customWidth="1"/>
    <col min="24" max="24" width="19.28515625" style="65" customWidth="1"/>
    <col min="25" max="25" width="9.140625" style="65"/>
    <col min="26" max="26" width="10.28515625" style="65" bestFit="1" customWidth="1"/>
    <col min="27" max="16384" width="9.140625" style="65"/>
  </cols>
  <sheetData>
    <row r="1" spans="1:26" s="68" customFormat="1" ht="48" customHeight="1" thickBot="1" x14ac:dyDescent="0.3">
      <c r="A1" s="452"/>
      <c r="B1" s="453"/>
      <c r="D1" s="158"/>
      <c r="E1" s="158"/>
      <c r="F1" s="158"/>
      <c r="G1" s="158"/>
      <c r="H1" s="158"/>
      <c r="I1" s="158"/>
      <c r="J1" s="158"/>
      <c r="K1" s="158"/>
      <c r="L1" s="158"/>
      <c r="M1" s="158"/>
      <c r="N1" s="158"/>
      <c r="O1" s="158"/>
      <c r="P1" s="158"/>
      <c r="Q1" s="158"/>
      <c r="R1" s="158"/>
      <c r="S1" s="158"/>
      <c r="U1" s="158"/>
    </row>
    <row r="2" spans="1:26" ht="19.5" customHeight="1" thickBot="1" x14ac:dyDescent="0.3">
      <c r="A2" s="4"/>
      <c r="B2" s="4"/>
      <c r="C2" s="454" t="s">
        <v>837</v>
      </c>
      <c r="D2" s="3"/>
      <c r="E2" s="3"/>
      <c r="F2" s="3"/>
      <c r="G2" s="3"/>
      <c r="H2" s="3"/>
      <c r="I2" s="3"/>
      <c r="J2" s="3"/>
      <c r="K2" s="3"/>
      <c r="L2" s="3"/>
      <c r="M2" s="3"/>
      <c r="N2" s="3"/>
      <c r="O2" s="3"/>
      <c r="P2" s="3"/>
      <c r="Q2" s="3"/>
    </row>
    <row r="3" spans="1:26" s="4" customFormat="1" ht="15.75" thickBot="1" x14ac:dyDescent="0.3">
      <c r="A3" s="455"/>
      <c r="B3" s="318" t="s">
        <v>0</v>
      </c>
      <c r="C3" s="351" t="s">
        <v>1</v>
      </c>
      <c r="D3" s="317" t="s">
        <v>12</v>
      </c>
      <c r="E3" s="317" t="s">
        <v>13</v>
      </c>
      <c r="F3" s="317" t="s">
        <v>4277</v>
      </c>
      <c r="G3" s="317" t="s">
        <v>1952</v>
      </c>
      <c r="H3" s="2011" t="s">
        <v>1208</v>
      </c>
      <c r="I3" s="317" t="s">
        <v>1172</v>
      </c>
      <c r="J3" s="447" t="s">
        <v>1594</v>
      </c>
      <c r="K3" s="447" t="s">
        <v>2803</v>
      </c>
      <c r="L3" s="650" t="s">
        <v>4195</v>
      </c>
      <c r="M3" s="650" t="s">
        <v>4196</v>
      </c>
      <c r="N3" s="447" t="s">
        <v>471</v>
      </c>
      <c r="O3" s="447" t="s">
        <v>472</v>
      </c>
      <c r="P3" s="531" t="s">
        <v>2</v>
      </c>
      <c r="Q3" s="531" t="s">
        <v>302</v>
      </c>
      <c r="R3" s="531" t="s">
        <v>14</v>
      </c>
      <c r="S3" s="531" t="s">
        <v>839</v>
      </c>
      <c r="T3" s="531" t="s">
        <v>3</v>
      </c>
      <c r="U3" s="771" t="s">
        <v>4056</v>
      </c>
      <c r="V3" s="531" t="s">
        <v>116</v>
      </c>
      <c r="W3" s="743" t="s">
        <v>7</v>
      </c>
    </row>
    <row r="4" spans="1:26" ht="18" x14ac:dyDescent="0.25">
      <c r="A4" s="456"/>
      <c r="B4" s="1751" t="s">
        <v>3979</v>
      </c>
      <c r="C4" s="1752" t="s">
        <v>2593</v>
      </c>
      <c r="D4" s="1753">
        <v>20</v>
      </c>
      <c r="E4" s="1753">
        <v>0.01</v>
      </c>
      <c r="F4" s="1753">
        <v>20</v>
      </c>
      <c r="G4" s="1753">
        <v>0.01</v>
      </c>
      <c r="H4" s="1754">
        <v>100</v>
      </c>
      <c r="I4" s="1753">
        <v>0.01</v>
      </c>
      <c r="J4" s="1753">
        <v>1E-3</v>
      </c>
      <c r="K4" s="1753">
        <v>0.01</v>
      </c>
      <c r="L4" s="1754">
        <v>0.16317400000000001</v>
      </c>
      <c r="M4" s="1754">
        <v>46.770099999999999</v>
      </c>
      <c r="N4" s="1755" t="s">
        <v>2801</v>
      </c>
      <c r="O4" s="1755" t="s">
        <v>2802</v>
      </c>
      <c r="P4" s="1755" t="s">
        <v>323</v>
      </c>
      <c r="Q4" s="1755">
        <v>1</v>
      </c>
      <c r="R4" s="1755" t="s">
        <v>252</v>
      </c>
      <c r="S4" s="1755" t="s">
        <v>253</v>
      </c>
      <c r="T4" s="1755" t="s">
        <v>256</v>
      </c>
      <c r="U4" s="1756" t="s">
        <v>148</v>
      </c>
      <c r="V4" s="1757"/>
      <c r="W4" s="1758"/>
      <c r="Z4" s="457"/>
    </row>
    <row r="5" spans="1:26" ht="18" x14ac:dyDescent="0.25">
      <c r="A5" s="456"/>
      <c r="B5" s="1759" t="s">
        <v>3980</v>
      </c>
      <c r="C5" s="1760" t="s">
        <v>289</v>
      </c>
      <c r="D5" s="1761">
        <v>45</v>
      </c>
      <c r="E5" s="1761">
        <v>1</v>
      </c>
      <c r="F5" s="1761">
        <v>45</v>
      </c>
      <c r="G5" s="1761">
        <v>1</v>
      </c>
      <c r="H5" s="2012">
        <v>65</v>
      </c>
      <c r="I5" s="1761">
        <v>1</v>
      </c>
      <c r="J5" s="1761">
        <v>1</v>
      </c>
      <c r="K5" s="1753">
        <v>1</v>
      </c>
      <c r="L5" s="1754">
        <v>1.89388</v>
      </c>
      <c r="M5" s="1754">
        <v>4.3690199999999998E-2</v>
      </c>
      <c r="N5" s="1762" t="s">
        <v>2801</v>
      </c>
      <c r="O5" s="1762" t="s">
        <v>2802</v>
      </c>
      <c r="P5" s="1763" t="s">
        <v>323</v>
      </c>
      <c r="Q5" s="1763">
        <v>1</v>
      </c>
      <c r="R5" s="1763" t="s">
        <v>252</v>
      </c>
      <c r="S5" s="1763" t="s">
        <v>253</v>
      </c>
      <c r="T5" s="1763" t="s">
        <v>256</v>
      </c>
      <c r="U5" s="1756" t="s">
        <v>148</v>
      </c>
      <c r="V5" s="74"/>
      <c r="W5" s="1764"/>
      <c r="Z5" s="457"/>
    </row>
    <row r="6" spans="1:26" ht="18" x14ac:dyDescent="0.25">
      <c r="A6" s="456"/>
      <c r="B6" s="1759" t="s">
        <v>3981</v>
      </c>
      <c r="C6" s="1760" t="s">
        <v>2594</v>
      </c>
      <c r="D6" s="1761" t="s">
        <v>1209</v>
      </c>
      <c r="E6" s="1765">
        <v>1E-50</v>
      </c>
      <c r="F6" s="1761" t="s">
        <v>1209</v>
      </c>
      <c r="G6" s="1761" t="s">
        <v>1209</v>
      </c>
      <c r="H6" s="1768" t="s">
        <v>1209</v>
      </c>
      <c r="I6" s="1761" t="s">
        <v>1209</v>
      </c>
      <c r="J6" s="1761">
        <v>0.01</v>
      </c>
      <c r="K6" s="1753" t="s">
        <v>1209</v>
      </c>
      <c r="L6" s="1753" t="s">
        <v>1209</v>
      </c>
      <c r="M6" s="1753" t="s">
        <v>1209</v>
      </c>
      <c r="N6" s="1762" t="s">
        <v>2801</v>
      </c>
      <c r="O6" s="1762" t="s">
        <v>2802</v>
      </c>
      <c r="P6" s="1763" t="s">
        <v>323</v>
      </c>
      <c r="Q6" s="1763">
        <v>1</v>
      </c>
      <c r="R6" s="1763" t="s">
        <v>252</v>
      </c>
      <c r="S6" s="1763" t="s">
        <v>253</v>
      </c>
      <c r="T6" s="1763" t="s">
        <v>256</v>
      </c>
      <c r="U6" s="1756" t="s">
        <v>148</v>
      </c>
      <c r="V6" s="74"/>
      <c r="W6" s="1764"/>
      <c r="Z6" s="457"/>
    </row>
    <row r="7" spans="1:26" ht="18" x14ac:dyDescent="0.25">
      <c r="A7" s="456"/>
      <c r="B7" s="1759" t="s">
        <v>3982</v>
      </c>
      <c r="C7" s="1760" t="s">
        <v>214</v>
      </c>
      <c r="D7" s="1761">
        <v>68</v>
      </c>
      <c r="E7" s="1761">
        <v>0.01</v>
      </c>
      <c r="F7" s="1761">
        <v>68.000000000000199</v>
      </c>
      <c r="G7" s="2024">
        <v>0.5</v>
      </c>
      <c r="H7" s="2012">
        <v>0.01</v>
      </c>
      <c r="I7" s="1761">
        <v>0.01</v>
      </c>
      <c r="J7" s="1761" t="s">
        <v>1209</v>
      </c>
      <c r="K7" s="1753">
        <v>0.01</v>
      </c>
      <c r="L7" s="1753" t="s">
        <v>1209</v>
      </c>
      <c r="M7" s="1753" t="s">
        <v>1209</v>
      </c>
      <c r="N7" s="1762" t="s">
        <v>2801</v>
      </c>
      <c r="O7" s="1762" t="s">
        <v>2802</v>
      </c>
      <c r="P7" s="1763" t="s">
        <v>323</v>
      </c>
      <c r="Q7" s="1763">
        <v>1</v>
      </c>
      <c r="R7" s="1763" t="s">
        <v>252</v>
      </c>
      <c r="S7" s="1763" t="s">
        <v>254</v>
      </c>
      <c r="T7" s="1763" t="s">
        <v>256</v>
      </c>
      <c r="U7" s="1756" t="s">
        <v>148</v>
      </c>
      <c r="V7" s="74"/>
      <c r="W7" s="1764"/>
      <c r="Z7" s="457"/>
    </row>
    <row r="8" spans="1:26" ht="18" x14ac:dyDescent="0.25">
      <c r="A8" s="456"/>
      <c r="B8" s="1766" t="s">
        <v>3983</v>
      </c>
      <c r="C8" s="1767" t="s">
        <v>215</v>
      </c>
      <c r="D8" s="1768">
        <v>165.4</v>
      </c>
      <c r="E8" s="1768">
        <v>14</v>
      </c>
      <c r="F8" s="1768">
        <v>71</v>
      </c>
      <c r="G8" s="1768">
        <v>14</v>
      </c>
      <c r="H8" s="2012">
        <v>85</v>
      </c>
      <c r="I8" s="1768">
        <v>40</v>
      </c>
      <c r="J8" s="1768">
        <v>100</v>
      </c>
      <c r="K8" s="1754">
        <v>5.6000000000000005</v>
      </c>
      <c r="L8" s="1754">
        <v>11.280799999999999</v>
      </c>
      <c r="M8" s="1754">
        <v>17.7393775</v>
      </c>
      <c r="N8" s="1769" t="s">
        <v>2801</v>
      </c>
      <c r="O8" s="1769" t="s">
        <v>2802</v>
      </c>
      <c r="P8" s="1769" t="s">
        <v>323</v>
      </c>
      <c r="Q8" s="1769">
        <v>1</v>
      </c>
      <c r="R8" s="1769" t="s">
        <v>252</v>
      </c>
      <c r="S8" s="1769" t="s">
        <v>255</v>
      </c>
      <c r="T8" s="1769" t="s">
        <v>256</v>
      </c>
      <c r="U8" s="1756" t="s">
        <v>148</v>
      </c>
      <c r="V8" s="1770" t="s">
        <v>1874</v>
      </c>
      <c r="W8" s="1771"/>
      <c r="Z8" s="457"/>
    </row>
    <row r="9" spans="1:26" ht="18" x14ac:dyDescent="0.25">
      <c r="A9" s="456"/>
      <c r="B9" s="1766" t="s">
        <v>4679</v>
      </c>
      <c r="C9" s="1767" t="s">
        <v>4680</v>
      </c>
      <c r="D9" s="1761" t="s">
        <v>1209</v>
      </c>
      <c r="E9" s="2024">
        <v>65</v>
      </c>
      <c r="F9" s="1761" t="s">
        <v>1209</v>
      </c>
      <c r="G9" s="2024">
        <v>65</v>
      </c>
      <c r="H9" s="2024">
        <v>260</v>
      </c>
      <c r="I9" s="2024">
        <v>400</v>
      </c>
      <c r="J9" s="1768">
        <v>100</v>
      </c>
      <c r="K9" s="1754">
        <v>5.6000000000000005</v>
      </c>
      <c r="L9" s="1754">
        <v>11.280799999999999</v>
      </c>
      <c r="M9" s="1754">
        <v>17.7393775</v>
      </c>
      <c r="N9" s="1769" t="s">
        <v>2801</v>
      </c>
      <c r="O9" s="1769" t="s">
        <v>2802</v>
      </c>
      <c r="P9" s="1769" t="s">
        <v>323</v>
      </c>
      <c r="Q9" s="1769">
        <v>1</v>
      </c>
      <c r="R9" s="1769" t="s">
        <v>252</v>
      </c>
      <c r="S9" s="1769" t="s">
        <v>255</v>
      </c>
      <c r="T9" s="1769" t="s">
        <v>256</v>
      </c>
      <c r="U9" s="1756" t="s">
        <v>148</v>
      </c>
      <c r="V9" s="1770" t="s">
        <v>4915</v>
      </c>
      <c r="W9" s="1771"/>
      <c r="Z9" s="457"/>
    </row>
    <row r="10" spans="1:26" ht="18" x14ac:dyDescent="0.25">
      <c r="A10" s="456"/>
      <c r="B10" s="1759" t="s">
        <v>3984</v>
      </c>
      <c r="C10" s="1760" t="s">
        <v>216</v>
      </c>
      <c r="D10" s="1761">
        <v>20</v>
      </c>
      <c r="E10" s="2024">
        <v>20</v>
      </c>
      <c r="F10" s="1761">
        <v>20</v>
      </c>
      <c r="G10" s="2024">
        <v>20</v>
      </c>
      <c r="H10" s="2012">
        <v>20</v>
      </c>
      <c r="I10" s="2012">
        <v>20</v>
      </c>
      <c r="J10" s="1761">
        <v>7</v>
      </c>
      <c r="K10" s="1753">
        <v>7</v>
      </c>
      <c r="L10" s="1754">
        <v>20</v>
      </c>
      <c r="M10" s="1754">
        <v>20</v>
      </c>
      <c r="N10" s="1762" t="s">
        <v>2801</v>
      </c>
      <c r="O10" s="1762" t="s">
        <v>2802</v>
      </c>
      <c r="P10" s="1763" t="s">
        <v>323</v>
      </c>
      <c r="Q10" s="1763">
        <v>1</v>
      </c>
      <c r="R10" s="1763" t="s">
        <v>252</v>
      </c>
      <c r="S10" s="1763" t="s">
        <v>253</v>
      </c>
      <c r="T10" s="1763" t="s">
        <v>256</v>
      </c>
      <c r="U10" s="1756" t="s">
        <v>148</v>
      </c>
      <c r="V10" s="74"/>
      <c r="W10" s="1764"/>
      <c r="Z10" s="457"/>
    </row>
    <row r="11" spans="1:26" ht="18" x14ac:dyDescent="0.25">
      <c r="A11" s="456"/>
      <c r="B11" s="1759" t="s">
        <v>3985</v>
      </c>
      <c r="C11" s="1760" t="s">
        <v>217</v>
      </c>
      <c r="D11" s="1761">
        <v>17</v>
      </c>
      <c r="E11" s="1761">
        <v>0.01</v>
      </c>
      <c r="F11" s="1761">
        <v>17</v>
      </c>
      <c r="G11" s="1761">
        <v>0.01</v>
      </c>
      <c r="H11" s="1768">
        <v>0.01</v>
      </c>
      <c r="I11" s="1761">
        <v>0.01</v>
      </c>
      <c r="J11" s="1761" t="s">
        <v>1209</v>
      </c>
      <c r="K11" s="1753">
        <v>0.01</v>
      </c>
      <c r="L11" s="1753" t="s">
        <v>1209</v>
      </c>
      <c r="M11" s="1753" t="s">
        <v>1209</v>
      </c>
      <c r="N11" s="1762" t="s">
        <v>2801</v>
      </c>
      <c r="O11" s="1762" t="s">
        <v>2802</v>
      </c>
      <c r="P11" s="1763" t="s">
        <v>323</v>
      </c>
      <c r="Q11" s="1763">
        <v>1</v>
      </c>
      <c r="R11" s="1763" t="s">
        <v>252</v>
      </c>
      <c r="S11" s="1763" t="s">
        <v>254</v>
      </c>
      <c r="T11" s="1763" t="s">
        <v>256</v>
      </c>
      <c r="U11" s="1756" t="s">
        <v>148</v>
      </c>
      <c r="V11" s="74"/>
      <c r="W11" s="1764"/>
      <c r="Z11" s="457"/>
    </row>
    <row r="12" spans="1:26" ht="18" x14ac:dyDescent="0.25">
      <c r="A12" s="456"/>
      <c r="B12" s="1759" t="s">
        <v>3986</v>
      </c>
      <c r="C12" s="1760" t="s">
        <v>218</v>
      </c>
      <c r="D12" s="1761">
        <v>58.8</v>
      </c>
      <c r="E12" s="1761">
        <v>1000</v>
      </c>
      <c r="F12" s="1761">
        <v>25.25</v>
      </c>
      <c r="G12" s="1761">
        <v>1000</v>
      </c>
      <c r="H12" s="2012">
        <v>16600</v>
      </c>
      <c r="I12" s="1761">
        <v>18000</v>
      </c>
      <c r="J12" s="1761">
        <v>1700</v>
      </c>
      <c r="K12" s="1753">
        <v>400</v>
      </c>
      <c r="L12" s="1754">
        <v>68.7363</v>
      </c>
      <c r="M12" s="1754">
        <v>95780.75</v>
      </c>
      <c r="N12" s="1762" t="s">
        <v>2801</v>
      </c>
      <c r="O12" s="1762" t="s">
        <v>2802</v>
      </c>
      <c r="P12" s="1763" t="s">
        <v>323</v>
      </c>
      <c r="Q12" s="1763">
        <v>1</v>
      </c>
      <c r="R12" s="1763" t="s">
        <v>252</v>
      </c>
      <c r="S12" s="1763" t="s">
        <v>255</v>
      </c>
      <c r="T12" s="1763" t="s">
        <v>256</v>
      </c>
      <c r="U12" s="1756" t="s">
        <v>148</v>
      </c>
      <c r="V12" s="1770" t="s">
        <v>4617</v>
      </c>
      <c r="W12" s="1764"/>
      <c r="Z12" s="457"/>
    </row>
    <row r="13" spans="1:26" ht="18" x14ac:dyDescent="0.25">
      <c r="A13" s="456"/>
      <c r="B13" s="1759" t="s">
        <v>4707</v>
      </c>
      <c r="C13" s="1760" t="s">
        <v>4718</v>
      </c>
      <c r="D13" s="1772">
        <v>0.1</v>
      </c>
      <c r="E13" s="1773">
        <v>20</v>
      </c>
      <c r="F13" s="1761" t="s">
        <v>1209</v>
      </c>
      <c r="G13" s="1773">
        <v>20</v>
      </c>
      <c r="H13" s="2013">
        <v>0.5</v>
      </c>
      <c r="I13" s="1774">
        <v>1.0000000000000001E-5</v>
      </c>
      <c r="J13" s="1773">
        <v>215</v>
      </c>
      <c r="K13" s="1775">
        <v>88.800000000000011</v>
      </c>
      <c r="L13" s="1773">
        <v>5.6725400000000002E-3</v>
      </c>
      <c r="M13" s="1773">
        <v>82.395949999999999</v>
      </c>
      <c r="N13" s="1762" t="s">
        <v>2801</v>
      </c>
      <c r="O13" s="1762" t="s">
        <v>2802</v>
      </c>
      <c r="P13" s="1763" t="s">
        <v>323</v>
      </c>
      <c r="Q13" s="1763">
        <v>1</v>
      </c>
      <c r="R13" s="1763" t="s">
        <v>252</v>
      </c>
      <c r="S13" s="1763" t="s">
        <v>255</v>
      </c>
      <c r="T13" s="1763" t="s">
        <v>256</v>
      </c>
      <c r="U13" s="1756" t="s">
        <v>148</v>
      </c>
      <c r="V13" s="74" t="s">
        <v>3809</v>
      </c>
      <c r="W13" s="1764"/>
      <c r="Z13" s="457"/>
    </row>
    <row r="14" spans="1:26" ht="18" x14ac:dyDescent="0.25">
      <c r="A14" s="456"/>
      <c r="B14" s="1759" t="s">
        <v>4717</v>
      </c>
      <c r="C14" s="1760" t="s">
        <v>4719</v>
      </c>
      <c r="D14" s="1772">
        <v>0.1</v>
      </c>
      <c r="E14" s="1773">
        <v>3</v>
      </c>
      <c r="F14" s="1761" t="s">
        <v>1209</v>
      </c>
      <c r="G14" s="1773">
        <v>3</v>
      </c>
      <c r="H14" s="2013">
        <v>0.5</v>
      </c>
      <c r="I14" s="1773">
        <v>0.1</v>
      </c>
      <c r="J14" s="1773">
        <v>75</v>
      </c>
      <c r="K14" s="1775">
        <v>12</v>
      </c>
      <c r="L14" s="1773">
        <v>9.9204299999999992E-3</v>
      </c>
      <c r="M14" s="1773">
        <v>3684.2649999999999</v>
      </c>
      <c r="N14" s="1762" t="s">
        <v>2801</v>
      </c>
      <c r="O14" s="1762" t="s">
        <v>2802</v>
      </c>
      <c r="P14" s="1763" t="s">
        <v>323</v>
      </c>
      <c r="Q14" s="1763">
        <v>1</v>
      </c>
      <c r="R14" s="1763" t="s">
        <v>252</v>
      </c>
      <c r="S14" s="1763" t="s">
        <v>255</v>
      </c>
      <c r="T14" s="1763" t="s">
        <v>256</v>
      </c>
      <c r="U14" s="1756" t="s">
        <v>148</v>
      </c>
      <c r="V14" s="74" t="s">
        <v>3809</v>
      </c>
      <c r="W14" s="1764"/>
      <c r="Z14" s="457"/>
    </row>
    <row r="15" spans="1:26" ht="18" x14ac:dyDescent="0.25">
      <c r="A15" s="456"/>
      <c r="B15" s="1759" t="s">
        <v>3987</v>
      </c>
      <c r="C15" s="1760" t="s">
        <v>219</v>
      </c>
      <c r="D15" s="1761">
        <v>4.2</v>
      </c>
      <c r="E15" s="1761">
        <v>300</v>
      </c>
      <c r="F15" s="1761">
        <v>1.8</v>
      </c>
      <c r="G15" s="1761">
        <v>800</v>
      </c>
      <c r="H15" s="2012">
        <v>3900</v>
      </c>
      <c r="I15" s="1761">
        <v>11000</v>
      </c>
      <c r="J15" s="1761">
        <v>800</v>
      </c>
      <c r="K15" s="1753">
        <v>120</v>
      </c>
      <c r="L15" s="1754">
        <v>9.2417200000000008</v>
      </c>
      <c r="M15" s="1754">
        <v>2258.3535000000002</v>
      </c>
      <c r="N15" s="1762" t="s">
        <v>2801</v>
      </c>
      <c r="O15" s="1762" t="s">
        <v>2802</v>
      </c>
      <c r="P15" s="1763" t="s">
        <v>323</v>
      </c>
      <c r="Q15" s="1763">
        <v>1</v>
      </c>
      <c r="R15" s="1763" t="s">
        <v>252</v>
      </c>
      <c r="S15" s="1763" t="s">
        <v>255</v>
      </c>
      <c r="T15" s="1763" t="s">
        <v>256</v>
      </c>
      <c r="U15" s="1756" t="s">
        <v>148</v>
      </c>
      <c r="V15" s="74"/>
      <c r="W15" s="1764"/>
      <c r="Z15" s="457"/>
    </row>
    <row r="16" spans="1:26" ht="18" x14ac:dyDescent="0.25">
      <c r="A16" s="456"/>
      <c r="B16" s="1759" t="s">
        <v>3988</v>
      </c>
      <c r="C16" s="1760" t="s">
        <v>1132</v>
      </c>
      <c r="D16" s="1776" t="s">
        <v>1209</v>
      </c>
      <c r="E16" s="1761">
        <v>0.1</v>
      </c>
      <c r="F16" s="1776" t="s">
        <v>1209</v>
      </c>
      <c r="G16" s="1761">
        <v>0.1</v>
      </c>
      <c r="H16" s="2012">
        <v>840</v>
      </c>
      <c r="I16" s="1761">
        <v>0.01</v>
      </c>
      <c r="J16" s="1761">
        <v>2</v>
      </c>
      <c r="K16" s="1753">
        <v>4.0000000000000008E-2</v>
      </c>
      <c r="L16" s="1761">
        <v>9.2175000000000007E-2</v>
      </c>
      <c r="M16" s="1761">
        <v>16824.014999999999</v>
      </c>
      <c r="N16" s="1762" t="s">
        <v>2801</v>
      </c>
      <c r="O16" s="1762" t="s">
        <v>2802</v>
      </c>
      <c r="P16" s="1763" t="s">
        <v>323</v>
      </c>
      <c r="Q16" s="1763">
        <v>1</v>
      </c>
      <c r="R16" s="1763" t="s">
        <v>252</v>
      </c>
      <c r="S16" s="1763" t="s">
        <v>255</v>
      </c>
      <c r="T16" s="1763" t="s">
        <v>256</v>
      </c>
      <c r="U16" s="1756" t="s">
        <v>148</v>
      </c>
      <c r="V16" s="74"/>
      <c r="W16" s="1764"/>
      <c r="Z16" s="457"/>
    </row>
    <row r="17" spans="1:26" ht="18" x14ac:dyDescent="0.25">
      <c r="A17" s="456"/>
      <c r="B17" s="1759" t="s">
        <v>3989</v>
      </c>
      <c r="C17" s="1760" t="s">
        <v>2595</v>
      </c>
      <c r="D17" s="1761">
        <v>21</v>
      </c>
      <c r="E17" s="1761">
        <v>500</v>
      </c>
      <c r="F17" s="1761">
        <v>9</v>
      </c>
      <c r="G17" s="1761">
        <v>500</v>
      </c>
      <c r="H17" s="2012">
        <v>1750</v>
      </c>
      <c r="I17" s="1761">
        <v>7700</v>
      </c>
      <c r="J17" s="1761">
        <v>3100</v>
      </c>
      <c r="K17" s="1753">
        <v>200</v>
      </c>
      <c r="L17" s="1754">
        <v>134.47200000000001</v>
      </c>
      <c r="M17" s="1754">
        <v>1811.615</v>
      </c>
      <c r="N17" s="1762" t="s">
        <v>2801</v>
      </c>
      <c r="O17" s="1762" t="s">
        <v>2802</v>
      </c>
      <c r="P17" s="1763" t="s">
        <v>323</v>
      </c>
      <c r="Q17" s="1763">
        <v>1</v>
      </c>
      <c r="R17" s="1763" t="s">
        <v>252</v>
      </c>
      <c r="S17" s="1763" t="s">
        <v>255</v>
      </c>
      <c r="T17" s="1763" t="s">
        <v>256</v>
      </c>
      <c r="U17" s="1756" t="s">
        <v>4060</v>
      </c>
      <c r="V17" s="74" t="s">
        <v>1869</v>
      </c>
      <c r="W17" s="1764"/>
      <c r="Z17" s="457"/>
    </row>
    <row r="18" spans="1:26" ht="18" x14ac:dyDescent="0.25">
      <c r="A18" s="456"/>
      <c r="B18" s="1759" t="s">
        <v>3990</v>
      </c>
      <c r="C18" s="1760" t="s">
        <v>3818</v>
      </c>
      <c r="D18" s="1761">
        <v>0.1</v>
      </c>
      <c r="E18" s="1761">
        <v>500</v>
      </c>
      <c r="F18" s="1761">
        <v>4.2999999999999997E-2</v>
      </c>
      <c r="G18" s="1761">
        <v>500</v>
      </c>
      <c r="H18" s="2012">
        <v>1</v>
      </c>
      <c r="I18" s="1761">
        <v>2</v>
      </c>
      <c r="J18" s="1761">
        <v>850</v>
      </c>
      <c r="K18" s="1753">
        <v>148</v>
      </c>
      <c r="L18" s="1754">
        <v>0.21430299999999999</v>
      </c>
      <c r="M18" s="1754">
        <v>7779.1674999999996</v>
      </c>
      <c r="N18" s="1762" t="s">
        <v>2801</v>
      </c>
      <c r="O18" s="1762" t="s">
        <v>2802</v>
      </c>
      <c r="P18" s="1763" t="s">
        <v>323</v>
      </c>
      <c r="Q18" s="1763">
        <v>1</v>
      </c>
      <c r="R18" s="1763" t="s">
        <v>252</v>
      </c>
      <c r="S18" s="1763" t="s">
        <v>255</v>
      </c>
      <c r="T18" s="1763" t="s">
        <v>256</v>
      </c>
      <c r="U18" s="1756" t="s">
        <v>4060</v>
      </c>
      <c r="V18" s="74" t="s">
        <v>4950</v>
      </c>
      <c r="W18" s="1764"/>
      <c r="Z18" s="457"/>
    </row>
    <row r="19" spans="1:26" ht="18" x14ac:dyDescent="0.25">
      <c r="A19" s="456"/>
      <c r="B19" s="1759" t="s">
        <v>3991</v>
      </c>
      <c r="C19" s="1760" t="s">
        <v>2596</v>
      </c>
      <c r="D19" s="1761">
        <v>0.1</v>
      </c>
      <c r="E19" s="1761">
        <v>1</v>
      </c>
      <c r="F19" s="1761">
        <v>4.2999999999999997E-2</v>
      </c>
      <c r="G19" s="1761">
        <v>1</v>
      </c>
      <c r="H19" s="2012">
        <v>1</v>
      </c>
      <c r="I19" s="1761">
        <v>6</v>
      </c>
      <c r="J19" s="1761">
        <v>3</v>
      </c>
      <c r="K19" s="1753">
        <v>0.4</v>
      </c>
      <c r="L19" s="1754">
        <v>8.2904599999999995E-2</v>
      </c>
      <c r="M19" s="1754">
        <v>12.367875</v>
      </c>
      <c r="N19" s="1762" t="s">
        <v>2801</v>
      </c>
      <c r="O19" s="1762" t="s">
        <v>2802</v>
      </c>
      <c r="P19" s="1763" t="s">
        <v>323</v>
      </c>
      <c r="Q19" s="1763">
        <v>1</v>
      </c>
      <c r="R19" s="1763" t="s">
        <v>252</v>
      </c>
      <c r="S19" s="1763" t="s">
        <v>255</v>
      </c>
      <c r="T19" s="1763" t="s">
        <v>256</v>
      </c>
      <c r="U19" s="1756" t="s">
        <v>4060</v>
      </c>
      <c r="V19" s="74" t="s">
        <v>1869</v>
      </c>
      <c r="W19" s="1764"/>
      <c r="Z19" s="457"/>
    </row>
    <row r="20" spans="1:26" ht="18" x14ac:dyDescent="0.25">
      <c r="A20" s="456"/>
      <c r="B20" s="1759" t="s">
        <v>3992</v>
      </c>
      <c r="C20" s="1760" t="s">
        <v>2597</v>
      </c>
      <c r="D20" s="1761">
        <v>0.1</v>
      </c>
      <c r="E20" s="1761">
        <v>90</v>
      </c>
      <c r="F20" s="1761">
        <v>4.2999999999999997E-2</v>
      </c>
      <c r="G20" s="1761">
        <v>90</v>
      </c>
      <c r="H20" s="1768">
        <v>5</v>
      </c>
      <c r="I20" s="1761">
        <v>390</v>
      </c>
      <c r="J20" s="1761">
        <v>100</v>
      </c>
      <c r="K20" s="1753">
        <v>36</v>
      </c>
      <c r="L20" s="1754">
        <v>0.131192</v>
      </c>
      <c r="M20" s="1754">
        <v>6.2111075000000007</v>
      </c>
      <c r="N20" s="1762" t="s">
        <v>2801</v>
      </c>
      <c r="O20" s="1762" t="s">
        <v>2802</v>
      </c>
      <c r="P20" s="1763" t="s">
        <v>323</v>
      </c>
      <c r="Q20" s="1763">
        <v>1</v>
      </c>
      <c r="R20" s="1763" t="s">
        <v>252</v>
      </c>
      <c r="S20" s="1763" t="s">
        <v>255</v>
      </c>
      <c r="T20" s="1763" t="s">
        <v>256</v>
      </c>
      <c r="U20" s="1756" t="s">
        <v>4060</v>
      </c>
      <c r="V20" s="74" t="s">
        <v>1869</v>
      </c>
      <c r="W20" s="1764"/>
      <c r="Z20" s="457"/>
    </row>
    <row r="21" spans="1:26" ht="18" x14ac:dyDescent="0.25">
      <c r="A21" s="456"/>
      <c r="B21" s="1759" t="s">
        <v>3993</v>
      </c>
      <c r="C21" s="1760" t="s">
        <v>2598</v>
      </c>
      <c r="D21" s="1761">
        <v>0.1</v>
      </c>
      <c r="E21" s="1761">
        <v>0.3</v>
      </c>
      <c r="F21" s="1761">
        <v>4.2999999999999997E-2</v>
      </c>
      <c r="G21" s="1761">
        <v>0.3</v>
      </c>
      <c r="H21" s="2012">
        <v>860</v>
      </c>
      <c r="I21" s="1761">
        <v>2</v>
      </c>
      <c r="J21" s="1761">
        <v>50</v>
      </c>
      <c r="K21" s="1753">
        <v>0.12</v>
      </c>
      <c r="L21" s="1754">
        <v>6.0288300000000003E-2</v>
      </c>
      <c r="M21" s="1754">
        <v>809.15575000000001</v>
      </c>
      <c r="N21" s="1762" t="s">
        <v>2801</v>
      </c>
      <c r="O21" s="1762" t="s">
        <v>2802</v>
      </c>
      <c r="P21" s="1763" t="s">
        <v>323</v>
      </c>
      <c r="Q21" s="1763">
        <v>1</v>
      </c>
      <c r="R21" s="1763" t="s">
        <v>252</v>
      </c>
      <c r="S21" s="1763" t="s">
        <v>255</v>
      </c>
      <c r="T21" s="1763" t="s">
        <v>256</v>
      </c>
      <c r="U21" s="1756" t="s">
        <v>4060</v>
      </c>
      <c r="V21" s="74" t="s">
        <v>1869</v>
      </c>
      <c r="W21" s="1764"/>
      <c r="Z21" s="457"/>
    </row>
    <row r="22" spans="1:26" ht="18" x14ac:dyDescent="0.25">
      <c r="A22" s="456"/>
      <c r="B22" s="1759" t="s">
        <v>3994</v>
      </c>
      <c r="C22" s="1760" t="s">
        <v>2599</v>
      </c>
      <c r="D22" s="1761">
        <v>0.1</v>
      </c>
      <c r="E22" s="1761">
        <v>0.2</v>
      </c>
      <c r="F22" s="1761">
        <v>4.2999999999999997E-2</v>
      </c>
      <c r="G22" s="1761">
        <v>0.2</v>
      </c>
      <c r="H22" s="2012">
        <v>210</v>
      </c>
      <c r="I22" s="1761">
        <v>0.5</v>
      </c>
      <c r="J22" s="1761">
        <v>10</v>
      </c>
      <c r="K22" s="1753">
        <v>8.0000000000000016E-2</v>
      </c>
      <c r="L22" s="1754">
        <v>3.1734800000000001E-2</v>
      </c>
      <c r="M22" s="1754">
        <v>33.5426</v>
      </c>
      <c r="N22" s="1762" t="s">
        <v>2801</v>
      </c>
      <c r="O22" s="1762" t="s">
        <v>2802</v>
      </c>
      <c r="P22" s="1763" t="s">
        <v>323</v>
      </c>
      <c r="Q22" s="1763">
        <v>1</v>
      </c>
      <c r="R22" s="1763" t="s">
        <v>252</v>
      </c>
      <c r="S22" s="1763" t="s">
        <v>255</v>
      </c>
      <c r="T22" s="1763" t="s">
        <v>256</v>
      </c>
      <c r="U22" s="1756" t="s">
        <v>4060</v>
      </c>
      <c r="V22" s="74" t="s">
        <v>1869</v>
      </c>
      <c r="W22" s="1764"/>
      <c r="Z22" s="457"/>
    </row>
    <row r="23" spans="1:26" ht="18" x14ac:dyDescent="0.25">
      <c r="A23" s="456"/>
      <c r="B23" s="1777" t="s">
        <v>4309</v>
      </c>
      <c r="C23" s="1778" t="s">
        <v>4310</v>
      </c>
      <c r="D23" s="1761" t="s">
        <v>1209</v>
      </c>
      <c r="E23" s="1779">
        <v>0</v>
      </c>
      <c r="F23" s="1779" t="s">
        <v>1209</v>
      </c>
      <c r="G23" s="1779" t="s">
        <v>1209</v>
      </c>
      <c r="H23" s="1768" t="s">
        <v>1209</v>
      </c>
      <c r="I23" s="1779" t="s">
        <v>1209</v>
      </c>
      <c r="J23" s="1779" t="s">
        <v>1209</v>
      </c>
      <c r="K23" s="1779" t="s">
        <v>1209</v>
      </c>
      <c r="L23" s="1754">
        <v>0.131192</v>
      </c>
      <c r="M23" s="1779">
        <v>198.26332500000001</v>
      </c>
      <c r="N23" s="1780" t="s">
        <v>2801</v>
      </c>
      <c r="O23" s="1780" t="s">
        <v>2802</v>
      </c>
      <c r="P23" s="1780" t="s">
        <v>323</v>
      </c>
      <c r="Q23" s="1780">
        <v>1</v>
      </c>
      <c r="R23" s="1780" t="s">
        <v>252</v>
      </c>
      <c r="S23" s="1780" t="s">
        <v>255</v>
      </c>
      <c r="T23" s="1780" t="s">
        <v>256</v>
      </c>
      <c r="U23" s="1756" t="s">
        <v>4060</v>
      </c>
      <c r="V23" s="1770" t="s">
        <v>4618</v>
      </c>
      <c r="W23" s="1764"/>
      <c r="Y23" s="457"/>
    </row>
    <row r="24" spans="1:26" ht="18" x14ac:dyDescent="0.25">
      <c r="A24" s="456"/>
      <c r="B24" s="1759" t="s">
        <v>3995</v>
      </c>
      <c r="C24" s="1760" t="s">
        <v>2600</v>
      </c>
      <c r="D24" s="1761">
        <v>24</v>
      </c>
      <c r="E24" s="1761">
        <v>1</v>
      </c>
      <c r="F24" s="1761">
        <v>24</v>
      </c>
      <c r="G24" s="1761">
        <v>1</v>
      </c>
      <c r="H24" s="2012">
        <v>950</v>
      </c>
      <c r="I24" s="1761">
        <v>1</v>
      </c>
      <c r="J24" s="1761">
        <v>30</v>
      </c>
      <c r="K24" s="1753">
        <v>1</v>
      </c>
      <c r="L24" s="1754">
        <v>22.4223</v>
      </c>
      <c r="M24" s="1754">
        <v>79.820700000000002</v>
      </c>
      <c r="N24" s="1762" t="s">
        <v>2801</v>
      </c>
      <c r="O24" s="1762" t="s">
        <v>2802</v>
      </c>
      <c r="P24" s="1763" t="s">
        <v>339</v>
      </c>
      <c r="Q24" s="1763">
        <v>1</v>
      </c>
      <c r="R24" s="1763" t="s">
        <v>252</v>
      </c>
      <c r="S24" s="1763" t="s">
        <v>253</v>
      </c>
      <c r="T24" s="1763" t="s">
        <v>256</v>
      </c>
      <c r="U24" s="1781" t="s">
        <v>250</v>
      </c>
      <c r="V24" s="74"/>
      <c r="W24" s="1764"/>
      <c r="Z24" s="457"/>
    </row>
    <row r="25" spans="1:26" ht="18" x14ac:dyDescent="0.25">
      <c r="A25" s="456"/>
      <c r="B25" s="1759" t="s">
        <v>3996</v>
      </c>
      <c r="C25" s="1760" t="s">
        <v>2601</v>
      </c>
      <c r="D25" s="1776" t="s">
        <v>1209</v>
      </c>
      <c r="E25" s="1761">
        <v>5</v>
      </c>
      <c r="F25" s="1776" t="s">
        <v>1209</v>
      </c>
      <c r="G25" s="1761">
        <v>5</v>
      </c>
      <c r="H25" s="1768">
        <v>0.1</v>
      </c>
      <c r="I25" s="2012">
        <v>20</v>
      </c>
      <c r="J25" s="1761">
        <v>30</v>
      </c>
      <c r="K25" s="1753">
        <v>5</v>
      </c>
      <c r="L25" s="1754" t="s">
        <v>1209</v>
      </c>
      <c r="M25" s="1754" t="s">
        <v>1209</v>
      </c>
      <c r="N25" s="1762" t="s">
        <v>2801</v>
      </c>
      <c r="O25" s="1762" t="s">
        <v>2802</v>
      </c>
      <c r="P25" s="1763" t="s">
        <v>339</v>
      </c>
      <c r="Q25" s="1763">
        <v>1</v>
      </c>
      <c r="R25" s="1763" t="s">
        <v>252</v>
      </c>
      <c r="S25" s="1763" t="s">
        <v>253</v>
      </c>
      <c r="T25" s="1763" t="s">
        <v>256</v>
      </c>
      <c r="U25" s="1781" t="s">
        <v>250</v>
      </c>
      <c r="V25" s="74"/>
      <c r="W25" s="1764"/>
      <c r="Z25" s="457"/>
    </row>
    <row r="26" spans="1:26" ht="18" x14ac:dyDescent="0.25">
      <c r="A26" s="456"/>
      <c r="B26" s="1759" t="s">
        <v>3997</v>
      </c>
      <c r="C26" s="1760" t="s">
        <v>2602</v>
      </c>
      <c r="D26" s="1761">
        <v>16</v>
      </c>
      <c r="E26" s="1761">
        <v>18</v>
      </c>
      <c r="F26" s="1761">
        <v>16</v>
      </c>
      <c r="G26" s="1761">
        <v>18</v>
      </c>
      <c r="H26" s="1768">
        <v>0.1</v>
      </c>
      <c r="I26" s="1761">
        <v>18</v>
      </c>
      <c r="J26" s="1761">
        <v>18</v>
      </c>
      <c r="K26" s="1753">
        <v>18</v>
      </c>
      <c r="L26" s="1754">
        <v>16.7212</v>
      </c>
      <c r="M26" s="1754">
        <v>18.270700000000001</v>
      </c>
      <c r="N26" s="1762" t="s">
        <v>2801</v>
      </c>
      <c r="O26" s="1762" t="s">
        <v>2802</v>
      </c>
      <c r="P26" s="1763" t="s">
        <v>339</v>
      </c>
      <c r="Q26" s="1763">
        <v>1</v>
      </c>
      <c r="R26" s="1763" t="s">
        <v>252</v>
      </c>
      <c r="S26" s="1763" t="s">
        <v>253</v>
      </c>
      <c r="T26" s="1763" t="s">
        <v>256</v>
      </c>
      <c r="U26" s="1781" t="s">
        <v>250</v>
      </c>
      <c r="V26" s="74"/>
      <c r="W26" s="1764"/>
      <c r="Z26" s="457"/>
    </row>
    <row r="27" spans="1:26" ht="18" x14ac:dyDescent="0.25">
      <c r="A27" s="456"/>
      <c r="B27" s="1759" t="s">
        <v>3998</v>
      </c>
      <c r="C27" s="1760" t="s">
        <v>821</v>
      </c>
      <c r="D27" s="1761">
        <v>1.8</v>
      </c>
      <c r="E27" s="1761">
        <v>0.5</v>
      </c>
      <c r="F27" s="1761">
        <v>1.8</v>
      </c>
      <c r="G27" s="1761">
        <v>0.5</v>
      </c>
      <c r="H27" s="1768">
        <v>0.5</v>
      </c>
      <c r="I27" s="1761">
        <v>1</v>
      </c>
      <c r="J27" s="1761">
        <v>1</v>
      </c>
      <c r="K27" s="1753">
        <v>0.5</v>
      </c>
      <c r="L27" s="1754">
        <v>0.70889100000000005</v>
      </c>
      <c r="M27" s="1754">
        <v>4.4545500000000002E-2</v>
      </c>
      <c r="N27" s="1762" t="s">
        <v>2801</v>
      </c>
      <c r="O27" s="1762" t="s">
        <v>2802</v>
      </c>
      <c r="P27" s="1763" t="s">
        <v>339</v>
      </c>
      <c r="Q27" s="1763">
        <v>1</v>
      </c>
      <c r="R27" s="1763" t="s">
        <v>252</v>
      </c>
      <c r="S27" s="1763" t="s">
        <v>253</v>
      </c>
      <c r="T27" s="1763" t="s">
        <v>256</v>
      </c>
      <c r="U27" s="1781" t="s">
        <v>250</v>
      </c>
      <c r="V27" s="74"/>
      <c r="W27" s="1764"/>
      <c r="Z27" s="457"/>
    </row>
    <row r="28" spans="1:26" ht="18" x14ac:dyDescent="0.25">
      <c r="A28" s="456"/>
      <c r="B28" s="1766" t="s">
        <v>3999</v>
      </c>
      <c r="C28" s="1767" t="s">
        <v>2603</v>
      </c>
      <c r="D28" s="1768">
        <v>5.2</v>
      </c>
      <c r="E28" s="2012">
        <v>0.5</v>
      </c>
      <c r="F28" s="1768">
        <v>2.2400000000000002</v>
      </c>
      <c r="G28" s="2012">
        <v>0.5</v>
      </c>
      <c r="H28" s="1768">
        <v>3</v>
      </c>
      <c r="I28" s="1768">
        <v>2</v>
      </c>
      <c r="J28" s="1768">
        <v>7</v>
      </c>
      <c r="K28" s="1754">
        <v>0.4</v>
      </c>
      <c r="L28" s="1754">
        <v>0.45406000000000002</v>
      </c>
      <c r="M28" s="1754">
        <v>1.1923404999999998</v>
      </c>
      <c r="N28" s="1769" t="s">
        <v>2801</v>
      </c>
      <c r="O28" s="1769" t="s">
        <v>2802</v>
      </c>
      <c r="P28" s="1769" t="s">
        <v>339</v>
      </c>
      <c r="Q28" s="1769">
        <v>1</v>
      </c>
      <c r="R28" s="1769" t="s">
        <v>252</v>
      </c>
      <c r="S28" s="1769" t="s">
        <v>255</v>
      </c>
      <c r="T28" s="1769" t="s">
        <v>256</v>
      </c>
      <c r="U28" s="1769" t="s">
        <v>250</v>
      </c>
      <c r="V28" s="1770" t="s">
        <v>1608</v>
      </c>
      <c r="W28" s="1771"/>
      <c r="Z28" s="457"/>
    </row>
    <row r="29" spans="1:26" ht="18" x14ac:dyDescent="0.25">
      <c r="A29" s="456"/>
      <c r="B29" s="1766" t="s">
        <v>4681</v>
      </c>
      <c r="C29" s="1767" t="s">
        <v>4682</v>
      </c>
      <c r="D29" s="1761" t="s">
        <v>1209</v>
      </c>
      <c r="E29" s="2012">
        <v>5</v>
      </c>
      <c r="F29" s="1761" t="s">
        <v>1209</v>
      </c>
      <c r="G29" s="2012">
        <v>5</v>
      </c>
      <c r="H29" s="2012">
        <v>18</v>
      </c>
      <c r="I29" s="2012">
        <v>30</v>
      </c>
      <c r="J29" s="1768">
        <v>7</v>
      </c>
      <c r="K29" s="1754">
        <v>0.4</v>
      </c>
      <c r="L29" s="1754">
        <v>0.45406000000000002</v>
      </c>
      <c r="M29" s="1754">
        <v>1.1923404999999998</v>
      </c>
      <c r="N29" s="1769" t="s">
        <v>2801</v>
      </c>
      <c r="O29" s="1769" t="s">
        <v>2802</v>
      </c>
      <c r="P29" s="1769" t="s">
        <v>339</v>
      </c>
      <c r="Q29" s="1769">
        <v>1</v>
      </c>
      <c r="R29" s="1769" t="s">
        <v>252</v>
      </c>
      <c r="S29" s="1769" t="s">
        <v>255</v>
      </c>
      <c r="T29" s="1769" t="s">
        <v>256</v>
      </c>
      <c r="U29" s="1769" t="s">
        <v>250</v>
      </c>
      <c r="V29" s="1770" t="s">
        <v>4947</v>
      </c>
      <c r="W29" s="1771"/>
      <c r="Z29" s="457"/>
    </row>
    <row r="30" spans="1:26" ht="18" x14ac:dyDescent="0.25">
      <c r="A30" s="456"/>
      <c r="B30" s="1759" t="s">
        <v>4000</v>
      </c>
      <c r="C30" s="1760" t="s">
        <v>269</v>
      </c>
      <c r="D30" s="1761">
        <v>0.59</v>
      </c>
      <c r="E30" s="1761">
        <v>10</v>
      </c>
      <c r="F30" s="1761">
        <v>0.25</v>
      </c>
      <c r="G30" s="1761">
        <v>10</v>
      </c>
      <c r="H30" s="2012">
        <v>160</v>
      </c>
      <c r="I30" s="2012">
        <v>160</v>
      </c>
      <c r="J30" s="1761">
        <v>17</v>
      </c>
      <c r="K30" s="1753">
        <v>4</v>
      </c>
      <c r="L30" s="1754">
        <v>0.68736299999999995</v>
      </c>
      <c r="M30" s="1754">
        <v>941.67774999999995</v>
      </c>
      <c r="N30" s="1762" t="s">
        <v>2801</v>
      </c>
      <c r="O30" s="1762" t="s">
        <v>2802</v>
      </c>
      <c r="P30" s="1763" t="s">
        <v>339</v>
      </c>
      <c r="Q30" s="1763">
        <v>1</v>
      </c>
      <c r="R30" s="1763" t="s">
        <v>252</v>
      </c>
      <c r="S30" s="1763" t="s">
        <v>255</v>
      </c>
      <c r="T30" s="1763" t="s">
        <v>256</v>
      </c>
      <c r="U30" s="1781" t="s">
        <v>250</v>
      </c>
      <c r="V30" s="74"/>
      <c r="W30" s="1764"/>
      <c r="Z30" s="457"/>
    </row>
    <row r="31" spans="1:26" ht="18" x14ac:dyDescent="0.25">
      <c r="A31" s="456"/>
      <c r="B31" s="1759" t="s">
        <v>4001</v>
      </c>
      <c r="C31" s="1760" t="s">
        <v>2604</v>
      </c>
      <c r="D31" s="1761">
        <v>2.5</v>
      </c>
      <c r="E31" s="1761">
        <v>0.5</v>
      </c>
      <c r="F31" s="1761">
        <v>2.5</v>
      </c>
      <c r="G31" s="1761">
        <v>0.5</v>
      </c>
      <c r="H31" s="2012">
        <v>300</v>
      </c>
      <c r="I31" s="1761">
        <v>2</v>
      </c>
      <c r="J31" s="1761">
        <v>0.5</v>
      </c>
      <c r="K31" s="1753">
        <v>0.5</v>
      </c>
      <c r="L31" s="1754">
        <v>2.4295</v>
      </c>
      <c r="M31" s="1754">
        <v>19.200199999999999</v>
      </c>
      <c r="N31" s="1762" t="s">
        <v>2801</v>
      </c>
      <c r="O31" s="1762" t="s">
        <v>2802</v>
      </c>
      <c r="P31" s="1763" t="s">
        <v>790</v>
      </c>
      <c r="Q31" s="1763">
        <v>1</v>
      </c>
      <c r="R31" s="1763" t="s">
        <v>252</v>
      </c>
      <c r="S31" s="1763" t="s">
        <v>253</v>
      </c>
      <c r="T31" s="1763" t="s">
        <v>256</v>
      </c>
      <c r="U31" s="1781" t="s">
        <v>251</v>
      </c>
      <c r="V31" s="74"/>
      <c r="W31" s="1764"/>
      <c r="Z31" s="457"/>
    </row>
    <row r="32" spans="1:26" ht="18" x14ac:dyDescent="0.25">
      <c r="A32" s="456"/>
      <c r="B32" s="1759" t="s">
        <v>4002</v>
      </c>
      <c r="C32" s="1760" t="s">
        <v>2605</v>
      </c>
      <c r="D32" s="1772">
        <v>0.1</v>
      </c>
      <c r="E32" s="1773">
        <v>60</v>
      </c>
      <c r="F32" s="1761" t="s">
        <v>1209</v>
      </c>
      <c r="G32" s="1773">
        <v>60</v>
      </c>
      <c r="H32" s="2013">
        <v>0.5</v>
      </c>
      <c r="I32" s="1773">
        <v>30</v>
      </c>
      <c r="J32" s="1773">
        <f t="shared" ref="J32:K32" si="0">0.2*J18</f>
        <v>170</v>
      </c>
      <c r="K32" s="1773">
        <f t="shared" si="0"/>
        <v>29.6</v>
      </c>
      <c r="L32" s="1782">
        <v>8.2511899999999999E-2</v>
      </c>
      <c r="M32" s="1782" t="s">
        <v>1209</v>
      </c>
      <c r="N32" s="1762" t="s">
        <v>2801</v>
      </c>
      <c r="O32" s="1762" t="s">
        <v>2802</v>
      </c>
      <c r="P32" s="1763" t="s">
        <v>790</v>
      </c>
      <c r="Q32" s="1763">
        <v>1</v>
      </c>
      <c r="R32" s="1763" t="s">
        <v>252</v>
      </c>
      <c r="S32" s="1763" t="s">
        <v>255</v>
      </c>
      <c r="T32" s="1763" t="s">
        <v>256</v>
      </c>
      <c r="U32" s="1781" t="s">
        <v>251</v>
      </c>
      <c r="V32" s="74" t="s">
        <v>3809</v>
      </c>
      <c r="W32" s="1764"/>
      <c r="Z32" s="457"/>
    </row>
    <row r="33" spans="1:26" ht="18" x14ac:dyDescent="0.25">
      <c r="A33" s="456"/>
      <c r="B33" s="1759" t="s">
        <v>4003</v>
      </c>
      <c r="C33" s="1760" t="s">
        <v>2606</v>
      </c>
      <c r="D33" s="1761">
        <v>0.45</v>
      </c>
      <c r="E33" s="1761">
        <v>0.01</v>
      </c>
      <c r="F33" s="1761">
        <v>0.45</v>
      </c>
      <c r="G33" s="1761">
        <v>0.01</v>
      </c>
      <c r="H33" s="1768">
        <v>0.01</v>
      </c>
      <c r="I33" s="1761">
        <v>0.03</v>
      </c>
      <c r="J33" s="1761">
        <v>0.03</v>
      </c>
      <c r="K33" s="1753">
        <v>0.01</v>
      </c>
      <c r="L33" s="1753">
        <v>1.5881300000000001E-2</v>
      </c>
      <c r="M33" s="1753">
        <v>1.2534899999999999E-3</v>
      </c>
      <c r="N33" s="1762" t="s">
        <v>2801</v>
      </c>
      <c r="O33" s="1762" t="s">
        <v>2802</v>
      </c>
      <c r="P33" s="1763" t="s">
        <v>790</v>
      </c>
      <c r="Q33" s="1763">
        <v>1</v>
      </c>
      <c r="R33" s="1763" t="s">
        <v>252</v>
      </c>
      <c r="S33" s="1763" t="s">
        <v>253</v>
      </c>
      <c r="T33" s="1763" t="s">
        <v>256</v>
      </c>
      <c r="U33" s="1781" t="s">
        <v>251</v>
      </c>
      <c r="V33" s="74"/>
      <c r="W33" s="1764"/>
      <c r="Z33" s="457"/>
    </row>
    <row r="34" spans="1:26" ht="18" x14ac:dyDescent="0.25">
      <c r="A34" s="456"/>
      <c r="B34" s="1766" t="s">
        <v>4004</v>
      </c>
      <c r="C34" s="1767" t="s">
        <v>2607</v>
      </c>
      <c r="D34" s="1768">
        <v>0.47</v>
      </c>
      <c r="E34" s="2012">
        <v>0.1</v>
      </c>
      <c r="F34" s="1768">
        <v>0.2</v>
      </c>
      <c r="G34" s="2012">
        <v>0.1</v>
      </c>
      <c r="H34" s="2012">
        <v>0.3</v>
      </c>
      <c r="I34" s="1768">
        <v>0.5</v>
      </c>
      <c r="J34" s="1768">
        <v>2</v>
      </c>
      <c r="K34" s="1754">
        <v>0.2</v>
      </c>
      <c r="L34" s="1754">
        <v>9.4807100000000005E-2</v>
      </c>
      <c r="M34" s="1754">
        <v>0.33840949999999997</v>
      </c>
      <c r="N34" s="1769" t="s">
        <v>2801</v>
      </c>
      <c r="O34" s="1769" t="s">
        <v>2802</v>
      </c>
      <c r="P34" s="1769" t="s">
        <v>790</v>
      </c>
      <c r="Q34" s="1769">
        <v>1</v>
      </c>
      <c r="R34" s="1769" t="s">
        <v>252</v>
      </c>
      <c r="S34" s="1769" t="s">
        <v>255</v>
      </c>
      <c r="T34" s="1769" t="s">
        <v>256</v>
      </c>
      <c r="U34" s="1769" t="s">
        <v>251</v>
      </c>
      <c r="V34" s="1770" t="s">
        <v>1608</v>
      </c>
      <c r="W34" s="1771"/>
      <c r="Z34" s="457"/>
    </row>
    <row r="35" spans="1:26" ht="18" x14ac:dyDescent="0.25">
      <c r="A35" s="456"/>
      <c r="B35" s="1766" t="s">
        <v>4683</v>
      </c>
      <c r="C35" s="1767" t="s">
        <v>4684</v>
      </c>
      <c r="D35" s="1761" t="s">
        <v>1209</v>
      </c>
      <c r="E35" s="2012">
        <v>1</v>
      </c>
      <c r="F35" s="1761" t="s">
        <v>1209</v>
      </c>
      <c r="G35" s="2012">
        <v>1</v>
      </c>
      <c r="H35" s="2012">
        <v>5</v>
      </c>
      <c r="I35" s="2012">
        <v>5</v>
      </c>
      <c r="J35" s="1768">
        <v>2</v>
      </c>
      <c r="K35" s="1754">
        <v>0.2</v>
      </c>
      <c r="L35" s="1754">
        <v>9.4807100000000005E-2</v>
      </c>
      <c r="M35" s="1754">
        <v>0.33840949999999997</v>
      </c>
      <c r="N35" s="1769" t="s">
        <v>2801</v>
      </c>
      <c r="O35" s="1769" t="s">
        <v>2802</v>
      </c>
      <c r="P35" s="1769" t="s">
        <v>790</v>
      </c>
      <c r="Q35" s="1769">
        <v>1</v>
      </c>
      <c r="R35" s="1769" t="s">
        <v>252</v>
      </c>
      <c r="S35" s="1769" t="s">
        <v>255</v>
      </c>
      <c r="T35" s="1769" t="s">
        <v>256</v>
      </c>
      <c r="U35" s="1769" t="s">
        <v>251</v>
      </c>
      <c r="V35" s="1770" t="s">
        <v>4947</v>
      </c>
      <c r="W35" s="1771"/>
      <c r="Z35" s="457"/>
    </row>
    <row r="36" spans="1:26" ht="18" x14ac:dyDescent="0.25">
      <c r="A36" s="456"/>
      <c r="B36" s="1759" t="s">
        <v>4005</v>
      </c>
      <c r="C36" s="1760" t="s">
        <v>2608</v>
      </c>
      <c r="D36" s="1761">
        <v>5.8999999999999997E-2</v>
      </c>
      <c r="E36" s="1761">
        <v>2</v>
      </c>
      <c r="F36" s="1761">
        <v>2.5000000000000001E-2</v>
      </c>
      <c r="G36" s="1761">
        <v>2</v>
      </c>
      <c r="H36" s="2012">
        <v>20</v>
      </c>
      <c r="I36" s="2012">
        <v>20</v>
      </c>
      <c r="J36" s="1761">
        <v>3</v>
      </c>
      <c r="K36" s="1753">
        <v>0.8</v>
      </c>
      <c r="L36" s="1754">
        <v>8.42117E-2</v>
      </c>
      <c r="M36" s="1754">
        <v>116.27200000000001</v>
      </c>
      <c r="N36" s="1762" t="s">
        <v>2801</v>
      </c>
      <c r="O36" s="1762" t="s">
        <v>2802</v>
      </c>
      <c r="P36" s="1763" t="s">
        <v>790</v>
      </c>
      <c r="Q36" s="1763">
        <v>1</v>
      </c>
      <c r="R36" s="1763" t="s">
        <v>252</v>
      </c>
      <c r="S36" s="1763" t="s">
        <v>255</v>
      </c>
      <c r="T36" s="1763" t="s">
        <v>256</v>
      </c>
      <c r="U36" s="1781" t="s">
        <v>251</v>
      </c>
      <c r="V36" s="74"/>
      <c r="W36" s="1764"/>
      <c r="Z36" s="457"/>
    </row>
    <row r="37" spans="1:26" ht="18" x14ac:dyDescent="0.25">
      <c r="A37" s="456"/>
      <c r="B37" s="1759" t="s">
        <v>4006</v>
      </c>
      <c r="C37" s="1760" t="s">
        <v>2609</v>
      </c>
      <c r="D37" s="1776" t="s">
        <v>1209</v>
      </c>
      <c r="E37" s="1761">
        <v>2</v>
      </c>
      <c r="F37" s="1776" t="s">
        <v>1209</v>
      </c>
      <c r="G37" s="1761">
        <v>2</v>
      </c>
      <c r="H37" s="1768" t="s">
        <v>1209</v>
      </c>
      <c r="I37" s="1761">
        <v>2</v>
      </c>
      <c r="J37" s="1761">
        <v>2</v>
      </c>
      <c r="K37" s="1753" t="s">
        <v>1209</v>
      </c>
      <c r="L37" s="1754">
        <v>6.6408499999999995E-2</v>
      </c>
      <c r="M37" s="1754" t="s">
        <v>1209</v>
      </c>
      <c r="N37" s="1762" t="s">
        <v>2801</v>
      </c>
      <c r="O37" s="1762" t="s">
        <v>2802</v>
      </c>
      <c r="P37" s="1763" t="s">
        <v>829</v>
      </c>
      <c r="Q37" s="1763">
        <v>1</v>
      </c>
      <c r="R37" s="1763" t="s">
        <v>252</v>
      </c>
      <c r="S37" s="1763" t="s">
        <v>253</v>
      </c>
      <c r="T37" s="1763" t="s">
        <v>800</v>
      </c>
      <c r="U37" s="1781" t="s">
        <v>4057</v>
      </c>
      <c r="V37" s="74"/>
      <c r="W37" s="1764"/>
      <c r="Z37" s="457"/>
    </row>
    <row r="38" spans="1:26" ht="18" x14ac:dyDescent="0.25">
      <c r="A38" s="456"/>
      <c r="B38" s="1759" t="s">
        <v>4007</v>
      </c>
      <c r="C38" s="1760" t="s">
        <v>2610</v>
      </c>
      <c r="D38" s="1776" t="s">
        <v>1209</v>
      </c>
      <c r="E38" s="1761">
        <v>0.01</v>
      </c>
      <c r="F38" s="1776" t="s">
        <v>1209</v>
      </c>
      <c r="G38" s="1761">
        <v>0.01</v>
      </c>
      <c r="H38" s="2012">
        <v>42</v>
      </c>
      <c r="I38" s="1761">
        <v>2.5</v>
      </c>
      <c r="J38" s="1761">
        <v>0.5</v>
      </c>
      <c r="K38" s="1753">
        <v>0.01</v>
      </c>
      <c r="L38" s="1754">
        <v>4.4072399999999998E-3</v>
      </c>
      <c r="M38" s="1754">
        <v>19.549700000000001</v>
      </c>
      <c r="N38" s="1762" t="s">
        <v>2801</v>
      </c>
      <c r="O38" s="1762" t="s">
        <v>2802</v>
      </c>
      <c r="P38" s="1763" t="s">
        <v>323</v>
      </c>
      <c r="Q38" s="1763">
        <v>1</v>
      </c>
      <c r="R38" s="1763" t="s">
        <v>252</v>
      </c>
      <c r="S38" s="1763" t="s">
        <v>253</v>
      </c>
      <c r="T38" s="1763" t="s">
        <v>256</v>
      </c>
      <c r="U38" s="1781" t="s">
        <v>148</v>
      </c>
      <c r="V38" s="74"/>
      <c r="W38" s="1764"/>
      <c r="Z38" s="457"/>
    </row>
    <row r="39" spans="1:26" ht="18" x14ac:dyDescent="0.25">
      <c r="A39" s="456"/>
      <c r="B39" s="1759" t="s">
        <v>4008</v>
      </c>
      <c r="C39" s="1760" t="s">
        <v>2611</v>
      </c>
      <c r="D39" s="1776" t="s">
        <v>1209</v>
      </c>
      <c r="E39" s="1761">
        <v>0.01</v>
      </c>
      <c r="F39" s="1776" t="s">
        <v>1209</v>
      </c>
      <c r="G39" s="1761">
        <v>0.01</v>
      </c>
      <c r="H39" s="2012">
        <v>0.01</v>
      </c>
      <c r="I39" s="1761">
        <v>0.01</v>
      </c>
      <c r="J39" s="1761">
        <v>1</v>
      </c>
      <c r="K39" s="1753">
        <v>0.01</v>
      </c>
      <c r="L39" s="1754">
        <v>2.7897600000000002E-2</v>
      </c>
      <c r="M39" s="1754">
        <v>1.1259399999999999E-2</v>
      </c>
      <c r="N39" s="1762" t="s">
        <v>2801</v>
      </c>
      <c r="O39" s="1762" t="s">
        <v>2802</v>
      </c>
      <c r="P39" s="1763" t="s">
        <v>323</v>
      </c>
      <c r="Q39" s="1763">
        <v>1</v>
      </c>
      <c r="R39" s="1763" t="s">
        <v>252</v>
      </c>
      <c r="S39" s="1763" t="s">
        <v>253</v>
      </c>
      <c r="T39" s="1763" t="s">
        <v>256</v>
      </c>
      <c r="U39" s="1781" t="s">
        <v>148</v>
      </c>
      <c r="V39" s="74"/>
      <c r="W39" s="1764"/>
      <c r="Z39" s="457"/>
    </row>
    <row r="40" spans="1:26" ht="18" x14ac:dyDescent="0.25">
      <c r="A40" s="456"/>
      <c r="B40" s="1759" t="s">
        <v>4009</v>
      </c>
      <c r="C40" s="1760" t="s">
        <v>2612</v>
      </c>
      <c r="D40" s="1761">
        <v>90</v>
      </c>
      <c r="E40" s="1761">
        <v>74</v>
      </c>
      <c r="F40" s="1761">
        <v>90</v>
      </c>
      <c r="G40" s="1761">
        <v>74</v>
      </c>
      <c r="H40" s="2012">
        <v>750</v>
      </c>
      <c r="I40" s="1761">
        <v>123</v>
      </c>
      <c r="J40" s="1761">
        <v>55</v>
      </c>
      <c r="K40" s="1753">
        <v>74</v>
      </c>
      <c r="L40" s="1761">
        <v>50.840800000000002</v>
      </c>
      <c r="M40" s="1761">
        <v>82.385499999999993</v>
      </c>
      <c r="N40" s="1762" t="s">
        <v>2801</v>
      </c>
      <c r="O40" s="1762" t="s">
        <v>2802</v>
      </c>
      <c r="P40" s="1763" t="s">
        <v>1131</v>
      </c>
      <c r="Q40" s="1763">
        <v>1</v>
      </c>
      <c r="R40" s="1763" t="s">
        <v>252</v>
      </c>
      <c r="S40" s="1763" t="s">
        <v>253</v>
      </c>
      <c r="T40" s="1763" t="s">
        <v>256</v>
      </c>
      <c r="U40" s="1781" t="s">
        <v>4058</v>
      </c>
      <c r="V40" s="74"/>
      <c r="W40" s="1764"/>
      <c r="Z40" s="457"/>
    </row>
    <row r="41" spans="1:26" ht="18" x14ac:dyDescent="0.25">
      <c r="A41" s="456"/>
      <c r="B41" s="1759" t="s">
        <v>4010</v>
      </c>
      <c r="C41" s="1760" t="s">
        <v>2205</v>
      </c>
      <c r="D41" s="1761">
        <v>27.7</v>
      </c>
      <c r="E41" s="1761">
        <v>460</v>
      </c>
      <c r="F41" s="1761">
        <v>8.0399999999999991</v>
      </c>
      <c r="G41" s="1761">
        <v>460</v>
      </c>
      <c r="H41" s="2012">
        <v>6500</v>
      </c>
      <c r="I41" s="1761">
        <v>6500</v>
      </c>
      <c r="J41" s="1761">
        <v>1100</v>
      </c>
      <c r="K41" s="1753">
        <v>184</v>
      </c>
      <c r="L41" s="1754">
        <v>37.443199999999997</v>
      </c>
      <c r="M41" s="1754">
        <v>32288.1</v>
      </c>
      <c r="N41" s="1762" t="s">
        <v>2801</v>
      </c>
      <c r="O41" s="1762" t="s">
        <v>2802</v>
      </c>
      <c r="P41" s="1763" t="s">
        <v>364</v>
      </c>
      <c r="Q41" s="1763">
        <v>1</v>
      </c>
      <c r="R41" s="1763" t="s">
        <v>252</v>
      </c>
      <c r="S41" s="1763" t="s">
        <v>255</v>
      </c>
      <c r="T41" s="1763" t="s">
        <v>256</v>
      </c>
      <c r="U41" s="1781" t="s">
        <v>4059</v>
      </c>
      <c r="V41" s="74"/>
      <c r="W41" s="1764"/>
      <c r="Z41" s="457"/>
    </row>
    <row r="42" spans="1:26" ht="18" x14ac:dyDescent="0.25">
      <c r="A42" s="456"/>
      <c r="B42" s="1759" t="s">
        <v>4011</v>
      </c>
      <c r="C42" s="1760" t="s">
        <v>2613</v>
      </c>
      <c r="D42" s="1761">
        <v>109.9</v>
      </c>
      <c r="E42" s="1761">
        <v>35</v>
      </c>
      <c r="F42" s="1761">
        <v>109.9</v>
      </c>
      <c r="G42" s="1761">
        <v>35</v>
      </c>
      <c r="H42" s="2012">
        <v>260</v>
      </c>
      <c r="I42" s="1761">
        <v>130</v>
      </c>
      <c r="J42" s="1761">
        <v>120</v>
      </c>
      <c r="K42" s="1753">
        <v>35</v>
      </c>
      <c r="L42" s="1761">
        <v>108.547</v>
      </c>
      <c r="M42" s="1761">
        <v>131.91999999999999</v>
      </c>
      <c r="N42" s="1762" t="s">
        <v>2801</v>
      </c>
      <c r="O42" s="1762" t="s">
        <v>2802</v>
      </c>
      <c r="P42" s="1763" t="s">
        <v>1045</v>
      </c>
      <c r="Q42" s="1763">
        <v>1</v>
      </c>
      <c r="R42" s="1763" t="s">
        <v>252</v>
      </c>
      <c r="S42" s="1763" t="s">
        <v>253</v>
      </c>
      <c r="T42" s="1763" t="s">
        <v>256</v>
      </c>
      <c r="U42" s="1781" t="s">
        <v>1111</v>
      </c>
      <c r="V42" s="74"/>
      <c r="W42" s="1764" t="s">
        <v>1060</v>
      </c>
      <c r="Z42" s="457"/>
    </row>
    <row r="43" spans="1:26" ht="18" x14ac:dyDescent="0.25">
      <c r="A43" s="456"/>
      <c r="B43" s="1759" t="s">
        <v>4012</v>
      </c>
      <c r="C43" s="1760" t="s">
        <v>2614</v>
      </c>
      <c r="D43" s="1761">
        <v>300</v>
      </c>
      <c r="E43" s="1761">
        <v>150</v>
      </c>
      <c r="F43" s="1761">
        <v>300</v>
      </c>
      <c r="G43" s="1761">
        <v>150</v>
      </c>
      <c r="H43" s="2012">
        <v>670</v>
      </c>
      <c r="I43" s="1761">
        <v>300</v>
      </c>
      <c r="J43" s="1761">
        <v>300</v>
      </c>
      <c r="K43" s="1753">
        <v>150</v>
      </c>
      <c r="L43" s="1761">
        <v>296.70299999999997</v>
      </c>
      <c r="M43" s="1761">
        <v>353.66300000000001</v>
      </c>
      <c r="N43" s="1762" t="s">
        <v>2801</v>
      </c>
      <c r="O43" s="1762" t="s">
        <v>2802</v>
      </c>
      <c r="P43" s="1763" t="s">
        <v>1047</v>
      </c>
      <c r="Q43" s="1763">
        <v>1</v>
      </c>
      <c r="R43" s="1763" t="s">
        <v>252</v>
      </c>
      <c r="S43" s="1763" t="s">
        <v>253</v>
      </c>
      <c r="T43" s="1763" t="s">
        <v>256</v>
      </c>
      <c r="U43" s="1781" t="s">
        <v>142</v>
      </c>
      <c r="V43" s="74"/>
      <c r="W43" s="1764" t="s">
        <v>1061</v>
      </c>
      <c r="Z43" s="457"/>
    </row>
    <row r="44" spans="1:26" ht="18" x14ac:dyDescent="0.25">
      <c r="A44" s="456"/>
      <c r="B44" s="1759" t="s">
        <v>4013</v>
      </c>
      <c r="C44" s="1760" t="s">
        <v>984</v>
      </c>
      <c r="D44" s="1761">
        <v>150</v>
      </c>
      <c r="E44" s="1761">
        <v>150</v>
      </c>
      <c r="F44" s="1761">
        <v>150</v>
      </c>
      <c r="G44" s="1761">
        <v>150</v>
      </c>
      <c r="H44" s="2012">
        <v>45</v>
      </c>
      <c r="I44" s="1761">
        <v>150</v>
      </c>
      <c r="J44" s="1761">
        <v>150</v>
      </c>
      <c r="K44" s="1753">
        <v>150</v>
      </c>
      <c r="L44" s="1761">
        <v>149.75</v>
      </c>
      <c r="M44" s="1761">
        <v>154.28100000000001</v>
      </c>
      <c r="N44" s="1762" t="s">
        <v>2801</v>
      </c>
      <c r="O44" s="1762" t="s">
        <v>2802</v>
      </c>
      <c r="P44" s="1763" t="s">
        <v>985</v>
      </c>
      <c r="Q44" s="1763">
        <v>1</v>
      </c>
      <c r="R44" s="1763" t="s">
        <v>252</v>
      </c>
      <c r="S44" s="1763" t="s">
        <v>253</v>
      </c>
      <c r="T44" s="1763" t="s">
        <v>256</v>
      </c>
      <c r="U44" s="1781" t="s">
        <v>986</v>
      </c>
      <c r="V44" s="74"/>
      <c r="W44" s="1764"/>
      <c r="Z44" s="457"/>
    </row>
    <row r="45" spans="1:26" ht="18" x14ac:dyDescent="0.25">
      <c r="A45" s="456"/>
      <c r="B45" s="1759" t="s">
        <v>4014</v>
      </c>
      <c r="C45" s="1760" t="s">
        <v>359</v>
      </c>
      <c r="D45" s="1761">
        <v>15</v>
      </c>
      <c r="E45" s="1761">
        <v>15</v>
      </c>
      <c r="F45" s="1761">
        <v>15</v>
      </c>
      <c r="G45" s="1761">
        <v>15</v>
      </c>
      <c r="H45" s="2012">
        <v>20</v>
      </c>
      <c r="I45" s="1761">
        <v>15</v>
      </c>
      <c r="J45" s="1761">
        <v>7</v>
      </c>
      <c r="K45" s="1753">
        <v>15</v>
      </c>
      <c r="L45" s="1761">
        <v>14.7585</v>
      </c>
      <c r="M45" s="1761">
        <v>19.3675</v>
      </c>
      <c r="N45" s="1762" t="s">
        <v>2801</v>
      </c>
      <c r="O45" s="1762" t="s">
        <v>2802</v>
      </c>
      <c r="P45" s="1763" t="s">
        <v>834</v>
      </c>
      <c r="Q45" s="1763">
        <v>1</v>
      </c>
      <c r="R45" s="1763" t="s">
        <v>252</v>
      </c>
      <c r="S45" s="1763" t="s">
        <v>253</v>
      </c>
      <c r="T45" s="1763" t="s">
        <v>256</v>
      </c>
      <c r="U45" s="1781" t="s">
        <v>987</v>
      </c>
      <c r="V45" s="74"/>
      <c r="W45" s="1764"/>
      <c r="Z45" s="457"/>
    </row>
    <row r="46" spans="1:26" ht="18" x14ac:dyDescent="0.25">
      <c r="A46" s="456"/>
      <c r="B46" s="1759" t="s">
        <v>4015</v>
      </c>
      <c r="C46" s="1760" t="s">
        <v>1044</v>
      </c>
      <c r="D46" s="1761">
        <v>16</v>
      </c>
      <c r="E46" s="1761">
        <v>15</v>
      </c>
      <c r="F46" s="1761">
        <v>16</v>
      </c>
      <c r="G46" s="1761">
        <v>15</v>
      </c>
      <c r="H46" s="2012">
        <v>20</v>
      </c>
      <c r="I46" s="1761">
        <v>16</v>
      </c>
      <c r="J46" s="1761">
        <v>5</v>
      </c>
      <c r="K46" s="1753">
        <v>15</v>
      </c>
      <c r="L46" s="1761">
        <v>16.0077</v>
      </c>
      <c r="M46" s="1761">
        <v>16.0748</v>
      </c>
      <c r="N46" s="1762" t="s">
        <v>2801</v>
      </c>
      <c r="O46" s="1762" t="s">
        <v>2802</v>
      </c>
      <c r="P46" s="1763" t="s">
        <v>1046</v>
      </c>
      <c r="Q46" s="1763">
        <v>1</v>
      </c>
      <c r="R46" s="1763" t="s">
        <v>252</v>
      </c>
      <c r="S46" s="1763" t="s">
        <v>253</v>
      </c>
      <c r="T46" s="1763" t="s">
        <v>256</v>
      </c>
      <c r="U46" s="1781" t="s">
        <v>475</v>
      </c>
      <c r="V46" s="74"/>
      <c r="W46" s="1764"/>
      <c r="Z46" s="457"/>
    </row>
    <row r="47" spans="1:26" ht="18.75" customHeight="1" x14ac:dyDescent="0.25">
      <c r="A47" s="456"/>
      <c r="B47" s="1759" t="s">
        <v>4016</v>
      </c>
      <c r="C47" s="1760" t="s">
        <v>2620</v>
      </c>
      <c r="D47" s="1776" t="s">
        <v>1209</v>
      </c>
      <c r="E47" s="1765">
        <v>1E-50</v>
      </c>
      <c r="F47" s="1776" t="s">
        <v>1209</v>
      </c>
      <c r="G47" s="1765" t="s">
        <v>1209</v>
      </c>
      <c r="H47" s="2014" t="s">
        <v>1209</v>
      </c>
      <c r="I47" s="1765" t="s">
        <v>1209</v>
      </c>
      <c r="J47" s="1765" t="s">
        <v>1209</v>
      </c>
      <c r="K47" s="1753" t="s">
        <v>1209</v>
      </c>
      <c r="L47" s="1753">
        <v>4.1173900000000003E-3</v>
      </c>
      <c r="M47" s="1753">
        <v>8.4376400000000004E-2</v>
      </c>
      <c r="N47" s="1762" t="s">
        <v>2801</v>
      </c>
      <c r="O47" s="1762" t="s">
        <v>2802</v>
      </c>
      <c r="P47" s="1763" t="s">
        <v>836</v>
      </c>
      <c r="Q47" s="1763">
        <v>1</v>
      </c>
      <c r="R47" s="1763" t="s">
        <v>252</v>
      </c>
      <c r="S47" s="1763" t="s">
        <v>253</v>
      </c>
      <c r="T47" s="1763" t="s">
        <v>256</v>
      </c>
      <c r="U47" s="1781" t="s">
        <v>2662</v>
      </c>
      <c r="V47" s="74"/>
      <c r="W47" s="1764"/>
      <c r="Z47" s="457"/>
    </row>
    <row r="48" spans="1:26" ht="18" x14ac:dyDescent="0.25">
      <c r="A48" s="456"/>
      <c r="B48" s="1759" t="s">
        <v>4017</v>
      </c>
      <c r="C48" s="1760" t="s">
        <v>2615</v>
      </c>
      <c r="D48" s="1776" t="s">
        <v>1209</v>
      </c>
      <c r="E48" s="1765">
        <v>1E-50</v>
      </c>
      <c r="F48" s="1776" t="s">
        <v>1209</v>
      </c>
      <c r="G48" s="1761" t="s">
        <v>1209</v>
      </c>
      <c r="H48" s="1768" t="s">
        <v>1209</v>
      </c>
      <c r="I48" s="1761" t="s">
        <v>1209</v>
      </c>
      <c r="J48" s="1761" t="s">
        <v>1209</v>
      </c>
      <c r="K48" s="1753" t="s">
        <v>1209</v>
      </c>
      <c r="L48" s="1753" t="s">
        <v>1209</v>
      </c>
      <c r="M48" s="1753" t="s">
        <v>1209</v>
      </c>
      <c r="N48" s="1762" t="s">
        <v>2801</v>
      </c>
      <c r="O48" s="1762" t="s">
        <v>2802</v>
      </c>
      <c r="P48" s="1763" t="s">
        <v>836</v>
      </c>
      <c r="Q48" s="1763">
        <v>1</v>
      </c>
      <c r="R48" s="1763" t="s">
        <v>252</v>
      </c>
      <c r="S48" s="1763" t="s">
        <v>255</v>
      </c>
      <c r="T48" s="1763" t="s">
        <v>256</v>
      </c>
      <c r="U48" s="1781" t="s">
        <v>2662</v>
      </c>
      <c r="V48" s="74"/>
      <c r="W48" s="1764"/>
      <c r="Z48" s="457"/>
    </row>
    <row r="49" spans="1:26" ht="18" x14ac:dyDescent="0.25">
      <c r="A49" s="456"/>
      <c r="B49" s="1759" t="s">
        <v>4018</v>
      </c>
      <c r="C49" s="1760" t="s">
        <v>2616</v>
      </c>
      <c r="D49" s="1776" t="s">
        <v>1209</v>
      </c>
      <c r="E49" s="1765">
        <v>1E-50</v>
      </c>
      <c r="F49" s="1776" t="s">
        <v>1209</v>
      </c>
      <c r="G49" s="1761" t="s">
        <v>1209</v>
      </c>
      <c r="H49" s="1768" t="s">
        <v>1209</v>
      </c>
      <c r="I49" s="1761" t="s">
        <v>1209</v>
      </c>
      <c r="J49" s="1761" t="s">
        <v>1209</v>
      </c>
      <c r="K49" s="1753" t="s">
        <v>1209</v>
      </c>
      <c r="L49" s="1753" t="s">
        <v>1209</v>
      </c>
      <c r="M49" s="1753" t="s">
        <v>1209</v>
      </c>
      <c r="N49" s="1762" t="s">
        <v>2801</v>
      </c>
      <c r="O49" s="1762" t="s">
        <v>2802</v>
      </c>
      <c r="P49" s="1763" t="s">
        <v>836</v>
      </c>
      <c r="Q49" s="1763">
        <v>1</v>
      </c>
      <c r="R49" s="1763" t="s">
        <v>252</v>
      </c>
      <c r="S49" s="1763" t="s">
        <v>255</v>
      </c>
      <c r="T49" s="1763" t="s">
        <v>256</v>
      </c>
      <c r="U49" s="1781" t="s">
        <v>2662</v>
      </c>
      <c r="V49" s="74"/>
      <c r="W49" s="1764"/>
      <c r="Z49" s="457"/>
    </row>
    <row r="50" spans="1:26" ht="18.75" customHeight="1" x14ac:dyDescent="0.25">
      <c r="A50" s="456"/>
      <c r="B50" s="1759" t="s">
        <v>4019</v>
      </c>
      <c r="C50" s="1760" t="s">
        <v>2617</v>
      </c>
      <c r="D50" s="1776">
        <v>0.01</v>
      </c>
      <c r="E50" s="1783">
        <v>0.01</v>
      </c>
      <c r="F50" s="1776">
        <v>3.0000000000000001E-3</v>
      </c>
      <c r="G50" s="1761" t="s">
        <v>1209</v>
      </c>
      <c r="H50" s="1768" t="s">
        <v>1209</v>
      </c>
      <c r="I50" s="1761" t="s">
        <v>1209</v>
      </c>
      <c r="J50" s="1761" t="s">
        <v>1209</v>
      </c>
      <c r="K50" s="1753" t="s">
        <v>1209</v>
      </c>
      <c r="L50" s="1753">
        <v>9.2881400000000003E-3</v>
      </c>
      <c r="M50" s="1753">
        <v>9.7209449999999982E-3</v>
      </c>
      <c r="N50" s="1762" t="s">
        <v>2801</v>
      </c>
      <c r="O50" s="1762" t="s">
        <v>2802</v>
      </c>
      <c r="P50" s="1763" t="s">
        <v>836</v>
      </c>
      <c r="Q50" s="1763">
        <v>1</v>
      </c>
      <c r="R50" s="1763" t="s">
        <v>252</v>
      </c>
      <c r="S50" s="1763" t="s">
        <v>255</v>
      </c>
      <c r="T50" s="1763" t="s">
        <v>256</v>
      </c>
      <c r="U50" s="1781" t="s">
        <v>2662</v>
      </c>
      <c r="V50" s="74"/>
      <c r="W50" s="1764"/>
      <c r="Z50" s="457"/>
    </row>
    <row r="51" spans="1:26" ht="18" x14ac:dyDescent="0.25">
      <c r="A51" s="456"/>
      <c r="B51" s="1759" t="s">
        <v>4020</v>
      </c>
      <c r="C51" s="1760" t="s">
        <v>2618</v>
      </c>
      <c r="D51" s="1776" t="s">
        <v>1209</v>
      </c>
      <c r="E51" s="1765">
        <v>1E-50</v>
      </c>
      <c r="F51" s="1776" t="s">
        <v>1209</v>
      </c>
      <c r="G51" s="1761" t="s">
        <v>1209</v>
      </c>
      <c r="H51" s="1768" t="s">
        <v>1209</v>
      </c>
      <c r="I51" s="1761" t="s">
        <v>1209</v>
      </c>
      <c r="J51" s="1761" t="s">
        <v>1209</v>
      </c>
      <c r="K51" s="1753" t="s">
        <v>1209</v>
      </c>
      <c r="L51" s="1753" t="s">
        <v>1209</v>
      </c>
      <c r="M51" s="1753" t="s">
        <v>1209</v>
      </c>
      <c r="N51" s="1762" t="s">
        <v>2801</v>
      </c>
      <c r="O51" s="1762" t="s">
        <v>2802</v>
      </c>
      <c r="P51" s="1763" t="s">
        <v>836</v>
      </c>
      <c r="Q51" s="1763">
        <v>1</v>
      </c>
      <c r="R51" s="1763" t="s">
        <v>252</v>
      </c>
      <c r="S51" s="1763" t="s">
        <v>255</v>
      </c>
      <c r="T51" s="1763" t="s">
        <v>256</v>
      </c>
      <c r="U51" s="1781" t="s">
        <v>2662</v>
      </c>
      <c r="V51" s="74"/>
      <c r="W51" s="1764"/>
      <c r="Z51" s="457"/>
    </row>
    <row r="52" spans="1:26" ht="18" x14ac:dyDescent="0.25">
      <c r="A52" s="456"/>
      <c r="B52" s="1759" t="s">
        <v>4021</v>
      </c>
      <c r="C52" s="1760" t="s">
        <v>2619</v>
      </c>
      <c r="D52" s="1776" t="s">
        <v>1209</v>
      </c>
      <c r="E52" s="1765">
        <v>1E-50</v>
      </c>
      <c r="F52" s="1776" t="s">
        <v>1209</v>
      </c>
      <c r="G52" s="1761" t="s">
        <v>1209</v>
      </c>
      <c r="H52" s="1768" t="s">
        <v>1209</v>
      </c>
      <c r="I52" s="1761" t="s">
        <v>1209</v>
      </c>
      <c r="J52" s="1761" t="s">
        <v>1209</v>
      </c>
      <c r="K52" s="1753" t="s">
        <v>1209</v>
      </c>
      <c r="L52" s="1753" t="s">
        <v>1209</v>
      </c>
      <c r="M52" s="1753" t="s">
        <v>1209</v>
      </c>
      <c r="N52" s="1762" t="s">
        <v>2801</v>
      </c>
      <c r="O52" s="1762" t="s">
        <v>2802</v>
      </c>
      <c r="P52" s="1763" t="s">
        <v>836</v>
      </c>
      <c r="Q52" s="1763">
        <v>1</v>
      </c>
      <c r="R52" s="1763" t="s">
        <v>252</v>
      </c>
      <c r="S52" s="1763" t="s">
        <v>255</v>
      </c>
      <c r="T52" s="1763" t="s">
        <v>256</v>
      </c>
      <c r="U52" s="1781" t="s">
        <v>2662</v>
      </c>
      <c r="V52" s="74"/>
      <c r="W52" s="1764"/>
      <c r="Z52" s="457"/>
    </row>
    <row r="53" spans="1:26" s="4" customFormat="1" ht="18" x14ac:dyDescent="0.25">
      <c r="A53" s="456"/>
      <c r="B53" s="1784" t="s">
        <v>4022</v>
      </c>
      <c r="C53" s="1760" t="s">
        <v>4295</v>
      </c>
      <c r="D53" s="1776" t="s">
        <v>1209</v>
      </c>
      <c r="E53" s="1765">
        <v>1E-50</v>
      </c>
      <c r="F53" s="1776" t="s">
        <v>1209</v>
      </c>
      <c r="G53" s="1765" t="s">
        <v>1209</v>
      </c>
      <c r="H53" s="2014" t="s">
        <v>1209</v>
      </c>
      <c r="I53" s="1765" t="s">
        <v>1209</v>
      </c>
      <c r="J53" s="1765" t="s">
        <v>1209</v>
      </c>
      <c r="K53" s="1753" t="s">
        <v>1209</v>
      </c>
      <c r="L53" s="1753">
        <v>1.5834600000000001E-3</v>
      </c>
      <c r="M53" s="1753" t="s">
        <v>1209</v>
      </c>
      <c r="N53" s="1762" t="s">
        <v>2801</v>
      </c>
      <c r="O53" s="1762" t="s">
        <v>2802</v>
      </c>
      <c r="P53" s="1763" t="s">
        <v>469</v>
      </c>
      <c r="Q53" s="1763">
        <v>1</v>
      </c>
      <c r="R53" s="1763" t="s">
        <v>252</v>
      </c>
      <c r="S53" s="1763" t="s">
        <v>255</v>
      </c>
      <c r="T53" s="1763" t="s">
        <v>256</v>
      </c>
      <c r="U53" s="1781" t="s">
        <v>2662</v>
      </c>
      <c r="V53" s="74"/>
      <c r="W53" s="1764"/>
      <c r="Z53" s="458"/>
    </row>
    <row r="54" spans="1:26" s="4" customFormat="1" ht="18" x14ac:dyDescent="0.25">
      <c r="A54" s="455"/>
      <c r="B54" s="1784" t="s">
        <v>4023</v>
      </c>
      <c r="C54" s="1760" t="s">
        <v>4296</v>
      </c>
      <c r="D54" s="1776" t="s">
        <v>1209</v>
      </c>
      <c r="E54" s="1765">
        <v>1E-50</v>
      </c>
      <c r="F54" s="1776" t="s">
        <v>1209</v>
      </c>
      <c r="G54" s="1765" t="s">
        <v>1209</v>
      </c>
      <c r="H54" s="2014" t="s">
        <v>1209</v>
      </c>
      <c r="I54" s="1765" t="s">
        <v>1209</v>
      </c>
      <c r="J54" s="1765" t="s">
        <v>1209</v>
      </c>
      <c r="K54" s="1753" t="s">
        <v>1209</v>
      </c>
      <c r="L54" s="1753">
        <v>1.13138E-3</v>
      </c>
      <c r="M54" s="1753" t="s">
        <v>1209</v>
      </c>
      <c r="N54" s="1762" t="s">
        <v>2801</v>
      </c>
      <c r="O54" s="1762" t="s">
        <v>2802</v>
      </c>
      <c r="P54" s="1763" t="s">
        <v>469</v>
      </c>
      <c r="Q54" s="1763">
        <v>1</v>
      </c>
      <c r="R54" s="1763" t="s">
        <v>252</v>
      </c>
      <c r="S54" s="1763" t="s">
        <v>255</v>
      </c>
      <c r="T54" s="1763" t="s">
        <v>256</v>
      </c>
      <c r="U54" s="1781" t="s">
        <v>2662</v>
      </c>
      <c r="V54" s="74"/>
      <c r="W54" s="1764"/>
      <c r="Z54" s="458"/>
    </row>
    <row r="55" spans="1:26" ht="18" x14ac:dyDescent="0.25">
      <c r="B55" s="1784" t="s">
        <v>4024</v>
      </c>
      <c r="C55" s="1785" t="s">
        <v>3374</v>
      </c>
      <c r="D55" s="1786" t="s">
        <v>1209</v>
      </c>
      <c r="E55" s="1765">
        <v>1E-50</v>
      </c>
      <c r="F55" s="1786" t="s">
        <v>1209</v>
      </c>
      <c r="G55" s="1787" t="s">
        <v>1209</v>
      </c>
      <c r="H55" s="2014" t="s">
        <v>1209</v>
      </c>
      <c r="I55" s="1787" t="s">
        <v>1209</v>
      </c>
      <c r="J55" s="1761" t="s">
        <v>1209</v>
      </c>
      <c r="K55" s="1788" t="s">
        <v>1209</v>
      </c>
      <c r="L55" s="1788" t="s">
        <v>1209</v>
      </c>
      <c r="M55" s="1788" t="s">
        <v>1209</v>
      </c>
      <c r="N55" s="1781" t="s">
        <v>2801</v>
      </c>
      <c r="O55" s="1781" t="s">
        <v>2802</v>
      </c>
      <c r="P55" s="1781" t="s">
        <v>3375</v>
      </c>
      <c r="Q55" s="1781">
        <v>1</v>
      </c>
      <c r="R55" s="1781" t="s">
        <v>252</v>
      </c>
      <c r="S55" s="1781" t="s">
        <v>255</v>
      </c>
      <c r="T55" s="1781" t="s">
        <v>256</v>
      </c>
      <c r="U55" s="1781" t="s">
        <v>2663</v>
      </c>
      <c r="V55" s="1789"/>
      <c r="W55" s="1790"/>
    </row>
    <row r="56" spans="1:26" ht="18" x14ac:dyDescent="0.25">
      <c r="B56" s="1784" t="s">
        <v>4025</v>
      </c>
      <c r="C56" s="1785" t="s">
        <v>3376</v>
      </c>
      <c r="D56" s="1786" t="s">
        <v>1209</v>
      </c>
      <c r="E56" s="1765">
        <v>1E-50</v>
      </c>
      <c r="F56" s="1786" t="s">
        <v>1209</v>
      </c>
      <c r="G56" s="1787" t="s">
        <v>1209</v>
      </c>
      <c r="H56" s="2014" t="s">
        <v>1209</v>
      </c>
      <c r="I56" s="1787" t="s">
        <v>1209</v>
      </c>
      <c r="J56" s="1761" t="s">
        <v>1209</v>
      </c>
      <c r="K56" s="1788" t="s">
        <v>1209</v>
      </c>
      <c r="L56" s="1788" t="s">
        <v>1209</v>
      </c>
      <c r="M56" s="1788" t="s">
        <v>1209</v>
      </c>
      <c r="N56" s="1781" t="s">
        <v>2801</v>
      </c>
      <c r="O56" s="1781" t="s">
        <v>2802</v>
      </c>
      <c r="P56" s="1781" t="s">
        <v>3375</v>
      </c>
      <c r="Q56" s="1781">
        <v>1</v>
      </c>
      <c r="R56" s="1781" t="s">
        <v>252</v>
      </c>
      <c r="S56" s="1781" t="s">
        <v>255</v>
      </c>
      <c r="T56" s="1781" t="s">
        <v>256</v>
      </c>
      <c r="U56" s="1781" t="s">
        <v>2663</v>
      </c>
      <c r="V56" s="1789"/>
      <c r="W56" s="1790"/>
    </row>
    <row r="57" spans="1:26" ht="18" x14ac:dyDescent="0.25">
      <c r="B57" s="1784" t="s">
        <v>4026</v>
      </c>
      <c r="C57" s="1785" t="s">
        <v>3377</v>
      </c>
      <c r="D57" s="1776">
        <v>0.01</v>
      </c>
      <c r="E57" s="1783">
        <v>0.01</v>
      </c>
      <c r="F57" s="1776">
        <v>3.0000000000000001E-3</v>
      </c>
      <c r="G57" s="1787" t="s">
        <v>1209</v>
      </c>
      <c r="H57" s="2014" t="s">
        <v>1209</v>
      </c>
      <c r="I57" s="1787" t="s">
        <v>1209</v>
      </c>
      <c r="J57" s="1761" t="s">
        <v>1209</v>
      </c>
      <c r="K57" s="1788" t="s">
        <v>1209</v>
      </c>
      <c r="L57" s="1788">
        <v>9.0579600000000003E-3</v>
      </c>
      <c r="M57" s="1788">
        <v>12.287762499999999</v>
      </c>
      <c r="N57" s="1781" t="s">
        <v>2801</v>
      </c>
      <c r="O57" s="1781" t="s">
        <v>2802</v>
      </c>
      <c r="P57" s="1781" t="s">
        <v>3375</v>
      </c>
      <c r="Q57" s="1781">
        <v>1</v>
      </c>
      <c r="R57" s="1781" t="s">
        <v>252</v>
      </c>
      <c r="S57" s="1781" t="s">
        <v>255</v>
      </c>
      <c r="T57" s="1781" t="s">
        <v>256</v>
      </c>
      <c r="U57" s="1781" t="s">
        <v>2663</v>
      </c>
      <c r="V57" s="1789"/>
      <c r="W57" s="1790"/>
    </row>
    <row r="58" spans="1:26" ht="18" x14ac:dyDescent="0.25">
      <c r="B58" s="1784" t="s">
        <v>4027</v>
      </c>
      <c r="C58" s="1785" t="s">
        <v>3378</v>
      </c>
      <c r="D58" s="1786" t="s">
        <v>1209</v>
      </c>
      <c r="E58" s="1765">
        <v>1E-50</v>
      </c>
      <c r="F58" s="1786" t="s">
        <v>1209</v>
      </c>
      <c r="G58" s="1787" t="s">
        <v>1209</v>
      </c>
      <c r="H58" s="2014" t="s">
        <v>1209</v>
      </c>
      <c r="I58" s="1787" t="s">
        <v>1209</v>
      </c>
      <c r="J58" s="1761" t="s">
        <v>1209</v>
      </c>
      <c r="K58" s="1788" t="s">
        <v>1209</v>
      </c>
      <c r="L58" s="1788" t="s">
        <v>1209</v>
      </c>
      <c r="M58" s="1788" t="s">
        <v>1209</v>
      </c>
      <c r="N58" s="1781" t="s">
        <v>2801</v>
      </c>
      <c r="O58" s="1781" t="s">
        <v>2802</v>
      </c>
      <c r="P58" s="1781" t="s">
        <v>3375</v>
      </c>
      <c r="Q58" s="1781">
        <v>1</v>
      </c>
      <c r="R58" s="1781" t="s">
        <v>252</v>
      </c>
      <c r="S58" s="1781" t="s">
        <v>255</v>
      </c>
      <c r="T58" s="1781" t="s">
        <v>256</v>
      </c>
      <c r="U58" s="1781" t="s">
        <v>2663</v>
      </c>
      <c r="V58" s="1789"/>
      <c r="W58" s="1790"/>
    </row>
    <row r="59" spans="1:26" ht="18" x14ac:dyDescent="0.25">
      <c r="B59" s="1784" t="s">
        <v>4028</v>
      </c>
      <c r="C59" s="1785" t="s">
        <v>3379</v>
      </c>
      <c r="D59" s="1786" t="s">
        <v>1209</v>
      </c>
      <c r="E59" s="1765">
        <v>1E-50</v>
      </c>
      <c r="F59" s="1786" t="s">
        <v>1209</v>
      </c>
      <c r="G59" s="1787" t="s">
        <v>1209</v>
      </c>
      <c r="H59" s="2014" t="s">
        <v>1209</v>
      </c>
      <c r="I59" s="1787" t="s">
        <v>1209</v>
      </c>
      <c r="J59" s="1761" t="s">
        <v>1209</v>
      </c>
      <c r="K59" s="1788" t="s">
        <v>1209</v>
      </c>
      <c r="L59" s="1788" t="s">
        <v>1209</v>
      </c>
      <c r="M59" s="1788" t="s">
        <v>1209</v>
      </c>
      <c r="N59" s="1781" t="s">
        <v>2801</v>
      </c>
      <c r="O59" s="1781" t="s">
        <v>2802</v>
      </c>
      <c r="P59" s="1781" t="s">
        <v>3375</v>
      </c>
      <c r="Q59" s="1781">
        <v>1</v>
      </c>
      <c r="R59" s="1781" t="s">
        <v>252</v>
      </c>
      <c r="S59" s="1781" t="s">
        <v>255</v>
      </c>
      <c r="T59" s="1781" t="s">
        <v>256</v>
      </c>
      <c r="U59" s="1781" t="s">
        <v>2663</v>
      </c>
      <c r="V59" s="1789"/>
      <c r="W59" s="1790"/>
    </row>
    <row r="60" spans="1:26" ht="18" x14ac:dyDescent="0.25">
      <c r="B60" s="1784" t="s">
        <v>4029</v>
      </c>
      <c r="C60" s="1785" t="s">
        <v>3380</v>
      </c>
      <c r="D60" s="1786" t="s">
        <v>1209</v>
      </c>
      <c r="E60" s="1765">
        <v>1E-50</v>
      </c>
      <c r="F60" s="1786" t="s">
        <v>1209</v>
      </c>
      <c r="G60" s="1787" t="s">
        <v>1209</v>
      </c>
      <c r="H60" s="2014" t="s">
        <v>1209</v>
      </c>
      <c r="I60" s="1787" t="s">
        <v>1209</v>
      </c>
      <c r="J60" s="1765" t="s">
        <v>1209</v>
      </c>
      <c r="K60" s="1788" t="s">
        <v>1209</v>
      </c>
      <c r="L60" s="1788" t="s">
        <v>1209</v>
      </c>
      <c r="M60" s="1788" t="s">
        <v>1209</v>
      </c>
      <c r="N60" s="1781" t="s">
        <v>2801</v>
      </c>
      <c r="O60" s="1781" t="s">
        <v>2802</v>
      </c>
      <c r="P60" s="1781" t="s">
        <v>3375</v>
      </c>
      <c r="Q60" s="1781">
        <v>1</v>
      </c>
      <c r="R60" s="1781" t="s">
        <v>252</v>
      </c>
      <c r="S60" s="1781" t="s">
        <v>255</v>
      </c>
      <c r="T60" s="1781" t="s">
        <v>256</v>
      </c>
      <c r="U60" s="1781" t="s">
        <v>2663</v>
      </c>
      <c r="V60" s="1789"/>
      <c r="W60" s="1790"/>
    </row>
    <row r="61" spans="1:26" ht="18" x14ac:dyDescent="0.25">
      <c r="B61" s="1784" t="s">
        <v>4030</v>
      </c>
      <c r="C61" s="1785" t="s">
        <v>3381</v>
      </c>
      <c r="D61" s="1786" t="s">
        <v>1209</v>
      </c>
      <c r="E61" s="1765">
        <v>1E-50</v>
      </c>
      <c r="F61" s="1786" t="s">
        <v>1209</v>
      </c>
      <c r="G61" s="1787" t="s">
        <v>1209</v>
      </c>
      <c r="H61" s="2014" t="s">
        <v>1209</v>
      </c>
      <c r="I61" s="1787" t="s">
        <v>1209</v>
      </c>
      <c r="J61" s="1765" t="s">
        <v>1209</v>
      </c>
      <c r="K61" s="1788" t="s">
        <v>1209</v>
      </c>
      <c r="L61" s="1788" t="s">
        <v>1209</v>
      </c>
      <c r="M61" s="1788" t="s">
        <v>1209</v>
      </c>
      <c r="N61" s="1781" t="s">
        <v>2801</v>
      </c>
      <c r="O61" s="1781" t="s">
        <v>2802</v>
      </c>
      <c r="P61" s="1781" t="s">
        <v>3375</v>
      </c>
      <c r="Q61" s="1781">
        <v>1</v>
      </c>
      <c r="R61" s="1781" t="s">
        <v>252</v>
      </c>
      <c r="S61" s="1781" t="s">
        <v>255</v>
      </c>
      <c r="T61" s="1781" t="s">
        <v>256</v>
      </c>
      <c r="U61" s="1781" t="s">
        <v>2663</v>
      </c>
      <c r="V61" s="1789"/>
      <c r="W61" s="1790"/>
    </row>
    <row r="62" spans="1:26" ht="18.75" customHeight="1" x14ac:dyDescent="0.25">
      <c r="B62" s="1759" t="s">
        <v>4031</v>
      </c>
      <c r="C62" s="1760" t="s">
        <v>2621</v>
      </c>
      <c r="D62" s="1776" t="s">
        <v>1209</v>
      </c>
      <c r="E62" s="1765">
        <v>1E-50</v>
      </c>
      <c r="F62" s="1776" t="s">
        <v>1209</v>
      </c>
      <c r="G62" s="1765" t="s">
        <v>1209</v>
      </c>
      <c r="H62" s="2014" t="s">
        <v>1209</v>
      </c>
      <c r="I62" s="1765" t="s">
        <v>1209</v>
      </c>
      <c r="J62" s="1765" t="s">
        <v>1209</v>
      </c>
      <c r="K62" s="1753" t="s">
        <v>1209</v>
      </c>
      <c r="L62" s="1753" t="s">
        <v>1209</v>
      </c>
      <c r="M62" s="1753" t="s">
        <v>1209</v>
      </c>
      <c r="N62" s="1762" t="s">
        <v>2801</v>
      </c>
      <c r="O62" s="1762" t="s">
        <v>2802</v>
      </c>
      <c r="P62" s="1763" t="s">
        <v>364</v>
      </c>
      <c r="Q62" s="1763">
        <v>1</v>
      </c>
      <c r="R62" s="1763" t="s">
        <v>252</v>
      </c>
      <c r="S62" s="1763" t="s">
        <v>255</v>
      </c>
      <c r="T62" s="1763" t="s">
        <v>256</v>
      </c>
      <c r="U62" s="1781" t="s">
        <v>4059</v>
      </c>
      <c r="V62" s="74"/>
      <c r="W62" s="1764"/>
      <c r="Z62" s="457"/>
    </row>
    <row r="63" spans="1:26" ht="18.75" customHeight="1" x14ac:dyDescent="0.25">
      <c r="B63" s="1759" t="s">
        <v>4032</v>
      </c>
      <c r="C63" s="1760" t="s">
        <v>2622</v>
      </c>
      <c r="D63" s="1776" t="s">
        <v>1209</v>
      </c>
      <c r="E63" s="1765">
        <v>1E-50</v>
      </c>
      <c r="F63" s="1776" t="s">
        <v>1209</v>
      </c>
      <c r="G63" s="1765" t="s">
        <v>1209</v>
      </c>
      <c r="H63" s="2015">
        <v>55</v>
      </c>
      <c r="I63" s="1765" t="s">
        <v>1209</v>
      </c>
      <c r="J63" s="1765" t="s">
        <v>1209</v>
      </c>
      <c r="K63" s="1753" t="s">
        <v>1209</v>
      </c>
      <c r="L63" s="1753" t="s">
        <v>1209</v>
      </c>
      <c r="M63" s="1753" t="s">
        <v>1209</v>
      </c>
      <c r="N63" s="1762" t="s">
        <v>2801</v>
      </c>
      <c r="O63" s="1762" t="s">
        <v>2802</v>
      </c>
      <c r="P63" s="1763" t="s">
        <v>364</v>
      </c>
      <c r="Q63" s="1763">
        <v>1</v>
      </c>
      <c r="R63" s="1763" t="s">
        <v>252</v>
      </c>
      <c r="S63" s="1763" t="s">
        <v>255</v>
      </c>
      <c r="T63" s="1763" t="s">
        <v>256</v>
      </c>
      <c r="U63" s="1781" t="s">
        <v>4059</v>
      </c>
      <c r="V63" s="74"/>
      <c r="W63" s="1764"/>
      <c r="Z63" s="457"/>
    </row>
    <row r="64" spans="1:26" ht="18.75" customHeight="1" x14ac:dyDescent="0.25">
      <c r="B64" s="1791" t="s">
        <v>4033</v>
      </c>
      <c r="C64" s="1785" t="s">
        <v>3433</v>
      </c>
      <c r="D64" s="1783" t="s">
        <v>1209</v>
      </c>
      <c r="E64" s="1787">
        <v>1E-50</v>
      </c>
      <c r="F64" s="1783" t="s">
        <v>1209</v>
      </c>
      <c r="G64" s="1787" t="s">
        <v>1209</v>
      </c>
      <c r="H64" s="2015">
        <v>500</v>
      </c>
      <c r="I64" s="1787" t="s">
        <v>1209</v>
      </c>
      <c r="J64" s="1787" t="s">
        <v>1209</v>
      </c>
      <c r="K64" s="1788" t="s">
        <v>1209</v>
      </c>
      <c r="L64" s="1788" t="s">
        <v>1209</v>
      </c>
      <c r="M64" s="1788" t="s">
        <v>1209</v>
      </c>
      <c r="N64" s="1781" t="s">
        <v>2801</v>
      </c>
      <c r="O64" s="1781" t="s">
        <v>2802</v>
      </c>
      <c r="P64" s="1781" t="s">
        <v>364</v>
      </c>
      <c r="Q64" s="1781">
        <v>1</v>
      </c>
      <c r="R64" s="1781" t="s">
        <v>252</v>
      </c>
      <c r="S64" s="1781" t="s">
        <v>255</v>
      </c>
      <c r="T64" s="1781" t="s">
        <v>256</v>
      </c>
      <c r="U64" s="1781" t="s">
        <v>4059</v>
      </c>
      <c r="V64" s="1789"/>
      <c r="W64" s="1790"/>
      <c r="Z64" s="457"/>
    </row>
    <row r="65" spans="2:26" ht="18.75" customHeight="1" x14ac:dyDescent="0.25">
      <c r="B65" s="1792" t="s">
        <v>4034</v>
      </c>
      <c r="C65" s="1760" t="s">
        <v>2623</v>
      </c>
      <c r="D65" s="1776" t="s">
        <v>1209</v>
      </c>
      <c r="E65" s="1765">
        <v>1E-50</v>
      </c>
      <c r="F65" s="1776" t="s">
        <v>1209</v>
      </c>
      <c r="G65" s="1765" t="s">
        <v>1209</v>
      </c>
      <c r="H65" s="2015">
        <v>300</v>
      </c>
      <c r="I65" s="1765" t="s">
        <v>1209</v>
      </c>
      <c r="J65" s="1765" t="s">
        <v>1209</v>
      </c>
      <c r="K65" s="1753" t="s">
        <v>1209</v>
      </c>
      <c r="L65" s="1753" t="s">
        <v>1209</v>
      </c>
      <c r="M65" s="1753" t="s">
        <v>1209</v>
      </c>
      <c r="N65" s="1762" t="s">
        <v>2801</v>
      </c>
      <c r="O65" s="1762" t="s">
        <v>2802</v>
      </c>
      <c r="P65" s="1763" t="s">
        <v>364</v>
      </c>
      <c r="Q65" s="1763">
        <v>1</v>
      </c>
      <c r="R65" s="1763" t="s">
        <v>252</v>
      </c>
      <c r="S65" s="1763" t="s">
        <v>255</v>
      </c>
      <c r="T65" s="1763" t="s">
        <v>256</v>
      </c>
      <c r="U65" s="1781" t="s">
        <v>4059</v>
      </c>
      <c r="V65" s="74"/>
      <c r="W65" s="1764"/>
      <c r="Z65" s="457"/>
    </row>
    <row r="66" spans="2:26" ht="18" x14ac:dyDescent="0.25">
      <c r="B66" s="1759" t="s">
        <v>4035</v>
      </c>
      <c r="C66" s="1760" t="s">
        <v>2624</v>
      </c>
      <c r="D66" s="1776" t="s">
        <v>1209</v>
      </c>
      <c r="E66" s="1765">
        <v>1E-50</v>
      </c>
      <c r="F66" s="1776" t="s">
        <v>1209</v>
      </c>
      <c r="G66" s="1765" t="s">
        <v>1209</v>
      </c>
      <c r="H66" s="2015">
        <v>5</v>
      </c>
      <c r="I66" s="1765" t="s">
        <v>1209</v>
      </c>
      <c r="J66" s="1765" t="s">
        <v>1209</v>
      </c>
      <c r="K66" s="1753" t="s">
        <v>1209</v>
      </c>
      <c r="L66" s="1753" t="s">
        <v>1209</v>
      </c>
      <c r="M66" s="1753" t="s">
        <v>1209</v>
      </c>
      <c r="N66" s="1762" t="s">
        <v>2801</v>
      </c>
      <c r="O66" s="1762" t="s">
        <v>2802</v>
      </c>
      <c r="P66" s="1763" t="s">
        <v>364</v>
      </c>
      <c r="Q66" s="1763">
        <v>1</v>
      </c>
      <c r="R66" s="1763" t="s">
        <v>252</v>
      </c>
      <c r="S66" s="1763" t="s">
        <v>255</v>
      </c>
      <c r="T66" s="1763" t="s">
        <v>256</v>
      </c>
      <c r="U66" s="1781" t="s">
        <v>4059</v>
      </c>
      <c r="V66" s="74"/>
      <c r="W66" s="1764"/>
      <c r="Z66" s="457"/>
    </row>
    <row r="67" spans="2:26" customFormat="1" ht="18.75" x14ac:dyDescent="0.35">
      <c r="B67" s="1793" t="s">
        <v>4469</v>
      </c>
      <c r="C67" s="1794" t="s">
        <v>4470</v>
      </c>
      <c r="D67" s="1795">
        <v>9.9999999999999995E-7</v>
      </c>
      <c r="E67" s="1795">
        <v>9.9999999999999995E-7</v>
      </c>
      <c r="F67" s="1795">
        <v>9.9999999999999995E-7</v>
      </c>
      <c r="G67" s="1795">
        <v>9.9999999999999995E-7</v>
      </c>
      <c r="H67" s="2016">
        <v>9.9999999999999995E-7</v>
      </c>
      <c r="I67" s="1795">
        <v>9.9999999999999995E-7</v>
      </c>
      <c r="J67" s="1795">
        <v>9.9999999999999995E-7</v>
      </c>
      <c r="K67" s="1795">
        <v>9.9999999999999995E-7</v>
      </c>
      <c r="L67" s="1795">
        <v>9.9999999999999995E-7</v>
      </c>
      <c r="M67" s="1795">
        <v>9.9999999999999995E-7</v>
      </c>
      <c r="N67" s="1796" t="s">
        <v>2801</v>
      </c>
      <c r="O67" s="1796" t="s">
        <v>2802</v>
      </c>
      <c r="P67" s="1797" t="s">
        <v>4471</v>
      </c>
      <c r="Q67" s="1798">
        <v>4</v>
      </c>
      <c r="R67" s="1798" t="s">
        <v>252</v>
      </c>
      <c r="S67" s="1798" t="s">
        <v>253</v>
      </c>
      <c r="T67" s="1798" t="s">
        <v>256</v>
      </c>
      <c r="U67" s="1799" t="s">
        <v>4472</v>
      </c>
      <c r="V67" s="1800" t="s">
        <v>4472</v>
      </c>
      <c r="W67" s="1801"/>
    </row>
    <row r="68" spans="2:26" customFormat="1" ht="18.75" x14ac:dyDescent="0.35">
      <c r="B68" s="1793" t="s">
        <v>4473</v>
      </c>
      <c r="C68" s="1794" t="s">
        <v>4474</v>
      </c>
      <c r="D68" s="1795">
        <v>9.9999999999999995E-7</v>
      </c>
      <c r="E68" s="1795">
        <v>9.9999999999999995E-7</v>
      </c>
      <c r="F68" s="1795">
        <v>9.9999999999999995E-7</v>
      </c>
      <c r="G68" s="1795">
        <v>9.9999999999999995E-7</v>
      </c>
      <c r="H68" s="2016">
        <v>9.9999999999999995E-7</v>
      </c>
      <c r="I68" s="1795">
        <v>9.9999999999999995E-7</v>
      </c>
      <c r="J68" s="1795">
        <v>9.9999999999999995E-7</v>
      </c>
      <c r="K68" s="1795">
        <v>9.9999999999999995E-7</v>
      </c>
      <c r="L68" s="1795">
        <v>9.9999999999999995E-7</v>
      </c>
      <c r="M68" s="1795">
        <v>9.9999999999999995E-7</v>
      </c>
      <c r="N68" s="1796" t="s">
        <v>2801</v>
      </c>
      <c r="O68" s="1796" t="s">
        <v>2802</v>
      </c>
      <c r="P68" s="1797" t="s">
        <v>4471</v>
      </c>
      <c r="Q68" s="1798">
        <v>4</v>
      </c>
      <c r="R68" s="1798" t="s">
        <v>252</v>
      </c>
      <c r="S68" s="1798" t="s">
        <v>255</v>
      </c>
      <c r="T68" s="1798" t="s">
        <v>256</v>
      </c>
      <c r="U68" s="1799" t="s">
        <v>4472</v>
      </c>
      <c r="V68" s="1800" t="s">
        <v>4472</v>
      </c>
      <c r="W68" s="1801"/>
    </row>
    <row r="69" spans="2:26" customFormat="1" ht="18.75" x14ac:dyDescent="0.35">
      <c r="B69" s="1793" t="s">
        <v>4475</v>
      </c>
      <c r="C69" s="1794" t="s">
        <v>4476</v>
      </c>
      <c r="D69" s="1795">
        <v>9.9999999999999995E-7</v>
      </c>
      <c r="E69" s="1795">
        <v>9.9999999999999995E-7</v>
      </c>
      <c r="F69" s="1795">
        <v>9.9999999999999995E-7</v>
      </c>
      <c r="G69" s="1795">
        <v>9.9999999999999995E-7</v>
      </c>
      <c r="H69" s="2016">
        <v>9.9999999999999995E-7</v>
      </c>
      <c r="I69" s="1795">
        <v>9.9999999999999995E-7</v>
      </c>
      <c r="J69" s="1795">
        <v>9.9999999999999995E-7</v>
      </c>
      <c r="K69" s="1795">
        <v>9.9999999999999995E-7</v>
      </c>
      <c r="L69" s="1795">
        <v>9.9999999999999995E-7</v>
      </c>
      <c r="M69" s="1795">
        <v>9.9999999999999995E-7</v>
      </c>
      <c r="N69" s="1796" t="s">
        <v>2801</v>
      </c>
      <c r="O69" s="1796" t="s">
        <v>2802</v>
      </c>
      <c r="P69" s="1797" t="s">
        <v>4471</v>
      </c>
      <c r="Q69" s="1798">
        <v>4</v>
      </c>
      <c r="R69" s="1798" t="s">
        <v>252</v>
      </c>
      <c r="S69" s="1798" t="s">
        <v>253</v>
      </c>
      <c r="T69" s="1798" t="s">
        <v>256</v>
      </c>
      <c r="U69" s="1799" t="s">
        <v>4472</v>
      </c>
      <c r="V69" s="1800" t="s">
        <v>4472</v>
      </c>
      <c r="W69" s="1801"/>
    </row>
    <row r="70" spans="2:26" customFormat="1" ht="18.75" x14ac:dyDescent="0.35">
      <c r="B70" s="1793" t="s">
        <v>4477</v>
      </c>
      <c r="C70" s="1794" t="s">
        <v>4478</v>
      </c>
      <c r="D70" s="1795">
        <v>9.9999999999999995E-7</v>
      </c>
      <c r="E70" s="1795">
        <v>9.9999999999999995E-7</v>
      </c>
      <c r="F70" s="1795">
        <v>9.9999999999999995E-7</v>
      </c>
      <c r="G70" s="1795">
        <v>9.9999999999999995E-7</v>
      </c>
      <c r="H70" s="2016">
        <v>9.9999999999999995E-7</v>
      </c>
      <c r="I70" s="1795">
        <v>9.9999999999999995E-7</v>
      </c>
      <c r="J70" s="1795">
        <v>9.9999999999999995E-7</v>
      </c>
      <c r="K70" s="1795">
        <v>9.9999999999999995E-7</v>
      </c>
      <c r="L70" s="1795">
        <v>9.9999999999999995E-7</v>
      </c>
      <c r="M70" s="1795">
        <v>9.9999999999999995E-7</v>
      </c>
      <c r="N70" s="1796" t="s">
        <v>2801</v>
      </c>
      <c r="O70" s="1796" t="s">
        <v>2802</v>
      </c>
      <c r="P70" s="1797" t="s">
        <v>4471</v>
      </c>
      <c r="Q70" s="1798">
        <v>4</v>
      </c>
      <c r="R70" s="1798" t="s">
        <v>252</v>
      </c>
      <c r="S70" s="1798" t="s">
        <v>255</v>
      </c>
      <c r="T70" s="1798" t="s">
        <v>256</v>
      </c>
      <c r="U70" s="1799" t="s">
        <v>4472</v>
      </c>
      <c r="V70" s="1800" t="s">
        <v>4472</v>
      </c>
      <c r="W70" s="1801"/>
    </row>
    <row r="71" spans="2:26" ht="18.75" x14ac:dyDescent="0.25">
      <c r="B71" s="1792" t="s">
        <v>4447</v>
      </c>
      <c r="C71" s="1760" t="s">
        <v>1287</v>
      </c>
      <c r="D71" s="1761">
        <v>83.626000000000005</v>
      </c>
      <c r="E71" s="1761">
        <v>83.626000000000005</v>
      </c>
      <c r="F71" s="1761">
        <v>83.626000000000005</v>
      </c>
      <c r="G71" s="1761">
        <v>83.626000000000005</v>
      </c>
      <c r="H71" s="1768">
        <v>146.34549999999999</v>
      </c>
      <c r="I71" s="1761">
        <v>83.626000000000005</v>
      </c>
      <c r="J71" s="1761">
        <v>83.626000000000005</v>
      </c>
      <c r="K71" s="1761">
        <v>83.626000000000005</v>
      </c>
      <c r="L71" s="1802">
        <v>83.626000000000005</v>
      </c>
      <c r="M71" s="1802">
        <v>83.626000000000005</v>
      </c>
      <c r="N71" s="1763" t="s">
        <v>2801</v>
      </c>
      <c r="O71" s="1763" t="s">
        <v>2802</v>
      </c>
      <c r="P71" s="1763" t="s">
        <v>3063</v>
      </c>
      <c r="Q71" s="1763">
        <v>1</v>
      </c>
      <c r="R71" s="1763" t="s">
        <v>252</v>
      </c>
      <c r="S71" s="1763" t="s">
        <v>253</v>
      </c>
      <c r="T71" s="1763" t="s">
        <v>256</v>
      </c>
      <c r="U71" s="1803" t="s">
        <v>4450</v>
      </c>
      <c r="V71" s="74"/>
      <c r="W71" s="1764" t="s">
        <v>1288</v>
      </c>
      <c r="Z71" s="457"/>
    </row>
    <row r="72" spans="2:26" customFormat="1" ht="18" x14ac:dyDescent="0.25">
      <c r="B72" s="1791" t="s">
        <v>4036</v>
      </c>
      <c r="C72" s="1804" t="s">
        <v>3773</v>
      </c>
      <c r="D72" s="1805">
        <v>0.18</v>
      </c>
      <c r="E72" s="1805">
        <v>0.5</v>
      </c>
      <c r="F72" s="1805">
        <v>0.18</v>
      </c>
      <c r="G72" s="1805">
        <v>0.5</v>
      </c>
      <c r="H72" s="2012">
        <v>0.01</v>
      </c>
      <c r="I72" s="1805">
        <v>0.5</v>
      </c>
      <c r="J72" s="1805">
        <v>0.5</v>
      </c>
      <c r="K72" s="1805">
        <v>0.5</v>
      </c>
      <c r="L72" s="1802">
        <v>0.68415099999999995</v>
      </c>
      <c r="M72" s="1802">
        <v>0.99993799999999999</v>
      </c>
      <c r="N72" s="1806">
        <v>0</v>
      </c>
      <c r="O72" s="1806">
        <v>1</v>
      </c>
      <c r="P72" s="1806" t="s">
        <v>1994</v>
      </c>
      <c r="Q72" s="1806">
        <v>2</v>
      </c>
      <c r="R72" s="1806" t="s">
        <v>252</v>
      </c>
      <c r="S72" s="1806" t="s">
        <v>253</v>
      </c>
      <c r="T72" s="1806" t="s">
        <v>256</v>
      </c>
      <c r="U72" s="1781" t="s">
        <v>4061</v>
      </c>
      <c r="V72" s="1807"/>
      <c r="W72" s="1790"/>
    </row>
    <row r="73" spans="2:26" customFormat="1" ht="18" x14ac:dyDescent="0.25">
      <c r="B73" s="1791" t="s">
        <v>4232</v>
      </c>
      <c r="C73" s="1804" t="s">
        <v>4243</v>
      </c>
      <c r="D73" s="1808">
        <v>900</v>
      </c>
      <c r="E73" s="1808">
        <v>1000</v>
      </c>
      <c r="F73" s="1808">
        <v>900</v>
      </c>
      <c r="G73" s="1808">
        <v>1000</v>
      </c>
      <c r="H73" s="2015">
        <v>730</v>
      </c>
      <c r="I73" s="1808">
        <v>1000</v>
      </c>
      <c r="J73" s="1808">
        <v>1000</v>
      </c>
      <c r="K73" s="1808">
        <v>1000</v>
      </c>
      <c r="L73" s="1808">
        <v>1000</v>
      </c>
      <c r="M73" s="1808">
        <v>800</v>
      </c>
      <c r="N73" s="1763" t="s">
        <v>2801</v>
      </c>
      <c r="O73" s="1763" t="s">
        <v>2802</v>
      </c>
      <c r="P73" s="1806" t="s">
        <v>1994</v>
      </c>
      <c r="Q73" s="1806">
        <v>0</v>
      </c>
      <c r="R73" s="1806" t="s">
        <v>507</v>
      </c>
      <c r="S73" s="1806" t="s">
        <v>253</v>
      </c>
      <c r="T73" s="1806" t="s">
        <v>256</v>
      </c>
      <c r="U73" s="1781" t="s">
        <v>2149</v>
      </c>
      <c r="V73" s="1807"/>
      <c r="W73" s="1790"/>
    </row>
    <row r="74" spans="2:26" ht="18" x14ac:dyDescent="0.25">
      <c r="B74" s="1784" t="s">
        <v>4037</v>
      </c>
      <c r="C74" s="1809" t="s">
        <v>2866</v>
      </c>
      <c r="D74" s="1810">
        <v>0.1258</v>
      </c>
      <c r="E74" s="1810">
        <v>0.1258</v>
      </c>
      <c r="F74" s="1810">
        <v>0.1258</v>
      </c>
      <c r="G74" s="1810">
        <v>0.1258</v>
      </c>
      <c r="H74" s="2013">
        <v>8</v>
      </c>
      <c r="I74" s="1810">
        <v>0.1258</v>
      </c>
      <c r="J74" s="1810">
        <v>0.1258</v>
      </c>
      <c r="K74" s="1810">
        <v>0.1258</v>
      </c>
      <c r="L74" s="1810">
        <v>0.1258</v>
      </c>
      <c r="M74" s="1810">
        <v>0.1258</v>
      </c>
      <c r="N74" s="1763" t="s">
        <v>2801</v>
      </c>
      <c r="O74" s="1763" t="s">
        <v>2802</v>
      </c>
      <c r="P74" s="1811" t="s">
        <v>2873</v>
      </c>
      <c r="Q74" s="1763">
        <v>1</v>
      </c>
      <c r="R74" s="1763" t="s">
        <v>441</v>
      </c>
      <c r="S74" s="1763" t="s">
        <v>253</v>
      </c>
      <c r="T74" s="1763" t="s">
        <v>800</v>
      </c>
      <c r="U74" s="1781" t="s">
        <v>4058</v>
      </c>
      <c r="V74" s="74"/>
      <c r="W74" s="1764"/>
    </row>
    <row r="75" spans="2:26" ht="18" x14ac:dyDescent="0.25">
      <c r="B75" s="1784" t="s">
        <v>4038</v>
      </c>
      <c r="C75" s="1760" t="s">
        <v>2867</v>
      </c>
      <c r="D75" s="1781">
        <v>5.3E-3</v>
      </c>
      <c r="E75" s="1781">
        <v>5.3E-3</v>
      </c>
      <c r="F75" s="1781">
        <v>5.3E-3</v>
      </c>
      <c r="G75" s="1781">
        <v>5.3E-3</v>
      </c>
      <c r="H75" s="2017">
        <v>90</v>
      </c>
      <c r="I75" s="1781">
        <v>5.3E-3</v>
      </c>
      <c r="J75" s="1781">
        <v>5.3E-3</v>
      </c>
      <c r="K75" s="1781">
        <v>5.3E-3</v>
      </c>
      <c r="L75" s="1812">
        <v>1.7299999999999999E-2</v>
      </c>
      <c r="M75" s="1812">
        <v>1.7299999999999999E-2</v>
      </c>
      <c r="N75" s="1763" t="s">
        <v>2801</v>
      </c>
      <c r="O75" s="1763" t="s">
        <v>2802</v>
      </c>
      <c r="P75" s="1813" t="s">
        <v>2874</v>
      </c>
      <c r="Q75" s="1763">
        <v>1</v>
      </c>
      <c r="R75" s="1763" t="s">
        <v>441</v>
      </c>
      <c r="S75" s="1763" t="s">
        <v>253</v>
      </c>
      <c r="T75" s="1763" t="s">
        <v>800</v>
      </c>
      <c r="U75" s="1781" t="s">
        <v>148</v>
      </c>
      <c r="V75" s="74"/>
      <c r="W75" s="1764"/>
    </row>
    <row r="76" spans="2:26" ht="18" x14ac:dyDescent="0.25">
      <c r="B76" s="1784" t="s">
        <v>4039</v>
      </c>
      <c r="C76" s="1760" t="s">
        <v>2868</v>
      </c>
      <c r="D76" s="1781">
        <v>5.4999999999999997E-3</v>
      </c>
      <c r="E76" s="1781">
        <v>5.4999999999999997E-3</v>
      </c>
      <c r="F76" s="1781">
        <v>5.4999999999999997E-3</v>
      </c>
      <c r="G76" s="1781">
        <v>5.4999999999999997E-3</v>
      </c>
      <c r="H76" s="2017">
        <v>0.05</v>
      </c>
      <c r="I76" s="1781">
        <v>5.4999999999999997E-3</v>
      </c>
      <c r="J76" s="1781">
        <v>5.4999999999999997E-3</v>
      </c>
      <c r="K76" s="1781">
        <v>5.4999999999999997E-3</v>
      </c>
      <c r="L76" s="1812">
        <v>7.9000000000000008E-3</v>
      </c>
      <c r="M76" s="1812">
        <v>7.9000000000000008E-3</v>
      </c>
      <c r="N76" s="1763" t="s">
        <v>2801</v>
      </c>
      <c r="O76" s="1763" t="s">
        <v>2802</v>
      </c>
      <c r="P76" s="1814" t="s">
        <v>2874</v>
      </c>
      <c r="Q76" s="1763">
        <v>1</v>
      </c>
      <c r="R76" s="1763" t="s">
        <v>441</v>
      </c>
      <c r="S76" s="1763" t="s">
        <v>253</v>
      </c>
      <c r="T76" s="1763" t="s">
        <v>800</v>
      </c>
      <c r="U76" s="1781" t="s">
        <v>148</v>
      </c>
      <c r="V76" s="74"/>
      <c r="W76" s="1764"/>
    </row>
    <row r="77" spans="2:26" ht="18" x14ac:dyDescent="0.25">
      <c r="B77" s="1784" t="s">
        <v>4040</v>
      </c>
      <c r="C77" s="74" t="s">
        <v>2869</v>
      </c>
      <c r="D77" s="1810">
        <v>3.0244</v>
      </c>
      <c r="E77" s="1810">
        <v>3.0244</v>
      </c>
      <c r="F77" s="1810">
        <v>3.0244</v>
      </c>
      <c r="G77" s="1810">
        <v>3.0244</v>
      </c>
      <c r="H77" s="2018" t="s">
        <v>1209</v>
      </c>
      <c r="I77" s="1810">
        <v>3.0244</v>
      </c>
      <c r="J77" s="1810">
        <v>3.0244</v>
      </c>
      <c r="K77" s="1810">
        <v>3.0244</v>
      </c>
      <c r="L77" s="1816">
        <v>2.9916999999999998</v>
      </c>
      <c r="M77" s="1816">
        <v>2.9916999999999998</v>
      </c>
      <c r="N77" s="1763" t="s">
        <v>2801</v>
      </c>
      <c r="O77" s="1763" t="s">
        <v>2802</v>
      </c>
      <c r="P77" s="1817" t="s">
        <v>2872</v>
      </c>
      <c r="Q77" s="1818">
        <v>1</v>
      </c>
      <c r="R77" s="1818" t="s">
        <v>441</v>
      </c>
      <c r="S77" s="1818" t="s">
        <v>253</v>
      </c>
      <c r="T77" s="1818" t="s">
        <v>800</v>
      </c>
      <c r="U77" s="1819" t="s">
        <v>4057</v>
      </c>
      <c r="V77" s="74"/>
      <c r="W77" s="1764"/>
    </row>
    <row r="78" spans="2:26" ht="18" x14ac:dyDescent="0.25">
      <c r="B78" s="1784" t="s">
        <v>4041</v>
      </c>
      <c r="C78" s="1820" t="s">
        <v>2870</v>
      </c>
      <c r="D78" s="1815" t="s">
        <v>1209</v>
      </c>
      <c r="E78" s="1765">
        <v>1E-50</v>
      </c>
      <c r="F78" s="1815" t="s">
        <v>1209</v>
      </c>
      <c r="G78" s="1815" t="s">
        <v>1209</v>
      </c>
      <c r="H78" s="2019">
        <v>4.0000000000000001E-3</v>
      </c>
      <c r="I78" s="1815" t="s">
        <v>1209</v>
      </c>
      <c r="J78" s="1815" t="s">
        <v>1209</v>
      </c>
      <c r="K78" s="1815" t="s">
        <v>1209</v>
      </c>
      <c r="L78" s="1815" t="s">
        <v>1209</v>
      </c>
      <c r="M78" s="1815" t="s">
        <v>1209</v>
      </c>
      <c r="N78" s="1763" t="s">
        <v>2801</v>
      </c>
      <c r="O78" s="1763" t="s">
        <v>2802</v>
      </c>
      <c r="P78" s="1821" t="s">
        <v>2875</v>
      </c>
      <c r="Q78" s="1818">
        <v>1</v>
      </c>
      <c r="R78" s="1818" t="s">
        <v>441</v>
      </c>
      <c r="S78" s="1818" t="s">
        <v>253</v>
      </c>
      <c r="T78" s="1818" t="s">
        <v>800</v>
      </c>
      <c r="U78" s="1819" t="s">
        <v>250</v>
      </c>
      <c r="V78" s="74"/>
      <c r="W78" s="1764"/>
    </row>
    <row r="79" spans="2:26" ht="18.75" thickBot="1" x14ac:dyDescent="0.3">
      <c r="B79" s="1822" t="s">
        <v>4042</v>
      </c>
      <c r="C79" s="274" t="s">
        <v>2871</v>
      </c>
      <c r="D79" s="1823">
        <v>11.542299999999999</v>
      </c>
      <c r="E79" s="1823">
        <v>11.542299999999999</v>
      </c>
      <c r="F79" s="1823">
        <v>11.542299999999999</v>
      </c>
      <c r="G79" s="1823">
        <v>11.542299999999999</v>
      </c>
      <c r="H79" s="2020">
        <v>7.0000000000000007E-2</v>
      </c>
      <c r="I79" s="1823">
        <v>11.542299999999999</v>
      </c>
      <c r="J79" s="1823">
        <v>11.542299999999999</v>
      </c>
      <c r="K79" s="1823">
        <v>11.542299999999999</v>
      </c>
      <c r="L79" s="1824">
        <v>11.854799999999999</v>
      </c>
      <c r="M79" s="1824">
        <v>11.854799999999999</v>
      </c>
      <c r="N79" s="1825" t="s">
        <v>2801</v>
      </c>
      <c r="O79" s="1825" t="s">
        <v>2802</v>
      </c>
      <c r="P79" s="1826" t="s">
        <v>2876</v>
      </c>
      <c r="Q79" s="1825">
        <v>1</v>
      </c>
      <c r="R79" s="1825" t="s">
        <v>441</v>
      </c>
      <c r="S79" s="1825" t="s">
        <v>253</v>
      </c>
      <c r="T79" s="1825" t="s">
        <v>800</v>
      </c>
      <c r="U79" s="1827" t="s">
        <v>250</v>
      </c>
      <c r="V79" s="274"/>
      <c r="W79" s="1828"/>
    </row>
    <row r="80" spans="2:26" ht="18" x14ac:dyDescent="0.25">
      <c r="B80" s="1829" t="s">
        <v>4043</v>
      </c>
      <c r="C80" s="1830" t="s">
        <v>2866</v>
      </c>
      <c r="D80" s="1831">
        <v>0.04</v>
      </c>
      <c r="E80" s="1831">
        <v>0.04</v>
      </c>
      <c r="F80" s="1831">
        <v>0.04</v>
      </c>
      <c r="G80" s="1831">
        <v>0.04</v>
      </c>
      <c r="H80" s="2021">
        <v>0.04</v>
      </c>
      <c r="I80" s="1831">
        <v>0.04</v>
      </c>
      <c r="J80" s="1831">
        <v>0.04</v>
      </c>
      <c r="K80" s="1831">
        <v>0.04</v>
      </c>
      <c r="L80" s="1831">
        <v>0.04</v>
      </c>
      <c r="M80" s="1831">
        <v>0.04</v>
      </c>
      <c r="N80" s="1832">
        <v>0</v>
      </c>
      <c r="O80" s="1832">
        <v>100</v>
      </c>
      <c r="P80" s="1833" t="s">
        <v>2886</v>
      </c>
      <c r="Q80" s="1832">
        <v>2</v>
      </c>
      <c r="R80" s="1832" t="s">
        <v>28</v>
      </c>
      <c r="S80" s="1832" t="s">
        <v>253</v>
      </c>
      <c r="T80" s="1832" t="s">
        <v>2891</v>
      </c>
      <c r="U80" s="1834" t="s">
        <v>4058</v>
      </c>
      <c r="V80" s="1830"/>
      <c r="W80" s="1835"/>
    </row>
    <row r="81" spans="2:23" ht="18" x14ac:dyDescent="0.25">
      <c r="B81" s="1836" t="s">
        <v>4044</v>
      </c>
      <c r="C81" s="1837" t="s">
        <v>2867</v>
      </c>
      <c r="D81" s="1776" t="s">
        <v>1209</v>
      </c>
      <c r="E81" s="1765">
        <v>1E-50</v>
      </c>
      <c r="F81" s="1776" t="s">
        <v>1209</v>
      </c>
      <c r="G81" s="1776" t="s">
        <v>1209</v>
      </c>
      <c r="H81" s="2022" t="s">
        <v>1209</v>
      </c>
      <c r="I81" s="1776" t="s">
        <v>1209</v>
      </c>
      <c r="J81" s="1776" t="s">
        <v>1209</v>
      </c>
      <c r="K81" s="1776" t="s">
        <v>1209</v>
      </c>
      <c r="L81" s="1838" t="s">
        <v>1209</v>
      </c>
      <c r="M81" s="1838" t="s">
        <v>1209</v>
      </c>
      <c r="N81" s="1762">
        <v>0</v>
      </c>
      <c r="O81" s="1762">
        <v>100</v>
      </c>
      <c r="P81" s="1839" t="s">
        <v>2886</v>
      </c>
      <c r="Q81" s="1762">
        <v>2</v>
      </c>
      <c r="R81" s="1762" t="s">
        <v>28</v>
      </c>
      <c r="S81" s="1762" t="s">
        <v>253</v>
      </c>
      <c r="T81" s="1762" t="s">
        <v>2891</v>
      </c>
      <c r="U81" s="1781" t="s">
        <v>148</v>
      </c>
      <c r="V81" s="1840"/>
      <c r="W81" s="1841"/>
    </row>
    <row r="82" spans="2:23" ht="18" x14ac:dyDescent="0.25">
      <c r="B82" s="1836" t="s">
        <v>4045</v>
      </c>
      <c r="C82" s="1837" t="s">
        <v>2868</v>
      </c>
      <c r="D82" s="1776" t="s">
        <v>1209</v>
      </c>
      <c r="E82" s="1765">
        <v>1E-50</v>
      </c>
      <c r="F82" s="1776" t="s">
        <v>1209</v>
      </c>
      <c r="G82" s="1776" t="s">
        <v>1209</v>
      </c>
      <c r="H82" s="2022" t="s">
        <v>1209</v>
      </c>
      <c r="I82" s="1776" t="s">
        <v>1209</v>
      </c>
      <c r="J82" s="1776" t="s">
        <v>1209</v>
      </c>
      <c r="K82" s="1776" t="s">
        <v>1209</v>
      </c>
      <c r="L82" s="1838" t="s">
        <v>1209</v>
      </c>
      <c r="M82" s="1838" t="s">
        <v>1209</v>
      </c>
      <c r="N82" s="1762">
        <v>0</v>
      </c>
      <c r="O82" s="1762">
        <v>100</v>
      </c>
      <c r="P82" s="1839" t="s">
        <v>2886</v>
      </c>
      <c r="Q82" s="1762">
        <v>2</v>
      </c>
      <c r="R82" s="1762" t="s">
        <v>28</v>
      </c>
      <c r="S82" s="1762" t="s">
        <v>253</v>
      </c>
      <c r="T82" s="1762" t="s">
        <v>2891</v>
      </c>
      <c r="U82" s="1781" t="s">
        <v>148</v>
      </c>
      <c r="V82" s="1840"/>
      <c r="W82" s="1841"/>
    </row>
    <row r="83" spans="2:23" ht="18" x14ac:dyDescent="0.25">
      <c r="B83" s="1836" t="s">
        <v>4046</v>
      </c>
      <c r="C83" s="1840" t="s">
        <v>2869</v>
      </c>
      <c r="D83" s="1776">
        <v>20.95</v>
      </c>
      <c r="E83" s="1776">
        <v>20.95</v>
      </c>
      <c r="F83" s="1776">
        <v>20.95</v>
      </c>
      <c r="G83" s="1776">
        <v>20.95</v>
      </c>
      <c r="H83" s="2022">
        <v>20.95</v>
      </c>
      <c r="I83" s="1776">
        <v>20.95</v>
      </c>
      <c r="J83" s="1776">
        <v>20.95</v>
      </c>
      <c r="K83" s="1776">
        <v>20.95</v>
      </c>
      <c r="L83" s="1838">
        <v>20.95</v>
      </c>
      <c r="M83" s="1838">
        <v>20.95</v>
      </c>
      <c r="N83" s="1762">
        <v>0</v>
      </c>
      <c r="O83" s="1762">
        <v>100</v>
      </c>
      <c r="P83" s="1839" t="s">
        <v>2886</v>
      </c>
      <c r="Q83" s="1762">
        <v>2</v>
      </c>
      <c r="R83" s="1842" t="s">
        <v>28</v>
      </c>
      <c r="S83" s="1842" t="s">
        <v>253</v>
      </c>
      <c r="T83" s="1842" t="s">
        <v>2891</v>
      </c>
      <c r="U83" s="1819" t="s">
        <v>4057</v>
      </c>
      <c r="V83" s="1840"/>
      <c r="W83" s="1841"/>
    </row>
    <row r="84" spans="2:23" ht="18" x14ac:dyDescent="0.25">
      <c r="B84" s="1836" t="s">
        <v>4047</v>
      </c>
      <c r="C84" s="1843" t="s">
        <v>2870</v>
      </c>
      <c r="D84" s="1776" t="s">
        <v>1209</v>
      </c>
      <c r="E84" s="1765">
        <v>1E-50</v>
      </c>
      <c r="F84" s="1776" t="s">
        <v>1209</v>
      </c>
      <c r="G84" s="1776" t="s">
        <v>1209</v>
      </c>
      <c r="H84" s="2022" t="s">
        <v>1209</v>
      </c>
      <c r="I84" s="1776" t="s">
        <v>1209</v>
      </c>
      <c r="J84" s="1776" t="s">
        <v>1209</v>
      </c>
      <c r="K84" s="1776" t="s">
        <v>1209</v>
      </c>
      <c r="L84" s="1815" t="s">
        <v>1209</v>
      </c>
      <c r="M84" s="1815" t="s">
        <v>1209</v>
      </c>
      <c r="N84" s="1762">
        <v>0</v>
      </c>
      <c r="O84" s="1762">
        <v>100</v>
      </c>
      <c r="P84" s="1839" t="s">
        <v>2886</v>
      </c>
      <c r="Q84" s="1762">
        <v>2</v>
      </c>
      <c r="R84" s="1842" t="s">
        <v>28</v>
      </c>
      <c r="S84" s="1842" t="s">
        <v>253</v>
      </c>
      <c r="T84" s="1842" t="s">
        <v>2891</v>
      </c>
      <c r="U84" s="1819" t="s">
        <v>250</v>
      </c>
      <c r="V84" s="1840"/>
      <c r="W84" s="1841"/>
    </row>
    <row r="85" spans="2:23" ht="18.75" thickBot="1" x14ac:dyDescent="0.3">
      <c r="B85" s="1822" t="s">
        <v>4048</v>
      </c>
      <c r="C85" s="1844" t="s">
        <v>2871</v>
      </c>
      <c r="D85" s="1845">
        <v>79.010000000000005</v>
      </c>
      <c r="E85" s="1845">
        <v>79.010000000000005</v>
      </c>
      <c r="F85" s="1845">
        <v>79.010000000000005</v>
      </c>
      <c r="G85" s="1845">
        <v>79.010000000000005</v>
      </c>
      <c r="H85" s="2023">
        <v>79.010000000000005</v>
      </c>
      <c r="I85" s="1845">
        <v>79.010000000000005</v>
      </c>
      <c r="J85" s="1845">
        <v>79.010000000000005</v>
      </c>
      <c r="K85" s="1845">
        <v>79.010000000000005</v>
      </c>
      <c r="L85" s="1846">
        <v>79.010000000000005</v>
      </c>
      <c r="M85" s="1846">
        <v>79.010000000000005</v>
      </c>
      <c r="N85" s="1847">
        <v>0</v>
      </c>
      <c r="O85" s="1847">
        <v>100</v>
      </c>
      <c r="P85" s="1848" t="s">
        <v>2886</v>
      </c>
      <c r="Q85" s="1847">
        <v>2</v>
      </c>
      <c r="R85" s="1847" t="s">
        <v>28</v>
      </c>
      <c r="S85" s="1847" t="s">
        <v>253</v>
      </c>
      <c r="T85" s="1847" t="s">
        <v>2891</v>
      </c>
      <c r="U85" s="1827" t="s">
        <v>250</v>
      </c>
      <c r="V85" s="1844"/>
      <c r="W85" s="1849"/>
    </row>
  </sheetData>
  <phoneticPr fontId="29" type="noConversion"/>
  <conditionalFormatting sqref="C55 C57 C59 C61">
    <cfRule type="cellIs" dxfId="130" priority="2" operator="equal">
      <formula>0</formula>
    </cfRule>
  </conditionalFormatting>
  <conditionalFormatting sqref="C56 C58 C60">
    <cfRule type="cellIs" dxfId="129" priority="1" operator="equal">
      <formula>0</formula>
    </cfRule>
  </conditionalFormatting>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Munka5"/>
  <dimension ref="B1:G4"/>
  <sheetViews>
    <sheetView showGridLines="0" workbookViewId="0">
      <selection activeCell="D23" sqref="D23"/>
    </sheetView>
  </sheetViews>
  <sheetFormatPr baseColWidth="10" defaultColWidth="9.140625" defaultRowHeight="15" x14ac:dyDescent="0.25"/>
  <cols>
    <col min="1" max="1" width="16.85546875" customWidth="1"/>
    <col min="2" max="2" width="7.5703125" bestFit="1" customWidth="1"/>
    <col min="3" max="3" width="19.28515625" customWidth="1"/>
    <col min="4" max="4" width="51.85546875" customWidth="1"/>
    <col min="5" max="5" width="4.85546875" bestFit="1" customWidth="1"/>
    <col min="6" max="6" width="5" bestFit="1" customWidth="1"/>
    <col min="7" max="7" width="22.28515625" customWidth="1"/>
  </cols>
  <sheetData>
    <row r="1" spans="2:7" s="46" customFormat="1" ht="57.75" customHeight="1" thickBot="1" x14ac:dyDescent="0.3"/>
    <row r="2" spans="2:7" ht="15.75" thickBot="1" x14ac:dyDescent="0.3">
      <c r="B2" s="4"/>
      <c r="C2" s="57" t="s">
        <v>115</v>
      </c>
      <c r="D2" s="58" t="s">
        <v>118</v>
      </c>
      <c r="E2" s="4"/>
      <c r="F2" s="4"/>
      <c r="G2" s="4"/>
    </row>
    <row r="3" spans="2:7" x14ac:dyDescent="0.25">
      <c r="B3" s="52" t="s">
        <v>0</v>
      </c>
      <c r="C3" s="53" t="s">
        <v>1</v>
      </c>
      <c r="D3" s="53" t="s">
        <v>5</v>
      </c>
      <c r="E3" s="54" t="s">
        <v>2</v>
      </c>
      <c r="F3" s="55" t="s">
        <v>116</v>
      </c>
      <c r="G3" s="56" t="s">
        <v>117</v>
      </c>
    </row>
    <row r="4" spans="2:7" x14ac:dyDescent="0.25">
      <c r="B4" s="5"/>
      <c r="C4" s="5"/>
      <c r="D4" s="5"/>
      <c r="E4" s="5"/>
      <c r="F4" s="5"/>
      <c r="G4" s="5"/>
    </row>
  </sheetData>
  <phoneticPr fontId="29" type="noConversion"/>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Munka6"/>
  <dimension ref="B1:G4"/>
  <sheetViews>
    <sheetView showGridLines="0" workbookViewId="0">
      <selection activeCell="C2" sqref="C2"/>
    </sheetView>
  </sheetViews>
  <sheetFormatPr baseColWidth="10" defaultColWidth="9.140625" defaultRowHeight="15" x14ac:dyDescent="0.25"/>
  <cols>
    <col min="2" max="2" width="15.140625" customWidth="1"/>
    <col min="3" max="3" width="24.85546875" customWidth="1"/>
    <col min="4" max="4" width="20.85546875" customWidth="1"/>
    <col min="7" max="7" width="23.28515625" customWidth="1"/>
  </cols>
  <sheetData>
    <row r="1" spans="2:7" s="46" customFormat="1" ht="43.5" customHeight="1" thickBot="1" x14ac:dyDescent="0.3"/>
    <row r="2" spans="2:7" ht="15.75" thickBot="1" x14ac:dyDescent="0.3">
      <c r="B2" s="4"/>
      <c r="C2" s="2" t="s">
        <v>115</v>
      </c>
      <c r="D2" s="13"/>
      <c r="E2" s="4"/>
      <c r="F2" s="4"/>
      <c r="G2" s="4"/>
    </row>
    <row r="3" spans="2:7" x14ac:dyDescent="0.25">
      <c r="B3" s="14" t="s">
        <v>0</v>
      </c>
      <c r="C3" s="15" t="s">
        <v>1</v>
      </c>
      <c r="D3" s="15" t="s">
        <v>5</v>
      </c>
      <c r="E3" s="16" t="s">
        <v>2</v>
      </c>
      <c r="F3" s="17" t="s">
        <v>116</v>
      </c>
      <c r="G3" s="18" t="s">
        <v>117</v>
      </c>
    </row>
    <row r="4" spans="2:7" x14ac:dyDescent="0.25">
      <c r="B4" s="5"/>
      <c r="C4" s="5"/>
      <c r="D4" s="5"/>
      <c r="E4" s="5"/>
      <c r="F4" s="5"/>
      <c r="G4" s="5"/>
    </row>
  </sheetData>
  <phoneticPr fontId="29"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Munka9"/>
  <dimension ref="A1:N720"/>
  <sheetViews>
    <sheetView showGridLines="0" zoomScaleNormal="100" workbookViewId="0">
      <pane ySplit="1" topLeftCell="A2" activePane="bottomLeft" state="frozen"/>
      <selection pane="bottomLeft"/>
    </sheetView>
  </sheetViews>
  <sheetFormatPr baseColWidth="10" defaultColWidth="9.140625" defaultRowHeight="15" outlineLevelRow="1" x14ac:dyDescent="0.25"/>
  <cols>
    <col min="1" max="1" width="3.5703125" style="102" customWidth="1"/>
    <col min="2" max="2" width="23.28515625" style="102" customWidth="1"/>
    <col min="3" max="3" width="55" style="102" customWidth="1"/>
    <col min="4" max="4" width="79" style="102" customWidth="1"/>
    <col min="5" max="5" width="12.28515625" style="255" bestFit="1" customWidth="1"/>
    <col min="6" max="6" width="14.140625" style="102" bestFit="1" customWidth="1"/>
    <col min="7" max="7" width="10" style="102" bestFit="1" customWidth="1"/>
    <col min="8" max="8" width="58.140625" style="102" bestFit="1" customWidth="1"/>
    <col min="9" max="9" width="55.140625" style="102" bestFit="1" customWidth="1"/>
    <col min="10" max="10" width="33.140625" style="102" bestFit="1" customWidth="1"/>
    <col min="11" max="11" width="29.28515625" style="102" bestFit="1" customWidth="1"/>
    <col min="12" max="12" width="26.28515625" style="102" customWidth="1"/>
    <col min="13" max="16384" width="9.140625" style="102"/>
  </cols>
  <sheetData>
    <row r="1" spans="1:9" s="144" customFormat="1" ht="50.1" customHeight="1" x14ac:dyDescent="0.25">
      <c r="A1" s="144" t="s">
        <v>1216</v>
      </c>
      <c r="E1" s="345"/>
    </row>
    <row r="2" spans="1:9" s="1168" customFormat="1" ht="15.75" thickBot="1" x14ac:dyDescent="0.3">
      <c r="B2" s="4"/>
      <c r="C2" s="4"/>
      <c r="D2" s="4"/>
      <c r="E2" s="458"/>
      <c r="F2" s="4"/>
      <c r="G2" s="1924"/>
      <c r="H2" s="4"/>
    </row>
    <row r="3" spans="1:9" s="1168" customFormat="1" ht="18" customHeight="1" thickBot="1" x14ac:dyDescent="0.3">
      <c r="A3" s="4"/>
      <c r="B3" s="102"/>
      <c r="C3" s="1202" t="s">
        <v>322</v>
      </c>
      <c r="D3" s="13" t="s">
        <v>319</v>
      </c>
      <c r="E3" s="13"/>
      <c r="F3" s="102"/>
      <c r="G3" s="102"/>
      <c r="H3" s="102"/>
      <c r="I3" s="102"/>
    </row>
    <row r="4" spans="1:9" s="1168" customFormat="1" ht="18" customHeight="1" thickBot="1" x14ac:dyDescent="0.3">
      <c r="A4" s="4"/>
      <c r="B4" s="648" t="s">
        <v>0</v>
      </c>
      <c r="C4" s="1573" t="s">
        <v>1</v>
      </c>
      <c r="D4" s="1576" t="s">
        <v>5</v>
      </c>
      <c r="E4" s="1576" t="s">
        <v>152</v>
      </c>
      <c r="F4" s="1576" t="s">
        <v>2</v>
      </c>
      <c r="G4" s="1576" t="s">
        <v>302</v>
      </c>
      <c r="H4" s="1576" t="s">
        <v>116</v>
      </c>
      <c r="I4" s="1579" t="s">
        <v>117</v>
      </c>
    </row>
    <row r="5" spans="1:9" ht="18" outlineLevel="1" x14ac:dyDescent="0.25">
      <c r="B5" s="1850" t="s">
        <v>1740</v>
      </c>
      <c r="C5" s="1867" t="s">
        <v>277</v>
      </c>
      <c r="D5" s="1867" t="s">
        <v>4340</v>
      </c>
      <c r="E5" s="1894">
        <f>X_OHO+X_CASTO+X_MEOLO+X_NITO+X_AMETO+X_HMETO+X_ALGAE</f>
        <v>1091.5</v>
      </c>
      <c r="F5" s="1869" t="s">
        <v>1177</v>
      </c>
      <c r="G5" s="1869">
        <v>1</v>
      </c>
      <c r="H5" s="1869"/>
      <c r="I5" s="1933"/>
    </row>
    <row r="6" spans="1:9" ht="18" outlineLevel="1" x14ac:dyDescent="0.25">
      <c r="B6" s="1850" t="s">
        <v>4422</v>
      </c>
      <c r="C6" s="1867" t="s">
        <v>4424</v>
      </c>
      <c r="D6" s="1867" t="s">
        <v>4423</v>
      </c>
      <c r="E6" s="1894">
        <f>X_OHO+X_CASTO+X_MEOLO+X_NITO+X_AMETO+X_HMETO</f>
        <v>1091.5</v>
      </c>
      <c r="F6" s="1869" t="s">
        <v>1177</v>
      </c>
      <c r="G6" s="1869">
        <v>1</v>
      </c>
      <c r="H6" s="1869"/>
      <c r="I6" s="1933"/>
    </row>
    <row r="7" spans="1:9" ht="18" outlineLevel="1" x14ac:dyDescent="0.25">
      <c r="B7" s="1850" t="s">
        <v>4398</v>
      </c>
      <c r="C7" s="1867" t="s">
        <v>4399</v>
      </c>
      <c r="D7" s="1867" t="s">
        <v>4406</v>
      </c>
      <c r="E7" s="1894">
        <f>X_OHO+X_CASTO+X_AMETO</f>
        <v>1000.3</v>
      </c>
      <c r="F7" s="1869" t="s">
        <v>1177</v>
      </c>
      <c r="G7" s="1869">
        <v>1</v>
      </c>
      <c r="H7" s="1869"/>
      <c r="I7" s="1933"/>
    </row>
    <row r="8" spans="1:9" ht="18" outlineLevel="1" x14ac:dyDescent="0.25">
      <c r="B8" s="1850" t="s">
        <v>1741</v>
      </c>
      <c r="C8" s="1867" t="s">
        <v>2359</v>
      </c>
      <c r="D8" s="1867" t="s">
        <v>4727</v>
      </c>
      <c r="E8" s="1894">
        <f>X_BIO+X_B+X_B_e+X_U+X_PHA_PAO+X_PHA_GAO+X_E_ana+X_E</f>
        <v>2493.6</v>
      </c>
      <c r="F8" s="1869" t="s">
        <v>1177</v>
      </c>
      <c r="G8" s="1869">
        <v>1</v>
      </c>
      <c r="H8" s="1869"/>
      <c r="I8" s="1933"/>
    </row>
    <row r="9" spans="1:9" s="1168" customFormat="1" ht="18" outlineLevel="1" x14ac:dyDescent="0.25">
      <c r="A9" s="4"/>
      <c r="B9" s="1851" t="s">
        <v>2645</v>
      </c>
      <c r="C9" s="1868" t="s">
        <v>2646</v>
      </c>
      <c r="D9" s="1868" t="s">
        <v>2651</v>
      </c>
      <c r="E9" s="1895">
        <f>S_B+S_VFA+S_MEOL</f>
        <v>1.01</v>
      </c>
      <c r="F9" s="1869" t="s">
        <v>1177</v>
      </c>
      <c r="G9" s="1869">
        <v>1</v>
      </c>
      <c r="H9" s="1770"/>
      <c r="I9" s="1771"/>
    </row>
    <row r="10" spans="1:9" s="1168" customFormat="1" ht="18" outlineLevel="1" x14ac:dyDescent="0.25">
      <c r="A10" s="4"/>
      <c r="B10" s="1851" t="s">
        <v>2647</v>
      </c>
      <c r="C10" s="1868" t="s">
        <v>2648</v>
      </c>
      <c r="D10" s="1868" t="s">
        <v>5049</v>
      </c>
      <c r="E10" s="1895">
        <f>X_B+X_B_e+C_B</f>
        <v>79.010000000000005</v>
      </c>
      <c r="F10" s="1869" t="s">
        <v>1177</v>
      </c>
      <c r="G10" s="1869">
        <v>1</v>
      </c>
      <c r="H10" s="1770"/>
      <c r="I10" s="1771"/>
    </row>
    <row r="11" spans="1:9" ht="18" outlineLevel="1" x14ac:dyDescent="0.25">
      <c r="B11" s="1850" t="s">
        <v>1742</v>
      </c>
      <c r="C11" s="1867" t="s">
        <v>2360</v>
      </c>
      <c r="D11" s="1867" t="s">
        <v>4079</v>
      </c>
      <c r="E11" s="1894">
        <f>X_BIO/i_CV_BIO</f>
        <v>768.66197183098598</v>
      </c>
      <c r="F11" s="1869" t="s">
        <v>1743</v>
      </c>
      <c r="G11" s="1869">
        <v>1</v>
      </c>
      <c r="H11" s="1869"/>
      <c r="I11" s="1933"/>
    </row>
    <row r="12" spans="1:9" ht="36" outlineLevel="1" x14ac:dyDescent="0.25">
      <c r="B12" s="1850" t="s">
        <v>1744</v>
      </c>
      <c r="C12" s="1867" t="s">
        <v>2099</v>
      </c>
      <c r="D12" s="1867" t="s">
        <v>4958</v>
      </c>
      <c r="E12" s="1894">
        <f>X_VSS_BIO+X_B/i_CV_XB+X_B_e/i_CV_XBe+X_U/i_CV_XU+X_PHA_PAO/i_CV_PHA+X_PHA_GAO/i_CV_PHA+X_E_ana/i_CV_XE+X_E/i_CV_XE+f_H2O_HFO_VSS*X_HFO*M_MFeOH3/A_MFe+f_H2O_HAO_VSS*X_HAO*M_MAlOH3/A_MAl</f>
        <v>1816.5705042518039</v>
      </c>
      <c r="F12" s="1869" t="s">
        <v>1743</v>
      </c>
      <c r="G12" s="1869">
        <v>1</v>
      </c>
      <c r="H12" s="1869"/>
      <c r="I12" s="1933"/>
    </row>
    <row r="13" spans="1:9" ht="18" outlineLevel="1" x14ac:dyDescent="0.25">
      <c r="B13" s="1850" t="s">
        <v>1747</v>
      </c>
      <c r="C13" s="1867" t="s">
        <v>2098</v>
      </c>
      <c r="D13" s="1867" t="s">
        <v>4451</v>
      </c>
      <c r="E13" s="1894">
        <f>X_VSS+S_U/i_CV_SU+S_B/i_CV_SB+f_VFA_DM*S_VFA/i_CV_VFA+C_B/i_CV_CB+C_U/i_CV_CU</f>
        <v>1839.1248009887404</v>
      </c>
      <c r="F13" s="1869" t="s">
        <v>1748</v>
      </c>
      <c r="G13" s="1869">
        <v>1</v>
      </c>
      <c r="H13" s="1869"/>
      <c r="I13" s="1933"/>
    </row>
    <row r="14" spans="1:9" ht="18" outlineLevel="1" x14ac:dyDescent="0.25">
      <c r="B14" s="1850" t="s">
        <v>2100</v>
      </c>
      <c r="C14" s="1867" t="s">
        <v>2361</v>
      </c>
      <c r="D14" s="1867" t="s">
        <v>4098</v>
      </c>
      <c r="E14" s="1894">
        <f>X_U/i_CV_XU+S_U/i_CV_SU+C_U/i_CV_CU</f>
        <v>790.83673367669041</v>
      </c>
      <c r="F14" s="1869" t="s">
        <v>1748</v>
      </c>
      <c r="G14" s="1869">
        <v>1</v>
      </c>
      <c r="H14" s="1927"/>
      <c r="I14" s="1933"/>
    </row>
    <row r="15" spans="1:9" ht="18" outlineLevel="1" x14ac:dyDescent="0.25">
      <c r="B15" s="1850" t="s">
        <v>2006</v>
      </c>
      <c r="C15" s="1867" t="s">
        <v>2136</v>
      </c>
      <c r="D15" s="1867" t="s">
        <v>4080</v>
      </c>
      <c r="E15" s="1894">
        <f>X_CaCO3+X_ACP+X_STR+X_Vivi+X_BSH</f>
        <v>4.9999999999999997E-50</v>
      </c>
      <c r="F15" s="1869" t="s">
        <v>1746</v>
      </c>
      <c r="G15" s="1869">
        <v>1</v>
      </c>
      <c r="H15" s="1869"/>
      <c r="I15" s="1933"/>
    </row>
    <row r="16" spans="1:9" ht="54" outlineLevel="1" x14ac:dyDescent="0.25">
      <c r="B16" s="1850" t="s">
        <v>4253</v>
      </c>
      <c r="C16" s="1867" t="s">
        <v>4256</v>
      </c>
      <c r="D16" s="1867" t="s">
        <v>4259</v>
      </c>
      <c r="E16" s="1894">
        <f>(1-f_H2O_HFO_VSS)*X_HFO*M_MFeOH3/A_MFe+(X_HFO_L_P+X_HFO_L_P_old)*A_SFHFO_L*(M_MPO4/A_MFe)+(X_HFO_H_P+X_HFO_H_P_old)*A_SFHFO_H*(M_MPO4/A_MFe)</f>
        <v>1.4297448294386249E-2</v>
      </c>
      <c r="F16" s="1869" t="s">
        <v>1746</v>
      </c>
      <c r="G16" s="1869">
        <v>1</v>
      </c>
      <c r="H16" s="1869"/>
      <c r="I16" s="1933"/>
    </row>
    <row r="17" spans="1:9" s="94" customFormat="1" ht="36" outlineLevel="1" x14ac:dyDescent="0.25">
      <c r="A17" s="102"/>
      <c r="B17" s="1850" t="s">
        <v>4254</v>
      </c>
      <c r="C17" s="1867" t="s">
        <v>4257</v>
      </c>
      <c r="D17" s="1867" t="s">
        <v>4260</v>
      </c>
      <c r="E17" s="1894">
        <f>(1-f_H2O_HAO_VSS)*X_HAO*M_MAlOH3/A_MAl+(X_HAO_L_P+X_HAO_L_P_old)*A_SFHAO_L*(M_MPO4/A_MAl)+(X_HAO_H_P+X_HAO_H_P_old)*A_SFHAO_H*(M_MPO4/A_MAl)</f>
        <v>1.8894650037988993E-2</v>
      </c>
      <c r="F17" s="1869" t="s">
        <v>1746</v>
      </c>
      <c r="G17" s="1869">
        <v>1</v>
      </c>
      <c r="H17" s="1869"/>
      <c r="I17" s="1933"/>
    </row>
    <row r="18" spans="1:9" s="94" customFormat="1" ht="18" outlineLevel="1" x14ac:dyDescent="0.25">
      <c r="A18" s="102"/>
      <c r="B18" s="1850" t="s">
        <v>4255</v>
      </c>
      <c r="C18" s="1867" t="s">
        <v>4258</v>
      </c>
      <c r="D18" s="1867" t="s">
        <v>4261</v>
      </c>
      <c r="E18" s="1894">
        <f>X_HFO_ISS+X_HAO_ISS</f>
        <v>3.3192098332375242E-2</v>
      </c>
      <c r="F18" s="1869" t="s">
        <v>1746</v>
      </c>
      <c r="G18" s="1869">
        <v>1</v>
      </c>
      <c r="H18" s="1869"/>
      <c r="I18" s="1933"/>
    </row>
    <row r="19" spans="1:9" s="94" customFormat="1" ht="36" outlineLevel="1" x14ac:dyDescent="0.25">
      <c r="B19" s="1850" t="s">
        <v>4262</v>
      </c>
      <c r="C19" s="1869" t="s">
        <v>4263</v>
      </c>
      <c r="D19" s="1867" t="s">
        <v>4269</v>
      </c>
      <c r="E19" s="1894">
        <f>(f_H2O_HFO_VSS-f_H2O_HFO_TSS)*X_HFO*M_MFeOH3/A_MFe+(f_H2O_HAO_VSS-f_H2O_HAO_TSS)*X_HAO*M_MAlOH3/A_MAl</f>
        <v>9.9865764606091728E-3</v>
      </c>
      <c r="F19" s="1869" t="s">
        <v>1743</v>
      </c>
      <c r="G19" s="1869">
        <v>1</v>
      </c>
      <c r="H19" s="1869"/>
      <c r="I19" s="1934"/>
    </row>
    <row r="20" spans="1:9" ht="54" outlineLevel="1" x14ac:dyDescent="0.25">
      <c r="B20" s="1850" t="s">
        <v>2007</v>
      </c>
      <c r="C20" s="1867" t="s">
        <v>2008</v>
      </c>
      <c r="D20" s="1867" t="s">
        <v>3505</v>
      </c>
      <c r="E20" s="1894">
        <f>(1-f_H2O_HFO_TSS)*X_HFO*M_MFeOH3/A_MFe+(X_HFO_L_P+X_HFO_L_P_old)*A_SFHFO_L*(M_MPO4/A_MFe)+(X_HFO_H_P+X_HFO_H_P_old)*A_SFHFO_H*(M_MPO4/A_MFe)</f>
        <v>1.7549958643029814E-2</v>
      </c>
      <c r="F20" s="1869" t="s">
        <v>1746</v>
      </c>
      <c r="G20" s="1869">
        <v>1</v>
      </c>
      <c r="H20" s="1869"/>
      <c r="I20" s="1933"/>
    </row>
    <row r="21" spans="1:9" s="94" customFormat="1" ht="36" outlineLevel="1" x14ac:dyDescent="0.25">
      <c r="A21" s="102"/>
      <c r="B21" s="1850" t="s">
        <v>3418</v>
      </c>
      <c r="C21" s="1867" t="s">
        <v>3420</v>
      </c>
      <c r="D21" s="1867" t="s">
        <v>3419</v>
      </c>
      <c r="E21" s="1894">
        <f>(1-f_H2O_HAO_TSS)*X_HAO*M_MAlOH3/A_MAl+(X_HAO_L_P+X_HAO_L_P_old)*A_SFHAO_L*(M_MPO4/A_MAl)+(X_HAO_H_P+X_HAO_H_P_old)*A_SFHAO_H*(M_MPO4/A_MAl)</f>
        <v>2.5628716149954593E-2</v>
      </c>
      <c r="F21" s="1869" t="s">
        <v>1746</v>
      </c>
      <c r="G21" s="1869">
        <v>1</v>
      </c>
      <c r="H21" s="1869"/>
      <c r="I21" s="1933"/>
    </row>
    <row r="22" spans="1:9" s="94" customFormat="1" ht="18" outlineLevel="1" x14ac:dyDescent="0.25">
      <c r="B22" s="1850" t="s">
        <v>4264</v>
      </c>
      <c r="C22" s="1869" t="s">
        <v>4265</v>
      </c>
      <c r="D22" s="1867" t="s">
        <v>4268</v>
      </c>
      <c r="E22" s="1894">
        <f>f_H2O_HFO_TSS*X_HFO*M_MFeOH3/A_MFe+f_H2O_HAO_TSS*X_HAO*M_MAlOH3/A_MAl</f>
        <v>4.8676896521996213E-3</v>
      </c>
      <c r="F22" s="1869" t="s">
        <v>1743</v>
      </c>
      <c r="G22" s="1869">
        <v>1</v>
      </c>
      <c r="H22" s="1869"/>
      <c r="I22" s="1934"/>
    </row>
    <row r="23" spans="1:9" s="94" customFormat="1" ht="18" outlineLevel="1" x14ac:dyDescent="0.25">
      <c r="A23" s="102"/>
      <c r="B23" s="1850" t="s">
        <v>2664</v>
      </c>
      <c r="C23" s="1867" t="s">
        <v>2665</v>
      </c>
      <c r="D23" s="1867" t="s">
        <v>4097</v>
      </c>
      <c r="E23" s="1894">
        <f>X_HFO_TSS+X_HAO_TSS</f>
        <v>4.3178674792984408E-2</v>
      </c>
      <c r="F23" s="1869" t="s">
        <v>1746</v>
      </c>
      <c r="G23" s="1869">
        <v>1</v>
      </c>
      <c r="H23" s="1869"/>
      <c r="I23" s="1933"/>
    </row>
    <row r="24" spans="1:9" ht="18" outlineLevel="1" x14ac:dyDescent="0.25">
      <c r="B24" s="1850" t="s">
        <v>2005</v>
      </c>
      <c r="C24" s="1867" t="s">
        <v>2362</v>
      </c>
      <c r="D24" s="1867" t="s">
        <v>4266</v>
      </c>
      <c r="E24" s="1894">
        <f>X_Me_ISS+X_precip+X_INORG+i_TSS_PP*X_PP</f>
        <v>671.00093403381629</v>
      </c>
      <c r="F24" s="1869" t="s">
        <v>1746</v>
      </c>
      <c r="G24" s="1869">
        <v>1</v>
      </c>
      <c r="H24" s="1869"/>
      <c r="I24" s="1933"/>
    </row>
    <row r="25" spans="1:9" ht="18" outlineLevel="1" x14ac:dyDescent="0.25">
      <c r="B25" s="1850" t="s">
        <v>1745</v>
      </c>
      <c r="C25" s="1867" t="s">
        <v>2363</v>
      </c>
      <c r="D25" s="1867" t="s">
        <v>4267</v>
      </c>
      <c r="E25" s="1894">
        <f>X_VSS+X_ISS-X_Me_H2O_TSS</f>
        <v>2487.5665705959682</v>
      </c>
      <c r="F25" s="1869" t="s">
        <v>1746</v>
      </c>
      <c r="G25" s="1869">
        <v>1</v>
      </c>
      <c r="H25" s="1869"/>
      <c r="I25" s="1933"/>
    </row>
    <row r="26" spans="1:9" ht="36" outlineLevel="1" x14ac:dyDescent="0.25">
      <c r="B26" s="1850" t="s">
        <v>2010</v>
      </c>
      <c r="C26" s="1867" t="s">
        <v>2009</v>
      </c>
      <c r="D26" s="1867" t="s">
        <v>3319</v>
      </c>
      <c r="E26" s="1894">
        <f>X_TSS+S_U/i_CV_SU+S_B/i_CV_SB+f_VFA_DM*S_VFA/i_CV_VFA+C_B/i_CV_CB+C_U/i_CV_CU+S_NOx*M_MNO3/A_MN+S_PO4*M_MPO4/A_MP+S_CAT+S_AN+S_Ca+S_Mg+S_K+S_Fe2</f>
        <v>2898.7879755142421</v>
      </c>
      <c r="F26" s="1869" t="s">
        <v>3324</v>
      </c>
      <c r="G26" s="1869">
        <v>1</v>
      </c>
      <c r="H26" s="1869"/>
      <c r="I26" s="1933"/>
    </row>
    <row r="27" spans="1:9" ht="18" outlineLevel="1" x14ac:dyDescent="0.25">
      <c r="B27" s="1850" t="s">
        <v>2102</v>
      </c>
      <c r="C27" s="1867" t="s">
        <v>2364</v>
      </c>
      <c r="D27" s="1867" t="s">
        <v>4096</v>
      </c>
      <c r="E27" s="1894">
        <f>Y_BOD_ult*(S_VFA+S_B+S_MEOL+C_B)</f>
        <v>0.96899999999999997</v>
      </c>
      <c r="F27" s="1770" t="s">
        <v>829</v>
      </c>
      <c r="G27" s="1869">
        <v>1</v>
      </c>
      <c r="H27" s="1869"/>
      <c r="I27" s="1933"/>
    </row>
    <row r="28" spans="1:9" ht="18" outlineLevel="1" x14ac:dyDescent="0.25">
      <c r="B28" s="1850" t="s">
        <v>2103</v>
      </c>
      <c r="C28" s="1867" t="s">
        <v>324</v>
      </c>
      <c r="D28" s="1867" t="s">
        <v>4728</v>
      </c>
      <c r="E28" s="1894">
        <f>Y_BOD_ult*(X_BIO+X_B+X_B_e+X_PHA_PAO+X_PHA_GAO)</f>
        <v>1133.825</v>
      </c>
      <c r="F28" s="1770" t="s">
        <v>829</v>
      </c>
      <c r="G28" s="1869">
        <v>1</v>
      </c>
      <c r="H28" s="1869"/>
      <c r="I28" s="1933" t="s">
        <v>3320</v>
      </c>
    </row>
    <row r="29" spans="1:9" ht="18" outlineLevel="1" x14ac:dyDescent="0.25">
      <c r="B29" s="1850" t="s">
        <v>2104</v>
      </c>
      <c r="C29" s="1867" t="s">
        <v>325</v>
      </c>
      <c r="D29" s="1867" t="s">
        <v>4095</v>
      </c>
      <c r="E29" s="1894">
        <f>S_BOD_ult+X_BOD_ult</f>
        <v>1134.7940000000001</v>
      </c>
      <c r="F29" s="1770" t="s">
        <v>829</v>
      </c>
      <c r="G29" s="1869">
        <v>1</v>
      </c>
      <c r="H29" s="1869"/>
      <c r="I29" s="1933"/>
    </row>
    <row r="30" spans="1:9" ht="18" outlineLevel="1" x14ac:dyDescent="0.25">
      <c r="B30" s="1850" t="s">
        <v>326</v>
      </c>
      <c r="C30" s="1867" t="s">
        <v>2365</v>
      </c>
      <c r="D30" s="1867" t="s">
        <v>4094</v>
      </c>
      <c r="E30" s="1894">
        <f>Y_BOD_ult*(S_VFA+S_B+S_MEOL)*f_S_BOD5_BODult+Y_BOD_ult*C_B*f_C_BOD5_BODult</f>
        <v>0.86924999999999997</v>
      </c>
      <c r="F30" s="1770" t="s">
        <v>829</v>
      </c>
      <c r="G30" s="1869">
        <v>1</v>
      </c>
      <c r="H30" s="1869"/>
      <c r="I30" s="1933"/>
    </row>
    <row r="31" spans="1:9" ht="18" outlineLevel="1" x14ac:dyDescent="0.25">
      <c r="B31" s="1850" t="s">
        <v>327</v>
      </c>
      <c r="C31" s="1867" t="s">
        <v>352</v>
      </c>
      <c r="D31" s="1867" t="s">
        <v>4093</v>
      </c>
      <c r="E31" s="1894">
        <f>X_BOD_ult*f_X_BOD5_BODult</f>
        <v>566.91250000000002</v>
      </c>
      <c r="F31" s="1770" t="s">
        <v>829</v>
      </c>
      <c r="G31" s="1869">
        <v>1</v>
      </c>
      <c r="H31" s="1869"/>
      <c r="I31" s="1933"/>
    </row>
    <row r="32" spans="1:9" ht="18" outlineLevel="1" x14ac:dyDescent="0.25">
      <c r="B32" s="1850" t="s">
        <v>328</v>
      </c>
      <c r="C32" s="1867" t="s">
        <v>353</v>
      </c>
      <c r="D32" s="1867" t="s">
        <v>4092</v>
      </c>
      <c r="E32" s="1894">
        <f>S_BOD_5+X_BOD_5</f>
        <v>567.78174999999999</v>
      </c>
      <c r="F32" s="1770" t="s">
        <v>829</v>
      </c>
      <c r="G32" s="1869">
        <v>1</v>
      </c>
      <c r="H32" s="1869"/>
      <c r="I32" s="1933"/>
    </row>
    <row r="33" spans="2:9" ht="18" outlineLevel="1" x14ac:dyDescent="0.25">
      <c r="B33" s="1850" t="s">
        <v>329</v>
      </c>
      <c r="C33" s="1867" t="s">
        <v>355</v>
      </c>
      <c r="D33" s="1867" t="s">
        <v>4091</v>
      </c>
      <c r="E33" s="1894">
        <f>S_U+S_B+S_VFA+S_MEOL</f>
        <v>21.01</v>
      </c>
      <c r="F33" s="1869" t="s">
        <v>1177</v>
      </c>
      <c r="G33" s="1869">
        <v>1</v>
      </c>
      <c r="H33" s="1869"/>
      <c r="I33" s="1933"/>
    </row>
    <row r="34" spans="2:9" ht="18" outlineLevel="1" x14ac:dyDescent="0.25">
      <c r="B34" s="1850" t="s">
        <v>354</v>
      </c>
      <c r="C34" s="1867" t="s">
        <v>2366</v>
      </c>
      <c r="D34" s="1867" t="s">
        <v>943</v>
      </c>
      <c r="E34" s="1894">
        <f>S_COD+C_B+C_U</f>
        <v>21.030000000000005</v>
      </c>
      <c r="F34" s="1869" t="s">
        <v>1177</v>
      </c>
      <c r="G34" s="1869">
        <v>1</v>
      </c>
      <c r="H34" s="1869"/>
      <c r="I34" s="1933"/>
    </row>
    <row r="35" spans="2:9" ht="18" outlineLevel="1" x14ac:dyDescent="0.25">
      <c r="B35" s="1850" t="s">
        <v>1749</v>
      </c>
      <c r="C35" s="1867" t="s">
        <v>330</v>
      </c>
      <c r="D35" s="1867" t="s">
        <v>4090</v>
      </c>
      <c r="E35" s="1894">
        <f>S_CCOD+X_COD</f>
        <v>2514.63</v>
      </c>
      <c r="F35" s="1869" t="s">
        <v>1177</v>
      </c>
      <c r="G35" s="1869">
        <v>1</v>
      </c>
      <c r="H35" s="1869"/>
      <c r="I35" s="1933"/>
    </row>
    <row r="36" spans="2:9" ht="36" outlineLevel="1" x14ac:dyDescent="0.25">
      <c r="B36" s="1850" t="s">
        <v>2199</v>
      </c>
      <c r="C36" s="1867" t="s">
        <v>2200</v>
      </c>
      <c r="D36" s="1867" t="s">
        <v>2358</v>
      </c>
      <c r="E36" s="1894">
        <f>T_COD+S_H2+S_CH4+E_EQFe2*S_Fe2+(3*A_MFe/M_MVivi*E_EQFe2)*X_Vivi-E_EQNO3*S_NOx-E_EQN2*S_N2-S_O2</f>
        <v>2458.9634214340285</v>
      </c>
      <c r="F36" s="1869" t="s">
        <v>1177</v>
      </c>
      <c r="G36" s="1869">
        <v>1</v>
      </c>
      <c r="H36" s="1869"/>
      <c r="I36" s="1933"/>
    </row>
    <row r="37" spans="2:9" ht="36" outlineLevel="1" x14ac:dyDescent="0.25">
      <c r="B37" s="1850" t="s">
        <v>1750</v>
      </c>
      <c r="C37" s="1867" t="s">
        <v>338</v>
      </c>
      <c r="D37" s="1867" t="s">
        <v>4685</v>
      </c>
      <c r="E37" s="1894">
        <f>S_NHx+S_N_B+i_N_CB*C_B+X_N_B+X_N_Be+i_N_SU*S_U+i_N_CU*C_U+X_N_U+i_N_BIO*X_BIO+i_N_XE*(X_E_ana+X_E)+i_N_XSTR*X_STR</f>
        <v>111.6112</v>
      </c>
      <c r="F37" s="1869" t="s">
        <v>885</v>
      </c>
      <c r="G37" s="1869">
        <v>1</v>
      </c>
      <c r="H37" s="1869"/>
      <c r="I37" s="1933"/>
    </row>
    <row r="38" spans="2:9" ht="18" outlineLevel="1" x14ac:dyDescent="0.25">
      <c r="B38" s="1850" t="s">
        <v>3977</v>
      </c>
      <c r="C38" s="1867" t="s">
        <v>3976</v>
      </c>
      <c r="D38" s="1867" t="s">
        <v>4686</v>
      </c>
      <c r="E38" s="1894">
        <f>S_N_B+i_N_CB*C_B+X_N_B+X_N_Be+i_N_BIO*X_BIO</f>
        <v>82.405100000000004</v>
      </c>
      <c r="F38" s="1869" t="s">
        <v>885</v>
      </c>
      <c r="G38" s="1869">
        <v>1</v>
      </c>
      <c r="H38" s="1869"/>
      <c r="I38" s="1933"/>
    </row>
    <row r="39" spans="2:9" ht="18" outlineLevel="1" x14ac:dyDescent="0.25">
      <c r="B39" s="1850" t="s">
        <v>3968</v>
      </c>
      <c r="C39" s="1868" t="s">
        <v>3967</v>
      </c>
      <c r="D39" s="1868" t="s">
        <v>3969</v>
      </c>
      <c r="E39" s="1894">
        <f>S_NHx+S_NOx</f>
        <v>6</v>
      </c>
      <c r="F39" s="1869" t="s">
        <v>885</v>
      </c>
      <c r="G39" s="1869">
        <v>1</v>
      </c>
      <c r="H39" s="1869"/>
      <c r="I39" s="1933"/>
    </row>
    <row r="40" spans="2:9" ht="18" outlineLevel="1" x14ac:dyDescent="0.25">
      <c r="B40" s="1850" t="s">
        <v>1751</v>
      </c>
      <c r="C40" s="1867" t="s">
        <v>340</v>
      </c>
      <c r="D40" s="1867" t="s">
        <v>3970</v>
      </c>
      <c r="E40" s="1894">
        <f>T_KN+S_NOx</f>
        <v>116.6112</v>
      </c>
      <c r="F40" s="1869" t="s">
        <v>885</v>
      </c>
      <c r="G40" s="1869">
        <v>1</v>
      </c>
      <c r="H40" s="1869"/>
      <c r="I40" s="1933"/>
    </row>
    <row r="41" spans="2:9" ht="18" outlineLevel="1" x14ac:dyDescent="0.25">
      <c r="B41" s="1850" t="s">
        <v>4496</v>
      </c>
      <c r="C41" s="1867" t="s">
        <v>4455</v>
      </c>
      <c r="D41" s="1867" t="s">
        <v>4456</v>
      </c>
      <c r="E41" s="1894">
        <f>T_KN-S_KN</f>
        <v>109.911</v>
      </c>
      <c r="F41" s="1869" t="s">
        <v>885</v>
      </c>
      <c r="G41" s="1869">
        <v>1</v>
      </c>
      <c r="H41" s="1869"/>
      <c r="I41" s="1933"/>
    </row>
    <row r="42" spans="2:9" ht="18" outlineLevel="1" x14ac:dyDescent="0.25">
      <c r="B42" s="1850" t="s">
        <v>3188</v>
      </c>
      <c r="C42" s="1867" t="s">
        <v>3189</v>
      </c>
      <c r="D42" s="1867" t="s">
        <v>4089</v>
      </c>
      <c r="E42" s="1894">
        <f>S_NHx+S_N_B+i_N_CB*C_B+i_N_SU*S_U+i_N_CU*C_U</f>
        <v>1.7001999999999999</v>
      </c>
      <c r="F42" s="1869" t="s">
        <v>885</v>
      </c>
      <c r="G42" s="1869">
        <v>1</v>
      </c>
      <c r="H42" s="1869"/>
      <c r="I42" s="1933"/>
    </row>
    <row r="43" spans="2:9" ht="18" outlineLevel="1" x14ac:dyDescent="0.25">
      <c r="B43" s="1850" t="s">
        <v>4103</v>
      </c>
      <c r="C43" s="1867" t="s">
        <v>4104</v>
      </c>
      <c r="D43" s="1867" t="s">
        <v>4105</v>
      </c>
      <c r="E43" s="1894">
        <f>S_U*i_N_SU</f>
        <v>0.2</v>
      </c>
      <c r="F43" s="1869" t="s">
        <v>885</v>
      </c>
      <c r="G43" s="1869">
        <v>1</v>
      </c>
      <c r="H43" s="1869" t="s">
        <v>3573</v>
      </c>
      <c r="I43" s="1933"/>
    </row>
    <row r="44" spans="2:9" ht="36" outlineLevel="1" x14ac:dyDescent="0.25">
      <c r="B44" s="1850" t="s">
        <v>1752</v>
      </c>
      <c r="C44" s="1867" t="s">
        <v>789</v>
      </c>
      <c r="D44" s="1867" t="s">
        <v>4687</v>
      </c>
      <c r="E44" s="1894">
        <f>i_P_BIO*(X_BIO+X_E_ana+X_E)+S_PO4+S_P_B+i_P_CB*C_B+X_P_B+X_P_Be+i_P_SU*S_U+X_P_U+i_P_CU*C_U+X_PP+i_P_XSTR*X_STR+X_HFO_P+X_HAO_P+i_P_XACP*X_ACP+i_P_XVivi*X_Vivi+i_P_XBSH*X_BSH</f>
        <v>91.482039999999998</v>
      </c>
      <c r="F44" s="1869" t="s">
        <v>887</v>
      </c>
      <c r="G44" s="1869">
        <v>1</v>
      </c>
      <c r="H44" s="1869"/>
      <c r="I44" s="1933"/>
    </row>
    <row r="45" spans="2:9" ht="18" outlineLevel="1" x14ac:dyDescent="0.25">
      <c r="B45" s="1850" t="s">
        <v>4452</v>
      </c>
      <c r="C45" s="1867" t="s">
        <v>4453</v>
      </c>
      <c r="D45" s="1867" t="s">
        <v>4454</v>
      </c>
      <c r="E45" s="1894">
        <f>T_P-S_P</f>
        <v>90.932000000000002</v>
      </c>
      <c r="F45" s="1869" t="s">
        <v>887</v>
      </c>
      <c r="G45" s="1869">
        <v>1</v>
      </c>
      <c r="H45" s="1869"/>
      <c r="I45" s="1933"/>
    </row>
    <row r="46" spans="2:9" ht="18" outlineLevel="1" x14ac:dyDescent="0.25">
      <c r="B46" s="1850" t="s">
        <v>3190</v>
      </c>
      <c r="C46" s="1867" t="s">
        <v>3191</v>
      </c>
      <c r="D46" s="1867" t="s">
        <v>4088</v>
      </c>
      <c r="E46" s="1894">
        <f>S_PO4+S_P_B+i_P_CB*C_B+i_P_SU*S_U+i_P_CU*C_U</f>
        <v>0.55004000000000008</v>
      </c>
      <c r="F46" s="1869" t="s">
        <v>887</v>
      </c>
      <c r="G46" s="1869">
        <v>1</v>
      </c>
      <c r="H46" s="1869"/>
      <c r="I46" s="1933"/>
    </row>
    <row r="47" spans="2:9" ht="18" outlineLevel="1" x14ac:dyDescent="0.25">
      <c r="B47" s="1850" t="s">
        <v>1753</v>
      </c>
      <c r="C47" s="1867" t="s">
        <v>468</v>
      </c>
      <c r="D47" s="1867" t="s">
        <v>4087</v>
      </c>
      <c r="E47" s="1896">
        <f>X_HFO_H+X_HFO_L+X_HFO_L_P+X_HFO_H_P+X_HFO_old+X_HFO_L_P_old+X_HFO_H_P_old</f>
        <v>0.01</v>
      </c>
      <c r="F47" s="1869" t="s">
        <v>1945</v>
      </c>
      <c r="G47" s="1869">
        <v>1</v>
      </c>
      <c r="H47" s="1869"/>
      <c r="I47" s="1933"/>
    </row>
    <row r="48" spans="2:9" ht="18" outlineLevel="1" x14ac:dyDescent="0.25">
      <c r="B48" s="1850" t="s">
        <v>3421</v>
      </c>
      <c r="C48" s="1867" t="s">
        <v>3422</v>
      </c>
      <c r="D48" s="1867" t="s">
        <v>4086</v>
      </c>
      <c r="E48" s="1896">
        <f>X_HAO_H+X_HAO_L+X_HAO_L_P+X_HAO_H_P+X_HAO_old+X_HAO_L_P_old+X_HAO_H_P_old</f>
        <v>0.01</v>
      </c>
      <c r="F48" s="1869" t="s">
        <v>3423</v>
      </c>
      <c r="G48" s="1869">
        <v>1</v>
      </c>
      <c r="H48" s="1869"/>
      <c r="I48" s="1933"/>
    </row>
    <row r="49" spans="1:14" ht="18" outlineLevel="1" x14ac:dyDescent="0.25">
      <c r="B49" s="1850" t="s">
        <v>1754</v>
      </c>
      <c r="C49" s="1867" t="s">
        <v>1591</v>
      </c>
      <c r="D49" s="1867" t="s">
        <v>4085</v>
      </c>
      <c r="E49" s="1894">
        <f>X_HFO+S_Fe2+X_Vivi*3*A_MFe/M_MVivi</f>
        <v>0.01</v>
      </c>
      <c r="F49" s="1869" t="s">
        <v>1945</v>
      </c>
      <c r="G49" s="1869">
        <v>1</v>
      </c>
      <c r="H49" s="1869"/>
      <c r="I49" s="1933"/>
    </row>
    <row r="50" spans="1:14" ht="18" outlineLevel="1" x14ac:dyDescent="0.25">
      <c r="B50" s="1850" t="s">
        <v>3426</v>
      </c>
      <c r="C50" s="1867" t="s">
        <v>3427</v>
      </c>
      <c r="D50" s="1867" t="s">
        <v>3428</v>
      </c>
      <c r="E50" s="1894">
        <f>X_HAO</f>
        <v>0.01</v>
      </c>
      <c r="F50" s="1869" t="s">
        <v>3423</v>
      </c>
      <c r="G50" s="1869">
        <v>1</v>
      </c>
      <c r="H50" s="1869"/>
      <c r="I50" s="1933"/>
    </row>
    <row r="51" spans="1:14" ht="36" outlineLevel="1" x14ac:dyDescent="0.25">
      <c r="B51" s="1850" t="s">
        <v>3430</v>
      </c>
      <c r="C51" s="1867" t="s">
        <v>3431</v>
      </c>
      <c r="D51" s="1867" t="s">
        <v>3575</v>
      </c>
      <c r="E51" s="1894">
        <f>S_Ca+i_Ca_PP*A_MCa/A_MP*X_PP+i_Ca_INORG*X_INORG+X_ACP*3*A_MCa/M_MACP+X_CaCO3*A_MCa/M_MCaCO3+X_BSH*A_MCa/M_MBSH</f>
        <v>180.76360322156796</v>
      </c>
      <c r="F51" s="1770" t="s">
        <v>985</v>
      </c>
      <c r="G51" s="1869">
        <v>1</v>
      </c>
      <c r="H51" s="1869"/>
      <c r="I51" s="1933"/>
    </row>
    <row r="52" spans="1:14" ht="18" outlineLevel="1" x14ac:dyDescent="0.25">
      <c r="B52" s="1850" t="s">
        <v>3429</v>
      </c>
      <c r="C52" s="1867" t="s">
        <v>3432</v>
      </c>
      <c r="D52" s="1867" t="s">
        <v>4084</v>
      </c>
      <c r="E52" s="1894">
        <f>S_Mg+i_Mg_PP*X_PP*A_MMg/A_MP+i_Mg_INORG*X_INORG+X_STR*A_MMg/M_MSTR</f>
        <v>54.478624608282168</v>
      </c>
      <c r="F52" s="1770" t="s">
        <v>834</v>
      </c>
      <c r="G52" s="1869">
        <v>1</v>
      </c>
      <c r="H52" s="1869"/>
      <c r="I52" s="1933"/>
    </row>
    <row r="53" spans="1:14" ht="36" outlineLevel="1" x14ac:dyDescent="0.25">
      <c r="B53" s="1850" t="s">
        <v>1755</v>
      </c>
      <c r="C53" s="1867" t="s">
        <v>2367</v>
      </c>
      <c r="D53" s="1867" t="s">
        <v>4083</v>
      </c>
      <c r="E53" s="1894">
        <f>(X_HFO_L_P+X_HFO_L_P_old)*A_SFHFO_L*(A_MP/A_MFe)+(X_HFO_H_P+X_HFO_H_P_old)*A_SFHFO_H*(A_MP/A_MFe)</f>
        <v>1.5529865549288207E-50</v>
      </c>
      <c r="F53" s="1869" t="s">
        <v>887</v>
      </c>
      <c r="G53" s="1869">
        <v>1</v>
      </c>
      <c r="H53" s="1869"/>
      <c r="I53" s="1933"/>
    </row>
    <row r="54" spans="1:14" ht="36" outlineLevel="1" x14ac:dyDescent="0.25">
      <c r="B54" s="1850" t="s">
        <v>3424</v>
      </c>
      <c r="C54" s="1867" t="s">
        <v>3425</v>
      </c>
      <c r="D54" s="1867" t="s">
        <v>4082</v>
      </c>
      <c r="E54" s="1894">
        <f>(X_HAO_L_P+X_HAO_L_P_old)*A_SFHAO_L*(A_MP/A_MAl)+(X_HAO_H_P+X_HAO_H_P_old)*A_SFHAO_H*(A_MP/A_MAl)</f>
        <v>2.5255184789578044E-50</v>
      </c>
      <c r="F54" s="1869" t="s">
        <v>887</v>
      </c>
      <c r="G54" s="1869">
        <v>1</v>
      </c>
      <c r="H54" s="1869"/>
      <c r="I54" s="1933"/>
    </row>
    <row r="55" spans="1:14" ht="18" outlineLevel="1" x14ac:dyDescent="0.25">
      <c r="A55" s="4"/>
      <c r="B55" s="1850" t="s">
        <v>3321</v>
      </c>
      <c r="C55" s="1867" t="s">
        <v>3322</v>
      </c>
      <c r="D55" s="1867" t="s">
        <v>3323</v>
      </c>
      <c r="E55" s="1894">
        <f>S_NHx-S_NOx</f>
        <v>-4</v>
      </c>
      <c r="F55" s="1869" t="s">
        <v>885</v>
      </c>
      <c r="G55" s="1869">
        <v>1</v>
      </c>
      <c r="H55" s="1869"/>
      <c r="I55" s="1933"/>
      <c r="J55" s="1168"/>
      <c r="K55" s="1168"/>
      <c r="L55" s="1168"/>
      <c r="M55" s="1168"/>
      <c r="N55" s="1168"/>
    </row>
    <row r="56" spans="1:14" ht="18" outlineLevel="1" x14ac:dyDescent="0.25">
      <c r="A56" s="4"/>
      <c r="B56" s="1850" t="s">
        <v>2357</v>
      </c>
      <c r="C56" s="1867" t="s">
        <v>1953</v>
      </c>
      <c r="D56" s="1867" t="s">
        <v>1954</v>
      </c>
      <c r="E56" s="1894">
        <f>X_VSS/X_TSS</f>
        <v>0.73026005644407421</v>
      </c>
      <c r="F56" s="1869" t="s">
        <v>2806</v>
      </c>
      <c r="G56" s="1869">
        <v>2</v>
      </c>
      <c r="H56" s="1869"/>
      <c r="I56" s="1933"/>
      <c r="J56" s="1168"/>
      <c r="K56" s="1168"/>
      <c r="L56" s="1168"/>
      <c r="M56" s="1168"/>
      <c r="N56" s="1168"/>
    </row>
    <row r="57" spans="1:14" s="3" customFormat="1" ht="18" outlineLevel="1" x14ac:dyDescent="0.25">
      <c r="A57" s="4"/>
      <c r="B57" s="1851" t="s">
        <v>3328</v>
      </c>
      <c r="C57" s="1868" t="s">
        <v>399</v>
      </c>
      <c r="D57" s="1884" t="s">
        <v>1281</v>
      </c>
      <c r="E57" s="1895">
        <f>S_ALK</f>
        <v>5.5291925718282718E-3</v>
      </c>
      <c r="F57" s="1770" t="s">
        <v>1882</v>
      </c>
      <c r="G57" s="1770">
        <v>1</v>
      </c>
      <c r="H57" s="1770" t="s">
        <v>11</v>
      </c>
      <c r="I57" s="1771"/>
    </row>
    <row r="58" spans="1:14" s="3" customFormat="1" ht="18" outlineLevel="1" x14ac:dyDescent="0.25">
      <c r="A58" s="4"/>
      <c r="B58" s="1851" t="s">
        <v>3477</v>
      </c>
      <c r="C58" s="1868" t="s">
        <v>3478</v>
      </c>
      <c r="D58" s="1884" t="s">
        <v>4081</v>
      </c>
      <c r="E58" s="1895">
        <f>MAX(0,f_TOC_1*T_COD-f_TOC_2)</f>
        <v>838.58822424000005</v>
      </c>
      <c r="F58" s="1770" t="s">
        <v>3479</v>
      </c>
      <c r="G58" s="1770">
        <v>1</v>
      </c>
      <c r="H58" s="1770" t="s">
        <v>3573</v>
      </c>
      <c r="I58" s="1771"/>
    </row>
    <row r="59" spans="1:14" s="4" customFormat="1" ht="72" outlineLevel="1" x14ac:dyDescent="0.25">
      <c r="B59" s="1852" t="s">
        <v>3566</v>
      </c>
      <c r="C59" s="1867" t="s">
        <v>3567</v>
      </c>
      <c r="D59" s="2026" t="s">
        <v>4966</v>
      </c>
      <c r="E59" s="2030">
        <f>(X_VSS_BIO*(i_vw_BIO+i_iw_BIO+i_wh_BIO)+X_VSS_BIO*(i_vw_EPS+i_wh_EPS)+X_E/i_CV_XE*(i_vw_XE+i_wh_XE)+X_E/i_CV_XE*(i_vw_EPS+i_wh_EPS)+X_B/i_CV_XB*(i_vw_XB+i_wh_XB)+X_B_e/i_CV_XBe*(i_vw_XBe+i_wh_XBe)+X_U/i_CV_XU*(i_vw_XU+i_wh_XU)+X_PHA_PAO/i_CV_PHA*(i_vw_PHA+i_wh_PHA)+X_PHA_GAO/i_CV_PHA*(i_vw_PHA+i_wh_PHA)+C_B/i_CV_CB*i_vw_CB+C_U/i_CV_CU*i_vw_CU)/X_VSS</f>
        <v>2.0610698127011777</v>
      </c>
      <c r="F59" s="1867" t="s">
        <v>3530</v>
      </c>
      <c r="G59" s="1867">
        <v>1</v>
      </c>
      <c r="H59" s="1867"/>
      <c r="I59" s="1935"/>
    </row>
    <row r="60" spans="1:14" s="4" customFormat="1" ht="30" outlineLevel="1" x14ac:dyDescent="0.25">
      <c r="B60" s="1852" t="s">
        <v>4672</v>
      </c>
      <c r="C60" s="1867" t="s">
        <v>4673</v>
      </c>
      <c r="D60" s="2026" t="s">
        <v>5000</v>
      </c>
      <c r="E60" s="2030">
        <f>(i_CV_BIO-i_CV_XE*f_E)/(1-f_E)</f>
        <v>1.42</v>
      </c>
      <c r="F60" s="1867" t="s">
        <v>1894</v>
      </c>
      <c r="G60" s="1867">
        <v>2</v>
      </c>
      <c r="H60" s="1867"/>
      <c r="I60" s="1935"/>
    </row>
    <row r="61" spans="1:14" s="6" customFormat="1" ht="18" outlineLevel="1" x14ac:dyDescent="0.25">
      <c r="B61" s="1853" t="s">
        <v>4489</v>
      </c>
      <c r="C61" s="1868" t="s">
        <v>4490</v>
      </c>
      <c r="D61" s="1884" t="s">
        <v>4491</v>
      </c>
      <c r="E61" s="1897">
        <f>S_PFOA+X_PFOA</f>
        <v>1.9999999999999999E-6</v>
      </c>
      <c r="F61" s="1869" t="s">
        <v>4492</v>
      </c>
      <c r="G61" s="1868">
        <v>4</v>
      </c>
      <c r="H61" s="1868" t="s">
        <v>4472</v>
      </c>
      <c r="I61" s="1936"/>
    </row>
    <row r="62" spans="1:14" s="6" customFormat="1" ht="18.75" outlineLevel="1" thickBot="1" x14ac:dyDescent="0.3">
      <c r="B62" s="1854" t="s">
        <v>4493</v>
      </c>
      <c r="C62" s="1870" t="s">
        <v>4494</v>
      </c>
      <c r="D62" s="1885" t="s">
        <v>4495</v>
      </c>
      <c r="E62" s="1898">
        <f>S_PFOS+X_PFOS</f>
        <v>1.9999999999999999E-6</v>
      </c>
      <c r="F62" s="1913" t="s">
        <v>4492</v>
      </c>
      <c r="G62" s="1870">
        <v>4</v>
      </c>
      <c r="H62" s="1870" t="s">
        <v>4472</v>
      </c>
      <c r="I62" s="1937"/>
    </row>
    <row r="63" spans="1:14" s="1168" customFormat="1" ht="18" customHeight="1" thickBot="1" x14ac:dyDescent="0.3">
      <c r="A63" s="4"/>
      <c r="B63" s="4"/>
      <c r="C63" s="4"/>
      <c r="D63" s="4"/>
      <c r="E63" s="1899"/>
      <c r="F63" s="4"/>
      <c r="G63" s="4"/>
      <c r="H63" s="4"/>
      <c r="I63" s="4"/>
    </row>
    <row r="64" spans="1:14" s="1168" customFormat="1" ht="18" customHeight="1" thickBot="1" x14ac:dyDescent="0.3">
      <c r="A64" s="4"/>
      <c r="B64" s="102"/>
      <c r="C64" s="1202" t="s">
        <v>3922</v>
      </c>
      <c r="D64" s="13" t="s">
        <v>303</v>
      </c>
      <c r="E64" s="13"/>
      <c r="F64" s="102"/>
      <c r="G64" s="102"/>
      <c r="H64" s="102"/>
      <c r="I64" s="102"/>
    </row>
    <row r="65" spans="1:9" s="1168" customFormat="1" ht="18" customHeight="1" thickBot="1" x14ac:dyDescent="0.3">
      <c r="A65" s="4"/>
      <c r="B65" s="648" t="s">
        <v>0</v>
      </c>
      <c r="C65" s="1573" t="s">
        <v>1</v>
      </c>
      <c r="D65" s="1576" t="s">
        <v>5</v>
      </c>
      <c r="E65" s="1576" t="s">
        <v>152</v>
      </c>
      <c r="F65" s="1576" t="s">
        <v>2</v>
      </c>
      <c r="G65" s="1576" t="s">
        <v>302</v>
      </c>
      <c r="H65" s="1576" t="s">
        <v>116</v>
      </c>
      <c r="I65" s="1579" t="s">
        <v>117</v>
      </c>
    </row>
    <row r="66" spans="1:9" ht="18" outlineLevel="1" x14ac:dyDescent="0.25">
      <c r="A66" s="4"/>
      <c r="B66" s="1850" t="s">
        <v>4948</v>
      </c>
      <c r="C66" s="1867" t="s">
        <v>4775</v>
      </c>
      <c r="D66" s="1867" t="s">
        <v>4729</v>
      </c>
      <c r="E66" s="1894">
        <f>X_PHA_PAO+X_PHA_GAO</f>
        <v>23</v>
      </c>
      <c r="F66" s="1869" t="s">
        <v>1177</v>
      </c>
      <c r="G66" s="1869">
        <v>1</v>
      </c>
      <c r="H66" s="1869"/>
      <c r="I66" s="1933"/>
    </row>
    <row r="67" spans="1:9" ht="18" outlineLevel="1" x14ac:dyDescent="0.25">
      <c r="A67" s="4"/>
      <c r="B67" s="1850" t="s">
        <v>3822</v>
      </c>
      <c r="C67" s="1867" t="s">
        <v>4949</v>
      </c>
      <c r="D67" s="1867" t="s">
        <v>4948</v>
      </c>
      <c r="E67" s="1894">
        <f>X_PHA_CASTO</f>
        <v>23</v>
      </c>
      <c r="F67" s="1869" t="s">
        <v>1177</v>
      </c>
      <c r="G67" s="1869">
        <v>1</v>
      </c>
      <c r="H67" s="1869"/>
      <c r="I67" s="1933"/>
    </row>
    <row r="68" spans="1:9" s="3" customFormat="1" ht="18" outlineLevel="1" x14ac:dyDescent="0.25">
      <c r="A68" s="4"/>
      <c r="B68" s="1851" t="s">
        <v>3814</v>
      </c>
      <c r="C68" s="1868" t="s">
        <v>3816</v>
      </c>
      <c r="D68" s="1886" t="s">
        <v>4708</v>
      </c>
      <c r="E68" s="1895">
        <f>X_PHA_PAO/X_STC</f>
        <v>0.86956521739130432</v>
      </c>
      <c r="F68" s="1869" t="s">
        <v>278</v>
      </c>
      <c r="G68" s="1770">
        <v>1</v>
      </c>
      <c r="H68" s="1770"/>
      <c r="I68" s="1771"/>
    </row>
    <row r="69" spans="1:9" s="3" customFormat="1" ht="18" outlineLevel="1" x14ac:dyDescent="0.25">
      <c r="A69" s="4"/>
      <c r="B69" s="1851" t="s">
        <v>3815</v>
      </c>
      <c r="C69" s="1868" t="s">
        <v>3817</v>
      </c>
      <c r="D69" s="1886" t="s">
        <v>4730</v>
      </c>
      <c r="E69" s="1895">
        <f>X_PHA_GAO/X_STC</f>
        <v>0.13043478260869565</v>
      </c>
      <c r="F69" s="1869" t="s">
        <v>278</v>
      </c>
      <c r="G69" s="1770">
        <v>1</v>
      </c>
      <c r="H69" s="1770"/>
      <c r="I69" s="1771"/>
    </row>
    <row r="70" spans="1:9" ht="18" outlineLevel="1" x14ac:dyDescent="0.25">
      <c r="A70" s="4"/>
      <c r="B70" s="1850" t="s">
        <v>3113</v>
      </c>
      <c r="C70" s="1867" t="s">
        <v>4996</v>
      </c>
      <c r="D70" s="1867" t="s">
        <v>3812</v>
      </c>
      <c r="E70" s="1894">
        <f>actPAO*X_CASTO</f>
        <v>434.78260869565219</v>
      </c>
      <c r="F70" s="1869" t="s">
        <v>1177</v>
      </c>
      <c r="G70" s="1869">
        <v>1</v>
      </c>
      <c r="H70" s="1869"/>
      <c r="I70" s="1933"/>
    </row>
    <row r="71" spans="1:9" ht="18" outlineLevel="1" x14ac:dyDescent="0.25">
      <c r="A71" s="4"/>
      <c r="B71" s="1850" t="s">
        <v>3811</v>
      </c>
      <c r="C71" s="1867" t="s">
        <v>4997</v>
      </c>
      <c r="D71" s="1867" t="s">
        <v>3813</v>
      </c>
      <c r="E71" s="1894">
        <f>actGAO*X_CASTO</f>
        <v>65.217391304347828</v>
      </c>
      <c r="F71" s="1869" t="s">
        <v>1177</v>
      </c>
      <c r="G71" s="1869">
        <v>1</v>
      </c>
      <c r="H71" s="1869"/>
      <c r="I71" s="1933"/>
    </row>
    <row r="72" spans="1:9" s="3" customFormat="1" ht="18" outlineLevel="1" x14ac:dyDescent="0.25">
      <c r="A72" s="4"/>
      <c r="B72" s="1851" t="s">
        <v>3938</v>
      </c>
      <c r="C72" s="1868" t="s">
        <v>3939</v>
      </c>
      <c r="D72" s="1886" t="s">
        <v>3745</v>
      </c>
      <c r="E72" s="1895">
        <f>L_ogsatORP_GAO_T</f>
        <v>0.94784643692158232</v>
      </c>
      <c r="F72" s="1869" t="s">
        <v>278</v>
      </c>
      <c r="G72" s="1770">
        <v>1</v>
      </c>
      <c r="H72" s="1770"/>
      <c r="I72" s="1771"/>
    </row>
    <row r="73" spans="1:9" s="3" customFormat="1" ht="18" outlineLevel="1" x14ac:dyDescent="0.25">
      <c r="A73" s="4"/>
      <c r="B73" s="1851" t="s">
        <v>3937</v>
      </c>
      <c r="C73" s="1868" t="s">
        <v>3940</v>
      </c>
      <c r="D73" s="1887" t="s">
        <v>3942</v>
      </c>
      <c r="E73" s="1895">
        <f>(1-L_ogsatORP_GAO_T)</f>
        <v>5.2153563078417675E-2</v>
      </c>
      <c r="F73" s="1869" t="s">
        <v>278</v>
      </c>
      <c r="G73" s="1770">
        <v>1</v>
      </c>
      <c r="H73" s="1770"/>
      <c r="I73" s="1771"/>
    </row>
    <row r="74" spans="1:9" s="3" customFormat="1" ht="18" outlineLevel="1" x14ac:dyDescent="0.25">
      <c r="A74" s="4"/>
      <c r="B74" s="1851" t="s">
        <v>3933</v>
      </c>
      <c r="C74" s="1868" t="s">
        <v>3941</v>
      </c>
      <c r="D74" s="1886" t="s">
        <v>3932</v>
      </c>
      <c r="E74" s="1895">
        <f>(1-L_ogsatORP_GAO_T)*L_oginhORP_PAO</f>
        <v>1.0749650524059162E-10</v>
      </c>
      <c r="F74" s="1869" t="s">
        <v>278</v>
      </c>
      <c r="G74" s="1770">
        <v>1</v>
      </c>
      <c r="H74" s="1770"/>
      <c r="I74" s="1771"/>
    </row>
    <row r="75" spans="1:9" s="890" customFormat="1" ht="18.75" outlineLevel="1" x14ac:dyDescent="0.25">
      <c r="A75" s="102"/>
      <c r="B75" s="1850" t="s">
        <v>3830</v>
      </c>
      <c r="C75" s="1867" t="s">
        <v>4753</v>
      </c>
      <c r="D75" s="1867" t="s">
        <v>4790</v>
      </c>
      <c r="E75" s="1896">
        <f>(Y_PAO_PHA_ox*X_PHA_PAO+Y_GAO_PHA_ox*X_PHA_GAO)/X_STC</f>
        <v>0.63391304347826094</v>
      </c>
      <c r="F75" s="1867" t="s">
        <v>3823</v>
      </c>
      <c r="G75" s="1876">
        <v>2</v>
      </c>
      <c r="H75" s="1869"/>
      <c r="I75" s="1933"/>
    </row>
    <row r="76" spans="1:9" s="890" customFormat="1" ht="18.75" outlineLevel="1" x14ac:dyDescent="0.25">
      <c r="A76" s="102"/>
      <c r="B76" s="1852" t="s">
        <v>3831</v>
      </c>
      <c r="C76" s="1867" t="s">
        <v>4754</v>
      </c>
      <c r="D76" s="1867" t="s">
        <v>4780</v>
      </c>
      <c r="E76" s="1896">
        <f>(Y_PAO_PHA_anox*X_PHA_PAO+Y_GAO_PHA_anox*X_PHA_GAO)/X_STC</f>
        <v>0.5173913043478261</v>
      </c>
      <c r="F76" s="1867" t="s">
        <v>3823</v>
      </c>
      <c r="G76" s="1876">
        <v>2</v>
      </c>
      <c r="H76" s="1869"/>
      <c r="I76" s="1933"/>
    </row>
    <row r="77" spans="1:9" s="890" customFormat="1" ht="18.75" outlineLevel="1" thickBot="1" x14ac:dyDescent="0.3">
      <c r="A77" s="102"/>
      <c r="B77" s="1855" t="s">
        <v>3835</v>
      </c>
      <c r="C77" s="1871" t="s">
        <v>3931</v>
      </c>
      <c r="D77" s="1949" t="s">
        <v>4959</v>
      </c>
      <c r="E77" s="1900">
        <f>(i_CIT_PHA*X_PHA_PAO+i_CIT_PHA*X_PHA_GAO)/X_STC</f>
        <v>0.33300000000000002</v>
      </c>
      <c r="F77" s="1918" t="s">
        <v>1896</v>
      </c>
      <c r="G77" s="1913">
        <v>2</v>
      </c>
      <c r="H77" s="1913"/>
      <c r="I77" s="1737"/>
    </row>
    <row r="78" spans="1:9" s="1168" customFormat="1" ht="18" customHeight="1" thickBot="1" x14ac:dyDescent="0.3">
      <c r="A78" s="4"/>
      <c r="B78" s="4"/>
      <c r="C78" s="4"/>
      <c r="D78" s="4"/>
      <c r="E78" s="1899"/>
      <c r="F78" s="4"/>
      <c r="G78" s="4"/>
      <c r="H78" s="4"/>
      <c r="I78" s="4"/>
    </row>
    <row r="79" spans="1:9" s="1168" customFormat="1" ht="18" customHeight="1" thickBot="1" x14ac:dyDescent="0.3">
      <c r="A79" s="4"/>
      <c r="B79" s="102"/>
      <c r="C79" s="1202" t="s">
        <v>2147</v>
      </c>
      <c r="D79" s="13" t="s">
        <v>303</v>
      </c>
      <c r="E79" s="13"/>
      <c r="F79" s="102"/>
      <c r="G79" s="102"/>
      <c r="H79" s="102"/>
      <c r="I79" s="102"/>
    </row>
    <row r="80" spans="1:9" s="1168" customFormat="1" ht="18" customHeight="1" thickBot="1" x14ac:dyDescent="0.3">
      <c r="A80" s="4"/>
      <c r="B80" s="648" t="s">
        <v>0</v>
      </c>
      <c r="C80" s="1573" t="s">
        <v>1</v>
      </c>
      <c r="D80" s="1576" t="s">
        <v>5</v>
      </c>
      <c r="E80" s="1576" t="s">
        <v>152</v>
      </c>
      <c r="F80" s="1576" t="s">
        <v>2</v>
      </c>
      <c r="G80" s="1576" t="s">
        <v>302</v>
      </c>
      <c r="H80" s="1576" t="s">
        <v>116</v>
      </c>
      <c r="I80" s="1579" t="s">
        <v>117</v>
      </c>
    </row>
    <row r="81" spans="1:10" s="3" customFormat="1" ht="18" outlineLevel="1" x14ac:dyDescent="0.25">
      <c r="A81" s="4"/>
      <c r="B81" s="448" t="s">
        <v>2148</v>
      </c>
      <c r="C81" s="1872" t="s">
        <v>2179</v>
      </c>
      <c r="D81" s="1886" t="s">
        <v>3733</v>
      </c>
      <c r="E81" s="1901">
        <f>O_RPbase+(O_RPmax_SO2-O_RPbase)*S_O2/(K_ORP_SO2+S_O2)</f>
        <v>285.36585365853659</v>
      </c>
      <c r="F81" s="1912" t="s">
        <v>2144</v>
      </c>
      <c r="G81" s="1912">
        <v>1</v>
      </c>
      <c r="H81" s="1912"/>
      <c r="I81" s="1938"/>
    </row>
    <row r="82" spans="1:10" s="3" customFormat="1" ht="30" outlineLevel="1" x14ac:dyDescent="0.25">
      <c r="A82" s="4"/>
      <c r="B82" s="1851" t="s">
        <v>3736</v>
      </c>
      <c r="C82" s="1868" t="s">
        <v>3732</v>
      </c>
      <c r="D82" s="1886" t="s">
        <v>3735</v>
      </c>
      <c r="E82" s="1895">
        <f>O_RPbase+(O_RPmax_SNOx-O_RPbase)*S_NOx/(K_ORP_SNOx+S_NOx)</f>
        <v>62.745098039215691</v>
      </c>
      <c r="F82" s="1770" t="s">
        <v>2144</v>
      </c>
      <c r="G82" s="1770">
        <v>1</v>
      </c>
      <c r="H82" s="1770"/>
      <c r="I82" s="1771"/>
    </row>
    <row r="83" spans="1:10" s="3" customFormat="1" ht="18" outlineLevel="1" x14ac:dyDescent="0.25">
      <c r="A83" s="4"/>
      <c r="B83" s="1851" t="s">
        <v>5050</v>
      </c>
      <c r="C83" s="1868" t="s">
        <v>5038</v>
      </c>
      <c r="D83" s="1886" t="s">
        <v>5040</v>
      </c>
      <c r="E83" s="1895">
        <f>A_AR/r_bCODDR</f>
        <v>1.8785564586681548E-5</v>
      </c>
      <c r="F83" s="1869" t="s">
        <v>278</v>
      </c>
      <c r="G83" s="1770">
        <v>1</v>
      </c>
      <c r="H83" s="1770"/>
      <c r="I83" s="1771"/>
    </row>
    <row r="84" spans="1:10" s="3" customFormat="1" ht="18" outlineLevel="1" x14ac:dyDescent="0.25">
      <c r="A84" s="4"/>
      <c r="B84" s="1851" t="s">
        <v>5041</v>
      </c>
      <c r="C84" s="1868" t="s">
        <v>5043</v>
      </c>
      <c r="D84" s="1886" t="s">
        <v>5047</v>
      </c>
      <c r="E84" s="1895">
        <f>O_RPbase*(r_atioAAR_rbCODDR)/(K_ORP_ana+r_atioAAR_rbCODDR)</f>
        <v>-0.11267105573219915</v>
      </c>
      <c r="F84" s="1770" t="s">
        <v>2144</v>
      </c>
      <c r="G84" s="1770">
        <v>1</v>
      </c>
      <c r="H84" s="1770"/>
      <c r="I84" s="1771"/>
    </row>
    <row r="85" spans="1:10" s="3" customFormat="1" ht="18.75" outlineLevel="1" thickBot="1" x14ac:dyDescent="0.3">
      <c r="A85" s="4"/>
      <c r="B85" s="1856" t="s">
        <v>2149</v>
      </c>
      <c r="C85" s="1870" t="s">
        <v>2147</v>
      </c>
      <c r="D85" s="1885" t="s">
        <v>5042</v>
      </c>
      <c r="E85" s="1902">
        <f>MAX(O_RPO2,O_RPNOx,O_RPana)</f>
        <v>285.36585365853659</v>
      </c>
      <c r="F85" s="1918" t="s">
        <v>2144</v>
      </c>
      <c r="G85" s="1918">
        <v>1</v>
      </c>
      <c r="H85" s="1918"/>
      <c r="I85" s="1939"/>
    </row>
    <row r="86" spans="1:10" s="1168" customFormat="1" ht="18" customHeight="1" thickBot="1" x14ac:dyDescent="0.3">
      <c r="A86" s="4"/>
      <c r="B86" s="4"/>
      <c r="C86" s="4"/>
      <c r="D86" s="4"/>
      <c r="E86" s="1899"/>
      <c r="F86" s="4"/>
      <c r="G86" s="4"/>
      <c r="H86" s="4"/>
      <c r="I86" s="4"/>
    </row>
    <row r="87" spans="1:10" s="1168" customFormat="1" ht="18" customHeight="1" thickBot="1" x14ac:dyDescent="0.3">
      <c r="A87" s="4"/>
      <c r="B87" s="102"/>
      <c r="C87" s="1202" t="s">
        <v>3739</v>
      </c>
      <c r="D87" s="13" t="s">
        <v>303</v>
      </c>
      <c r="E87" s="13"/>
      <c r="F87" s="102"/>
      <c r="G87" s="102"/>
      <c r="H87" s="102"/>
      <c r="I87" s="102"/>
    </row>
    <row r="88" spans="1:10" s="1168" customFormat="1" ht="18" customHeight="1" thickBot="1" x14ac:dyDescent="0.3">
      <c r="A88" s="4"/>
      <c r="B88" s="648" t="s">
        <v>0</v>
      </c>
      <c r="C88" s="1573" t="s">
        <v>1</v>
      </c>
      <c r="D88" s="1576" t="s">
        <v>5</v>
      </c>
      <c r="E88" s="1576" t="s">
        <v>152</v>
      </c>
      <c r="F88" s="1576" t="s">
        <v>2</v>
      </c>
      <c r="G88" s="1576" t="s">
        <v>302</v>
      </c>
      <c r="H88" s="1576" t="s">
        <v>116</v>
      </c>
      <c r="I88" s="1579" t="s">
        <v>117</v>
      </c>
    </row>
    <row r="89" spans="1:10" s="3" customFormat="1" ht="18" outlineLevel="1" x14ac:dyDescent="0.25">
      <c r="A89" s="4"/>
      <c r="B89" s="448" t="s">
        <v>2195</v>
      </c>
      <c r="C89" s="1872" t="s">
        <v>2419</v>
      </c>
      <c r="D89" s="1886" t="s">
        <v>4239</v>
      </c>
      <c r="E89" s="1901">
        <f>(1/(1+EXP(((S_ORPswitch-o_ffsetORPswitch)-(L_ogsatORP_PAO_Half))*(L_ogsatORP_PAO_Slope))))</f>
        <v>2.0611536181902037E-9</v>
      </c>
      <c r="F89" s="1912" t="s">
        <v>278</v>
      </c>
      <c r="G89" s="1912">
        <v>2</v>
      </c>
      <c r="H89" s="1912"/>
      <c r="I89" s="1938"/>
    </row>
    <row r="90" spans="1:10" s="3" customFormat="1" ht="30" outlineLevel="1" x14ac:dyDescent="0.25">
      <c r="A90" s="4"/>
      <c r="B90" s="448" t="s">
        <v>3944</v>
      </c>
      <c r="C90" s="1872" t="s">
        <v>3744</v>
      </c>
      <c r="D90" s="1886" t="s">
        <v>3963</v>
      </c>
      <c r="E90" s="1901">
        <f>(L_ogsatORP_GAO_Half_25-L_ogsatORP_GAO_Half_15)/(25-15)</f>
        <v>-5</v>
      </c>
      <c r="F90" s="1912" t="s">
        <v>3943</v>
      </c>
      <c r="G90" s="1912">
        <v>1</v>
      </c>
      <c r="H90" s="1912"/>
      <c r="I90" s="1938"/>
    </row>
    <row r="91" spans="1:10" s="3" customFormat="1" ht="30" outlineLevel="1" x14ac:dyDescent="0.25">
      <c r="A91" s="4"/>
      <c r="B91" s="448" t="s">
        <v>3973</v>
      </c>
      <c r="C91" s="1872" t="s">
        <v>3974</v>
      </c>
      <c r="D91" s="1886" t="s">
        <v>3964</v>
      </c>
      <c r="E91" s="1901">
        <f>L_ogsatORP_GAO_Half_25-s_lORP_GAO_Half_T*25</f>
        <v>-45</v>
      </c>
      <c r="F91" s="1912" t="s">
        <v>2144</v>
      </c>
      <c r="G91" s="1912">
        <v>1</v>
      </c>
      <c r="H91" s="1912"/>
      <c r="I91" s="1938"/>
    </row>
    <row r="92" spans="1:10" s="3" customFormat="1" ht="30" outlineLevel="1" x14ac:dyDescent="0.25">
      <c r="A92" s="4"/>
      <c r="B92" s="1851" t="s">
        <v>3743</v>
      </c>
      <c r="C92" s="1872" t="s">
        <v>4755</v>
      </c>
      <c r="D92" s="1888" t="s">
        <v>3972</v>
      </c>
      <c r="E92" s="1903">
        <f>s_lORP_GAO_Half_T*T__+y_ORP_GAO_Half_T</f>
        <v>-145</v>
      </c>
      <c r="F92" s="1903" t="s">
        <v>2144</v>
      </c>
      <c r="G92" s="1903">
        <v>2</v>
      </c>
      <c r="H92" s="1770"/>
      <c r="I92" s="1771"/>
      <c r="J92" s="102"/>
    </row>
    <row r="93" spans="1:10" s="3" customFormat="1" ht="18" outlineLevel="1" x14ac:dyDescent="0.25">
      <c r="A93" s="4"/>
      <c r="B93" s="1851" t="s">
        <v>3742</v>
      </c>
      <c r="C93" s="1872" t="s">
        <v>4756</v>
      </c>
      <c r="D93" s="1888" t="s">
        <v>4240</v>
      </c>
      <c r="E93" s="1767">
        <f>(1/(1+EXP(((L_ogsatORP_GAO_Half_T)-(S_ORPswitch-o_ffsetORPswitch))*(L_ogsatORP_GAO_Slope))))</f>
        <v>0.94784643692158232</v>
      </c>
      <c r="F93" s="1903" t="s">
        <v>278</v>
      </c>
      <c r="G93" s="1903">
        <v>2</v>
      </c>
      <c r="H93" s="1770"/>
      <c r="I93" s="1771"/>
      <c r="J93" s="102"/>
    </row>
    <row r="94" spans="1:10" s="3" customFormat="1" ht="18.75" outlineLevel="1" thickBot="1" x14ac:dyDescent="0.3">
      <c r="A94" s="4"/>
      <c r="B94" s="1856" t="s">
        <v>2799</v>
      </c>
      <c r="C94" s="1870" t="s">
        <v>2800</v>
      </c>
      <c r="D94" s="1889" t="s">
        <v>4106</v>
      </c>
      <c r="E94" s="1904">
        <f>(1/(1+EXP(((O_RP)-(L_ogsatORP_HFO_Half))*(L_ogsatORP_HFO_Slope))))</f>
        <v>1.8355812980967403E-17</v>
      </c>
      <c r="F94" s="1919" t="s">
        <v>278</v>
      </c>
      <c r="G94" s="1919">
        <v>2</v>
      </c>
      <c r="H94" s="1918"/>
      <c r="I94" s="1939"/>
      <c r="J94" s="102"/>
    </row>
    <row r="95" spans="1:10" s="1168" customFormat="1" ht="15.75" thickBot="1" x14ac:dyDescent="0.3">
      <c r="B95" s="4"/>
      <c r="C95" s="4"/>
      <c r="D95" s="4"/>
      <c r="E95" s="458"/>
      <c r="F95" s="4"/>
      <c r="G95" s="1924"/>
      <c r="H95" s="4"/>
    </row>
    <row r="96" spans="1:10" s="1168" customFormat="1" ht="15.75" thickBot="1" x14ac:dyDescent="0.3">
      <c r="B96" s="4"/>
      <c r="C96" s="596" t="s">
        <v>4332</v>
      </c>
      <c r="D96" s="13" t="s">
        <v>303</v>
      </c>
      <c r="E96" s="1905"/>
      <c r="F96" s="4"/>
      <c r="G96" s="4"/>
      <c r="H96" s="4"/>
      <c r="I96" s="4"/>
    </row>
    <row r="97" spans="1:9" s="1168" customFormat="1" ht="18" customHeight="1" thickBot="1" x14ac:dyDescent="0.3">
      <c r="A97" s="4"/>
      <c r="B97" s="648" t="s">
        <v>0</v>
      </c>
      <c r="C97" s="1573" t="s">
        <v>1</v>
      </c>
      <c r="D97" s="1576" t="s">
        <v>5</v>
      </c>
      <c r="E97" s="1576" t="s">
        <v>152</v>
      </c>
      <c r="F97" s="1576" t="s">
        <v>2</v>
      </c>
      <c r="G97" s="1576" t="s">
        <v>302</v>
      </c>
      <c r="H97" s="1576" t="s">
        <v>116</v>
      </c>
      <c r="I97" s="1579" t="s">
        <v>117</v>
      </c>
    </row>
    <row r="98" spans="1:9" s="1168" customFormat="1" ht="18.75" outlineLevel="1" thickBot="1" x14ac:dyDescent="0.3">
      <c r="B98" s="1857" t="s">
        <v>4353</v>
      </c>
      <c r="C98" s="1873" t="s">
        <v>4354</v>
      </c>
      <c r="D98" s="1873" t="s">
        <v>4421</v>
      </c>
      <c r="E98" s="1873">
        <f>(1/(1+EXP(((X_TSS/K_XTSS_lightextinction)-(1))*(100))))*(1/(1+EXP(((1)-(J_photosynt_solar/J_photosynt_solar_opt))*(100))))</f>
        <v>2.4877383013907058E-65</v>
      </c>
      <c r="F98" s="1919" t="s">
        <v>278</v>
      </c>
      <c r="G98" s="1873">
        <v>2</v>
      </c>
      <c r="H98" s="1928" t="s">
        <v>4338</v>
      </c>
      <c r="I98" s="1940"/>
    </row>
    <row r="99" spans="1:9" s="1168" customFormat="1" ht="18" customHeight="1" thickBot="1" x14ac:dyDescent="0.3">
      <c r="A99" s="4"/>
      <c r="B99" s="4"/>
      <c r="C99" s="4"/>
      <c r="D99" s="4"/>
      <c r="E99" s="1899"/>
      <c r="F99" s="4"/>
      <c r="G99" s="4"/>
      <c r="H99" s="4"/>
      <c r="I99" s="4"/>
    </row>
    <row r="100" spans="1:9" s="1168" customFormat="1" ht="18" customHeight="1" thickBot="1" x14ac:dyDescent="0.3">
      <c r="A100" s="4"/>
      <c r="B100" s="102"/>
      <c r="C100" s="1202" t="s">
        <v>1207</v>
      </c>
      <c r="D100" s="13" t="s">
        <v>303</v>
      </c>
      <c r="E100" s="13"/>
      <c r="F100" s="102"/>
      <c r="G100" s="102"/>
      <c r="H100" s="102"/>
      <c r="I100" s="102"/>
    </row>
    <row r="101" spans="1:9" s="1168" customFormat="1" ht="18" customHeight="1" thickBot="1" x14ac:dyDescent="0.3">
      <c r="A101" s="4"/>
      <c r="B101" s="648" t="s">
        <v>0</v>
      </c>
      <c r="C101" s="1573" t="s">
        <v>1</v>
      </c>
      <c r="D101" s="1576" t="s">
        <v>5</v>
      </c>
      <c r="E101" s="1576" t="s">
        <v>152</v>
      </c>
      <c r="F101" s="1576" t="s">
        <v>2</v>
      </c>
      <c r="G101" s="1576" t="s">
        <v>302</v>
      </c>
      <c r="H101" s="1576" t="s">
        <v>116</v>
      </c>
      <c r="I101" s="1579" t="s">
        <v>117</v>
      </c>
    </row>
    <row r="102" spans="1:9" ht="18.75" outlineLevel="1" x14ac:dyDescent="0.25">
      <c r="B102" s="1858" t="s">
        <v>1756</v>
      </c>
      <c r="C102" s="1874" t="s">
        <v>2368</v>
      </c>
      <c r="D102" s="1874" t="s">
        <v>1757</v>
      </c>
      <c r="E102" s="1906">
        <f>((conc_Mg2p_I^(1/3)*conc_NH4p_I^(1/3)*conc_PO43m_I^(1/3)-K_sp_STR^(1/3))/K_sp_STR^(1/3))</f>
        <v>-0.96443559715132532</v>
      </c>
      <c r="F102" s="1920" t="s">
        <v>1884</v>
      </c>
      <c r="G102" s="1874">
        <v>2</v>
      </c>
      <c r="H102" s="1920" t="s">
        <v>1606</v>
      </c>
      <c r="I102" s="1941"/>
    </row>
    <row r="103" spans="1:9" ht="18.75" outlineLevel="1" x14ac:dyDescent="0.25">
      <c r="B103" s="1859" t="s">
        <v>1756</v>
      </c>
      <c r="C103" s="1875" t="s">
        <v>2368</v>
      </c>
      <c r="D103" s="1875" t="s">
        <v>1757</v>
      </c>
      <c r="E103" s="1907">
        <f>((conc_Mg2p_I^(1/3)*conc_NH4p_I^(1/3)*conc_PO43m_I^(1/3)-K_sp_STR^(1/3))/K_sp_STR^(1/3))</f>
        <v>-0.96443559715132532</v>
      </c>
      <c r="F103" s="1907" t="s">
        <v>1884</v>
      </c>
      <c r="G103" s="1875">
        <v>2</v>
      </c>
      <c r="H103" s="1929" t="s">
        <v>4595</v>
      </c>
      <c r="I103" s="1942"/>
    </row>
    <row r="104" spans="1:9" ht="18" outlineLevel="1" x14ac:dyDescent="0.25">
      <c r="B104" s="1859" t="s">
        <v>1756</v>
      </c>
      <c r="C104" s="1875" t="s">
        <v>2368</v>
      </c>
      <c r="D104" s="1875">
        <v>0</v>
      </c>
      <c r="E104" s="1907">
        <f>0</f>
        <v>0</v>
      </c>
      <c r="F104" s="1907" t="s">
        <v>1884</v>
      </c>
      <c r="G104" s="1875">
        <v>0</v>
      </c>
      <c r="H104" s="1929" t="s">
        <v>4596</v>
      </c>
      <c r="I104" s="1942"/>
    </row>
    <row r="105" spans="1:9" ht="18" outlineLevel="1" x14ac:dyDescent="0.25">
      <c r="B105" s="1859" t="s">
        <v>1365</v>
      </c>
      <c r="C105" s="1875" t="s">
        <v>2270</v>
      </c>
      <c r="D105" s="1875" t="s">
        <v>2572</v>
      </c>
      <c r="E105" s="1875">
        <f>IF(P_recipDrivingForceSTR&gt;0,q_STR_PREC,q_STR_DISS*M_satXSTR_KSTR_DISS)</f>
        <v>0</v>
      </c>
      <c r="F105" s="1875" t="s">
        <v>2807</v>
      </c>
      <c r="G105" s="1875">
        <v>0</v>
      </c>
      <c r="H105" s="1907"/>
      <c r="I105" s="1942"/>
    </row>
    <row r="106" spans="1:9" ht="18.75" outlineLevel="1" x14ac:dyDescent="0.25">
      <c r="B106" s="1860" t="s">
        <v>1592</v>
      </c>
      <c r="C106" s="1876" t="s">
        <v>2369</v>
      </c>
      <c r="D106" s="1876" t="s">
        <v>1758</v>
      </c>
      <c r="E106" s="1908">
        <f>(conc_Ca2p_I^(3/5)*conc_PO43m_I^(2/5)-K_sp_ACP^(1/5))/K_sp_ACP^(1/5)</f>
        <v>-0.58898459210680687</v>
      </c>
      <c r="F106" s="1907" t="s">
        <v>1884</v>
      </c>
      <c r="G106" s="1876">
        <v>2</v>
      </c>
      <c r="H106" s="1930" t="s">
        <v>1606</v>
      </c>
      <c r="I106" s="1943"/>
    </row>
    <row r="107" spans="1:9" ht="18.75" outlineLevel="1" x14ac:dyDescent="0.25">
      <c r="B107" s="1860" t="s">
        <v>1592</v>
      </c>
      <c r="C107" s="1876" t="s">
        <v>2369</v>
      </c>
      <c r="D107" s="1876" t="s">
        <v>1758</v>
      </c>
      <c r="E107" s="1908">
        <f>(conc_Ca2p_I^(3/5)*conc_PO43m_I^(2/5)-K_sp_ACP^(1/5))/K_sp_ACP^(1/5)</f>
        <v>-0.58898459210680687</v>
      </c>
      <c r="F107" s="1907" t="s">
        <v>1884</v>
      </c>
      <c r="G107" s="1876">
        <v>2</v>
      </c>
      <c r="H107" s="1929" t="s">
        <v>4595</v>
      </c>
      <c r="I107" s="1943"/>
    </row>
    <row r="108" spans="1:9" ht="18" outlineLevel="1" x14ac:dyDescent="0.25">
      <c r="B108" s="1859" t="s">
        <v>1592</v>
      </c>
      <c r="C108" s="1875" t="s">
        <v>2369</v>
      </c>
      <c r="D108" s="1875">
        <v>0</v>
      </c>
      <c r="E108" s="1875">
        <f>0</f>
        <v>0</v>
      </c>
      <c r="F108" s="1907" t="s">
        <v>1884</v>
      </c>
      <c r="G108" s="1875">
        <v>0</v>
      </c>
      <c r="H108" s="1929" t="s">
        <v>4596</v>
      </c>
      <c r="I108" s="1942"/>
    </row>
    <row r="109" spans="1:9" ht="18" outlineLevel="1" x14ac:dyDescent="0.25">
      <c r="B109" s="1859" t="s">
        <v>1366</v>
      </c>
      <c r="C109" s="1875" t="s">
        <v>2272</v>
      </c>
      <c r="D109" s="1875" t="s">
        <v>2573</v>
      </c>
      <c r="E109" s="1875">
        <f>IF(P_recipDrivingForceACP&gt;0,q_ACP_PREC,-q_ACP_DISS*M_satXACP_KACP_DISS)</f>
        <v>0</v>
      </c>
      <c r="F109" s="1875" t="s">
        <v>2807</v>
      </c>
      <c r="G109" s="1875">
        <v>0</v>
      </c>
      <c r="H109" s="1907"/>
      <c r="I109" s="1942"/>
    </row>
    <row r="110" spans="1:9" ht="18.75" outlineLevel="1" x14ac:dyDescent="0.25">
      <c r="B110" s="1860" t="s">
        <v>3449</v>
      </c>
      <c r="C110" s="1876" t="s">
        <v>3450</v>
      </c>
      <c r="D110" s="1876" t="s">
        <v>3451</v>
      </c>
      <c r="E110" s="1908">
        <f>(conc_Ca2p_I^(1/2)*conc_HPO42m_I^(1/2)-K_sp_BSH^(1/2))/K_sp_BSH^(1/2)</f>
        <v>-0.70194703022622273</v>
      </c>
      <c r="F110" s="1907" t="s">
        <v>1884</v>
      </c>
      <c r="G110" s="1876">
        <v>2</v>
      </c>
      <c r="H110" s="1930" t="s">
        <v>1606</v>
      </c>
      <c r="I110" s="1943"/>
    </row>
    <row r="111" spans="1:9" ht="18.75" outlineLevel="1" x14ac:dyDescent="0.25">
      <c r="B111" s="1860" t="s">
        <v>3449</v>
      </c>
      <c r="C111" s="1876" t="s">
        <v>3450</v>
      </c>
      <c r="D111" s="1876" t="s">
        <v>3451</v>
      </c>
      <c r="E111" s="1908">
        <f>(conc_Ca2p_I^(1/2)*conc_HPO42m_I^(1/2)-K_sp_BSH^(1/2))/K_sp_BSH^(1/2)</f>
        <v>-0.70194703022622273</v>
      </c>
      <c r="F111" s="1907" t="s">
        <v>1884</v>
      </c>
      <c r="G111" s="1876">
        <v>2</v>
      </c>
      <c r="H111" s="1929" t="s">
        <v>4595</v>
      </c>
      <c r="I111" s="1943"/>
    </row>
    <row r="112" spans="1:9" ht="18" outlineLevel="1" x14ac:dyDescent="0.25">
      <c r="B112" s="1859" t="s">
        <v>3449</v>
      </c>
      <c r="C112" s="1875" t="s">
        <v>3450</v>
      </c>
      <c r="D112" s="1875">
        <v>0</v>
      </c>
      <c r="E112" s="1875">
        <f>0</f>
        <v>0</v>
      </c>
      <c r="F112" s="1907" t="s">
        <v>1884</v>
      </c>
      <c r="G112" s="1875">
        <v>0</v>
      </c>
      <c r="H112" s="1929" t="s">
        <v>4596</v>
      </c>
      <c r="I112" s="1942"/>
    </row>
    <row r="113" spans="1:10" ht="18" outlineLevel="1" x14ac:dyDescent="0.25">
      <c r="B113" s="1859" t="s">
        <v>3452</v>
      </c>
      <c r="C113" s="1875" t="s">
        <v>3436</v>
      </c>
      <c r="D113" s="1875" t="s">
        <v>3453</v>
      </c>
      <c r="E113" s="1875">
        <f>IF(P_recipDrivingForceBSH&gt;0,q_BSH_PREC,-q_BSH_DISS*M_satXBSH_KBSH_DISS)</f>
        <v>0</v>
      </c>
      <c r="F113" s="1875" t="s">
        <v>2807</v>
      </c>
      <c r="G113" s="1875">
        <v>0</v>
      </c>
      <c r="H113" s="1907"/>
      <c r="I113" s="1942"/>
    </row>
    <row r="114" spans="1:10" ht="18.75" outlineLevel="1" x14ac:dyDescent="0.25">
      <c r="B114" s="1860" t="s">
        <v>1593</v>
      </c>
      <c r="C114" s="1876" t="s">
        <v>2370</v>
      </c>
      <c r="D114" s="1876" t="s">
        <v>1759</v>
      </c>
      <c r="E114" s="1908">
        <f>(conc_Ca2p_I^(1/2)*conc_CO32m_I^(1/2)-K_sp_CaCO3^(1/2))/K_sp_CaCO3^(1/2)</f>
        <v>-0.82475976089429781</v>
      </c>
      <c r="F114" s="1907" t="s">
        <v>1884</v>
      </c>
      <c r="G114" s="1876">
        <v>2</v>
      </c>
      <c r="H114" s="1930" t="s">
        <v>1606</v>
      </c>
      <c r="I114" s="1943"/>
    </row>
    <row r="115" spans="1:10" ht="18.75" outlineLevel="1" x14ac:dyDescent="0.25">
      <c r="B115" s="1860" t="s">
        <v>1593</v>
      </c>
      <c r="C115" s="1876" t="s">
        <v>2370</v>
      </c>
      <c r="D115" s="1876" t="s">
        <v>1759</v>
      </c>
      <c r="E115" s="1908">
        <f>(conc_Ca2p_I^(1/2)*conc_CO32m_I^(1/2)-K_sp_CaCO3^(1/2))/K_sp_CaCO3^(1/2)</f>
        <v>-0.82475976089429781</v>
      </c>
      <c r="F115" s="1907" t="s">
        <v>1884</v>
      </c>
      <c r="G115" s="1876">
        <v>2</v>
      </c>
      <c r="H115" s="1929" t="s">
        <v>4595</v>
      </c>
      <c r="I115" s="1943"/>
    </row>
    <row r="116" spans="1:10" ht="18" outlineLevel="1" x14ac:dyDescent="0.25">
      <c r="B116" s="1859" t="s">
        <v>1593</v>
      </c>
      <c r="C116" s="1875" t="s">
        <v>2370</v>
      </c>
      <c r="D116" s="1875">
        <v>0</v>
      </c>
      <c r="E116" s="1875">
        <f>0</f>
        <v>0</v>
      </c>
      <c r="F116" s="1907" t="s">
        <v>1884</v>
      </c>
      <c r="G116" s="1875">
        <v>0</v>
      </c>
      <c r="H116" s="1929" t="s">
        <v>4596</v>
      </c>
      <c r="I116" s="1942"/>
    </row>
    <row r="117" spans="1:10" ht="18" outlineLevel="1" x14ac:dyDescent="0.25">
      <c r="B117" s="1859" t="s">
        <v>1367</v>
      </c>
      <c r="C117" s="1875" t="s">
        <v>2268</v>
      </c>
      <c r="D117" s="1875" t="s">
        <v>2574</v>
      </c>
      <c r="E117" s="1875">
        <f>IF(P_recipDrivingForceCaCO3&gt;0,q_CaCO3_PREC,-q_CaCO3_DISS*M_satXCaCO3_KCaCO3_DISS)</f>
        <v>0</v>
      </c>
      <c r="F117" s="1875" t="s">
        <v>2807</v>
      </c>
      <c r="G117" s="1875">
        <v>0</v>
      </c>
      <c r="H117" s="1907"/>
      <c r="I117" s="1942"/>
    </row>
    <row r="118" spans="1:10" ht="18.75" outlineLevel="1" x14ac:dyDescent="0.25">
      <c r="B118" s="1860" t="s">
        <v>1760</v>
      </c>
      <c r="C118" s="1876" t="s">
        <v>2371</v>
      </c>
      <c r="D118" s="1876" t="s">
        <v>1761</v>
      </c>
      <c r="E118" s="1909">
        <f>((conc_Fe2p_I^(3/5)*conc_PO43m_I^(2/5)-K_sp_Vivi^(1/5))/K_sp_Vivi^(1/5))</f>
        <v>-1</v>
      </c>
      <c r="F118" s="1907" t="s">
        <v>1884</v>
      </c>
      <c r="G118" s="1876">
        <v>2</v>
      </c>
      <c r="H118" s="1930" t="s">
        <v>1606</v>
      </c>
      <c r="I118" s="1943"/>
    </row>
    <row r="119" spans="1:10" ht="18.75" outlineLevel="1" x14ac:dyDescent="0.25">
      <c r="B119" s="1860" t="s">
        <v>1760</v>
      </c>
      <c r="C119" s="1876" t="s">
        <v>2371</v>
      </c>
      <c r="D119" s="1876" t="s">
        <v>1761</v>
      </c>
      <c r="E119" s="1909">
        <f>((conc_Fe2p_I^(3/5)*conc_PO43m_I^(2/5)-K_sp_Vivi^(1/5))/K_sp_Vivi^(1/5))</f>
        <v>-1</v>
      </c>
      <c r="F119" s="1907" t="s">
        <v>1884</v>
      </c>
      <c r="G119" s="1876">
        <v>2</v>
      </c>
      <c r="H119" s="1929" t="s">
        <v>4595</v>
      </c>
      <c r="I119" s="1943"/>
    </row>
    <row r="120" spans="1:10" ht="18" outlineLevel="1" x14ac:dyDescent="0.25">
      <c r="B120" s="1859" t="s">
        <v>1760</v>
      </c>
      <c r="C120" s="1875" t="s">
        <v>2371</v>
      </c>
      <c r="D120" s="1875">
        <v>0</v>
      </c>
      <c r="E120" s="1907">
        <f>0</f>
        <v>0</v>
      </c>
      <c r="F120" s="1907" t="s">
        <v>1884</v>
      </c>
      <c r="G120" s="1875">
        <v>0</v>
      </c>
      <c r="H120" s="1929" t="s">
        <v>4596</v>
      </c>
      <c r="I120" s="1942"/>
    </row>
    <row r="121" spans="1:10" ht="18.75" outlineLevel="1" thickBot="1" x14ac:dyDescent="0.3">
      <c r="B121" s="1861" t="s">
        <v>1368</v>
      </c>
      <c r="C121" s="1877" t="s">
        <v>2274</v>
      </c>
      <c r="D121" s="1877" t="s">
        <v>2575</v>
      </c>
      <c r="E121" s="1877">
        <f>IF(P_recipDrivingForceVivi&gt;0,q_Vivi_PREC,-q_Vivi_DISS*M_satXVivi_KVivi_DISS)</f>
        <v>0</v>
      </c>
      <c r="F121" s="1877" t="s">
        <v>2807</v>
      </c>
      <c r="G121" s="1877">
        <v>0</v>
      </c>
      <c r="H121" s="1931"/>
      <c r="I121" s="1944"/>
    </row>
    <row r="122" spans="1:10" s="1168" customFormat="1" ht="18" customHeight="1" thickBot="1" x14ac:dyDescent="0.3">
      <c r="A122" s="4"/>
      <c r="B122" s="4"/>
      <c r="C122" s="4"/>
      <c r="D122" s="4"/>
      <c r="E122" s="1899"/>
      <c r="F122" s="4"/>
      <c r="G122" s="4"/>
      <c r="H122" s="4"/>
      <c r="I122" s="4"/>
    </row>
    <row r="123" spans="1:10" s="1168" customFormat="1" ht="18" customHeight="1" thickBot="1" x14ac:dyDescent="0.3">
      <c r="A123" s="4"/>
      <c r="B123" s="102"/>
      <c r="C123" s="1203" t="s">
        <v>331</v>
      </c>
      <c r="D123" s="13" t="s">
        <v>303</v>
      </c>
      <c r="E123" s="13"/>
      <c r="F123" s="102"/>
      <c r="G123" s="102"/>
      <c r="H123" s="102"/>
      <c r="I123" s="102"/>
    </row>
    <row r="124" spans="1:10" s="1168" customFormat="1" ht="18" customHeight="1" thickBot="1" x14ac:dyDescent="0.3">
      <c r="A124" s="4"/>
      <c r="B124" s="1572" t="s">
        <v>0</v>
      </c>
      <c r="C124" s="1574" t="s">
        <v>1</v>
      </c>
      <c r="D124" s="1577" t="s">
        <v>5</v>
      </c>
      <c r="E124" s="1577" t="s">
        <v>152</v>
      </c>
      <c r="F124" s="1577" t="s">
        <v>2</v>
      </c>
      <c r="G124" s="1577" t="s">
        <v>302</v>
      </c>
      <c r="H124" s="1577" t="s">
        <v>116</v>
      </c>
      <c r="I124" s="1580" t="s">
        <v>117</v>
      </c>
    </row>
    <row r="125" spans="1:10" ht="18" outlineLevel="1" x14ac:dyDescent="0.25">
      <c r="A125" s="4"/>
      <c r="B125" s="1862" t="s">
        <v>332</v>
      </c>
      <c r="C125" s="1878" t="s">
        <v>2372</v>
      </c>
      <c r="D125" s="1890" t="s">
        <v>4974</v>
      </c>
      <c r="E125" s="1910">
        <f>C_OUR+N_OUR-(v_64_SO2*r_64)</f>
        <v>1042.8339557158895</v>
      </c>
      <c r="F125" s="1921" t="s">
        <v>356</v>
      </c>
      <c r="G125" s="1921">
        <v>1</v>
      </c>
      <c r="H125" s="1921" t="s">
        <v>2109</v>
      </c>
      <c r="I125" s="1945"/>
      <c r="J125" s="1168"/>
    </row>
    <row r="126" spans="1:10" ht="36" outlineLevel="1" x14ac:dyDescent="0.25">
      <c r="A126" s="4"/>
      <c r="B126" s="1850" t="s">
        <v>2105</v>
      </c>
      <c r="C126" s="1867" t="s">
        <v>2373</v>
      </c>
      <c r="D126" s="1881" t="s">
        <v>3975</v>
      </c>
      <c r="E126" s="1911">
        <f>-(v_1_SO2*r_1+v_3_SO2*r_3+v_7_SO2*r_7+v_13_SO2*r_13+v_15_SO2*r_15+v_17_SO2*r_17+v_21_SO2*r_21)</f>
        <v>372.4839220066911</v>
      </c>
      <c r="F126" s="1869" t="s">
        <v>356</v>
      </c>
      <c r="G126" s="1869">
        <v>1</v>
      </c>
      <c r="H126" s="1869" t="s">
        <v>2109</v>
      </c>
      <c r="I126" s="1942"/>
      <c r="J126" s="1168"/>
    </row>
    <row r="127" spans="1:10" ht="18" outlineLevel="1" x14ac:dyDescent="0.25">
      <c r="A127" s="4"/>
      <c r="B127" s="1850" t="s">
        <v>2106</v>
      </c>
      <c r="C127" s="1867" t="s">
        <v>2374</v>
      </c>
      <c r="D127" s="1881" t="s">
        <v>4245</v>
      </c>
      <c r="E127" s="1911">
        <f>-(v_30_SO2*r_30)</f>
        <v>670.35003370919833</v>
      </c>
      <c r="F127" s="1869" t="s">
        <v>356</v>
      </c>
      <c r="G127" s="1869">
        <v>1</v>
      </c>
      <c r="H127" s="1869" t="s">
        <v>2109</v>
      </c>
      <c r="I127" s="1942"/>
      <c r="J127" s="1168"/>
    </row>
    <row r="128" spans="1:10" ht="36" outlineLevel="1" x14ac:dyDescent="0.25">
      <c r="A128" s="4"/>
      <c r="B128" s="1850" t="s">
        <v>334</v>
      </c>
      <c r="C128" s="1867" t="s">
        <v>335</v>
      </c>
      <c r="D128" s="1881" t="s">
        <v>4975</v>
      </c>
      <c r="E128" s="1894">
        <f>-(v_2_SNOx*r_2+v_4_SNOx*r_4+v_10_SNOx*r_10+v_14_SNOx*r_14+v_16_SNOx*r_16+v_18_SNOx*r_18+v_22_SNOx*r_22+v_55_SNOx*r_55)</f>
        <v>6.5300447617236248</v>
      </c>
      <c r="F128" s="1869" t="s">
        <v>1762</v>
      </c>
      <c r="G128" s="1869">
        <v>1</v>
      </c>
      <c r="H128" s="1869" t="s">
        <v>2109</v>
      </c>
      <c r="I128" s="1942"/>
      <c r="J128" s="1168"/>
    </row>
    <row r="129" spans="1:10" ht="36" outlineLevel="1" x14ac:dyDescent="0.25">
      <c r="A129" s="4"/>
      <c r="B129" s="1850" t="s">
        <v>336</v>
      </c>
      <c r="C129" s="1867" t="s">
        <v>337</v>
      </c>
      <c r="D129" s="1881" t="s">
        <v>4976</v>
      </c>
      <c r="E129" s="1894">
        <f>i_N_BIO*(r_1+r_2+r_3+r_4+r_5+r_6+r_7+r_10+r_13+r_14+r_17+r_18+r_25+r_26+r_33+r_36)-(v_30_SNHx*r_30+v_75_SNHx*r_75)</f>
        <v>192.95745896563938</v>
      </c>
      <c r="F129" s="1869" t="s">
        <v>1762</v>
      </c>
      <c r="G129" s="1869">
        <v>1</v>
      </c>
      <c r="H129" s="1869" t="s">
        <v>2109</v>
      </c>
      <c r="I129" s="1942"/>
      <c r="J129" s="1168"/>
    </row>
    <row r="130" spans="1:10" ht="18" outlineLevel="1" x14ac:dyDescent="0.25">
      <c r="A130" s="4"/>
      <c r="B130" s="1850" t="s">
        <v>1885</v>
      </c>
      <c r="C130" s="1867" t="s">
        <v>1886</v>
      </c>
      <c r="D130" s="1881" t="s">
        <v>3925</v>
      </c>
      <c r="E130" s="1894">
        <f>P_URBIO+P_URCHEM</f>
        <v>320.65276197404148</v>
      </c>
      <c r="F130" s="1869" t="s">
        <v>1887</v>
      </c>
      <c r="G130" s="1869">
        <v>1</v>
      </c>
      <c r="H130" s="1869" t="s">
        <v>2109</v>
      </c>
      <c r="I130" s="1942"/>
      <c r="J130" s="1168"/>
    </row>
    <row r="131" spans="1:10" ht="18" outlineLevel="1" x14ac:dyDescent="0.25">
      <c r="A131" s="4"/>
      <c r="B131" s="1850" t="s">
        <v>1888</v>
      </c>
      <c r="C131" s="1867" t="s">
        <v>2649</v>
      </c>
      <c r="D131" s="1881" t="s">
        <v>4246</v>
      </c>
      <c r="E131" s="1894">
        <f>i_P_BIO*(r_1+r_2+r_3+r_4+r_5+r_6+r_7+r_10+r_13+r_14+r_25+r_26+r_30+r_33+r_36)+P_URBIOP</f>
        <v>320.65276197404148</v>
      </c>
      <c r="F131" s="1869" t="s">
        <v>1887</v>
      </c>
      <c r="G131" s="1869">
        <v>1</v>
      </c>
      <c r="H131" s="1869" t="s">
        <v>2109</v>
      </c>
      <c r="I131" s="1942"/>
      <c r="J131" s="1168"/>
    </row>
    <row r="132" spans="1:10" ht="18" outlineLevel="1" x14ac:dyDescent="0.25">
      <c r="A132" s="4"/>
      <c r="B132" s="1850" t="s">
        <v>3571</v>
      </c>
      <c r="C132" s="1867" t="s">
        <v>3572</v>
      </c>
      <c r="D132" s="1881" t="s">
        <v>3926</v>
      </c>
      <c r="E132" s="1894">
        <f>-(v_15_SPO4*r_15+v_16_SPO4*r_16)</f>
        <v>309.79855476478224</v>
      </c>
      <c r="F132" s="1869" t="s">
        <v>1887</v>
      </c>
      <c r="G132" s="1869">
        <v>1</v>
      </c>
      <c r="H132" s="1869" t="s">
        <v>2109</v>
      </c>
      <c r="I132" s="1942"/>
      <c r="J132" s="1168"/>
    </row>
    <row r="133" spans="1:10" ht="36" outlineLevel="1" x14ac:dyDescent="0.25">
      <c r="A133" s="4"/>
      <c r="B133" s="1850" t="s">
        <v>1889</v>
      </c>
      <c r="C133" s="1867" t="s">
        <v>2650</v>
      </c>
      <c r="D133" s="1881" t="s">
        <v>4977</v>
      </c>
      <c r="E133" s="1894">
        <f>-(v_58_SPO4*r_58+v_59_SPO4*r_59+v_67_SPO4*r_67+v_68_SPO4*r_68+v_73_SPO4*r_73+v_74_SPO4*r_74+v_75_SPO4*r_75+v_76_SPO4*r_76)</f>
        <v>2.725E-48</v>
      </c>
      <c r="F133" s="1869" t="s">
        <v>1887</v>
      </c>
      <c r="G133" s="1869">
        <v>1</v>
      </c>
      <c r="H133" s="1869" t="s">
        <v>2109</v>
      </c>
      <c r="I133" s="1942"/>
      <c r="J133" s="1168"/>
    </row>
    <row r="134" spans="1:10" ht="54" outlineLevel="1" x14ac:dyDescent="0.25">
      <c r="A134" s="4"/>
      <c r="B134" s="1850" t="s">
        <v>1890</v>
      </c>
      <c r="C134" s="1867" t="s">
        <v>1891</v>
      </c>
      <c r="D134" s="1881" t="s">
        <v>4978</v>
      </c>
      <c r="E134" s="1894">
        <f>v_19_SPO4*r_19+v_24_SPO4*r_24+v_27_SPO4*r_27+v_28_SPO4*r_28+v_50_SPO4*r_50+v_55_SPO4*r_55+v_60_SPO4*r_60+v_61_SPO4*r_61+v_62_SPO4*r_62+v_63_SPO4*r_63+v_69_SPO4*r_69+v_70_SPO4*r_70+v_71_SPO4*r_71</f>
        <v>8.877041635043053</v>
      </c>
      <c r="F134" s="1869" t="s">
        <v>1887</v>
      </c>
      <c r="G134" s="1869">
        <v>1</v>
      </c>
      <c r="H134" s="1869" t="s">
        <v>2109</v>
      </c>
      <c r="I134" s="1942"/>
      <c r="J134" s="1168"/>
    </row>
    <row r="135" spans="1:10" ht="54" outlineLevel="1" x14ac:dyDescent="0.25">
      <c r="A135" s="4"/>
      <c r="B135" s="1850" t="s">
        <v>5037</v>
      </c>
      <c r="C135" s="1867" t="s">
        <v>5046</v>
      </c>
      <c r="D135" s="1881" t="s">
        <v>5048</v>
      </c>
      <c r="E135" s="1911">
        <f>-(v_1_SVFA*r_1+v_2_SVFA*r_2+v_19_SVFA*r_19+v_20_SVFA*r_20+v_33_SVFA*r_33+v_3_SB*r_3+v_4_SB*r_4+v_5_SB*r_5+v_6_SB*r_6+v_25_SB*r_25+v_26_SB*r_26+v_7_SMEOL*r_7+v_10_SMEOL*r_10)</f>
        <v>540.79567737804894</v>
      </c>
      <c r="F135" s="1869" t="s">
        <v>5036</v>
      </c>
      <c r="G135" s="1869">
        <v>1</v>
      </c>
      <c r="H135" s="1869"/>
      <c r="I135" s="1942"/>
      <c r="J135" s="1168"/>
    </row>
    <row r="136" spans="1:10" ht="18" outlineLevel="1" x14ac:dyDescent="0.25">
      <c r="A136" s="4"/>
      <c r="B136" s="1850" t="s">
        <v>5034</v>
      </c>
      <c r="C136" s="1867" t="s">
        <v>5035</v>
      </c>
      <c r="D136" s="1881" t="s">
        <v>5039</v>
      </c>
      <c r="E136" s="1911">
        <f>v_5_SH2*r_5+v_6_SH2*r_6+v_25_SH2*r_25+v_26_SH2*r_26+v_33_SCH4*r_33+v_36_SCH4*r_36</f>
        <v>1.0159152125583536E-2</v>
      </c>
      <c r="F136" s="1869" t="s">
        <v>5036</v>
      </c>
      <c r="G136" s="1869">
        <v>1</v>
      </c>
      <c r="H136" s="1869"/>
      <c r="I136" s="1942"/>
      <c r="J136" s="1168"/>
    </row>
    <row r="137" spans="1:10" s="1168" customFormat="1" ht="18" customHeight="1" thickBot="1" x14ac:dyDescent="0.3">
      <c r="A137" s="4"/>
      <c r="B137" s="4"/>
      <c r="C137" s="4"/>
      <c r="D137" s="4"/>
      <c r="E137" s="1899"/>
      <c r="F137" s="4"/>
      <c r="G137" s="4"/>
      <c r="H137" s="4"/>
      <c r="I137" s="4"/>
    </row>
    <row r="138" spans="1:10" s="1168" customFormat="1" ht="18" customHeight="1" thickBot="1" x14ac:dyDescent="0.3">
      <c r="A138" s="4"/>
      <c r="B138" s="102"/>
      <c r="C138" s="1204" t="s">
        <v>2139</v>
      </c>
      <c r="D138" s="13" t="s">
        <v>303</v>
      </c>
      <c r="E138" s="13"/>
      <c r="F138" s="102"/>
      <c r="G138" s="102"/>
      <c r="H138" s="102"/>
      <c r="I138" s="102"/>
    </row>
    <row r="139" spans="1:10" s="1168" customFormat="1" ht="18" customHeight="1" thickBot="1" x14ac:dyDescent="0.3">
      <c r="A139" s="4"/>
      <c r="B139" s="1514" t="s">
        <v>0</v>
      </c>
      <c r="C139" s="1515" t="s">
        <v>1</v>
      </c>
      <c r="D139" s="1516" t="s">
        <v>5</v>
      </c>
      <c r="E139" s="1516" t="s">
        <v>152</v>
      </c>
      <c r="F139" s="1516" t="s">
        <v>2</v>
      </c>
      <c r="G139" s="1516" t="s">
        <v>302</v>
      </c>
      <c r="H139" s="1516" t="s">
        <v>116</v>
      </c>
      <c r="I139" s="1517" t="s">
        <v>117</v>
      </c>
    </row>
    <row r="140" spans="1:10" s="93" customFormat="1" ht="30" outlineLevel="1" x14ac:dyDescent="0.25">
      <c r="A140" s="1619"/>
      <c r="B140" s="1863" t="s">
        <v>1993</v>
      </c>
      <c r="C140" s="1880" t="s">
        <v>2375</v>
      </c>
      <c r="D140" s="1892" t="s">
        <v>2108</v>
      </c>
      <c r="E140" s="1880">
        <f>m_tox_ana_max</f>
        <v>10</v>
      </c>
      <c r="F140" s="1880" t="s">
        <v>1994</v>
      </c>
      <c r="G140" s="1882">
        <v>0</v>
      </c>
      <c r="H140" s="1880" t="s">
        <v>1208</v>
      </c>
      <c r="I140" s="1946"/>
      <c r="J140" s="143"/>
    </row>
    <row r="141" spans="1:10" s="93" customFormat="1" ht="30.75" outlineLevel="1" thickBot="1" x14ac:dyDescent="0.3">
      <c r="A141" s="1619"/>
      <c r="B141" s="574" t="s">
        <v>1993</v>
      </c>
      <c r="C141" s="1879" t="s">
        <v>2376</v>
      </c>
      <c r="D141" s="1879">
        <v>0</v>
      </c>
      <c r="E141" s="1879">
        <f>0</f>
        <v>0</v>
      </c>
      <c r="F141" s="1879" t="s">
        <v>1994</v>
      </c>
      <c r="G141" s="1891">
        <v>0</v>
      </c>
      <c r="H141" s="1879" t="s">
        <v>2109</v>
      </c>
      <c r="I141" s="1729"/>
      <c r="J141" s="143"/>
    </row>
    <row r="142" spans="1:10" s="1168" customFormat="1" ht="18" customHeight="1" thickBot="1" x14ac:dyDescent="0.3">
      <c r="A142" s="4"/>
      <c r="B142" s="4"/>
      <c r="C142" s="4"/>
      <c r="D142" s="4"/>
      <c r="E142" s="1899"/>
      <c r="F142" s="4"/>
      <c r="G142" s="4"/>
      <c r="H142" s="4"/>
      <c r="I142" s="4"/>
    </row>
    <row r="143" spans="1:10" s="1168" customFormat="1" ht="18" customHeight="1" thickBot="1" x14ac:dyDescent="0.3">
      <c r="A143" s="4"/>
      <c r="B143" s="102"/>
      <c r="C143" s="1204" t="s">
        <v>2630</v>
      </c>
      <c r="D143" s="13" t="s">
        <v>303</v>
      </c>
      <c r="E143" s="13"/>
      <c r="F143" s="102"/>
      <c r="G143" s="102"/>
      <c r="H143" s="102"/>
      <c r="I143" s="102"/>
    </row>
    <row r="144" spans="1:10" s="1168" customFormat="1" ht="18" customHeight="1" thickBot="1" x14ac:dyDescent="0.3">
      <c r="A144" s="4"/>
      <c r="B144" s="1514" t="s">
        <v>0</v>
      </c>
      <c r="C144" s="1515" t="s">
        <v>1</v>
      </c>
      <c r="D144" s="1516" t="s">
        <v>5</v>
      </c>
      <c r="E144" s="1516" t="s">
        <v>152</v>
      </c>
      <c r="F144" s="1516" t="s">
        <v>2</v>
      </c>
      <c r="G144" s="1516" t="s">
        <v>302</v>
      </c>
      <c r="H144" s="1516" t="s">
        <v>116</v>
      </c>
      <c r="I144" s="1517" t="s">
        <v>117</v>
      </c>
    </row>
    <row r="145" spans="1:9" s="890" customFormat="1" ht="18" outlineLevel="1" x14ac:dyDescent="0.25">
      <c r="B145" s="1205" t="s">
        <v>1763</v>
      </c>
      <c r="C145" s="1206" t="s">
        <v>2377</v>
      </c>
      <c r="D145" s="1206" t="s">
        <v>1918</v>
      </c>
      <c r="E145" s="1207">
        <f>K_NHx_NITO_AS</f>
        <v>0.7</v>
      </c>
      <c r="F145" s="1208" t="s">
        <v>885</v>
      </c>
      <c r="G145" s="1208">
        <v>2</v>
      </c>
      <c r="H145" s="1209" t="s">
        <v>1249</v>
      </c>
      <c r="I145" s="1210"/>
    </row>
    <row r="146" spans="1:9" s="890" customFormat="1" ht="18" outlineLevel="1" x14ac:dyDescent="0.25">
      <c r="B146" s="1211" t="s">
        <v>1763</v>
      </c>
      <c r="C146" s="1212" t="s">
        <v>2377</v>
      </c>
      <c r="D146" s="1212" t="s">
        <v>3156</v>
      </c>
      <c r="E146" s="1213">
        <f>K_NHx_NITO_AS*f_KS_biofilm</f>
        <v>0.27999999999999997</v>
      </c>
      <c r="F146" s="1214" t="s">
        <v>885</v>
      </c>
      <c r="G146" s="1214">
        <v>3</v>
      </c>
      <c r="H146" s="1215" t="s">
        <v>1172</v>
      </c>
      <c r="I146" s="1216" t="s">
        <v>3186</v>
      </c>
    </row>
    <row r="147" spans="1:9" s="890" customFormat="1" ht="18.75" outlineLevel="1" x14ac:dyDescent="0.25">
      <c r="B147" s="1211" t="s">
        <v>4610</v>
      </c>
      <c r="C147" s="1212" t="s">
        <v>2378</v>
      </c>
      <c r="D147" s="1212" t="s">
        <v>4597</v>
      </c>
      <c r="E147" s="1215">
        <f>K_CO2_NITO_pH_AS</f>
        <v>1E-3</v>
      </c>
      <c r="F147" s="1217" t="s">
        <v>1946</v>
      </c>
      <c r="G147" s="1214">
        <v>3</v>
      </c>
      <c r="H147" s="1215" t="s">
        <v>4590</v>
      </c>
      <c r="I147" s="1216"/>
    </row>
    <row r="148" spans="1:9" s="890" customFormat="1" ht="18.75" outlineLevel="1" x14ac:dyDescent="0.25">
      <c r="B148" s="1218" t="s">
        <v>4610</v>
      </c>
      <c r="C148" s="1212" t="s">
        <v>2378</v>
      </c>
      <c r="D148" s="1212" t="s">
        <v>4611</v>
      </c>
      <c r="E148" s="1215">
        <f>K_CO2_NITO_pH_sidestream</f>
        <v>4.0000000000000001E-3</v>
      </c>
      <c r="F148" s="1217" t="s">
        <v>1946</v>
      </c>
      <c r="G148" s="1214">
        <v>3</v>
      </c>
      <c r="H148" s="1215" t="s">
        <v>1594</v>
      </c>
      <c r="I148" s="1216"/>
    </row>
    <row r="149" spans="1:9" s="890" customFormat="1" ht="18.75" outlineLevel="1" x14ac:dyDescent="0.25">
      <c r="B149" s="1211" t="s">
        <v>1595</v>
      </c>
      <c r="C149" s="1212" t="s">
        <v>2379</v>
      </c>
      <c r="D149" s="1212" t="s">
        <v>1919</v>
      </c>
      <c r="E149" s="1213">
        <f>K_O2_NITO_AS</f>
        <v>0.5</v>
      </c>
      <c r="F149" s="1217" t="s">
        <v>1176</v>
      </c>
      <c r="G149" s="1214">
        <v>3</v>
      </c>
      <c r="H149" s="1215" t="s">
        <v>1598</v>
      </c>
      <c r="I149" s="1216"/>
    </row>
    <row r="150" spans="1:9" s="890" customFormat="1" ht="18.75" outlineLevel="1" x14ac:dyDescent="0.25">
      <c r="B150" s="1211" t="s">
        <v>1595</v>
      </c>
      <c r="C150" s="1212" t="s">
        <v>2379</v>
      </c>
      <c r="D150" s="1212" t="s">
        <v>3157</v>
      </c>
      <c r="E150" s="1220">
        <f>K_O2_NITO_AS*f_KS_biofilm</f>
        <v>0.2</v>
      </c>
      <c r="F150" s="1217" t="s">
        <v>1176</v>
      </c>
      <c r="G150" s="1214">
        <v>4</v>
      </c>
      <c r="H150" s="1215" t="s">
        <v>1599</v>
      </c>
      <c r="I150" s="1216" t="s">
        <v>3186</v>
      </c>
    </row>
    <row r="151" spans="1:9" s="890" customFormat="1" ht="18.75" outlineLevel="1" x14ac:dyDescent="0.25">
      <c r="B151" s="1218" t="s">
        <v>1595</v>
      </c>
      <c r="C151" s="1212" t="s">
        <v>2379</v>
      </c>
      <c r="D151" s="1212" t="s">
        <v>1764</v>
      </c>
      <c r="E151" s="1221">
        <f>K_O2_NITO_sidestream</f>
        <v>0.5</v>
      </c>
      <c r="F151" s="1217" t="s">
        <v>1176</v>
      </c>
      <c r="G151" s="1214">
        <v>2</v>
      </c>
      <c r="H151" s="1215" t="s">
        <v>1594</v>
      </c>
      <c r="I151" s="1216"/>
    </row>
    <row r="152" spans="1:9" s="890" customFormat="1" ht="18" outlineLevel="1" x14ac:dyDescent="0.25">
      <c r="B152" s="1211" t="s">
        <v>2382</v>
      </c>
      <c r="C152" s="1212" t="s">
        <v>2380</v>
      </c>
      <c r="D152" s="1212" t="s">
        <v>2245</v>
      </c>
      <c r="E152" s="1213">
        <f>K_NOx_NITO_AS</f>
        <v>0.03</v>
      </c>
      <c r="F152" s="1217" t="s">
        <v>885</v>
      </c>
      <c r="G152" s="1214">
        <v>3</v>
      </c>
      <c r="H152" s="1215" t="s">
        <v>1249</v>
      </c>
      <c r="I152" s="1216"/>
    </row>
    <row r="153" spans="1:9" s="890" customFormat="1" ht="18" outlineLevel="1" x14ac:dyDescent="0.25">
      <c r="B153" s="1211" t="s">
        <v>2382</v>
      </c>
      <c r="C153" s="1212" t="s">
        <v>2380</v>
      </c>
      <c r="D153" s="1212" t="s">
        <v>3158</v>
      </c>
      <c r="E153" s="1220">
        <f>K_NOx_NITO_AS*f_KS_biofilm</f>
        <v>1.2E-2</v>
      </c>
      <c r="F153" s="1217" t="s">
        <v>885</v>
      </c>
      <c r="G153" s="1214">
        <v>4</v>
      </c>
      <c r="H153" s="1215" t="s">
        <v>1172</v>
      </c>
      <c r="I153" s="1216" t="s">
        <v>3186</v>
      </c>
    </row>
    <row r="154" spans="1:9" s="890" customFormat="1" ht="18" outlineLevel="1" x14ac:dyDescent="0.25">
      <c r="B154" s="1211" t="s">
        <v>4608</v>
      </c>
      <c r="C154" s="1212" t="s">
        <v>2381</v>
      </c>
      <c r="D154" s="1212" t="s">
        <v>4601</v>
      </c>
      <c r="E154" s="1219">
        <f>K_iNH3_NITO_pH_AS</f>
        <v>9999</v>
      </c>
      <c r="F154" s="1219" t="s">
        <v>2172</v>
      </c>
      <c r="G154" s="1214">
        <v>1</v>
      </c>
      <c r="H154" s="1215" t="s">
        <v>1249</v>
      </c>
      <c r="I154" s="1216"/>
    </row>
    <row r="155" spans="1:9" s="890" customFormat="1" ht="19.5" outlineLevel="1" thickBot="1" x14ac:dyDescent="0.3">
      <c r="B155" s="1222" t="s">
        <v>4608</v>
      </c>
      <c r="C155" s="1223" t="s">
        <v>2381</v>
      </c>
      <c r="D155" s="1223" t="s">
        <v>4609</v>
      </c>
      <c r="E155" s="1224">
        <f>K_iNH3_NITO_pH_AS*f_KS_biofilm</f>
        <v>3999.6000000000004</v>
      </c>
      <c r="F155" s="1225" t="s">
        <v>2172</v>
      </c>
      <c r="G155" s="1226">
        <v>1</v>
      </c>
      <c r="H155" s="1227" t="s">
        <v>1172</v>
      </c>
      <c r="I155" s="1228" t="s">
        <v>3186</v>
      </c>
    </row>
    <row r="156" spans="1:9" s="1168" customFormat="1" ht="18" customHeight="1" thickBot="1" x14ac:dyDescent="0.3">
      <c r="A156" s="4"/>
      <c r="B156" s="4"/>
      <c r="C156" s="4"/>
      <c r="D156" s="4"/>
      <c r="E156" s="1899"/>
      <c r="F156" s="4"/>
      <c r="G156" s="4"/>
      <c r="H156" s="4"/>
      <c r="I156" s="4"/>
    </row>
    <row r="157" spans="1:9" s="1168" customFormat="1" ht="18" customHeight="1" thickBot="1" x14ac:dyDescent="0.3">
      <c r="A157" s="4"/>
      <c r="B157" s="102"/>
      <c r="C157" s="1204" t="s">
        <v>2631</v>
      </c>
      <c r="D157" s="13" t="s">
        <v>303</v>
      </c>
      <c r="E157" s="13"/>
      <c r="F157" s="102"/>
      <c r="G157" s="102"/>
      <c r="H157" s="102"/>
      <c r="I157" s="102"/>
    </row>
    <row r="158" spans="1:9" s="1168" customFormat="1" ht="18" customHeight="1" thickBot="1" x14ac:dyDescent="0.3">
      <c r="A158" s="4"/>
      <c r="B158" s="1514" t="s">
        <v>0</v>
      </c>
      <c r="C158" s="1515" t="s">
        <v>1</v>
      </c>
      <c r="D158" s="1516" t="s">
        <v>5</v>
      </c>
      <c r="E158" s="1516" t="s">
        <v>152</v>
      </c>
      <c r="F158" s="1516" t="s">
        <v>2</v>
      </c>
      <c r="G158" s="1516" t="s">
        <v>302</v>
      </c>
      <c r="H158" s="1516" t="s">
        <v>116</v>
      </c>
      <c r="I158" s="1517" t="s">
        <v>117</v>
      </c>
    </row>
    <row r="159" spans="1:9" s="890" customFormat="1" ht="18" outlineLevel="1" x14ac:dyDescent="0.25">
      <c r="B159" s="1229" t="s">
        <v>1765</v>
      </c>
      <c r="C159" s="1230" t="s">
        <v>2383</v>
      </c>
      <c r="D159" s="1230" t="s">
        <v>1920</v>
      </c>
      <c r="E159" s="1231">
        <f>K_SB_AS</f>
        <v>5</v>
      </c>
      <c r="F159" s="1232" t="s">
        <v>1177</v>
      </c>
      <c r="G159" s="1232">
        <v>1</v>
      </c>
      <c r="H159" s="1233" t="s">
        <v>1249</v>
      </c>
      <c r="I159" s="1234"/>
    </row>
    <row r="160" spans="1:9" s="890" customFormat="1" ht="18" outlineLevel="1" x14ac:dyDescent="0.25">
      <c r="B160" s="1235" t="s">
        <v>1765</v>
      </c>
      <c r="C160" s="1236" t="s">
        <v>2383</v>
      </c>
      <c r="D160" s="1236" t="s">
        <v>3159</v>
      </c>
      <c r="E160" s="1237">
        <f>K_SB_AS*f_KS_biofilm</f>
        <v>2</v>
      </c>
      <c r="F160" s="1238" t="s">
        <v>1177</v>
      </c>
      <c r="G160" s="1238">
        <v>2</v>
      </c>
      <c r="H160" s="1239" t="s">
        <v>1172</v>
      </c>
      <c r="I160" s="1240" t="s">
        <v>3186</v>
      </c>
    </row>
    <row r="161" spans="1:9" s="890" customFormat="1" ht="18" outlineLevel="1" x14ac:dyDescent="0.25">
      <c r="B161" s="1235" t="s">
        <v>1766</v>
      </c>
      <c r="C161" s="1236" t="s">
        <v>2384</v>
      </c>
      <c r="D161" s="1236" t="s">
        <v>1921</v>
      </c>
      <c r="E161" s="1237">
        <f>K_VFA_AS</f>
        <v>0.5</v>
      </c>
      <c r="F161" s="1238" t="s">
        <v>1767</v>
      </c>
      <c r="G161" s="1238">
        <v>2</v>
      </c>
      <c r="H161" s="1239" t="s">
        <v>1249</v>
      </c>
      <c r="I161" s="1240"/>
    </row>
    <row r="162" spans="1:9" s="890" customFormat="1" ht="18" outlineLevel="1" x14ac:dyDescent="0.25">
      <c r="B162" s="1235" t="s">
        <v>1766</v>
      </c>
      <c r="C162" s="1236" t="s">
        <v>2384</v>
      </c>
      <c r="D162" s="1236" t="s">
        <v>3160</v>
      </c>
      <c r="E162" s="1241">
        <f>K_VFA_AS*f_KS_biofilm</f>
        <v>0.2</v>
      </c>
      <c r="F162" s="1238" t="s">
        <v>1767</v>
      </c>
      <c r="G162" s="1238">
        <v>3</v>
      </c>
      <c r="H162" s="1239" t="s">
        <v>1172</v>
      </c>
      <c r="I162" s="1240" t="s">
        <v>3186</v>
      </c>
    </row>
    <row r="163" spans="1:9" s="890" customFormat="1" ht="18" outlineLevel="1" x14ac:dyDescent="0.25">
      <c r="B163" s="1235" t="s">
        <v>1768</v>
      </c>
      <c r="C163" s="1236" t="s">
        <v>2385</v>
      </c>
      <c r="D163" s="1236" t="s">
        <v>1923</v>
      </c>
      <c r="E163" s="1237">
        <f>K_O2_OHO_AS</f>
        <v>0.15</v>
      </c>
      <c r="F163" s="1238" t="s">
        <v>1176</v>
      </c>
      <c r="G163" s="1238">
        <v>2</v>
      </c>
      <c r="H163" s="1239" t="s">
        <v>1249</v>
      </c>
      <c r="I163" s="1240"/>
    </row>
    <row r="164" spans="1:9" s="890" customFormat="1" ht="18" outlineLevel="1" x14ac:dyDescent="0.25">
      <c r="B164" s="1235" t="s">
        <v>1768</v>
      </c>
      <c r="C164" s="1236" t="s">
        <v>2385</v>
      </c>
      <c r="D164" s="1236" t="s">
        <v>3161</v>
      </c>
      <c r="E164" s="1241">
        <f>K_O2_OHO_AS*f_KS_biofilm</f>
        <v>0.06</v>
      </c>
      <c r="F164" s="1238" t="s">
        <v>1176</v>
      </c>
      <c r="G164" s="1238">
        <v>3</v>
      </c>
      <c r="H164" s="1239" t="s">
        <v>1172</v>
      </c>
      <c r="I164" s="1240" t="s">
        <v>3186</v>
      </c>
    </row>
    <row r="165" spans="1:9" s="890" customFormat="1" ht="18" outlineLevel="1" x14ac:dyDescent="0.25">
      <c r="B165" s="1235" t="s">
        <v>1769</v>
      </c>
      <c r="C165" s="1236" t="s">
        <v>2386</v>
      </c>
      <c r="D165" s="1236" t="s">
        <v>1922</v>
      </c>
      <c r="E165" s="1237">
        <f>K_MEOL_OHO_AS</f>
        <v>0.1</v>
      </c>
      <c r="F165" s="1238" t="s">
        <v>1177</v>
      </c>
      <c r="G165" s="1238">
        <v>2</v>
      </c>
      <c r="H165" s="1239" t="s">
        <v>1249</v>
      </c>
      <c r="I165" s="1240"/>
    </row>
    <row r="166" spans="1:9" s="890" customFormat="1" ht="18" outlineLevel="1" x14ac:dyDescent="0.25">
      <c r="B166" s="1235" t="s">
        <v>1769</v>
      </c>
      <c r="C166" s="1236" t="s">
        <v>2386</v>
      </c>
      <c r="D166" s="1236" t="s">
        <v>3162</v>
      </c>
      <c r="E166" s="1241">
        <f>K_MEOL_OHO_AS*f_KS_biofilm</f>
        <v>4.0000000000000008E-2</v>
      </c>
      <c r="F166" s="1238" t="s">
        <v>1177</v>
      </c>
      <c r="G166" s="1238">
        <v>3</v>
      </c>
      <c r="H166" s="1239" t="s">
        <v>1172</v>
      </c>
      <c r="I166" s="1240" t="s">
        <v>3186</v>
      </c>
    </row>
    <row r="167" spans="1:9" s="890" customFormat="1" ht="18" outlineLevel="1" x14ac:dyDescent="0.25">
      <c r="B167" s="1235" t="s">
        <v>2389</v>
      </c>
      <c r="C167" s="1236" t="s">
        <v>2387</v>
      </c>
      <c r="D167" s="1236" t="s">
        <v>2219</v>
      </c>
      <c r="E167" s="1241">
        <f>K_NOx_OHO_AS</f>
        <v>0.03</v>
      </c>
      <c r="F167" s="1238" t="s">
        <v>885</v>
      </c>
      <c r="G167" s="1238">
        <v>3</v>
      </c>
      <c r="H167" s="1239" t="s">
        <v>1249</v>
      </c>
      <c r="I167" s="1240"/>
    </row>
    <row r="168" spans="1:9" s="890" customFormat="1" ht="18" outlineLevel="1" x14ac:dyDescent="0.25">
      <c r="B168" s="1235" t="s">
        <v>2389</v>
      </c>
      <c r="C168" s="1236" t="s">
        <v>2387</v>
      </c>
      <c r="D168" s="1236" t="s">
        <v>3163</v>
      </c>
      <c r="E168" s="1242">
        <f>K_NOx_OHO_AS*f_KS_biofilm</f>
        <v>1.2E-2</v>
      </c>
      <c r="F168" s="1238" t="s">
        <v>885</v>
      </c>
      <c r="G168" s="1238">
        <v>4</v>
      </c>
      <c r="H168" s="1239" t="s">
        <v>1172</v>
      </c>
      <c r="I168" s="1240" t="s">
        <v>3186</v>
      </c>
    </row>
    <row r="169" spans="1:9" s="890" customFormat="1" ht="18" outlineLevel="1" x14ac:dyDescent="0.25">
      <c r="B169" s="1243" t="s">
        <v>2161</v>
      </c>
      <c r="C169" s="1244" t="s">
        <v>2580</v>
      </c>
      <c r="D169" s="1236" t="s">
        <v>2152</v>
      </c>
      <c r="E169" s="1237">
        <f>K_VFA_FERM_AS</f>
        <v>50</v>
      </c>
      <c r="F169" s="1238" t="s">
        <v>1767</v>
      </c>
      <c r="G169" s="1238">
        <v>2</v>
      </c>
      <c r="H169" s="1239" t="s">
        <v>1249</v>
      </c>
      <c r="I169" s="1240"/>
    </row>
    <row r="170" spans="1:9" s="890" customFormat="1" ht="18" outlineLevel="1" x14ac:dyDescent="0.25">
      <c r="B170" s="1243" t="s">
        <v>2161</v>
      </c>
      <c r="C170" s="1244" t="s">
        <v>2580</v>
      </c>
      <c r="D170" s="1236" t="s">
        <v>3164</v>
      </c>
      <c r="E170" s="1241">
        <f>K_VFA_FERM_AS*f_KS_biofilm</f>
        <v>20</v>
      </c>
      <c r="F170" s="1238" t="s">
        <v>1767</v>
      </c>
      <c r="G170" s="1238">
        <v>3</v>
      </c>
      <c r="H170" s="1239" t="s">
        <v>1172</v>
      </c>
      <c r="I170" s="1240" t="s">
        <v>3186</v>
      </c>
    </row>
    <row r="171" spans="1:9" s="890" customFormat="1" ht="30" outlineLevel="1" x14ac:dyDescent="0.25">
      <c r="B171" s="1235" t="s">
        <v>1866</v>
      </c>
      <c r="C171" s="1236" t="s">
        <v>2388</v>
      </c>
      <c r="D171" s="1236" t="s">
        <v>1924</v>
      </c>
      <c r="E171" s="1245">
        <f>K_SB_ana_AS</f>
        <v>5</v>
      </c>
      <c r="F171" s="1238" t="s">
        <v>1177</v>
      </c>
      <c r="G171" s="1238">
        <v>1</v>
      </c>
      <c r="H171" s="1239" t="s">
        <v>3487</v>
      </c>
      <c r="I171" s="1240"/>
    </row>
    <row r="172" spans="1:9" s="890" customFormat="1" ht="30" outlineLevel="1" x14ac:dyDescent="0.25">
      <c r="B172" s="1235" t="s">
        <v>1866</v>
      </c>
      <c r="C172" s="1236" t="s">
        <v>2388</v>
      </c>
      <c r="D172" s="1236" t="s">
        <v>3165</v>
      </c>
      <c r="E172" s="1237">
        <f>K_SB_ana_AS*f_KS_biofilm</f>
        <v>2</v>
      </c>
      <c r="F172" s="1238" t="s">
        <v>1177</v>
      </c>
      <c r="G172" s="1238">
        <v>2</v>
      </c>
      <c r="H172" s="1239" t="s">
        <v>3488</v>
      </c>
      <c r="I172" s="1240" t="s">
        <v>3186</v>
      </c>
    </row>
    <row r="173" spans="1:9" s="890" customFormat="1" ht="30.75" outlineLevel="1" thickBot="1" x14ac:dyDescent="0.3">
      <c r="B173" s="647" t="s">
        <v>1866</v>
      </c>
      <c r="C173" s="1246" t="s">
        <v>2388</v>
      </c>
      <c r="D173" s="1246" t="s">
        <v>3486</v>
      </c>
      <c r="E173" s="1247">
        <f>K_SB_ana_DIG</f>
        <v>350</v>
      </c>
      <c r="F173" s="1248" t="s">
        <v>1177</v>
      </c>
      <c r="G173" s="1248">
        <v>1</v>
      </c>
      <c r="H173" s="1249" t="s">
        <v>1208</v>
      </c>
      <c r="I173" s="891"/>
    </row>
    <row r="174" spans="1:9" s="1168" customFormat="1" ht="18" customHeight="1" thickBot="1" x14ac:dyDescent="0.3">
      <c r="A174" s="4"/>
      <c r="B174" s="4"/>
      <c r="C174" s="4"/>
      <c r="D174" s="4"/>
      <c r="E174" s="1899"/>
      <c r="F174" s="4"/>
      <c r="G174" s="4"/>
      <c r="H174" s="4"/>
      <c r="I174" s="4"/>
    </row>
    <row r="175" spans="1:9" s="1168" customFormat="1" ht="18" customHeight="1" thickBot="1" x14ac:dyDescent="0.3">
      <c r="A175" s="4"/>
      <c r="B175" s="102"/>
      <c r="C175" s="1204" t="s">
        <v>2632</v>
      </c>
      <c r="D175" s="13" t="s">
        <v>303</v>
      </c>
      <c r="E175" s="13"/>
      <c r="F175" s="102"/>
      <c r="G175" s="102"/>
      <c r="H175" s="102"/>
      <c r="I175" s="102"/>
    </row>
    <row r="176" spans="1:9" s="1168" customFormat="1" ht="18" customHeight="1" thickBot="1" x14ac:dyDescent="0.3">
      <c r="A176" s="4"/>
      <c r="B176" s="1514" t="s">
        <v>0</v>
      </c>
      <c r="C176" s="1515" t="s">
        <v>1</v>
      </c>
      <c r="D176" s="1516" t="s">
        <v>5</v>
      </c>
      <c r="E176" s="1516" t="s">
        <v>152</v>
      </c>
      <c r="F176" s="1516" t="s">
        <v>2</v>
      </c>
      <c r="G176" s="1516" t="s">
        <v>302</v>
      </c>
      <c r="H176" s="1516" t="s">
        <v>116</v>
      </c>
      <c r="I176" s="1517" t="s">
        <v>117</v>
      </c>
    </row>
    <row r="177" spans="1:9" s="890" customFormat="1" ht="18" outlineLevel="1" x14ac:dyDescent="0.25">
      <c r="B177" s="1250" t="s">
        <v>1770</v>
      </c>
      <c r="C177" s="1251" t="s">
        <v>2390</v>
      </c>
      <c r="D177" s="1251" t="s">
        <v>1925</v>
      </c>
      <c r="E177" s="1252">
        <f>K_MEOL_AS</f>
        <v>0.5</v>
      </c>
      <c r="F177" s="1253" t="s">
        <v>1177</v>
      </c>
      <c r="G177" s="1254">
        <v>2</v>
      </c>
      <c r="H177" s="1255" t="s">
        <v>1249</v>
      </c>
      <c r="I177" s="1256"/>
    </row>
    <row r="178" spans="1:9" s="890" customFormat="1" ht="18" outlineLevel="1" x14ac:dyDescent="0.25">
      <c r="B178" s="1257" t="s">
        <v>1770</v>
      </c>
      <c r="C178" s="1258" t="s">
        <v>2390</v>
      </c>
      <c r="D178" s="1258" t="s">
        <v>3166</v>
      </c>
      <c r="E178" s="1259">
        <f>K_MEOL_AS*f_KS_biofilm</f>
        <v>0.2</v>
      </c>
      <c r="F178" s="1260" t="s">
        <v>1177</v>
      </c>
      <c r="G178" s="1261">
        <v>3</v>
      </c>
      <c r="H178" s="1262" t="s">
        <v>1172</v>
      </c>
      <c r="I178" s="1263" t="s">
        <v>3186</v>
      </c>
    </row>
    <row r="179" spans="1:9" s="890" customFormat="1" ht="18.75" outlineLevel="1" x14ac:dyDescent="0.25">
      <c r="B179" s="1257" t="s">
        <v>3199</v>
      </c>
      <c r="C179" s="1258" t="s">
        <v>3200</v>
      </c>
      <c r="D179" s="1258" t="s">
        <v>3192</v>
      </c>
      <c r="E179" s="1259">
        <f>K_iO2_MEOLO_AS</f>
        <v>0.05</v>
      </c>
      <c r="F179" s="1260" t="s">
        <v>1176</v>
      </c>
      <c r="G179" s="1261">
        <v>3</v>
      </c>
      <c r="H179" s="1262" t="s">
        <v>1249</v>
      </c>
      <c r="I179" s="1263"/>
    </row>
    <row r="180" spans="1:9" s="890" customFormat="1" ht="18.75" outlineLevel="1" x14ac:dyDescent="0.25">
      <c r="B180" s="1257" t="s">
        <v>3199</v>
      </c>
      <c r="C180" s="1258" t="s">
        <v>3200</v>
      </c>
      <c r="D180" s="1258" t="s">
        <v>3201</v>
      </c>
      <c r="E180" s="1264">
        <f>K_iO2_MEOLO_AS*f_KS_biofilm</f>
        <v>2.0000000000000004E-2</v>
      </c>
      <c r="F180" s="1260" t="s">
        <v>1176</v>
      </c>
      <c r="G180" s="1261">
        <v>4</v>
      </c>
      <c r="H180" s="1262" t="s">
        <v>1172</v>
      </c>
      <c r="I180" s="1263" t="s">
        <v>3186</v>
      </c>
    </row>
    <row r="181" spans="1:9" s="890" customFormat="1" ht="18" outlineLevel="1" x14ac:dyDescent="0.25">
      <c r="B181" s="1257" t="s">
        <v>2392</v>
      </c>
      <c r="C181" s="1258" t="s">
        <v>2391</v>
      </c>
      <c r="D181" s="1258" t="s">
        <v>2225</v>
      </c>
      <c r="E181" s="1259">
        <f>K_NOx_MEOLO_AS</f>
        <v>0.03</v>
      </c>
      <c r="F181" s="1260" t="s">
        <v>885</v>
      </c>
      <c r="G181" s="1261">
        <v>3</v>
      </c>
      <c r="H181" s="1262" t="s">
        <v>1249</v>
      </c>
      <c r="I181" s="1263"/>
    </row>
    <row r="182" spans="1:9" s="890" customFormat="1" ht="18.75" outlineLevel="1" thickBot="1" x14ac:dyDescent="0.3">
      <c r="B182" s="1265" t="s">
        <v>2392</v>
      </c>
      <c r="C182" s="1266" t="s">
        <v>2391</v>
      </c>
      <c r="D182" s="1266" t="s">
        <v>3167</v>
      </c>
      <c r="E182" s="1267">
        <f>K_NOx_MEOLO_AS*f_KS_biofilm</f>
        <v>1.2E-2</v>
      </c>
      <c r="F182" s="1268" t="s">
        <v>885</v>
      </c>
      <c r="G182" s="1269">
        <v>4</v>
      </c>
      <c r="H182" s="1270" t="s">
        <v>1172</v>
      </c>
      <c r="I182" s="1271" t="s">
        <v>3186</v>
      </c>
    </row>
    <row r="183" spans="1:9" s="1168" customFormat="1" ht="18" customHeight="1" thickBot="1" x14ac:dyDescent="0.3">
      <c r="A183" s="4"/>
      <c r="B183" s="4"/>
      <c r="C183" s="4"/>
      <c r="D183" s="4"/>
      <c r="E183" s="1899"/>
      <c r="F183" s="4"/>
      <c r="G183" s="4"/>
      <c r="H183" s="4"/>
      <c r="I183" s="4"/>
    </row>
    <row r="184" spans="1:9" s="1168" customFormat="1" ht="18" customHeight="1" thickBot="1" x14ac:dyDescent="0.3">
      <c r="A184" s="4"/>
      <c r="B184" s="102"/>
      <c r="C184" s="1204" t="s">
        <v>3891</v>
      </c>
      <c r="D184" s="13" t="s">
        <v>303</v>
      </c>
      <c r="E184" s="13"/>
      <c r="F184" s="102"/>
      <c r="G184" s="102"/>
      <c r="H184" s="102"/>
      <c r="I184" s="102"/>
    </row>
    <row r="185" spans="1:9" s="1168" customFormat="1" ht="18" customHeight="1" thickBot="1" x14ac:dyDescent="0.3">
      <c r="A185" s="4"/>
      <c r="B185" s="1514" t="s">
        <v>0</v>
      </c>
      <c r="C185" s="1515" t="s">
        <v>1</v>
      </c>
      <c r="D185" s="1516" t="s">
        <v>5</v>
      </c>
      <c r="E185" s="1516" t="s">
        <v>152</v>
      </c>
      <c r="F185" s="1516" t="s">
        <v>2</v>
      </c>
      <c r="G185" s="1516" t="s">
        <v>302</v>
      </c>
      <c r="H185" s="1516" t="s">
        <v>116</v>
      </c>
      <c r="I185" s="1517" t="s">
        <v>117</v>
      </c>
    </row>
    <row r="186" spans="1:9" s="890" customFormat="1" ht="18" outlineLevel="1" x14ac:dyDescent="0.25">
      <c r="B186" s="462" t="s">
        <v>3868</v>
      </c>
      <c r="C186" s="1272" t="s">
        <v>3867</v>
      </c>
      <c r="D186" s="1272" t="s">
        <v>3864</v>
      </c>
      <c r="E186" s="1273">
        <f>K_O2_CASTO_AS</f>
        <v>0.05</v>
      </c>
      <c r="F186" s="1273" t="s">
        <v>1176</v>
      </c>
      <c r="G186" s="1274">
        <v>2</v>
      </c>
      <c r="H186" s="1273" t="s">
        <v>1249</v>
      </c>
      <c r="I186" s="892"/>
    </row>
    <row r="187" spans="1:9" s="890" customFormat="1" ht="18" outlineLevel="1" x14ac:dyDescent="0.25">
      <c r="B187" s="1275" t="s">
        <v>3868</v>
      </c>
      <c r="C187" s="1276" t="s">
        <v>3867</v>
      </c>
      <c r="D187" s="1276" t="s">
        <v>3866</v>
      </c>
      <c r="E187" s="1277">
        <f>K_O2_CASTO_AS*f_KS_biofilm</f>
        <v>2.0000000000000004E-2</v>
      </c>
      <c r="F187" s="1277" t="s">
        <v>1176</v>
      </c>
      <c r="G187" s="1278">
        <v>3</v>
      </c>
      <c r="H187" s="1277" t="s">
        <v>1172</v>
      </c>
      <c r="I187" s="1279" t="s">
        <v>3186</v>
      </c>
    </row>
    <row r="188" spans="1:9" s="890" customFormat="1" ht="18" outlineLevel="1" x14ac:dyDescent="0.25">
      <c r="B188" s="1275" t="s">
        <v>3882</v>
      </c>
      <c r="C188" s="1276" t="s">
        <v>3883</v>
      </c>
      <c r="D188" s="1276" t="s">
        <v>3884</v>
      </c>
      <c r="E188" s="1277">
        <f>K_NOx_CASTO_AS</f>
        <v>0.03</v>
      </c>
      <c r="F188" s="1277" t="s">
        <v>885</v>
      </c>
      <c r="G188" s="1278">
        <v>2</v>
      </c>
      <c r="H188" s="1277" t="s">
        <v>1249</v>
      </c>
      <c r="I188" s="1279"/>
    </row>
    <row r="189" spans="1:9" s="890" customFormat="1" ht="18" outlineLevel="1" x14ac:dyDescent="0.25">
      <c r="B189" s="1275" t="s">
        <v>3882</v>
      </c>
      <c r="C189" s="1276" t="s">
        <v>3883</v>
      </c>
      <c r="D189" s="1276" t="s">
        <v>3885</v>
      </c>
      <c r="E189" s="1277">
        <f>K_NOx_CASTO_AS*f_KS_biofilm</f>
        <v>1.2E-2</v>
      </c>
      <c r="F189" s="1277" t="s">
        <v>885</v>
      </c>
      <c r="G189" s="1278">
        <v>3</v>
      </c>
      <c r="H189" s="1277" t="s">
        <v>1172</v>
      </c>
      <c r="I189" s="1279" t="s">
        <v>3186</v>
      </c>
    </row>
    <row r="190" spans="1:9" s="890" customFormat="1" ht="18" outlineLevel="1" x14ac:dyDescent="0.25">
      <c r="B190" s="1275" t="s">
        <v>3846</v>
      </c>
      <c r="C190" s="1276" t="s">
        <v>3850</v>
      </c>
      <c r="D190" s="1276" t="s">
        <v>3848</v>
      </c>
      <c r="E190" s="1280">
        <f>K_VFA_CASTO_AS</f>
        <v>5</v>
      </c>
      <c r="F190" s="1277" t="s">
        <v>1177</v>
      </c>
      <c r="G190" s="1278">
        <v>1</v>
      </c>
      <c r="H190" s="1277" t="s">
        <v>1249</v>
      </c>
      <c r="I190" s="1279"/>
    </row>
    <row r="191" spans="1:9" s="890" customFormat="1" ht="18" outlineLevel="1" x14ac:dyDescent="0.25">
      <c r="B191" s="1275" t="s">
        <v>3846</v>
      </c>
      <c r="C191" s="1276" t="s">
        <v>3850</v>
      </c>
      <c r="D191" s="1276" t="s">
        <v>3847</v>
      </c>
      <c r="E191" s="1281">
        <f>K_VFA_CASTO_AS*f_KS_biofilm</f>
        <v>2</v>
      </c>
      <c r="F191" s="1277" t="s">
        <v>1177</v>
      </c>
      <c r="G191" s="1278">
        <v>2</v>
      </c>
      <c r="H191" s="1277" t="s">
        <v>1172</v>
      </c>
      <c r="I191" s="1279" t="s">
        <v>3186</v>
      </c>
    </row>
    <row r="192" spans="1:9" s="890" customFormat="1" ht="18" outlineLevel="1" x14ac:dyDescent="0.25">
      <c r="B192" s="1282" t="s">
        <v>1178</v>
      </c>
      <c r="C192" s="1276" t="s">
        <v>2393</v>
      </c>
      <c r="D192" s="1276" t="s">
        <v>1926</v>
      </c>
      <c r="E192" s="1281">
        <f>K_PO4_PAO_AS</f>
        <v>0.15</v>
      </c>
      <c r="F192" s="1277" t="s">
        <v>887</v>
      </c>
      <c r="G192" s="1278">
        <v>2</v>
      </c>
      <c r="H192" s="1277" t="s">
        <v>1249</v>
      </c>
      <c r="I192" s="1279"/>
    </row>
    <row r="193" spans="1:9" s="890" customFormat="1" ht="18" outlineLevel="1" x14ac:dyDescent="0.25">
      <c r="B193" s="1282" t="s">
        <v>1178</v>
      </c>
      <c r="C193" s="1276" t="s">
        <v>2393</v>
      </c>
      <c r="D193" s="1276" t="s">
        <v>3168</v>
      </c>
      <c r="E193" s="1283">
        <f>K_PO4_PAO_AS*f_KS_biofilm</f>
        <v>0.06</v>
      </c>
      <c r="F193" s="1277" t="s">
        <v>887</v>
      </c>
      <c r="G193" s="1278">
        <v>3</v>
      </c>
      <c r="H193" s="1277" t="s">
        <v>1172</v>
      </c>
      <c r="I193" s="1279" t="s">
        <v>3186</v>
      </c>
    </row>
    <row r="194" spans="1:9" s="890" customFormat="1" ht="18" outlineLevel="1" x14ac:dyDescent="0.25">
      <c r="B194" s="1282" t="s">
        <v>1603</v>
      </c>
      <c r="C194" s="1284" t="s">
        <v>2394</v>
      </c>
      <c r="D194" s="1284" t="s">
        <v>1927</v>
      </c>
      <c r="E194" s="1277">
        <f>K_Mg_PAO_AS</f>
        <v>1E-3</v>
      </c>
      <c r="F194" s="1277" t="s">
        <v>1600</v>
      </c>
      <c r="G194" s="1278">
        <v>4</v>
      </c>
      <c r="H194" s="1277" t="s">
        <v>1249</v>
      </c>
      <c r="I194" s="1279"/>
    </row>
    <row r="195" spans="1:9" s="890" customFormat="1" ht="18" outlineLevel="1" x14ac:dyDescent="0.25">
      <c r="B195" s="1282" t="s">
        <v>1603</v>
      </c>
      <c r="C195" s="1284" t="s">
        <v>2394</v>
      </c>
      <c r="D195" s="1284" t="s">
        <v>3169</v>
      </c>
      <c r="E195" s="1277">
        <f>K_Mg_PAO_AS*f_KS_biofilm</f>
        <v>4.0000000000000002E-4</v>
      </c>
      <c r="F195" s="1277" t="s">
        <v>1600</v>
      </c>
      <c r="G195" s="1278">
        <v>5</v>
      </c>
      <c r="H195" s="1277" t="s">
        <v>1172</v>
      </c>
      <c r="I195" s="1279" t="s">
        <v>3186</v>
      </c>
    </row>
    <row r="196" spans="1:9" s="890" customFormat="1" ht="18" outlineLevel="1" x14ac:dyDescent="0.25">
      <c r="B196" s="1282" t="s">
        <v>1604</v>
      </c>
      <c r="C196" s="1284" t="s">
        <v>2395</v>
      </c>
      <c r="D196" s="1284" t="s">
        <v>1928</v>
      </c>
      <c r="E196" s="1277">
        <f>K_K_PAO_AS</f>
        <v>1E-3</v>
      </c>
      <c r="F196" s="1277" t="s">
        <v>1601</v>
      </c>
      <c r="G196" s="1278">
        <v>4</v>
      </c>
      <c r="H196" s="1277" t="s">
        <v>1249</v>
      </c>
      <c r="I196" s="1279"/>
    </row>
    <row r="197" spans="1:9" s="890" customFormat="1" ht="18" outlineLevel="1" x14ac:dyDescent="0.25">
      <c r="B197" s="1282" t="s">
        <v>1604</v>
      </c>
      <c r="C197" s="1284" t="s">
        <v>2395</v>
      </c>
      <c r="D197" s="1284" t="s">
        <v>3170</v>
      </c>
      <c r="E197" s="1277">
        <f>K_K_PAO_AS*f_KS_biofilm</f>
        <v>4.0000000000000002E-4</v>
      </c>
      <c r="F197" s="1277" t="s">
        <v>1601</v>
      </c>
      <c r="G197" s="1278">
        <v>5</v>
      </c>
      <c r="H197" s="1277" t="s">
        <v>1172</v>
      </c>
      <c r="I197" s="1279" t="s">
        <v>3186</v>
      </c>
    </row>
    <row r="198" spans="1:9" s="890" customFormat="1" ht="18" outlineLevel="1" x14ac:dyDescent="0.25">
      <c r="B198" s="1282" t="s">
        <v>1605</v>
      </c>
      <c r="C198" s="1284" t="s">
        <v>2396</v>
      </c>
      <c r="D198" s="1284" t="s">
        <v>1929</v>
      </c>
      <c r="E198" s="1277">
        <f>K_Ca_PAO_AS</f>
        <v>1E-3</v>
      </c>
      <c r="F198" s="1277" t="s">
        <v>1602</v>
      </c>
      <c r="G198" s="1278">
        <v>4</v>
      </c>
      <c r="H198" s="1277" t="s">
        <v>1249</v>
      </c>
      <c r="I198" s="1279"/>
    </row>
    <row r="199" spans="1:9" s="890" customFormat="1" ht="18" outlineLevel="1" x14ac:dyDescent="0.25">
      <c r="B199" s="1282" t="s">
        <v>1605</v>
      </c>
      <c r="C199" s="1284" t="s">
        <v>2396</v>
      </c>
      <c r="D199" s="1284" t="s">
        <v>3171</v>
      </c>
      <c r="E199" s="1277">
        <f>K_Ca_PAO_AS*f_KS_biofilm</f>
        <v>4.0000000000000002E-4</v>
      </c>
      <c r="F199" s="1277" t="s">
        <v>1602</v>
      </c>
      <c r="G199" s="1278">
        <v>5</v>
      </c>
      <c r="H199" s="1277" t="s">
        <v>1172</v>
      </c>
      <c r="I199" s="1279" t="s">
        <v>3186</v>
      </c>
    </row>
    <row r="200" spans="1:9" s="890" customFormat="1" ht="18" outlineLevel="1" x14ac:dyDescent="0.25">
      <c r="B200" s="1282" t="s">
        <v>2397</v>
      </c>
      <c r="C200" s="1276" t="s">
        <v>2398</v>
      </c>
      <c r="D200" s="1276" t="s">
        <v>2235</v>
      </c>
      <c r="E200" s="1277">
        <f>K_iPO4_lim_AS</f>
        <v>5.0000000000000001E-3</v>
      </c>
      <c r="F200" s="1277" t="s">
        <v>887</v>
      </c>
      <c r="G200" s="1278">
        <v>3</v>
      </c>
      <c r="H200" s="1277" t="s">
        <v>1249</v>
      </c>
      <c r="I200" s="1279"/>
    </row>
    <row r="201" spans="1:9" s="890" customFormat="1" ht="18.75" outlineLevel="1" thickBot="1" x14ac:dyDescent="0.3">
      <c r="B201" s="1285" t="s">
        <v>2397</v>
      </c>
      <c r="C201" s="1286" t="s">
        <v>2398</v>
      </c>
      <c r="D201" s="1286" t="s">
        <v>3172</v>
      </c>
      <c r="E201" s="1287">
        <f>K_iPO4_lim_AS*f_KS_biofilm</f>
        <v>2E-3</v>
      </c>
      <c r="F201" s="1287" t="s">
        <v>887</v>
      </c>
      <c r="G201" s="1288">
        <v>4</v>
      </c>
      <c r="H201" s="1287" t="s">
        <v>1172</v>
      </c>
      <c r="I201" s="1289" t="s">
        <v>3186</v>
      </c>
    </row>
    <row r="202" spans="1:9" s="1168" customFormat="1" ht="18" customHeight="1" thickBot="1" x14ac:dyDescent="0.3">
      <c r="A202" s="4"/>
      <c r="B202" s="4"/>
      <c r="C202" s="4"/>
      <c r="D202" s="4"/>
      <c r="E202" s="1899"/>
      <c r="F202" s="4"/>
      <c r="G202" s="4"/>
      <c r="H202" s="4"/>
      <c r="I202" s="4"/>
    </row>
    <row r="203" spans="1:9" s="1168" customFormat="1" ht="18" customHeight="1" thickBot="1" x14ac:dyDescent="0.3">
      <c r="A203" s="4"/>
      <c r="B203" s="102"/>
      <c r="C203" s="1204" t="s">
        <v>2399</v>
      </c>
      <c r="D203" s="13" t="s">
        <v>303</v>
      </c>
      <c r="E203" s="13"/>
      <c r="F203" s="102"/>
      <c r="G203" s="102"/>
      <c r="H203" s="102"/>
      <c r="I203" s="102"/>
    </row>
    <row r="204" spans="1:9" s="1168" customFormat="1" ht="18" customHeight="1" thickBot="1" x14ac:dyDescent="0.3">
      <c r="A204" s="4"/>
      <c r="B204" s="1514" t="s">
        <v>0</v>
      </c>
      <c r="C204" s="1515" t="s">
        <v>1</v>
      </c>
      <c r="D204" s="1516" t="s">
        <v>5</v>
      </c>
      <c r="E204" s="1516" t="s">
        <v>152</v>
      </c>
      <c r="F204" s="1516" t="s">
        <v>2</v>
      </c>
      <c r="G204" s="1516" t="s">
        <v>302</v>
      </c>
      <c r="H204" s="1516" t="s">
        <v>116</v>
      </c>
      <c r="I204" s="1517" t="s">
        <v>117</v>
      </c>
    </row>
    <row r="205" spans="1:9" s="890" customFormat="1" ht="18" outlineLevel="1" x14ac:dyDescent="0.25">
      <c r="B205" s="1290" t="s">
        <v>1772</v>
      </c>
      <c r="C205" s="1291" t="s">
        <v>2401</v>
      </c>
      <c r="D205" s="1291" t="s">
        <v>1930</v>
      </c>
      <c r="E205" s="1292">
        <f>K_VFA_AMETO_AS</f>
        <v>400</v>
      </c>
      <c r="F205" s="1293" t="s">
        <v>1177</v>
      </c>
      <c r="G205" s="1294">
        <v>1</v>
      </c>
      <c r="H205" s="1295" t="s">
        <v>1249</v>
      </c>
      <c r="I205" s="1296"/>
    </row>
    <row r="206" spans="1:9" s="890" customFormat="1" ht="18" outlineLevel="1" x14ac:dyDescent="0.25">
      <c r="B206" s="1297" t="s">
        <v>1772</v>
      </c>
      <c r="C206" s="1298" t="s">
        <v>2401</v>
      </c>
      <c r="D206" s="1298" t="s">
        <v>3173</v>
      </c>
      <c r="E206" s="1299">
        <f>K_VFA_AMETO_AS*f_KS_biofilm</f>
        <v>160</v>
      </c>
      <c r="F206" s="1300" t="s">
        <v>1177</v>
      </c>
      <c r="G206" s="1301">
        <v>1</v>
      </c>
      <c r="H206" s="1302" t="s">
        <v>1172</v>
      </c>
      <c r="I206" s="1303" t="s">
        <v>3186</v>
      </c>
    </row>
    <row r="207" spans="1:9" s="890" customFormat="1" ht="18" outlineLevel="1" x14ac:dyDescent="0.25">
      <c r="B207" s="1297" t="s">
        <v>2404</v>
      </c>
      <c r="C207" s="1298" t="s">
        <v>2402</v>
      </c>
      <c r="D207" s="1298" t="s">
        <v>2254</v>
      </c>
      <c r="E207" s="1299">
        <f>K_iVFA_AMETO_AS</f>
        <v>99999</v>
      </c>
      <c r="F207" s="1300" t="s">
        <v>1177</v>
      </c>
      <c r="G207" s="1301">
        <v>1</v>
      </c>
      <c r="H207" s="1302" t="s">
        <v>1249</v>
      </c>
      <c r="I207" s="1303"/>
    </row>
    <row r="208" spans="1:9" s="890" customFormat="1" ht="18" outlineLevel="1" x14ac:dyDescent="0.25">
      <c r="B208" s="1297" t="s">
        <v>2404</v>
      </c>
      <c r="C208" s="1298" t="s">
        <v>2402</v>
      </c>
      <c r="D208" s="1298" t="s">
        <v>3174</v>
      </c>
      <c r="E208" s="1299">
        <f>K_iVFA_AMETO_AS*f_KS_biofilm</f>
        <v>39999.600000000006</v>
      </c>
      <c r="F208" s="1300" t="s">
        <v>1177</v>
      </c>
      <c r="G208" s="1301">
        <v>1</v>
      </c>
      <c r="H208" s="1302" t="s">
        <v>1172</v>
      </c>
      <c r="I208" s="1303" t="s">
        <v>3186</v>
      </c>
    </row>
    <row r="209" spans="1:9" s="890" customFormat="1" ht="18" outlineLevel="1" x14ac:dyDescent="0.25">
      <c r="B209" s="1297" t="s">
        <v>4606</v>
      </c>
      <c r="C209" s="1298" t="s">
        <v>4178</v>
      </c>
      <c r="D209" s="1298" t="s">
        <v>4602</v>
      </c>
      <c r="E209" s="1299">
        <f>K_iNH3_AMETO_pH_AS</f>
        <v>0.999</v>
      </c>
      <c r="F209" s="1302" t="s">
        <v>389</v>
      </c>
      <c r="G209" s="1301">
        <v>3</v>
      </c>
      <c r="H209" s="1302" t="s">
        <v>1249</v>
      </c>
      <c r="I209" s="1303"/>
    </row>
    <row r="210" spans="1:9" s="890" customFormat="1" ht="18" outlineLevel="1" x14ac:dyDescent="0.25">
      <c r="B210" s="1297" t="s">
        <v>4606</v>
      </c>
      <c r="C210" s="1298" t="s">
        <v>4178</v>
      </c>
      <c r="D210" s="1298" t="s">
        <v>4607</v>
      </c>
      <c r="E210" s="1299">
        <f>K_iNH3_AMETO_pH_AS*f_KS_biofilm</f>
        <v>0.39960000000000001</v>
      </c>
      <c r="F210" s="1302" t="s">
        <v>389</v>
      </c>
      <c r="G210" s="1301">
        <v>3</v>
      </c>
      <c r="H210" s="1302" t="s">
        <v>1172</v>
      </c>
      <c r="I210" s="1303" t="s">
        <v>3186</v>
      </c>
    </row>
    <row r="211" spans="1:9" s="890" customFormat="1" ht="18.75" outlineLevel="1" x14ac:dyDescent="0.25">
      <c r="B211" s="1297" t="s">
        <v>3202</v>
      </c>
      <c r="C211" s="1298" t="s">
        <v>3203</v>
      </c>
      <c r="D211" s="1298" t="s">
        <v>3194</v>
      </c>
      <c r="E211" s="1302">
        <f>K_iO2_AMETO_AS</f>
        <v>0.05</v>
      </c>
      <c r="F211" s="1300" t="s">
        <v>1176</v>
      </c>
      <c r="G211" s="1301">
        <v>2</v>
      </c>
      <c r="H211" s="1302" t="s">
        <v>1249</v>
      </c>
      <c r="I211" s="1303"/>
    </row>
    <row r="212" spans="1:9" s="890" customFormat="1" ht="18.75" outlineLevel="1" x14ac:dyDescent="0.25">
      <c r="B212" s="1297" t="s">
        <v>3202</v>
      </c>
      <c r="C212" s="1298" t="s">
        <v>3203</v>
      </c>
      <c r="D212" s="1298" t="s">
        <v>3204</v>
      </c>
      <c r="E212" s="1302">
        <f>K_iO2_AMETO_AS*f_KS_biofilm</f>
        <v>2.0000000000000004E-2</v>
      </c>
      <c r="F212" s="1300" t="s">
        <v>1176</v>
      </c>
      <c r="G212" s="1301">
        <v>3</v>
      </c>
      <c r="H212" s="1302" t="s">
        <v>1172</v>
      </c>
      <c r="I212" s="1303" t="s">
        <v>3186</v>
      </c>
    </row>
    <row r="213" spans="1:9" s="890" customFormat="1" ht="18" outlineLevel="1" x14ac:dyDescent="0.25">
      <c r="B213" s="1297" t="s">
        <v>2405</v>
      </c>
      <c r="C213" s="1298" t="s">
        <v>2403</v>
      </c>
      <c r="D213" s="1298" t="s">
        <v>2255</v>
      </c>
      <c r="E213" s="1302">
        <f>K_NOx_AMETO_AS</f>
        <v>0.05</v>
      </c>
      <c r="F213" s="1300" t="s">
        <v>885</v>
      </c>
      <c r="G213" s="1301">
        <v>2</v>
      </c>
      <c r="H213" s="1302" t="s">
        <v>1249</v>
      </c>
      <c r="I213" s="1303"/>
    </row>
    <row r="214" spans="1:9" s="890" customFormat="1" ht="18.75" outlineLevel="1" thickBot="1" x14ac:dyDescent="0.3">
      <c r="B214" s="569" t="s">
        <v>2405</v>
      </c>
      <c r="C214" s="1304" t="s">
        <v>2403</v>
      </c>
      <c r="D214" s="1304" t="s">
        <v>3175</v>
      </c>
      <c r="E214" s="1305">
        <f>K_NOx_AMETO_AS*f_KS_biofilm</f>
        <v>2.0000000000000004E-2</v>
      </c>
      <c r="F214" s="1306" t="s">
        <v>885</v>
      </c>
      <c r="G214" s="1307">
        <v>3</v>
      </c>
      <c r="H214" s="1305" t="s">
        <v>1172</v>
      </c>
      <c r="I214" s="893" t="s">
        <v>3186</v>
      </c>
    </row>
    <row r="215" spans="1:9" s="1168" customFormat="1" ht="18" customHeight="1" thickBot="1" x14ac:dyDescent="0.3">
      <c r="A215" s="4"/>
      <c r="B215" s="4"/>
      <c r="C215" s="4"/>
      <c r="D215" s="4"/>
      <c r="E215" s="1899"/>
      <c r="F215" s="4"/>
      <c r="G215" s="4"/>
      <c r="H215" s="4"/>
      <c r="I215" s="4"/>
    </row>
    <row r="216" spans="1:9" s="1168" customFormat="1" ht="18" customHeight="1" thickBot="1" x14ac:dyDescent="0.3">
      <c r="A216" s="4"/>
      <c r="B216" s="102"/>
      <c r="C216" s="1204" t="s">
        <v>2400</v>
      </c>
      <c r="D216" s="13" t="s">
        <v>303</v>
      </c>
      <c r="E216" s="13"/>
      <c r="F216" s="102"/>
      <c r="G216" s="102"/>
      <c r="H216" s="102"/>
      <c r="I216" s="102"/>
    </row>
    <row r="217" spans="1:9" s="1168" customFormat="1" ht="18" customHeight="1" thickBot="1" x14ac:dyDescent="0.3">
      <c r="A217" s="4"/>
      <c r="B217" s="1514" t="s">
        <v>0</v>
      </c>
      <c r="C217" s="1515" t="s">
        <v>1</v>
      </c>
      <c r="D217" s="1516" t="s">
        <v>5</v>
      </c>
      <c r="E217" s="1516" t="s">
        <v>152</v>
      </c>
      <c r="F217" s="1516" t="s">
        <v>2</v>
      </c>
      <c r="G217" s="1516" t="s">
        <v>302</v>
      </c>
      <c r="H217" s="1516" t="s">
        <v>116</v>
      </c>
      <c r="I217" s="1517" t="s">
        <v>117</v>
      </c>
    </row>
    <row r="218" spans="1:9" s="890" customFormat="1" ht="18" outlineLevel="1" x14ac:dyDescent="0.25">
      <c r="B218" s="1308" t="s">
        <v>1773</v>
      </c>
      <c r="C218" s="1309" t="s">
        <v>2406</v>
      </c>
      <c r="D218" s="1309" t="s">
        <v>1939</v>
      </c>
      <c r="E218" s="1310">
        <f>K_H2_HMETO_AS</f>
        <v>0.1</v>
      </c>
      <c r="F218" s="1311" t="s">
        <v>1177</v>
      </c>
      <c r="G218" s="1312">
        <v>2</v>
      </c>
      <c r="H218" s="1313" t="s">
        <v>1249</v>
      </c>
      <c r="I218" s="1314"/>
    </row>
    <row r="219" spans="1:9" s="890" customFormat="1" ht="18" outlineLevel="1" x14ac:dyDescent="0.25">
      <c r="B219" s="1308" t="s">
        <v>1773</v>
      </c>
      <c r="C219" s="1309" t="s">
        <v>2406</v>
      </c>
      <c r="D219" s="1309" t="s">
        <v>3176</v>
      </c>
      <c r="E219" s="1315">
        <f>K_H2_HMETO_AS*f_KS_biofilm</f>
        <v>4.0000000000000008E-2</v>
      </c>
      <c r="F219" s="1300" t="s">
        <v>1177</v>
      </c>
      <c r="G219" s="1301">
        <v>3</v>
      </c>
      <c r="H219" s="1302" t="s">
        <v>1172</v>
      </c>
      <c r="I219" s="1303" t="s">
        <v>3186</v>
      </c>
    </row>
    <row r="220" spans="1:9" s="890" customFormat="1" ht="18.75" outlineLevel="1" x14ac:dyDescent="0.25">
      <c r="B220" s="1297" t="s">
        <v>3205</v>
      </c>
      <c r="C220" s="1298" t="s">
        <v>3206</v>
      </c>
      <c r="D220" s="1298" t="s">
        <v>3207</v>
      </c>
      <c r="E220" s="1315">
        <f>K_iO2_HMETO_AS</f>
        <v>0.05</v>
      </c>
      <c r="F220" s="1300" t="s">
        <v>1176</v>
      </c>
      <c r="G220" s="1301">
        <v>3</v>
      </c>
      <c r="H220" s="1302" t="s">
        <v>1249</v>
      </c>
      <c r="I220" s="1303"/>
    </row>
    <row r="221" spans="1:9" s="890" customFormat="1" ht="18.75" outlineLevel="1" x14ac:dyDescent="0.25">
      <c r="B221" s="1297" t="s">
        <v>3205</v>
      </c>
      <c r="C221" s="1298" t="s">
        <v>3206</v>
      </c>
      <c r="D221" s="1298" t="s">
        <v>3208</v>
      </c>
      <c r="E221" s="1316">
        <f>K_iO2_HMETO_AS*f_KS_biofilm</f>
        <v>2.0000000000000004E-2</v>
      </c>
      <c r="F221" s="1300" t="s">
        <v>1176</v>
      </c>
      <c r="G221" s="1301">
        <v>4</v>
      </c>
      <c r="H221" s="1302" t="s">
        <v>1172</v>
      </c>
      <c r="I221" s="1303" t="s">
        <v>3186</v>
      </c>
    </row>
    <row r="222" spans="1:9" s="890" customFormat="1" ht="18" outlineLevel="1" x14ac:dyDescent="0.25">
      <c r="B222" s="1297" t="s">
        <v>2408</v>
      </c>
      <c r="C222" s="1298" t="s">
        <v>2407</v>
      </c>
      <c r="D222" s="1298" t="s">
        <v>2409</v>
      </c>
      <c r="E222" s="1315">
        <f>K_NOx_HMETO_AS</f>
        <v>0.05</v>
      </c>
      <c r="F222" s="1300" t="s">
        <v>885</v>
      </c>
      <c r="G222" s="1301">
        <v>3</v>
      </c>
      <c r="H222" s="1302" t="s">
        <v>1249</v>
      </c>
      <c r="I222" s="1303"/>
    </row>
    <row r="223" spans="1:9" s="890" customFormat="1" ht="18.75" outlineLevel="1" thickBot="1" x14ac:dyDescent="0.3">
      <c r="B223" s="569" t="s">
        <v>2408</v>
      </c>
      <c r="C223" s="1304" t="s">
        <v>2407</v>
      </c>
      <c r="D223" s="1304" t="s">
        <v>3177</v>
      </c>
      <c r="E223" s="1317">
        <f>K_NOx_HMETO_AS*f_KS_biofilm</f>
        <v>2.0000000000000004E-2</v>
      </c>
      <c r="F223" s="1306" t="s">
        <v>885</v>
      </c>
      <c r="G223" s="1307">
        <v>4</v>
      </c>
      <c r="H223" s="1305" t="s">
        <v>1172</v>
      </c>
      <c r="I223" s="893" t="s">
        <v>3186</v>
      </c>
    </row>
    <row r="224" spans="1:9" s="1168" customFormat="1" ht="18" customHeight="1" thickBot="1" x14ac:dyDescent="0.3">
      <c r="A224" s="4"/>
      <c r="B224" s="4"/>
      <c r="C224" s="4"/>
      <c r="D224" s="4"/>
      <c r="E224" s="1899"/>
      <c r="F224" s="4"/>
      <c r="G224" s="4"/>
      <c r="H224" s="4"/>
      <c r="I224" s="4"/>
    </row>
    <row r="225" spans="1:9" s="1168" customFormat="1" ht="18" customHeight="1" thickBot="1" x14ac:dyDescent="0.3">
      <c r="A225" s="4"/>
      <c r="B225" s="102"/>
      <c r="C225" s="1204" t="s">
        <v>2410</v>
      </c>
      <c r="D225" s="13" t="s">
        <v>303</v>
      </c>
      <c r="E225" s="13"/>
      <c r="F225" s="102"/>
      <c r="G225" s="102"/>
      <c r="H225" s="102"/>
      <c r="I225" s="102"/>
    </row>
    <row r="226" spans="1:9" s="1168" customFormat="1" ht="18" customHeight="1" thickBot="1" x14ac:dyDescent="0.3">
      <c r="A226" s="4"/>
      <c r="B226" s="1514" t="s">
        <v>0</v>
      </c>
      <c r="C226" s="1515" t="s">
        <v>1</v>
      </c>
      <c r="D226" s="1516" t="s">
        <v>5</v>
      </c>
      <c r="E226" s="1516" t="s">
        <v>152</v>
      </c>
      <c r="F226" s="1516" t="s">
        <v>2</v>
      </c>
      <c r="G226" s="1516" t="s">
        <v>302</v>
      </c>
      <c r="H226" s="1516" t="s">
        <v>116</v>
      </c>
      <c r="I226" s="1517" t="s">
        <v>117</v>
      </c>
    </row>
    <row r="227" spans="1:9" s="890" customFormat="1" ht="18" outlineLevel="1" x14ac:dyDescent="0.25">
      <c r="B227" s="448" t="s">
        <v>884</v>
      </c>
      <c r="C227" s="1715" t="s">
        <v>2413</v>
      </c>
      <c r="D227" s="1715" t="s">
        <v>1932</v>
      </c>
      <c r="E227" s="1912">
        <f>K_NHx_BIO_AS</f>
        <v>5.0000000000000001E-3</v>
      </c>
      <c r="F227" s="1715" t="s">
        <v>885</v>
      </c>
      <c r="G227" s="1915">
        <v>3</v>
      </c>
      <c r="H227" s="1912" t="s">
        <v>1249</v>
      </c>
      <c r="I227" s="1731"/>
    </row>
    <row r="228" spans="1:9" s="890" customFormat="1" ht="18" outlineLevel="1" x14ac:dyDescent="0.25">
      <c r="B228" s="1850" t="s">
        <v>884</v>
      </c>
      <c r="C228" s="1867" t="s">
        <v>2413</v>
      </c>
      <c r="D228" s="1867" t="s">
        <v>3178</v>
      </c>
      <c r="E228" s="1869">
        <f>K_NHx_BIO_AS*f_KS_biofilm</f>
        <v>2E-3</v>
      </c>
      <c r="F228" s="1867" t="s">
        <v>885</v>
      </c>
      <c r="G228" s="1916">
        <v>4</v>
      </c>
      <c r="H228" s="1869" t="s">
        <v>1172</v>
      </c>
      <c r="I228" s="1933" t="s">
        <v>3186</v>
      </c>
    </row>
    <row r="229" spans="1:9" s="890" customFormat="1" ht="18" outlineLevel="1" x14ac:dyDescent="0.25">
      <c r="B229" s="1850" t="s">
        <v>886</v>
      </c>
      <c r="C229" s="1867" t="s">
        <v>2414</v>
      </c>
      <c r="D229" s="1867" t="s">
        <v>1933</v>
      </c>
      <c r="E229" s="1869">
        <f>K_PO4_BIO_AS</f>
        <v>2E-3</v>
      </c>
      <c r="F229" s="1867" t="s">
        <v>887</v>
      </c>
      <c r="G229" s="1916">
        <v>3</v>
      </c>
      <c r="H229" s="1869" t="s">
        <v>1249</v>
      </c>
      <c r="I229" s="1933"/>
    </row>
    <row r="230" spans="1:9" s="890" customFormat="1" ht="18" outlineLevel="1" x14ac:dyDescent="0.25">
      <c r="B230" s="1850" t="s">
        <v>886</v>
      </c>
      <c r="C230" s="1867" t="s">
        <v>2414</v>
      </c>
      <c r="D230" s="1867" t="s">
        <v>3179</v>
      </c>
      <c r="E230" s="1869">
        <f>K_PO4_BIO_AS*f_KS_biofilm</f>
        <v>8.0000000000000004E-4</v>
      </c>
      <c r="F230" s="1867" t="s">
        <v>1947</v>
      </c>
      <c r="G230" s="1916">
        <v>4</v>
      </c>
      <c r="H230" s="1869" t="s">
        <v>1172</v>
      </c>
      <c r="I230" s="1933" t="s">
        <v>3186</v>
      </c>
    </row>
    <row r="231" spans="1:9" s="890" customFormat="1" ht="18" outlineLevel="1" x14ac:dyDescent="0.25">
      <c r="B231" s="1864" t="s">
        <v>1774</v>
      </c>
      <c r="C231" s="1881" t="s">
        <v>2285</v>
      </c>
      <c r="D231" s="1881" t="s">
        <v>1940</v>
      </c>
      <c r="E231" s="1869">
        <f>K_CO2_BIO_AS</f>
        <v>1.2</v>
      </c>
      <c r="F231" s="1867" t="s">
        <v>1210</v>
      </c>
      <c r="G231" s="1916">
        <v>1</v>
      </c>
      <c r="H231" s="1869" t="s">
        <v>1249</v>
      </c>
      <c r="I231" s="1933"/>
    </row>
    <row r="232" spans="1:9" s="890" customFormat="1" ht="18" outlineLevel="1" x14ac:dyDescent="0.25">
      <c r="B232" s="1864" t="s">
        <v>1774</v>
      </c>
      <c r="C232" s="1881" t="s">
        <v>2285</v>
      </c>
      <c r="D232" s="1881" t="s">
        <v>3180</v>
      </c>
      <c r="E232" s="1869">
        <f>K_CO2_BIO_AS*f_KS_biofilm</f>
        <v>0.48</v>
      </c>
      <c r="F232" s="1867" t="s">
        <v>1210</v>
      </c>
      <c r="G232" s="1916">
        <v>2</v>
      </c>
      <c r="H232" s="1869" t="s">
        <v>1172</v>
      </c>
      <c r="I232" s="1933" t="s">
        <v>3186</v>
      </c>
    </row>
    <row r="233" spans="1:9" s="890" customFormat="1" ht="18" outlineLevel="1" x14ac:dyDescent="0.25">
      <c r="B233" s="1850" t="s">
        <v>888</v>
      </c>
      <c r="C233" s="1867" t="s">
        <v>2286</v>
      </c>
      <c r="D233" s="1867" t="s">
        <v>1935</v>
      </c>
      <c r="E233" s="1869">
        <f>K_CAT_AS</f>
        <v>0.1</v>
      </c>
      <c r="F233" s="1867" t="s">
        <v>1948</v>
      </c>
      <c r="G233" s="1916">
        <v>1</v>
      </c>
      <c r="H233" s="1869" t="s">
        <v>1249</v>
      </c>
      <c r="I233" s="1933"/>
    </row>
    <row r="234" spans="1:9" s="890" customFormat="1" ht="18" outlineLevel="1" x14ac:dyDescent="0.25">
      <c r="B234" s="1850" t="s">
        <v>888</v>
      </c>
      <c r="C234" s="1867" t="s">
        <v>2286</v>
      </c>
      <c r="D234" s="1867" t="s">
        <v>3181</v>
      </c>
      <c r="E234" s="1869">
        <f>K_CAT_AS*f_KS_biofilm</f>
        <v>4.0000000000000008E-2</v>
      </c>
      <c r="F234" s="1867" t="s">
        <v>1948</v>
      </c>
      <c r="G234" s="1916">
        <v>2</v>
      </c>
      <c r="H234" s="1869" t="s">
        <v>1172</v>
      </c>
      <c r="I234" s="1933" t="s">
        <v>3186</v>
      </c>
    </row>
    <row r="235" spans="1:9" s="890" customFormat="1" ht="18" outlineLevel="1" x14ac:dyDescent="0.25">
      <c r="B235" s="1850" t="s">
        <v>889</v>
      </c>
      <c r="C235" s="1867" t="s">
        <v>2287</v>
      </c>
      <c r="D235" s="1867" t="s">
        <v>1936</v>
      </c>
      <c r="E235" s="1869">
        <f>K_AN_AS</f>
        <v>0.1</v>
      </c>
      <c r="F235" s="1867" t="s">
        <v>1949</v>
      </c>
      <c r="G235" s="1916">
        <v>1</v>
      </c>
      <c r="H235" s="1869" t="s">
        <v>1249</v>
      </c>
      <c r="I235" s="1933"/>
    </row>
    <row r="236" spans="1:9" s="890" customFormat="1" ht="18" outlineLevel="1" x14ac:dyDescent="0.25">
      <c r="B236" s="1850" t="s">
        <v>889</v>
      </c>
      <c r="C236" s="1867" t="s">
        <v>2287</v>
      </c>
      <c r="D236" s="1867" t="s">
        <v>3182</v>
      </c>
      <c r="E236" s="1869">
        <f>K_AN_AS*f_KS_biofilm</f>
        <v>4.0000000000000008E-2</v>
      </c>
      <c r="F236" s="1867" t="s">
        <v>1949</v>
      </c>
      <c r="G236" s="1916">
        <v>2</v>
      </c>
      <c r="H236" s="1869" t="s">
        <v>1172</v>
      </c>
      <c r="I236" s="1933" t="s">
        <v>3186</v>
      </c>
    </row>
    <row r="237" spans="1:9" s="890" customFormat="1" ht="18" outlineLevel="1" x14ac:dyDescent="0.25">
      <c r="B237" s="1850" t="s">
        <v>3296</v>
      </c>
      <c r="C237" s="1867" t="s">
        <v>3298</v>
      </c>
      <c r="D237" s="1867" t="s">
        <v>3294</v>
      </c>
      <c r="E237" s="1869">
        <f>K_Mg_BIO_AS</f>
        <v>1E-4</v>
      </c>
      <c r="F237" s="1869" t="s">
        <v>1600</v>
      </c>
      <c r="G237" s="1916">
        <v>4</v>
      </c>
      <c r="H237" s="1869" t="s">
        <v>1249</v>
      </c>
      <c r="I237" s="1933"/>
    </row>
    <row r="238" spans="1:9" s="890" customFormat="1" ht="18" outlineLevel="1" x14ac:dyDescent="0.25">
      <c r="B238" s="1850" t="s">
        <v>3296</v>
      </c>
      <c r="C238" s="1867" t="s">
        <v>3298</v>
      </c>
      <c r="D238" s="1867" t="s">
        <v>3300</v>
      </c>
      <c r="E238" s="1869">
        <v>1E-4</v>
      </c>
      <c r="F238" s="1869" t="s">
        <v>1600</v>
      </c>
      <c r="G238" s="1916">
        <v>5</v>
      </c>
      <c r="H238" s="1869" t="s">
        <v>1172</v>
      </c>
      <c r="I238" s="1933" t="s">
        <v>3186</v>
      </c>
    </row>
    <row r="239" spans="1:9" s="890" customFormat="1" ht="18" outlineLevel="1" x14ac:dyDescent="0.25">
      <c r="B239" s="1850" t="s">
        <v>3297</v>
      </c>
      <c r="C239" s="1867" t="s">
        <v>3299</v>
      </c>
      <c r="D239" s="1867" t="s">
        <v>3295</v>
      </c>
      <c r="E239" s="1869">
        <f>K_Ca_BIO_AS</f>
        <v>1E-4</v>
      </c>
      <c r="F239" s="1869" t="s">
        <v>1602</v>
      </c>
      <c r="G239" s="1916">
        <v>4</v>
      </c>
      <c r="H239" s="1869" t="s">
        <v>1249</v>
      </c>
      <c r="I239" s="1933"/>
    </row>
    <row r="240" spans="1:9" s="890" customFormat="1" ht="18" outlineLevel="1" x14ac:dyDescent="0.25">
      <c r="B240" s="1850" t="s">
        <v>3297</v>
      </c>
      <c r="C240" s="1867" t="s">
        <v>3299</v>
      </c>
      <c r="D240" s="1867" t="s">
        <v>3301</v>
      </c>
      <c r="E240" s="1869">
        <v>1E-4</v>
      </c>
      <c r="F240" s="1869" t="s">
        <v>1602</v>
      </c>
      <c r="G240" s="1916">
        <v>5</v>
      </c>
      <c r="H240" s="1869" t="s">
        <v>1172</v>
      </c>
      <c r="I240" s="1933" t="s">
        <v>3186</v>
      </c>
    </row>
    <row r="241" spans="1:9" s="890" customFormat="1" ht="18" outlineLevel="1" x14ac:dyDescent="0.25">
      <c r="B241" s="1852" t="s">
        <v>1180</v>
      </c>
      <c r="C241" s="1867" t="s">
        <v>2415</v>
      </c>
      <c r="D241" s="1867" t="s">
        <v>1941</v>
      </c>
      <c r="E241" s="1869">
        <f>K_HYD_AS</f>
        <v>0.05</v>
      </c>
      <c r="F241" s="1867" t="s">
        <v>2129</v>
      </c>
      <c r="G241" s="1916">
        <v>2</v>
      </c>
      <c r="H241" s="1869" t="s">
        <v>1249</v>
      </c>
      <c r="I241" s="1933"/>
    </row>
    <row r="242" spans="1:9" s="890" customFormat="1" ht="18" outlineLevel="1" x14ac:dyDescent="0.25">
      <c r="B242" s="1852" t="s">
        <v>1180</v>
      </c>
      <c r="C242" s="1867" t="s">
        <v>2415</v>
      </c>
      <c r="D242" s="1867" t="s">
        <v>3183</v>
      </c>
      <c r="E242" s="1869">
        <f>K_HYD_AS*f_KS_biofilm</f>
        <v>2.0000000000000004E-2</v>
      </c>
      <c r="F242" s="1867" t="s">
        <v>2129</v>
      </c>
      <c r="G242" s="1916">
        <v>3</v>
      </c>
      <c r="H242" s="1869" t="s">
        <v>1172</v>
      </c>
      <c r="I242" s="1933" t="s">
        <v>3186</v>
      </c>
    </row>
    <row r="243" spans="1:9" s="890" customFormat="1" ht="18" outlineLevel="1" x14ac:dyDescent="0.25">
      <c r="B243" s="1852" t="s">
        <v>2411</v>
      </c>
      <c r="C243" s="1867" t="s">
        <v>2582</v>
      </c>
      <c r="D243" s="1867" t="s">
        <v>2412</v>
      </c>
      <c r="E243" s="1869">
        <f>K_iNHx_ASSIM_AS</f>
        <v>5.0000000000000001E-4</v>
      </c>
      <c r="F243" s="1867" t="s">
        <v>885</v>
      </c>
      <c r="G243" s="1916">
        <v>4</v>
      </c>
      <c r="H243" s="1869" t="s">
        <v>1249</v>
      </c>
      <c r="I243" s="1933"/>
    </row>
    <row r="244" spans="1:9" s="890" customFormat="1" ht="18" outlineLevel="1" x14ac:dyDescent="0.25">
      <c r="B244" s="1852" t="s">
        <v>2411</v>
      </c>
      <c r="C244" s="1867" t="s">
        <v>2582</v>
      </c>
      <c r="D244" s="1867" t="s">
        <v>3184</v>
      </c>
      <c r="E244" s="1869">
        <f>K_iNHx_ASSIM_AS*f_KS_biofilm</f>
        <v>2.0000000000000001E-4</v>
      </c>
      <c r="F244" s="1867" t="s">
        <v>885</v>
      </c>
      <c r="G244" s="1916">
        <v>5</v>
      </c>
      <c r="H244" s="1869" t="s">
        <v>1172</v>
      </c>
      <c r="I244" s="1933" t="s">
        <v>3186</v>
      </c>
    </row>
    <row r="245" spans="1:9" s="890" customFormat="1" ht="18" outlineLevel="1" x14ac:dyDescent="0.25">
      <c r="B245" s="1852" t="s">
        <v>1181</v>
      </c>
      <c r="C245" s="1867" t="s">
        <v>2584</v>
      </c>
      <c r="D245" s="1867" t="s">
        <v>1942</v>
      </c>
      <c r="E245" s="1869">
        <f>K_NOx_ASSIM_AS</f>
        <v>1E-3</v>
      </c>
      <c r="F245" s="1867" t="s">
        <v>885</v>
      </c>
      <c r="G245" s="1916">
        <v>3</v>
      </c>
      <c r="H245" s="1869" t="s">
        <v>1249</v>
      </c>
      <c r="I245" s="1933"/>
    </row>
    <row r="246" spans="1:9" s="890" customFormat="1" ht="18.75" outlineLevel="1" thickBot="1" x14ac:dyDescent="0.3">
      <c r="B246" s="1855" t="s">
        <v>1181</v>
      </c>
      <c r="C246" s="1879" t="s">
        <v>2584</v>
      </c>
      <c r="D246" s="1879" t="s">
        <v>3185</v>
      </c>
      <c r="E246" s="1913">
        <f>K_NOx_ASSIM_AS*f_KS_biofilm</f>
        <v>4.0000000000000002E-4</v>
      </c>
      <c r="F246" s="1879" t="s">
        <v>885</v>
      </c>
      <c r="G246" s="1925">
        <v>4</v>
      </c>
      <c r="H246" s="1913" t="s">
        <v>1172</v>
      </c>
      <c r="I246" s="1737" t="s">
        <v>3186</v>
      </c>
    </row>
    <row r="247" spans="1:9" s="1168" customFormat="1" ht="18" customHeight="1" thickBot="1" x14ac:dyDescent="0.3">
      <c r="A247" s="4"/>
      <c r="B247" s="4"/>
      <c r="C247" s="4"/>
      <c r="D247" s="4"/>
      <c r="E247" s="1899"/>
      <c r="F247" s="4"/>
      <c r="G247" s="4"/>
      <c r="H247" s="4"/>
      <c r="I247" s="4"/>
    </row>
    <row r="248" spans="1:9" s="1168" customFormat="1" ht="18" customHeight="1" thickBot="1" x14ac:dyDescent="0.3">
      <c r="A248" s="4"/>
      <c r="B248" s="102"/>
      <c r="C248" s="1204" t="s">
        <v>4133</v>
      </c>
      <c r="D248" s="13" t="s">
        <v>303</v>
      </c>
      <c r="E248" s="13"/>
      <c r="F248" s="102"/>
      <c r="G248" s="102"/>
      <c r="H248" s="102"/>
      <c r="I248" s="102"/>
    </row>
    <row r="249" spans="1:9" s="1168" customFormat="1" ht="18" customHeight="1" thickBot="1" x14ac:dyDescent="0.3">
      <c r="A249" s="4"/>
      <c r="B249" s="1514" t="s">
        <v>0</v>
      </c>
      <c r="C249" s="1515" t="s">
        <v>1</v>
      </c>
      <c r="D249" s="1516" t="s">
        <v>5</v>
      </c>
      <c r="E249" s="1516" t="s">
        <v>152</v>
      </c>
      <c r="F249" s="1516" t="s">
        <v>2</v>
      </c>
      <c r="G249" s="1516" t="s">
        <v>302</v>
      </c>
      <c r="H249" s="1516" t="s">
        <v>116</v>
      </c>
      <c r="I249" s="1517" t="s">
        <v>117</v>
      </c>
    </row>
    <row r="250" spans="1:9" s="890" customFormat="1" ht="18.75" outlineLevel="1" x14ac:dyDescent="0.25">
      <c r="A250" s="4"/>
      <c r="B250" s="1211" t="s">
        <v>4605</v>
      </c>
      <c r="C250" s="1212" t="s">
        <v>4157</v>
      </c>
      <c r="D250" s="1212" t="s">
        <v>4604</v>
      </c>
      <c r="E250" s="1219">
        <f>((-1)*(2/((K_CO2_NITO_pH_AS)*(L_ograngeCO2_NITO_pH_AS)))*LN((1/19)*(1+(1/2)*((K_CO2_NITO_pH_AS)*(L_ograngeCO2_NITO_pH_AS)/(K_CO2_NITO_pH_AS)))))</f>
        <v>5077.947742116552</v>
      </c>
      <c r="F250" s="1217" t="s">
        <v>4160</v>
      </c>
      <c r="G250" s="1214">
        <v>1</v>
      </c>
      <c r="H250" s="1215" t="s">
        <v>4590</v>
      </c>
      <c r="I250" s="1318" t="s">
        <v>4177</v>
      </c>
    </row>
    <row r="251" spans="1:9" s="890" customFormat="1" ht="18.75" outlineLevel="1" x14ac:dyDescent="0.25">
      <c r="A251" s="4"/>
      <c r="B251" s="1218" t="s">
        <v>4605</v>
      </c>
      <c r="C251" s="1212" t="s">
        <v>4158</v>
      </c>
      <c r="D251" s="1212" t="s">
        <v>4603</v>
      </c>
      <c r="E251" s="1219">
        <f>(-1)*(2/(K_CO2_NITO_pH_sidestream*L_ograngeCO2_NITO_pH_sidestream))*LN((1/19)*(1+(1/2)*(K_CO2_NITO_pH_sidestream*L_ograngeCO2_NITO_pH_sidestream/K_CO2_NITO_pH_sidestream)))</f>
        <v>4674.4617279854701</v>
      </c>
      <c r="F251" s="1217" t="s">
        <v>4160</v>
      </c>
      <c r="G251" s="1214">
        <v>1</v>
      </c>
      <c r="H251" s="1215" t="s">
        <v>1594</v>
      </c>
      <c r="I251" s="1318" t="s">
        <v>4177</v>
      </c>
    </row>
    <row r="252" spans="1:9" s="890" customFormat="1" ht="18" outlineLevel="1" x14ac:dyDescent="0.25">
      <c r="A252" s="4"/>
      <c r="B252" s="1235" t="s">
        <v>4111</v>
      </c>
      <c r="C252" s="1236" t="s">
        <v>4118</v>
      </c>
      <c r="D252" s="1236" t="s">
        <v>4167</v>
      </c>
      <c r="E252" s="1319">
        <f>((-1)*(2/((K_VFA_FERM)*(L_ograngeVFA_FERM_AS)))*LN((1/19)*(1+(1/2)*((K_VFA_FERM)*(L_ograngeVFA_FERM_AS)/(K_VFA_FERM)))))</f>
        <v>9.7948563582963093</v>
      </c>
      <c r="F252" s="1244" t="s">
        <v>4161</v>
      </c>
      <c r="G252" s="1238">
        <v>1</v>
      </c>
      <c r="H252" s="1239" t="s">
        <v>1249</v>
      </c>
      <c r="I252" s="1320" t="s">
        <v>4177</v>
      </c>
    </row>
    <row r="253" spans="1:9" s="890" customFormat="1" ht="30" outlineLevel="1" x14ac:dyDescent="0.25">
      <c r="A253" s="4"/>
      <c r="B253" s="1235" t="s">
        <v>4111</v>
      </c>
      <c r="C253" s="1236" t="s">
        <v>4117</v>
      </c>
      <c r="D253" s="1236" t="s">
        <v>4174</v>
      </c>
      <c r="E253" s="1319">
        <f>(-1)*(2/(K_VFA_FERM*L_ograngeVFA_FERM_AS))*LN((1/19)*(1+(1/2)*(K_VFA_FERM*L_ograngeVFA_FERM_AS/K_VFA_FERM))) / f_KS</f>
        <v>97.948563582963089</v>
      </c>
      <c r="F253" s="1244" t="s">
        <v>4161</v>
      </c>
      <c r="G253" s="1238">
        <v>1</v>
      </c>
      <c r="H253" s="1239" t="s">
        <v>1172</v>
      </c>
      <c r="I253" s="1240" t="s">
        <v>3186</v>
      </c>
    </row>
    <row r="254" spans="1:9" s="890" customFormat="1" ht="18" outlineLevel="1" x14ac:dyDescent="0.25">
      <c r="A254" s="4"/>
      <c r="B254" s="1321" t="s">
        <v>4123</v>
      </c>
      <c r="C254" s="1284" t="s">
        <v>4121</v>
      </c>
      <c r="D254" s="1284" t="s">
        <v>4168</v>
      </c>
      <c r="E254" s="1322">
        <f>((-1)*(2/((K_PO4_PAO)*(L_ograngePO4_PAO_AS_sat)))*LN((1/19)*(1+(1/2)*((K_PO4_PAO)*(L_ograngePO4_PAO_AS_sat)/(K_PO4_PAO)))))</f>
        <v>43.466112375753802</v>
      </c>
      <c r="F254" s="1284" t="s">
        <v>4162</v>
      </c>
      <c r="G254" s="1284">
        <v>1</v>
      </c>
      <c r="H254" s="1284" t="s">
        <v>1249</v>
      </c>
      <c r="I254" s="1323" t="s">
        <v>4177</v>
      </c>
    </row>
    <row r="255" spans="1:9" s="890" customFormat="1" ht="18" outlineLevel="1" x14ac:dyDescent="0.25">
      <c r="A255" s="4"/>
      <c r="B255" s="1321" t="s">
        <v>4123</v>
      </c>
      <c r="C255" s="1284" t="s">
        <v>4122</v>
      </c>
      <c r="D255" s="1284" t="s">
        <v>4175</v>
      </c>
      <c r="E255" s="1322">
        <f>(-1)*(2/(K_PO4_PAO*L_ograngePO4_PAO_AS_sat))*LN((1/19)*(1+(1/2)*(K_PO4_PAO*L_ograngePO4_PAO_AS_sat/K_PO4_PAO))) / f_KS</f>
        <v>434.66112375753801</v>
      </c>
      <c r="F255" s="1284" t="s">
        <v>4162</v>
      </c>
      <c r="G255" s="1284">
        <v>1</v>
      </c>
      <c r="H255" s="1284" t="s">
        <v>1172</v>
      </c>
      <c r="I255" s="1323" t="s">
        <v>3186</v>
      </c>
    </row>
    <row r="256" spans="1:9" s="890" customFormat="1" ht="18" outlineLevel="1" x14ac:dyDescent="0.25">
      <c r="A256" s="4"/>
      <c r="B256" s="1321" t="s">
        <v>4128</v>
      </c>
      <c r="C256" s="1284" t="s">
        <v>4131</v>
      </c>
      <c r="D256" s="1284" t="s">
        <v>4169</v>
      </c>
      <c r="E256" s="1322">
        <f>((-1)*(2/((K_PO4_PAO)*(L_ograngePP_PAO_AS_sat)))*LN((1/19)*(1+(1/2)*((K_PO4_PAO)*(L_ograngePP_PAO_AS_sat)/(K_PO4_PAO)))))</f>
        <v>92.070580745749538</v>
      </c>
      <c r="F256" s="1284" t="s">
        <v>4162</v>
      </c>
      <c r="G256" s="1284">
        <v>1</v>
      </c>
      <c r="H256" s="1284" t="s">
        <v>1249</v>
      </c>
      <c r="I256" s="1323" t="s">
        <v>4177</v>
      </c>
    </row>
    <row r="257" spans="1:9" s="890" customFormat="1" ht="18" outlineLevel="1" x14ac:dyDescent="0.25">
      <c r="A257" s="4"/>
      <c r="B257" s="1321" t="s">
        <v>4128</v>
      </c>
      <c r="C257" s="1284" t="s">
        <v>4132</v>
      </c>
      <c r="D257" s="1284" t="s">
        <v>4176</v>
      </c>
      <c r="E257" s="1322">
        <f>(-1)*(2/(K_PO4_PAO*L_ograngePP_PAO_AS_sat))*LN((1/19)*(1+(1/2)*(K_PO4_PAO*L_ograngePP_PAO_AS_sat/K_PO4_PAO))) / f_KS</f>
        <v>920.70580745749533</v>
      </c>
      <c r="F257" s="1284" t="s">
        <v>4162</v>
      </c>
      <c r="G257" s="1284">
        <v>1</v>
      </c>
      <c r="H257" s="1284" t="s">
        <v>1172</v>
      </c>
      <c r="I257" s="1323" t="s">
        <v>3186</v>
      </c>
    </row>
    <row r="258" spans="1:9" s="890" customFormat="1" ht="18" outlineLevel="1" x14ac:dyDescent="0.25">
      <c r="A258" s="4"/>
      <c r="B258" s="1321" t="s">
        <v>4150</v>
      </c>
      <c r="C258" s="1284" t="s">
        <v>4151</v>
      </c>
      <c r="D258" s="1284" t="s">
        <v>4170</v>
      </c>
      <c r="E258" s="1322">
        <f>((-1)*(2/((K_iPHA_PAO_max)*(L_ograngePHA_PAO_inh)))*LN((1/19)*(1+(1/2)*((K_iPHA_PAO_max)*(L_ograngePHA_PAO_inh)/(K_iPHA_PAO_max)))))</f>
        <v>96.521627166566958</v>
      </c>
      <c r="F258" s="1277" t="s">
        <v>2129</v>
      </c>
      <c r="G258" s="1284">
        <v>1</v>
      </c>
      <c r="H258" s="1284"/>
      <c r="I258" s="1323" t="s">
        <v>4177</v>
      </c>
    </row>
    <row r="259" spans="1:9" s="890" customFormat="1" ht="18" outlineLevel="1" x14ac:dyDescent="0.25">
      <c r="A259" s="4"/>
      <c r="B259" s="1321" t="s">
        <v>4147</v>
      </c>
      <c r="C259" s="1284" t="s">
        <v>4145</v>
      </c>
      <c r="D259" s="1284" t="s">
        <v>4171</v>
      </c>
      <c r="E259" s="1322">
        <f>((-1)*(2/((K_iPP_PAO_max)*(L_ograngePP_PAO_inh)))*LN((1/19)*(1+(1/2)*((K_iPP_PAO_max)*(L_ograngePP_PAO_inh)/(K_iPP_PAO_max)))))</f>
        <v>96.230554358790513</v>
      </c>
      <c r="F259" s="1277" t="s">
        <v>4159</v>
      </c>
      <c r="G259" s="1284">
        <v>1</v>
      </c>
      <c r="H259" s="1284"/>
      <c r="I259" s="1323" t="s">
        <v>4177</v>
      </c>
    </row>
    <row r="260" spans="1:9" s="890" customFormat="1" ht="18" outlineLevel="1" x14ac:dyDescent="0.25">
      <c r="A260" s="4"/>
      <c r="B260" s="1324" t="s">
        <v>4736</v>
      </c>
      <c r="C260" s="1325" t="s">
        <v>4738</v>
      </c>
      <c r="D260" s="1325" t="s">
        <v>4737</v>
      </c>
      <c r="E260" s="1326">
        <f>((-1)*(2/((K_iPHA_GAO_max)*(L_ograngePHA_GAO_inh)))*LN((1/19)*(1+(1/2)*((K_iPHA_GAO_max)*(L_ograngePHA_GAO_inh)/(K_iPHA_GAO_max)))))</f>
        <v>96.205669034748837</v>
      </c>
      <c r="F260" s="1327" t="s">
        <v>2129</v>
      </c>
      <c r="G260" s="1327">
        <v>1</v>
      </c>
      <c r="H260" s="1328"/>
      <c r="I260" s="1329" t="s">
        <v>4177</v>
      </c>
    </row>
    <row r="261" spans="1:9" s="890" customFormat="1" ht="18.75" outlineLevel="1" x14ac:dyDescent="0.25">
      <c r="B261" s="1297" t="s">
        <v>4616</v>
      </c>
      <c r="C261" s="1298" t="s">
        <v>4180</v>
      </c>
      <c r="D261" s="1298" t="s">
        <v>4612</v>
      </c>
      <c r="E261" s="1316">
        <f>((-1)*(2/((K_iNH3_AMETO_pH)*(L_ograngeNH3_AMETO)))*LN((1/19)*(1+(1/2)*((K_iNH3_AMETO_pH)*(L_ograngeNH3_AMETO)/(K_iNH3_AMETO_pH)))))</f>
        <v>57.970947247187361</v>
      </c>
      <c r="F261" s="1300" t="s">
        <v>4187</v>
      </c>
      <c r="G261" s="1301">
        <v>1</v>
      </c>
      <c r="H261" s="1302"/>
      <c r="I261" s="1303" t="s">
        <v>4177</v>
      </c>
    </row>
    <row r="262" spans="1:9" s="890" customFormat="1" ht="18" outlineLevel="1" x14ac:dyDescent="0.25">
      <c r="A262" s="4"/>
      <c r="B262" s="1330" t="s">
        <v>4140</v>
      </c>
      <c r="C262" s="1331" t="s">
        <v>4141</v>
      </c>
      <c r="D262" s="1331" t="s">
        <v>4172</v>
      </c>
      <c r="E262" s="1332">
        <f>((-1)*(2/((K_iP_HFO_DISS)*(L_ograngeP_HFO_DISS)))*LN((1/19)*(1+(1/2)*((K_iP_HFO_DISS)*(L_ograngeP_HFO_DISS)/(K_iP_HFO_DISS)))))</f>
        <v>507.79477421165524</v>
      </c>
      <c r="F262" s="1331" t="s">
        <v>4162</v>
      </c>
      <c r="G262" s="1333">
        <v>1</v>
      </c>
      <c r="H262" s="1331"/>
      <c r="I262" s="1334" t="s">
        <v>4177</v>
      </c>
    </row>
    <row r="263" spans="1:9" s="890" customFormat="1" ht="18.75" outlineLevel="1" thickBot="1" x14ac:dyDescent="0.3">
      <c r="A263" s="4"/>
      <c r="B263" s="888" t="s">
        <v>4134</v>
      </c>
      <c r="C263" s="1335" t="s">
        <v>4135</v>
      </c>
      <c r="D263" s="1335" t="s">
        <v>4173</v>
      </c>
      <c r="E263" s="1336">
        <f>((-1)*(2/((K_iP_HAO_DISS)*(L_ograngeP_HAO_DISS)))*LN((1/19)*(1+(1/2)*((K_iP_HAO_DISS)*(L_ograngeP_HAO_DISS)/(K_iP_HAO_DISS)))))</f>
        <v>2251.2917986064954</v>
      </c>
      <c r="F263" s="1335" t="s">
        <v>4162</v>
      </c>
      <c r="G263" s="1337">
        <v>1</v>
      </c>
      <c r="H263" s="1335"/>
      <c r="I263" s="1338" t="s">
        <v>4177</v>
      </c>
    </row>
    <row r="264" spans="1:9" s="890" customFormat="1" ht="15.75" thickBot="1" x14ac:dyDescent="0.3">
      <c r="B264" s="140"/>
      <c r="C264" s="140"/>
      <c r="D264" s="140"/>
      <c r="E264" s="140"/>
      <c r="F264" s="146"/>
      <c r="G264" s="1926"/>
      <c r="H264" s="140"/>
      <c r="I264" s="140"/>
    </row>
    <row r="265" spans="1:9" s="1168" customFormat="1" ht="18" customHeight="1" thickBot="1" x14ac:dyDescent="0.3">
      <c r="A265" s="4"/>
      <c r="B265" s="102"/>
      <c r="C265" s="1204" t="s">
        <v>1944</v>
      </c>
      <c r="D265" s="13" t="s">
        <v>303</v>
      </c>
      <c r="E265" s="13"/>
      <c r="F265" s="102"/>
      <c r="G265" s="102"/>
      <c r="H265" s="102"/>
      <c r="I265" s="102"/>
    </row>
    <row r="266" spans="1:9" s="1168" customFormat="1" ht="18" customHeight="1" thickBot="1" x14ac:dyDescent="0.3">
      <c r="A266" s="4"/>
      <c r="B266" s="1514" t="s">
        <v>0</v>
      </c>
      <c r="C266" s="1515" t="s">
        <v>1</v>
      </c>
      <c r="D266" s="1516" t="s">
        <v>5</v>
      </c>
      <c r="E266" s="1516" t="s">
        <v>152</v>
      </c>
      <c r="F266" s="1516" t="s">
        <v>2</v>
      </c>
      <c r="G266" s="1516" t="s">
        <v>302</v>
      </c>
      <c r="H266" s="1516" t="s">
        <v>116</v>
      </c>
      <c r="I266" s="1517" t="s">
        <v>117</v>
      </c>
    </row>
    <row r="267" spans="1:9" ht="18" outlineLevel="1" x14ac:dyDescent="0.25">
      <c r="B267" s="1865" t="s">
        <v>1816</v>
      </c>
      <c r="C267" s="1882" t="s">
        <v>2416</v>
      </c>
      <c r="D267" s="1882" t="s">
        <v>1817</v>
      </c>
      <c r="E267" s="1914">
        <f>((1+2*10^(0.5*((p_Hlow)-(p_Hhigh))))/(1+10^((p_H)-(p_Hhigh))+10^((p_Hlow)-(p_H))))</f>
        <v>0.99997841972817147</v>
      </c>
      <c r="F267" s="1922" t="s">
        <v>278</v>
      </c>
      <c r="G267" s="1922">
        <v>2</v>
      </c>
      <c r="H267" s="1932" t="s">
        <v>11</v>
      </c>
      <c r="I267" s="1947"/>
    </row>
    <row r="268" spans="1:9" ht="18" outlineLevel="1" x14ac:dyDescent="0.25">
      <c r="B268" s="1850" t="s">
        <v>1816</v>
      </c>
      <c r="C268" s="1881" t="s">
        <v>2416</v>
      </c>
      <c r="D268" s="1881" t="s">
        <v>4591</v>
      </c>
      <c r="E268" s="1896">
        <f>1</f>
        <v>1</v>
      </c>
      <c r="F268" s="1916" t="s">
        <v>278</v>
      </c>
      <c r="G268" s="1916">
        <v>0</v>
      </c>
      <c r="H268" s="1869" t="s">
        <v>1148</v>
      </c>
      <c r="I268" s="1933"/>
    </row>
    <row r="269" spans="1:9" ht="18" outlineLevel="1" x14ac:dyDescent="0.25">
      <c r="B269" s="1850" t="s">
        <v>4441</v>
      </c>
      <c r="C269" s="1883" t="s">
        <v>4442</v>
      </c>
      <c r="D269" s="1881" t="s">
        <v>4443</v>
      </c>
      <c r="E269" s="1896">
        <f>((1+2*10^(0.5*((p_Hlow_NITO)-(p_Hhigh_NITO))))/(1+10^((p_H)-(p_Hhigh_NITO))+10^((p_Hlow_NITO)-(p_H))))</f>
        <v>0.98233028995495941</v>
      </c>
      <c r="F269" s="1916" t="s">
        <v>278</v>
      </c>
      <c r="G269" s="1916">
        <v>2</v>
      </c>
      <c r="H269" s="1869" t="s">
        <v>11</v>
      </c>
      <c r="I269" s="1933"/>
    </row>
    <row r="270" spans="1:9" ht="18" outlineLevel="1" x14ac:dyDescent="0.25">
      <c r="B270" s="1850" t="s">
        <v>4441</v>
      </c>
      <c r="C270" s="1881" t="s">
        <v>4442</v>
      </c>
      <c r="D270" s="1881" t="s">
        <v>4592</v>
      </c>
      <c r="E270" s="1896">
        <f>1</f>
        <v>1</v>
      </c>
      <c r="F270" s="1916" t="s">
        <v>278</v>
      </c>
      <c r="G270" s="1916">
        <v>0</v>
      </c>
      <c r="H270" s="1869" t="s">
        <v>1148</v>
      </c>
      <c r="I270" s="1933"/>
    </row>
    <row r="271" spans="1:9" ht="18" outlineLevel="1" x14ac:dyDescent="0.25">
      <c r="B271" s="1850" t="s">
        <v>1980</v>
      </c>
      <c r="C271" s="1883" t="s">
        <v>2417</v>
      </c>
      <c r="D271" s="1881" t="s">
        <v>1982</v>
      </c>
      <c r="E271" s="1896">
        <f>((1+2*10^(0.5*((p_Hlow_AMETO)-(p_Hhigh_AMETO))))/(1+10^((p_H)-(p_Hhigh_AMETO))+10^((p_Hlow_AMETO)-(p_H))))</f>
        <v>0.99932217031298287</v>
      </c>
      <c r="F271" s="1916" t="s">
        <v>278</v>
      </c>
      <c r="G271" s="1916">
        <v>2</v>
      </c>
      <c r="H271" s="1869" t="s">
        <v>11</v>
      </c>
      <c r="I271" s="1933"/>
    </row>
    <row r="272" spans="1:9" ht="18" outlineLevel="1" x14ac:dyDescent="0.25">
      <c r="B272" s="1850" t="s">
        <v>1980</v>
      </c>
      <c r="C272" s="1881" t="s">
        <v>2417</v>
      </c>
      <c r="D272" s="1881" t="s">
        <v>4593</v>
      </c>
      <c r="E272" s="1896">
        <f>1</f>
        <v>1</v>
      </c>
      <c r="F272" s="1916" t="s">
        <v>278</v>
      </c>
      <c r="G272" s="1916">
        <v>0</v>
      </c>
      <c r="H272" s="1869" t="s">
        <v>1148</v>
      </c>
      <c r="I272" s="1933"/>
    </row>
    <row r="273" spans="1:9" ht="18" outlineLevel="1" x14ac:dyDescent="0.25">
      <c r="B273" s="1850" t="s">
        <v>1981</v>
      </c>
      <c r="C273" s="1883" t="s">
        <v>2418</v>
      </c>
      <c r="D273" s="1881" t="s">
        <v>1983</v>
      </c>
      <c r="E273" s="1896">
        <f>((1+2*10^(0.5*((p_Hlow_HMETO)-(p_Hhigh_HMETO))))/(1+10^((p_H)-(p_Hhigh_HMETO))+10^((p_Hlow_HMETO)-(p_H))))</f>
        <v>0.99932217031298287</v>
      </c>
      <c r="F273" s="1916" t="s">
        <v>278</v>
      </c>
      <c r="G273" s="1916">
        <v>2</v>
      </c>
      <c r="H273" s="1869" t="s">
        <v>11</v>
      </c>
      <c r="I273" s="1933"/>
    </row>
    <row r="274" spans="1:9" ht="18" outlineLevel="1" x14ac:dyDescent="0.25">
      <c r="B274" s="1850" t="s">
        <v>1981</v>
      </c>
      <c r="C274" s="1881" t="s">
        <v>2418</v>
      </c>
      <c r="D274" s="1881" t="s">
        <v>4594</v>
      </c>
      <c r="E274" s="1896">
        <f>1</f>
        <v>1</v>
      </c>
      <c r="F274" s="1916" t="s">
        <v>278</v>
      </c>
      <c r="G274" s="1916">
        <v>0</v>
      </c>
      <c r="H274" s="1869" t="s">
        <v>1148</v>
      </c>
      <c r="I274" s="1933"/>
    </row>
    <row r="275" spans="1:9" ht="18" outlineLevel="1" x14ac:dyDescent="0.25">
      <c r="B275" s="1850" t="s">
        <v>4661</v>
      </c>
      <c r="C275" s="1883" t="s">
        <v>4662</v>
      </c>
      <c r="D275" s="1881" t="s">
        <v>4663</v>
      </c>
      <c r="E275" s="1896">
        <f>((1+2*10^(0.5*((p_Hlow_FLOC_HFO)-(p_Hhigh_FLOC_HFO))))/(1+10^((p_H)-(p_Hhigh_FLOC_HFO))+10^((p_Hlow_FLOC_HFO)-(p_H))))</f>
        <v>0.99788828703368959</v>
      </c>
      <c r="F275" s="1916" t="s">
        <v>278</v>
      </c>
      <c r="G275" s="1916">
        <v>2</v>
      </c>
      <c r="H275" s="1869" t="s">
        <v>11</v>
      </c>
      <c r="I275" s="1933"/>
    </row>
    <row r="276" spans="1:9" ht="18" outlineLevel="1" x14ac:dyDescent="0.25">
      <c r="B276" s="1850" t="s">
        <v>4661</v>
      </c>
      <c r="C276" s="1881" t="s">
        <v>4662</v>
      </c>
      <c r="D276" s="1881" t="s">
        <v>4664</v>
      </c>
      <c r="E276" s="1896">
        <f>1</f>
        <v>1</v>
      </c>
      <c r="F276" s="1916" t="s">
        <v>278</v>
      </c>
      <c r="G276" s="1916">
        <v>0</v>
      </c>
      <c r="H276" s="1869" t="s">
        <v>1148</v>
      </c>
      <c r="I276" s="1933"/>
    </row>
    <row r="277" spans="1:9" ht="18" outlineLevel="1" x14ac:dyDescent="0.25">
      <c r="B277" s="1850" t="s">
        <v>4665</v>
      </c>
      <c r="C277" s="1883" t="s">
        <v>4666</v>
      </c>
      <c r="D277" s="1881" t="s">
        <v>4667</v>
      </c>
      <c r="E277" s="1896">
        <f>((1+2*10^(0.5*((p_Hlow_FLOC_HAO)-(p_Hhigh_FLOC_HAO))))/(1+10^((p_H)-(p_Hhigh_FLOC_HAO))+10^((p_Hlow_FLOC_HAO)-(p_H))))</f>
        <v>0.99788828703368959</v>
      </c>
      <c r="F277" s="1916" t="s">
        <v>278</v>
      </c>
      <c r="G277" s="1916">
        <v>2</v>
      </c>
      <c r="H277" s="1869" t="s">
        <v>11</v>
      </c>
      <c r="I277" s="1933"/>
    </row>
    <row r="278" spans="1:9" ht="18" outlineLevel="1" x14ac:dyDescent="0.25">
      <c r="B278" s="1850" t="s">
        <v>4665</v>
      </c>
      <c r="C278" s="1881" t="s">
        <v>4666</v>
      </c>
      <c r="D278" s="1881" t="s">
        <v>4668</v>
      </c>
      <c r="E278" s="1896">
        <f>1</f>
        <v>1</v>
      </c>
      <c r="F278" s="1916" t="s">
        <v>278</v>
      </c>
      <c r="G278" s="1916">
        <v>0</v>
      </c>
      <c r="H278" s="1869" t="s">
        <v>1148</v>
      </c>
      <c r="I278" s="1933"/>
    </row>
    <row r="279" spans="1:9" ht="18" customHeight="1" outlineLevel="1" x14ac:dyDescent="0.25">
      <c r="B279" s="1218" t="s">
        <v>1809</v>
      </c>
      <c r="C279" s="1217" t="s">
        <v>2626</v>
      </c>
      <c r="D279" s="1217" t="s">
        <v>4615</v>
      </c>
      <c r="E279" s="1215">
        <f>((conc_HCO3m_I)/((conc_HCO3m_I)+(K_CO2_NITO_pH)*EXP(((K_CO2_NITO_pH)-(conc_HCO3m_I))*(L_ogslopeCO2_NITO_pH))))</f>
        <v>0.99999999997903732</v>
      </c>
      <c r="F279" s="1215" t="s">
        <v>278</v>
      </c>
      <c r="G279" s="1215">
        <v>2</v>
      </c>
      <c r="H279" s="1215"/>
      <c r="I279" s="1216"/>
    </row>
    <row r="280" spans="1:9" ht="18" customHeight="1" outlineLevel="1" x14ac:dyDescent="0.25">
      <c r="B280" s="1218" t="s">
        <v>1815</v>
      </c>
      <c r="C280" s="1217" t="s">
        <v>2627</v>
      </c>
      <c r="D280" s="1217" t="s">
        <v>4614</v>
      </c>
      <c r="E280" s="1215">
        <f>((K_iNH3_NITO_pH)/((K_iNH3_NITO_pH)+(conc_NH3_I)))</f>
        <v>0.99999999995542743</v>
      </c>
      <c r="F280" s="1215" t="s">
        <v>278</v>
      </c>
      <c r="G280" s="1215">
        <v>2</v>
      </c>
      <c r="H280" s="1215"/>
      <c r="I280" s="1216"/>
    </row>
    <row r="281" spans="1:9" s="890" customFormat="1" ht="18.75" outlineLevel="1" thickBot="1" x14ac:dyDescent="0.3">
      <c r="B281" s="569" t="s">
        <v>4182</v>
      </c>
      <c r="C281" s="1304" t="s">
        <v>4186</v>
      </c>
      <c r="D281" s="1304" t="s">
        <v>4613</v>
      </c>
      <c r="E281" s="1339">
        <f>(1-(conc_NH3_I)/((conc_NH3_I)+(K_iNH3_AMETO_pH)*EXP(((K_iNH3_AMETO_pH)-(conc_NH3_I))*(L_ogslopeNH3_AMETO_pH))))</f>
        <v>1</v>
      </c>
      <c r="F281" s="1306" t="s">
        <v>278</v>
      </c>
      <c r="G281" s="1307">
        <v>2</v>
      </c>
      <c r="H281" s="1305"/>
      <c r="I281" s="893"/>
    </row>
    <row r="282" spans="1:9" s="1168" customFormat="1" ht="18" customHeight="1" thickBot="1" x14ac:dyDescent="0.3">
      <c r="A282" s="4"/>
      <c r="B282" s="4"/>
      <c r="C282" s="4"/>
      <c r="D282" s="4"/>
      <c r="E282" s="1899"/>
      <c r="F282" s="4"/>
      <c r="G282" s="4"/>
      <c r="H282" s="4"/>
      <c r="I282" s="4"/>
    </row>
    <row r="283" spans="1:9" s="1168" customFormat="1" ht="18" customHeight="1" thickBot="1" x14ac:dyDescent="0.3">
      <c r="A283" s="4"/>
      <c r="B283" s="102"/>
      <c r="C283" s="1204" t="s">
        <v>892</v>
      </c>
      <c r="D283" s="13" t="s">
        <v>303</v>
      </c>
      <c r="E283" s="13"/>
      <c r="F283" s="102"/>
      <c r="G283" s="102"/>
      <c r="H283" s="102"/>
      <c r="I283" s="102"/>
    </row>
    <row r="284" spans="1:9" s="1168" customFormat="1" ht="18" customHeight="1" thickBot="1" x14ac:dyDescent="0.3">
      <c r="A284" s="4"/>
      <c r="B284" s="1514" t="s">
        <v>0</v>
      </c>
      <c r="C284" s="1515" t="s">
        <v>1</v>
      </c>
      <c r="D284" s="1516" t="s">
        <v>5</v>
      </c>
      <c r="E284" s="1516" t="s">
        <v>152</v>
      </c>
      <c r="F284" s="1516" t="s">
        <v>2</v>
      </c>
      <c r="G284" s="1516" t="s">
        <v>302</v>
      </c>
      <c r="H284" s="1516" t="s">
        <v>116</v>
      </c>
      <c r="I284" s="1517" t="s">
        <v>117</v>
      </c>
    </row>
    <row r="285" spans="1:9" ht="18" outlineLevel="1" x14ac:dyDescent="0.25">
      <c r="B285" s="448" t="s">
        <v>1791</v>
      </c>
      <c r="C285" s="1883" t="s">
        <v>2422</v>
      </c>
      <c r="D285" s="1883" t="s">
        <v>1792</v>
      </c>
      <c r="E285" s="1915">
        <f>(MAX((S_AN)-S_umo__MSatMin,0)/((K_AN)+(S_AN)))</f>
        <v>0.99933377748167895</v>
      </c>
      <c r="F285" s="1915" t="s">
        <v>278</v>
      </c>
      <c r="G285" s="1915">
        <v>2</v>
      </c>
      <c r="H285" s="1912"/>
      <c r="I285" s="1731"/>
    </row>
    <row r="286" spans="1:9" ht="18" outlineLevel="1" x14ac:dyDescent="0.25">
      <c r="B286" s="1850" t="s">
        <v>1789</v>
      </c>
      <c r="C286" s="1881" t="s">
        <v>2423</v>
      </c>
      <c r="D286" s="1881" t="s">
        <v>1790</v>
      </c>
      <c r="E286" s="1916">
        <f>(MAX((S_CAT)-S_umo__MSatMin,0)/((K_CAT)+(S_CAT)))</f>
        <v>0.99715099715099709</v>
      </c>
      <c r="F286" s="1916" t="s">
        <v>278</v>
      </c>
      <c r="G286" s="1916">
        <v>2</v>
      </c>
      <c r="H286" s="1869"/>
      <c r="I286" s="1933"/>
    </row>
    <row r="287" spans="1:9" ht="18" outlineLevel="1" x14ac:dyDescent="0.25">
      <c r="B287" s="1850" t="s">
        <v>3316</v>
      </c>
      <c r="C287" s="1881" t="s">
        <v>3303</v>
      </c>
      <c r="D287" s="1881" t="s">
        <v>3304</v>
      </c>
      <c r="E287" s="1916">
        <f>(MAX((S_Ca)-S_umo__MSatMin,0)/((K_Ca_BIO)+(S_Ca)))</f>
        <v>0.99999933333377777</v>
      </c>
      <c r="F287" s="1916" t="s">
        <v>278</v>
      </c>
      <c r="G287" s="1916">
        <v>2</v>
      </c>
      <c r="H287" s="1869"/>
      <c r="I287" s="1933"/>
    </row>
    <row r="288" spans="1:9" ht="18" outlineLevel="1" x14ac:dyDescent="0.25">
      <c r="B288" s="1850" t="s">
        <v>3315</v>
      </c>
      <c r="C288" s="1881" t="s">
        <v>3302</v>
      </c>
      <c r="D288" s="1881" t="s">
        <v>3305</v>
      </c>
      <c r="E288" s="1916">
        <f>(MAX((S_Mg)-S_umo__MSatMin,0)/((K_Mg_BIO)+(S_Mg)))</f>
        <v>0.99999333337777752</v>
      </c>
      <c r="F288" s="1916" t="s">
        <v>278</v>
      </c>
      <c r="G288" s="1916">
        <v>2</v>
      </c>
      <c r="H288" s="1869"/>
      <c r="I288" s="1933"/>
    </row>
    <row r="289" spans="2:9" ht="18" outlineLevel="1" x14ac:dyDescent="0.25">
      <c r="B289" s="1850" t="s">
        <v>1803</v>
      </c>
      <c r="C289" s="1881" t="s">
        <v>2424</v>
      </c>
      <c r="D289" s="1881" t="s">
        <v>1804</v>
      </c>
      <c r="E289" s="1916">
        <f>(MAX((S_CO2)-S_umo__MSatMin,0)/((K_CO2_BIO)+(S_CO2)))</f>
        <v>0.98404255319148937</v>
      </c>
      <c r="F289" s="1916" t="s">
        <v>278</v>
      </c>
      <c r="G289" s="1916">
        <v>2</v>
      </c>
      <c r="H289" s="1869"/>
      <c r="I289" s="1933"/>
    </row>
    <row r="290" spans="2:9" ht="18" outlineLevel="1" x14ac:dyDescent="0.25">
      <c r="B290" s="1850" t="s">
        <v>1785</v>
      </c>
      <c r="C290" s="1881" t="s">
        <v>2425</v>
      </c>
      <c r="D290" s="1881" t="s">
        <v>1786</v>
      </c>
      <c r="E290" s="1916">
        <f>(MAX((S_NHx)-S_umo__MSatMin,0)/((K_NHx_BIO)+(S_NHx)))</f>
        <v>0.99502487562189068</v>
      </c>
      <c r="F290" s="1916" t="s">
        <v>278</v>
      </c>
      <c r="G290" s="1916">
        <v>2</v>
      </c>
      <c r="H290" s="1869"/>
      <c r="I290" s="1933"/>
    </row>
    <row r="291" spans="2:9" ht="18" outlineLevel="1" x14ac:dyDescent="0.25">
      <c r="B291" s="1850" t="s">
        <v>1787</v>
      </c>
      <c r="C291" s="1881" t="s">
        <v>2426</v>
      </c>
      <c r="D291" s="1881" t="s">
        <v>1788</v>
      </c>
      <c r="E291" s="1916">
        <f>(MAX((S_PO4)-S_umo__MSatMin,0)/((K_PO4_BIO)+(S_PO4)))</f>
        <v>0.99601593625498008</v>
      </c>
      <c r="F291" s="1916" t="s">
        <v>278</v>
      </c>
      <c r="G291" s="1916">
        <v>2</v>
      </c>
      <c r="H291" s="1869"/>
      <c r="I291" s="1933"/>
    </row>
    <row r="292" spans="2:9" ht="18" outlineLevel="1" x14ac:dyDescent="0.25">
      <c r="B292" s="1243" t="s">
        <v>2420</v>
      </c>
      <c r="C292" s="1236" t="s">
        <v>2427</v>
      </c>
      <c r="D292" s="1236" t="s">
        <v>2421</v>
      </c>
      <c r="E292" s="1238">
        <f>((K_NOx_OHO)/((K_NOx_OHO)+(S_NOx)))</f>
        <v>5.9642147117296221E-3</v>
      </c>
      <c r="F292" s="1238" t="s">
        <v>278</v>
      </c>
      <c r="G292" s="1238">
        <v>2</v>
      </c>
      <c r="H292" s="1239"/>
      <c r="I292" s="1240"/>
    </row>
    <row r="293" spans="2:9" ht="18" outlineLevel="1" x14ac:dyDescent="0.25">
      <c r="B293" s="1243" t="s">
        <v>1814</v>
      </c>
      <c r="C293" s="1236" t="s">
        <v>2428</v>
      </c>
      <c r="D293" s="1236" t="s">
        <v>1943</v>
      </c>
      <c r="E293" s="1238">
        <f>((K_O2_OHO)/((K_O2_OHO)+(S_O2)))</f>
        <v>6.9767441860465115E-2</v>
      </c>
      <c r="F293" s="1238" t="s">
        <v>278</v>
      </c>
      <c r="G293" s="1238">
        <v>2</v>
      </c>
      <c r="H293" s="1239"/>
      <c r="I293" s="1240"/>
    </row>
    <row r="294" spans="2:9" ht="18" outlineLevel="1" x14ac:dyDescent="0.25">
      <c r="B294" s="1340" t="s">
        <v>1810</v>
      </c>
      <c r="C294" s="1236" t="s">
        <v>2429</v>
      </c>
      <c r="D294" s="1341" t="s">
        <v>1811</v>
      </c>
      <c r="E294" s="1342">
        <f>((K_VFA)/((K_VFA)+(S_VFA)))</f>
        <v>0.98039215686274506</v>
      </c>
      <c r="F294" s="1342" t="s">
        <v>278</v>
      </c>
      <c r="G294" s="1342">
        <v>2</v>
      </c>
      <c r="H294" s="1343"/>
      <c r="I294" s="1344"/>
    </row>
    <row r="295" spans="2:9" ht="18" outlineLevel="1" x14ac:dyDescent="0.25">
      <c r="B295" s="1243" t="s">
        <v>1793</v>
      </c>
      <c r="C295" s="1236" t="s">
        <v>2430</v>
      </c>
      <c r="D295" s="1236" t="s">
        <v>1794</v>
      </c>
      <c r="E295" s="1238">
        <f>(MAX((S_B)-S_umo__MSatMin,0)/((K_SB)+(S_B)))</f>
        <v>0.16666666666666666</v>
      </c>
      <c r="F295" s="1238" t="s">
        <v>278</v>
      </c>
      <c r="G295" s="1238">
        <v>2</v>
      </c>
      <c r="H295" s="1239"/>
      <c r="I295" s="1240"/>
    </row>
    <row r="296" spans="2:9" ht="30" outlineLevel="1" x14ac:dyDescent="0.25">
      <c r="B296" s="1243" t="s">
        <v>1857</v>
      </c>
      <c r="C296" s="1236" t="s">
        <v>2431</v>
      </c>
      <c r="D296" s="1236" t="s">
        <v>1856</v>
      </c>
      <c r="E296" s="1238">
        <f>(MAX((S_B)-S_umo__MSatMin,0)/((K_SB_ana)+(S_B)))</f>
        <v>0.16666666666666666</v>
      </c>
      <c r="F296" s="1238" t="s">
        <v>278</v>
      </c>
      <c r="G296" s="1238">
        <v>2</v>
      </c>
      <c r="H296" s="1239"/>
      <c r="I296" s="1240"/>
    </row>
    <row r="297" spans="2:9" ht="18" outlineLevel="1" x14ac:dyDescent="0.25">
      <c r="B297" s="1243" t="s">
        <v>1781</v>
      </c>
      <c r="C297" s="1236" t="s">
        <v>2432</v>
      </c>
      <c r="D297" s="1236" t="s">
        <v>1782</v>
      </c>
      <c r="E297" s="1238">
        <f>(MAX((S_MEOL)-S_umo__MSatMin,0)/((K_MEOL_OHO)+(S_MEOL)))</f>
        <v>0</v>
      </c>
      <c r="F297" s="1238" t="s">
        <v>278</v>
      </c>
      <c r="G297" s="1238">
        <v>2</v>
      </c>
      <c r="H297" s="1239"/>
      <c r="I297" s="1240"/>
    </row>
    <row r="298" spans="2:9" ht="18" outlineLevel="1" x14ac:dyDescent="0.25">
      <c r="B298" s="1243" t="s">
        <v>2551</v>
      </c>
      <c r="C298" s="1236" t="s">
        <v>2433</v>
      </c>
      <c r="D298" s="1236" t="s">
        <v>2541</v>
      </c>
      <c r="E298" s="1238">
        <f>(MAX((S_NOx)-S_umo__MSatMin,0)/((K_NOx_OHO)+(S_NOx)))</f>
        <v>0.9940357852882703</v>
      </c>
      <c r="F298" s="1238" t="s">
        <v>278</v>
      </c>
      <c r="G298" s="1238">
        <v>2</v>
      </c>
      <c r="H298" s="1239"/>
      <c r="I298" s="1240"/>
    </row>
    <row r="299" spans="2:9" ht="18" outlineLevel="1" x14ac:dyDescent="0.25">
      <c r="B299" s="1243" t="s">
        <v>1779</v>
      </c>
      <c r="C299" s="1236" t="s">
        <v>2434</v>
      </c>
      <c r="D299" s="1236" t="s">
        <v>1780</v>
      </c>
      <c r="E299" s="1238">
        <f>(MAX((S_O2)-S_umo__MSatMin,0)/((K_O2_OHO)+(S_O2)))</f>
        <v>0.93023255813953487</v>
      </c>
      <c r="F299" s="1238" t="s">
        <v>278</v>
      </c>
      <c r="G299" s="1238">
        <v>2</v>
      </c>
      <c r="H299" s="1239"/>
      <c r="I299" s="1240"/>
    </row>
    <row r="300" spans="2:9" ht="18" outlineLevel="1" x14ac:dyDescent="0.25">
      <c r="B300" s="1243" t="s">
        <v>893</v>
      </c>
      <c r="C300" s="1236" t="s">
        <v>2435</v>
      </c>
      <c r="D300" s="1236" t="s">
        <v>894</v>
      </c>
      <c r="E300" s="1238">
        <f>(MAX((S_VFA)-S_umo__MSatMin,0)/((K_VFA)+(S_VFA)))</f>
        <v>1.9607843137254902E-2</v>
      </c>
      <c r="F300" s="1238" t="s">
        <v>278</v>
      </c>
      <c r="G300" s="1238">
        <v>2</v>
      </c>
      <c r="H300" s="1239"/>
      <c r="I300" s="1240"/>
    </row>
    <row r="301" spans="2:9" ht="18" outlineLevel="1" x14ac:dyDescent="0.25">
      <c r="B301" s="1243" t="s">
        <v>2163</v>
      </c>
      <c r="C301" s="1236" t="s">
        <v>2162</v>
      </c>
      <c r="D301" s="1236" t="s">
        <v>4115</v>
      </c>
      <c r="E301" s="1238">
        <f>((S_VFA)/((S_VFA)+(K_VFA_FERM)*EXP(((K_VFA_FERM)-(S_VFA))*(L_ogslopeVFA_FERM))))</f>
        <v>4.4767737282903354E-217</v>
      </c>
      <c r="F301" s="1238" t="s">
        <v>278</v>
      </c>
      <c r="G301" s="1238">
        <v>2</v>
      </c>
      <c r="H301" s="1239"/>
      <c r="I301" s="1240"/>
    </row>
    <row r="302" spans="2:9" ht="18" outlineLevel="1" x14ac:dyDescent="0.25">
      <c r="B302" s="1243" t="s">
        <v>2164</v>
      </c>
      <c r="C302" s="1236" t="s">
        <v>4305</v>
      </c>
      <c r="D302" s="1236" t="s">
        <v>4116</v>
      </c>
      <c r="E302" s="1238">
        <f>(1-(S_VFA)/((S_VFA)+(K_VFA_FERM)*EXP(((K_VFA_FERM)-(S_VFA))*(L_ogslopeVFA_FERM))))</f>
        <v>1</v>
      </c>
      <c r="F302" s="1238" t="s">
        <v>278</v>
      </c>
      <c r="G302" s="1238">
        <v>2</v>
      </c>
      <c r="H302" s="1239"/>
      <c r="I302" s="1240"/>
    </row>
    <row r="303" spans="2:9" ht="18" outlineLevel="1" x14ac:dyDescent="0.25">
      <c r="B303" s="1345" t="s">
        <v>2543</v>
      </c>
      <c r="C303" s="1346" t="s">
        <v>2436</v>
      </c>
      <c r="D303" s="1346" t="s">
        <v>2542</v>
      </c>
      <c r="E303" s="1347">
        <f>((K_NOx_MEOLO)/((K_NOx_MEOLO)+(S_NOx)))</f>
        <v>5.9642147117296221E-3</v>
      </c>
      <c r="F303" s="1347" t="s">
        <v>278</v>
      </c>
      <c r="G303" s="1347">
        <v>2</v>
      </c>
      <c r="H303" s="1348"/>
      <c r="I303" s="1349"/>
    </row>
    <row r="304" spans="2:9" ht="18" outlineLevel="1" x14ac:dyDescent="0.25">
      <c r="B304" s="1345" t="s">
        <v>3209</v>
      </c>
      <c r="C304" s="1346" t="s">
        <v>2437</v>
      </c>
      <c r="D304" s="1346" t="s">
        <v>3210</v>
      </c>
      <c r="E304" s="1347">
        <f>((K_iO2_MEOLO)/((K_iO2_MEOLO)+(S_O2)))</f>
        <v>2.4390243902439029E-2</v>
      </c>
      <c r="F304" s="1347" t="s">
        <v>278</v>
      </c>
      <c r="G304" s="1347">
        <v>2</v>
      </c>
      <c r="H304" s="1348"/>
      <c r="I304" s="1349"/>
    </row>
    <row r="305" spans="2:9" ht="18" outlineLevel="1" x14ac:dyDescent="0.25">
      <c r="B305" s="1345" t="s">
        <v>1783</v>
      </c>
      <c r="C305" s="1346" t="s">
        <v>2438</v>
      </c>
      <c r="D305" s="1346" t="s">
        <v>1784</v>
      </c>
      <c r="E305" s="1347">
        <f>(MAX((S_MEOL)-S_umo__MSatMin,0)/((K_MEOL)+(S_MEOL)))</f>
        <v>0</v>
      </c>
      <c r="F305" s="1347" t="s">
        <v>278</v>
      </c>
      <c r="G305" s="1347">
        <v>2</v>
      </c>
      <c r="H305" s="1348"/>
      <c r="I305" s="1349"/>
    </row>
    <row r="306" spans="2:9" ht="18" outlineLevel="1" x14ac:dyDescent="0.25">
      <c r="B306" s="1345" t="s">
        <v>2441</v>
      </c>
      <c r="C306" s="1346" t="s">
        <v>2439</v>
      </c>
      <c r="D306" s="1346" t="s">
        <v>2442</v>
      </c>
      <c r="E306" s="1347">
        <f>(MAX((S_NOx)-S_umo__MSatMin,0)/((K_NOx_MEOLO)+(S_NOx)))</f>
        <v>0.9940357852882703</v>
      </c>
      <c r="F306" s="1347" t="s">
        <v>278</v>
      </c>
      <c r="G306" s="1347">
        <v>2</v>
      </c>
      <c r="H306" s="1348"/>
      <c r="I306" s="1349"/>
    </row>
    <row r="307" spans="2:9" ht="18" outlineLevel="1" x14ac:dyDescent="0.25">
      <c r="B307" s="1345" t="s">
        <v>3226</v>
      </c>
      <c r="C307" s="1346" t="s">
        <v>2440</v>
      </c>
      <c r="D307" s="1346" t="s">
        <v>3227</v>
      </c>
      <c r="E307" s="1347">
        <f>(MAX((S_O2)-S_umo__MSatMin,0)/((K_iO2_MEOLO)+(S_O2)))</f>
        <v>0.97560975609756106</v>
      </c>
      <c r="F307" s="1347" t="s">
        <v>278</v>
      </c>
      <c r="G307" s="1347">
        <v>2</v>
      </c>
      <c r="H307" s="1348"/>
      <c r="I307" s="1349"/>
    </row>
    <row r="308" spans="2:9" ht="18" outlineLevel="1" x14ac:dyDescent="0.25">
      <c r="B308" s="1218" t="s">
        <v>2443</v>
      </c>
      <c r="C308" s="1212" t="s">
        <v>2444</v>
      </c>
      <c r="D308" s="1212" t="s">
        <v>2445</v>
      </c>
      <c r="E308" s="1214">
        <f>((K_NOx_NITO)/((K_NOx_NITO)+(S_NOx)))</f>
        <v>5.9642147117296221E-3</v>
      </c>
      <c r="F308" s="1214" t="s">
        <v>278</v>
      </c>
      <c r="G308" s="1214">
        <v>2</v>
      </c>
      <c r="H308" s="1215"/>
      <c r="I308" s="1216"/>
    </row>
    <row r="309" spans="2:9" ht="18" outlineLevel="1" x14ac:dyDescent="0.25">
      <c r="B309" s="1218" t="s">
        <v>1812</v>
      </c>
      <c r="C309" s="1212" t="s">
        <v>2446</v>
      </c>
      <c r="D309" s="1212" t="s">
        <v>1813</v>
      </c>
      <c r="E309" s="1214">
        <f>((K_O2_NITO)/((K_O2_NITO)+(S_O2)))</f>
        <v>0.2</v>
      </c>
      <c r="F309" s="1214" t="s">
        <v>278</v>
      </c>
      <c r="G309" s="1214">
        <v>2</v>
      </c>
      <c r="H309" s="1215"/>
      <c r="I309" s="1216"/>
    </row>
    <row r="310" spans="2:9" ht="18" outlineLevel="1" x14ac:dyDescent="0.25">
      <c r="B310" s="1218" t="s">
        <v>1775</v>
      </c>
      <c r="C310" s="1212" t="s">
        <v>2447</v>
      </c>
      <c r="D310" s="1212" t="s">
        <v>1776</v>
      </c>
      <c r="E310" s="1214">
        <f>(MAX((S_NHx)-S_umo__MSatMin,0)/((K_NHx_NITO)+(S_NHx)))</f>
        <v>0.58823529411764708</v>
      </c>
      <c r="F310" s="1214" t="s">
        <v>278</v>
      </c>
      <c r="G310" s="1214">
        <v>2</v>
      </c>
      <c r="H310" s="1215"/>
      <c r="I310" s="1216"/>
    </row>
    <row r="311" spans="2:9" ht="18" outlineLevel="1" x14ac:dyDescent="0.25">
      <c r="B311" s="1218" t="s">
        <v>2448</v>
      </c>
      <c r="C311" s="1212" t="s">
        <v>2449</v>
      </c>
      <c r="D311" s="1212" t="s">
        <v>2450</v>
      </c>
      <c r="E311" s="1214">
        <f>(MAX((S_NOx)-S_umo__MSatMin,0)/((K_NOx_NITO)+(S_NOx)))</f>
        <v>0.9940357852882703</v>
      </c>
      <c r="F311" s="1214" t="s">
        <v>278</v>
      </c>
      <c r="G311" s="1214">
        <v>2</v>
      </c>
      <c r="H311" s="1215"/>
      <c r="I311" s="1216"/>
    </row>
    <row r="312" spans="2:9" ht="18" outlineLevel="1" x14ac:dyDescent="0.25">
      <c r="B312" s="1218" t="s">
        <v>1777</v>
      </c>
      <c r="C312" s="1212" t="s">
        <v>2451</v>
      </c>
      <c r="D312" s="1212" t="s">
        <v>1778</v>
      </c>
      <c r="E312" s="1214">
        <f>(MAX((S_O2)-S_umo__MSatMin,0)/((K_O2_NITO)+(S_O2)))</f>
        <v>0.8</v>
      </c>
      <c r="F312" s="1214" t="s">
        <v>278</v>
      </c>
      <c r="G312" s="1214">
        <v>2</v>
      </c>
      <c r="H312" s="1215"/>
      <c r="I312" s="1216"/>
    </row>
    <row r="313" spans="2:9" ht="18" outlineLevel="1" x14ac:dyDescent="0.25">
      <c r="B313" s="1282" t="s">
        <v>3890</v>
      </c>
      <c r="C313" s="1276" t="s">
        <v>3889</v>
      </c>
      <c r="D313" s="1276" t="s">
        <v>3888</v>
      </c>
      <c r="E313" s="1278">
        <f>((K_NOx_CASTO)/((K_NOx_CASTO)+(S_NOx)))</f>
        <v>5.9642147117296221E-3</v>
      </c>
      <c r="F313" s="1278" t="s">
        <v>278</v>
      </c>
      <c r="G313" s="1278">
        <v>2</v>
      </c>
      <c r="H313" s="1277"/>
      <c r="I313" s="1279"/>
    </row>
    <row r="314" spans="2:9" ht="18" outlineLevel="1" x14ac:dyDescent="0.25">
      <c r="B314" s="1282" t="s">
        <v>3874</v>
      </c>
      <c r="C314" s="1276" t="s">
        <v>3873</v>
      </c>
      <c r="D314" s="1276" t="s">
        <v>3872</v>
      </c>
      <c r="E314" s="1278">
        <f>((K_O2_CASTO)/((K_O2_CASTO)+(S_O2)))</f>
        <v>2.4390243902439029E-2</v>
      </c>
      <c r="F314" s="1278" t="s">
        <v>278</v>
      </c>
      <c r="G314" s="1278">
        <v>2</v>
      </c>
      <c r="H314" s="1277"/>
      <c r="I314" s="1279"/>
    </row>
    <row r="315" spans="2:9" ht="18" outlineLevel="1" x14ac:dyDescent="0.25">
      <c r="B315" s="1282" t="s">
        <v>2544</v>
      </c>
      <c r="C315" s="1276" t="s">
        <v>2452</v>
      </c>
      <c r="D315" s="1276" t="s">
        <v>2545</v>
      </c>
      <c r="E315" s="1278">
        <f>((K_iPO4_lim)/((K_iPO4_lim)+(S_PO4)))</f>
        <v>9.9009900990099011E-3</v>
      </c>
      <c r="F315" s="1278" t="s">
        <v>278</v>
      </c>
      <c r="G315" s="1278">
        <v>2</v>
      </c>
      <c r="H315" s="1277"/>
      <c r="I315" s="1279"/>
    </row>
    <row r="316" spans="2:9" ht="18" outlineLevel="1" x14ac:dyDescent="0.25">
      <c r="B316" s="1282" t="s">
        <v>3825</v>
      </c>
      <c r="C316" s="1276" t="s">
        <v>4757</v>
      </c>
      <c r="D316" s="1276" t="s">
        <v>3826</v>
      </c>
      <c r="E316" s="1278">
        <f>(((X_STC)/(X_CASTO))/((X_STC)/(X_CASTO)+(K_STC)))</f>
        <v>0.31506849315068486</v>
      </c>
      <c r="F316" s="1278" t="s">
        <v>278</v>
      </c>
      <c r="G316" s="1278">
        <v>2</v>
      </c>
      <c r="H316" s="1277"/>
      <c r="I316" s="1279"/>
    </row>
    <row r="317" spans="2:9" ht="18" outlineLevel="1" x14ac:dyDescent="0.25">
      <c r="B317" s="1282" t="s">
        <v>3840</v>
      </c>
      <c r="C317" s="1276" t="s">
        <v>4299</v>
      </c>
      <c r="D317" s="1276" t="s">
        <v>4709</v>
      </c>
      <c r="E317" s="1278">
        <f>(((X_PHA_PAO)/(X_PAO))/((X_PHA_PAO)/(X_PAO)+(K_PHA)))</f>
        <v>0.8214285714285714</v>
      </c>
      <c r="F317" s="1278" t="s">
        <v>278</v>
      </c>
      <c r="G317" s="1278">
        <v>2</v>
      </c>
      <c r="H317" s="1277"/>
      <c r="I317" s="1279"/>
    </row>
    <row r="318" spans="2:9" ht="18" outlineLevel="1" x14ac:dyDescent="0.25">
      <c r="B318" s="1282" t="s">
        <v>3858</v>
      </c>
      <c r="C318" s="1276" t="s">
        <v>4300</v>
      </c>
      <c r="D318" s="1276" t="s">
        <v>4710</v>
      </c>
      <c r="E318" s="1278">
        <f>(((K_PHA_cle))/((X_PHA_PAO)/(X_PAO)+(K_PHA_cle)))</f>
        <v>0.68493150684931503</v>
      </c>
      <c r="F318" s="1278" t="s">
        <v>278</v>
      </c>
      <c r="G318" s="1278">
        <v>2</v>
      </c>
      <c r="H318" s="1277"/>
      <c r="I318" s="1279"/>
    </row>
    <row r="319" spans="2:9" ht="18" outlineLevel="1" x14ac:dyDescent="0.25">
      <c r="B319" s="1282" t="s">
        <v>3827</v>
      </c>
      <c r="C319" s="1276" t="s">
        <v>4758</v>
      </c>
      <c r="D319" s="1276" t="s">
        <v>3828</v>
      </c>
      <c r="E319" s="1278">
        <f>(((K_STC))/((X_STC)/(X_CASTO)+(K_STC)))</f>
        <v>0.68493150684931503</v>
      </c>
      <c r="F319" s="1278" t="s">
        <v>278</v>
      </c>
      <c r="G319" s="1278">
        <v>2</v>
      </c>
      <c r="H319" s="1277"/>
      <c r="I319" s="1279"/>
    </row>
    <row r="320" spans="2:9" ht="18" outlineLevel="1" x14ac:dyDescent="0.25">
      <c r="B320" s="1282" t="s">
        <v>3856</v>
      </c>
      <c r="C320" s="1276" t="s">
        <v>4301</v>
      </c>
      <c r="D320" s="1276" t="s">
        <v>3857</v>
      </c>
      <c r="E320" s="1278">
        <f>(((K_PP))/((X_PP)/(X_PAO)+(K_PP)))</f>
        <v>6.7567567567567571E-2</v>
      </c>
      <c r="F320" s="1278" t="s">
        <v>278</v>
      </c>
      <c r="G320" s="1278">
        <v>2</v>
      </c>
      <c r="H320" s="1277"/>
      <c r="I320" s="1279"/>
    </row>
    <row r="321" spans="2:9" ht="18" outlineLevel="1" x14ac:dyDescent="0.25">
      <c r="B321" s="1282" t="s">
        <v>3842</v>
      </c>
      <c r="C321" s="1276" t="s">
        <v>4302</v>
      </c>
      <c r="D321" s="1276" t="s">
        <v>3843</v>
      </c>
      <c r="E321" s="1278">
        <f>(((X_PP)/(X_PAO))/((X_PP)/(X_PAO)+(K_PP)))</f>
        <v>0.93243243243243235</v>
      </c>
      <c r="F321" s="1278" t="s">
        <v>278</v>
      </c>
      <c r="G321" s="1278">
        <v>2</v>
      </c>
      <c r="H321" s="1277"/>
      <c r="I321" s="1279"/>
    </row>
    <row r="322" spans="2:9" ht="18" outlineLevel="1" x14ac:dyDescent="0.25">
      <c r="B322" s="1282" t="s">
        <v>1797</v>
      </c>
      <c r="C322" s="1276" t="s">
        <v>2453</v>
      </c>
      <c r="D322" s="1276" t="s">
        <v>1798</v>
      </c>
      <c r="E322" s="1278">
        <f>(MAX((S_Ca)-S_umo__MSatMin,0)/((K_Ca_PAO)+(S_Ca)))</f>
        <v>0.9999933333777774</v>
      </c>
      <c r="F322" s="1278" t="s">
        <v>278</v>
      </c>
      <c r="G322" s="1278">
        <v>2</v>
      </c>
      <c r="H322" s="1277"/>
      <c r="I322" s="1279"/>
    </row>
    <row r="323" spans="2:9" ht="18" outlineLevel="1" x14ac:dyDescent="0.25">
      <c r="B323" s="1282" t="s">
        <v>1801</v>
      </c>
      <c r="C323" s="1276" t="s">
        <v>2454</v>
      </c>
      <c r="D323" s="1276" t="s">
        <v>1802</v>
      </c>
      <c r="E323" s="1278">
        <f>(MAX((S_K)-S_umo__MSatMin,0)/((K_K_PAO)+(S_K)))</f>
        <v>0.9999333377774815</v>
      </c>
      <c r="F323" s="1278" t="s">
        <v>278</v>
      </c>
      <c r="G323" s="1278">
        <v>2</v>
      </c>
      <c r="H323" s="1277"/>
      <c r="I323" s="1279"/>
    </row>
    <row r="324" spans="2:9" ht="18" outlineLevel="1" x14ac:dyDescent="0.25">
      <c r="B324" s="1282" t="s">
        <v>1799</v>
      </c>
      <c r="C324" s="1276" t="s">
        <v>2455</v>
      </c>
      <c r="D324" s="1276" t="s">
        <v>1800</v>
      </c>
      <c r="E324" s="1278">
        <f>(MAX((S_Mg)-S_umo__MSatMin,0)/((K_Mg_PAO)+(S_Mg)))</f>
        <v>0.9999333377774815</v>
      </c>
      <c r="F324" s="1278" t="s">
        <v>278</v>
      </c>
      <c r="G324" s="1278">
        <v>2</v>
      </c>
      <c r="H324" s="1277"/>
      <c r="I324" s="1279"/>
    </row>
    <row r="325" spans="2:9" ht="18" outlineLevel="1" x14ac:dyDescent="0.25">
      <c r="B325" s="1282" t="s">
        <v>3879</v>
      </c>
      <c r="C325" s="1276" t="s">
        <v>3880</v>
      </c>
      <c r="D325" s="1276" t="s">
        <v>3881</v>
      </c>
      <c r="E325" s="1278">
        <f>(MAX((S_NOx)-S_umo__MSatMin,0)/((K_NOx_CASTO)+(S_NOx)))</f>
        <v>0.9940357852882703</v>
      </c>
      <c r="F325" s="1278" t="s">
        <v>278</v>
      </c>
      <c r="G325" s="1278">
        <v>2</v>
      </c>
      <c r="H325" s="1277"/>
      <c r="I325" s="1279"/>
    </row>
    <row r="326" spans="2:9" ht="18" outlineLevel="1" x14ac:dyDescent="0.25">
      <c r="B326" s="1282" t="s">
        <v>3871</v>
      </c>
      <c r="C326" s="1276" t="s">
        <v>3870</v>
      </c>
      <c r="D326" s="1276" t="s">
        <v>3869</v>
      </c>
      <c r="E326" s="1278">
        <f>(MAX((S_O2)-S_umo__MSatMin,0)/((K_O2_CASTO)+(S_O2)))</f>
        <v>0.97560975609756106</v>
      </c>
      <c r="F326" s="1278" t="s">
        <v>278</v>
      </c>
      <c r="G326" s="1278">
        <v>2</v>
      </c>
      <c r="H326" s="1277"/>
      <c r="I326" s="1279"/>
    </row>
    <row r="327" spans="2:9" ht="18" outlineLevel="1" x14ac:dyDescent="0.25">
      <c r="B327" s="1282" t="s">
        <v>3730</v>
      </c>
      <c r="C327" s="1276" t="s">
        <v>3878</v>
      </c>
      <c r="D327" s="1276" t="s">
        <v>4124</v>
      </c>
      <c r="E327" s="1278">
        <f>((S_PO4)/((S_PO4)+(K_PO4_PAO)*EXP(((K_PO4_PAO)-(S_PO4))*(L_ogslopePO4_PAO_sat))))</f>
        <v>0.99999992584528696</v>
      </c>
      <c r="F327" s="1278" t="s">
        <v>278</v>
      </c>
      <c r="G327" s="1278">
        <v>2</v>
      </c>
      <c r="H327" s="1277"/>
      <c r="I327" s="1279"/>
    </row>
    <row r="328" spans="2:9" ht="18" outlineLevel="1" x14ac:dyDescent="0.25">
      <c r="B328" s="1282" t="s">
        <v>1795</v>
      </c>
      <c r="C328" s="1276" t="s">
        <v>2456</v>
      </c>
      <c r="D328" s="1276" t="s">
        <v>1796</v>
      </c>
      <c r="E328" s="1278">
        <f>(MAX((S_PO4)-S_umo__MSatMin,0)/((K_PO4_PAO)+(S_PO4)))</f>
        <v>0.76923076923076916</v>
      </c>
      <c r="F328" s="1278" t="s">
        <v>278</v>
      </c>
      <c r="G328" s="1278">
        <v>2</v>
      </c>
      <c r="H328" s="1277"/>
      <c r="I328" s="1279"/>
    </row>
    <row r="329" spans="2:9" ht="18" outlineLevel="1" x14ac:dyDescent="0.25">
      <c r="B329" s="1282" t="s">
        <v>3844</v>
      </c>
      <c r="C329" s="1276" t="s">
        <v>3851</v>
      </c>
      <c r="D329" s="1276" t="s">
        <v>3845</v>
      </c>
      <c r="E329" s="1278">
        <f>(MAX((S_VFA)-S_umo__MSatMin,0)/((K_VFA_CASTO)+(S_VFA)))</f>
        <v>1.9960079840319364E-3</v>
      </c>
      <c r="F329" s="1278" t="s">
        <v>278</v>
      </c>
      <c r="G329" s="1278">
        <v>2</v>
      </c>
      <c r="H329" s="1277"/>
      <c r="I329" s="1279"/>
    </row>
    <row r="330" spans="2:9" ht="18" outlineLevel="1" x14ac:dyDescent="0.25">
      <c r="B330" s="1282" t="s">
        <v>4049</v>
      </c>
      <c r="C330" s="1276" t="s">
        <v>4050</v>
      </c>
      <c r="D330" s="1276" t="s">
        <v>4127</v>
      </c>
      <c r="E330" s="1281">
        <f>((X_PP)/((X_PP)+(K_PO4_PAO)*EXP(((K_PO4_PAO)-(X_PP))*(L_ogslopePP_PAO_sat))))</f>
        <v>1</v>
      </c>
      <c r="F330" s="1278" t="s">
        <v>278</v>
      </c>
      <c r="G330" s="1278">
        <v>2</v>
      </c>
      <c r="H330" s="1277"/>
      <c r="I330" s="1279"/>
    </row>
    <row r="331" spans="2:9" ht="18" outlineLevel="1" x14ac:dyDescent="0.25">
      <c r="B331" s="1282" t="s">
        <v>2114</v>
      </c>
      <c r="C331" s="1276" t="s">
        <v>2457</v>
      </c>
      <c r="D331" s="1276" t="s">
        <v>2115</v>
      </c>
      <c r="E331" s="1278">
        <f>(MAX((X_PP)-S_umo__MSatMin,0)/((K_PP_lim)+(X_PP)))</f>
        <v>0.99996666777774068</v>
      </c>
      <c r="F331" s="1278" t="s">
        <v>278</v>
      </c>
      <c r="G331" s="1278">
        <v>2</v>
      </c>
      <c r="H331" s="1277"/>
      <c r="I331" s="1279"/>
    </row>
    <row r="332" spans="2:9" ht="18" outlineLevel="1" x14ac:dyDescent="0.25">
      <c r="B332" s="1282" t="s">
        <v>3841</v>
      </c>
      <c r="C332" s="1276" t="s">
        <v>3876</v>
      </c>
      <c r="D332" s="1276" t="s">
        <v>4711</v>
      </c>
      <c r="E332" s="1281">
        <f>(1-(X_PHA_PAO/X_PAO)/((X_PHA_PAO/X_PAO)+(K_iPHA_PAO_max)*EXP(((K_iPHA_PAO_max)-(X_PHA_PAO/X_PAO))*(L_ogslopePHA_PAO_inh))))</f>
        <v>1</v>
      </c>
      <c r="F332" s="1278" t="s">
        <v>278</v>
      </c>
      <c r="G332" s="1278">
        <v>2</v>
      </c>
      <c r="H332" s="1277"/>
      <c r="I332" s="1279"/>
    </row>
    <row r="333" spans="2:9" ht="18" outlineLevel="1" x14ac:dyDescent="0.25">
      <c r="B333" s="1282" t="s">
        <v>3839</v>
      </c>
      <c r="C333" s="1276" t="s">
        <v>3877</v>
      </c>
      <c r="D333" s="1276" t="s">
        <v>4146</v>
      </c>
      <c r="E333" s="1281">
        <f>(1-(X_PP/X_PAO)/((X_PP/X_PAO)+(K_iPP_PAO_max)*EXP(((K_iPP_PAO_max)-(X_PP/X_PAO))*(L_ogslopePP_PAO_inh))))</f>
        <v>0.99999999945571982</v>
      </c>
      <c r="F333" s="1278" t="s">
        <v>278</v>
      </c>
      <c r="G333" s="1278">
        <v>2</v>
      </c>
      <c r="H333" s="1277"/>
      <c r="I333" s="1279"/>
    </row>
    <row r="334" spans="2:9" ht="18" outlineLevel="1" x14ac:dyDescent="0.25">
      <c r="B334" s="1324" t="s">
        <v>4731</v>
      </c>
      <c r="C334" s="1325" t="s">
        <v>4733</v>
      </c>
      <c r="D334" s="1325" t="s">
        <v>4732</v>
      </c>
      <c r="E334" s="1350">
        <f>(1-(X_PHA_GAO/X_GAO)/((X_PHA_GAO/X_GAO)+(K_iPHA_GAO_max)*EXP(((K_iPHA_GAO_max)-(X_PHA_GAO/X_GAO))*(L_ogslopePHA_GAO_inh))))</f>
        <v>1</v>
      </c>
      <c r="F334" s="1327" t="s">
        <v>278</v>
      </c>
      <c r="G334" s="1327">
        <v>2</v>
      </c>
      <c r="H334" s="1328"/>
      <c r="I334" s="1351"/>
    </row>
    <row r="335" spans="2:9" ht="18" outlineLevel="1" x14ac:dyDescent="0.25">
      <c r="B335" s="1324" t="s">
        <v>4745</v>
      </c>
      <c r="C335" s="1325" t="s">
        <v>4734</v>
      </c>
      <c r="D335" s="1325" t="s">
        <v>4772</v>
      </c>
      <c r="E335" s="1327">
        <f>(((K_PHA_GAO))/((X_PHA_GAO)/(X_GAO)+(K_PHA_GAO)))</f>
        <v>0.52083333333333337</v>
      </c>
      <c r="F335" s="1327" t="s">
        <v>278</v>
      </c>
      <c r="G335" s="1327">
        <v>2</v>
      </c>
      <c r="H335" s="1328"/>
      <c r="I335" s="1351"/>
    </row>
    <row r="336" spans="2:9" ht="18" outlineLevel="1" x14ac:dyDescent="0.25">
      <c r="B336" s="1324" t="s">
        <v>4746</v>
      </c>
      <c r="C336" s="1325" t="s">
        <v>4735</v>
      </c>
      <c r="D336" s="1325" t="s">
        <v>4747</v>
      </c>
      <c r="E336" s="1327">
        <f>(((X_PHA_GAO)/(X_GAO))/((X_PHA_GAO)/(X_GAO)+(K_PHA_GAO)))</f>
        <v>0.47916666666666663</v>
      </c>
      <c r="F336" s="1327" t="s">
        <v>278</v>
      </c>
      <c r="G336" s="1327">
        <v>2</v>
      </c>
      <c r="H336" s="1328"/>
      <c r="I336" s="1351"/>
    </row>
    <row r="337" spans="2:9" ht="18" outlineLevel="1" x14ac:dyDescent="0.25">
      <c r="B337" s="1352" t="s">
        <v>2473</v>
      </c>
      <c r="C337" s="1298" t="s">
        <v>2458</v>
      </c>
      <c r="D337" s="1298" t="s">
        <v>2474</v>
      </c>
      <c r="E337" s="1301">
        <f>((K_NOx_AMETO)/((K_NOx_AMETO)+(S_NOx)))</f>
        <v>9.9009900990099011E-3</v>
      </c>
      <c r="F337" s="1301" t="s">
        <v>278</v>
      </c>
      <c r="G337" s="1301">
        <v>2</v>
      </c>
      <c r="H337" s="1302"/>
      <c r="I337" s="1303"/>
    </row>
    <row r="338" spans="2:9" ht="18" outlineLevel="1" x14ac:dyDescent="0.25">
      <c r="B338" s="1352" t="s">
        <v>3211</v>
      </c>
      <c r="C338" s="1298" t="s">
        <v>2459</v>
      </c>
      <c r="D338" s="1298" t="s">
        <v>3214</v>
      </c>
      <c r="E338" s="1301">
        <f>((K_iO2_AMETO)/((K_iO2_AMETO)+(S_O2)))</f>
        <v>2.4390243902439029E-2</v>
      </c>
      <c r="F338" s="1301" t="s">
        <v>278</v>
      </c>
      <c r="G338" s="1301">
        <v>2</v>
      </c>
      <c r="H338" s="1302"/>
      <c r="I338" s="1303"/>
    </row>
    <row r="339" spans="2:9" ht="18" outlineLevel="1" x14ac:dyDescent="0.25">
      <c r="B339" s="1352" t="s">
        <v>2475</v>
      </c>
      <c r="C339" s="1298" t="s">
        <v>2460</v>
      </c>
      <c r="D339" s="1298" t="s">
        <v>2476</v>
      </c>
      <c r="E339" s="1301">
        <f>(MAX((S_NOx)-S_umo__MSatMin,0)/((K_NOx_AMETO)+(S_NOx)))</f>
        <v>0.99009900990099009</v>
      </c>
      <c r="F339" s="1301" t="s">
        <v>278</v>
      </c>
      <c r="G339" s="1301">
        <v>2</v>
      </c>
      <c r="H339" s="1302"/>
      <c r="I339" s="1303"/>
    </row>
    <row r="340" spans="2:9" ht="18" outlineLevel="1" x14ac:dyDescent="0.25">
      <c r="B340" s="1352" t="s">
        <v>3212</v>
      </c>
      <c r="C340" s="1298" t="s">
        <v>2461</v>
      </c>
      <c r="D340" s="1298" t="s">
        <v>3213</v>
      </c>
      <c r="E340" s="1301">
        <f>(MAX((S_O2)-S_umo__MSatMin,0)/((K_iO2_AMETO)+(S_O2)))</f>
        <v>0.97560975609756106</v>
      </c>
      <c r="F340" s="1301" t="s">
        <v>278</v>
      </c>
      <c r="G340" s="1301">
        <v>2</v>
      </c>
      <c r="H340" s="1302"/>
      <c r="I340" s="1303"/>
    </row>
    <row r="341" spans="2:9" ht="18" outlineLevel="1" x14ac:dyDescent="0.25">
      <c r="B341" s="1352" t="s">
        <v>1985</v>
      </c>
      <c r="C341" s="1298" t="s">
        <v>2462</v>
      </c>
      <c r="D341" s="1298" t="s">
        <v>2477</v>
      </c>
      <c r="E341" s="1301">
        <f>((S_VFA)/((K_VFA_AMETO)+(S_VFA)+((S_VFA)^2/(K_iVFA_AMETO))))</f>
        <v>2.4999375015562114E-5</v>
      </c>
      <c r="F341" s="1301" t="s">
        <v>278</v>
      </c>
      <c r="G341" s="1301">
        <v>2</v>
      </c>
      <c r="H341" s="1302"/>
      <c r="I341" s="1303"/>
    </row>
    <row r="342" spans="2:9" ht="18" outlineLevel="1" x14ac:dyDescent="0.25">
      <c r="B342" s="1353" t="s">
        <v>2478</v>
      </c>
      <c r="C342" s="1354" t="s">
        <v>2463</v>
      </c>
      <c r="D342" s="1354" t="s">
        <v>2479</v>
      </c>
      <c r="E342" s="1355">
        <f>((K_NOx_HMETO)/((K_NOx_HMETO)+(S_NOx)))</f>
        <v>9.9009900990099011E-3</v>
      </c>
      <c r="F342" s="1355" t="s">
        <v>278</v>
      </c>
      <c r="G342" s="1355">
        <v>2</v>
      </c>
      <c r="H342" s="1356"/>
      <c r="I342" s="1357"/>
    </row>
    <row r="343" spans="2:9" ht="18" outlineLevel="1" x14ac:dyDescent="0.25">
      <c r="B343" s="1353" t="s">
        <v>3215</v>
      </c>
      <c r="C343" s="1354" t="s">
        <v>2464</v>
      </c>
      <c r="D343" s="1354" t="s">
        <v>3216</v>
      </c>
      <c r="E343" s="1355">
        <f>((K_iO2_HMETO)/((K_iO2_HMETO)+(S_O2)))</f>
        <v>2.4390243902439029E-2</v>
      </c>
      <c r="F343" s="1355" t="s">
        <v>278</v>
      </c>
      <c r="G343" s="1355">
        <v>2</v>
      </c>
      <c r="H343" s="1356"/>
      <c r="I343" s="1357"/>
    </row>
    <row r="344" spans="2:9" ht="18" outlineLevel="1" x14ac:dyDescent="0.25">
      <c r="B344" s="1353" t="s">
        <v>1805</v>
      </c>
      <c r="C344" s="1354" t="s">
        <v>2465</v>
      </c>
      <c r="D344" s="1354" t="s">
        <v>1806</v>
      </c>
      <c r="E344" s="1355">
        <f>(MAX((S_H2)-S_umo__MSatMin,0)/((K_H2_HMETO)+(S_H2)))</f>
        <v>9.0909090909090912E-2</v>
      </c>
      <c r="F344" s="1355" t="s">
        <v>278</v>
      </c>
      <c r="G344" s="1355">
        <v>2</v>
      </c>
      <c r="H344" s="1356"/>
      <c r="I344" s="1357"/>
    </row>
    <row r="345" spans="2:9" ht="18" outlineLevel="1" x14ac:dyDescent="0.25">
      <c r="B345" s="1353" t="s">
        <v>2480</v>
      </c>
      <c r="C345" s="1354" t="s">
        <v>2466</v>
      </c>
      <c r="D345" s="1354" t="s">
        <v>2481</v>
      </c>
      <c r="E345" s="1355">
        <f>(MAX((S_NOx)-S_umo__MSatMin,0)/((K_NOx_HMETO)+(S_NOx)))</f>
        <v>0.99009900990099009</v>
      </c>
      <c r="F345" s="1355" t="s">
        <v>278</v>
      </c>
      <c r="G345" s="1355">
        <v>2</v>
      </c>
      <c r="H345" s="1356"/>
      <c r="I345" s="1357"/>
    </row>
    <row r="346" spans="2:9" ht="18" outlineLevel="1" x14ac:dyDescent="0.25">
      <c r="B346" s="1353" t="s">
        <v>3218</v>
      </c>
      <c r="C346" s="1354" t="s">
        <v>2467</v>
      </c>
      <c r="D346" s="1354" t="s">
        <v>3217</v>
      </c>
      <c r="E346" s="1355">
        <f>(MAX((S_O2)-S_umo__MSatMin,0)/((K_iO2_HMETO)+(S_O2)))</f>
        <v>0.97560975609756106</v>
      </c>
      <c r="F346" s="1355" t="s">
        <v>278</v>
      </c>
      <c r="G346" s="1355">
        <v>2</v>
      </c>
      <c r="H346" s="1356"/>
      <c r="I346" s="1357"/>
    </row>
    <row r="347" spans="2:9" ht="18" outlineLevel="1" x14ac:dyDescent="0.25">
      <c r="B347" s="1358" t="s">
        <v>4369</v>
      </c>
      <c r="C347" s="1359" t="s">
        <v>4372</v>
      </c>
      <c r="D347" s="1359" t="s">
        <v>4375</v>
      </c>
      <c r="E347" s="1360">
        <f>(MAX((S_CO2)-S_umo__MSatMin,0)/((K_CO2_ALGAE)+(S_CO2)))</f>
        <v>0.88095238095238093</v>
      </c>
      <c r="F347" s="1360" t="s">
        <v>278</v>
      </c>
      <c r="G347" s="1360">
        <v>2</v>
      </c>
      <c r="H347" s="1361"/>
      <c r="I347" s="1362"/>
    </row>
    <row r="348" spans="2:9" ht="18" outlineLevel="1" x14ac:dyDescent="0.25">
      <c r="B348" s="1358" t="s">
        <v>4370</v>
      </c>
      <c r="C348" s="1359" t="s">
        <v>4396</v>
      </c>
      <c r="D348" s="1359" t="s">
        <v>4376</v>
      </c>
      <c r="E348" s="1360">
        <f>(MAX((S_NOx)-S_umo__MSatMin,0)/((K_NOx_ALGAE)+(S_NOx)))</f>
        <v>0.90909090909090906</v>
      </c>
      <c r="F348" s="1360" t="s">
        <v>278</v>
      </c>
      <c r="G348" s="1360">
        <v>2</v>
      </c>
      <c r="H348" s="1361"/>
      <c r="I348" s="1362"/>
    </row>
    <row r="349" spans="2:9" ht="18" outlineLevel="1" x14ac:dyDescent="0.25">
      <c r="B349" s="1358" t="s">
        <v>4388</v>
      </c>
      <c r="C349" s="1359" t="s">
        <v>4397</v>
      </c>
      <c r="D349" s="1359" t="s">
        <v>4389</v>
      </c>
      <c r="E349" s="1360">
        <f>(MAX((S_NHx)-S_umo__MSatMin,0)/((K_NHx_ALGAE)+(S_NHx)))</f>
        <v>0.58823529411764708</v>
      </c>
      <c r="F349" s="1360" t="s">
        <v>278</v>
      </c>
      <c r="G349" s="1360">
        <v>2</v>
      </c>
      <c r="H349" s="1361"/>
      <c r="I349" s="1362"/>
    </row>
    <row r="350" spans="2:9" ht="18" outlineLevel="1" x14ac:dyDescent="0.25">
      <c r="B350" s="1358" t="s">
        <v>4368</v>
      </c>
      <c r="C350" s="1359" t="s">
        <v>4371</v>
      </c>
      <c r="D350" s="1359" t="s">
        <v>4377</v>
      </c>
      <c r="E350" s="1360">
        <f>(MAX((S_O2)-S_umo__MSatMin,0)/((K_O2_ALGAE)+(S_O2)))</f>
        <v>0.97560975609756106</v>
      </c>
      <c r="F350" s="1360" t="s">
        <v>278</v>
      </c>
      <c r="G350" s="1360">
        <v>2</v>
      </c>
      <c r="H350" s="1361"/>
      <c r="I350" s="1362"/>
    </row>
    <row r="351" spans="2:9" ht="18" outlineLevel="1" x14ac:dyDescent="0.25">
      <c r="B351" s="1358" t="s">
        <v>4367</v>
      </c>
      <c r="C351" s="1359" t="s">
        <v>4373</v>
      </c>
      <c r="D351" s="1359" t="s">
        <v>4379</v>
      </c>
      <c r="E351" s="1360">
        <f>((K_O2_ALGAE)/((K_O2_ALGAE)+(S_O2)))</f>
        <v>2.4390243902439029E-2</v>
      </c>
      <c r="F351" s="1360" t="s">
        <v>278</v>
      </c>
      <c r="G351" s="1360">
        <v>2</v>
      </c>
      <c r="H351" s="1361"/>
      <c r="I351" s="1362"/>
    </row>
    <row r="352" spans="2:9" ht="18" outlineLevel="1" x14ac:dyDescent="0.25">
      <c r="B352" s="1358" t="s">
        <v>4366</v>
      </c>
      <c r="C352" s="1359" t="s">
        <v>4374</v>
      </c>
      <c r="D352" s="1359" t="s">
        <v>4378</v>
      </c>
      <c r="E352" s="1360">
        <f>((K_iNHx_ALGAE)/((K_iNHx_ALGAE)+(S_NHx)))</f>
        <v>0.33333333333333331</v>
      </c>
      <c r="F352" s="1360" t="s">
        <v>278</v>
      </c>
      <c r="G352" s="1360">
        <v>2</v>
      </c>
      <c r="H352" s="1361"/>
      <c r="I352" s="1362"/>
    </row>
    <row r="353" spans="2:9" ht="18" outlineLevel="1" x14ac:dyDescent="0.25">
      <c r="B353" s="1363" t="s">
        <v>2482</v>
      </c>
      <c r="C353" s="1364" t="s">
        <v>2625</v>
      </c>
      <c r="D353" s="1364" t="s">
        <v>2483</v>
      </c>
      <c r="E353" s="1365">
        <f>((K_iNHx_ASSIM)/((K_iNHx_ASSIM)+(S_NHx)))</f>
        <v>4.9975012493753133E-4</v>
      </c>
      <c r="F353" s="1365" t="s">
        <v>278</v>
      </c>
      <c r="G353" s="1365">
        <v>2</v>
      </c>
      <c r="H353" s="1366"/>
      <c r="I353" s="1367"/>
    </row>
    <row r="354" spans="2:9" ht="30" outlineLevel="1" x14ac:dyDescent="0.25">
      <c r="B354" s="1363" t="s">
        <v>4497</v>
      </c>
      <c r="C354" s="1364" t="s">
        <v>4498</v>
      </c>
      <c r="D354" s="1364" t="s">
        <v>4499</v>
      </c>
      <c r="E354" s="1365">
        <f>(MAX((C_B)-S_umo__MSatMin,0)/((K_CB_FLOC)+(C_B)))</f>
        <v>1.9960079840319364E-3</v>
      </c>
      <c r="F354" s="1365" t="s">
        <v>278</v>
      </c>
      <c r="G354" s="1365">
        <v>2</v>
      </c>
      <c r="H354" s="1366"/>
      <c r="I354" s="1367"/>
    </row>
    <row r="355" spans="2:9" ht="30" outlineLevel="1" x14ac:dyDescent="0.25">
      <c r="B355" s="1363" t="s">
        <v>4500</v>
      </c>
      <c r="C355" s="1364" t="s">
        <v>4501</v>
      </c>
      <c r="D355" s="1364" t="s">
        <v>4502</v>
      </c>
      <c r="E355" s="1365">
        <f>(MAX((C_U)-S_umo__MSatMin,0)/((K_CU_FLOC)+(C_U)))</f>
        <v>9.9009900990099011E-3</v>
      </c>
      <c r="F355" s="1365" t="s">
        <v>278</v>
      </c>
      <c r="G355" s="1365">
        <v>2</v>
      </c>
      <c r="H355" s="1366"/>
      <c r="I355" s="1367"/>
    </row>
    <row r="356" spans="2:9" ht="30" outlineLevel="1" x14ac:dyDescent="0.25">
      <c r="B356" s="1363" t="s">
        <v>4629</v>
      </c>
      <c r="C356" s="1364" t="s">
        <v>4634</v>
      </c>
      <c r="D356" s="1364" t="s">
        <v>4633</v>
      </c>
      <c r="E356" s="1365">
        <f>(MAX((C_B)-S_umo__MSatMin,0)/((K_CB_FLOC_HFO)+(C_B)))</f>
        <v>1.9960079840319364E-3</v>
      </c>
      <c r="F356" s="1365" t="s">
        <v>278</v>
      </c>
      <c r="G356" s="1365">
        <v>2</v>
      </c>
      <c r="H356" s="1366"/>
      <c r="I356" s="1367"/>
    </row>
    <row r="357" spans="2:9" ht="30" outlineLevel="1" x14ac:dyDescent="0.25">
      <c r="B357" s="1363" t="s">
        <v>4630</v>
      </c>
      <c r="C357" s="1364" t="s">
        <v>4631</v>
      </c>
      <c r="D357" s="1364" t="s">
        <v>4632</v>
      </c>
      <c r="E357" s="1365">
        <f>(MAX((C_U)-S_umo__MSatMin,0)/((K_CU_FLOC_HFO)+(C_U)))</f>
        <v>9.9009900990099011E-3</v>
      </c>
      <c r="F357" s="1365" t="s">
        <v>278</v>
      </c>
      <c r="G357" s="1365">
        <v>2</v>
      </c>
      <c r="H357" s="1366"/>
      <c r="I357" s="1367"/>
    </row>
    <row r="358" spans="2:9" ht="30" outlineLevel="1" x14ac:dyDescent="0.25">
      <c r="B358" s="1363" t="s">
        <v>4635</v>
      </c>
      <c r="C358" s="1364" t="s">
        <v>4637</v>
      </c>
      <c r="D358" s="1364" t="s">
        <v>4639</v>
      </c>
      <c r="E358" s="1365">
        <f>(MAX((C_B)-S_umo__MSatMin,0)/((K_CB_FLOC_HAO)+(C_B)))</f>
        <v>1.9960079840319364E-3</v>
      </c>
      <c r="F358" s="1365" t="s">
        <v>278</v>
      </c>
      <c r="G358" s="1365">
        <v>2</v>
      </c>
      <c r="H358" s="1366"/>
      <c r="I358" s="1367"/>
    </row>
    <row r="359" spans="2:9" ht="30" outlineLevel="1" x14ac:dyDescent="0.25">
      <c r="B359" s="1363" t="s">
        <v>4636</v>
      </c>
      <c r="C359" s="1364" t="s">
        <v>4638</v>
      </c>
      <c r="D359" s="1364" t="s">
        <v>4640</v>
      </c>
      <c r="E359" s="1365">
        <f>(MAX((C_U)-S_umo__MSatMin,0)/((K_CU_FLOC_HAO)+(C_U)))</f>
        <v>9.9009900990099011E-3</v>
      </c>
      <c r="F359" s="1365" t="s">
        <v>278</v>
      </c>
      <c r="G359" s="1365">
        <v>2</v>
      </c>
      <c r="H359" s="1366"/>
      <c r="I359" s="1367"/>
    </row>
    <row r="360" spans="2:9" ht="30" outlineLevel="1" x14ac:dyDescent="0.25">
      <c r="B360" s="1363" t="s">
        <v>4402</v>
      </c>
      <c r="C360" s="1364" t="s">
        <v>2468</v>
      </c>
      <c r="D360" s="1364" t="s">
        <v>4404</v>
      </c>
      <c r="E360" s="1365">
        <f>(((X_B)/(X_HET))/((X_B)/(X_HET)+(K_HYD)))</f>
        <v>0.21869874248223073</v>
      </c>
      <c r="F360" s="1365" t="s">
        <v>278</v>
      </c>
      <c r="G360" s="1365">
        <v>2</v>
      </c>
      <c r="H360" s="1366"/>
      <c r="I360" s="1367"/>
    </row>
    <row r="361" spans="2:9" ht="30" outlineLevel="1" x14ac:dyDescent="0.25">
      <c r="B361" s="1363" t="s">
        <v>4688</v>
      </c>
      <c r="C361" s="1364" t="s">
        <v>4689</v>
      </c>
      <c r="D361" s="1364" t="s">
        <v>4690</v>
      </c>
      <c r="E361" s="1365">
        <f>(((X_B_e)/(X_HET))/((X_B_e)/(X_HET)+(K_HYD)))</f>
        <v>0.56514367691170719</v>
      </c>
      <c r="F361" s="1365" t="s">
        <v>278</v>
      </c>
      <c r="G361" s="1365">
        <v>2</v>
      </c>
      <c r="H361" s="1366"/>
      <c r="I361" s="1367"/>
    </row>
    <row r="362" spans="2:9" ht="30" outlineLevel="1" x14ac:dyDescent="0.25">
      <c r="B362" s="1368" t="s">
        <v>4403</v>
      </c>
      <c r="C362" s="1364" t="s">
        <v>2469</v>
      </c>
      <c r="D362" s="1364" t="s">
        <v>4405</v>
      </c>
      <c r="E362" s="1365">
        <f>(((X_E_ana)/(X_HET))/((X_E_ana)/(X_HET)+(K_HYD)))</f>
        <v>1.9954105557218401E-3</v>
      </c>
      <c r="F362" s="1365" t="s">
        <v>278</v>
      </c>
      <c r="G362" s="1365">
        <v>2</v>
      </c>
      <c r="H362" s="1366"/>
      <c r="I362" s="1367"/>
    </row>
    <row r="363" spans="2:9" ht="30" outlineLevel="1" x14ac:dyDescent="0.25">
      <c r="B363" s="1363" t="s">
        <v>4503</v>
      </c>
      <c r="C363" s="1364" t="s">
        <v>4504</v>
      </c>
      <c r="D363" s="1364" t="s">
        <v>4505</v>
      </c>
      <c r="E363" s="1365">
        <f>(MAX((X_B)-S_umo__MSatMin,0)/((K_XB_HYD)+(X_B)))</f>
        <v>2.7237354085603113E-2</v>
      </c>
      <c r="F363" s="1365" t="s">
        <v>278</v>
      </c>
      <c r="G363" s="1365">
        <v>2</v>
      </c>
      <c r="H363" s="1366"/>
      <c r="I363" s="1367"/>
    </row>
    <row r="364" spans="2:9" ht="30" outlineLevel="1" x14ac:dyDescent="0.25">
      <c r="B364" s="1363" t="s">
        <v>4691</v>
      </c>
      <c r="C364" s="1364" t="s">
        <v>4692</v>
      </c>
      <c r="D364" s="1364" t="s">
        <v>4693</v>
      </c>
      <c r="E364" s="1365">
        <f>(MAX((X_B_e)-S_umo__MSatMin,0)/((K_XBe_HYD)+(X_B_e)))</f>
        <v>0.11504424778761062</v>
      </c>
      <c r="F364" s="1365" t="s">
        <v>278</v>
      </c>
      <c r="G364" s="1365">
        <v>2</v>
      </c>
      <c r="H364" s="1366"/>
      <c r="I364" s="1367"/>
    </row>
    <row r="365" spans="2:9" ht="30" outlineLevel="1" x14ac:dyDescent="0.25">
      <c r="B365" s="1363" t="s">
        <v>4506</v>
      </c>
      <c r="C365" s="1364" t="s">
        <v>4507</v>
      </c>
      <c r="D365" s="1364" t="s">
        <v>4508</v>
      </c>
      <c r="E365" s="1365">
        <f>(MAX((X_E_ana)-S_umo__MSatMin,0)/((K_XEana_HYD)+(X_E_ana)))</f>
        <v>1.9996000799840031E-4</v>
      </c>
      <c r="F365" s="1365" t="s">
        <v>278</v>
      </c>
      <c r="G365" s="1365">
        <v>2</v>
      </c>
      <c r="H365" s="1366"/>
      <c r="I365" s="1367"/>
    </row>
    <row r="366" spans="2:9" ht="18" outlineLevel="1" x14ac:dyDescent="0.25">
      <c r="B366" s="1363" t="s">
        <v>4509</v>
      </c>
      <c r="C366" s="1364" t="s">
        <v>4589</v>
      </c>
      <c r="D366" s="1364" t="s">
        <v>4510</v>
      </c>
      <c r="E366" s="1365">
        <f>((-1)*(2/((X_HET_HYD_lim)*(L_ograngeXHET_HYD_lim)))*LN((1/19)*(1+(1/2)*((X_HET_HYD_lim)*(L_ograngeXHET_HYD_lim)/(X_HET_HYD_lim)))))</f>
        <v>0.11582595259988035</v>
      </c>
      <c r="F366" s="1365" t="s">
        <v>1177</v>
      </c>
      <c r="G366" s="1365">
        <v>1</v>
      </c>
      <c r="H366" s="1366"/>
      <c r="I366" s="1367" t="s">
        <v>4177</v>
      </c>
    </row>
    <row r="367" spans="2:9" ht="18" outlineLevel="1" x14ac:dyDescent="0.25">
      <c r="B367" s="1363" t="s">
        <v>4511</v>
      </c>
      <c r="C367" s="1364" t="s">
        <v>4512</v>
      </c>
      <c r="D367" s="1364" t="s">
        <v>4513</v>
      </c>
      <c r="E367" s="1365">
        <f>((X_HET)/((X_HET)+(X_HET_HYD_lim)*EXP(((X_HET_HYD_lim)-(X_HET))*(L_ogslopeXHET_HYD_lim))))</f>
        <v>1</v>
      </c>
      <c r="F367" s="1365" t="s">
        <v>278</v>
      </c>
      <c r="G367" s="1365">
        <v>2</v>
      </c>
      <c r="H367" s="1366"/>
      <c r="I367" s="1367"/>
    </row>
    <row r="368" spans="2:9" ht="18" outlineLevel="1" x14ac:dyDescent="0.25">
      <c r="B368" s="1363" t="s">
        <v>4514</v>
      </c>
      <c r="C368" s="1364" t="s">
        <v>4515</v>
      </c>
      <c r="D368" s="1364" t="s">
        <v>4516</v>
      </c>
      <c r="E368" s="1365">
        <f>(1-(X_HET)/((X_HET)+(X_HET_HYD_lim)*EXP(((X_HET_HYD_lim)-(X_HET))*(L_ogslopeXHET_HYD_lim))))</f>
        <v>0</v>
      </c>
      <c r="F368" s="1365" t="s">
        <v>278</v>
      </c>
      <c r="G368" s="1365">
        <v>2</v>
      </c>
      <c r="H368" s="1366"/>
      <c r="I368" s="1367"/>
    </row>
    <row r="369" spans="1:9" ht="18" outlineLevel="1" x14ac:dyDescent="0.25">
      <c r="B369" s="1363" t="s">
        <v>1807</v>
      </c>
      <c r="C369" s="1364" t="s">
        <v>2470</v>
      </c>
      <c r="D369" s="1364" t="s">
        <v>1808</v>
      </c>
      <c r="E369" s="1365">
        <f>(MAX((S_NOx)-S_umo__MSatMin,0)/((K_NOx_ASSIM)+(S_NOx)))</f>
        <v>0.99980003999200151</v>
      </c>
      <c r="F369" s="1365" t="s">
        <v>278</v>
      </c>
      <c r="G369" s="1365">
        <v>2</v>
      </c>
      <c r="H369" s="1366"/>
      <c r="I369" s="1367"/>
    </row>
    <row r="370" spans="1:9" s="651" customFormat="1" ht="18" customHeight="1" outlineLevel="1" x14ac:dyDescent="0.25">
      <c r="B370" s="1369" t="s">
        <v>4292</v>
      </c>
      <c r="C370" s="1370" t="s">
        <v>4293</v>
      </c>
      <c r="D370" s="1371" t="s">
        <v>4294</v>
      </c>
      <c r="E370" s="1372">
        <f>(MAX((X_U)-S_umo__MSatMin,0)/((K_XU)+(X_U)))</f>
        <v>0.99009900990099009</v>
      </c>
      <c r="F370" s="1373" t="s">
        <v>278</v>
      </c>
      <c r="G370" s="1373">
        <v>2</v>
      </c>
      <c r="H370" s="1370"/>
      <c r="I370" s="1374"/>
    </row>
    <row r="371" spans="1:9" ht="18" outlineLevel="1" x14ac:dyDescent="0.25">
      <c r="B371" s="1375" t="s">
        <v>3467</v>
      </c>
      <c r="C371" s="1373" t="s">
        <v>2471</v>
      </c>
      <c r="D371" s="1373" t="s">
        <v>4142</v>
      </c>
      <c r="E371" s="1376">
        <f>(1-(S_PO4)/((S_PO4)+(K_iP_HFO_DISS)*EXP(((K_iP_HFO_DISS)-(S_PO4))*(L_ogslopeP_HFO_DISS))))</f>
        <v>0</v>
      </c>
      <c r="F371" s="1376" t="s">
        <v>278</v>
      </c>
      <c r="G371" s="1376">
        <v>2</v>
      </c>
      <c r="H371" s="1377"/>
      <c r="I371" s="1378"/>
    </row>
    <row r="372" spans="1:9" ht="18" outlineLevel="1" x14ac:dyDescent="0.25">
      <c r="B372" s="1375" t="s">
        <v>3468</v>
      </c>
      <c r="C372" s="1373" t="s">
        <v>3085</v>
      </c>
      <c r="D372" s="1373" t="s">
        <v>3470</v>
      </c>
      <c r="E372" s="1376">
        <f>((K_iP_HFO_DESORP)/((K_iP_HFO_DESORP)+(S_PO4)))</f>
        <v>0.16666666666666669</v>
      </c>
      <c r="F372" s="1376" t="s">
        <v>278</v>
      </c>
      <c r="G372" s="1376">
        <v>2</v>
      </c>
      <c r="H372" s="1377"/>
      <c r="I372" s="1378"/>
    </row>
    <row r="373" spans="1:9" ht="18" outlineLevel="1" x14ac:dyDescent="0.25">
      <c r="B373" s="1375" t="s">
        <v>3469</v>
      </c>
      <c r="C373" s="1379" t="s">
        <v>2472</v>
      </c>
      <c r="D373" s="1379" t="s">
        <v>3471</v>
      </c>
      <c r="E373" s="1376">
        <f>(MAX((S_PO4)-S_umo__MSatMin,0)/((K_P_HFO_BIND)+(S_PO4)))</f>
        <v>0.83333333333333337</v>
      </c>
      <c r="F373" s="1376" t="s">
        <v>278</v>
      </c>
      <c r="G373" s="1376">
        <v>2</v>
      </c>
      <c r="H373" s="1377"/>
      <c r="I373" s="1380"/>
    </row>
    <row r="374" spans="1:9" ht="18" outlineLevel="1" x14ac:dyDescent="0.25">
      <c r="B374" s="1375" t="s">
        <v>3459</v>
      </c>
      <c r="C374" s="1373" t="s">
        <v>3460</v>
      </c>
      <c r="D374" s="1373" t="s">
        <v>4139</v>
      </c>
      <c r="E374" s="1376">
        <f>(1-(S_PO4)/((S_PO4)+(K_iP_HAO_DISS)*EXP(((K_iP_HAO_DISS)-(S_PO4))*(L_ogslopeP_HAO_DISS))))</f>
        <v>0</v>
      </c>
      <c r="F374" s="1376" t="s">
        <v>278</v>
      </c>
      <c r="G374" s="1376">
        <v>2</v>
      </c>
      <c r="H374" s="1377"/>
      <c r="I374" s="1378"/>
    </row>
    <row r="375" spans="1:9" ht="18" outlineLevel="1" x14ac:dyDescent="0.25">
      <c r="B375" s="1375" t="s">
        <v>3461</v>
      </c>
      <c r="C375" s="1373" t="s">
        <v>3462</v>
      </c>
      <c r="D375" s="1373" t="s">
        <v>3463</v>
      </c>
      <c r="E375" s="1376">
        <f>((K_iP_HAO_DESORP)/((K_iP_HAO_DESORP)+(S_PO4)))</f>
        <v>0.16666666666666669</v>
      </c>
      <c r="F375" s="1376" t="s">
        <v>278</v>
      </c>
      <c r="G375" s="1376">
        <v>2</v>
      </c>
      <c r="H375" s="1377"/>
      <c r="I375" s="1378"/>
    </row>
    <row r="376" spans="1:9" ht="18" outlineLevel="1" x14ac:dyDescent="0.25">
      <c r="B376" s="1375" t="s">
        <v>3464</v>
      </c>
      <c r="C376" s="1379" t="s">
        <v>3465</v>
      </c>
      <c r="D376" s="1379" t="s">
        <v>3466</v>
      </c>
      <c r="E376" s="1376">
        <f>(MAX((S_PO4)-S_umo__MSatMin,0)/((K_P_HAO_BIND)+(S_PO4)))</f>
        <v>0.83333333333333337</v>
      </c>
      <c r="F376" s="1376" t="s">
        <v>278</v>
      </c>
      <c r="G376" s="1376">
        <v>2</v>
      </c>
      <c r="H376" s="1377"/>
      <c r="I376" s="1380"/>
    </row>
    <row r="377" spans="1:9" ht="18" outlineLevel="1" x14ac:dyDescent="0.25">
      <c r="B377" s="1375" t="s">
        <v>2560</v>
      </c>
      <c r="C377" s="1373" t="s">
        <v>2561</v>
      </c>
      <c r="D377" s="1373" t="s">
        <v>2562</v>
      </c>
      <c r="E377" s="1381">
        <f>(MAX((X_ACP)-S_umo__MSatMin,0)/((K_ACP_DISS)+(X_ACP)))</f>
        <v>0</v>
      </c>
      <c r="F377" s="1376" t="s">
        <v>278</v>
      </c>
      <c r="G377" s="1376">
        <v>2</v>
      </c>
      <c r="H377" s="1377"/>
      <c r="I377" s="1378"/>
    </row>
    <row r="378" spans="1:9" ht="18" outlineLevel="1" x14ac:dyDescent="0.25">
      <c r="B378" s="1375" t="s">
        <v>3456</v>
      </c>
      <c r="C378" s="1373" t="s">
        <v>3457</v>
      </c>
      <c r="D378" s="1373" t="s">
        <v>3458</v>
      </c>
      <c r="E378" s="1381">
        <f>(MAX((X_BSH)-S_umo__MSatMin,0)/((K_BSH_DISS)+(X_BSH)))</f>
        <v>0</v>
      </c>
      <c r="F378" s="1376" t="s">
        <v>278</v>
      </c>
      <c r="G378" s="1376">
        <v>2</v>
      </c>
      <c r="H378" s="1377"/>
      <c r="I378" s="1378"/>
    </row>
    <row r="379" spans="1:9" ht="18" outlineLevel="1" x14ac:dyDescent="0.25">
      <c r="B379" s="1375" t="s">
        <v>2563</v>
      </c>
      <c r="C379" s="1373" t="s">
        <v>2564</v>
      </c>
      <c r="D379" s="1373" t="s">
        <v>2565</v>
      </c>
      <c r="E379" s="1381">
        <f>(MAX((X_CaCO3)-S_umo__MSatMin,0)/((K_CaCO3_DISS)+(X_CaCO3)))</f>
        <v>0</v>
      </c>
      <c r="F379" s="1376" t="s">
        <v>278</v>
      </c>
      <c r="G379" s="1376">
        <v>2</v>
      </c>
      <c r="H379" s="1377"/>
      <c r="I379" s="1378"/>
    </row>
    <row r="380" spans="1:9" ht="18" outlineLevel="1" x14ac:dyDescent="0.25">
      <c r="B380" s="1375" t="s">
        <v>2566</v>
      </c>
      <c r="C380" s="1373" t="s">
        <v>2567</v>
      </c>
      <c r="D380" s="1373" t="s">
        <v>2568</v>
      </c>
      <c r="E380" s="1381">
        <f>(MAX((X_STR)-S_umo__MSatMin,0)/((K_STR_DISS)+(X_STR)))</f>
        <v>0</v>
      </c>
      <c r="F380" s="1376" t="s">
        <v>278</v>
      </c>
      <c r="G380" s="1376">
        <v>2</v>
      </c>
      <c r="H380" s="1377"/>
      <c r="I380" s="1378"/>
    </row>
    <row r="381" spans="1:9" ht="18.75" outlineLevel="1" thickBot="1" x14ac:dyDescent="0.3">
      <c r="B381" s="612" t="s">
        <v>2569</v>
      </c>
      <c r="C381" s="1382" t="s">
        <v>2570</v>
      </c>
      <c r="D381" s="1382" t="s">
        <v>2571</v>
      </c>
      <c r="E381" s="1383">
        <f>(MAX((X_Vivi)-S_umo__MSatMin,0)/((K_Vivi_DISS)+(X_Vivi)))</f>
        <v>0</v>
      </c>
      <c r="F381" s="1384" t="s">
        <v>278</v>
      </c>
      <c r="G381" s="1384">
        <v>2</v>
      </c>
      <c r="H381" s="1385"/>
      <c r="I381" s="1386"/>
    </row>
    <row r="382" spans="1:9" s="1168" customFormat="1" ht="18" customHeight="1" thickBot="1" x14ac:dyDescent="0.3">
      <c r="A382" s="4"/>
      <c r="B382" s="4"/>
      <c r="C382" s="4"/>
      <c r="D382" s="4"/>
      <c r="E382" s="1899"/>
      <c r="F382" s="4"/>
      <c r="G382" s="4"/>
      <c r="H382" s="4"/>
      <c r="I382" s="4"/>
    </row>
    <row r="383" spans="1:9" s="1168" customFormat="1" ht="18" customHeight="1" thickBot="1" x14ac:dyDescent="0.3">
      <c r="A383" s="4"/>
      <c r="B383" s="102"/>
      <c r="C383" s="1204" t="s">
        <v>2138</v>
      </c>
      <c r="D383" s="13" t="s">
        <v>303</v>
      </c>
      <c r="E383" s="13"/>
      <c r="F383" s="102"/>
      <c r="G383" s="102"/>
      <c r="H383" s="102"/>
      <c r="I383" s="102"/>
    </row>
    <row r="384" spans="1:9" s="1168" customFormat="1" ht="18" customHeight="1" thickBot="1" x14ac:dyDescent="0.3">
      <c r="A384" s="4"/>
      <c r="B384" s="1514" t="s">
        <v>0</v>
      </c>
      <c r="C384" s="1515" t="s">
        <v>1</v>
      </c>
      <c r="D384" s="1516" t="s">
        <v>5</v>
      </c>
      <c r="E384" s="1516" t="s">
        <v>152</v>
      </c>
      <c r="F384" s="1516" t="s">
        <v>2</v>
      </c>
      <c r="G384" s="1516" t="s">
        <v>302</v>
      </c>
      <c r="H384" s="1516" t="s">
        <v>116</v>
      </c>
      <c r="I384" s="1517" t="s">
        <v>117</v>
      </c>
    </row>
    <row r="385" spans="2:9" ht="30" outlineLevel="1" x14ac:dyDescent="0.25">
      <c r="B385" s="1387" t="s">
        <v>1818</v>
      </c>
      <c r="C385" s="1388" t="s">
        <v>2484</v>
      </c>
      <c r="D385" s="1388" t="s">
        <v>1819</v>
      </c>
      <c r="E385" s="1233">
        <f>µ_OHO*((θ_µ_OHO)^((T__)-(T_base)))</f>
        <v>4</v>
      </c>
      <c r="F385" s="1233" t="s">
        <v>447</v>
      </c>
      <c r="G385" s="1389">
        <v>2</v>
      </c>
      <c r="H385" s="1389"/>
      <c r="I385" s="1390"/>
    </row>
    <row r="386" spans="2:9" ht="18" outlineLevel="1" x14ac:dyDescent="0.25">
      <c r="B386" s="1391" t="s">
        <v>1820</v>
      </c>
      <c r="C386" s="1392" t="s">
        <v>2485</v>
      </c>
      <c r="D386" s="1392" t="s">
        <v>1821</v>
      </c>
      <c r="E386" s="1239">
        <f>µ_FERM_OHO*((θ_FERM_OHO)^((T__)-(T_base)))</f>
        <v>0.3</v>
      </c>
      <c r="F386" s="1239" t="s">
        <v>447</v>
      </c>
      <c r="G386" s="1393">
        <v>2</v>
      </c>
      <c r="H386" s="1393"/>
      <c r="I386" s="1394"/>
    </row>
    <row r="387" spans="2:9" ht="18" outlineLevel="1" x14ac:dyDescent="0.25">
      <c r="B387" s="1391" t="s">
        <v>1822</v>
      </c>
      <c r="C387" s="1392" t="s">
        <v>2486</v>
      </c>
      <c r="D387" s="1392" t="s">
        <v>1823</v>
      </c>
      <c r="E387" s="1239">
        <f>b_OHO*((θ_b_OHO)^((T__)-(T_base)))</f>
        <v>0.62</v>
      </c>
      <c r="F387" s="1239" t="s">
        <v>447</v>
      </c>
      <c r="G387" s="1393">
        <v>2</v>
      </c>
      <c r="H387" s="1393"/>
      <c r="I387" s="1394"/>
    </row>
    <row r="388" spans="2:9" ht="30" outlineLevel="1" x14ac:dyDescent="0.25">
      <c r="B388" s="1391" t="s">
        <v>1824</v>
      </c>
      <c r="C388" s="1392" t="s">
        <v>2487</v>
      </c>
      <c r="D388" s="1392" t="s">
        <v>1825</v>
      </c>
      <c r="E388" s="1239">
        <f>µ_MEOLO*((θ_µ_MEOLO)^((T__)-(T_base)))</f>
        <v>1.3</v>
      </c>
      <c r="F388" s="1239" t="s">
        <v>447</v>
      </c>
      <c r="G388" s="1393">
        <v>2</v>
      </c>
      <c r="H388" s="1393"/>
      <c r="I388" s="1394"/>
    </row>
    <row r="389" spans="2:9" ht="18" outlineLevel="1" x14ac:dyDescent="0.25">
      <c r="B389" s="1391" t="s">
        <v>1826</v>
      </c>
      <c r="C389" s="1392" t="s">
        <v>2488</v>
      </c>
      <c r="D389" s="1392" t="s">
        <v>1827</v>
      </c>
      <c r="E389" s="1239">
        <f>b_MEOLO*((θ_b_MEOLO)^((T__)-(T_base)))</f>
        <v>0.05</v>
      </c>
      <c r="F389" s="1239" t="s">
        <v>447</v>
      </c>
      <c r="G389" s="1393">
        <v>2</v>
      </c>
      <c r="H389" s="1393"/>
      <c r="I389" s="1394"/>
    </row>
    <row r="390" spans="2:9" ht="30" outlineLevel="1" x14ac:dyDescent="0.25">
      <c r="B390" s="1395" t="s">
        <v>3859</v>
      </c>
      <c r="C390" s="1396" t="s">
        <v>3904</v>
      </c>
      <c r="D390" s="1396" t="s">
        <v>3862</v>
      </c>
      <c r="E390" s="1277">
        <f>µ_CASTO*((θ_µ_CASTO)^((T__)-(T_base)))</f>
        <v>1</v>
      </c>
      <c r="F390" s="1277" t="s">
        <v>447</v>
      </c>
      <c r="G390" s="1397">
        <v>2</v>
      </c>
      <c r="H390" s="1397"/>
      <c r="I390" s="1398"/>
    </row>
    <row r="391" spans="2:9" ht="30" outlineLevel="1" x14ac:dyDescent="0.25">
      <c r="B391" s="1395" t="s">
        <v>1858</v>
      </c>
      <c r="C391" s="1396" t="s">
        <v>2489</v>
      </c>
      <c r="D391" s="1396" t="s">
        <v>1861</v>
      </c>
      <c r="E391" s="1277">
        <f>µ_PAO_lim*((θ_µ_PAO_lim)^((T__)-(T_base)))</f>
        <v>0.49</v>
      </c>
      <c r="F391" s="1277" t="s">
        <v>447</v>
      </c>
      <c r="G391" s="1397">
        <v>2</v>
      </c>
      <c r="H391" s="1397"/>
      <c r="I391" s="1398"/>
    </row>
    <row r="392" spans="2:9" ht="18" outlineLevel="1" x14ac:dyDescent="0.25">
      <c r="B392" s="1395" t="s">
        <v>2190</v>
      </c>
      <c r="C392" s="1396" t="s">
        <v>2490</v>
      </c>
      <c r="D392" s="1396" t="s">
        <v>2191</v>
      </c>
      <c r="E392" s="1277">
        <f>µ_FERM_PAO*((θ_FERM_PAO)^((T__)-(T_base)))</f>
        <v>0.45</v>
      </c>
      <c r="F392" s="1277" t="s">
        <v>447</v>
      </c>
      <c r="G392" s="1397">
        <v>2</v>
      </c>
      <c r="H392" s="1397"/>
      <c r="I392" s="1398"/>
    </row>
    <row r="393" spans="2:9" ht="30" outlineLevel="1" x14ac:dyDescent="0.25">
      <c r="B393" s="1395" t="s">
        <v>3493</v>
      </c>
      <c r="C393" s="1396" t="s">
        <v>3494</v>
      </c>
      <c r="D393" s="1396" t="s">
        <v>3495</v>
      </c>
      <c r="E393" s="1277">
        <f>q_PAO_PP*((θ_q_PAO_PP)^((T__)-(T_base)))</f>
        <v>0.1</v>
      </c>
      <c r="F393" s="1277" t="s">
        <v>447</v>
      </c>
      <c r="G393" s="1397">
        <v>2</v>
      </c>
      <c r="H393" s="1397"/>
      <c r="I393" s="1398"/>
    </row>
    <row r="394" spans="2:9" ht="30" outlineLevel="1" x14ac:dyDescent="0.25">
      <c r="B394" s="1395" t="s">
        <v>1828</v>
      </c>
      <c r="C394" s="1396" t="s">
        <v>2491</v>
      </c>
      <c r="D394" s="1396" t="s">
        <v>1829</v>
      </c>
      <c r="E394" s="1277">
        <f>q_PAO_PHA*((θ_q_PAO_PHA)^((T__)-(T_base)))</f>
        <v>7</v>
      </c>
      <c r="F394" s="1277" t="s">
        <v>447</v>
      </c>
      <c r="G394" s="1397">
        <v>2</v>
      </c>
      <c r="H394" s="1397"/>
      <c r="I394" s="1398"/>
    </row>
    <row r="395" spans="2:9" ht="30" outlineLevel="1" x14ac:dyDescent="0.25">
      <c r="B395" s="1399" t="s">
        <v>4760</v>
      </c>
      <c r="C395" s="1400" t="s">
        <v>4759</v>
      </c>
      <c r="D395" s="1400" t="s">
        <v>4761</v>
      </c>
      <c r="E395" s="1328">
        <f>q_GAO_PHA*((θ_q_GAO_PHA)^((T__)-(T_base)))</f>
        <v>4</v>
      </c>
      <c r="F395" s="1328" t="s">
        <v>447</v>
      </c>
      <c r="G395" s="1401">
        <v>2</v>
      </c>
      <c r="H395" s="1401"/>
      <c r="I395" s="1402"/>
    </row>
    <row r="396" spans="2:9" ht="30" outlineLevel="1" x14ac:dyDescent="0.25">
      <c r="B396" s="1395" t="s">
        <v>3895</v>
      </c>
      <c r="C396" s="1396" t="s">
        <v>4771</v>
      </c>
      <c r="D396" s="1396" t="s">
        <v>3896</v>
      </c>
      <c r="E396" s="1277">
        <f>b_STC*((θ_b_STC)^((T__)-(T_base)))</f>
        <v>7.0000000000000007E-2</v>
      </c>
      <c r="F396" s="1277"/>
      <c r="G396" s="1397"/>
      <c r="H396" s="1397"/>
      <c r="I396" s="1398"/>
    </row>
    <row r="397" spans="2:9" ht="30" outlineLevel="1" x14ac:dyDescent="0.25">
      <c r="B397" s="1395" t="s">
        <v>2116</v>
      </c>
      <c r="C397" s="1396" t="s">
        <v>2492</v>
      </c>
      <c r="D397" s="1396" t="s">
        <v>2117</v>
      </c>
      <c r="E397" s="1277">
        <f>b_PP_ana*((θ_b_PP_ana)^((T__)-(T_base)))</f>
        <v>5.0000000000000001E-3</v>
      </c>
      <c r="F397" s="1277" t="s">
        <v>447</v>
      </c>
      <c r="G397" s="1397">
        <v>2</v>
      </c>
      <c r="H397" s="1397"/>
      <c r="I397" s="1398"/>
    </row>
    <row r="398" spans="2:9" ht="18" outlineLevel="1" x14ac:dyDescent="0.25">
      <c r="B398" s="1395" t="s">
        <v>3906</v>
      </c>
      <c r="C398" s="1396" t="s">
        <v>3907</v>
      </c>
      <c r="D398" s="1396" t="s">
        <v>3908</v>
      </c>
      <c r="E398" s="1277">
        <f>b_CASTO*((θ_b_CASTO)^((T__)-(T_base)))</f>
        <v>0.08</v>
      </c>
      <c r="F398" s="1277" t="s">
        <v>447</v>
      </c>
      <c r="G398" s="1397">
        <v>2</v>
      </c>
      <c r="H398" s="1397"/>
      <c r="I398" s="1398"/>
    </row>
    <row r="399" spans="2:9" ht="30" outlineLevel="1" x14ac:dyDescent="0.25">
      <c r="B399" s="1403" t="s">
        <v>1830</v>
      </c>
      <c r="C399" s="1404" t="s">
        <v>2493</v>
      </c>
      <c r="D399" s="1404" t="s">
        <v>1831</v>
      </c>
      <c r="E399" s="1215">
        <f>µ_NITO*((θ_µ_NITO)^((T__)-(T_base)))</f>
        <v>0.9</v>
      </c>
      <c r="F399" s="1215" t="s">
        <v>447</v>
      </c>
      <c r="G399" s="1405">
        <v>2</v>
      </c>
      <c r="H399" s="1405"/>
      <c r="I399" s="1406"/>
    </row>
    <row r="400" spans="2:9" ht="18" outlineLevel="1" x14ac:dyDescent="0.25">
      <c r="B400" s="1403" t="s">
        <v>1832</v>
      </c>
      <c r="C400" s="1404" t="s">
        <v>2494</v>
      </c>
      <c r="D400" s="1404" t="s">
        <v>1833</v>
      </c>
      <c r="E400" s="1215">
        <f>b_NITO*((θ_b_NITO)^((T__)-(T_base)))</f>
        <v>0.17</v>
      </c>
      <c r="F400" s="1215" t="s">
        <v>447</v>
      </c>
      <c r="G400" s="1405">
        <v>2</v>
      </c>
      <c r="H400" s="1405"/>
      <c r="I400" s="1406"/>
    </row>
    <row r="401" spans="2:9" ht="30" outlineLevel="1" x14ac:dyDescent="0.25">
      <c r="B401" s="1407" t="s">
        <v>1834</v>
      </c>
      <c r="C401" s="1408" t="s">
        <v>2495</v>
      </c>
      <c r="D401" s="1408" t="s">
        <v>1835</v>
      </c>
      <c r="E401" s="1302">
        <f>µ_AMETO*((θ_µ_AMETO)^((T__)-(T_base)))</f>
        <v>0.3</v>
      </c>
      <c r="F401" s="1302" t="s">
        <v>447</v>
      </c>
      <c r="G401" s="1409">
        <v>2</v>
      </c>
      <c r="H401" s="1409"/>
      <c r="I401" s="1410"/>
    </row>
    <row r="402" spans="2:9" ht="18" outlineLevel="1" x14ac:dyDescent="0.25">
      <c r="B402" s="1407" t="s">
        <v>1836</v>
      </c>
      <c r="C402" s="1408" t="s">
        <v>2496</v>
      </c>
      <c r="D402" s="1408" t="s">
        <v>1837</v>
      </c>
      <c r="E402" s="1302">
        <f>b_AMETO*((θ_b_AMETO)^((T__)-(T_base)))</f>
        <v>0.03</v>
      </c>
      <c r="F402" s="1302" t="s">
        <v>447</v>
      </c>
      <c r="G402" s="1409">
        <v>2</v>
      </c>
      <c r="H402" s="1409"/>
      <c r="I402" s="1410"/>
    </row>
    <row r="403" spans="2:9" ht="30" outlineLevel="1" x14ac:dyDescent="0.25">
      <c r="B403" s="1407" t="s">
        <v>1838</v>
      </c>
      <c r="C403" s="1408" t="s">
        <v>2497</v>
      </c>
      <c r="D403" s="1408" t="s">
        <v>1839</v>
      </c>
      <c r="E403" s="1302">
        <f>µ_HMETO*((θ_µ_HMETO)^((T__)-(T_base)))</f>
        <v>1.3</v>
      </c>
      <c r="F403" s="1302" t="s">
        <v>447</v>
      </c>
      <c r="G403" s="1409">
        <v>2</v>
      </c>
      <c r="H403" s="1409"/>
      <c r="I403" s="1410"/>
    </row>
    <row r="404" spans="2:9" ht="18" outlineLevel="1" x14ac:dyDescent="0.25">
      <c r="B404" s="1407" t="s">
        <v>1840</v>
      </c>
      <c r="C404" s="1408" t="s">
        <v>2498</v>
      </c>
      <c r="D404" s="1408" t="s">
        <v>1841</v>
      </c>
      <c r="E404" s="1302">
        <f>b_HMETO*((θ_b_HMETO)^((T__)-(T_base)))</f>
        <v>0.13</v>
      </c>
      <c r="F404" s="1302" t="s">
        <v>447</v>
      </c>
      <c r="G404" s="1409">
        <v>2</v>
      </c>
      <c r="H404" s="1409"/>
      <c r="I404" s="1410"/>
    </row>
    <row r="405" spans="2:9" ht="30" outlineLevel="1" x14ac:dyDescent="0.25">
      <c r="B405" s="1411" t="s">
        <v>4333</v>
      </c>
      <c r="C405" s="1412" t="s">
        <v>4334</v>
      </c>
      <c r="D405" s="1412" t="s">
        <v>4394</v>
      </c>
      <c r="E405" s="1361">
        <f>µ_ALGAE*((θ_µ_ALGAE)^((T__)-(T_base)))</f>
        <v>2</v>
      </c>
      <c r="F405" s="1361" t="s">
        <v>4335</v>
      </c>
      <c r="G405" s="1413">
        <v>2</v>
      </c>
      <c r="H405" s="1413" t="s">
        <v>4338</v>
      </c>
      <c r="I405" s="1414"/>
    </row>
    <row r="406" spans="2:9" ht="18" outlineLevel="1" x14ac:dyDescent="0.25">
      <c r="B406" s="1411" t="s">
        <v>4336</v>
      </c>
      <c r="C406" s="1412" t="s">
        <v>4337</v>
      </c>
      <c r="D406" s="1412" t="s">
        <v>4395</v>
      </c>
      <c r="E406" s="1361">
        <f>b_ALGAE*((θ_b_ALGAE)^((T__)-(T_base)))</f>
        <v>0.1</v>
      </c>
      <c r="F406" s="1361" t="s">
        <v>4335</v>
      </c>
      <c r="G406" s="1413">
        <v>2</v>
      </c>
      <c r="H406" s="1413" t="s">
        <v>4338</v>
      </c>
      <c r="I406" s="1414"/>
    </row>
    <row r="407" spans="2:9" ht="18" outlineLevel="1" x14ac:dyDescent="0.25">
      <c r="B407" s="1415" t="s">
        <v>1842</v>
      </c>
      <c r="C407" s="1416" t="s">
        <v>2499</v>
      </c>
      <c r="D407" s="1416" t="s">
        <v>1843</v>
      </c>
      <c r="E407" s="1377">
        <f>q_FLOC*((θ_q_FLOC)^((T__)-(T_base)))</f>
        <v>0.5</v>
      </c>
      <c r="F407" s="1377" t="s">
        <v>447</v>
      </c>
      <c r="G407" s="1417">
        <v>2</v>
      </c>
      <c r="H407" s="1417"/>
      <c r="I407" s="1418"/>
    </row>
    <row r="408" spans="2:9" ht="18" outlineLevel="1" x14ac:dyDescent="0.25">
      <c r="B408" s="1415" t="s">
        <v>4625</v>
      </c>
      <c r="C408" s="1416" t="s">
        <v>2499</v>
      </c>
      <c r="D408" s="1416" t="s">
        <v>4627</v>
      </c>
      <c r="E408" s="1377">
        <f>q_FLOC_HFO*((θ_q_FLOC_HFO)^((T__)-(T_base)))</f>
        <v>1000</v>
      </c>
      <c r="F408" s="1377" t="s">
        <v>447</v>
      </c>
      <c r="G408" s="1417">
        <v>2</v>
      </c>
      <c r="H408" s="1417"/>
      <c r="I408" s="1418"/>
    </row>
    <row r="409" spans="2:9" ht="18" outlineLevel="1" x14ac:dyDescent="0.25">
      <c r="B409" s="1415" t="s">
        <v>4626</v>
      </c>
      <c r="C409" s="1416" t="s">
        <v>2499</v>
      </c>
      <c r="D409" s="1416" t="s">
        <v>4628</v>
      </c>
      <c r="E409" s="1377">
        <f>q_FLOC_HAO*((θ_q_FLOC_HAO)^((T__)-(T_base)))</f>
        <v>1000</v>
      </c>
      <c r="F409" s="1377" t="s">
        <v>447</v>
      </c>
      <c r="G409" s="1417">
        <v>2</v>
      </c>
      <c r="H409" s="1417"/>
      <c r="I409" s="1418"/>
    </row>
    <row r="410" spans="2:9" ht="18" outlineLevel="1" x14ac:dyDescent="0.25">
      <c r="B410" s="1415" t="s">
        <v>4694</v>
      </c>
      <c r="C410" s="1416" t="s">
        <v>4695</v>
      </c>
      <c r="D410" s="1416" t="s">
        <v>4696</v>
      </c>
      <c r="E410" s="1377">
        <f>q_HYD_XB*((θ_q_HYD)^((T__)-(T_base)))</f>
        <v>3</v>
      </c>
      <c r="F410" s="1377" t="s">
        <v>447</v>
      </c>
      <c r="G410" s="1417">
        <v>2</v>
      </c>
      <c r="H410" s="1417"/>
      <c r="I410" s="1418"/>
    </row>
    <row r="411" spans="2:9" ht="18" outlineLevel="1" x14ac:dyDescent="0.25">
      <c r="B411" s="1415" t="s">
        <v>4697</v>
      </c>
      <c r="C411" s="1416" t="s">
        <v>4698</v>
      </c>
      <c r="D411" s="1416" t="s">
        <v>4699</v>
      </c>
      <c r="E411" s="1377">
        <f>q_HYD_XBe*((θ_q_HYD)^((T__)-(T_base)))</f>
        <v>1</v>
      </c>
      <c r="F411" s="1377" t="s">
        <v>447</v>
      </c>
      <c r="G411" s="1417">
        <v>2</v>
      </c>
      <c r="H411" s="1417"/>
      <c r="I411" s="1418"/>
    </row>
    <row r="412" spans="2:9" ht="18" outlineLevel="1" x14ac:dyDescent="0.25">
      <c r="B412" s="1415" t="s">
        <v>1844</v>
      </c>
      <c r="C412" s="1416" t="s">
        <v>2500</v>
      </c>
      <c r="D412" s="1416" t="s">
        <v>1845</v>
      </c>
      <c r="E412" s="1377">
        <f>q_AMMON*((θ_q_AMMON)^((T__)-(T_base)))</f>
        <v>0.05</v>
      </c>
      <c r="F412" s="1377" t="s">
        <v>447</v>
      </c>
      <c r="G412" s="1417">
        <v>2</v>
      </c>
      <c r="H412" s="1417"/>
      <c r="I412" s="1418"/>
    </row>
    <row r="413" spans="2:9" ht="30" outlineLevel="1" x14ac:dyDescent="0.25">
      <c r="B413" s="1415" t="s">
        <v>1859</v>
      </c>
      <c r="C413" s="1416" t="s">
        <v>2501</v>
      </c>
      <c r="D413" s="1416" t="s">
        <v>1860</v>
      </c>
      <c r="E413" s="1377">
        <f>q_SPB*((θ_q_SPB)^((T__)-(T_base)))</f>
        <v>0.5</v>
      </c>
      <c r="F413" s="1377" t="s">
        <v>447</v>
      </c>
      <c r="G413" s="1417">
        <v>2</v>
      </c>
      <c r="H413" s="1417"/>
      <c r="I413" s="1418"/>
    </row>
    <row r="414" spans="2:9" ht="30" outlineLevel="1" x14ac:dyDescent="0.25">
      <c r="B414" s="1415" t="s">
        <v>1862</v>
      </c>
      <c r="C414" s="1416" t="s">
        <v>2502</v>
      </c>
      <c r="D414" s="1416" t="s">
        <v>1863</v>
      </c>
      <c r="E414" s="1377">
        <f>q_XE*((θ_q_XE)^((T__)-(T_base)))</f>
        <v>7.0000000000000001E-3</v>
      </c>
      <c r="F414" s="1377" t="s">
        <v>447</v>
      </c>
      <c r="G414" s="1417">
        <v>2</v>
      </c>
      <c r="H414" s="1417"/>
      <c r="I414" s="1418"/>
    </row>
    <row r="415" spans="2:9" ht="30" outlineLevel="1" x14ac:dyDescent="0.25">
      <c r="B415" s="1415" t="s">
        <v>4282</v>
      </c>
      <c r="C415" s="1416" t="s">
        <v>4283</v>
      </c>
      <c r="D415" s="1416" t="s">
        <v>4284</v>
      </c>
      <c r="E415" s="1377">
        <f>q_XU*((θ_q_XU)^((T__)-(T_base)))</f>
        <v>9.9999999999999995E-7</v>
      </c>
      <c r="F415" s="1377" t="s">
        <v>447</v>
      </c>
      <c r="G415" s="1417">
        <v>2</v>
      </c>
      <c r="H415" s="1417"/>
      <c r="I415" s="1418"/>
    </row>
    <row r="416" spans="2:9" ht="30" outlineLevel="1" x14ac:dyDescent="0.25">
      <c r="B416" s="1415" t="s">
        <v>1846</v>
      </c>
      <c r="C416" s="1416" t="s">
        <v>2503</v>
      </c>
      <c r="D416" s="1416" t="s">
        <v>1847</v>
      </c>
      <c r="E416" s="1377">
        <f>q_ASSIM*((θ_q_ASSIM)^((T__)-(T_base)))</f>
        <v>1</v>
      </c>
      <c r="F416" s="1377" t="s">
        <v>447</v>
      </c>
      <c r="G416" s="1417">
        <v>2</v>
      </c>
      <c r="H416" s="1417"/>
      <c r="I416" s="1418"/>
    </row>
    <row r="417" spans="1:9" ht="18" outlineLevel="1" x14ac:dyDescent="0.25">
      <c r="B417" s="1419" t="s">
        <v>2546</v>
      </c>
      <c r="C417" s="1420" t="s">
        <v>2504</v>
      </c>
      <c r="D417" s="1420" t="s">
        <v>2547</v>
      </c>
      <c r="E417" s="1421">
        <f>q_Fe2_OX*((θ_q_Fe2_OX)^((T__)-(T_base)))</f>
        <v>50</v>
      </c>
      <c r="F417" s="1421" t="s">
        <v>447</v>
      </c>
      <c r="G417" s="1422">
        <v>2</v>
      </c>
      <c r="H417" s="1422"/>
      <c r="I417" s="1423"/>
    </row>
    <row r="418" spans="1:9" ht="30.75" outlineLevel="1" thickBot="1" x14ac:dyDescent="0.3">
      <c r="B418" s="1424" t="s">
        <v>1864</v>
      </c>
      <c r="C418" s="1425" t="s">
        <v>2505</v>
      </c>
      <c r="D418" s="1425" t="s">
        <v>1865</v>
      </c>
      <c r="E418" s="1426">
        <f>q_HFO_RED*((θ_q_HFO_RED)^((T__)-(T_base)))</f>
        <v>1</v>
      </c>
      <c r="F418" s="1426" t="s">
        <v>447</v>
      </c>
      <c r="G418" s="1427">
        <v>2</v>
      </c>
      <c r="H418" s="1427"/>
      <c r="I418" s="1428"/>
    </row>
    <row r="419" spans="1:9" s="1168" customFormat="1" ht="18" customHeight="1" thickBot="1" x14ac:dyDescent="0.3">
      <c r="A419" s="4"/>
      <c r="B419" s="4"/>
      <c r="C419" s="4"/>
      <c r="D419" s="4"/>
      <c r="E419" s="1899"/>
      <c r="F419" s="4"/>
      <c r="G419" s="4"/>
      <c r="H419" s="4"/>
      <c r="I419" s="4"/>
    </row>
    <row r="420" spans="1:9" s="1168" customFormat="1" ht="18" customHeight="1" thickBot="1" x14ac:dyDescent="0.3">
      <c r="A420" s="4"/>
      <c r="B420" s="102"/>
      <c r="C420" s="1204" t="s">
        <v>341</v>
      </c>
      <c r="D420" s="13" t="s">
        <v>321</v>
      </c>
      <c r="E420" s="13"/>
      <c r="F420" s="102"/>
      <c r="G420" s="102"/>
      <c r="H420" s="102"/>
      <c r="I420" s="102"/>
    </row>
    <row r="421" spans="1:9" s="1168" customFormat="1" ht="18" customHeight="1" thickBot="1" x14ac:dyDescent="0.3">
      <c r="A421" s="4"/>
      <c r="B421" s="1514" t="s">
        <v>0</v>
      </c>
      <c r="C421" s="1515" t="s">
        <v>1</v>
      </c>
      <c r="D421" s="1516" t="s">
        <v>5</v>
      </c>
      <c r="E421" s="1516" t="s">
        <v>152</v>
      </c>
      <c r="F421" s="1516" t="s">
        <v>2</v>
      </c>
      <c r="G421" s="1516" t="s">
        <v>302</v>
      </c>
      <c r="H421" s="1516" t="s">
        <v>116</v>
      </c>
      <c r="I421" s="1517" t="s">
        <v>117</v>
      </c>
    </row>
    <row r="422" spans="1:9" ht="18" outlineLevel="1" x14ac:dyDescent="0.25">
      <c r="B422" s="568" t="s">
        <v>908</v>
      </c>
      <c r="C422" s="895" t="s">
        <v>905</v>
      </c>
      <c r="D422" s="895" t="s">
        <v>1848</v>
      </c>
      <c r="E422" s="1429">
        <f>1.82483*10^6*ρ__^(0.5)*(ε__*T_K)^(-1.5)</f>
        <v>0.50517320931567189</v>
      </c>
      <c r="F422" s="863" t="s">
        <v>1884</v>
      </c>
      <c r="G422" s="863">
        <v>3</v>
      </c>
      <c r="H422" s="863" t="s">
        <v>11</v>
      </c>
      <c r="I422" s="533"/>
    </row>
    <row r="423" spans="1:9" ht="18" outlineLevel="1" x14ac:dyDescent="0.25">
      <c r="B423" s="568" t="s">
        <v>907</v>
      </c>
      <c r="C423" s="895" t="s">
        <v>2628</v>
      </c>
      <c r="D423" s="895" t="s">
        <v>942</v>
      </c>
      <c r="E423" s="1429">
        <f>2727.586+0.6224107*T_K-466.9151*LN(T_K)-(52000.87/T_K)</f>
        <v>80.261801298291488</v>
      </c>
      <c r="F423" s="863" t="s">
        <v>1884</v>
      </c>
      <c r="G423" s="863">
        <v>3</v>
      </c>
      <c r="H423" s="863" t="s">
        <v>11</v>
      </c>
      <c r="I423" s="533"/>
    </row>
    <row r="424" spans="1:9" outlineLevel="1" x14ac:dyDescent="0.25">
      <c r="B424" s="568" t="s">
        <v>909</v>
      </c>
      <c r="C424" s="895" t="s">
        <v>2629</v>
      </c>
      <c r="D424" s="895" t="s">
        <v>906</v>
      </c>
      <c r="E424" s="1429">
        <f>1-(T__-3.9863)^2*(T__+288.9414)/(508929.2*(T__+68.12963))+0.011445*EXP(-374.3/T__)</f>
        <v>0.99823363622515204</v>
      </c>
      <c r="F424" s="863" t="s">
        <v>1884</v>
      </c>
      <c r="G424" s="863">
        <v>3</v>
      </c>
      <c r="H424" s="863" t="s">
        <v>11</v>
      </c>
      <c r="I424" s="533"/>
    </row>
    <row r="425" spans="1:9" ht="18" outlineLevel="1" x14ac:dyDescent="0.25">
      <c r="B425" s="532" t="s">
        <v>3046</v>
      </c>
      <c r="C425" s="895" t="s">
        <v>3057</v>
      </c>
      <c r="D425" s="1430" t="s">
        <v>3047</v>
      </c>
      <c r="E425" s="1429">
        <f>f_mono_ISlim-I_Slim*S_lopeIS_corr</f>
        <v>0.78560775368648972</v>
      </c>
      <c r="F425" s="863" t="s">
        <v>1884</v>
      </c>
      <c r="G425" s="863">
        <v>3</v>
      </c>
      <c r="H425" s="863" t="s">
        <v>11</v>
      </c>
      <c r="I425" s="533"/>
    </row>
    <row r="426" spans="1:9" ht="18" outlineLevel="1" x14ac:dyDescent="0.25">
      <c r="B426" s="532" t="s">
        <v>3050</v>
      </c>
      <c r="C426" s="895" t="s">
        <v>3055</v>
      </c>
      <c r="D426" s="1430" t="s">
        <v>3048</v>
      </c>
      <c r="E426" s="1429">
        <f>f_di_ISlim-I_Slim*S_lopeIS_corr</f>
        <v>0.38072284713919508</v>
      </c>
      <c r="F426" s="863" t="s">
        <v>1884</v>
      </c>
      <c r="G426" s="863">
        <v>3</v>
      </c>
      <c r="H426" s="863" t="s">
        <v>11</v>
      </c>
      <c r="I426" s="533"/>
    </row>
    <row r="427" spans="1:9" ht="18" outlineLevel="1" x14ac:dyDescent="0.25">
      <c r="B427" s="532" t="s">
        <v>3051</v>
      </c>
      <c r="C427" s="895" t="s">
        <v>3056</v>
      </c>
      <c r="D427" s="1430" t="s">
        <v>3049</v>
      </c>
      <c r="E427" s="1429">
        <f>f_tri_ISlim-I_Slim*S_lopeIS_corr</f>
        <v>0.11392518696837291</v>
      </c>
      <c r="F427" s="863" t="s">
        <v>1884</v>
      </c>
      <c r="G427" s="863">
        <v>3</v>
      </c>
      <c r="H427" s="863" t="s">
        <v>11</v>
      </c>
      <c r="I427" s="533"/>
    </row>
    <row r="428" spans="1:9" ht="18" outlineLevel="1" x14ac:dyDescent="0.25">
      <c r="B428" s="532" t="s">
        <v>3042</v>
      </c>
      <c r="C428" s="895" t="s">
        <v>3058</v>
      </c>
      <c r="D428" s="1430" t="s">
        <v>1995</v>
      </c>
      <c r="E428" s="1429">
        <f>10^(-A_Davies*1^(2)*(I_Slim^(0.5)/(1+1.5*I_Slim^(0.5))-0.3*I_Slim))</f>
        <v>0.78540775368648974</v>
      </c>
      <c r="F428" s="863" t="s">
        <v>1884</v>
      </c>
      <c r="G428" s="863">
        <v>3</v>
      </c>
      <c r="H428" s="863" t="s">
        <v>11</v>
      </c>
      <c r="I428" s="533"/>
    </row>
    <row r="429" spans="1:9" ht="18" outlineLevel="1" x14ac:dyDescent="0.25">
      <c r="B429" s="1431" t="s">
        <v>3043</v>
      </c>
      <c r="C429" s="1430" t="s">
        <v>3060</v>
      </c>
      <c r="D429" s="1430" t="s">
        <v>1996</v>
      </c>
      <c r="E429" s="1432">
        <f>10^(-A_Davies*2^(2)*(I_Slim^(0.5)/(1+1.5*I_Slim^(0.5))-0.3*I_Slim))</f>
        <v>0.3805228471391951</v>
      </c>
      <c r="F429" s="1433" t="s">
        <v>1884</v>
      </c>
      <c r="G429" s="1434">
        <v>3</v>
      </c>
      <c r="H429" s="1435" t="s">
        <v>11</v>
      </c>
      <c r="I429" s="1436"/>
    </row>
    <row r="430" spans="1:9" ht="18" outlineLevel="1" x14ac:dyDescent="0.25">
      <c r="B430" s="1431" t="s">
        <v>3044</v>
      </c>
      <c r="C430" s="1430" t="s">
        <v>3059</v>
      </c>
      <c r="D430" s="1430" t="s">
        <v>1997</v>
      </c>
      <c r="E430" s="1432">
        <f>10^(-A_Davies*3^(2)*(I_Slim^(0.5)/(1+1.5*I_Slim^(0.5))-0.3*I_Slim))</f>
        <v>0.1137251869683729</v>
      </c>
      <c r="F430" s="1432" t="s">
        <v>1884</v>
      </c>
      <c r="G430" s="1434">
        <v>3</v>
      </c>
      <c r="H430" s="1435" t="s">
        <v>11</v>
      </c>
      <c r="I430" s="1436"/>
    </row>
    <row r="431" spans="1:9" ht="18" outlineLevel="1" x14ac:dyDescent="0.25">
      <c r="B431" s="532" t="s">
        <v>342</v>
      </c>
      <c r="C431" s="895" t="s">
        <v>343</v>
      </c>
      <c r="D431" s="895" t="s">
        <v>3052</v>
      </c>
      <c r="E431" s="1429">
        <f>IF(I_S&lt;I_Slim,10^(-A_Davies*1^(2)*(I_S^(0.5)/(1+1.5*I_S^(0.5))-0.3*I_S)),S_lopeIS_corr*I_S+y_fmono)</f>
        <v>0.87920810737341937</v>
      </c>
      <c r="F431" s="863" t="s">
        <v>1884</v>
      </c>
      <c r="G431" s="1437">
        <v>3</v>
      </c>
      <c r="H431" s="863" t="s">
        <v>11</v>
      </c>
      <c r="I431" s="533"/>
    </row>
    <row r="432" spans="1:9" ht="18" outlineLevel="1" x14ac:dyDescent="0.25">
      <c r="B432" s="1431" t="s">
        <v>344</v>
      </c>
      <c r="C432" s="1430" t="s">
        <v>345</v>
      </c>
      <c r="D432" s="1430" t="s">
        <v>3054</v>
      </c>
      <c r="E432" s="1432">
        <f>IF(I_S&lt;I_Slim,10^(-A_Davies*2^(2)*(I_S^(0.5)/(1+1.5*I_S^(0.5))-0.3*I_S)),S_lopeIS_corr*I_S+y_fdi)</f>
        <v>0.59753966137355408</v>
      </c>
      <c r="F432" s="1433" t="s">
        <v>1884</v>
      </c>
      <c r="G432" s="1434">
        <v>3</v>
      </c>
      <c r="H432" s="1435" t="s">
        <v>11</v>
      </c>
      <c r="I432" s="1436"/>
    </row>
    <row r="433" spans="1:9" ht="18.75" outlineLevel="1" thickBot="1" x14ac:dyDescent="0.3">
      <c r="B433" s="534" t="s">
        <v>346</v>
      </c>
      <c r="C433" s="1438" t="s">
        <v>347</v>
      </c>
      <c r="D433" s="1438" t="s">
        <v>3053</v>
      </c>
      <c r="E433" s="1439">
        <f>IF(I_S&lt;I_Slim,10^(-A_Davies*3^(2)*(I_S^(0.5)/(1+1.5*I_S^(0.5))-0.3*I_S)),S_lopeIS_corr*I_S+y_ftri)</f>
        <v>0.31392446113440575</v>
      </c>
      <c r="F433" s="1439" t="s">
        <v>1884</v>
      </c>
      <c r="G433" s="1440">
        <v>3</v>
      </c>
      <c r="H433" s="1441" t="s">
        <v>11</v>
      </c>
      <c r="I433" s="535"/>
    </row>
    <row r="434" spans="1:9" s="1168" customFormat="1" ht="18" customHeight="1" thickBot="1" x14ac:dyDescent="0.3">
      <c r="A434" s="4"/>
      <c r="B434" s="4"/>
      <c r="C434" s="4"/>
      <c r="D434" s="4"/>
      <c r="E434" s="1899"/>
      <c r="F434" s="4"/>
      <c r="G434" s="4"/>
      <c r="H434" s="4"/>
      <c r="I434" s="4"/>
    </row>
    <row r="435" spans="1:9" s="1168" customFormat="1" ht="18" customHeight="1" thickBot="1" x14ac:dyDescent="0.3">
      <c r="A435" s="4"/>
      <c r="B435" s="102"/>
      <c r="C435" s="1204" t="s">
        <v>944</v>
      </c>
      <c r="D435" s="13" t="s">
        <v>321</v>
      </c>
      <c r="E435" s="13"/>
      <c r="F435" s="102"/>
      <c r="G435" s="102"/>
      <c r="H435" s="102"/>
      <c r="I435" s="102"/>
    </row>
    <row r="436" spans="1:9" s="1168" customFormat="1" ht="18" customHeight="1" thickBot="1" x14ac:dyDescent="0.3">
      <c r="A436" s="4"/>
      <c r="B436" s="1514" t="s">
        <v>0</v>
      </c>
      <c r="C436" s="1515" t="s">
        <v>1</v>
      </c>
      <c r="D436" s="1516" t="s">
        <v>5</v>
      </c>
      <c r="E436" s="1516" t="s">
        <v>152</v>
      </c>
      <c r="F436" s="1516" t="s">
        <v>2</v>
      </c>
      <c r="G436" s="1516" t="s">
        <v>302</v>
      </c>
      <c r="H436" s="1516" t="s">
        <v>116</v>
      </c>
      <c r="I436" s="1517" t="s">
        <v>117</v>
      </c>
    </row>
    <row r="437" spans="1:9" ht="18" outlineLevel="1" x14ac:dyDescent="0.25">
      <c r="B437" s="1442" t="s">
        <v>945</v>
      </c>
      <c r="C437" s="1443" t="s">
        <v>2506</v>
      </c>
      <c r="D437" s="1443" t="s">
        <v>2952</v>
      </c>
      <c r="E437" s="1444">
        <f>K_W_param*EXP(d_Hdiss_H2O/R__*(1/T_st_K-1/T_K))</f>
        <v>6.7545152316627035E-15</v>
      </c>
      <c r="F437" s="863" t="s">
        <v>1884</v>
      </c>
      <c r="G437" s="1445">
        <v>3</v>
      </c>
      <c r="H437" s="1446" t="s">
        <v>11</v>
      </c>
      <c r="I437" s="1447"/>
    </row>
    <row r="438" spans="1:9" ht="30" outlineLevel="1" x14ac:dyDescent="0.25">
      <c r="B438" s="1448" t="s">
        <v>946</v>
      </c>
      <c r="C438" s="1430" t="s">
        <v>2507</v>
      </c>
      <c r="D438" s="1430" t="s">
        <v>1849</v>
      </c>
      <c r="E438" s="1433">
        <f>10^(-(3404.7/T_K-14.8435+T_K*0.03279))</f>
        <v>4.1392419480646479E-7</v>
      </c>
      <c r="F438" s="863" t="s">
        <v>1884</v>
      </c>
      <c r="G438" s="1434">
        <v>3</v>
      </c>
      <c r="H438" s="1435" t="s">
        <v>11</v>
      </c>
      <c r="I438" s="1436"/>
    </row>
    <row r="439" spans="1:9" ht="30" outlineLevel="1" x14ac:dyDescent="0.25">
      <c r="B439" s="1448" t="s">
        <v>947</v>
      </c>
      <c r="C439" s="1430" t="s">
        <v>2508</v>
      </c>
      <c r="D439" s="1430" t="s">
        <v>1850</v>
      </c>
      <c r="E439" s="1433">
        <f>10^(-(2902.4/T_K-6.498+T_K*0.02379))</f>
        <v>4.1997949506593592E-11</v>
      </c>
      <c r="F439" s="863" t="s">
        <v>1884</v>
      </c>
      <c r="G439" s="1434">
        <v>3</v>
      </c>
      <c r="H439" s="1435" t="s">
        <v>11</v>
      </c>
      <c r="I439" s="1436"/>
    </row>
    <row r="440" spans="1:9" ht="30" outlineLevel="1" x14ac:dyDescent="0.25">
      <c r="B440" s="1448" t="s">
        <v>948</v>
      </c>
      <c r="C440" s="1430" t="s">
        <v>2509</v>
      </c>
      <c r="D440" s="1430" t="s">
        <v>1851</v>
      </c>
      <c r="E440" s="1433">
        <f>10^(-(799.3/T_K-4.5535+T_K*0.01349))</f>
        <v>7.4527408036475567E-3</v>
      </c>
      <c r="F440" s="863" t="s">
        <v>1884</v>
      </c>
      <c r="G440" s="1434">
        <v>3</v>
      </c>
      <c r="H440" s="1435" t="s">
        <v>11</v>
      </c>
      <c r="I440" s="1436"/>
    </row>
    <row r="441" spans="1:9" ht="30" outlineLevel="1" x14ac:dyDescent="0.25">
      <c r="B441" s="1448" t="s">
        <v>949</v>
      </c>
      <c r="C441" s="1430" t="s">
        <v>2510</v>
      </c>
      <c r="D441" s="1430" t="s">
        <v>1852</v>
      </c>
      <c r="E441" s="1433">
        <f>10^(-(1979.5/T_K-5.3541+T_K*0.01984))</f>
        <v>6.1022250881622208E-8</v>
      </c>
      <c r="F441" s="863" t="s">
        <v>1884</v>
      </c>
      <c r="G441" s="1434">
        <v>3</v>
      </c>
      <c r="H441" s="1435" t="s">
        <v>11</v>
      </c>
      <c r="I441" s="1436"/>
    </row>
    <row r="442" spans="1:9" ht="30" outlineLevel="1" x14ac:dyDescent="0.25">
      <c r="B442" s="1448" t="s">
        <v>950</v>
      </c>
      <c r="C442" s="1430" t="s">
        <v>2511</v>
      </c>
      <c r="D442" s="1430" t="s">
        <v>2953</v>
      </c>
      <c r="E442" s="1433">
        <f>K_P3_param*EXP(d_Hdiss_PO4_3/R__*(1/T_st_K-1/T_K))</f>
        <v>3.7853629756273106E-13</v>
      </c>
      <c r="F442" s="1433" t="s">
        <v>1884</v>
      </c>
      <c r="G442" s="1434">
        <v>3</v>
      </c>
      <c r="H442" s="1435" t="s">
        <v>11</v>
      </c>
      <c r="I442" s="1436"/>
    </row>
    <row r="443" spans="1:9" ht="18" outlineLevel="1" x14ac:dyDescent="0.25">
      <c r="B443" s="1448" t="s">
        <v>2514</v>
      </c>
      <c r="C443" s="1430" t="s">
        <v>2512</v>
      </c>
      <c r="D443" s="1430" t="s">
        <v>1853</v>
      </c>
      <c r="E443" s="1433">
        <f>10^(-(1170.5/T_K-3.165+T_K*0.0134))</f>
        <v>1.7536929986944336E-5</v>
      </c>
      <c r="F443" s="1433" t="s">
        <v>1884</v>
      </c>
      <c r="G443" s="1434">
        <v>3</v>
      </c>
      <c r="H443" s="1435" t="s">
        <v>11</v>
      </c>
      <c r="I443" s="1436"/>
    </row>
    <row r="444" spans="1:9" ht="18.75" outlineLevel="1" thickBot="1" x14ac:dyDescent="0.3">
      <c r="B444" s="565" t="s">
        <v>2515</v>
      </c>
      <c r="C444" s="1438" t="s">
        <v>2513</v>
      </c>
      <c r="D444" s="1438" t="s">
        <v>1054</v>
      </c>
      <c r="E444" s="1449">
        <f>10^(-(2835.8/T_K-0.6322+0.00123*T_K))</f>
        <v>3.9635061259550542E-10</v>
      </c>
      <c r="F444" s="1449" t="s">
        <v>1884</v>
      </c>
      <c r="G444" s="1440">
        <v>3</v>
      </c>
      <c r="H444" s="1441" t="s">
        <v>11</v>
      </c>
      <c r="I444" s="535"/>
    </row>
    <row r="445" spans="1:9" s="1168" customFormat="1" ht="18" customHeight="1" thickBot="1" x14ac:dyDescent="0.3">
      <c r="A445" s="4"/>
      <c r="B445" s="4"/>
      <c r="C445" s="4"/>
      <c r="D445" s="4"/>
      <c r="E445" s="1899"/>
      <c r="F445" s="4"/>
      <c r="G445" s="4"/>
      <c r="H445" s="4"/>
      <c r="I445" s="4"/>
    </row>
    <row r="446" spans="1:9" s="1168" customFormat="1" ht="18" customHeight="1" thickBot="1" x14ac:dyDescent="0.3">
      <c r="A446" s="4"/>
      <c r="B446" s="102"/>
      <c r="C446" s="1204" t="s">
        <v>982</v>
      </c>
      <c r="D446" s="13" t="s">
        <v>321</v>
      </c>
      <c r="E446" s="13"/>
      <c r="F446" s="102"/>
      <c r="G446" s="102"/>
      <c r="H446" s="102"/>
      <c r="I446" s="102"/>
    </row>
    <row r="447" spans="1:9" s="1168" customFormat="1" ht="18" customHeight="1" thickBot="1" x14ac:dyDescent="0.3">
      <c r="A447" s="4"/>
      <c r="B447" s="1514" t="s">
        <v>0</v>
      </c>
      <c r="C447" s="1515" t="s">
        <v>1</v>
      </c>
      <c r="D447" s="1516" t="s">
        <v>5</v>
      </c>
      <c r="E447" s="1516" t="s">
        <v>152</v>
      </c>
      <c r="F447" s="1516" t="s">
        <v>2</v>
      </c>
      <c r="G447" s="1516" t="s">
        <v>302</v>
      </c>
      <c r="H447" s="1516" t="s">
        <v>116</v>
      </c>
      <c r="I447" s="1517" t="s">
        <v>117</v>
      </c>
    </row>
    <row r="448" spans="1:9" ht="18" outlineLevel="1" x14ac:dyDescent="0.25">
      <c r="B448" s="1442" t="s">
        <v>348</v>
      </c>
      <c r="C448" s="1443" t="s">
        <v>2516</v>
      </c>
      <c r="D448" s="1443" t="s">
        <v>951</v>
      </c>
      <c r="E448" s="1444">
        <f>K_W_T/f_mono^2</f>
        <v>8.7379753867564399E-15</v>
      </c>
      <c r="F448" s="1446" t="s">
        <v>1884</v>
      </c>
      <c r="G448" s="1445">
        <v>3</v>
      </c>
      <c r="H448" s="1446" t="s">
        <v>11</v>
      </c>
      <c r="I448" s="1447"/>
    </row>
    <row r="449" spans="1:9" ht="30" outlineLevel="1" x14ac:dyDescent="0.25">
      <c r="B449" s="1448" t="s">
        <v>349</v>
      </c>
      <c r="C449" s="1430" t="s">
        <v>2517</v>
      </c>
      <c r="D449" s="1430" t="s">
        <v>952</v>
      </c>
      <c r="E449" s="1433">
        <f>K_C1_T/f_mono^2</f>
        <v>5.3547283589610541E-7</v>
      </c>
      <c r="F449" s="1435" t="s">
        <v>1884</v>
      </c>
      <c r="G449" s="1434">
        <v>3</v>
      </c>
      <c r="H449" s="1435" t="s">
        <v>11</v>
      </c>
      <c r="I449" s="1436"/>
    </row>
    <row r="450" spans="1:9" ht="30" outlineLevel="1" x14ac:dyDescent="0.25">
      <c r="B450" s="1448" t="s">
        <v>350</v>
      </c>
      <c r="C450" s="1430" t="s">
        <v>2518</v>
      </c>
      <c r="D450" s="1430" t="s">
        <v>953</v>
      </c>
      <c r="E450" s="1433">
        <f>K_C2_T/f_di</f>
        <v>7.0284789816384129E-11</v>
      </c>
      <c r="F450" s="1435" t="s">
        <v>1884</v>
      </c>
      <c r="G450" s="1434">
        <v>3</v>
      </c>
      <c r="H450" s="1435" t="s">
        <v>11</v>
      </c>
      <c r="I450" s="1436"/>
    </row>
    <row r="451" spans="1:9" ht="30" outlineLevel="1" x14ac:dyDescent="0.25">
      <c r="B451" s="1448" t="s">
        <v>361</v>
      </c>
      <c r="C451" s="1430" t="s">
        <v>2519</v>
      </c>
      <c r="D451" s="1430" t="s">
        <v>954</v>
      </c>
      <c r="E451" s="1433">
        <f>K_P1_T/f_mono^2</f>
        <v>9.6412345627529591E-3</v>
      </c>
      <c r="F451" s="1435" t="s">
        <v>1884</v>
      </c>
      <c r="G451" s="1434">
        <v>3</v>
      </c>
      <c r="H451" s="1435" t="s">
        <v>11</v>
      </c>
      <c r="I451" s="1436"/>
    </row>
    <row r="452" spans="1:9" ht="30" outlineLevel="1" x14ac:dyDescent="0.25">
      <c r="B452" s="1448" t="s">
        <v>362</v>
      </c>
      <c r="C452" s="1430" t="s">
        <v>2520</v>
      </c>
      <c r="D452" s="1430" t="s">
        <v>955</v>
      </c>
      <c r="E452" s="1433">
        <f>K_P2_T/f_di</f>
        <v>1.0212251140175602E-7</v>
      </c>
      <c r="F452" s="1435" t="s">
        <v>1884</v>
      </c>
      <c r="G452" s="1434">
        <v>3</v>
      </c>
      <c r="H452" s="1435" t="s">
        <v>11</v>
      </c>
      <c r="I452" s="1436"/>
    </row>
    <row r="453" spans="1:9" ht="30" outlineLevel="1" x14ac:dyDescent="0.25">
      <c r="B453" s="1448" t="s">
        <v>363</v>
      </c>
      <c r="C453" s="1430" t="s">
        <v>2521</v>
      </c>
      <c r="D453" s="1430" t="s">
        <v>956</v>
      </c>
      <c r="E453" s="1433">
        <f>K_P3_T/(f_mono*f_tri)*f_di</f>
        <v>8.1951597738298681E-13</v>
      </c>
      <c r="F453" s="1433" t="s">
        <v>1884</v>
      </c>
      <c r="G453" s="1434">
        <v>3</v>
      </c>
      <c r="H453" s="1435" t="s">
        <v>11</v>
      </c>
      <c r="I453" s="1436"/>
    </row>
    <row r="454" spans="1:9" ht="18" outlineLevel="1" x14ac:dyDescent="0.25">
      <c r="B454" s="1448" t="s">
        <v>2524</v>
      </c>
      <c r="C454" s="1430" t="s">
        <v>2522</v>
      </c>
      <c r="D454" s="1430" t="s">
        <v>2525</v>
      </c>
      <c r="E454" s="1433">
        <f>K_Ac_T/f_mono^2</f>
        <v>2.268664105854261E-5</v>
      </c>
      <c r="F454" s="1433" t="s">
        <v>1884</v>
      </c>
      <c r="G454" s="1434">
        <v>3</v>
      </c>
      <c r="H454" s="1435" t="s">
        <v>11</v>
      </c>
      <c r="I454" s="1436"/>
    </row>
    <row r="455" spans="1:9" ht="18.75" outlineLevel="1" thickBot="1" x14ac:dyDescent="0.3">
      <c r="B455" s="565" t="s">
        <v>2526</v>
      </c>
      <c r="C455" s="1438" t="s">
        <v>2523</v>
      </c>
      <c r="D455" s="1438" t="s">
        <v>2515</v>
      </c>
      <c r="E455" s="1449">
        <f>K_NH3_T</f>
        <v>3.9635061259550542E-10</v>
      </c>
      <c r="F455" s="1449" t="s">
        <v>1884</v>
      </c>
      <c r="G455" s="1440">
        <v>3</v>
      </c>
      <c r="H455" s="1441" t="s">
        <v>11</v>
      </c>
      <c r="I455" s="535"/>
    </row>
    <row r="456" spans="1:9" s="1168" customFormat="1" ht="18" customHeight="1" thickBot="1" x14ac:dyDescent="0.3">
      <c r="A456" s="4"/>
      <c r="B456" s="4"/>
      <c r="C456" s="4"/>
      <c r="D456" s="4"/>
      <c r="E456" s="1899"/>
      <c r="F456" s="4"/>
      <c r="G456" s="4"/>
      <c r="H456" s="4"/>
      <c r="I456" s="4"/>
    </row>
    <row r="457" spans="1:9" s="1168" customFormat="1" ht="18" customHeight="1" thickBot="1" x14ac:dyDescent="0.3">
      <c r="A457" s="4"/>
      <c r="B457" s="102"/>
      <c r="C457" s="1204" t="s">
        <v>1316</v>
      </c>
      <c r="D457" s="13" t="s">
        <v>321</v>
      </c>
      <c r="E457" s="13"/>
      <c r="F457" s="102"/>
      <c r="G457" s="102"/>
      <c r="H457" s="102"/>
      <c r="I457" s="102"/>
    </row>
    <row r="458" spans="1:9" s="1168" customFormat="1" ht="18" customHeight="1" thickBot="1" x14ac:dyDescent="0.3">
      <c r="A458" s="4"/>
      <c r="B458" s="1514" t="s">
        <v>0</v>
      </c>
      <c r="C458" s="1515" t="s">
        <v>1</v>
      </c>
      <c r="D458" s="1516" t="s">
        <v>5</v>
      </c>
      <c r="E458" s="1516" t="s">
        <v>152</v>
      </c>
      <c r="F458" s="1516" t="s">
        <v>2</v>
      </c>
      <c r="G458" s="1516" t="s">
        <v>302</v>
      </c>
      <c r="H458" s="1516" t="s">
        <v>116</v>
      </c>
      <c r="I458" s="1517" t="s">
        <v>117</v>
      </c>
    </row>
    <row r="459" spans="1:9" ht="18" outlineLevel="1" x14ac:dyDescent="0.25">
      <c r="B459" s="1450" t="s">
        <v>1326</v>
      </c>
      <c r="C459" s="1451" t="s">
        <v>2527</v>
      </c>
      <c r="D459" s="1451" t="s">
        <v>3342</v>
      </c>
      <c r="E459" s="1444">
        <f>K_sp_CaCO3_param/f_di</f>
        <v>7.4753798120141423E-7</v>
      </c>
      <c r="F459" s="1444" t="s">
        <v>1884</v>
      </c>
      <c r="G459" s="1445">
        <v>3</v>
      </c>
      <c r="H459" s="1446" t="s">
        <v>11</v>
      </c>
      <c r="I459" s="1447"/>
    </row>
    <row r="460" spans="1:9" ht="18.75" outlineLevel="1" x14ac:dyDescent="0.25">
      <c r="B460" s="1452" t="s">
        <v>1323</v>
      </c>
      <c r="C460" s="1453" t="s">
        <v>2528</v>
      </c>
      <c r="D460" s="1453" t="s">
        <v>3978</v>
      </c>
      <c r="E460" s="1433">
        <f>K_sp_STR_param/(f_di^(1/3)*f_mono^(1/3)*f_tri^(1/3))</f>
        <v>1.2614964468037164E-13</v>
      </c>
      <c r="F460" s="1433" t="s">
        <v>1884</v>
      </c>
      <c r="G460" s="1434">
        <v>3</v>
      </c>
      <c r="H460" s="1435" t="s">
        <v>11</v>
      </c>
      <c r="I460" s="1436"/>
    </row>
    <row r="461" spans="1:9" ht="18.75" outlineLevel="1" x14ac:dyDescent="0.25">
      <c r="B461" s="1452" t="s">
        <v>1324</v>
      </c>
      <c r="C461" s="1453" t="s">
        <v>2529</v>
      </c>
      <c r="D461" s="1453" t="s">
        <v>3341</v>
      </c>
      <c r="E461" s="1433">
        <f>K_sp_Vivi_param/(f_di^(3/5)*f_tri^(2/5))</f>
        <v>2.1649600914352904E-36</v>
      </c>
      <c r="F461" s="1433" t="s">
        <v>1884</v>
      </c>
      <c r="G461" s="1434">
        <v>3</v>
      </c>
      <c r="H461" s="1435" t="s">
        <v>11</v>
      </c>
      <c r="I461" s="1436"/>
    </row>
    <row r="462" spans="1:9" ht="18.75" outlineLevel="1" x14ac:dyDescent="0.25">
      <c r="B462" s="1452" t="s">
        <v>1325</v>
      </c>
      <c r="C462" s="1453" t="s">
        <v>2530</v>
      </c>
      <c r="D462" s="1453" t="s">
        <v>3340</v>
      </c>
      <c r="E462" s="1433">
        <f>K_sp_ACP_param/(f_di^(3/5)*f_tri^(2/5))</f>
        <v>7.5067144345969344E-26</v>
      </c>
      <c r="F462" s="1433" t="s">
        <v>1884</v>
      </c>
      <c r="G462" s="1434">
        <v>3</v>
      </c>
      <c r="H462" s="1435" t="s">
        <v>11</v>
      </c>
      <c r="I462" s="1436"/>
    </row>
    <row r="463" spans="1:9" ht="19.5" outlineLevel="1" thickBot="1" x14ac:dyDescent="0.3">
      <c r="B463" s="632" t="s">
        <v>3441</v>
      </c>
      <c r="C463" s="1454" t="s">
        <v>3442</v>
      </c>
      <c r="D463" s="1454" t="s">
        <v>3443</v>
      </c>
      <c r="E463" s="1449">
        <f>K_sp_BSH_param/(f_di^(1/2)*f_di^(1/2))</f>
        <v>4.2037149897892104E-7</v>
      </c>
      <c r="F463" s="1449" t="s">
        <v>1884</v>
      </c>
      <c r="G463" s="1440">
        <v>3</v>
      </c>
      <c r="H463" s="1441" t="s">
        <v>11</v>
      </c>
      <c r="I463" s="535"/>
    </row>
    <row r="464" spans="1:9" s="1168" customFormat="1" ht="18" customHeight="1" thickBot="1" x14ac:dyDescent="0.3">
      <c r="A464" s="4"/>
      <c r="B464" s="4"/>
      <c r="C464" s="4"/>
      <c r="D464" s="4"/>
      <c r="E464" s="1899"/>
      <c r="F464" s="4"/>
      <c r="G464" s="4"/>
      <c r="H464" s="4"/>
      <c r="I464" s="4"/>
    </row>
    <row r="465" spans="1:10" s="1168" customFormat="1" ht="18" customHeight="1" thickBot="1" x14ac:dyDescent="0.3">
      <c r="A465" s="4"/>
      <c r="B465" s="102"/>
      <c r="C465" s="1204" t="s">
        <v>399</v>
      </c>
      <c r="D465" s="13" t="s">
        <v>321</v>
      </c>
      <c r="E465" s="13"/>
      <c r="F465" s="102"/>
      <c r="G465" s="102"/>
      <c r="H465" s="102"/>
      <c r="I465" s="102"/>
    </row>
    <row r="466" spans="1:10" s="1168" customFormat="1" ht="18" customHeight="1" thickBot="1" x14ac:dyDescent="0.3">
      <c r="A466" s="4"/>
      <c r="B466" s="1514" t="s">
        <v>0</v>
      </c>
      <c r="C466" s="1515" t="s">
        <v>1</v>
      </c>
      <c r="D466" s="1516" t="s">
        <v>5</v>
      </c>
      <c r="E466" s="1516" t="s">
        <v>152</v>
      </c>
      <c r="F466" s="1516" t="s">
        <v>2</v>
      </c>
      <c r="G466" s="1516" t="s">
        <v>302</v>
      </c>
      <c r="H466" s="1516" t="s">
        <v>116</v>
      </c>
      <c r="I466" s="1517" t="s">
        <v>117</v>
      </c>
    </row>
    <row r="467" spans="1:10" ht="30" outlineLevel="1" x14ac:dyDescent="0.25">
      <c r="B467" s="568" t="s">
        <v>895</v>
      </c>
      <c r="C467" s="895" t="s">
        <v>896</v>
      </c>
      <c r="D467" s="895" t="s">
        <v>1879</v>
      </c>
      <c r="E467" s="1455">
        <f>conc_Hp_Ieq*K_P2/(conc_Hp_Ieq^3+conc_Hp_Ieq^2*K_P1+K_P2*conc_Hp_Ieq*K_P1+K_P2*K_P1*K_P3)*K_P1*S_PO4/(A_MP*1000)</f>
        <v>2.5493518636920041E-8</v>
      </c>
      <c r="F467" s="863" t="s">
        <v>389</v>
      </c>
      <c r="G467" s="863">
        <v>3</v>
      </c>
      <c r="H467" s="863" t="s">
        <v>11</v>
      </c>
      <c r="I467" s="533"/>
    </row>
    <row r="468" spans="1:10" ht="30" outlineLevel="1" x14ac:dyDescent="0.25">
      <c r="B468" s="1448" t="s">
        <v>897</v>
      </c>
      <c r="C468" s="1430" t="s">
        <v>898</v>
      </c>
      <c r="D468" s="1430" t="s">
        <v>1880</v>
      </c>
      <c r="E468" s="1433">
        <f>conc_Hp_Ieq^2*K_P1*S_PO4/(A_MP*1000)/(conc_Hp_Ieq^3+conc_Hp_Ieq^2*K_P1+K_P2*conc_Hp_Ieq*K_P1+K_P2*K_P1*K_P3)</f>
        <v>1.6010694300937341E-5</v>
      </c>
      <c r="F468" s="863" t="s">
        <v>389</v>
      </c>
      <c r="G468" s="1435">
        <v>3</v>
      </c>
      <c r="H468" s="1435" t="s">
        <v>11</v>
      </c>
      <c r="I468" s="1436"/>
    </row>
    <row r="469" spans="1:10" ht="18.75" outlineLevel="1" x14ac:dyDescent="0.25">
      <c r="B469" s="1448" t="s">
        <v>899</v>
      </c>
      <c r="C469" s="1430" t="s">
        <v>900</v>
      </c>
      <c r="D469" s="1430" t="s">
        <v>2550</v>
      </c>
      <c r="E469" s="1433">
        <f>S_VFA/(4*A_MO*1000)*K_Ac/(conc_Hp_Ieq+K_Ac)</f>
        <v>4.0829449054993815E-8</v>
      </c>
      <c r="F469" s="863" t="s">
        <v>389</v>
      </c>
      <c r="G469" s="1435">
        <v>3</v>
      </c>
      <c r="H469" s="1435" t="s">
        <v>11</v>
      </c>
      <c r="I469" s="1436"/>
    </row>
    <row r="470" spans="1:10" ht="38.25" outlineLevel="1" thickBot="1" x14ac:dyDescent="0.3">
      <c r="B470" s="534" t="s">
        <v>1281</v>
      </c>
      <c r="C470" s="1438" t="s">
        <v>399</v>
      </c>
      <c r="D470" s="1438" t="s">
        <v>1881</v>
      </c>
      <c r="E470" s="1456">
        <f>(3*conc_PO43m_I+2*conc_HPO42m_I)-2*conc_HPO42m_Ieq+conc_H2PO4m_I-conc_H2PO4m_Ieq+conc_OHm_I+conc_NH3_I+2*conc_CO32m_I+conc_HCO3m_I+conc_Acm_I-conc_Acm_Ieq-conc_Hp_I</f>
        <v>5.5291925718282718E-3</v>
      </c>
      <c r="F470" s="1456" t="s">
        <v>1882</v>
      </c>
      <c r="G470" s="1441">
        <v>4</v>
      </c>
      <c r="H470" s="1441" t="s">
        <v>11</v>
      </c>
      <c r="I470" s="535"/>
    </row>
    <row r="471" spans="1:10" s="1168" customFormat="1" ht="18" customHeight="1" thickBot="1" x14ac:dyDescent="0.3">
      <c r="A471" s="4"/>
      <c r="B471" s="4"/>
      <c r="C471" s="4"/>
      <c r="D471" s="4"/>
      <c r="E471" s="1899"/>
      <c r="F471" s="4"/>
      <c r="G471" s="4"/>
      <c r="H471" s="4"/>
      <c r="I471" s="4"/>
    </row>
    <row r="472" spans="1:10" s="1168" customFormat="1" ht="18" customHeight="1" thickBot="1" x14ac:dyDescent="0.3">
      <c r="A472" s="4"/>
      <c r="B472" s="102"/>
      <c r="C472" s="1204" t="s">
        <v>4062</v>
      </c>
      <c r="D472" s="13" t="s">
        <v>321</v>
      </c>
      <c r="E472" s="13"/>
      <c r="F472" s="102"/>
      <c r="G472" s="102"/>
      <c r="H472" s="102"/>
      <c r="I472" s="102"/>
    </row>
    <row r="473" spans="1:10" s="1168" customFormat="1" ht="18" customHeight="1" thickBot="1" x14ac:dyDescent="0.3">
      <c r="A473" s="4"/>
      <c r="B473" s="1514" t="s">
        <v>0</v>
      </c>
      <c r="C473" s="1515" t="s">
        <v>1</v>
      </c>
      <c r="D473" s="1516" t="s">
        <v>5</v>
      </c>
      <c r="E473" s="1516" t="s">
        <v>152</v>
      </c>
      <c r="F473" s="1516" t="s">
        <v>2</v>
      </c>
      <c r="G473" s="1516" t="s">
        <v>302</v>
      </c>
      <c r="H473" s="1516" t="s">
        <v>116</v>
      </c>
      <c r="I473" s="1517" t="s">
        <v>117</v>
      </c>
    </row>
    <row r="474" spans="1:10" ht="18" outlineLevel="1" x14ac:dyDescent="0.25">
      <c r="B474" s="568" t="s">
        <v>15</v>
      </c>
      <c r="C474" s="895" t="s">
        <v>384</v>
      </c>
      <c r="D474" s="895" t="s">
        <v>4066</v>
      </c>
      <c r="E474" s="894">
        <f>I_Sinput_AS</f>
        <v>0.02</v>
      </c>
      <c r="F474" s="1445" t="s">
        <v>386</v>
      </c>
      <c r="G474" s="1445">
        <v>3</v>
      </c>
      <c r="H474" s="863" t="s">
        <v>4070</v>
      </c>
      <c r="I474" s="533"/>
      <c r="J474" s="1168"/>
    </row>
    <row r="475" spans="1:10" ht="18" outlineLevel="1" x14ac:dyDescent="0.25">
      <c r="B475" s="1448" t="s">
        <v>15</v>
      </c>
      <c r="C475" s="1430" t="s">
        <v>384</v>
      </c>
      <c r="D475" s="1430" t="s">
        <v>4067</v>
      </c>
      <c r="E475" s="1457">
        <f>I_Sinput_DIG</f>
        <v>0.1</v>
      </c>
      <c r="F475" s="1435" t="s">
        <v>386</v>
      </c>
      <c r="G475" s="1435">
        <v>3</v>
      </c>
      <c r="H475" s="1435" t="s">
        <v>4068</v>
      </c>
      <c r="I475" s="1436"/>
      <c r="J475" s="1168"/>
    </row>
    <row r="476" spans="1:10" ht="18.75" outlineLevel="1" thickBot="1" x14ac:dyDescent="0.3">
      <c r="B476" s="565" t="s">
        <v>15</v>
      </c>
      <c r="C476" s="1438" t="s">
        <v>384</v>
      </c>
      <c r="D476" s="1438" t="s">
        <v>4076</v>
      </c>
      <c r="E476" s="1458">
        <f>I_Sinput_sidestream</f>
        <v>0.1</v>
      </c>
      <c r="F476" s="1441" t="s">
        <v>386</v>
      </c>
      <c r="G476" s="1441">
        <v>3</v>
      </c>
      <c r="H476" s="1441" t="s">
        <v>4078</v>
      </c>
      <c r="I476" s="535"/>
      <c r="J476" s="1168"/>
    </row>
    <row r="477" spans="1:10" s="1168" customFormat="1" ht="18" customHeight="1" thickBot="1" x14ac:dyDescent="0.3">
      <c r="A477" s="4"/>
      <c r="B477" s="4"/>
      <c r="C477" s="4"/>
      <c r="D477" s="4"/>
      <c r="E477" s="1899"/>
      <c r="F477" s="4"/>
      <c r="G477" s="4"/>
      <c r="H477" s="4"/>
      <c r="I477" s="4"/>
    </row>
    <row r="478" spans="1:10" s="1168" customFormat="1" ht="18" customHeight="1" thickBot="1" x14ac:dyDescent="0.3">
      <c r="A478" s="4"/>
      <c r="B478" s="102"/>
      <c r="C478" s="1204" t="s">
        <v>4062</v>
      </c>
      <c r="D478" s="13" t="s">
        <v>321</v>
      </c>
      <c r="E478" s="13"/>
      <c r="F478" s="102"/>
      <c r="G478" s="102"/>
      <c r="H478" s="102"/>
      <c r="I478" s="102"/>
    </row>
    <row r="479" spans="1:10" s="1168" customFormat="1" ht="18" customHeight="1" thickBot="1" x14ac:dyDescent="0.3">
      <c r="A479" s="4"/>
      <c r="B479" s="1514" t="s">
        <v>0</v>
      </c>
      <c r="C479" s="1515" t="s">
        <v>1</v>
      </c>
      <c r="D479" s="1516" t="s">
        <v>5</v>
      </c>
      <c r="E479" s="1516" t="s">
        <v>152</v>
      </c>
      <c r="F479" s="1516" t="s">
        <v>2</v>
      </c>
      <c r="G479" s="1516" t="s">
        <v>302</v>
      </c>
      <c r="H479" s="1516" t="s">
        <v>116</v>
      </c>
      <c r="I479" s="1517" t="s">
        <v>117</v>
      </c>
    </row>
    <row r="480" spans="1:10" ht="18" outlineLevel="1" x14ac:dyDescent="0.25">
      <c r="B480" s="568" t="s">
        <v>15</v>
      </c>
      <c r="C480" s="895" t="s">
        <v>384</v>
      </c>
      <c r="D480" s="895" t="s">
        <v>4066</v>
      </c>
      <c r="E480" s="894">
        <f>I_Sinput_AS</f>
        <v>0.02</v>
      </c>
      <c r="F480" s="1445" t="s">
        <v>386</v>
      </c>
      <c r="G480" s="1445">
        <v>3</v>
      </c>
      <c r="H480" s="863" t="s">
        <v>4071</v>
      </c>
      <c r="I480" s="533"/>
      <c r="J480" s="1168"/>
    </row>
    <row r="481" spans="1:11" ht="18" outlineLevel="1" x14ac:dyDescent="0.25">
      <c r="B481" s="1448" t="s">
        <v>15</v>
      </c>
      <c r="C481" s="1430" t="s">
        <v>384</v>
      </c>
      <c r="D481" s="1430" t="s">
        <v>4067</v>
      </c>
      <c r="E481" s="1457">
        <f>I_Sinput_DIG</f>
        <v>0.1</v>
      </c>
      <c r="F481" s="1435" t="s">
        <v>386</v>
      </c>
      <c r="G481" s="1435">
        <v>3</v>
      </c>
      <c r="H481" s="1435" t="s">
        <v>4069</v>
      </c>
      <c r="I481" s="1436"/>
      <c r="J481" s="1168"/>
    </row>
    <row r="482" spans="1:11" ht="18.75" outlineLevel="1" thickBot="1" x14ac:dyDescent="0.3">
      <c r="B482" s="565" t="s">
        <v>15</v>
      </c>
      <c r="C482" s="1438" t="s">
        <v>384</v>
      </c>
      <c r="D482" s="1438" t="s">
        <v>4076</v>
      </c>
      <c r="E482" s="1458">
        <f>I_Sinput_sidestream</f>
        <v>0.1</v>
      </c>
      <c r="F482" s="1441" t="s">
        <v>386</v>
      </c>
      <c r="G482" s="1441">
        <v>3</v>
      </c>
      <c r="H482" s="1441" t="s">
        <v>4077</v>
      </c>
      <c r="I482" s="535"/>
      <c r="J482" s="1168"/>
    </row>
    <row r="483" spans="1:11" s="1168" customFormat="1" ht="18" customHeight="1" thickBot="1" x14ac:dyDescent="0.3">
      <c r="A483" s="4"/>
      <c r="B483" s="4"/>
      <c r="C483" s="4"/>
      <c r="D483" s="4"/>
      <c r="E483" s="1899"/>
      <c r="F483" s="4"/>
      <c r="G483" s="4"/>
      <c r="H483" s="4"/>
      <c r="I483" s="4"/>
    </row>
    <row r="484" spans="1:11" s="1168" customFormat="1" ht="18" customHeight="1" thickBot="1" x14ac:dyDescent="0.3">
      <c r="A484" s="4"/>
      <c r="B484" s="102" t="s">
        <v>378</v>
      </c>
      <c r="C484" s="1204" t="s">
        <v>2137</v>
      </c>
      <c r="D484" s="13" t="s">
        <v>321</v>
      </c>
      <c r="E484" s="13"/>
      <c r="F484" s="102"/>
      <c r="G484" s="102"/>
      <c r="H484" s="102"/>
      <c r="I484" s="102"/>
    </row>
    <row r="485" spans="1:11" s="1168" customFormat="1" ht="18" customHeight="1" thickBot="1" x14ac:dyDescent="0.3">
      <c r="A485" s="4"/>
      <c r="B485" s="1514" t="s">
        <v>0</v>
      </c>
      <c r="C485" s="1515" t="s">
        <v>1</v>
      </c>
      <c r="D485" s="1516" t="s">
        <v>379</v>
      </c>
      <c r="E485" s="1516" t="s">
        <v>152</v>
      </c>
      <c r="F485" s="1516" t="s">
        <v>380</v>
      </c>
      <c r="G485" s="1516" t="s">
        <v>381</v>
      </c>
      <c r="H485" s="1516" t="s">
        <v>2</v>
      </c>
      <c r="I485" s="1516" t="s">
        <v>302</v>
      </c>
      <c r="J485" s="1516" t="s">
        <v>116</v>
      </c>
      <c r="K485" s="1517" t="s">
        <v>117</v>
      </c>
    </row>
    <row r="486" spans="1:11" outlineLevel="1" x14ac:dyDescent="0.25">
      <c r="B486" s="568" t="s">
        <v>11</v>
      </c>
      <c r="C486" s="895" t="s">
        <v>11</v>
      </c>
      <c r="D486" s="895" t="s">
        <v>382</v>
      </c>
      <c r="E486" s="894">
        <v>7.2</v>
      </c>
      <c r="F486" s="1445">
        <v>2</v>
      </c>
      <c r="G486" s="1445">
        <v>12</v>
      </c>
      <c r="H486" s="863" t="s">
        <v>383</v>
      </c>
      <c r="I486" s="863">
        <v>2</v>
      </c>
      <c r="J486" s="863" t="s">
        <v>1250</v>
      </c>
      <c r="K486" s="533"/>
    </row>
    <row r="487" spans="1:11" ht="15.75" outlineLevel="1" thickBot="1" x14ac:dyDescent="0.3">
      <c r="B487" s="565" t="s">
        <v>15</v>
      </c>
      <c r="C487" s="1438" t="s">
        <v>384</v>
      </c>
      <c r="D487" s="1438" t="s">
        <v>385</v>
      </c>
      <c r="E487" s="1458">
        <v>0.01</v>
      </c>
      <c r="F487" s="1441">
        <v>0</v>
      </c>
      <c r="G487" s="1441">
        <v>0.5</v>
      </c>
      <c r="H487" s="1441" t="s">
        <v>386</v>
      </c>
      <c r="I487" s="1441">
        <v>2</v>
      </c>
      <c r="J487" s="1441" t="s">
        <v>4063</v>
      </c>
      <c r="K487" s="535"/>
    </row>
    <row r="488" spans="1:11" s="1168" customFormat="1" ht="18" customHeight="1" thickBot="1" x14ac:dyDescent="0.3">
      <c r="A488" s="4"/>
      <c r="B488" s="4"/>
      <c r="C488" s="4"/>
      <c r="D488" s="4"/>
      <c r="E488" s="1899"/>
      <c r="F488" s="4"/>
      <c r="G488" s="4"/>
      <c r="H488" s="4"/>
      <c r="I488" s="4"/>
    </row>
    <row r="489" spans="1:11" s="1168" customFormat="1" ht="18" customHeight="1" thickBot="1" x14ac:dyDescent="0.3">
      <c r="A489" s="4"/>
      <c r="B489" s="102" t="s">
        <v>378</v>
      </c>
      <c r="C489" s="1204" t="s">
        <v>3110</v>
      </c>
      <c r="D489" s="13" t="s">
        <v>321</v>
      </c>
      <c r="E489" s="13"/>
      <c r="F489" s="102"/>
      <c r="G489" s="102"/>
      <c r="H489" s="102"/>
      <c r="I489" s="102"/>
    </row>
    <row r="490" spans="1:11" s="1168" customFormat="1" ht="18" customHeight="1" thickBot="1" x14ac:dyDescent="0.3">
      <c r="A490" s="4"/>
      <c r="B490" s="1514" t="s">
        <v>0</v>
      </c>
      <c r="C490" s="1515" t="s">
        <v>1</v>
      </c>
      <c r="D490" s="1516" t="s">
        <v>379</v>
      </c>
      <c r="E490" s="1516" t="s">
        <v>152</v>
      </c>
      <c r="F490" s="1516" t="s">
        <v>380</v>
      </c>
      <c r="G490" s="1516" t="s">
        <v>381</v>
      </c>
      <c r="H490" s="1516" t="s">
        <v>2</v>
      </c>
      <c r="I490" s="1516" t="s">
        <v>302</v>
      </c>
      <c r="J490" s="1516" t="s">
        <v>116</v>
      </c>
      <c r="K490" s="1517" t="s">
        <v>117</v>
      </c>
    </row>
    <row r="491" spans="1:11" s="94" customFormat="1" ht="18" outlineLevel="1" x14ac:dyDescent="0.25">
      <c r="A491" s="102"/>
      <c r="B491" s="1459" t="s">
        <v>2652</v>
      </c>
      <c r="C491" s="1443" t="s">
        <v>2653</v>
      </c>
      <c r="D491" s="1443" t="s">
        <v>382</v>
      </c>
      <c r="E491" s="1460">
        <v>8.6899999999999998E-3</v>
      </c>
      <c r="F491" s="1445">
        <v>-10000</v>
      </c>
      <c r="G491" s="1445">
        <v>10000</v>
      </c>
      <c r="H491" s="1446" t="s">
        <v>389</v>
      </c>
      <c r="I491" s="1446">
        <v>2</v>
      </c>
      <c r="J491" s="863" t="s">
        <v>3112</v>
      </c>
      <c r="K491" s="533" t="s">
        <v>387</v>
      </c>
    </row>
    <row r="492" spans="1:11" outlineLevel="1" x14ac:dyDescent="0.25">
      <c r="B492" s="1448" t="s">
        <v>15</v>
      </c>
      <c r="C492" s="1430" t="s">
        <v>384</v>
      </c>
      <c r="D492" s="1430" t="s">
        <v>385</v>
      </c>
      <c r="E492" s="1461">
        <v>0.01</v>
      </c>
      <c r="F492" s="1434" t="s">
        <v>388</v>
      </c>
      <c r="G492" s="1435">
        <v>0.5</v>
      </c>
      <c r="H492" s="1435" t="s">
        <v>386</v>
      </c>
      <c r="I492" s="1435">
        <v>2</v>
      </c>
      <c r="J492" s="1435" t="s">
        <v>3112</v>
      </c>
      <c r="K492" s="1436" t="s">
        <v>390</v>
      </c>
    </row>
    <row r="493" spans="1:11" ht="18.75" outlineLevel="1" thickBot="1" x14ac:dyDescent="0.3">
      <c r="B493" s="565" t="s">
        <v>391</v>
      </c>
      <c r="C493" s="1438" t="s">
        <v>301</v>
      </c>
      <c r="D493" s="1438" t="s">
        <v>393</v>
      </c>
      <c r="E493" s="1458">
        <v>100</v>
      </c>
      <c r="F493" s="1441">
        <v>0</v>
      </c>
      <c r="G493" s="1441">
        <v>10000</v>
      </c>
      <c r="H493" s="1441" t="s">
        <v>1210</v>
      </c>
      <c r="I493" s="1441">
        <v>2</v>
      </c>
      <c r="J493" s="1441" t="s">
        <v>3112</v>
      </c>
      <c r="K493" s="535" t="s">
        <v>392</v>
      </c>
    </row>
    <row r="494" spans="1:11" s="1168" customFormat="1" ht="18" customHeight="1" thickBot="1" x14ac:dyDescent="0.3">
      <c r="A494" s="4"/>
      <c r="B494" s="4"/>
      <c r="C494" s="4"/>
      <c r="D494" s="4"/>
      <c r="E494" s="1899"/>
      <c r="F494" s="4"/>
      <c r="G494" s="4"/>
      <c r="H494" s="4"/>
      <c r="I494" s="4"/>
    </row>
    <row r="495" spans="1:11" s="1168" customFormat="1" ht="18" customHeight="1" thickBot="1" x14ac:dyDescent="0.3">
      <c r="A495" s="4"/>
      <c r="B495" s="102" t="s">
        <v>378</v>
      </c>
      <c r="C495" s="1204" t="s">
        <v>3109</v>
      </c>
      <c r="D495" s="13" t="s">
        <v>321</v>
      </c>
      <c r="E495" s="13"/>
      <c r="F495" s="102"/>
      <c r="G495" s="102"/>
      <c r="H495" s="102"/>
      <c r="I495" s="102"/>
    </row>
    <row r="496" spans="1:11" s="1168" customFormat="1" ht="18" customHeight="1" thickBot="1" x14ac:dyDescent="0.3">
      <c r="A496" s="4"/>
      <c r="B496" s="1514" t="s">
        <v>0</v>
      </c>
      <c r="C496" s="1515" t="s">
        <v>1</v>
      </c>
      <c r="D496" s="1516" t="s">
        <v>379</v>
      </c>
      <c r="E496" s="1516" t="s">
        <v>152</v>
      </c>
      <c r="F496" s="1516" t="s">
        <v>380</v>
      </c>
      <c r="G496" s="1516" t="s">
        <v>381</v>
      </c>
      <c r="H496" s="1516" t="s">
        <v>2</v>
      </c>
      <c r="I496" s="1516" t="s">
        <v>302</v>
      </c>
      <c r="J496" s="1516" t="s">
        <v>116</v>
      </c>
      <c r="K496" s="1517" t="s">
        <v>117</v>
      </c>
    </row>
    <row r="497" spans="1:11" s="94" customFormat="1" ht="18" outlineLevel="1" x14ac:dyDescent="0.25">
      <c r="A497" s="102"/>
      <c r="B497" s="1459" t="s">
        <v>2652</v>
      </c>
      <c r="C497" s="1443" t="s">
        <v>2653</v>
      </c>
      <c r="D497" s="1443" t="s">
        <v>382</v>
      </c>
      <c r="E497" s="1460">
        <v>8.6899999999999998E-3</v>
      </c>
      <c r="F497" s="1445">
        <v>-10000</v>
      </c>
      <c r="G497" s="1445">
        <v>10000</v>
      </c>
      <c r="H497" s="1446" t="s">
        <v>389</v>
      </c>
      <c r="I497" s="1446">
        <v>2</v>
      </c>
      <c r="J497" s="863" t="s">
        <v>3111</v>
      </c>
      <c r="K497" s="533" t="s">
        <v>387</v>
      </c>
    </row>
    <row r="498" spans="1:11" ht="15.75" outlineLevel="1" thickBot="1" x14ac:dyDescent="0.3">
      <c r="B498" s="565" t="s">
        <v>15</v>
      </c>
      <c r="C498" s="1438" t="s">
        <v>384</v>
      </c>
      <c r="D498" s="1438" t="s">
        <v>385</v>
      </c>
      <c r="E498" s="1462">
        <v>0.01</v>
      </c>
      <c r="F498" s="1440">
        <v>0</v>
      </c>
      <c r="G498" s="1441">
        <v>0.5</v>
      </c>
      <c r="H498" s="1441" t="s">
        <v>386</v>
      </c>
      <c r="I498" s="1441">
        <v>2</v>
      </c>
      <c r="J498" s="1441" t="s">
        <v>4449</v>
      </c>
      <c r="K498" s="535" t="s">
        <v>390</v>
      </c>
    </row>
    <row r="499" spans="1:11" s="1168" customFormat="1" ht="18" customHeight="1" thickBot="1" x14ac:dyDescent="0.3">
      <c r="A499" s="4"/>
      <c r="B499" s="4"/>
      <c r="C499" s="4"/>
      <c r="D499" s="4"/>
      <c r="E499" s="1899"/>
      <c r="F499" s="4"/>
      <c r="G499" s="4"/>
      <c r="H499" s="4"/>
      <c r="I499" s="4"/>
    </row>
    <row r="500" spans="1:11" s="1168" customFormat="1" ht="18" customHeight="1" thickBot="1" x14ac:dyDescent="0.3">
      <c r="A500" s="4"/>
      <c r="B500" s="102"/>
      <c r="C500" s="1204" t="s">
        <v>3130</v>
      </c>
      <c r="D500" s="13" t="s">
        <v>321</v>
      </c>
      <c r="E500" s="13"/>
      <c r="F500" s="102"/>
      <c r="G500" s="102"/>
      <c r="H500" s="102"/>
      <c r="I500" s="102"/>
    </row>
    <row r="501" spans="1:11" s="1168" customFormat="1" ht="18" customHeight="1" thickBot="1" x14ac:dyDescent="0.3">
      <c r="A501" s="4"/>
      <c r="B501" s="1514" t="s">
        <v>0</v>
      </c>
      <c r="C501" s="1515" t="s">
        <v>1</v>
      </c>
      <c r="D501" s="1516" t="s">
        <v>5</v>
      </c>
      <c r="E501" s="1516" t="s">
        <v>152</v>
      </c>
      <c r="F501" s="1516" t="s">
        <v>2</v>
      </c>
      <c r="G501" s="1516" t="s">
        <v>302</v>
      </c>
      <c r="H501" s="1516" t="s">
        <v>116</v>
      </c>
      <c r="I501" s="1517" t="s">
        <v>117</v>
      </c>
    </row>
    <row r="502" spans="1:11" ht="18" outlineLevel="1" x14ac:dyDescent="0.25">
      <c r="B502" s="568" t="s">
        <v>2654</v>
      </c>
      <c r="C502" s="895" t="s">
        <v>2655</v>
      </c>
      <c r="D502" s="1463" t="s">
        <v>2656</v>
      </c>
      <c r="E502" s="1464" t="e">
        <f>S_CAT_ini+S_IC*(A_MNa*1000)</f>
        <v>#NAME?</v>
      </c>
      <c r="F502" s="1437" t="s">
        <v>1045</v>
      </c>
      <c r="G502" s="1437">
        <v>2</v>
      </c>
      <c r="H502" s="863" t="s">
        <v>3131</v>
      </c>
      <c r="I502" s="533" t="s">
        <v>2197</v>
      </c>
      <c r="J502" s="94"/>
      <c r="K502" s="94"/>
    </row>
    <row r="503" spans="1:11" ht="18" outlineLevel="1" x14ac:dyDescent="0.25">
      <c r="B503" s="1448" t="s">
        <v>2657</v>
      </c>
      <c r="C503" s="1430" t="s">
        <v>2658</v>
      </c>
      <c r="D503" s="1465" t="s">
        <v>2659</v>
      </c>
      <c r="E503" s="1466" t="e">
        <f>S_AN_ini-S_IC*(A_MCl*1000)</f>
        <v>#NAME?</v>
      </c>
      <c r="F503" s="1435" t="s">
        <v>1047</v>
      </c>
      <c r="G503" s="1435">
        <v>2</v>
      </c>
      <c r="H503" s="1435" t="s">
        <v>3131</v>
      </c>
      <c r="I503" s="1436" t="s">
        <v>2197</v>
      </c>
      <c r="J503" s="94"/>
      <c r="K503" s="94"/>
    </row>
    <row r="504" spans="1:11" ht="18" outlineLevel="1" x14ac:dyDescent="0.25">
      <c r="B504" s="1448" t="s">
        <v>1157</v>
      </c>
      <c r="C504" s="895" t="s">
        <v>2613</v>
      </c>
      <c r="D504" s="1465" t="s">
        <v>2660</v>
      </c>
      <c r="E504" s="1466" t="e">
        <f>IF(S_CAT_ini_corr&gt;0,S_CAT_ini_corr,S_CAT_ini)</f>
        <v>#NAME?</v>
      </c>
      <c r="F504" s="1434" t="s">
        <v>1045</v>
      </c>
      <c r="G504" s="1434">
        <v>2</v>
      </c>
      <c r="H504" s="1435" t="s">
        <v>3131</v>
      </c>
      <c r="I504" s="1436" t="s">
        <v>2197</v>
      </c>
      <c r="J504" s="94"/>
      <c r="K504" s="94"/>
    </row>
    <row r="505" spans="1:11" ht="18.75" outlineLevel="1" thickBot="1" x14ac:dyDescent="0.3">
      <c r="B505" s="565" t="s">
        <v>2198</v>
      </c>
      <c r="C505" s="1438" t="s">
        <v>2614</v>
      </c>
      <c r="D505" s="1467" t="s">
        <v>2661</v>
      </c>
      <c r="E505" s="1468" t="e">
        <f>IF(S_CAT_ini_corr&gt;0,S_AN_ini,S_AN_ini_corr)</f>
        <v>#NAME?</v>
      </c>
      <c r="F505" s="1441" t="s">
        <v>1047</v>
      </c>
      <c r="G505" s="1441">
        <v>2</v>
      </c>
      <c r="H505" s="1441" t="s">
        <v>3131</v>
      </c>
      <c r="I505" s="535" t="s">
        <v>2197</v>
      </c>
      <c r="J505" s="94"/>
      <c r="K505" s="94"/>
    </row>
    <row r="506" spans="1:11" s="1168" customFormat="1" ht="18" customHeight="1" thickBot="1" x14ac:dyDescent="0.3">
      <c r="A506" s="4"/>
      <c r="B506" s="4"/>
      <c r="C506" s="4"/>
      <c r="D506" s="4"/>
      <c r="E506" s="1899"/>
      <c r="F506" s="4"/>
      <c r="G506" s="4"/>
      <c r="H506" s="4"/>
      <c r="I506" s="4"/>
    </row>
    <row r="507" spans="1:11" s="1168" customFormat="1" ht="18" customHeight="1" thickBot="1" x14ac:dyDescent="0.3">
      <c r="A507" s="4"/>
      <c r="B507" s="102"/>
      <c r="C507" s="1204" t="s">
        <v>3122</v>
      </c>
      <c r="D507" s="13" t="s">
        <v>321</v>
      </c>
      <c r="E507" s="13"/>
      <c r="F507" s="102"/>
      <c r="G507" s="102"/>
      <c r="H507" s="102"/>
      <c r="I507" s="102"/>
    </row>
    <row r="508" spans="1:11" s="1168" customFormat="1" ht="18" customHeight="1" thickBot="1" x14ac:dyDescent="0.3">
      <c r="A508" s="4"/>
      <c r="B508" s="1514" t="s">
        <v>0</v>
      </c>
      <c r="C508" s="1515" t="s">
        <v>1</v>
      </c>
      <c r="D508" s="1516" t="s">
        <v>5</v>
      </c>
      <c r="E508" s="1516" t="s">
        <v>152</v>
      </c>
      <c r="F508" s="1516" t="s">
        <v>2</v>
      </c>
      <c r="G508" s="1516" t="s">
        <v>302</v>
      </c>
      <c r="H508" s="1516" t="s">
        <v>116</v>
      </c>
      <c r="I508" s="1517" t="s">
        <v>117</v>
      </c>
    </row>
    <row r="509" spans="1:11" ht="18" outlineLevel="1" x14ac:dyDescent="0.25">
      <c r="B509" s="568" t="s">
        <v>3123</v>
      </c>
      <c r="C509" s="895" t="s">
        <v>2655</v>
      </c>
      <c r="D509" s="1463" t="s">
        <v>3124</v>
      </c>
      <c r="E509" s="1464" t="e">
        <f>S_CAT_ini+S_IC*(A_MNa*1000)</f>
        <v>#NAME?</v>
      </c>
      <c r="F509" s="1437" t="s">
        <v>1045</v>
      </c>
      <c r="G509" s="1437">
        <v>2</v>
      </c>
      <c r="H509" s="863" t="s">
        <v>3125</v>
      </c>
      <c r="I509" s="533" t="s">
        <v>2197</v>
      </c>
      <c r="J509" s="94"/>
      <c r="K509" s="94"/>
    </row>
    <row r="510" spans="1:11" ht="18" outlineLevel="1" x14ac:dyDescent="0.25">
      <c r="B510" s="1448" t="s">
        <v>3126</v>
      </c>
      <c r="C510" s="1430" t="s">
        <v>2658</v>
      </c>
      <c r="D510" s="1465" t="s">
        <v>3127</v>
      </c>
      <c r="E510" s="1466" t="e">
        <f>S_AN_ini-S_IC*(A_MCl*1000)</f>
        <v>#NAME?</v>
      </c>
      <c r="F510" s="1435" t="s">
        <v>1047</v>
      </c>
      <c r="G510" s="1435">
        <v>2</v>
      </c>
      <c r="H510" s="1435" t="s">
        <v>3125</v>
      </c>
      <c r="I510" s="1436" t="s">
        <v>2197</v>
      </c>
      <c r="J510" s="94"/>
      <c r="K510" s="94"/>
    </row>
    <row r="511" spans="1:11" ht="18" outlineLevel="1" x14ac:dyDescent="0.25">
      <c r="B511" s="1448" t="s">
        <v>1157</v>
      </c>
      <c r="C511" s="895" t="s">
        <v>2613</v>
      </c>
      <c r="D511" s="1469" t="s">
        <v>3128</v>
      </c>
      <c r="E511" s="1466" t="e">
        <f>IF(S_CAT_ini_corr&gt;0,S_CAT_ini_corr,S_CAT_ini)</f>
        <v>#NAME?</v>
      </c>
      <c r="F511" s="1434" t="s">
        <v>1045</v>
      </c>
      <c r="G511" s="1434">
        <v>2</v>
      </c>
      <c r="H511" s="1435" t="s">
        <v>3125</v>
      </c>
      <c r="I511" s="1436" t="s">
        <v>2197</v>
      </c>
      <c r="J511" s="94"/>
      <c r="K511" s="94"/>
    </row>
    <row r="512" spans="1:11" ht="18.75" outlineLevel="1" thickBot="1" x14ac:dyDescent="0.3">
      <c r="B512" s="565" t="s">
        <v>2198</v>
      </c>
      <c r="C512" s="1438" t="s">
        <v>2614</v>
      </c>
      <c r="D512" s="1467" t="s">
        <v>3129</v>
      </c>
      <c r="E512" s="1468" t="e">
        <f>IF(S_CAT_ini_corr&gt;0,S_AN_ini,S_AN_ini_corr)</f>
        <v>#NAME?</v>
      </c>
      <c r="F512" s="1441" t="s">
        <v>1047</v>
      </c>
      <c r="G512" s="1441">
        <v>2</v>
      </c>
      <c r="H512" s="1441" t="s">
        <v>3125</v>
      </c>
      <c r="I512" s="535" t="s">
        <v>2197</v>
      </c>
      <c r="J512" s="94"/>
      <c r="K512" s="94"/>
    </row>
    <row r="513" spans="1:9" s="1168" customFormat="1" ht="18" customHeight="1" thickBot="1" x14ac:dyDescent="0.3">
      <c r="A513" s="4"/>
      <c r="B513" s="4"/>
      <c r="C513" s="4"/>
      <c r="D513" s="4"/>
      <c r="E513" s="1899"/>
      <c r="F513" s="4"/>
      <c r="G513" s="4"/>
      <c r="H513" s="4"/>
      <c r="I513" s="4"/>
    </row>
    <row r="514" spans="1:9" s="1168" customFormat="1" ht="18" customHeight="1" thickBot="1" x14ac:dyDescent="0.3">
      <c r="A514" s="4"/>
      <c r="B514" s="102"/>
      <c r="C514" s="1204" t="s">
        <v>3108</v>
      </c>
      <c r="D514" s="13" t="s">
        <v>321</v>
      </c>
      <c r="E514" s="13"/>
      <c r="F514" s="102"/>
      <c r="G514" s="102"/>
      <c r="H514" s="102"/>
      <c r="I514" s="102"/>
    </row>
    <row r="515" spans="1:9" s="1168" customFormat="1" ht="18" customHeight="1" thickBot="1" x14ac:dyDescent="0.3">
      <c r="A515" s="4"/>
      <c r="B515" s="1514" t="s">
        <v>0</v>
      </c>
      <c r="C515" s="1515" t="s">
        <v>1</v>
      </c>
      <c r="D515" s="1516" t="s">
        <v>5</v>
      </c>
      <c r="E515" s="1516" t="s">
        <v>152</v>
      </c>
      <c r="F515" s="1516" t="s">
        <v>2</v>
      </c>
      <c r="G515" s="1516" t="s">
        <v>302</v>
      </c>
      <c r="H515" s="1516" t="s">
        <v>116</v>
      </c>
      <c r="I515" s="1517" t="s">
        <v>117</v>
      </c>
    </row>
    <row r="516" spans="1:9" ht="17.25" outlineLevel="1" x14ac:dyDescent="0.25">
      <c r="B516" s="1459" t="s">
        <v>382</v>
      </c>
      <c r="C516" s="1443" t="s">
        <v>1160</v>
      </c>
      <c r="D516" s="1470" t="s">
        <v>3574</v>
      </c>
      <c r="E516" s="1471">
        <f>-(IF((c_hargebalance)&lt;0,-LOG10(-(c_hargebalance)+1),LOG10((c_hargebalance)+1)))</f>
        <v>-2.4485384175704743E-4</v>
      </c>
      <c r="F516" s="1445" t="s">
        <v>1883</v>
      </c>
      <c r="G516" s="1445">
        <v>2</v>
      </c>
      <c r="H516" s="1446" t="s">
        <v>11</v>
      </c>
      <c r="I516" s="1445"/>
    </row>
    <row r="517" spans="1:9" ht="18" outlineLevel="1" x14ac:dyDescent="0.25">
      <c r="B517" s="1448" t="s">
        <v>385</v>
      </c>
      <c r="C517" s="1430" t="s">
        <v>395</v>
      </c>
      <c r="D517" s="1430" t="s">
        <v>1854</v>
      </c>
      <c r="E517" s="1472">
        <f>I_S-I_Scalc</f>
        <v>5.2092134490942851E-3</v>
      </c>
      <c r="F517" s="1472" t="s">
        <v>386</v>
      </c>
      <c r="G517" s="1434">
        <v>2</v>
      </c>
      <c r="H517" s="1435" t="s">
        <v>11</v>
      </c>
      <c r="I517" s="1436"/>
    </row>
    <row r="518" spans="1:9" ht="18.75" outlineLevel="1" thickBot="1" x14ac:dyDescent="0.3">
      <c r="B518" s="561" t="s">
        <v>393</v>
      </c>
      <c r="C518" s="896" t="s">
        <v>396</v>
      </c>
      <c r="D518" s="896" t="s">
        <v>397</v>
      </c>
      <c r="E518" s="562">
        <f>S_ALK-S_ALK_input</f>
        <v>-1.4708074281717283E-3</v>
      </c>
      <c r="F518" s="562" t="s">
        <v>1882</v>
      </c>
      <c r="G518" s="563">
        <v>2</v>
      </c>
      <c r="H518" s="1441" t="s">
        <v>3112</v>
      </c>
      <c r="I518" s="564"/>
    </row>
    <row r="520" spans="1:9" ht="18" x14ac:dyDescent="0.25">
      <c r="B520" s="102" t="s">
        <v>3096</v>
      </c>
      <c r="E520" s="102"/>
    </row>
    <row r="521" spans="1:9" x14ac:dyDescent="0.25">
      <c r="B521" s="102" t="s">
        <v>3095</v>
      </c>
      <c r="E521" s="102"/>
    </row>
    <row r="522" spans="1:9" s="1168" customFormat="1" ht="18" customHeight="1" thickBot="1" x14ac:dyDescent="0.3">
      <c r="A522" s="4"/>
      <c r="B522" s="4"/>
      <c r="C522" s="4"/>
      <c r="D522" s="4"/>
      <c r="E522" s="1899"/>
      <c r="F522" s="4"/>
      <c r="G522" s="4"/>
      <c r="H522" s="4"/>
      <c r="I522" s="4"/>
    </row>
    <row r="523" spans="1:9" s="1168" customFormat="1" ht="18" customHeight="1" thickBot="1" x14ac:dyDescent="0.3">
      <c r="A523" s="4"/>
      <c r="B523" s="102"/>
      <c r="C523" s="1204" t="s">
        <v>3094</v>
      </c>
      <c r="D523" s="13" t="s">
        <v>303</v>
      </c>
      <c r="E523" s="13"/>
      <c r="F523" s="102"/>
      <c r="G523" s="102"/>
      <c r="H523" s="102"/>
      <c r="I523" s="102"/>
    </row>
    <row r="524" spans="1:9" s="1168" customFormat="1" ht="18" customHeight="1" thickBot="1" x14ac:dyDescent="0.3">
      <c r="A524" s="4"/>
      <c r="B524" s="1514" t="s">
        <v>0</v>
      </c>
      <c r="C524" s="1515" t="s">
        <v>1</v>
      </c>
      <c r="D524" s="1516" t="s">
        <v>5</v>
      </c>
      <c r="E524" s="1516" t="s">
        <v>152</v>
      </c>
      <c r="F524" s="1516" t="s">
        <v>2</v>
      </c>
      <c r="G524" s="1516" t="s">
        <v>302</v>
      </c>
      <c r="H524" s="1516" t="s">
        <v>116</v>
      </c>
      <c r="I524" s="1517" t="s">
        <v>117</v>
      </c>
    </row>
    <row r="525" spans="1:9" ht="18" outlineLevel="1" x14ac:dyDescent="0.25">
      <c r="B525" s="1473" t="s">
        <v>3099</v>
      </c>
      <c r="C525" s="1474" t="s">
        <v>3100</v>
      </c>
      <c r="D525" s="1474" t="s">
        <v>4064</v>
      </c>
      <c r="E525" s="1475">
        <f>0.15</f>
        <v>0.15</v>
      </c>
      <c r="F525" s="1476" t="s">
        <v>386</v>
      </c>
      <c r="G525" s="1476">
        <v>3</v>
      </c>
      <c r="H525" s="1476" t="s">
        <v>4271</v>
      </c>
      <c r="I525" s="1477"/>
    </row>
    <row r="526" spans="1:9" ht="18" outlineLevel="1" x14ac:dyDescent="0.25">
      <c r="B526" s="549" t="s">
        <v>3099</v>
      </c>
      <c r="C526" s="1478" t="s">
        <v>3100</v>
      </c>
      <c r="D526" s="1478" t="s">
        <v>4065</v>
      </c>
      <c r="E526" s="963"/>
      <c r="F526" s="1479" t="s">
        <v>386</v>
      </c>
      <c r="G526" s="1479">
        <v>3</v>
      </c>
      <c r="H526" s="1480" t="s">
        <v>3101</v>
      </c>
      <c r="I526" s="1481"/>
    </row>
    <row r="527" spans="1:9" ht="18" outlineLevel="1" x14ac:dyDescent="0.25">
      <c r="B527" s="549" t="s">
        <v>3099</v>
      </c>
      <c r="C527" s="1478" t="s">
        <v>3100</v>
      </c>
      <c r="D527" s="1478" t="s">
        <v>4075</v>
      </c>
      <c r="E527" s="963">
        <f>0.15</f>
        <v>0.15</v>
      </c>
      <c r="F527" s="1479" t="s">
        <v>386</v>
      </c>
      <c r="G527" s="1479">
        <v>3</v>
      </c>
      <c r="H527" s="1480" t="s">
        <v>4270</v>
      </c>
      <c r="I527" s="1481"/>
    </row>
    <row r="528" spans="1:9" ht="18" outlineLevel="1" x14ac:dyDescent="0.25">
      <c r="B528" s="549" t="s">
        <v>908</v>
      </c>
      <c r="C528" s="1478" t="s">
        <v>905</v>
      </c>
      <c r="D528" s="1478" t="s">
        <v>1848</v>
      </c>
      <c r="E528" s="963">
        <f>1.82483*10^6*ρ__^(0.5)*(ε__*T_K)^(-1.5)</f>
        <v>0.50517320931567189</v>
      </c>
      <c r="F528" s="1479" t="s">
        <v>1884</v>
      </c>
      <c r="G528" s="1479">
        <v>3</v>
      </c>
      <c r="H528" s="1480" t="s">
        <v>1148</v>
      </c>
      <c r="I528" s="1481"/>
    </row>
    <row r="529" spans="1:9" ht="18" outlineLevel="1" x14ac:dyDescent="0.25">
      <c r="B529" s="549" t="s">
        <v>907</v>
      </c>
      <c r="C529" s="1478" t="s">
        <v>2628</v>
      </c>
      <c r="D529" s="1478" t="s">
        <v>942</v>
      </c>
      <c r="E529" s="963">
        <f>2727.586+0.6224107*T_K-466.9151*LN(T_K)-(52000.87/T_K)</f>
        <v>80.261801298291488</v>
      </c>
      <c r="F529" s="1479" t="s">
        <v>1884</v>
      </c>
      <c r="G529" s="1479">
        <v>3</v>
      </c>
      <c r="H529" s="1480" t="s">
        <v>1148</v>
      </c>
      <c r="I529" s="1481"/>
    </row>
    <row r="530" spans="1:9" outlineLevel="1" x14ac:dyDescent="0.25">
      <c r="B530" s="549" t="s">
        <v>909</v>
      </c>
      <c r="C530" s="1478" t="s">
        <v>2629</v>
      </c>
      <c r="D530" s="1478" t="s">
        <v>906</v>
      </c>
      <c r="E530" s="963">
        <f>1-(T__-3.9863)^2*(T__+288.9414)/(508929.2*(T__+68.12963))+0.011445*EXP(-374.3/T__)</f>
        <v>0.99823363622515204</v>
      </c>
      <c r="F530" s="1479" t="s">
        <v>1884</v>
      </c>
      <c r="G530" s="1479">
        <v>3</v>
      </c>
      <c r="H530" s="1480" t="s">
        <v>1148</v>
      </c>
      <c r="I530" s="1481"/>
    </row>
    <row r="531" spans="1:9" ht="18" outlineLevel="1" x14ac:dyDescent="0.25">
      <c r="B531" s="549" t="s">
        <v>3102</v>
      </c>
      <c r="C531" s="1478" t="s">
        <v>3058</v>
      </c>
      <c r="D531" s="1478" t="s">
        <v>3103</v>
      </c>
      <c r="E531" s="963">
        <v>0.78540775368648974</v>
      </c>
      <c r="F531" s="1479" t="s">
        <v>1884</v>
      </c>
      <c r="G531" s="1479">
        <v>3</v>
      </c>
      <c r="H531" s="1480" t="s">
        <v>1148</v>
      </c>
      <c r="I531" s="1481"/>
    </row>
    <row r="532" spans="1:9" ht="18" outlineLevel="1" x14ac:dyDescent="0.25">
      <c r="B532" s="549" t="s">
        <v>3104</v>
      </c>
      <c r="C532" s="1478" t="s">
        <v>3060</v>
      </c>
      <c r="D532" s="1478" t="s">
        <v>3105</v>
      </c>
      <c r="E532" s="963">
        <v>0.3805228471391951</v>
      </c>
      <c r="F532" s="1479" t="s">
        <v>1884</v>
      </c>
      <c r="G532" s="1479">
        <v>3</v>
      </c>
      <c r="H532" s="1480" t="s">
        <v>1148</v>
      </c>
      <c r="I532" s="1481"/>
    </row>
    <row r="533" spans="1:9" ht="18.75" outlineLevel="1" thickBot="1" x14ac:dyDescent="0.3">
      <c r="B533" s="550" t="s">
        <v>4517</v>
      </c>
      <c r="C533" s="897" t="s">
        <v>3059</v>
      </c>
      <c r="D533" s="897" t="s">
        <v>4518</v>
      </c>
      <c r="E533" s="554">
        <v>0.3805228471391951</v>
      </c>
      <c r="F533" s="551" t="s">
        <v>1884</v>
      </c>
      <c r="G533" s="551">
        <v>3</v>
      </c>
      <c r="H533" s="1482" t="s">
        <v>1148</v>
      </c>
      <c r="I533" s="553"/>
    </row>
    <row r="534" spans="1:9" s="1168" customFormat="1" ht="18" customHeight="1" thickBot="1" x14ac:dyDescent="0.3">
      <c r="A534" s="4"/>
      <c r="B534" s="4"/>
      <c r="C534" s="4"/>
      <c r="D534" s="4"/>
      <c r="E534" s="1899"/>
      <c r="F534" s="4"/>
      <c r="G534" s="4"/>
      <c r="H534" s="4"/>
      <c r="I534" s="4"/>
    </row>
    <row r="535" spans="1:9" s="1168" customFormat="1" ht="18" customHeight="1" thickBot="1" x14ac:dyDescent="0.3">
      <c r="A535" s="4"/>
      <c r="B535" s="102"/>
      <c r="C535" s="1204" t="s">
        <v>944</v>
      </c>
      <c r="D535" s="13" t="s">
        <v>303</v>
      </c>
      <c r="E535" s="13"/>
      <c r="F535" s="102"/>
      <c r="G535" s="102"/>
      <c r="H535" s="102"/>
      <c r="I535" s="102"/>
    </row>
    <row r="536" spans="1:9" s="1168" customFormat="1" ht="18" customHeight="1" thickBot="1" x14ac:dyDescent="0.3">
      <c r="A536" s="4"/>
      <c r="B536" s="1514" t="s">
        <v>0</v>
      </c>
      <c r="C536" s="1515" t="s">
        <v>1</v>
      </c>
      <c r="D536" s="1516" t="s">
        <v>5</v>
      </c>
      <c r="E536" s="1516" t="s">
        <v>152</v>
      </c>
      <c r="F536" s="1516" t="s">
        <v>2</v>
      </c>
      <c r="G536" s="1516" t="s">
        <v>302</v>
      </c>
      <c r="H536" s="1516" t="s">
        <v>116</v>
      </c>
      <c r="I536" s="1517" t="s">
        <v>117</v>
      </c>
    </row>
    <row r="537" spans="1:9" ht="18" outlineLevel="1" x14ac:dyDescent="0.25">
      <c r="B537" s="1473" t="s">
        <v>945</v>
      </c>
      <c r="C537" s="1474" t="s">
        <v>2506</v>
      </c>
      <c r="D537" s="1474" t="s">
        <v>2952</v>
      </c>
      <c r="E537" s="1475">
        <f>K_W_param*EXP(d_Hdiss_H2O/R__*(1/T_st_K-1/T_K))</f>
        <v>6.7545152316627035E-15</v>
      </c>
      <c r="F537" s="1476" t="s">
        <v>1884</v>
      </c>
      <c r="G537" s="1476">
        <v>3</v>
      </c>
      <c r="H537" s="1476" t="s">
        <v>1148</v>
      </c>
      <c r="I537" s="1477"/>
    </row>
    <row r="538" spans="1:9" ht="30" outlineLevel="1" x14ac:dyDescent="0.25">
      <c r="B538" s="549" t="s">
        <v>946</v>
      </c>
      <c r="C538" s="1478" t="s">
        <v>2507</v>
      </c>
      <c r="D538" s="1478" t="s">
        <v>1849</v>
      </c>
      <c r="E538" s="963">
        <f>10^(-(3404.7/T_K-14.8435+T_K*0.03279))</f>
        <v>4.1392419480646479E-7</v>
      </c>
      <c r="F538" s="1479" t="s">
        <v>1884</v>
      </c>
      <c r="G538" s="1479">
        <v>3</v>
      </c>
      <c r="H538" s="1480" t="s">
        <v>1148</v>
      </c>
      <c r="I538" s="1481"/>
    </row>
    <row r="539" spans="1:9" ht="30" outlineLevel="1" x14ac:dyDescent="0.25">
      <c r="B539" s="549" t="s">
        <v>947</v>
      </c>
      <c r="C539" s="1478" t="s">
        <v>2508</v>
      </c>
      <c r="D539" s="1478" t="s">
        <v>1850</v>
      </c>
      <c r="E539" s="963">
        <f>10^(-(2902.4/T_K-6.498+T_K*0.02379))</f>
        <v>4.1997949506593592E-11</v>
      </c>
      <c r="F539" s="1479" t="s">
        <v>1884</v>
      </c>
      <c r="G539" s="1479">
        <v>3</v>
      </c>
      <c r="H539" s="1480" t="s">
        <v>1148</v>
      </c>
      <c r="I539" s="1481"/>
    </row>
    <row r="540" spans="1:9" ht="30" outlineLevel="1" x14ac:dyDescent="0.25">
      <c r="B540" s="549" t="s">
        <v>948</v>
      </c>
      <c r="C540" s="1478" t="s">
        <v>2509</v>
      </c>
      <c r="D540" s="1478" t="s">
        <v>1851</v>
      </c>
      <c r="E540" s="963">
        <f>10^(-(799.3/T_K-4.5535+T_K*0.01349))</f>
        <v>7.4527408036475567E-3</v>
      </c>
      <c r="F540" s="1479" t="s">
        <v>1884</v>
      </c>
      <c r="G540" s="1479">
        <v>3</v>
      </c>
      <c r="H540" s="1480" t="s">
        <v>1148</v>
      </c>
      <c r="I540" s="1481"/>
    </row>
    <row r="541" spans="1:9" ht="30" outlineLevel="1" x14ac:dyDescent="0.25">
      <c r="B541" s="549" t="s">
        <v>949</v>
      </c>
      <c r="C541" s="1478" t="s">
        <v>2510</v>
      </c>
      <c r="D541" s="1478" t="s">
        <v>1852</v>
      </c>
      <c r="E541" s="963">
        <f>10^(-(1979.5/T_K-5.3541+T_K*0.01984))</f>
        <v>6.1022250881622208E-8</v>
      </c>
      <c r="F541" s="1479" t="s">
        <v>1884</v>
      </c>
      <c r="G541" s="1479">
        <v>3</v>
      </c>
      <c r="H541" s="1480" t="s">
        <v>1148</v>
      </c>
      <c r="I541" s="1481"/>
    </row>
    <row r="542" spans="1:9" ht="30" outlineLevel="1" x14ac:dyDescent="0.25">
      <c r="B542" s="549" t="s">
        <v>950</v>
      </c>
      <c r="C542" s="1478" t="s">
        <v>2511</v>
      </c>
      <c r="D542" s="1478" t="s">
        <v>2953</v>
      </c>
      <c r="E542" s="963">
        <f>K_P3_param*EXP(d_Hdiss_PO4_3/R__*(1/T_st_K-1/T_K))</f>
        <v>3.7853629756273106E-13</v>
      </c>
      <c r="F542" s="1479" t="s">
        <v>1884</v>
      </c>
      <c r="G542" s="1479">
        <v>3</v>
      </c>
      <c r="H542" s="1480" t="s">
        <v>1148</v>
      </c>
      <c r="I542" s="1481"/>
    </row>
    <row r="543" spans="1:9" ht="18" outlineLevel="1" x14ac:dyDescent="0.25">
      <c r="B543" s="549" t="s">
        <v>2514</v>
      </c>
      <c r="C543" s="1478" t="s">
        <v>2512</v>
      </c>
      <c r="D543" s="1478" t="s">
        <v>1853</v>
      </c>
      <c r="E543" s="963">
        <f>10^(-(1170.5/T_K-3.165+T_K*0.0134))</f>
        <v>1.7536929986944336E-5</v>
      </c>
      <c r="F543" s="1479" t="s">
        <v>1884</v>
      </c>
      <c r="G543" s="1479">
        <v>3</v>
      </c>
      <c r="H543" s="1480" t="s">
        <v>1148</v>
      </c>
      <c r="I543" s="1481"/>
    </row>
    <row r="544" spans="1:9" ht="18.75" outlineLevel="1" thickBot="1" x14ac:dyDescent="0.3">
      <c r="B544" s="550" t="s">
        <v>2515</v>
      </c>
      <c r="C544" s="897" t="s">
        <v>2513</v>
      </c>
      <c r="D544" s="897" t="s">
        <v>1054</v>
      </c>
      <c r="E544" s="554">
        <f>10^(-(2835.8/T_K-0.6322+0.00123*T_K))</f>
        <v>3.9635061259550542E-10</v>
      </c>
      <c r="F544" s="551" t="s">
        <v>1884</v>
      </c>
      <c r="G544" s="551">
        <v>3</v>
      </c>
      <c r="H544" s="1482" t="s">
        <v>1148</v>
      </c>
      <c r="I544" s="553"/>
    </row>
    <row r="545" spans="1:9" s="1168" customFormat="1" ht="18" customHeight="1" thickBot="1" x14ac:dyDescent="0.3">
      <c r="A545" s="4"/>
      <c r="B545" s="4"/>
      <c r="C545" s="4"/>
      <c r="D545" s="4"/>
      <c r="E545" s="1899"/>
      <c r="F545" s="4"/>
      <c r="G545" s="4"/>
      <c r="H545" s="4"/>
      <c r="I545" s="4"/>
    </row>
    <row r="546" spans="1:9" s="1168" customFormat="1" ht="18" customHeight="1" thickBot="1" x14ac:dyDescent="0.3">
      <c r="A546" s="4"/>
      <c r="B546" s="102"/>
      <c r="C546" s="1204" t="s">
        <v>982</v>
      </c>
      <c r="D546" s="13" t="s">
        <v>303</v>
      </c>
      <c r="E546" s="13"/>
      <c r="F546" s="102"/>
      <c r="G546" s="102"/>
      <c r="H546" s="102"/>
      <c r="I546" s="102"/>
    </row>
    <row r="547" spans="1:9" s="1168" customFormat="1" ht="18" customHeight="1" thickBot="1" x14ac:dyDescent="0.3">
      <c r="A547" s="4"/>
      <c r="B547" s="1514" t="s">
        <v>0</v>
      </c>
      <c r="C547" s="1515" t="s">
        <v>1</v>
      </c>
      <c r="D547" s="1516" t="s">
        <v>5</v>
      </c>
      <c r="E547" s="1516" t="s">
        <v>152</v>
      </c>
      <c r="F547" s="1516" t="s">
        <v>2</v>
      </c>
      <c r="G547" s="1516" t="s">
        <v>302</v>
      </c>
      <c r="H547" s="1516" t="s">
        <v>116</v>
      </c>
      <c r="I547" s="1517" t="s">
        <v>117</v>
      </c>
    </row>
    <row r="548" spans="1:9" ht="18" outlineLevel="1" x14ac:dyDescent="0.25">
      <c r="B548" s="1473" t="s">
        <v>348</v>
      </c>
      <c r="C548" s="1474" t="s">
        <v>2516</v>
      </c>
      <c r="D548" s="1474" t="s">
        <v>4519</v>
      </c>
      <c r="E548" s="1475">
        <f>K_W_T/f_mono^2</f>
        <v>8.7379753867564399E-15</v>
      </c>
      <c r="F548" s="1476" t="s">
        <v>1884</v>
      </c>
      <c r="G548" s="1476">
        <v>3</v>
      </c>
      <c r="H548" s="1476" t="s">
        <v>1148</v>
      </c>
      <c r="I548" s="1477"/>
    </row>
    <row r="549" spans="1:9" ht="30" outlineLevel="1" x14ac:dyDescent="0.25">
      <c r="B549" s="549" t="s">
        <v>349</v>
      </c>
      <c r="C549" s="1478" t="s">
        <v>2517</v>
      </c>
      <c r="D549" s="1478" t="s">
        <v>3106</v>
      </c>
      <c r="E549" s="963">
        <f>K_C1_T/f_mono^2</f>
        <v>5.3547283589610541E-7</v>
      </c>
      <c r="F549" s="1479" t="s">
        <v>1884</v>
      </c>
      <c r="G549" s="1479">
        <v>3</v>
      </c>
      <c r="H549" s="1480" t="s">
        <v>1148</v>
      </c>
      <c r="I549" s="1481"/>
    </row>
    <row r="550" spans="1:9" ht="30" outlineLevel="1" x14ac:dyDescent="0.25">
      <c r="B550" s="549" t="s">
        <v>350</v>
      </c>
      <c r="C550" s="1478" t="s">
        <v>2518</v>
      </c>
      <c r="D550" s="1478" t="s">
        <v>3107</v>
      </c>
      <c r="E550" s="963">
        <f>K_C2_T/f_di</f>
        <v>7.0284789816384129E-11</v>
      </c>
      <c r="F550" s="1479" t="s">
        <v>1884</v>
      </c>
      <c r="G550" s="1479">
        <v>3</v>
      </c>
      <c r="H550" s="1480" t="s">
        <v>1148</v>
      </c>
      <c r="I550" s="1481"/>
    </row>
    <row r="551" spans="1:9" ht="30" outlineLevel="1" x14ac:dyDescent="0.25">
      <c r="B551" s="549" t="s">
        <v>361</v>
      </c>
      <c r="C551" s="1478" t="s">
        <v>2519</v>
      </c>
      <c r="D551" s="1478" t="s">
        <v>4520</v>
      </c>
      <c r="E551" s="963">
        <f>K_P1_T/f_mono^2</f>
        <v>9.6412345627529591E-3</v>
      </c>
      <c r="F551" s="1479" t="s">
        <v>1884</v>
      </c>
      <c r="G551" s="1479">
        <v>3</v>
      </c>
      <c r="H551" s="1480" t="s">
        <v>1148</v>
      </c>
      <c r="I551" s="1481"/>
    </row>
    <row r="552" spans="1:9" ht="30" outlineLevel="1" x14ac:dyDescent="0.25">
      <c r="B552" s="549" t="s">
        <v>362</v>
      </c>
      <c r="C552" s="1478" t="s">
        <v>2520</v>
      </c>
      <c r="D552" s="1478" t="s">
        <v>4521</v>
      </c>
      <c r="E552" s="963">
        <f>K_P2_T/f_di</f>
        <v>1.0212251140175602E-7</v>
      </c>
      <c r="F552" s="1479" t="s">
        <v>1884</v>
      </c>
      <c r="G552" s="1479">
        <v>3</v>
      </c>
      <c r="H552" s="1480" t="s">
        <v>1148</v>
      </c>
      <c r="I552" s="1481"/>
    </row>
    <row r="553" spans="1:9" ht="30" outlineLevel="1" x14ac:dyDescent="0.25">
      <c r="B553" s="549" t="s">
        <v>363</v>
      </c>
      <c r="C553" s="1478" t="s">
        <v>2521</v>
      </c>
      <c r="D553" s="1478" t="s">
        <v>4522</v>
      </c>
      <c r="E553" s="963">
        <f>K_P3_T/(f_mono*f_tri)*f_di</f>
        <v>8.1951597738298681E-13</v>
      </c>
      <c r="F553" s="1479" t="s">
        <v>1884</v>
      </c>
      <c r="G553" s="1479">
        <v>3</v>
      </c>
      <c r="H553" s="1480" t="s">
        <v>1148</v>
      </c>
      <c r="I553" s="1481"/>
    </row>
    <row r="554" spans="1:9" ht="18" outlineLevel="1" x14ac:dyDescent="0.25">
      <c r="B554" s="549" t="s">
        <v>2524</v>
      </c>
      <c r="C554" s="1478" t="s">
        <v>2522</v>
      </c>
      <c r="D554" s="1478" t="s">
        <v>4523</v>
      </c>
      <c r="E554" s="963">
        <f>K_Ac_T/f_mono^2</f>
        <v>2.268664105854261E-5</v>
      </c>
      <c r="F554" s="1479" t="s">
        <v>1884</v>
      </c>
      <c r="G554" s="1479">
        <v>3</v>
      </c>
      <c r="H554" s="1480" t="s">
        <v>1148</v>
      </c>
      <c r="I554" s="1481"/>
    </row>
    <row r="555" spans="1:9" ht="18.75" outlineLevel="1" thickBot="1" x14ac:dyDescent="0.3">
      <c r="B555" s="550" t="s">
        <v>2526</v>
      </c>
      <c r="C555" s="897" t="s">
        <v>2523</v>
      </c>
      <c r="D555" s="897" t="s">
        <v>2515</v>
      </c>
      <c r="E555" s="554">
        <f>K_NH3_T</f>
        <v>3.9635061259550542E-10</v>
      </c>
      <c r="F555" s="551" t="s">
        <v>1884</v>
      </c>
      <c r="G555" s="551">
        <v>3</v>
      </c>
      <c r="H555" s="1482" t="s">
        <v>1148</v>
      </c>
      <c r="I555" s="553"/>
    </row>
    <row r="556" spans="1:9" s="1168" customFormat="1" ht="18" customHeight="1" thickBot="1" x14ac:dyDescent="0.3">
      <c r="A556" s="4"/>
      <c r="B556" s="4"/>
      <c r="C556" s="4"/>
      <c r="D556" s="4"/>
      <c r="E556" s="1899"/>
      <c r="F556" s="4"/>
      <c r="G556" s="4"/>
      <c r="H556" s="4"/>
      <c r="I556" s="4"/>
    </row>
    <row r="557" spans="1:9" s="1168" customFormat="1" ht="18" customHeight="1" thickBot="1" x14ac:dyDescent="0.3">
      <c r="A557" s="4"/>
      <c r="B557" s="102"/>
      <c r="C557" s="1204" t="s">
        <v>1316</v>
      </c>
      <c r="D557" s="13" t="s">
        <v>303</v>
      </c>
      <c r="E557" s="13"/>
      <c r="F557" s="102"/>
      <c r="G557" s="102"/>
      <c r="H557" s="102"/>
      <c r="I557" s="102"/>
    </row>
    <row r="558" spans="1:9" s="1168" customFormat="1" ht="18" customHeight="1" thickBot="1" x14ac:dyDescent="0.3">
      <c r="A558" s="4"/>
      <c r="B558" s="1514" t="s">
        <v>0</v>
      </c>
      <c r="C558" s="1515" t="s">
        <v>1</v>
      </c>
      <c r="D558" s="1516" t="s">
        <v>5</v>
      </c>
      <c r="E558" s="1516" t="s">
        <v>152</v>
      </c>
      <c r="F558" s="1516" t="s">
        <v>2</v>
      </c>
      <c r="G558" s="1516" t="s">
        <v>302</v>
      </c>
      <c r="H558" s="1516" t="s">
        <v>116</v>
      </c>
      <c r="I558" s="1517" t="s">
        <v>117</v>
      </c>
    </row>
    <row r="559" spans="1:9" ht="18" outlineLevel="1" x14ac:dyDescent="0.25">
      <c r="B559" s="1473" t="s">
        <v>1326</v>
      </c>
      <c r="C559" s="1474" t="s">
        <v>2527</v>
      </c>
      <c r="D559" s="1474" t="s">
        <v>4524</v>
      </c>
      <c r="E559" s="1475">
        <f>K_sp_CaCO3_param/f_di</f>
        <v>7.4753798120141423E-7</v>
      </c>
      <c r="F559" s="1476" t="s">
        <v>1884</v>
      </c>
      <c r="G559" s="1476">
        <v>3</v>
      </c>
      <c r="H559" s="1476" t="s">
        <v>1148</v>
      </c>
      <c r="I559" s="1477"/>
    </row>
    <row r="560" spans="1:9" ht="18.75" outlineLevel="1" x14ac:dyDescent="0.25">
      <c r="B560" s="549" t="s">
        <v>1323</v>
      </c>
      <c r="C560" s="1478" t="s">
        <v>2528</v>
      </c>
      <c r="D560" s="1478" t="s">
        <v>4525</v>
      </c>
      <c r="E560" s="963">
        <f>K_sp_STR_param/(f_di^(1/3)*f_mono^(1/3)*f_tri^(1/3))</f>
        <v>1.2614964468037164E-13</v>
      </c>
      <c r="F560" s="1479" t="s">
        <v>1884</v>
      </c>
      <c r="G560" s="1479">
        <v>3</v>
      </c>
      <c r="H560" s="1480" t="s">
        <v>1148</v>
      </c>
      <c r="I560" s="1481"/>
    </row>
    <row r="561" spans="1:9" ht="18.75" outlineLevel="1" x14ac:dyDescent="0.25">
      <c r="B561" s="549" t="s">
        <v>1324</v>
      </c>
      <c r="C561" s="1478" t="s">
        <v>2529</v>
      </c>
      <c r="D561" s="1478" t="s">
        <v>4526</v>
      </c>
      <c r="E561" s="963">
        <f>K_sp_Vivi_param/(f_di^(3/5)*f_tri^(2/5))</f>
        <v>2.1649600914352904E-36</v>
      </c>
      <c r="F561" s="1479" t="s">
        <v>1884</v>
      </c>
      <c r="G561" s="1479">
        <v>3</v>
      </c>
      <c r="H561" s="1480" t="s">
        <v>1148</v>
      </c>
      <c r="I561" s="1481"/>
    </row>
    <row r="562" spans="1:9" ht="18.75" outlineLevel="1" x14ac:dyDescent="0.25">
      <c r="B562" s="549" t="s">
        <v>1325</v>
      </c>
      <c r="C562" s="1478" t="s">
        <v>2530</v>
      </c>
      <c r="D562" s="1478" t="s">
        <v>4527</v>
      </c>
      <c r="E562" s="963">
        <f>K_sp_ACP_param/(f_di^(3/5)*f_tri^(2/5))</f>
        <v>7.5067144345969344E-26</v>
      </c>
      <c r="F562" s="1479" t="s">
        <v>1884</v>
      </c>
      <c r="G562" s="1479">
        <v>3</v>
      </c>
      <c r="H562" s="1480" t="s">
        <v>1148</v>
      </c>
      <c r="I562" s="1481"/>
    </row>
    <row r="563" spans="1:9" ht="19.5" outlineLevel="1" thickBot="1" x14ac:dyDescent="0.3">
      <c r="B563" s="550" t="s">
        <v>3441</v>
      </c>
      <c r="C563" s="897" t="s">
        <v>3442</v>
      </c>
      <c r="D563" s="897" t="s">
        <v>4528</v>
      </c>
      <c r="E563" s="554">
        <f>K_sp_BSH_param/(f_di^(1/2)*f_di^(1/2))</f>
        <v>4.2037149897892104E-7</v>
      </c>
      <c r="F563" s="551" t="s">
        <v>1884</v>
      </c>
      <c r="G563" s="551">
        <v>3</v>
      </c>
      <c r="H563" s="1482" t="s">
        <v>1148</v>
      </c>
      <c r="I563" s="553"/>
    </row>
    <row r="564" spans="1:9" s="1168" customFormat="1" ht="18" customHeight="1" thickBot="1" x14ac:dyDescent="0.3">
      <c r="A564" s="4"/>
      <c r="B564" s="4"/>
      <c r="C564" s="4"/>
      <c r="D564" s="4"/>
      <c r="E564" s="1899"/>
      <c r="F564" s="4"/>
      <c r="G564" s="4"/>
      <c r="H564" s="4"/>
      <c r="I564" s="4"/>
    </row>
    <row r="565" spans="1:9" customFormat="1" ht="15.75" thickBot="1" x14ac:dyDescent="0.3">
      <c r="B565" s="94"/>
      <c r="C565" s="1483" t="s">
        <v>400</v>
      </c>
      <c r="D565" s="13" t="s">
        <v>303</v>
      </c>
      <c r="E565" s="94"/>
      <c r="F565" s="94"/>
      <c r="G565" s="159"/>
      <c r="H565" s="110"/>
    </row>
    <row r="566" spans="1:9" s="1168" customFormat="1" ht="18" customHeight="1" thickBot="1" x14ac:dyDescent="0.3">
      <c r="A566" s="4"/>
      <c r="B566" s="1514" t="s">
        <v>0</v>
      </c>
      <c r="C566" s="1515" t="s">
        <v>1</v>
      </c>
      <c r="D566" s="1516" t="s">
        <v>5</v>
      </c>
      <c r="E566" s="1516" t="s">
        <v>152</v>
      </c>
      <c r="F566" s="1516" t="s">
        <v>2</v>
      </c>
      <c r="G566" s="1516" t="s">
        <v>302</v>
      </c>
      <c r="H566" s="1516" t="s">
        <v>116</v>
      </c>
      <c r="I566" s="1517" t="s">
        <v>117</v>
      </c>
    </row>
    <row r="567" spans="1:9" ht="18" outlineLevel="1" x14ac:dyDescent="0.25">
      <c r="B567" s="1473" t="s">
        <v>4529</v>
      </c>
      <c r="C567" s="1474" t="s">
        <v>402</v>
      </c>
      <c r="D567" s="1474" t="s">
        <v>4530</v>
      </c>
      <c r="E567" s="1475"/>
      <c r="F567" s="1476" t="s">
        <v>389</v>
      </c>
      <c r="G567" s="1476">
        <v>2</v>
      </c>
      <c r="H567" s="1476" t="s">
        <v>1148</v>
      </c>
      <c r="I567" s="1477" t="s">
        <v>4531</v>
      </c>
    </row>
    <row r="568" spans="1:9" ht="18" outlineLevel="1" x14ac:dyDescent="0.25">
      <c r="B568" s="549" t="s">
        <v>4532</v>
      </c>
      <c r="C568" s="1478" t="s">
        <v>404</v>
      </c>
      <c r="D568" s="1478" t="s">
        <v>4533</v>
      </c>
      <c r="E568" s="963"/>
      <c r="F568" s="1479" t="s">
        <v>389</v>
      </c>
      <c r="G568" s="1479">
        <v>2</v>
      </c>
      <c r="H568" s="1480" t="s">
        <v>1148</v>
      </c>
      <c r="I568" s="1481" t="s">
        <v>4534</v>
      </c>
    </row>
    <row r="569" spans="1:9" ht="18" outlineLevel="1" x14ac:dyDescent="0.25">
      <c r="B569" s="549" t="s">
        <v>4535</v>
      </c>
      <c r="C569" s="1478" t="s">
        <v>406</v>
      </c>
      <c r="D569" s="1478" t="s">
        <v>4536</v>
      </c>
      <c r="E569" s="963"/>
      <c r="F569" s="1479" t="s">
        <v>389</v>
      </c>
      <c r="G569" s="1479">
        <v>2</v>
      </c>
      <c r="H569" s="1480" t="s">
        <v>1148</v>
      </c>
      <c r="I569" s="1481" t="s">
        <v>4537</v>
      </c>
    </row>
    <row r="570" spans="1:9" ht="18" outlineLevel="1" x14ac:dyDescent="0.25">
      <c r="B570" s="549" t="s">
        <v>4538</v>
      </c>
      <c r="C570" s="1478" t="s">
        <v>408</v>
      </c>
      <c r="D570" s="1478" t="s">
        <v>4539</v>
      </c>
      <c r="E570" s="963"/>
      <c r="F570" s="1479" t="s">
        <v>389</v>
      </c>
      <c r="G570" s="1479">
        <v>2</v>
      </c>
      <c r="H570" s="1480" t="s">
        <v>1148</v>
      </c>
      <c r="I570" s="1481" t="s">
        <v>4540</v>
      </c>
    </row>
    <row r="571" spans="1:9" ht="18" outlineLevel="1" x14ac:dyDescent="0.25">
      <c r="B571" s="549" t="s">
        <v>4541</v>
      </c>
      <c r="C571" s="1478" t="s">
        <v>427</v>
      </c>
      <c r="D571" s="1478" t="s">
        <v>431</v>
      </c>
      <c r="E571" s="963"/>
      <c r="F571" s="1479" t="s">
        <v>389</v>
      </c>
      <c r="G571" s="1479">
        <v>2</v>
      </c>
      <c r="H571" s="1480" t="s">
        <v>1148</v>
      </c>
      <c r="I571" s="1481" t="s">
        <v>4542</v>
      </c>
    </row>
    <row r="572" spans="1:9" ht="18.75" outlineLevel="1" x14ac:dyDescent="0.25">
      <c r="B572" s="549" t="s">
        <v>4543</v>
      </c>
      <c r="C572" s="1478" t="s">
        <v>410</v>
      </c>
      <c r="D572" s="1478" t="s">
        <v>2206</v>
      </c>
      <c r="E572" s="963"/>
      <c r="F572" s="1479" t="s">
        <v>389</v>
      </c>
      <c r="G572" s="1479">
        <v>2</v>
      </c>
      <c r="H572" s="1480" t="s">
        <v>1148</v>
      </c>
      <c r="I572" s="1481" t="s">
        <v>4544</v>
      </c>
    </row>
    <row r="573" spans="1:9" ht="18.75" outlineLevel="1" x14ac:dyDescent="0.25">
      <c r="B573" s="549" t="s">
        <v>4545</v>
      </c>
      <c r="C573" s="1478" t="s">
        <v>412</v>
      </c>
      <c r="D573" s="1478" t="s">
        <v>2207</v>
      </c>
      <c r="E573" s="963"/>
      <c r="F573" s="1479" t="s">
        <v>389</v>
      </c>
      <c r="G573" s="1479">
        <v>2</v>
      </c>
      <c r="H573" s="1480" t="s">
        <v>1148</v>
      </c>
      <c r="I573" s="1481" t="s">
        <v>4546</v>
      </c>
    </row>
    <row r="574" spans="1:9" ht="18.75" outlineLevel="1" x14ac:dyDescent="0.25">
      <c r="B574" s="549" t="s">
        <v>4547</v>
      </c>
      <c r="C574" s="1478" t="s">
        <v>414</v>
      </c>
      <c r="D574" s="1478" t="s">
        <v>2208</v>
      </c>
      <c r="E574" s="963"/>
      <c r="F574" s="1479" t="s">
        <v>389</v>
      </c>
      <c r="G574" s="1479">
        <v>2</v>
      </c>
      <c r="H574" s="1480" t="s">
        <v>1148</v>
      </c>
      <c r="I574" s="1481" t="s">
        <v>4548</v>
      </c>
    </row>
    <row r="575" spans="1:9" ht="18.75" outlineLevel="1" x14ac:dyDescent="0.25">
      <c r="B575" s="549" t="s">
        <v>4549</v>
      </c>
      <c r="C575" s="1478" t="s">
        <v>416</v>
      </c>
      <c r="D575" s="1478" t="s">
        <v>434</v>
      </c>
      <c r="E575" s="963"/>
      <c r="F575" s="1479" t="s">
        <v>389</v>
      </c>
      <c r="G575" s="1479">
        <v>2</v>
      </c>
      <c r="H575" s="1480" t="s">
        <v>1148</v>
      </c>
      <c r="I575" s="1481" t="s">
        <v>4550</v>
      </c>
    </row>
    <row r="576" spans="1:9" ht="18.75" outlineLevel="1" x14ac:dyDescent="0.25">
      <c r="B576" s="549" t="s">
        <v>4551</v>
      </c>
      <c r="C576" s="1478" t="s">
        <v>418</v>
      </c>
      <c r="D576" s="1478" t="s">
        <v>435</v>
      </c>
      <c r="E576" s="963"/>
      <c r="F576" s="1479" t="s">
        <v>389</v>
      </c>
      <c r="G576" s="1479">
        <v>2</v>
      </c>
      <c r="H576" s="1480" t="s">
        <v>1148</v>
      </c>
      <c r="I576" s="1481" t="s">
        <v>4552</v>
      </c>
    </row>
    <row r="577" spans="1:9" ht="18.75" outlineLevel="1" x14ac:dyDescent="0.25">
      <c r="B577" s="549" t="s">
        <v>4553</v>
      </c>
      <c r="C577" s="1478" t="s">
        <v>420</v>
      </c>
      <c r="D577" s="1478" t="s">
        <v>436</v>
      </c>
      <c r="E577" s="963"/>
      <c r="F577" s="1479" t="s">
        <v>389</v>
      </c>
      <c r="G577" s="1479">
        <v>2</v>
      </c>
      <c r="H577" s="1480" t="s">
        <v>1148</v>
      </c>
      <c r="I577" s="1481" t="s">
        <v>4554</v>
      </c>
    </row>
    <row r="578" spans="1:9" ht="18.75" outlineLevel="1" x14ac:dyDescent="0.25">
      <c r="B578" s="549" t="s">
        <v>4555</v>
      </c>
      <c r="C578" s="1478" t="s">
        <v>422</v>
      </c>
      <c r="D578" s="1478" t="s">
        <v>437</v>
      </c>
      <c r="E578" s="963"/>
      <c r="F578" s="1479" t="s">
        <v>389</v>
      </c>
      <c r="G578" s="1479">
        <v>2</v>
      </c>
      <c r="H578" s="1480" t="s">
        <v>1148</v>
      </c>
      <c r="I578" s="1481" t="s">
        <v>4556</v>
      </c>
    </row>
    <row r="579" spans="1:9" ht="18.75" outlineLevel="1" x14ac:dyDescent="0.25">
      <c r="B579" s="549" t="s">
        <v>423</v>
      </c>
      <c r="C579" s="1478" t="s">
        <v>424</v>
      </c>
      <c r="D579" s="1478" t="s">
        <v>2533</v>
      </c>
      <c r="E579" s="963"/>
      <c r="F579" s="1479" t="s">
        <v>389</v>
      </c>
      <c r="G579" s="1479">
        <v>2</v>
      </c>
      <c r="H579" s="1480" t="s">
        <v>1148</v>
      </c>
      <c r="I579" s="1481" t="s">
        <v>4557</v>
      </c>
    </row>
    <row r="580" spans="1:9" ht="18.75" outlineLevel="1" x14ac:dyDescent="0.25">
      <c r="B580" s="549" t="s">
        <v>4558</v>
      </c>
      <c r="C580" s="1478" t="s">
        <v>426</v>
      </c>
      <c r="D580" s="1478" t="s">
        <v>2534</v>
      </c>
      <c r="E580" s="963"/>
      <c r="F580" s="1479" t="s">
        <v>389</v>
      </c>
      <c r="G580" s="1479">
        <v>2</v>
      </c>
      <c r="H580" s="1480" t="s">
        <v>1148</v>
      </c>
      <c r="I580" s="1481" t="s">
        <v>4559</v>
      </c>
    </row>
    <row r="581" spans="1:9" ht="18" outlineLevel="1" x14ac:dyDescent="0.25">
      <c r="B581" s="549" t="s">
        <v>4560</v>
      </c>
      <c r="C581" s="1478" t="s">
        <v>996</v>
      </c>
      <c r="D581" s="1478" t="s">
        <v>992</v>
      </c>
      <c r="E581" s="963"/>
      <c r="F581" s="1479" t="s">
        <v>389</v>
      </c>
      <c r="G581" s="1479">
        <v>2</v>
      </c>
      <c r="H581" s="1480" t="s">
        <v>1148</v>
      </c>
      <c r="I581" s="1481" t="s">
        <v>4561</v>
      </c>
    </row>
    <row r="582" spans="1:9" ht="18" outlineLevel="1" x14ac:dyDescent="0.25">
      <c r="B582" s="549" t="s">
        <v>4562</v>
      </c>
      <c r="C582" s="1478" t="s">
        <v>997</v>
      </c>
      <c r="D582" s="1478" t="s">
        <v>993</v>
      </c>
      <c r="E582" s="963"/>
      <c r="F582" s="1479" t="s">
        <v>389</v>
      </c>
      <c r="G582" s="1479">
        <v>2</v>
      </c>
      <c r="H582" s="1480" t="s">
        <v>1148</v>
      </c>
      <c r="I582" s="1481" t="s">
        <v>4563</v>
      </c>
    </row>
    <row r="583" spans="1:9" ht="18" outlineLevel="1" x14ac:dyDescent="0.25">
      <c r="B583" s="549" t="s">
        <v>4564</v>
      </c>
      <c r="C583" s="1478" t="s">
        <v>1050</v>
      </c>
      <c r="D583" s="1478" t="s">
        <v>1158</v>
      </c>
      <c r="E583" s="963"/>
      <c r="F583" s="1479" t="s">
        <v>389</v>
      </c>
      <c r="G583" s="1479">
        <v>2</v>
      </c>
      <c r="H583" s="1480" t="s">
        <v>1148</v>
      </c>
      <c r="I583" s="1481" t="s">
        <v>4565</v>
      </c>
    </row>
    <row r="584" spans="1:9" ht="18" outlineLevel="1" x14ac:dyDescent="0.25">
      <c r="B584" s="549" t="s">
        <v>4566</v>
      </c>
      <c r="C584" s="1478" t="s">
        <v>1044</v>
      </c>
      <c r="D584" s="1478" t="s">
        <v>1100</v>
      </c>
      <c r="E584" s="963"/>
      <c r="F584" s="1479" t="s">
        <v>389</v>
      </c>
      <c r="G584" s="1479">
        <v>2</v>
      </c>
      <c r="H584" s="1480" t="s">
        <v>1148</v>
      </c>
      <c r="I584" s="1481" t="s">
        <v>4567</v>
      </c>
    </row>
    <row r="585" spans="1:9" ht="18" outlineLevel="1" x14ac:dyDescent="0.25">
      <c r="B585" s="549" t="s">
        <v>4568</v>
      </c>
      <c r="C585" s="1478" t="s">
        <v>1052</v>
      </c>
      <c r="D585" s="1478" t="s">
        <v>1159</v>
      </c>
      <c r="E585" s="963"/>
      <c r="F585" s="1479" t="s">
        <v>389</v>
      </c>
      <c r="G585" s="1479">
        <v>2</v>
      </c>
      <c r="H585" s="1480" t="s">
        <v>1148</v>
      </c>
      <c r="I585" s="1481" t="s">
        <v>4569</v>
      </c>
    </row>
    <row r="586" spans="1:9" ht="18.75" outlineLevel="1" thickBot="1" x14ac:dyDescent="0.3">
      <c r="B586" s="550" t="s">
        <v>4570</v>
      </c>
      <c r="C586" s="897" t="s">
        <v>1048</v>
      </c>
      <c r="D586" s="897" t="s">
        <v>1590</v>
      </c>
      <c r="E586" s="554"/>
      <c r="F586" s="551" t="s">
        <v>389</v>
      </c>
      <c r="G586" s="551">
        <v>2</v>
      </c>
      <c r="H586" s="1482" t="s">
        <v>1148</v>
      </c>
      <c r="I586" s="553" t="s">
        <v>4571</v>
      </c>
    </row>
    <row r="587" spans="1:9" s="1168" customFormat="1" ht="18" customHeight="1" thickBot="1" x14ac:dyDescent="0.3">
      <c r="A587" s="4"/>
      <c r="B587" s="4"/>
      <c r="C587" s="4"/>
      <c r="D587" s="4"/>
      <c r="E587" s="1899"/>
      <c r="F587" s="4"/>
      <c r="G587" s="4"/>
      <c r="H587" s="4"/>
      <c r="I587" s="4"/>
    </row>
    <row r="588" spans="1:9" s="1168" customFormat="1" ht="18" customHeight="1" thickBot="1" x14ac:dyDescent="0.3">
      <c r="A588" s="4"/>
      <c r="B588" s="102"/>
      <c r="C588" s="1204" t="s">
        <v>399</v>
      </c>
      <c r="D588" s="13" t="s">
        <v>303</v>
      </c>
      <c r="E588" s="13"/>
      <c r="F588" s="102"/>
      <c r="G588" s="102"/>
      <c r="H588" s="102"/>
      <c r="I588" s="102"/>
    </row>
    <row r="589" spans="1:9" s="1168" customFormat="1" ht="18" customHeight="1" thickBot="1" x14ac:dyDescent="0.3">
      <c r="A589" s="4"/>
      <c r="B589" s="1514" t="s">
        <v>0</v>
      </c>
      <c r="C589" s="1515" t="s">
        <v>1</v>
      </c>
      <c r="D589" s="1516" t="s">
        <v>5</v>
      </c>
      <c r="E589" s="1516" t="s">
        <v>152</v>
      </c>
      <c r="F589" s="1516" t="s">
        <v>2</v>
      </c>
      <c r="G589" s="1516" t="s">
        <v>302</v>
      </c>
      <c r="H589" s="1516" t="s">
        <v>116</v>
      </c>
      <c r="I589" s="1517" t="s">
        <v>117</v>
      </c>
    </row>
    <row r="590" spans="1:9" ht="30" outlineLevel="1" x14ac:dyDescent="0.25">
      <c r="B590" s="1473" t="s">
        <v>895</v>
      </c>
      <c r="C590" s="1474" t="s">
        <v>896</v>
      </c>
      <c r="D590" s="1474" t="s">
        <v>1879</v>
      </c>
      <c r="E590" s="1475">
        <f>conc_Hp_Ieq*K_P2/(conc_Hp_Ieq^3+conc_Hp_Ieq^2*K_P1+K_P2*conc_Hp_Ieq*K_P1+K_P2*K_P1*K_P3)*K_P1*S_PO4/(A_MP*1000)</f>
        <v>2.5493518636920041E-8</v>
      </c>
      <c r="F590" s="1476" t="s">
        <v>389</v>
      </c>
      <c r="G590" s="1476">
        <v>3</v>
      </c>
      <c r="H590" s="1476" t="s">
        <v>1148</v>
      </c>
      <c r="I590" s="1477"/>
    </row>
    <row r="591" spans="1:9" ht="30" outlineLevel="1" x14ac:dyDescent="0.25">
      <c r="B591" s="549" t="s">
        <v>897</v>
      </c>
      <c r="C591" s="1478" t="s">
        <v>898</v>
      </c>
      <c r="D591" s="1478" t="s">
        <v>1880</v>
      </c>
      <c r="E591" s="963">
        <f>conc_Hp_Ieq^2*K_P1*S_PO4/(A_MP*1000)/(conc_Hp_Ieq^3+conc_Hp_Ieq^2*K_P1+K_P2*conc_Hp_Ieq*K_P1+K_P2*K_P1*K_P3)</f>
        <v>1.6010694300937341E-5</v>
      </c>
      <c r="F591" s="1479" t="s">
        <v>389</v>
      </c>
      <c r="G591" s="1479">
        <v>3</v>
      </c>
      <c r="H591" s="1480" t="s">
        <v>1148</v>
      </c>
      <c r="I591" s="1481"/>
    </row>
    <row r="592" spans="1:9" ht="18.75" outlineLevel="1" x14ac:dyDescent="0.25">
      <c r="B592" s="549" t="s">
        <v>899</v>
      </c>
      <c r="C592" s="1478" t="s">
        <v>900</v>
      </c>
      <c r="D592" s="1478" t="s">
        <v>2550</v>
      </c>
      <c r="E592" s="963">
        <f>S_VFA/(4*A_MO*1000)*K_Ac/(conc_Hp_Ieq+K_Ac)</f>
        <v>4.0829449054993815E-8</v>
      </c>
      <c r="F592" s="1479" t="s">
        <v>389</v>
      </c>
      <c r="G592" s="1479">
        <v>3</v>
      </c>
      <c r="H592" s="1480" t="s">
        <v>1148</v>
      </c>
      <c r="I592" s="1481"/>
    </row>
    <row r="593" spans="1:9" ht="38.25" outlineLevel="1" thickBot="1" x14ac:dyDescent="0.3">
      <c r="B593" s="552" t="s">
        <v>1281</v>
      </c>
      <c r="C593" s="1484" t="s">
        <v>399</v>
      </c>
      <c r="D593" s="1485" t="s">
        <v>1881</v>
      </c>
      <c r="E593" s="1486">
        <f>(3*conc_PO43m_I+2*conc_HPO42m_I)-2*conc_HPO42m_Ieq+conc_H2PO4m_I-conc_H2PO4m_Ieq+conc_OHm_I+conc_NH3_I+2*conc_CO32m_I+conc_HCO3m_I+conc_Acm_I-conc_Acm_Ieq-conc_Hp_I</f>
        <v>5.5291925718282718E-3</v>
      </c>
      <c r="F593" s="1482" t="s">
        <v>1882</v>
      </c>
      <c r="G593" s="1482">
        <v>4</v>
      </c>
      <c r="H593" s="1482" t="s">
        <v>1148</v>
      </c>
      <c r="I593" s="553"/>
    </row>
    <row r="594" spans="1:9" s="1168" customFormat="1" ht="18" customHeight="1" thickBot="1" x14ac:dyDescent="0.3">
      <c r="A594" s="4"/>
      <c r="B594" s="4"/>
      <c r="C594" s="4"/>
      <c r="D594" s="4"/>
      <c r="E594" s="1899"/>
      <c r="F594" s="4"/>
      <c r="G594" s="4"/>
      <c r="H594" s="4"/>
      <c r="I594" s="4"/>
    </row>
    <row r="595" spans="1:9" s="1168" customFormat="1" ht="18" customHeight="1" thickBot="1" x14ac:dyDescent="0.3">
      <c r="A595" s="4"/>
      <c r="B595" s="102"/>
      <c r="C595" s="1204" t="s">
        <v>4572</v>
      </c>
      <c r="D595" s="13" t="s">
        <v>303</v>
      </c>
      <c r="E595" s="13"/>
      <c r="F595" s="102"/>
      <c r="G595" s="102"/>
      <c r="H595" s="102"/>
      <c r="I595" s="102"/>
    </row>
    <row r="596" spans="1:9" s="1168" customFormat="1" ht="18" customHeight="1" thickBot="1" x14ac:dyDescent="0.3">
      <c r="A596" s="4"/>
      <c r="B596" s="278" t="s">
        <v>0</v>
      </c>
      <c r="C596" s="1575" t="s">
        <v>1</v>
      </c>
      <c r="D596" s="1578" t="s">
        <v>5</v>
      </c>
      <c r="E596" s="1578" t="s">
        <v>152</v>
      </c>
      <c r="F596" s="1578" t="s">
        <v>2</v>
      </c>
      <c r="G596" s="1578" t="s">
        <v>302</v>
      </c>
      <c r="H596" s="1578" t="s">
        <v>116</v>
      </c>
      <c r="I596" s="1581" t="s">
        <v>117</v>
      </c>
    </row>
    <row r="597" spans="1:9" ht="18" outlineLevel="1" x14ac:dyDescent="0.25">
      <c r="B597" s="1473" t="s">
        <v>2888</v>
      </c>
      <c r="C597" s="1474" t="s">
        <v>2862</v>
      </c>
      <c r="D597" s="1487" t="s">
        <v>2905</v>
      </c>
      <c r="E597" s="1488">
        <f>k_LaGCO2_bub*(S_GCO2_bub_sat-conc_H2CO3_I*M_MEQ_GCO2*c_L_m3)</f>
        <v>2861.6873452767227</v>
      </c>
      <c r="F597" s="1476" t="s">
        <v>1314</v>
      </c>
      <c r="G597" s="1476">
        <v>1</v>
      </c>
      <c r="H597" s="1476"/>
      <c r="I597" s="1477"/>
    </row>
    <row r="598" spans="1:9" ht="18" outlineLevel="1" x14ac:dyDescent="0.25">
      <c r="B598" s="1489" t="s">
        <v>2887</v>
      </c>
      <c r="C598" s="1490" t="s">
        <v>2864</v>
      </c>
      <c r="D598" s="1491" t="s">
        <v>2907</v>
      </c>
      <c r="E598" s="1492">
        <f>k_LaGNH3_bub*(S_GNH3_bub_sat-conc_NH3_I*M_MEQ_GNH3*c_L_m3)</f>
        <v>0</v>
      </c>
      <c r="F598" s="1480" t="s">
        <v>1314</v>
      </c>
      <c r="G598" s="1480">
        <v>1</v>
      </c>
      <c r="H598" s="1480"/>
      <c r="I598" s="1481"/>
    </row>
    <row r="599" spans="1:9" ht="18" outlineLevel="1" x14ac:dyDescent="0.25">
      <c r="B599" s="1489" t="s">
        <v>2889</v>
      </c>
      <c r="C599" s="1490" t="s">
        <v>2863</v>
      </c>
      <c r="D599" s="1491" t="s">
        <v>2906</v>
      </c>
      <c r="E599" s="1492">
        <f>k_LaGCO2_sur*(S_GCO2_sur_sat-conc_H2CO3_I*M_MEQ_GCO2*c_L_m3)</f>
        <v>85.864791591722664</v>
      </c>
      <c r="F599" s="1480" t="s">
        <v>1314</v>
      </c>
      <c r="G599" s="1480">
        <v>1</v>
      </c>
      <c r="H599" s="1480"/>
      <c r="I599" s="1481"/>
    </row>
    <row r="600" spans="1:9" ht="18.75" outlineLevel="1" thickBot="1" x14ac:dyDescent="0.3">
      <c r="B600" s="552" t="s">
        <v>2890</v>
      </c>
      <c r="C600" s="1484" t="s">
        <v>2865</v>
      </c>
      <c r="D600" s="1485" t="s">
        <v>2908</v>
      </c>
      <c r="E600" s="1486">
        <f>k_LaGNH3_sur*(S_GNH3_sur_sat-conc_NH3_I*M_MEQ_GNH3*c_L_m3)</f>
        <v>0</v>
      </c>
      <c r="F600" s="1482" t="s">
        <v>1314</v>
      </c>
      <c r="G600" s="1482">
        <v>1</v>
      </c>
      <c r="H600" s="1482"/>
      <c r="I600" s="553"/>
    </row>
    <row r="601" spans="1:9" s="1168" customFormat="1" ht="18" customHeight="1" thickBot="1" x14ac:dyDescent="0.3">
      <c r="A601" s="4"/>
      <c r="B601" s="4"/>
      <c r="C601" s="4"/>
      <c r="D601" s="4"/>
      <c r="E601" s="1899"/>
      <c r="F601" s="4"/>
      <c r="G601" s="4"/>
      <c r="H601" s="4"/>
      <c r="I601" s="4"/>
    </row>
    <row r="602" spans="1:9" s="1168" customFormat="1" ht="18" customHeight="1" thickBot="1" x14ac:dyDescent="0.3">
      <c r="A602" s="4"/>
      <c r="B602" s="102"/>
      <c r="C602" s="1204" t="s">
        <v>446</v>
      </c>
      <c r="D602" s="13" t="s">
        <v>303</v>
      </c>
      <c r="E602" s="13"/>
      <c r="F602" s="102"/>
      <c r="G602" s="102"/>
      <c r="H602" s="102"/>
      <c r="I602" s="102"/>
    </row>
    <row r="603" spans="1:9" s="1168" customFormat="1" ht="18" customHeight="1" thickBot="1" x14ac:dyDescent="0.3">
      <c r="A603" s="4"/>
      <c r="B603" s="1514" t="s">
        <v>0</v>
      </c>
      <c r="C603" s="1515" t="s">
        <v>1</v>
      </c>
      <c r="D603" s="1516" t="s">
        <v>5</v>
      </c>
      <c r="E603" s="1516" t="s">
        <v>152</v>
      </c>
      <c r="F603" s="1516" t="s">
        <v>2</v>
      </c>
      <c r="G603" s="1516" t="s">
        <v>302</v>
      </c>
      <c r="H603" s="1516" t="s">
        <v>116</v>
      </c>
      <c r="I603" s="1517" t="s">
        <v>117</v>
      </c>
    </row>
    <row r="604" spans="1:9" ht="18" outlineLevel="1" x14ac:dyDescent="0.25">
      <c r="B604" s="1493" t="s">
        <v>3242</v>
      </c>
      <c r="C604" s="1443" t="s">
        <v>3232</v>
      </c>
      <c r="D604" s="1443" t="s">
        <v>3237</v>
      </c>
      <c r="E604" s="1494">
        <f>f_kL_GN2*(D_GN2_25/D_GO2_25)^0.5*k_L_GO2_bub</f>
        <v>11.827508281675817</v>
      </c>
      <c r="F604" s="1443" t="s">
        <v>2808</v>
      </c>
      <c r="G604" s="1443">
        <v>2</v>
      </c>
      <c r="H604" s="1446"/>
      <c r="I604" s="1447"/>
    </row>
    <row r="605" spans="1:9" ht="18" outlineLevel="1" x14ac:dyDescent="0.25">
      <c r="B605" s="1495" t="s">
        <v>3243</v>
      </c>
      <c r="C605" s="1430" t="s">
        <v>3233</v>
      </c>
      <c r="D605" s="1430" t="s">
        <v>3238</v>
      </c>
      <c r="E605" s="1457">
        <f>f_kL_GCO2*(D_GCO2_25/D_GO2_25)^0.5*k_L_GO2_bub</f>
        <v>11.5508031163023</v>
      </c>
      <c r="F605" s="1430" t="s">
        <v>2808</v>
      </c>
      <c r="G605" s="1430">
        <v>2</v>
      </c>
      <c r="H605" s="1435"/>
      <c r="I605" s="1436"/>
    </row>
    <row r="606" spans="1:9" ht="18" outlineLevel="1" x14ac:dyDescent="0.25">
      <c r="B606" s="1495" t="s">
        <v>3244</v>
      </c>
      <c r="C606" s="1430" t="s">
        <v>3234</v>
      </c>
      <c r="D606" s="1430" t="s">
        <v>3239</v>
      </c>
      <c r="E606" s="1457">
        <f>f_kL_GCH4*(D_GCH4_25/D_GO2_25)^0.5*k_L_GO2_bub</f>
        <v>10.976486395405258</v>
      </c>
      <c r="F606" s="1430" t="s">
        <v>2808</v>
      </c>
      <c r="G606" s="1430">
        <v>2</v>
      </c>
      <c r="H606" s="1435"/>
      <c r="I606" s="1436"/>
    </row>
    <row r="607" spans="1:9" ht="18" outlineLevel="1" x14ac:dyDescent="0.25">
      <c r="B607" s="1495" t="s">
        <v>3245</v>
      </c>
      <c r="C607" s="1430" t="s">
        <v>3235</v>
      </c>
      <c r="D607" s="1430" t="s">
        <v>3240</v>
      </c>
      <c r="E607" s="1457">
        <f>f_kL_GH2*(D_GH2_25/D_GO2_25)^0.5*k_L_GO2_bub</f>
        <v>19.07552353373622</v>
      </c>
      <c r="F607" s="1430" t="s">
        <v>2808</v>
      </c>
      <c r="G607" s="1430">
        <v>2</v>
      </c>
      <c r="H607" s="1435"/>
      <c r="I607" s="1436"/>
    </row>
    <row r="608" spans="1:9" ht="18" outlineLevel="1" x14ac:dyDescent="0.25">
      <c r="B608" s="1495" t="s">
        <v>3246</v>
      </c>
      <c r="C608" s="1430" t="s">
        <v>3236</v>
      </c>
      <c r="D608" s="1430" t="s">
        <v>3241</v>
      </c>
      <c r="E608" s="1457">
        <f>f_kL_GNH3*(D_GNH3_25/D_GO2_25)^0.5*k_L_GO2_bub</f>
        <v>1.1001798895970079</v>
      </c>
      <c r="F608" s="1430" t="s">
        <v>2808</v>
      </c>
      <c r="G608" s="1430">
        <v>2</v>
      </c>
      <c r="H608" s="1435"/>
      <c r="I608" s="1436"/>
    </row>
    <row r="609" spans="1:9" ht="18" outlineLevel="1" x14ac:dyDescent="0.25">
      <c r="B609" s="570" t="s">
        <v>3248</v>
      </c>
      <c r="C609" s="895" t="s">
        <v>3257</v>
      </c>
      <c r="D609" s="895" t="s">
        <v>3252</v>
      </c>
      <c r="E609" s="894">
        <f>f_kL_GN2*(D_GN2_25/D_GO2_25)^0.5*k_L_GO2_sur</f>
        <v>6.9145433031335548</v>
      </c>
      <c r="F609" s="895" t="s">
        <v>2808</v>
      </c>
      <c r="G609" s="895">
        <v>2</v>
      </c>
      <c r="H609" s="863"/>
      <c r="I609" s="533"/>
    </row>
    <row r="610" spans="1:9" ht="18" outlineLevel="1" x14ac:dyDescent="0.25">
      <c r="B610" s="1495" t="s">
        <v>3247</v>
      </c>
      <c r="C610" s="1430" t="s">
        <v>3258</v>
      </c>
      <c r="D610" s="1430" t="s">
        <v>3253</v>
      </c>
      <c r="E610" s="1457">
        <f>f_kL_GCO2*(D_GCO2_25/D_GO2_25)^0.5*k_L_GO2_sur</f>
        <v>6.7527772064536524</v>
      </c>
      <c r="F610" s="1430" t="s">
        <v>2808</v>
      </c>
      <c r="G610" s="1430">
        <v>2</v>
      </c>
      <c r="H610" s="1435"/>
      <c r="I610" s="1436"/>
    </row>
    <row r="611" spans="1:9" ht="18" outlineLevel="1" x14ac:dyDescent="0.25">
      <c r="B611" s="1495" t="s">
        <v>3249</v>
      </c>
      <c r="C611" s="1430" t="s">
        <v>3259</v>
      </c>
      <c r="D611" s="1430" t="s">
        <v>3254</v>
      </c>
      <c r="E611" s="1457">
        <f>f_kL_GCH4*(D_GCH4_25/D_GO2_25)^0.5*k_L_GO2_sur</f>
        <v>6.4170228157753817</v>
      </c>
      <c r="F611" s="1430" t="s">
        <v>2808</v>
      </c>
      <c r="G611" s="1430">
        <v>2</v>
      </c>
      <c r="H611" s="1435"/>
      <c r="I611" s="1436"/>
    </row>
    <row r="612" spans="1:9" ht="18" outlineLevel="1" x14ac:dyDescent="0.25">
      <c r="B612" s="1495" t="s">
        <v>3250</v>
      </c>
      <c r="C612" s="1430" t="s">
        <v>3260</v>
      </c>
      <c r="D612" s="1430" t="s">
        <v>3255</v>
      </c>
      <c r="E612" s="1457">
        <f>f_kL_GH2*(D_GH2_25/D_GO2_25)^0.5*k_L_GO2_sur</f>
        <v>11.151844527415021</v>
      </c>
      <c r="F612" s="1430" t="s">
        <v>2808</v>
      </c>
      <c r="G612" s="1430">
        <v>2</v>
      </c>
      <c r="H612" s="1435"/>
      <c r="I612" s="1436"/>
    </row>
    <row r="613" spans="1:9" ht="18.75" outlineLevel="1" thickBot="1" x14ac:dyDescent="0.3">
      <c r="B613" s="1496" t="s">
        <v>3251</v>
      </c>
      <c r="C613" s="1438" t="s">
        <v>3261</v>
      </c>
      <c r="D613" s="896" t="s">
        <v>3256</v>
      </c>
      <c r="E613" s="1497">
        <f>f_kL_GNH3*(D_GNH3_25/D_GO2_25)^0.5*k_L_GO2_sur</f>
        <v>0.64318208930286602</v>
      </c>
      <c r="F613" s="896" t="s">
        <v>2808</v>
      </c>
      <c r="G613" s="896">
        <v>2</v>
      </c>
      <c r="H613" s="1498"/>
      <c r="I613" s="564"/>
    </row>
    <row r="614" spans="1:9" s="1168" customFormat="1" ht="18" customHeight="1" thickBot="1" x14ac:dyDescent="0.3">
      <c r="A614" s="4"/>
      <c r="B614" s="4"/>
      <c r="C614" s="4"/>
      <c r="D614" s="4"/>
      <c r="E614" s="1899"/>
      <c r="F614" s="4"/>
      <c r="G614" s="4"/>
      <c r="H614" s="4"/>
      <c r="I614" s="4"/>
    </row>
    <row r="615" spans="1:9" s="1168" customFormat="1" ht="18" customHeight="1" thickBot="1" x14ac:dyDescent="0.3">
      <c r="A615" s="4"/>
      <c r="B615" s="102"/>
      <c r="C615" s="1204" t="s">
        <v>3761</v>
      </c>
      <c r="D615" s="13" t="s">
        <v>303</v>
      </c>
      <c r="E615" s="13"/>
      <c r="F615" s="102"/>
      <c r="G615" s="102"/>
      <c r="H615" s="102"/>
      <c r="I615" s="102"/>
    </row>
    <row r="616" spans="1:9" s="1168" customFormat="1" ht="18" customHeight="1" thickBot="1" x14ac:dyDescent="0.3">
      <c r="A616" s="4"/>
      <c r="B616" s="1514" t="s">
        <v>0</v>
      </c>
      <c r="C616" s="1515" t="s">
        <v>1</v>
      </c>
      <c r="D616" s="1516" t="s">
        <v>5</v>
      </c>
      <c r="E616" s="1516" t="s">
        <v>152</v>
      </c>
      <c r="F616" s="1516" t="s">
        <v>2</v>
      </c>
      <c r="G616" s="1516" t="s">
        <v>302</v>
      </c>
      <c r="H616" s="1516" t="s">
        <v>116</v>
      </c>
      <c r="I616" s="1517" t="s">
        <v>117</v>
      </c>
    </row>
    <row r="617" spans="1:9" s="1168" customFormat="1" ht="18" outlineLevel="1" x14ac:dyDescent="0.25">
      <c r="A617" s="4"/>
      <c r="B617" s="696" t="s">
        <v>4216</v>
      </c>
      <c r="C617" s="996" t="s">
        <v>4217</v>
      </c>
      <c r="D617" s="1171" t="s">
        <v>4224</v>
      </c>
      <c r="E617" s="1169">
        <f>q_ALPHA*((1-f_O2_max_ALPHA)*S_O2/(K_O2_ALPHA+S_O2)+f_O2_max_ALPHA)</f>
        <v>1.4512195121951217E-3</v>
      </c>
      <c r="F617" s="1166" t="s">
        <v>3749</v>
      </c>
      <c r="G617" s="1167">
        <v>4</v>
      </c>
      <c r="H617" s="996"/>
      <c r="I617" s="936"/>
    </row>
    <row r="618" spans="1:9" s="1168" customFormat="1" ht="18" outlineLevel="1" x14ac:dyDescent="0.25">
      <c r="A618" s="4"/>
      <c r="B618" s="696" t="s">
        <v>3762</v>
      </c>
      <c r="C618" s="1499" t="s">
        <v>4218</v>
      </c>
      <c r="D618" s="1171" t="s">
        <v>3763</v>
      </c>
      <c r="E618" s="1170">
        <f>1+c_oeffdamp_ALPHA*(S_ALPHA/S_ALPHA_sat)^p_owdamp_ALPHA</f>
        <v>1.0266520317554391</v>
      </c>
      <c r="F618" s="1166" t="s">
        <v>1994</v>
      </c>
      <c r="G618" s="1167">
        <v>2</v>
      </c>
      <c r="H618" s="996"/>
      <c r="I618" s="936"/>
    </row>
    <row r="619" spans="1:9" s="1168" customFormat="1" ht="18" outlineLevel="1" x14ac:dyDescent="0.25">
      <c r="A619" s="4"/>
      <c r="B619" s="696" t="s">
        <v>4219</v>
      </c>
      <c r="C619" s="1499" t="s">
        <v>4220</v>
      </c>
      <c r="D619" s="1171" t="s">
        <v>4221</v>
      </c>
      <c r="E619" s="1170">
        <f>(S_ALPHA-1)*EXP(s_lh_diff_α*h_diff)+1</f>
        <v>0.87571117407946009</v>
      </c>
      <c r="F619" s="1166" t="s">
        <v>1994</v>
      </c>
      <c r="G619" s="1167">
        <v>2</v>
      </c>
      <c r="H619" s="996" t="s">
        <v>4230</v>
      </c>
      <c r="I619" s="936"/>
    </row>
    <row r="620" spans="1:9" s="1168" customFormat="1" ht="18" outlineLevel="1" x14ac:dyDescent="0.25">
      <c r="A620" s="4"/>
      <c r="B620" s="696" t="s">
        <v>3764</v>
      </c>
      <c r="C620" s="1499" t="s">
        <v>4222</v>
      </c>
      <c r="D620" s="1171" t="s">
        <v>3765</v>
      </c>
      <c r="E620" s="1170">
        <f>EXP(s_lTSS_α_def*X_TSS/c_g_kg)</f>
        <v>0.83789206863829135</v>
      </c>
      <c r="F620" s="1166" t="s">
        <v>1994</v>
      </c>
      <c r="G620" s="1167">
        <v>2</v>
      </c>
      <c r="H620" s="996" t="s">
        <v>4231</v>
      </c>
      <c r="I620" s="936"/>
    </row>
    <row r="621" spans="1:9" s="1168" customFormat="1" ht="18" outlineLevel="1" x14ac:dyDescent="0.25">
      <c r="A621" s="4"/>
      <c r="B621" s="696" t="s">
        <v>3764</v>
      </c>
      <c r="C621" s="1499" t="s">
        <v>4222</v>
      </c>
      <c r="D621" s="1171" t="s">
        <v>3766</v>
      </c>
      <c r="E621" s="1170">
        <f>EXP(s_lTSS_α_coarse*X_TSS/c_g_kg)</f>
        <v>0.88877545631394983</v>
      </c>
      <c r="F621" s="1166" t="s">
        <v>1994</v>
      </c>
      <c r="G621" s="1167">
        <v>2</v>
      </c>
      <c r="H621" s="996" t="s">
        <v>3767</v>
      </c>
      <c r="I621" s="936"/>
    </row>
    <row r="622" spans="1:9" s="1168" customFormat="1" ht="18" outlineLevel="1" x14ac:dyDescent="0.25">
      <c r="A622" s="4"/>
      <c r="B622" s="696" t="s">
        <v>3764</v>
      </c>
      <c r="C622" s="1499" t="s">
        <v>4222</v>
      </c>
      <c r="D622" s="1171" t="s">
        <v>3766</v>
      </c>
      <c r="E622" s="1170">
        <f>EXP(s_lTSS_α_coarse*X_TSS/c_g_kg)</f>
        <v>0.88877545631394983</v>
      </c>
      <c r="F622" s="1166" t="s">
        <v>1994</v>
      </c>
      <c r="G622" s="1167">
        <v>2</v>
      </c>
      <c r="H622" s="996" t="s">
        <v>3768</v>
      </c>
      <c r="I622" s="936"/>
    </row>
    <row r="623" spans="1:9" s="1168" customFormat="1" ht="18" outlineLevel="1" x14ac:dyDescent="0.25">
      <c r="A623" s="4"/>
      <c r="B623" s="696" t="s">
        <v>3764</v>
      </c>
      <c r="C623" s="1499" t="s">
        <v>4222</v>
      </c>
      <c r="D623" s="1171" t="s">
        <v>3769</v>
      </c>
      <c r="E623" s="1170">
        <f>c_oefflead_TSS_α_mech*(X_TSS/c_g_kg)^2+c_oefflin_TSS_α_mech*X_TSS/c_g_kg+c_onstTSS_α_mech</f>
        <v>0.92984159832007007</v>
      </c>
      <c r="F623" s="1166" t="s">
        <v>1994</v>
      </c>
      <c r="G623" s="1167">
        <v>2</v>
      </c>
      <c r="H623" s="996" t="s">
        <v>3770</v>
      </c>
      <c r="I623" s="936"/>
    </row>
    <row r="624" spans="1:9" s="1168" customFormat="1" ht="18" outlineLevel="1" x14ac:dyDescent="0.25">
      <c r="A624" s="4"/>
      <c r="B624" s="1500" t="s">
        <v>3771</v>
      </c>
      <c r="C624" s="1501" t="s">
        <v>3772</v>
      </c>
      <c r="D624" s="1502" t="s">
        <v>4223</v>
      </c>
      <c r="E624" s="1503">
        <f>S_ALPHA/c_orrh_diff_α*c_orrTSS_α</f>
        <v>0.47840663305402964</v>
      </c>
      <c r="F624" s="1504" t="s">
        <v>1994</v>
      </c>
      <c r="G624" s="1505">
        <v>2</v>
      </c>
      <c r="H624" s="997" t="s">
        <v>4230</v>
      </c>
      <c r="I624" s="1506"/>
    </row>
    <row r="625" spans="1:10" s="1168" customFormat="1" ht="18.75" outlineLevel="1" thickBot="1" x14ac:dyDescent="0.3">
      <c r="A625" s="4"/>
      <c r="B625" s="697" t="s">
        <v>3771</v>
      </c>
      <c r="C625" s="1507" t="s">
        <v>3772</v>
      </c>
      <c r="D625" s="1508" t="s">
        <v>4229</v>
      </c>
      <c r="E625" s="1509">
        <f>S_ALPHA*c_orrTSS_α</f>
        <v>0.41894603431914568</v>
      </c>
      <c r="F625" s="1510" t="s">
        <v>1994</v>
      </c>
      <c r="G625" s="1511">
        <v>2</v>
      </c>
      <c r="H625" s="1507" t="s">
        <v>3770</v>
      </c>
      <c r="I625" s="1512"/>
    </row>
    <row r="626" spans="1:10" s="1168" customFormat="1" ht="15.75" thickBot="1" x14ac:dyDescent="0.3">
      <c r="B626" s="1866"/>
      <c r="C626" s="140"/>
      <c r="D626" s="1893"/>
      <c r="E626" s="1917"/>
      <c r="F626" s="1923"/>
      <c r="G626" s="146"/>
      <c r="H626" s="140"/>
      <c r="I626" s="1948"/>
    </row>
    <row r="627" spans="1:10" ht="15.75" thickBot="1" x14ac:dyDescent="0.3">
      <c r="C627" s="1513" t="s">
        <v>275</v>
      </c>
      <c r="D627" s="13" t="s">
        <v>1211</v>
      </c>
      <c r="E627" s="13"/>
    </row>
    <row r="628" spans="1:10" ht="15.75" thickBot="1" x14ac:dyDescent="0.3">
      <c r="B628" s="1514" t="s">
        <v>0</v>
      </c>
      <c r="C628" s="1515" t="s">
        <v>1</v>
      </c>
      <c r="D628" s="1516" t="s">
        <v>5</v>
      </c>
      <c r="E628" s="1516" t="s">
        <v>152</v>
      </c>
      <c r="F628" s="1516" t="s">
        <v>2</v>
      </c>
      <c r="G628" s="1516" t="s">
        <v>302</v>
      </c>
      <c r="H628" s="1516" t="s">
        <v>116</v>
      </c>
      <c r="I628" s="1517" t="s">
        <v>117</v>
      </c>
    </row>
    <row r="629" spans="1:10" ht="18" outlineLevel="1" x14ac:dyDescent="0.25">
      <c r="B629" s="568" t="s">
        <v>1855</v>
      </c>
      <c r="C629" s="895" t="s">
        <v>1212</v>
      </c>
      <c r="D629" s="895" t="s">
        <v>2955</v>
      </c>
      <c r="E629" s="1518">
        <f>T__+T_STP_K</f>
        <v>293.14999999999998</v>
      </c>
      <c r="F629" s="863" t="s">
        <v>475</v>
      </c>
      <c r="G629" s="863">
        <v>1</v>
      </c>
      <c r="H629" s="863"/>
      <c r="I629" s="533"/>
    </row>
    <row r="630" spans="1:10" ht="18.75" outlineLevel="1" thickBot="1" x14ac:dyDescent="0.3">
      <c r="B630" s="565" t="s">
        <v>280</v>
      </c>
      <c r="C630" s="1438" t="s">
        <v>1213</v>
      </c>
      <c r="D630" s="1438" t="s">
        <v>4448</v>
      </c>
      <c r="E630" s="1468">
        <f>(S_H-H_STP)/c_p_water</f>
        <v>20</v>
      </c>
      <c r="F630" s="1441" t="s">
        <v>1214</v>
      </c>
      <c r="G630" s="1441">
        <v>1</v>
      </c>
      <c r="H630" s="1441"/>
      <c r="I630" s="535"/>
    </row>
    <row r="631" spans="1:10" s="1168" customFormat="1" ht="15.75" thickBot="1" x14ac:dyDescent="0.3">
      <c r="B631" s="1866"/>
      <c r="C631" s="140"/>
      <c r="D631" s="1893"/>
      <c r="E631" s="1917"/>
      <c r="F631" s="1923"/>
      <c r="G631" s="146"/>
      <c r="H631" s="140"/>
      <c r="I631" s="1948"/>
    </row>
    <row r="632" spans="1:10" ht="15.75" thickBot="1" x14ac:dyDescent="0.3">
      <c r="C632" s="1513" t="s">
        <v>4793</v>
      </c>
      <c r="D632" s="13" t="s">
        <v>303</v>
      </c>
      <c r="E632" s="13"/>
    </row>
    <row r="633" spans="1:10" ht="15.75" thickBot="1" x14ac:dyDescent="0.3">
      <c r="B633" s="1514" t="s">
        <v>0</v>
      </c>
      <c r="C633" s="1515" t="s">
        <v>1</v>
      </c>
      <c r="D633" s="1516" t="s">
        <v>5</v>
      </c>
      <c r="E633" s="1516" t="s">
        <v>152</v>
      </c>
      <c r="F633" s="1516" t="s">
        <v>2</v>
      </c>
      <c r="G633" s="1516" t="s">
        <v>302</v>
      </c>
      <c r="H633" s="1516" t="s">
        <v>116</v>
      </c>
      <c r="I633" s="1517" t="s">
        <v>117</v>
      </c>
    </row>
    <row r="634" spans="1:10" ht="84.75" outlineLevel="1" thickBot="1" x14ac:dyDescent="0.3">
      <c r="B634" s="1995" t="s">
        <v>4794</v>
      </c>
      <c r="C634" s="1996" t="s">
        <v>4795</v>
      </c>
      <c r="D634" s="1996" t="s">
        <v>4992</v>
      </c>
      <c r="E634" s="1997">
        <f>(+(-v_1_SO2*r_1)+(-v_3_SO2*r_3)+(-v_7_SO2*r_7)+(-v_13_SO2*r_13)+(-v_15_SO2*r_15)+(-v_17_SO2*r_17)+(-v_21_SO2*r_21)+(-v_30_SO2*r_30)+(-v_39_SO2*r_39)+(-v_40_SO2*r_40)+(-v_41_SO2*r_41)+(-v_64_SO2*r_64)+(+E_EQN2_NO3*v_2_SN2*r_2)+(+E_EQN2_NO3*v_4_SN2*r_4)+(+E_EQN2_NO3*v_10_SN2*r_10)+(+E_EQN2_NO3*v_14_SN2*r_14)+(+E_EQN2_NO3*v_16_SN2*r_16)+(+E_EQN2_NO3*v_18_SN2*r_18)+(+E_EQN2_NO3*v_22_SN2*r_22))*D_eltaHbio</f>
        <v>8.4793936921447948</v>
      </c>
      <c r="F634" s="1998" t="s">
        <v>4796</v>
      </c>
      <c r="G634" s="1998">
        <v>2</v>
      </c>
      <c r="H634" s="1998" t="s">
        <v>4338</v>
      </c>
      <c r="I634" s="1999"/>
    </row>
    <row r="635" spans="1:10" s="1168" customFormat="1" ht="15.75" thickBot="1" x14ac:dyDescent="0.3">
      <c r="A635" s="102"/>
      <c r="B635" s="1866"/>
      <c r="C635" s="140"/>
      <c r="D635" s="1893"/>
      <c r="E635" s="1917"/>
      <c r="F635" s="1923"/>
      <c r="G635" s="146"/>
      <c r="H635" s="140"/>
      <c r="I635" s="1948"/>
      <c r="J635" s="102"/>
    </row>
    <row r="636" spans="1:10" ht="15.75" thickBot="1" x14ac:dyDescent="0.3">
      <c r="C636" s="1513" t="s">
        <v>4797</v>
      </c>
      <c r="D636" s="13" t="s">
        <v>303</v>
      </c>
      <c r="E636" s="13"/>
    </row>
    <row r="637" spans="1:10" ht="15.75" thickBot="1" x14ac:dyDescent="0.3">
      <c r="B637" s="1514" t="s">
        <v>0</v>
      </c>
      <c r="C637" s="1515" t="s">
        <v>1</v>
      </c>
      <c r="D637" s="1516" t="s">
        <v>5</v>
      </c>
      <c r="E637" s="1516" t="s">
        <v>152</v>
      </c>
      <c r="F637" s="1516" t="s">
        <v>2</v>
      </c>
      <c r="G637" s="1516" t="s">
        <v>302</v>
      </c>
      <c r="H637" s="1516" t="s">
        <v>116</v>
      </c>
      <c r="I637" s="1517" t="s">
        <v>117</v>
      </c>
    </row>
    <row r="638" spans="1:10" outlineLevel="1" x14ac:dyDescent="0.25">
      <c r="B638" s="1970" t="s">
        <v>4798</v>
      </c>
      <c r="C638" s="1955" t="s">
        <v>5002</v>
      </c>
      <c r="D638" s="1955" t="s">
        <v>4993</v>
      </c>
      <c r="E638" s="1956">
        <f>((v_87_SCH4*r_87)+(v_88_SH2*r_88))</f>
        <v>-6.9349999999999995E-2</v>
      </c>
      <c r="F638" s="1956" t="s">
        <v>4799</v>
      </c>
      <c r="G638" s="1957" t="s">
        <v>4800</v>
      </c>
      <c r="H638" s="1957" t="s">
        <v>4338</v>
      </c>
      <c r="I638" s="1971"/>
    </row>
    <row r="639" spans="1:10" ht="30" outlineLevel="1" x14ac:dyDescent="0.25">
      <c r="B639" s="1972" t="s">
        <v>4801</v>
      </c>
      <c r="C639" s="1992" t="s">
        <v>5003</v>
      </c>
      <c r="D639" s="1992" t="s">
        <v>4802</v>
      </c>
      <c r="E639" s="1993">
        <f>-((v_1_SO2*r_1*-1)+(v_3_SO2*r_3*-1)+(v_7_SO2*r_7*-1)+(v_13_SO2*r_13*-1)+(v_15_SO2*r_15*-1)+(v_17_SO2*r_17*-1)+(v_21_SO2*r_21*-1)+(v_41_SO2*r_41*-1))</f>
        <v>-372.4839220066911</v>
      </c>
      <c r="F639" s="1993" t="s">
        <v>4799</v>
      </c>
      <c r="G639" s="1994" t="s">
        <v>4800</v>
      </c>
      <c r="H639" s="1994" t="s">
        <v>4338</v>
      </c>
      <c r="I639" s="1973"/>
    </row>
    <row r="640" spans="1:10" ht="90" outlineLevel="1" x14ac:dyDescent="0.25">
      <c r="B640" s="1972" t="s">
        <v>4803</v>
      </c>
      <c r="C640" s="1992" t="s">
        <v>5004</v>
      </c>
      <c r="D640" s="1992" t="s">
        <v>4991</v>
      </c>
      <c r="E640" s="1993">
        <f>-((v_2_SNOx*r_2*-E_EQNO3)+(v_4_SNOx*r_4*-E_EQNO3)+(v_10_SNOx*r_10*-E_EQNO3)+(v_14_SNOx*r_14*-E_EQNO3)+(v_16_SNOx*r_16*-E_EQNO3)+(v_18_SNOx*r_18*-E_EQNO3)+(v_22_SNOx*r_22*-E_EQNO3)+(v_55_SNOx*r_55*-E_EQNO3)+(v_2_SN2*r_2*-E_EQN2)+(v_4_SN2*r_4*-E_EQN2)+(v_10_SN2*r_10*-E_EQN2)+(v_14_SN2*r_14*-E_EQN2)+(v_16_SN2*r_16*-E_EQN2)+(v_18_SN2*r_18*-E_EQN2)+(v_22_SN2*r_22*-E_EQN2))</f>
        <v>-19.582081509277408</v>
      </c>
      <c r="F640" s="1993" t="s">
        <v>4799</v>
      </c>
      <c r="G640" s="1994" t="s">
        <v>4800</v>
      </c>
      <c r="H640" s="1994" t="s">
        <v>4338</v>
      </c>
      <c r="I640" s="1973"/>
    </row>
    <row r="641" spans="1:10" outlineLevel="1" x14ac:dyDescent="0.25">
      <c r="B641" s="1972" t="s">
        <v>4804</v>
      </c>
      <c r="C641" s="1992" t="s">
        <v>5005</v>
      </c>
      <c r="D641" s="1992" t="s">
        <v>4805</v>
      </c>
      <c r="E641" s="1993">
        <f>((v_40_XALGAE*r_40)+(v_39_XALGAE*r_39))</f>
        <v>0</v>
      </c>
      <c r="F641" s="1993" t="s">
        <v>4799</v>
      </c>
      <c r="G641" s="1994" t="s">
        <v>4800</v>
      </c>
      <c r="H641" s="1994" t="s">
        <v>4338</v>
      </c>
      <c r="I641" s="1973"/>
    </row>
    <row r="642" spans="1:10" ht="15.75" outlineLevel="1" thickBot="1" x14ac:dyDescent="0.3">
      <c r="B642" s="1974" t="s">
        <v>4806</v>
      </c>
      <c r="C642" s="1966" t="s">
        <v>5006</v>
      </c>
      <c r="D642" s="1966" t="s">
        <v>4807</v>
      </c>
      <c r="E642" s="1975">
        <f>((v_30_XNITO*r_30))</f>
        <v>37.163637664526227</v>
      </c>
      <c r="F642" s="1975" t="s">
        <v>4799</v>
      </c>
      <c r="G642" s="1968" t="s">
        <v>4800</v>
      </c>
      <c r="H642" s="1968" t="s">
        <v>4338</v>
      </c>
      <c r="I642" s="1976"/>
    </row>
    <row r="643" spans="1:10" s="1168" customFormat="1" ht="15.75" thickBot="1" x14ac:dyDescent="0.3">
      <c r="A643" s="102"/>
      <c r="B643" s="1866"/>
      <c r="C643" s="140"/>
      <c r="D643" s="1893"/>
      <c r="E643" s="1917"/>
      <c r="F643" s="1923"/>
      <c r="G643" s="146"/>
      <c r="H643" s="140"/>
      <c r="I643" s="1948"/>
      <c r="J643" s="102"/>
    </row>
    <row r="644" spans="1:10" ht="15.75" thickBot="1" x14ac:dyDescent="0.3">
      <c r="C644" s="1513" t="s">
        <v>4808</v>
      </c>
      <c r="D644" s="13" t="s">
        <v>303</v>
      </c>
      <c r="E644" s="13"/>
    </row>
    <row r="645" spans="1:10" ht="15.75" thickBot="1" x14ac:dyDescent="0.3">
      <c r="B645" s="1514" t="s">
        <v>0</v>
      </c>
      <c r="C645" s="1515" t="s">
        <v>1</v>
      </c>
      <c r="D645" s="1516" t="s">
        <v>5</v>
      </c>
      <c r="E645" s="1516" t="s">
        <v>152</v>
      </c>
      <c r="F645" s="1516" t="s">
        <v>2</v>
      </c>
      <c r="G645" s="1516" t="s">
        <v>302</v>
      </c>
      <c r="H645" s="1516" t="s">
        <v>116</v>
      </c>
      <c r="I645" s="1517" t="s">
        <v>117</v>
      </c>
    </row>
    <row r="646" spans="1:10" outlineLevel="1" x14ac:dyDescent="0.25">
      <c r="B646" s="1970" t="s">
        <v>4809</v>
      </c>
      <c r="C646" s="1955" t="s">
        <v>5007</v>
      </c>
      <c r="D646" s="1955" t="s">
        <v>4990</v>
      </c>
      <c r="E646" s="1956">
        <f>((v_90_SNHx*r_90))</f>
        <v>0</v>
      </c>
      <c r="F646" s="1956" t="s">
        <v>4799</v>
      </c>
      <c r="G646" s="1957" t="s">
        <v>4800</v>
      </c>
      <c r="H646" s="1957" t="s">
        <v>4338</v>
      </c>
      <c r="I646" s="1971"/>
    </row>
    <row r="647" spans="1:10" ht="30.75" outlineLevel="1" thickBot="1" x14ac:dyDescent="0.3">
      <c r="B647" s="1974" t="s">
        <v>4810</v>
      </c>
      <c r="C647" s="1966" t="s">
        <v>5008</v>
      </c>
      <c r="D647" s="1966" t="s">
        <v>4811</v>
      </c>
      <c r="E647" s="1975">
        <f>+((v_2_SNOx*r_2*1)+(v_4_SNOx*r_4*1)+(v_10_SNOx*r_10*1)+(v_14_SNOx*r_14*1)+(v_16_SNOx*r_16*1)+(v_18_SNOx*r_18*1)+(v_22_SNOx*r_22*1))</f>
        <v>-5.9846765739918562</v>
      </c>
      <c r="F647" s="1975" t="s">
        <v>4799</v>
      </c>
      <c r="G647" s="1968" t="s">
        <v>4800</v>
      </c>
      <c r="H647" s="1968" t="s">
        <v>4338</v>
      </c>
      <c r="I647" s="1976"/>
    </row>
    <row r="648" spans="1:10" s="1168" customFormat="1" ht="15.75" thickBot="1" x14ac:dyDescent="0.3">
      <c r="A648" s="102"/>
      <c r="B648" s="1866"/>
      <c r="C648" s="140"/>
      <c r="D648" s="1893"/>
      <c r="E648" s="1917"/>
      <c r="F648" s="1923"/>
      <c r="G648" s="146"/>
      <c r="H648" s="140"/>
      <c r="I648" s="1948"/>
      <c r="J648" s="102"/>
    </row>
    <row r="649" spans="1:10" ht="15.75" thickBot="1" x14ac:dyDescent="0.3">
      <c r="C649" s="1513" t="s">
        <v>4812</v>
      </c>
      <c r="D649" s="13" t="s">
        <v>303</v>
      </c>
      <c r="E649" s="13"/>
    </row>
    <row r="650" spans="1:10" ht="15.75" thickBot="1" x14ac:dyDescent="0.3">
      <c r="B650" s="1514" t="s">
        <v>0</v>
      </c>
      <c r="C650" s="1515" t="s">
        <v>1</v>
      </c>
      <c r="D650" s="1516" t="s">
        <v>5</v>
      </c>
      <c r="E650" s="1516" t="s">
        <v>152</v>
      </c>
      <c r="F650" s="1516" t="s">
        <v>2</v>
      </c>
      <c r="G650" s="1516" t="s">
        <v>302</v>
      </c>
      <c r="H650" s="1516" t="s">
        <v>116</v>
      </c>
      <c r="I650" s="1517" t="s">
        <v>117</v>
      </c>
    </row>
    <row r="651" spans="1:10" outlineLevel="1" x14ac:dyDescent="0.25">
      <c r="B651" s="1970" t="s">
        <v>4813</v>
      </c>
      <c r="C651" s="1955" t="s">
        <v>5009</v>
      </c>
      <c r="D651" s="1957" t="s">
        <v>4989</v>
      </c>
      <c r="E651" s="1956">
        <f>((v_89_SO2*r_89))*S_OTRaerator/S_OTRsur</f>
        <v>12</v>
      </c>
      <c r="F651" s="1956" t="s">
        <v>4799</v>
      </c>
      <c r="G651" s="1957" t="s">
        <v>4800</v>
      </c>
      <c r="H651" s="1957" t="s">
        <v>4338</v>
      </c>
      <c r="I651" s="1971"/>
    </row>
    <row r="652" spans="1:10" outlineLevel="1" x14ac:dyDescent="0.25">
      <c r="B652" s="1972" t="s">
        <v>4814</v>
      </c>
      <c r="C652" s="1960" t="s">
        <v>5010</v>
      </c>
      <c r="D652" s="1962" t="s">
        <v>4988</v>
      </c>
      <c r="E652" s="1961">
        <f>((v_89_SO2*r_89))*S_OTRsur_min/S_OTRsur</f>
        <v>12</v>
      </c>
      <c r="F652" s="1961" t="s">
        <v>4799</v>
      </c>
      <c r="G652" s="1962" t="s">
        <v>4800</v>
      </c>
      <c r="H652" s="1962" t="s">
        <v>4338</v>
      </c>
      <c r="I652" s="1973"/>
    </row>
    <row r="653" spans="1:10" outlineLevel="1" x14ac:dyDescent="0.25">
      <c r="B653" s="1972" t="s">
        <v>4815</v>
      </c>
      <c r="C653" s="1960" t="s">
        <v>5011</v>
      </c>
      <c r="D653" s="1962" t="s">
        <v>4816</v>
      </c>
      <c r="E653" s="1961">
        <f>-((v_1_SO2*r_1*-1)+(v_3_SO2*r_3*-1)+(v_7_SO2*r_7*-1)+(v_13_SO2*r_13*-1)+(v_15_SO2*r_15*-1)+(v_17_SO2*r_17*-1)+(v_21_SO2*r_21*-1))</f>
        <v>-372.4839220066911</v>
      </c>
      <c r="F653" s="1961" t="s">
        <v>4799</v>
      </c>
      <c r="G653" s="1962" t="s">
        <v>4800</v>
      </c>
      <c r="H653" s="1962" t="s">
        <v>4338</v>
      </c>
      <c r="I653" s="1973"/>
    </row>
    <row r="654" spans="1:10" outlineLevel="1" x14ac:dyDescent="0.25">
      <c r="B654" s="1972" t="s">
        <v>4817</v>
      </c>
      <c r="C654" s="1960" t="s">
        <v>5012</v>
      </c>
      <c r="D654" s="1962" t="s">
        <v>4818</v>
      </c>
      <c r="E654" s="1961">
        <f>((v_30_SO2*r_30))</f>
        <v>-670.35003370919833</v>
      </c>
      <c r="F654" s="1961" t="s">
        <v>4799</v>
      </c>
      <c r="G654" s="1962" t="s">
        <v>4800</v>
      </c>
      <c r="H654" s="1962" t="s">
        <v>4338</v>
      </c>
      <c r="I654" s="1973"/>
    </row>
    <row r="655" spans="1:10" outlineLevel="1" x14ac:dyDescent="0.25">
      <c r="B655" s="1972" t="s">
        <v>4819</v>
      </c>
      <c r="C655" s="1960" t="s">
        <v>5013</v>
      </c>
      <c r="D655" s="1962" t="s">
        <v>4987</v>
      </c>
      <c r="E655" s="1961">
        <f>((v_64_SO2*r_64))</f>
        <v>-6.6629603949469767E-50</v>
      </c>
      <c r="F655" s="1961" t="s">
        <v>4799</v>
      </c>
      <c r="G655" s="1962" t="s">
        <v>4800</v>
      </c>
      <c r="H655" s="1962" t="s">
        <v>4338</v>
      </c>
      <c r="I655" s="1973"/>
    </row>
    <row r="656" spans="1:10" outlineLevel="1" x14ac:dyDescent="0.25">
      <c r="B656" s="1972" t="s">
        <v>4820</v>
      </c>
      <c r="C656" s="1960" t="s">
        <v>5014</v>
      </c>
      <c r="D656" s="1962" t="s">
        <v>4821</v>
      </c>
      <c r="E656" s="1961">
        <f>((v_40_SO2*r_40)+(v_39_SO2*r_39))</f>
        <v>0</v>
      </c>
      <c r="F656" s="1961" t="s">
        <v>4799</v>
      </c>
      <c r="G656" s="1962" t="s">
        <v>4800</v>
      </c>
      <c r="H656" s="1962" t="s">
        <v>4338</v>
      </c>
      <c r="I656" s="1973"/>
    </row>
    <row r="657" spans="1:10" ht="15.75" outlineLevel="1" thickBot="1" x14ac:dyDescent="0.3">
      <c r="B657" s="1974" t="s">
        <v>4822</v>
      </c>
      <c r="C657" s="1966" t="s">
        <v>5015</v>
      </c>
      <c r="D657" s="1968" t="s">
        <v>4823</v>
      </c>
      <c r="E657" s="1975">
        <f>((v_41_SO2*r_41))</f>
        <v>0</v>
      </c>
      <c r="F657" s="1975" t="s">
        <v>4799</v>
      </c>
      <c r="G657" s="1968" t="s">
        <v>4800</v>
      </c>
      <c r="H657" s="1968" t="s">
        <v>4338</v>
      </c>
      <c r="I657" s="1976"/>
    </row>
    <row r="658" spans="1:10" s="1168" customFormat="1" ht="15.75" thickBot="1" x14ac:dyDescent="0.3">
      <c r="A658" s="102"/>
      <c r="B658" s="1866"/>
      <c r="C658" s="140"/>
      <c r="D658" s="1893"/>
      <c r="E658" s="1917"/>
      <c r="F658" s="1923"/>
      <c r="G658" s="146"/>
      <c r="H658" s="140"/>
      <c r="I658" s="1948"/>
      <c r="J658" s="102"/>
    </row>
    <row r="659" spans="1:10" ht="15.75" thickBot="1" x14ac:dyDescent="0.3">
      <c r="C659" s="1513" t="s">
        <v>4824</v>
      </c>
      <c r="D659" s="13" t="s">
        <v>303</v>
      </c>
      <c r="E659" s="13"/>
    </row>
    <row r="660" spans="1:10" ht="15.75" thickBot="1" x14ac:dyDescent="0.3">
      <c r="B660" s="1514" t="s">
        <v>0</v>
      </c>
      <c r="C660" s="1515" t="s">
        <v>1</v>
      </c>
      <c r="D660" s="1516" t="s">
        <v>5</v>
      </c>
      <c r="E660" s="1516" t="s">
        <v>152</v>
      </c>
      <c r="F660" s="1516" t="s">
        <v>2</v>
      </c>
      <c r="G660" s="1516" t="s">
        <v>302</v>
      </c>
      <c r="H660" s="1516" t="s">
        <v>116</v>
      </c>
      <c r="I660" s="1517" t="s">
        <v>117</v>
      </c>
    </row>
    <row r="661" spans="1:10" ht="30" outlineLevel="1" x14ac:dyDescent="0.25">
      <c r="B661" s="1970" t="s">
        <v>4825</v>
      </c>
      <c r="C661" s="1955" t="s">
        <v>5016</v>
      </c>
      <c r="D661" s="1955" t="s">
        <v>4826</v>
      </c>
      <c r="E661" s="1956">
        <f>((v_1_SNHx*r_1)+(v_2_SNHx*r_2)+(v_3_SNHx*r_3)+(v_4_SNHx*r_4)+(v_5_SNHx*r_5)+(v_6_SNHx*r_6)+(v_7_SNHx*r_7)+(v_8_SNHx*r_8)+(v_9_SNHx*r_9))</f>
        <v>-24.350905691237351</v>
      </c>
      <c r="F661" s="1956" t="s">
        <v>4799</v>
      </c>
      <c r="G661" s="1957" t="s">
        <v>4800</v>
      </c>
      <c r="H661" s="1957" t="s">
        <v>4338</v>
      </c>
      <c r="I661" s="1971"/>
    </row>
    <row r="662" spans="1:10" outlineLevel="1" x14ac:dyDescent="0.25">
      <c r="B662" s="1972" t="s">
        <v>4827</v>
      </c>
      <c r="C662" s="1960" t="s">
        <v>5017</v>
      </c>
      <c r="D662" s="1960" t="s">
        <v>4828</v>
      </c>
      <c r="E662" s="1961">
        <f>((v_30_SNHx*r_30)+(v_31_SNHx*r_31)+(v_32_SNHx*r_32))</f>
        <v>-157.43893255547553</v>
      </c>
      <c r="F662" s="1961" t="s">
        <v>4799</v>
      </c>
      <c r="G662" s="1962" t="s">
        <v>4800</v>
      </c>
      <c r="H662" s="1962" t="s">
        <v>4338</v>
      </c>
      <c r="I662" s="1973"/>
    </row>
    <row r="663" spans="1:10" outlineLevel="1" x14ac:dyDescent="0.25">
      <c r="B663" s="1972" t="s">
        <v>4829</v>
      </c>
      <c r="C663" s="1960" t="s">
        <v>5018</v>
      </c>
      <c r="D663" s="1960" t="s">
        <v>4830</v>
      </c>
      <c r="E663" s="1961">
        <f>((v_40_SNHx*r_40)+(v_41_SNHx*r_41)+(v_42_SNHx*r_42))</f>
        <v>0</v>
      </c>
      <c r="F663" s="1961" t="s">
        <v>4799</v>
      </c>
      <c r="G663" s="1962" t="s">
        <v>4800</v>
      </c>
      <c r="H663" s="1962" t="s">
        <v>4338</v>
      </c>
      <c r="I663" s="1973"/>
    </row>
    <row r="664" spans="1:10" ht="15.75" outlineLevel="1" thickBot="1" x14ac:dyDescent="0.3">
      <c r="B664" s="1974" t="s">
        <v>4831</v>
      </c>
      <c r="C664" s="1966" t="s">
        <v>5019</v>
      </c>
      <c r="D664" s="1966" t="s">
        <v>4986</v>
      </c>
      <c r="E664" s="1975">
        <f>((v_49_SNHx*r_49)+(v_55_SNHx*r_55))</f>
        <v>25.727295987226494</v>
      </c>
      <c r="F664" s="1975" t="s">
        <v>4799</v>
      </c>
      <c r="G664" s="1968" t="s">
        <v>4800</v>
      </c>
      <c r="H664" s="1968" t="s">
        <v>4338</v>
      </c>
      <c r="I664" s="1976"/>
    </row>
    <row r="665" spans="1:10" s="1168" customFormat="1" ht="15.75" thickBot="1" x14ac:dyDescent="0.3">
      <c r="A665" s="102"/>
      <c r="B665" s="1866"/>
      <c r="C665" s="140"/>
      <c r="D665" s="1893"/>
      <c r="E665" s="1917"/>
      <c r="F665" s="1923"/>
      <c r="G665" s="146"/>
      <c r="H665" s="140"/>
      <c r="I665" s="1948"/>
      <c r="J665" s="102"/>
    </row>
    <row r="666" spans="1:10" ht="15.75" thickBot="1" x14ac:dyDescent="0.3">
      <c r="C666" s="1513" t="s">
        <v>4832</v>
      </c>
      <c r="D666" s="13" t="s">
        <v>303</v>
      </c>
      <c r="E666" s="13"/>
    </row>
    <row r="667" spans="1:10" ht="15.75" thickBot="1" x14ac:dyDescent="0.3">
      <c r="B667" s="1514" t="s">
        <v>0</v>
      </c>
      <c r="C667" s="1515" t="s">
        <v>1</v>
      </c>
      <c r="D667" s="1516" t="s">
        <v>5</v>
      </c>
      <c r="E667" s="1516" t="s">
        <v>152</v>
      </c>
      <c r="F667" s="1516" t="s">
        <v>2</v>
      </c>
      <c r="G667" s="1516" t="s">
        <v>302</v>
      </c>
      <c r="H667" s="1516" t="s">
        <v>116</v>
      </c>
      <c r="I667" s="1517" t="s">
        <v>117</v>
      </c>
    </row>
    <row r="668" spans="1:10" outlineLevel="1" x14ac:dyDescent="0.25">
      <c r="B668" s="1970" t="s">
        <v>4833</v>
      </c>
      <c r="C668" s="1955" t="s">
        <v>5020</v>
      </c>
      <c r="D668" s="1955" t="s">
        <v>4834</v>
      </c>
      <c r="E668" s="1956">
        <f>((v_2_SNOx*r_2)+(v_4_SNOx*r_4))</f>
        <v>-4.6956103472305761</v>
      </c>
      <c r="F668" s="1956" t="s">
        <v>4799</v>
      </c>
      <c r="G668" s="1957" t="s">
        <v>4800</v>
      </c>
      <c r="H668" s="1957" t="s">
        <v>4338</v>
      </c>
      <c r="I668" s="1971"/>
    </row>
    <row r="669" spans="1:10" outlineLevel="1" x14ac:dyDescent="0.25">
      <c r="B669" s="1972" t="s">
        <v>4835</v>
      </c>
      <c r="C669" s="1960" t="s">
        <v>5021</v>
      </c>
      <c r="D669" s="1960" t="s">
        <v>4836</v>
      </c>
      <c r="E669" s="1961">
        <f>((v_30_SNOx*r_30))</f>
        <v>154.84849026885928</v>
      </c>
      <c r="F669" s="1961" t="s">
        <v>4799</v>
      </c>
      <c r="G669" s="1962" t="s">
        <v>4800</v>
      </c>
      <c r="H669" s="1962" t="s">
        <v>4338</v>
      </c>
      <c r="I669" s="1973"/>
    </row>
    <row r="670" spans="1:10" ht="15.75" outlineLevel="1" thickBot="1" x14ac:dyDescent="0.3">
      <c r="B670" s="1974" t="s">
        <v>4837</v>
      </c>
      <c r="C670" s="1966" t="s">
        <v>5022</v>
      </c>
      <c r="D670" s="1966" t="s">
        <v>4838</v>
      </c>
      <c r="E670" s="1975">
        <f>((v_39_SNOx*r_39))</f>
        <v>0</v>
      </c>
      <c r="F670" s="1975" t="s">
        <v>4799</v>
      </c>
      <c r="G670" s="1968" t="s">
        <v>4800</v>
      </c>
      <c r="H670" s="1968" t="s">
        <v>4338</v>
      </c>
      <c r="I670" s="1976"/>
    </row>
    <row r="671" spans="1:10" s="1168" customFormat="1" ht="15.75" thickBot="1" x14ac:dyDescent="0.3">
      <c r="A671" s="102"/>
      <c r="B671" s="1866"/>
      <c r="C671" s="140"/>
      <c r="D671" s="1893"/>
      <c r="E671" s="1917"/>
      <c r="F671" s="1923"/>
      <c r="G671" s="146"/>
      <c r="H671" s="140"/>
      <c r="I671" s="1948"/>
      <c r="J671" s="102"/>
    </row>
    <row r="672" spans="1:10" ht="15.75" thickBot="1" x14ac:dyDescent="0.3">
      <c r="C672" s="1513" t="s">
        <v>4839</v>
      </c>
      <c r="D672" s="13" t="s">
        <v>303</v>
      </c>
      <c r="E672" s="13"/>
    </row>
    <row r="673" spans="1:10" ht="15.75" thickBot="1" x14ac:dyDescent="0.3">
      <c r="B673" s="1514" t="s">
        <v>0</v>
      </c>
      <c r="C673" s="1515" t="s">
        <v>1</v>
      </c>
      <c r="D673" s="1516" t="s">
        <v>5</v>
      </c>
      <c r="E673" s="1516" t="s">
        <v>152</v>
      </c>
      <c r="F673" s="1516" t="s">
        <v>2</v>
      </c>
      <c r="G673" s="1516" t="s">
        <v>302</v>
      </c>
      <c r="H673" s="1516" t="s">
        <v>116</v>
      </c>
      <c r="I673" s="1517" t="s">
        <v>117</v>
      </c>
    </row>
    <row r="674" spans="1:10" ht="30" outlineLevel="1" x14ac:dyDescent="0.25">
      <c r="B674" s="1970" t="s">
        <v>4840</v>
      </c>
      <c r="C674" s="1955" t="s">
        <v>5023</v>
      </c>
      <c r="D674" s="1955" t="s">
        <v>4841</v>
      </c>
      <c r="E674" s="1956">
        <f>((v_1_SPO4*r_1)+(v_2_SPO4*r_2)+(v_3_SPO4*r_3)+(v_4_SPO4*r_4)+(v_5_SPO4*r_5)+(v_6_SPO4*r_6)+(v_7_SPO4*r_7))</f>
        <v>-7.0257796370715591</v>
      </c>
      <c r="F674" s="1956" t="s">
        <v>4799</v>
      </c>
      <c r="G674" s="1957" t="s">
        <v>4800</v>
      </c>
      <c r="H674" s="1957" t="s">
        <v>4338</v>
      </c>
      <c r="I674" s="1971"/>
    </row>
    <row r="675" spans="1:10" outlineLevel="1" x14ac:dyDescent="0.25">
      <c r="B675" s="1972" t="s">
        <v>4842</v>
      </c>
      <c r="C675" s="1960" t="s">
        <v>5024</v>
      </c>
      <c r="D675" s="1960" t="s">
        <v>4843</v>
      </c>
      <c r="E675" s="1961">
        <f>((v_30_SPO4*r_30))</f>
        <v>-0.74327275329052456</v>
      </c>
      <c r="F675" s="1961" t="s">
        <v>4799</v>
      </c>
      <c r="G675" s="1962" t="s">
        <v>4800</v>
      </c>
      <c r="H675" s="1962" t="s">
        <v>4338</v>
      </c>
      <c r="I675" s="1973"/>
    </row>
    <row r="676" spans="1:10" outlineLevel="1" x14ac:dyDescent="0.25">
      <c r="B676" s="1972" t="s">
        <v>4844</v>
      </c>
      <c r="C676" s="1960" t="s">
        <v>5025</v>
      </c>
      <c r="D676" s="1960" t="s">
        <v>4845</v>
      </c>
      <c r="E676" s="1961">
        <f>((v_39_SPO4*r_39)+(v_40_SPO4*r_40)+(v_41_SPO4*r_41)+(v_42_SPO4*r_42))</f>
        <v>0</v>
      </c>
      <c r="F676" s="1961" t="s">
        <v>4799</v>
      </c>
      <c r="G676" s="1962" t="s">
        <v>4800</v>
      </c>
      <c r="H676" s="1962" t="s">
        <v>4338</v>
      </c>
      <c r="I676" s="1973"/>
    </row>
    <row r="677" spans="1:10" outlineLevel="1" x14ac:dyDescent="0.25">
      <c r="B677" s="1972" t="s">
        <v>4846</v>
      </c>
      <c r="C677" s="1960" t="s">
        <v>5026</v>
      </c>
      <c r="D677" s="1960" t="s">
        <v>4985</v>
      </c>
      <c r="E677" s="1961">
        <f>((v_50_SPO4*r_50)+(v_55_SPO4*r_55))</f>
        <v>5.0513365141413509</v>
      </c>
      <c r="F677" s="1961" t="s">
        <v>4799</v>
      </c>
      <c r="G677" s="1962" t="s">
        <v>4800</v>
      </c>
      <c r="H677" s="1962" t="s">
        <v>4338</v>
      </c>
      <c r="I677" s="1973"/>
    </row>
    <row r="678" spans="1:10" ht="60.75" outlineLevel="1" thickBot="1" x14ac:dyDescent="0.3">
      <c r="B678" s="1974" t="s">
        <v>4847</v>
      </c>
      <c r="C678" s="1966" t="s">
        <v>5027</v>
      </c>
      <c r="D678" s="1966" t="s">
        <v>4984</v>
      </c>
      <c r="E678" s="1975">
        <f>((v_55_SPO4*r_55)+(v_58_SPO4*r_58)+(v_59_SPO4*r_59)+(v_60_SPO4*r_60)+(v_61_SPO4*r_61)+(v_62_SPO4*r_62)+(v_63_SPO4*r_63)+(v_67_SPO4*r_67)+(v_68_SPO4*r_68)+(v_69_SPO4*r_69)+(v_70_SPO4*r_70)+(v_71_SPO4*r_71)+(v_73_SPO4*r_73)+(v_74_SPO4*r_74)+(v_75_SPO4*r_75))</f>
        <v>4.983651414135043E-2</v>
      </c>
      <c r="F678" s="1975" t="s">
        <v>4799</v>
      </c>
      <c r="G678" s="1968" t="s">
        <v>4800</v>
      </c>
      <c r="H678" s="1968" t="s">
        <v>4338</v>
      </c>
      <c r="I678" s="1976"/>
    </row>
    <row r="679" spans="1:10" s="1168" customFormat="1" ht="15.75" thickBot="1" x14ac:dyDescent="0.3">
      <c r="A679" s="102"/>
      <c r="B679" s="1866"/>
      <c r="C679" s="140"/>
      <c r="D679" s="1893"/>
      <c r="E679" s="1917"/>
      <c r="F679" s="1923"/>
      <c r="G679" s="146"/>
      <c r="H679" s="140"/>
      <c r="I679" s="1948"/>
      <c r="J679" s="102"/>
    </row>
    <row r="680" spans="1:10" ht="15.75" thickBot="1" x14ac:dyDescent="0.3">
      <c r="C680" s="1513" t="s">
        <v>4848</v>
      </c>
      <c r="D680" s="13" t="s">
        <v>303</v>
      </c>
      <c r="E680" s="13"/>
    </row>
    <row r="681" spans="1:10" ht="15.75" thickBot="1" x14ac:dyDescent="0.3">
      <c r="B681" s="1514" t="s">
        <v>0</v>
      </c>
      <c r="C681" s="1515" t="s">
        <v>1</v>
      </c>
      <c r="D681" s="1516" t="s">
        <v>5</v>
      </c>
      <c r="E681" s="1516" t="s">
        <v>152</v>
      </c>
      <c r="F681" s="1516" t="s">
        <v>2</v>
      </c>
      <c r="G681" s="1516" t="s">
        <v>302</v>
      </c>
      <c r="H681" s="1516" t="s">
        <v>116</v>
      </c>
      <c r="I681" s="1517" t="s">
        <v>117</v>
      </c>
    </row>
    <row r="682" spans="1:10" outlineLevel="1" x14ac:dyDescent="0.25">
      <c r="B682" s="1970" t="s">
        <v>4849</v>
      </c>
      <c r="C682" s="1957" t="s">
        <v>5028</v>
      </c>
      <c r="D682" s="1957" t="s">
        <v>4983</v>
      </c>
      <c r="E682" s="1956">
        <f>((v_86_SCO2*r_86))</f>
        <v>85.864791591722664</v>
      </c>
      <c r="F682" s="1956" t="s">
        <v>4799</v>
      </c>
      <c r="G682" s="1957" t="s">
        <v>4800</v>
      </c>
      <c r="H682" s="1957" t="s">
        <v>4338</v>
      </c>
      <c r="I682" s="1971"/>
    </row>
    <row r="683" spans="1:10" outlineLevel="1" x14ac:dyDescent="0.25">
      <c r="B683" s="1972" t="s">
        <v>4850</v>
      </c>
      <c r="C683" s="1962" t="s">
        <v>5029</v>
      </c>
      <c r="D683" s="1962" t="s">
        <v>4851</v>
      </c>
      <c r="E683" s="1961">
        <f>((v_1_SCO2*r_1)+(v_2_SCO2*r_2)+(v_3_SCO2*r_3)+(v_4_SCO2*r_4)+(v_5_SCO2*r_5)+(v_6_SCO2*r_6)+(v_7_SCO2*r_7))</f>
        <v>35.466683777113808</v>
      </c>
      <c r="F683" s="1961" t="s">
        <v>4799</v>
      </c>
      <c r="G683" s="1962" t="s">
        <v>4800</v>
      </c>
      <c r="H683" s="1962" t="s">
        <v>4338</v>
      </c>
      <c r="I683" s="1973"/>
    </row>
    <row r="684" spans="1:10" outlineLevel="1" x14ac:dyDescent="0.25">
      <c r="B684" s="1972" t="s">
        <v>4852</v>
      </c>
      <c r="C684" s="1962" t="s">
        <v>5030</v>
      </c>
      <c r="D684" s="1962" t="s">
        <v>4853</v>
      </c>
      <c r="E684" s="1961">
        <f>((v_30_SCO2*r_30))</f>
        <v>-13.081600457913231</v>
      </c>
      <c r="F684" s="1961" t="s">
        <v>4799</v>
      </c>
      <c r="G684" s="1962" t="s">
        <v>4800</v>
      </c>
      <c r="H684" s="1962" t="s">
        <v>4338</v>
      </c>
      <c r="I684" s="1973"/>
    </row>
    <row r="685" spans="1:10" outlineLevel="1" x14ac:dyDescent="0.25">
      <c r="B685" s="1972" t="s">
        <v>4854</v>
      </c>
      <c r="C685" s="1962" t="s">
        <v>5031</v>
      </c>
      <c r="D685" s="1962" t="s">
        <v>4855</v>
      </c>
      <c r="E685" s="1961">
        <f>((v_39_SCO2*r_39)+(v_40_SCO2*r_40)+(v_41_SCO2*r_41)+(v_42_SCO2*r_42))</f>
        <v>0</v>
      </c>
      <c r="F685" s="1961" t="s">
        <v>4799</v>
      </c>
      <c r="G685" s="1962" t="s">
        <v>4800</v>
      </c>
      <c r="H685" s="1962" t="s">
        <v>4338</v>
      </c>
      <c r="I685" s="1973"/>
    </row>
    <row r="686" spans="1:10" outlineLevel="1" x14ac:dyDescent="0.25">
      <c r="B686" s="1972" t="s">
        <v>4856</v>
      </c>
      <c r="C686" s="1962" t="s">
        <v>5032</v>
      </c>
      <c r="D686" s="1962" t="s">
        <v>4982</v>
      </c>
      <c r="E686" s="1961">
        <f>((v_51_SCO2*r_51)+(v_52_SCO2*r_52)+(v_54_SCO2*r_54)+(v_55_SCO2*r_55))</f>
        <v>1.1428363833731656</v>
      </c>
      <c r="F686" s="1961" t="s">
        <v>4799</v>
      </c>
      <c r="G686" s="1962" t="s">
        <v>4800</v>
      </c>
      <c r="H686" s="1962" t="s">
        <v>4338</v>
      </c>
      <c r="I686" s="1973"/>
    </row>
    <row r="687" spans="1:10" ht="15.75" outlineLevel="1" thickBot="1" x14ac:dyDescent="0.3">
      <c r="B687" s="1974" t="s">
        <v>4857</v>
      </c>
      <c r="C687" s="1968" t="s">
        <v>5033</v>
      </c>
      <c r="D687" s="1968" t="s">
        <v>4981</v>
      </c>
      <c r="E687" s="1975">
        <f>((v_55_SCO2*r_55)+(v_63_SCO2*r_63)+(v_72_SCO2*r_72))</f>
        <v>0.87712264888776748</v>
      </c>
      <c r="F687" s="1975" t="s">
        <v>4799</v>
      </c>
      <c r="G687" s="1968" t="s">
        <v>4800</v>
      </c>
      <c r="H687" s="1968" t="s">
        <v>4338</v>
      </c>
      <c r="I687" s="1976"/>
    </row>
    <row r="688" spans="1:10" s="1168" customFormat="1" ht="15.75" thickBot="1" x14ac:dyDescent="0.3">
      <c r="A688" s="102"/>
      <c r="B688" s="1866"/>
      <c r="C688" s="140"/>
      <c r="D688" s="1893"/>
      <c r="E688" s="1917"/>
      <c r="F688" s="1923"/>
      <c r="G688" s="146"/>
      <c r="H688" s="140"/>
      <c r="I688" s="1948"/>
      <c r="J688" s="102"/>
    </row>
    <row r="689" spans="1:10" ht="15.75" thickBot="1" x14ac:dyDescent="0.3">
      <c r="C689" s="1513" t="s">
        <v>4858</v>
      </c>
      <c r="D689" s="13" t="s">
        <v>303</v>
      </c>
      <c r="E689" s="13"/>
    </row>
    <row r="690" spans="1:10" ht="15.75" thickBot="1" x14ac:dyDescent="0.3">
      <c r="B690" s="1514" t="s">
        <v>0</v>
      </c>
      <c r="C690" s="1515" t="s">
        <v>1</v>
      </c>
      <c r="D690" s="1516" t="s">
        <v>5</v>
      </c>
      <c r="E690" s="1516" t="s">
        <v>152</v>
      </c>
      <c r="F690" s="1516" t="s">
        <v>2</v>
      </c>
      <c r="G690" s="1516" t="s">
        <v>302</v>
      </c>
      <c r="H690" s="1516" t="s">
        <v>116</v>
      </c>
      <c r="I690" s="1517" t="s">
        <v>117</v>
      </c>
    </row>
    <row r="691" spans="1:10" outlineLevel="1" x14ac:dyDescent="0.25">
      <c r="B691" s="1970" t="s">
        <v>4859</v>
      </c>
      <c r="C691" s="1955" t="s">
        <v>4860</v>
      </c>
      <c r="D691" s="1955" t="s">
        <v>4979</v>
      </c>
      <c r="E691" s="1956">
        <f>(v_83_SO2*r_83)</f>
        <v>800</v>
      </c>
      <c r="F691" s="1956" t="s">
        <v>4799</v>
      </c>
      <c r="G691" s="1957" t="s">
        <v>4800</v>
      </c>
      <c r="H691" s="1957" t="s">
        <v>4338</v>
      </c>
      <c r="I691" s="1971"/>
    </row>
    <row r="692" spans="1:10" ht="15.75" outlineLevel="1" thickBot="1" x14ac:dyDescent="0.3">
      <c r="B692" s="1974" t="s">
        <v>4861</v>
      </c>
      <c r="C692" s="1966" t="s">
        <v>4862</v>
      </c>
      <c r="D692" s="1966" t="s">
        <v>4980</v>
      </c>
      <c r="E692" s="1975">
        <f>(v_89_SO2*r_89)</f>
        <v>24</v>
      </c>
      <c r="F692" s="1975" t="s">
        <v>4799</v>
      </c>
      <c r="G692" s="1968" t="s">
        <v>4800</v>
      </c>
      <c r="H692" s="1968" t="s">
        <v>4338</v>
      </c>
      <c r="I692" s="1976"/>
    </row>
    <row r="693" spans="1:10" s="1168" customFormat="1" ht="15.75" thickBot="1" x14ac:dyDescent="0.3">
      <c r="A693" s="102"/>
      <c r="B693" s="1866"/>
      <c r="C693" s="140"/>
      <c r="D693" s="1893"/>
      <c r="E693" s="1917"/>
      <c r="F693" s="1923"/>
      <c r="G693" s="146"/>
      <c r="H693" s="140"/>
      <c r="I693" s="1948"/>
      <c r="J693" s="102"/>
    </row>
    <row r="694" spans="1:10" ht="15.75" thickBot="1" x14ac:dyDescent="0.3">
      <c r="C694" s="1513" t="s">
        <v>4863</v>
      </c>
      <c r="D694" s="13" t="s">
        <v>303</v>
      </c>
      <c r="E694" s="13"/>
    </row>
    <row r="695" spans="1:10" ht="15.75" thickBot="1" x14ac:dyDescent="0.3">
      <c r="B695" s="1514" t="s">
        <v>0</v>
      </c>
      <c r="C695" s="1515" t="s">
        <v>1</v>
      </c>
      <c r="D695" s="1516" t="s">
        <v>5</v>
      </c>
      <c r="E695" s="1516" t="s">
        <v>152</v>
      </c>
      <c r="F695" s="1516" t="s">
        <v>2</v>
      </c>
      <c r="G695" s="1516" t="s">
        <v>302</v>
      </c>
      <c r="H695" s="1516" t="s">
        <v>116</v>
      </c>
      <c r="I695" s="1517" t="s">
        <v>117</v>
      </c>
    </row>
    <row r="696" spans="1:10" ht="18" outlineLevel="1" x14ac:dyDescent="0.25">
      <c r="B696" s="1970" t="s">
        <v>4864</v>
      </c>
      <c r="C696" s="1955" t="s">
        <v>4881</v>
      </c>
      <c r="D696" s="1955" t="s">
        <v>4933</v>
      </c>
      <c r="E696" s="1956">
        <f>µ_NITO_T</f>
        <v>0.9</v>
      </c>
      <c r="F696" s="1956" t="s">
        <v>4865</v>
      </c>
      <c r="G696" s="1957">
        <v>2</v>
      </c>
      <c r="H696" s="1957" t="s">
        <v>4338</v>
      </c>
      <c r="I696" s="1971"/>
    </row>
    <row r="697" spans="1:10" ht="30" outlineLevel="1" x14ac:dyDescent="0.25">
      <c r="B697" s="1972" t="s">
        <v>4866</v>
      </c>
      <c r="C697" s="1960" t="s">
        <v>4882</v>
      </c>
      <c r="D697" s="1960" t="s">
        <v>4932</v>
      </c>
      <c r="E697" s="1961">
        <f>X_NITO</f>
        <v>90</v>
      </c>
      <c r="F697" s="1961" t="s">
        <v>4867</v>
      </c>
      <c r="G697" s="1962">
        <v>2</v>
      </c>
      <c r="H697" s="1962" t="s">
        <v>4338</v>
      </c>
      <c r="I697" s="1973"/>
    </row>
    <row r="698" spans="1:10" ht="18" outlineLevel="1" x14ac:dyDescent="0.25">
      <c r="B698" s="1972" t="s">
        <v>4868</v>
      </c>
      <c r="C698" s="1960" t="s">
        <v>4883</v>
      </c>
      <c r="D698" s="1960" t="s">
        <v>4924</v>
      </c>
      <c r="E698" s="1961">
        <f>M_satSNHx_KNHx_NITO</f>
        <v>0.58823529411764708</v>
      </c>
      <c r="F698" s="1964" t="s">
        <v>278</v>
      </c>
      <c r="G698" s="1962">
        <v>2</v>
      </c>
      <c r="H698" s="1962" t="s">
        <v>4338</v>
      </c>
      <c r="I698" s="1973"/>
    </row>
    <row r="699" spans="1:10" ht="18" outlineLevel="1" x14ac:dyDescent="0.25">
      <c r="B699" s="1972" t="s">
        <v>4869</v>
      </c>
      <c r="C699" s="1960" t="s">
        <v>4884</v>
      </c>
      <c r="D699" s="1960" t="s">
        <v>4925</v>
      </c>
      <c r="E699" s="1961">
        <f>L_ogsatpHCO2_NITO</f>
        <v>0.99999999997903732</v>
      </c>
      <c r="F699" s="1964" t="s">
        <v>278</v>
      </c>
      <c r="G699" s="1962">
        <v>2</v>
      </c>
      <c r="H699" s="1962" t="s">
        <v>4338</v>
      </c>
      <c r="I699" s="1973"/>
    </row>
    <row r="700" spans="1:10" ht="18" outlineLevel="1" x14ac:dyDescent="0.25">
      <c r="B700" s="1972" t="s">
        <v>4870</v>
      </c>
      <c r="C700" s="1960" t="s">
        <v>4885</v>
      </c>
      <c r="D700" s="1960" t="s">
        <v>4926</v>
      </c>
      <c r="E700" s="1961">
        <f>M_satSO2_KO2_NITO</f>
        <v>0.8</v>
      </c>
      <c r="F700" s="1964" t="s">
        <v>278</v>
      </c>
      <c r="G700" s="1962">
        <v>2</v>
      </c>
      <c r="H700" s="1962" t="s">
        <v>4338</v>
      </c>
      <c r="I700" s="1973"/>
    </row>
    <row r="701" spans="1:10" ht="18" outlineLevel="1" x14ac:dyDescent="0.25">
      <c r="B701" s="1972" t="s">
        <v>4871</v>
      </c>
      <c r="C701" s="1960" t="s">
        <v>4886</v>
      </c>
      <c r="D701" s="1960" t="s">
        <v>4927</v>
      </c>
      <c r="E701" s="1961">
        <f>M_satSPO4_KPO4_BIO</f>
        <v>0.99601593625498008</v>
      </c>
      <c r="F701" s="1964" t="s">
        <v>278</v>
      </c>
      <c r="G701" s="1962">
        <v>2</v>
      </c>
      <c r="H701" s="1962" t="s">
        <v>4338</v>
      </c>
      <c r="I701" s="1973"/>
    </row>
    <row r="702" spans="1:10" ht="18" outlineLevel="1" x14ac:dyDescent="0.25">
      <c r="B702" s="1972" t="s">
        <v>4872</v>
      </c>
      <c r="C702" s="1960" t="s">
        <v>4887</v>
      </c>
      <c r="D702" s="1960" t="s">
        <v>4928</v>
      </c>
      <c r="E702" s="1961">
        <f>M_satSCAT_KCAT</f>
        <v>0.99715099715099709</v>
      </c>
      <c r="F702" s="1964" t="s">
        <v>278</v>
      </c>
      <c r="G702" s="1962">
        <v>2</v>
      </c>
      <c r="H702" s="1962" t="s">
        <v>4338</v>
      </c>
      <c r="I702" s="1973"/>
    </row>
    <row r="703" spans="1:10" ht="18" outlineLevel="1" x14ac:dyDescent="0.25">
      <c r="B703" s="1972" t="s">
        <v>4873</v>
      </c>
      <c r="C703" s="1960" t="s">
        <v>4888</v>
      </c>
      <c r="D703" s="1960" t="s">
        <v>4929</v>
      </c>
      <c r="E703" s="1961">
        <f>M_satSAN_KAN</f>
        <v>0.99933377748167895</v>
      </c>
      <c r="F703" s="1964" t="s">
        <v>278</v>
      </c>
      <c r="G703" s="1962">
        <v>2</v>
      </c>
      <c r="H703" s="1962" t="s">
        <v>4338</v>
      </c>
      <c r="I703" s="1973"/>
    </row>
    <row r="704" spans="1:10" ht="18" outlineLevel="1" x14ac:dyDescent="0.25">
      <c r="B704" s="1972" t="s">
        <v>4874</v>
      </c>
      <c r="C704" s="1960" t="s">
        <v>4889</v>
      </c>
      <c r="D704" s="1960" t="s">
        <v>4930</v>
      </c>
      <c r="E704" s="1961">
        <f>M_satSCa_KCa</f>
        <v>0.99999933333377777</v>
      </c>
      <c r="F704" s="1964" t="s">
        <v>278</v>
      </c>
      <c r="G704" s="1962">
        <v>2</v>
      </c>
      <c r="H704" s="1962" t="s">
        <v>4338</v>
      </c>
      <c r="I704" s="1973"/>
    </row>
    <row r="705" spans="2:9" ht="18" outlineLevel="1" x14ac:dyDescent="0.25">
      <c r="B705" s="1972" t="s">
        <v>4875</v>
      </c>
      <c r="C705" s="1960" t="s">
        <v>4890</v>
      </c>
      <c r="D705" s="1960" t="s">
        <v>4931</v>
      </c>
      <c r="E705" s="1961">
        <f>M_satSMg_KMg</f>
        <v>0.99999333337777752</v>
      </c>
      <c r="F705" s="1964" t="s">
        <v>278</v>
      </c>
      <c r="G705" s="1962">
        <v>2</v>
      </c>
      <c r="H705" s="1962" t="s">
        <v>4338</v>
      </c>
      <c r="I705" s="1973"/>
    </row>
    <row r="706" spans="2:9" outlineLevel="1" x14ac:dyDescent="0.25">
      <c r="B706" s="1972" t="s">
        <v>4876</v>
      </c>
      <c r="C706" s="1960" t="s">
        <v>4891</v>
      </c>
      <c r="D706" s="1960">
        <v>-1</v>
      </c>
      <c r="E706" s="1961">
        <f>-1</f>
        <v>-1</v>
      </c>
      <c r="F706" s="1964" t="s">
        <v>1994</v>
      </c>
      <c r="G706" s="1962">
        <v>2</v>
      </c>
      <c r="H706" s="1962" t="s">
        <v>4338</v>
      </c>
      <c r="I706" s="1973"/>
    </row>
    <row r="707" spans="2:9" outlineLevel="1" x14ac:dyDescent="0.25">
      <c r="B707" s="1972" t="s">
        <v>4877</v>
      </c>
      <c r="C707" s="1960" t="s">
        <v>4892</v>
      </c>
      <c r="D707" s="1960">
        <v>-1</v>
      </c>
      <c r="E707" s="1961">
        <f>-1</f>
        <v>-1</v>
      </c>
      <c r="F707" s="1964" t="s">
        <v>1994</v>
      </c>
      <c r="G707" s="1962">
        <v>2</v>
      </c>
      <c r="H707" s="1962" t="s">
        <v>4338</v>
      </c>
      <c r="I707" s="1973"/>
    </row>
    <row r="708" spans="2:9" ht="30" outlineLevel="1" x14ac:dyDescent="0.25">
      <c r="B708" s="1972" t="s">
        <v>4878</v>
      </c>
      <c r="C708" s="1960" t="s">
        <v>4893</v>
      </c>
      <c r="D708" s="1960" t="s">
        <v>4923</v>
      </c>
      <c r="E708" s="1961">
        <f>M_inhpHNH3_NITO</f>
        <v>0.99999999995542743</v>
      </c>
      <c r="F708" s="1964" t="s">
        <v>278</v>
      </c>
      <c r="G708" s="1962">
        <v>2</v>
      </c>
      <c r="H708" s="1962" t="s">
        <v>4338</v>
      </c>
      <c r="I708" s="1973"/>
    </row>
    <row r="709" spans="2:9" ht="18" outlineLevel="1" x14ac:dyDescent="0.25">
      <c r="B709" s="1972" t="s">
        <v>4879</v>
      </c>
      <c r="C709" s="1960" t="s">
        <v>4894</v>
      </c>
      <c r="D709" s="1960" t="s">
        <v>4922</v>
      </c>
      <c r="E709" s="1961">
        <f>B_ellinhpH_NITO</f>
        <v>0.98233028995495941</v>
      </c>
      <c r="F709" s="1964" t="s">
        <v>278</v>
      </c>
      <c r="G709" s="1962">
        <v>2</v>
      </c>
      <c r="H709" s="1962" t="s">
        <v>4338</v>
      </c>
      <c r="I709" s="1973"/>
    </row>
    <row r="710" spans="2:9" ht="15.75" outlineLevel="1" thickBot="1" x14ac:dyDescent="0.3">
      <c r="B710" s="1974" t="s">
        <v>4880</v>
      </c>
      <c r="C710" s="1966" t="s">
        <v>4895</v>
      </c>
      <c r="D710" s="1966">
        <v>-1</v>
      </c>
      <c r="E710" s="1975">
        <f>-1</f>
        <v>-1</v>
      </c>
      <c r="F710" s="1967" t="s">
        <v>1994</v>
      </c>
      <c r="G710" s="1968">
        <v>2</v>
      </c>
      <c r="H710" s="1968" t="s">
        <v>4338</v>
      </c>
      <c r="I710" s="1976"/>
    </row>
    <row r="711" spans="2:9" ht="15.75" thickBot="1" x14ac:dyDescent="0.3">
      <c r="H711" s="1953"/>
    </row>
    <row r="712" spans="2:9" ht="15.75" thickBot="1" x14ac:dyDescent="0.3">
      <c r="C712" s="1513" t="s">
        <v>4896</v>
      </c>
      <c r="D712" s="13" t="s">
        <v>303</v>
      </c>
      <c r="E712" s="13"/>
    </row>
    <row r="713" spans="2:9" ht="15.75" thickBot="1" x14ac:dyDescent="0.3">
      <c r="B713" s="1514" t="s">
        <v>0</v>
      </c>
      <c r="C713" s="1515" t="s">
        <v>1</v>
      </c>
      <c r="D713" s="1516" t="s">
        <v>5</v>
      </c>
      <c r="E713" s="1516" t="s">
        <v>152</v>
      </c>
      <c r="F713" s="1516" t="s">
        <v>2</v>
      </c>
      <c r="G713" s="1516" t="s">
        <v>302</v>
      </c>
      <c r="H713" s="1516" t="s">
        <v>116</v>
      </c>
      <c r="I713" s="1517" t="s">
        <v>117</v>
      </c>
    </row>
    <row r="714" spans="2:9" ht="18" x14ac:dyDescent="0.25">
      <c r="B714" s="1954" t="s">
        <v>4897</v>
      </c>
      <c r="C714" s="1955" t="s">
        <v>4898</v>
      </c>
      <c r="D714" s="1955" t="s">
        <v>4916</v>
      </c>
      <c r="E714" s="1955">
        <f>µ_ALGAE_T</f>
        <v>2</v>
      </c>
      <c r="F714" s="1956" t="s">
        <v>4865</v>
      </c>
      <c r="G714" s="1957">
        <v>2</v>
      </c>
      <c r="H714" s="1957" t="s">
        <v>4338</v>
      </c>
      <c r="I714" s="1958"/>
    </row>
    <row r="715" spans="2:9" ht="18" x14ac:dyDescent="0.25">
      <c r="B715" s="1959" t="s">
        <v>4899</v>
      </c>
      <c r="C715" s="1960" t="s">
        <v>4900</v>
      </c>
      <c r="D715" s="1960" t="s">
        <v>4917</v>
      </c>
      <c r="E715" s="1960">
        <f>X_ALGAE</f>
        <v>0</v>
      </c>
      <c r="F715" s="1961" t="s">
        <v>4867</v>
      </c>
      <c r="G715" s="1962">
        <v>2</v>
      </c>
      <c r="H715" s="1962" t="s">
        <v>4338</v>
      </c>
      <c r="I715" s="1963"/>
    </row>
    <row r="716" spans="2:9" ht="30" x14ac:dyDescent="0.25">
      <c r="B716" s="1959" t="s">
        <v>4901</v>
      </c>
      <c r="C716" s="1960" t="s">
        <v>4902</v>
      </c>
      <c r="D716" s="1960" t="s">
        <v>4918</v>
      </c>
      <c r="E716" s="1960">
        <f>M_satSCO2_KCO2_ALGAE</f>
        <v>0.88095238095238093</v>
      </c>
      <c r="F716" s="1964" t="s">
        <v>278</v>
      </c>
      <c r="G716" s="1962">
        <v>2</v>
      </c>
      <c r="H716" s="1962" t="s">
        <v>4338</v>
      </c>
      <c r="I716" s="1963"/>
    </row>
    <row r="717" spans="2:9" x14ac:dyDescent="0.25">
      <c r="B717" s="1959" t="s">
        <v>4903</v>
      </c>
      <c r="C717" s="1960" t="s">
        <v>4904</v>
      </c>
      <c r="D717" s="1960" t="s">
        <v>4353</v>
      </c>
      <c r="E717" s="1960">
        <f>L_ightSwitch</f>
        <v>2.4877383013907058E-65</v>
      </c>
      <c r="F717" s="1964" t="s">
        <v>278</v>
      </c>
      <c r="G717" s="1962">
        <v>2</v>
      </c>
      <c r="H717" s="1962" t="s">
        <v>4338</v>
      </c>
      <c r="I717" s="1963"/>
    </row>
    <row r="718" spans="2:9" ht="30" x14ac:dyDescent="0.25">
      <c r="B718" s="1959" t="s">
        <v>4905</v>
      </c>
      <c r="C718" s="1960" t="s">
        <v>4906</v>
      </c>
      <c r="D718" s="1960" t="s">
        <v>4919</v>
      </c>
      <c r="E718" s="1960">
        <f>M_satSNOx_KNOx_ALGAE</f>
        <v>0.90909090909090906</v>
      </c>
      <c r="F718" s="1964" t="s">
        <v>278</v>
      </c>
      <c r="G718" s="1962">
        <v>2</v>
      </c>
      <c r="H718" s="1962" t="s">
        <v>4338</v>
      </c>
      <c r="I718" s="1963"/>
    </row>
    <row r="719" spans="2:9" ht="30" x14ac:dyDescent="0.25">
      <c r="B719" s="1959" t="s">
        <v>4907</v>
      </c>
      <c r="C719" s="1960" t="s">
        <v>4908</v>
      </c>
      <c r="D719" s="1960" t="s">
        <v>4920</v>
      </c>
      <c r="E719" s="1960">
        <f>M_inhSNHx_KiNHx_ALGAE</f>
        <v>0.33333333333333331</v>
      </c>
      <c r="F719" s="1964" t="s">
        <v>278</v>
      </c>
      <c r="G719" s="1962">
        <v>2</v>
      </c>
      <c r="H719" s="1962" t="s">
        <v>4338</v>
      </c>
      <c r="I719" s="1963"/>
    </row>
    <row r="720" spans="2:9" ht="30.75" thickBot="1" x14ac:dyDescent="0.3">
      <c r="B720" s="1965" t="s">
        <v>4909</v>
      </c>
      <c r="C720" s="1966" t="s">
        <v>4883</v>
      </c>
      <c r="D720" s="1966" t="s">
        <v>4921</v>
      </c>
      <c r="E720" s="1966">
        <f>M_satSNHx_KNHx_ALGAE</f>
        <v>0.58823529411764708</v>
      </c>
      <c r="F720" s="1967" t="s">
        <v>278</v>
      </c>
      <c r="G720" s="1968">
        <v>2</v>
      </c>
      <c r="H720" s="1968" t="s">
        <v>4338</v>
      </c>
      <c r="I720" s="1969"/>
    </row>
  </sheetData>
  <sortState xmlns:xlrd2="http://schemas.microsoft.com/office/spreadsheetml/2017/richdata2" ref="B299:I306">
    <sortCondition ref="B299"/>
  </sortState>
  <phoneticPr fontId="29" type="noConversion"/>
  <conditionalFormatting sqref="L493">
    <cfRule type="cellIs" dxfId="128" priority="43" stopIfTrue="1" operator="notEqual">
      <formula>INDIRECT("Dummy_for_Comparison5!"&amp;ADDRESS(ROW(),COLUMN()))</formula>
    </cfRule>
  </conditionalFormatting>
  <conditionalFormatting sqref="E492:F492 B492 H492">
    <cfRule type="cellIs" dxfId="127" priority="42" stopIfTrue="1" operator="notEqual">
      <formula>INDIRECT("Dummy_for_Comparison5!"&amp;ADDRESS(ROW(),COLUMN()))</formula>
    </cfRule>
  </conditionalFormatting>
  <conditionalFormatting sqref="D517">
    <cfRule type="cellIs" dxfId="126" priority="41" stopIfTrue="1" operator="notEqual">
      <formula>INDIRECT("Dummy_for_Comparison5!"&amp;ADDRESS(ROW(),COLUMN()))</formula>
    </cfRule>
  </conditionalFormatting>
  <conditionalFormatting sqref="H493">
    <cfRule type="cellIs" dxfId="125" priority="40" stopIfTrue="1" operator="notEqual">
      <formula>INDIRECT("Dummy_for_Comparison5!"&amp;ADDRESS(ROW(),COLUMN()))</formula>
    </cfRule>
  </conditionalFormatting>
  <conditionalFormatting sqref="H516:H517">
    <cfRule type="cellIs" dxfId="124" priority="39" stopIfTrue="1" operator="notEqual">
      <formula>INDIRECT("Dummy_for_Comparison5!"&amp;ADDRESS(ROW(),COLUMN()))</formula>
    </cfRule>
  </conditionalFormatting>
  <conditionalFormatting sqref="E491:H491 B491">
    <cfRule type="cellIs" dxfId="123" priority="38" stopIfTrue="1" operator="notEqual">
      <formula>INDIRECT("Dummy_for_Comparison5!"&amp;ADDRESS(ROW(),COLUMN()))</formula>
    </cfRule>
  </conditionalFormatting>
  <conditionalFormatting sqref="E498:F498 B498 H498">
    <cfRule type="cellIs" dxfId="122" priority="37" stopIfTrue="1" operator="notEqual">
      <formula>INDIRECT("Dummy_for_Comparison5!"&amp;ADDRESS(ROW(),COLUMN()))</formula>
    </cfRule>
  </conditionalFormatting>
  <conditionalFormatting sqref="J498">
    <cfRule type="cellIs" dxfId="121" priority="36" stopIfTrue="1" operator="notEqual">
      <formula>INDIRECT("Dummy_for_Comparison5!"&amp;ADDRESS(ROW(),COLUMN()))</formula>
    </cfRule>
  </conditionalFormatting>
  <conditionalFormatting sqref="E497:H497 B497">
    <cfRule type="cellIs" dxfId="120" priority="35" stopIfTrue="1" operator="notEqual">
      <formula>INDIRECT("Dummy_for_Comparison5!"&amp;ADDRESS(ROW(),COLUMN()))</formula>
    </cfRule>
  </conditionalFormatting>
  <conditionalFormatting sqref="D518">
    <cfRule type="cellIs" dxfId="119" priority="32" stopIfTrue="1" operator="notEqual">
      <formula>INDIRECT("Dummy_for_Comparison5!"&amp;ADDRESS(ROW(),COLUMN()))</formula>
    </cfRule>
  </conditionalFormatting>
  <conditionalFormatting sqref="J492">
    <cfRule type="cellIs" dxfId="118" priority="34" stopIfTrue="1" operator="notEqual">
      <formula>INDIRECT("Dummy_for_Comparison5!"&amp;ADDRESS(ROW(),COLUMN()))</formula>
    </cfRule>
  </conditionalFormatting>
  <conditionalFormatting sqref="J493">
    <cfRule type="cellIs" dxfId="117" priority="33" stopIfTrue="1" operator="notEqual">
      <formula>INDIRECT("Dummy_for_Comparison5!"&amp;ADDRESS(ROW(),COLUMN()))</formula>
    </cfRule>
  </conditionalFormatting>
  <conditionalFormatting sqref="H518">
    <cfRule type="cellIs" dxfId="116" priority="31" stopIfTrue="1" operator="notEqual">
      <formula>INDIRECT("Dummy_for_Comparison5!"&amp;ADDRESS(ROW(),COLUMN()))</formula>
    </cfRule>
  </conditionalFormatting>
  <conditionalFormatting sqref="B511 E511:H511">
    <cfRule type="cellIs" dxfId="115" priority="30" stopIfTrue="1" operator="notEqual">
      <formula>INDIRECT("Dummy_for_Comparison5!"&amp;ADDRESS(ROW(),COLUMN()))</formula>
    </cfRule>
  </conditionalFormatting>
  <conditionalFormatting sqref="H512">
    <cfRule type="cellIs" dxfId="114" priority="28" stopIfTrue="1" operator="notEqual">
      <formula>INDIRECT("Dummy_for_Comparison5!"&amp;ADDRESS(ROW(),COLUMN()))</formula>
    </cfRule>
  </conditionalFormatting>
  <conditionalFormatting sqref="L512">
    <cfRule type="cellIs" dxfId="113" priority="29" stopIfTrue="1" operator="notEqual">
      <formula>INDIRECT("Dummy_for_Comparison5!"&amp;ADDRESS(ROW(),COLUMN()))</formula>
    </cfRule>
  </conditionalFormatting>
  <conditionalFormatting sqref="B509:B510 E509:E510">
    <cfRule type="cellIs" dxfId="112" priority="27" stopIfTrue="1" operator="notEqual">
      <formula>INDIRECT("Dummy_for_Comparison5!"&amp;ADDRESS(ROW(),COLUMN()))</formula>
    </cfRule>
  </conditionalFormatting>
  <conditionalFormatting sqref="F509:H509">
    <cfRule type="cellIs" dxfId="111" priority="26" stopIfTrue="1" operator="notEqual">
      <formula>INDIRECT("Dummy_for_Comparison5!"&amp;ADDRESS(ROW(),COLUMN()))</formula>
    </cfRule>
  </conditionalFormatting>
  <conditionalFormatting sqref="H510">
    <cfRule type="cellIs" dxfId="110" priority="25" stopIfTrue="1" operator="notEqual">
      <formula>INDIRECT("Dummy_for_Comparison5!"&amp;ADDRESS(ROW(),COLUMN()))</formula>
    </cfRule>
  </conditionalFormatting>
  <conditionalFormatting sqref="B504 E504:H504">
    <cfRule type="cellIs" dxfId="109" priority="24" stopIfTrue="1" operator="notEqual">
      <formula>INDIRECT("Dummy_for_Comparison5!"&amp;ADDRESS(ROW(),COLUMN()))</formula>
    </cfRule>
  </conditionalFormatting>
  <conditionalFormatting sqref="H505">
    <cfRule type="cellIs" dxfId="108" priority="22" stopIfTrue="1" operator="notEqual">
      <formula>INDIRECT("Dummy_for_Comparison5!"&amp;ADDRESS(ROW(),COLUMN()))</formula>
    </cfRule>
  </conditionalFormatting>
  <conditionalFormatting sqref="L505">
    <cfRule type="cellIs" dxfId="107" priority="23" stopIfTrue="1" operator="notEqual">
      <formula>INDIRECT("Dummy_for_Comparison5!"&amp;ADDRESS(ROW(),COLUMN()))</formula>
    </cfRule>
  </conditionalFormatting>
  <conditionalFormatting sqref="B502:B503 E502:E503">
    <cfRule type="cellIs" dxfId="106" priority="21" stopIfTrue="1" operator="notEqual">
      <formula>INDIRECT("Dummy_for_Comparison5!"&amp;ADDRESS(ROW(),COLUMN()))</formula>
    </cfRule>
  </conditionalFormatting>
  <conditionalFormatting sqref="F502:H502">
    <cfRule type="cellIs" dxfId="105" priority="20" stopIfTrue="1" operator="notEqual">
      <formula>INDIRECT("Dummy_for_Comparison5!"&amp;ADDRESS(ROW(),COLUMN()))</formula>
    </cfRule>
  </conditionalFormatting>
  <conditionalFormatting sqref="H503">
    <cfRule type="cellIs" dxfId="104" priority="19" stopIfTrue="1" operator="notEqual">
      <formula>INDIRECT("Dummy_for_Comparison5!"&amp;ADDRESS(ROW(),COLUMN()))</formula>
    </cfRule>
  </conditionalFormatting>
  <conditionalFormatting sqref="I516">
    <cfRule type="cellIs" dxfId="103" priority="18" stopIfTrue="1" operator="notEqual">
      <formula>INDIRECT("Dummy_for_Comparison5!"&amp;ADDRESS(ROW(),COLUMN()))</formula>
    </cfRule>
  </conditionalFormatting>
  <conditionalFormatting sqref="D516">
    <cfRule type="cellIs" dxfId="102" priority="17" stopIfTrue="1" operator="notEqual">
      <formula>INDIRECT("Dummy_for_Comparison5!"&amp;ADDRESS(ROW(),COLUMN()))</formula>
    </cfRule>
  </conditionalFormatting>
  <conditionalFormatting sqref="D487 B486:B487 J487:K487">
    <cfRule type="cellIs" dxfId="101" priority="15" stopIfTrue="1" operator="notEqual">
      <formula>INDIRECT("Dummy_for_Comparison5!"&amp;ADDRESS(ROW(),COLUMN()))</formula>
    </cfRule>
  </conditionalFormatting>
  <conditionalFormatting sqref="D486 H486 F487:H487">
    <cfRule type="cellIs" dxfId="100" priority="16" stopIfTrue="1" operator="notEqual">
      <formula>INDIRECT("Dummy_for_Comparison5!"&amp;ADDRESS(ROW(),COLUMN()))</formula>
    </cfRule>
  </conditionalFormatting>
  <conditionalFormatting sqref="F486:G486">
    <cfRule type="cellIs" dxfId="99" priority="14" stopIfTrue="1" operator="notEqual">
      <formula>INDIRECT("Dummy_for_Comparison5!"&amp;ADDRESS(ROW(),COLUMN()))</formula>
    </cfRule>
  </conditionalFormatting>
  <conditionalFormatting sqref="D475 B474:B475 I474:I475">
    <cfRule type="cellIs" dxfId="98" priority="12" stopIfTrue="1" operator="notEqual">
      <formula>INDIRECT("Dummy_for_Comparison5!"&amp;ADDRESS(ROW(),COLUMN()))</formula>
    </cfRule>
  </conditionalFormatting>
  <conditionalFormatting sqref="D474 H474 F475:H475">
    <cfRule type="cellIs" dxfId="97" priority="13" stopIfTrue="1" operator="notEqual">
      <formula>INDIRECT("Dummy_for_Comparison5!"&amp;ADDRESS(ROW(),COLUMN()))</formula>
    </cfRule>
  </conditionalFormatting>
  <conditionalFormatting sqref="F474:G474">
    <cfRule type="cellIs" dxfId="96" priority="11" stopIfTrue="1" operator="notEqual">
      <formula>INDIRECT("Dummy_for_Comparison5!"&amp;ADDRESS(ROW(),COLUMN()))</formula>
    </cfRule>
  </conditionalFormatting>
  <conditionalFormatting sqref="D481 B480:B481 I480:I481">
    <cfRule type="cellIs" dxfId="95" priority="9" stopIfTrue="1" operator="notEqual">
      <formula>INDIRECT("Dummy_for_Comparison5!"&amp;ADDRESS(ROW(),COLUMN()))</formula>
    </cfRule>
  </conditionalFormatting>
  <conditionalFormatting sqref="D480 H480 F481:H481">
    <cfRule type="cellIs" dxfId="94" priority="10" stopIfTrue="1" operator="notEqual">
      <formula>INDIRECT("Dummy_for_Comparison5!"&amp;ADDRESS(ROW(),COLUMN()))</formula>
    </cfRule>
  </conditionalFormatting>
  <conditionalFormatting sqref="F480:G480">
    <cfRule type="cellIs" dxfId="93" priority="8" stopIfTrue="1" operator="notEqual">
      <formula>INDIRECT("Dummy_for_Comparison5!"&amp;ADDRESS(ROW(),COLUMN()))</formula>
    </cfRule>
  </conditionalFormatting>
  <conditionalFormatting sqref="D482 B482 I482">
    <cfRule type="cellIs" dxfId="92" priority="6" stopIfTrue="1" operator="notEqual">
      <formula>INDIRECT("Dummy_for_Comparison5!"&amp;ADDRESS(ROW(),COLUMN()))</formula>
    </cfRule>
  </conditionalFormatting>
  <conditionalFormatting sqref="F482:H482">
    <cfRule type="cellIs" dxfId="91" priority="7" stopIfTrue="1" operator="notEqual">
      <formula>INDIRECT("Dummy_for_Comparison5!"&amp;ADDRESS(ROW(),COLUMN()))</formula>
    </cfRule>
  </conditionalFormatting>
  <conditionalFormatting sqref="D476 B476 I476">
    <cfRule type="cellIs" dxfId="90" priority="4" stopIfTrue="1" operator="notEqual">
      <formula>INDIRECT("Dummy_for_Comparison5!"&amp;ADDRESS(ROW(),COLUMN()))</formula>
    </cfRule>
  </conditionalFormatting>
  <conditionalFormatting sqref="F476:H476">
    <cfRule type="cellIs" dxfId="89" priority="5" stopIfTrue="1" operator="notEqual">
      <formula>INDIRECT("Dummy_for_Comparison5!"&amp;ADDRESS(ROW(),COLUMN()))</formula>
    </cfRule>
  </conditionalFormatting>
  <conditionalFormatting sqref="J497">
    <cfRule type="cellIs" dxfId="88" priority="3" stopIfTrue="1" operator="notEqual">
      <formula>INDIRECT("Dummy_for_Comparison5!"&amp;ADDRESS(ROW(),COLUMN()))</formula>
    </cfRule>
  </conditionalFormatting>
  <conditionalFormatting sqref="J491">
    <cfRule type="cellIs" dxfId="87" priority="2" stopIfTrue="1" operator="notEqual">
      <formula>INDIRECT("Dummy_for_Comparison5!"&amp;ADDRESS(ROW(),COLUMN()))</formula>
    </cfRule>
  </conditionalFormatting>
  <conditionalFormatting sqref="J486">
    <cfRule type="cellIs" dxfId="86" priority="1" stopIfTrue="1" operator="notEqual">
      <formula>INDIRECT("Dummy_for_Comparison5!"&amp;ADDRESS(ROW(),COLUMN()))</formula>
    </cfRule>
  </conditionalFormatting>
  <pageMargins left="0.7" right="0.7" top="0.75" bottom="0.75" header="0.3" footer="0.3"/>
  <pageSetup orientation="portrait" r:id="rId1"/>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Munka8"/>
  <dimension ref="B1:F8"/>
  <sheetViews>
    <sheetView showGridLines="0" workbookViewId="0">
      <selection activeCell="B4" sqref="B4:D8"/>
    </sheetView>
  </sheetViews>
  <sheetFormatPr baseColWidth="10" defaultColWidth="9.140625" defaultRowHeight="15" x14ac:dyDescent="0.25"/>
  <cols>
    <col min="2" max="2" width="24.28515625" customWidth="1"/>
    <col min="3" max="3" width="23.28515625" customWidth="1"/>
    <col min="4" max="4" width="22.140625" customWidth="1"/>
  </cols>
  <sheetData>
    <row r="1" spans="2:6" s="46" customFormat="1" ht="58.5" customHeight="1" thickBot="1" x14ac:dyDescent="0.3"/>
    <row r="2" spans="2:6" ht="15.75" thickBot="1" x14ac:dyDescent="0.3">
      <c r="C2" s="59" t="s">
        <v>133</v>
      </c>
      <c r="D2" s="1"/>
    </row>
    <row r="3" spans="2:6" ht="20.25" customHeight="1" x14ac:dyDescent="0.25">
      <c r="B3" s="50" t="s">
        <v>0</v>
      </c>
      <c r="C3" s="50" t="s">
        <v>1</v>
      </c>
      <c r="D3" s="71" t="s">
        <v>5</v>
      </c>
      <c r="E3" s="71" t="s">
        <v>116</v>
      </c>
      <c r="F3" s="66" t="s">
        <v>2</v>
      </c>
    </row>
    <row r="4" spans="2:6" x14ac:dyDescent="0.25">
      <c r="B4" s="72"/>
      <c r="C4" s="69"/>
      <c r="D4" s="70"/>
      <c r="E4" s="5"/>
      <c r="F4" s="5"/>
    </row>
    <row r="5" spans="2:6" x14ac:dyDescent="0.25">
      <c r="B5" s="72"/>
      <c r="C5" s="69"/>
      <c r="D5" s="69"/>
      <c r="E5" s="5"/>
      <c r="F5" s="5"/>
    </row>
    <row r="6" spans="2:6" x14ac:dyDescent="0.25">
      <c r="B6" s="72"/>
      <c r="C6" s="69"/>
      <c r="D6" s="69"/>
      <c r="E6" s="69"/>
      <c r="F6" s="69"/>
    </row>
    <row r="7" spans="2:6" x14ac:dyDescent="0.25">
      <c r="B7" s="72"/>
      <c r="C7" s="69"/>
      <c r="D7" s="69"/>
      <c r="E7" s="69"/>
      <c r="F7" s="69"/>
    </row>
    <row r="8" spans="2:6" x14ac:dyDescent="0.25">
      <c r="B8" s="72"/>
      <c r="C8" s="69"/>
      <c r="D8" s="69"/>
      <c r="E8" s="69"/>
      <c r="F8" s="69"/>
    </row>
  </sheetData>
  <phoneticPr fontId="29" type="noConversion"/>
  <pageMargins left="0.7" right="0.7" top="0.75" bottom="0.75" header="0.3" footer="0.3"/>
  <pageSetup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Munka10"/>
  <dimension ref="B1:G4"/>
  <sheetViews>
    <sheetView showGridLines="0" zoomScale="110" zoomScaleNormal="110" workbookViewId="0">
      <selection activeCell="C10" sqref="C10"/>
    </sheetView>
  </sheetViews>
  <sheetFormatPr baseColWidth="10" defaultColWidth="9.140625" defaultRowHeight="15" x14ac:dyDescent="0.25"/>
  <cols>
    <col min="1" max="1" width="3.140625" customWidth="1"/>
    <col min="2" max="2" width="10.28515625" customWidth="1"/>
    <col min="3" max="3" width="26.28515625" customWidth="1"/>
    <col min="4" max="4" width="30" customWidth="1"/>
    <col min="5" max="5" width="12.28515625" customWidth="1"/>
    <col min="6" max="6" width="9.85546875" customWidth="1"/>
    <col min="7" max="7" width="20.85546875" customWidth="1"/>
  </cols>
  <sheetData>
    <row r="1" spans="2:7" s="46" customFormat="1" ht="44.25" customHeight="1" thickBot="1" x14ac:dyDescent="0.3"/>
    <row r="2" spans="2:7" ht="16.5" customHeight="1" thickBot="1" x14ac:dyDescent="0.3">
      <c r="B2" s="4"/>
      <c r="C2" s="59"/>
      <c r="D2" s="58"/>
      <c r="E2" s="4"/>
      <c r="F2" s="4"/>
      <c r="G2" s="4"/>
    </row>
    <row r="3" spans="2:7" ht="13.5" customHeight="1" thickBot="1" x14ac:dyDescent="0.3">
      <c r="B3" s="60"/>
      <c r="C3" s="61" t="s">
        <v>1</v>
      </c>
      <c r="D3" s="61" t="s">
        <v>5</v>
      </c>
      <c r="E3" s="63" t="s">
        <v>2</v>
      </c>
      <c r="F3" s="64" t="s">
        <v>116</v>
      </c>
      <c r="G3" s="62" t="s">
        <v>117</v>
      </c>
    </row>
    <row r="4" spans="2:7" ht="20.25" customHeight="1" x14ac:dyDescent="0.25">
      <c r="B4" s="41"/>
      <c r="C4" s="41"/>
      <c r="D4" s="40"/>
      <c r="E4" s="42"/>
      <c r="F4" s="43"/>
      <c r="G4" s="43"/>
    </row>
  </sheetData>
  <phoneticPr fontId="29"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Munka12"/>
  <dimension ref="A1:BU18"/>
  <sheetViews>
    <sheetView workbookViewId="0">
      <selection activeCell="B10" sqref="B10:G18"/>
    </sheetView>
  </sheetViews>
  <sheetFormatPr baseColWidth="10" defaultColWidth="9.140625" defaultRowHeight="15" x14ac:dyDescent="0.25"/>
  <cols>
    <col min="1" max="1" width="9.140625" style="9"/>
    <col min="2" max="7" width="16.28515625" style="9" customWidth="1"/>
    <col min="8" max="73" width="9.140625" style="9"/>
  </cols>
  <sheetData>
    <row r="1" spans="2:7" ht="15.75" thickBot="1" x14ac:dyDescent="0.3"/>
    <row r="2" spans="2:7" x14ac:dyDescent="0.25">
      <c r="B2" s="10"/>
      <c r="C2" s="11"/>
      <c r="D2" s="11"/>
      <c r="E2" s="11"/>
      <c r="F2" s="11"/>
      <c r="G2" s="12"/>
    </row>
    <row r="3" spans="2:7" x14ac:dyDescent="0.25">
      <c r="B3" s="2046" t="s">
        <v>109</v>
      </c>
      <c r="C3" s="2047"/>
      <c r="D3" s="2047"/>
      <c r="E3" s="2047"/>
      <c r="F3" s="2047"/>
      <c r="G3" s="2048"/>
    </row>
    <row r="4" spans="2:7" x14ac:dyDescent="0.25">
      <c r="B4" s="2046"/>
      <c r="C4" s="2047"/>
      <c r="D4" s="2047"/>
      <c r="E4" s="2047"/>
      <c r="F4" s="2047"/>
      <c r="G4" s="2048"/>
    </row>
    <row r="5" spans="2:7" x14ac:dyDescent="0.25">
      <c r="B5" s="2046"/>
      <c r="C5" s="2047"/>
      <c r="D5" s="2047"/>
      <c r="E5" s="2047"/>
      <c r="F5" s="2047"/>
      <c r="G5" s="2048"/>
    </row>
    <row r="6" spans="2:7" x14ac:dyDescent="0.25">
      <c r="B6" s="2046"/>
      <c r="C6" s="2047"/>
      <c r="D6" s="2047"/>
      <c r="E6" s="2047"/>
      <c r="F6" s="2047"/>
      <c r="G6" s="2048"/>
    </row>
    <row r="7" spans="2:7" x14ac:dyDescent="0.25">
      <c r="B7" s="2046"/>
      <c r="C7" s="2047"/>
      <c r="D7" s="2047"/>
      <c r="E7" s="2047"/>
      <c r="F7" s="2047"/>
      <c r="G7" s="2048"/>
    </row>
    <row r="8" spans="2:7" ht="15.75" thickBot="1" x14ac:dyDescent="0.3">
      <c r="B8" s="2049"/>
      <c r="C8" s="2050"/>
      <c r="D8" s="2050"/>
      <c r="E8" s="2050"/>
      <c r="F8" s="2050"/>
      <c r="G8" s="2051"/>
    </row>
    <row r="10" spans="2:7" x14ac:dyDescent="0.25">
      <c r="B10" s="2052"/>
      <c r="C10" s="2052"/>
      <c r="D10" s="2052"/>
      <c r="E10" s="2052"/>
      <c r="F10" s="2052"/>
      <c r="G10" s="2052"/>
    </row>
    <row r="11" spans="2:7" x14ac:dyDescent="0.25">
      <c r="B11" s="2052"/>
      <c r="C11" s="2052"/>
      <c r="D11" s="2052"/>
      <c r="E11" s="2052"/>
      <c r="F11" s="2052"/>
      <c r="G11" s="2052"/>
    </row>
    <row r="12" spans="2:7" x14ac:dyDescent="0.25">
      <c r="B12" s="2052"/>
      <c r="C12" s="2052"/>
      <c r="D12" s="2052"/>
      <c r="E12" s="2052"/>
      <c r="F12" s="2052"/>
      <c r="G12" s="2052"/>
    </row>
    <row r="13" spans="2:7" x14ac:dyDescent="0.25">
      <c r="B13" s="2052"/>
      <c r="C13" s="2052"/>
      <c r="D13" s="2052"/>
      <c r="E13" s="2052"/>
      <c r="F13" s="2052"/>
      <c r="G13" s="2052"/>
    </row>
    <row r="14" spans="2:7" x14ac:dyDescent="0.25">
      <c r="B14" s="2052"/>
      <c r="C14" s="2052"/>
      <c r="D14" s="2052"/>
      <c r="E14" s="2052"/>
      <c r="F14" s="2052"/>
      <c r="G14" s="2052"/>
    </row>
    <row r="15" spans="2:7" x14ac:dyDescent="0.25">
      <c r="B15" s="2052"/>
      <c r="C15" s="2052"/>
      <c r="D15" s="2052"/>
      <c r="E15" s="2052"/>
      <c r="F15" s="2052"/>
      <c r="G15" s="2052"/>
    </row>
    <row r="16" spans="2:7" x14ac:dyDescent="0.25">
      <c r="B16" s="2052"/>
      <c r="C16" s="2052"/>
      <c r="D16" s="2052"/>
      <c r="E16" s="2052"/>
      <c r="F16" s="2052"/>
      <c r="G16" s="2052"/>
    </row>
    <row r="17" spans="2:7" x14ac:dyDescent="0.25">
      <c r="B17" s="2052"/>
      <c r="C17" s="2052"/>
      <c r="D17" s="2052"/>
      <c r="E17" s="2052"/>
      <c r="F17" s="2052"/>
      <c r="G17" s="2052"/>
    </row>
    <row r="18" spans="2:7" x14ac:dyDescent="0.25">
      <c r="B18" s="2052"/>
      <c r="C18" s="2052"/>
      <c r="D18" s="2052"/>
      <c r="E18" s="2052"/>
      <c r="F18" s="2052"/>
      <c r="G18" s="2052"/>
    </row>
  </sheetData>
  <sheetProtection selectLockedCells="1" selectUnlockedCells="1"/>
  <mergeCells count="2">
    <mergeCell ref="B3:G8"/>
    <mergeCell ref="B10:G18"/>
  </mergeCells>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Munka11"/>
  <dimension ref="A1:C9"/>
  <sheetViews>
    <sheetView workbookViewId="0">
      <selection activeCell="A10" sqref="A10"/>
    </sheetView>
  </sheetViews>
  <sheetFormatPr baseColWidth="10" defaultColWidth="9.140625" defaultRowHeight="15" x14ac:dyDescent="0.25"/>
  <cols>
    <col min="1" max="1" width="14.140625" bestFit="1" customWidth="1"/>
    <col min="2" max="2" width="4" bestFit="1" customWidth="1"/>
    <col min="3" max="3" width="12.85546875" bestFit="1" customWidth="1"/>
  </cols>
  <sheetData>
    <row r="1" spans="1:3" x14ac:dyDescent="0.25">
      <c r="A1" t="s">
        <v>107</v>
      </c>
      <c r="B1" s="8">
        <v>387</v>
      </c>
    </row>
    <row r="2" spans="1:3" x14ac:dyDescent="0.25">
      <c r="A2" t="s">
        <v>108</v>
      </c>
      <c r="B2" s="8">
        <v>441</v>
      </c>
    </row>
    <row r="3" spans="1:3" x14ac:dyDescent="0.25">
      <c r="A3" t="s">
        <v>110</v>
      </c>
      <c r="B3">
        <v>517</v>
      </c>
    </row>
    <row r="4" spans="1:3" x14ac:dyDescent="0.25">
      <c r="A4" t="s">
        <v>113</v>
      </c>
      <c r="B4">
        <v>444</v>
      </c>
    </row>
    <row r="5" spans="1:3" x14ac:dyDescent="0.25">
      <c r="A5" t="s">
        <v>120</v>
      </c>
      <c r="B5">
        <v>364</v>
      </c>
    </row>
    <row r="6" spans="1:3" x14ac:dyDescent="0.25">
      <c r="A6" t="s">
        <v>126</v>
      </c>
      <c r="B6">
        <v>418</v>
      </c>
    </row>
    <row r="7" spans="1:3" x14ac:dyDescent="0.25">
      <c r="A7" t="s">
        <v>127</v>
      </c>
      <c r="B7">
        <v>510</v>
      </c>
    </row>
    <row r="8" spans="1:3" x14ac:dyDescent="0.25">
      <c r="A8" t="s">
        <v>129</v>
      </c>
      <c r="B8">
        <v>452</v>
      </c>
      <c r="C8" t="s">
        <v>130</v>
      </c>
    </row>
    <row r="9" spans="1:3" x14ac:dyDescent="0.25">
      <c r="A9" t="s">
        <v>131</v>
      </c>
      <c r="B9">
        <v>611</v>
      </c>
      <c r="C9" t="s">
        <v>132</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dimension ref="A1:H122"/>
  <sheetViews>
    <sheetView showGridLines="0" zoomScaleNormal="100" workbookViewId="0">
      <selection activeCell="A4" sqref="A4:XFD4"/>
    </sheetView>
  </sheetViews>
  <sheetFormatPr baseColWidth="10" defaultColWidth="8.5703125" defaultRowHeight="15" x14ac:dyDescent="0.25"/>
  <cols>
    <col min="1" max="1" width="5.5703125" style="716" customWidth="1"/>
    <col min="2" max="2" width="51.28515625" style="716" customWidth="1"/>
    <col min="3" max="3" width="52" style="716" customWidth="1"/>
    <col min="4" max="4" width="75.5703125" style="717" bestFit="1" customWidth="1"/>
    <col min="5" max="5" width="17.5703125" style="716" customWidth="1"/>
    <col min="6" max="6" width="9.28515625" style="716" customWidth="1"/>
    <col min="7" max="7" width="2.5703125" style="716" customWidth="1"/>
    <col min="8" max="8" width="56.5703125" style="718" customWidth="1"/>
    <col min="9" max="16384" width="8.5703125" style="716"/>
  </cols>
  <sheetData>
    <row r="1" spans="1:8" s="704" customFormat="1" x14ac:dyDescent="0.25">
      <c r="D1" s="705"/>
    </row>
    <row r="2" spans="1:8" s="704" customFormat="1" ht="15.75" thickBot="1" x14ac:dyDescent="0.3">
      <c r="C2" s="706" t="s">
        <v>780</v>
      </c>
      <c r="D2" s="705"/>
    </row>
    <row r="3" spans="1:8" s="704" customFormat="1" ht="15.75" thickBot="1" x14ac:dyDescent="0.3">
      <c r="B3" s="707" t="s">
        <v>0</v>
      </c>
      <c r="C3" s="708" t="s">
        <v>1</v>
      </c>
      <c r="D3" s="709" t="s">
        <v>5</v>
      </c>
      <c r="E3" s="710" t="s">
        <v>116</v>
      </c>
      <c r="F3" s="710" t="s">
        <v>2</v>
      </c>
      <c r="H3" s="710" t="s">
        <v>3586</v>
      </c>
    </row>
    <row r="4" spans="1:8" s="704" customFormat="1" x14ac:dyDescent="0.25">
      <c r="B4" s="711" t="s">
        <v>165</v>
      </c>
      <c r="C4" s="712" t="s">
        <v>166</v>
      </c>
      <c r="D4" s="713" t="s">
        <v>3945</v>
      </c>
      <c r="E4" s="714"/>
      <c r="F4" s="714"/>
      <c r="H4" s="715"/>
    </row>
    <row r="5" spans="1:8" s="704" customFormat="1" x14ac:dyDescent="0.25">
      <c r="B5" s="711" t="s">
        <v>168</v>
      </c>
      <c r="C5" s="712" t="s">
        <v>169</v>
      </c>
      <c r="D5" s="713" t="s">
        <v>170</v>
      </c>
      <c r="E5" s="714"/>
      <c r="F5" s="714"/>
      <c r="H5" s="715"/>
    </row>
    <row r="6" spans="1:8" s="704" customFormat="1" x14ac:dyDescent="0.25">
      <c r="B6" s="711" t="s">
        <v>263</v>
      </c>
      <c r="C6" s="712" t="s">
        <v>264</v>
      </c>
      <c r="D6" s="713" t="s">
        <v>774</v>
      </c>
      <c r="E6" s="714"/>
      <c r="F6" s="714"/>
      <c r="H6" s="715"/>
    </row>
    <row r="7" spans="1:8" s="704" customFormat="1" x14ac:dyDescent="0.25">
      <c r="B7" s="711" t="s">
        <v>265</v>
      </c>
      <c r="C7" s="712" t="s">
        <v>266</v>
      </c>
      <c r="D7" s="713" t="s">
        <v>1373</v>
      </c>
      <c r="E7" s="714"/>
      <c r="F7" s="714"/>
      <c r="H7" s="715"/>
    </row>
    <row r="8" spans="1:8" s="704" customFormat="1" x14ac:dyDescent="0.25">
      <c r="B8" s="711" t="s">
        <v>171</v>
      </c>
      <c r="C8" s="712" t="s">
        <v>172</v>
      </c>
      <c r="D8" s="713" t="s">
        <v>173</v>
      </c>
      <c r="E8" s="714"/>
      <c r="F8" s="714"/>
      <c r="H8" s="715"/>
    </row>
    <row r="9" spans="1:8" s="704" customFormat="1" x14ac:dyDescent="0.25">
      <c r="B9" s="711" t="s">
        <v>3946</v>
      </c>
      <c r="C9" s="712" t="s">
        <v>3947</v>
      </c>
      <c r="D9" s="713" t="s">
        <v>3948</v>
      </c>
      <c r="E9" s="714"/>
      <c r="F9" s="714"/>
      <c r="H9" s="715"/>
    </row>
    <row r="10" spans="1:8" s="704" customFormat="1" x14ac:dyDescent="0.25">
      <c r="B10" s="711" t="s">
        <v>4164</v>
      </c>
      <c r="C10" s="712" t="s">
        <v>4165</v>
      </c>
      <c r="D10" s="713" t="s">
        <v>4166</v>
      </c>
      <c r="E10" s="714"/>
      <c r="F10" s="714"/>
      <c r="H10" s="715"/>
    </row>
    <row r="11" spans="1:8" s="873" customFormat="1" x14ac:dyDescent="0.25">
      <c r="A11" s="704"/>
      <c r="B11" s="869" t="s">
        <v>1374</v>
      </c>
      <c r="C11" s="870" t="s">
        <v>175</v>
      </c>
      <c r="D11" s="871" t="s">
        <v>4113</v>
      </c>
      <c r="E11" s="872"/>
      <c r="F11" s="872"/>
      <c r="H11" s="715"/>
    </row>
    <row r="12" spans="1:8" s="873" customFormat="1" x14ac:dyDescent="0.25">
      <c r="A12" s="704"/>
      <c r="B12" s="869" t="s">
        <v>1375</v>
      </c>
      <c r="C12" s="870" t="s">
        <v>178</v>
      </c>
      <c r="D12" s="871" t="s">
        <v>4114</v>
      </c>
      <c r="E12" s="872"/>
      <c r="F12" s="872"/>
      <c r="H12" s="715"/>
    </row>
    <row r="13" spans="1:8" s="873" customFormat="1" x14ac:dyDescent="0.25">
      <c r="A13" s="704"/>
      <c r="B13" s="869" t="s">
        <v>4107</v>
      </c>
      <c r="C13" s="870" t="s">
        <v>4108</v>
      </c>
      <c r="D13" s="871" t="s">
        <v>1133</v>
      </c>
      <c r="E13" s="872"/>
      <c r="F13" s="872"/>
      <c r="H13" s="874"/>
    </row>
    <row r="14" spans="1:8" s="873" customFormat="1" x14ac:dyDescent="0.25">
      <c r="A14" s="704"/>
      <c r="B14" s="869" t="s">
        <v>4109</v>
      </c>
      <c r="C14" s="870" t="s">
        <v>4110</v>
      </c>
      <c r="D14" s="871" t="s">
        <v>1134</v>
      </c>
      <c r="E14" s="872"/>
      <c r="F14" s="872"/>
      <c r="H14" s="874"/>
    </row>
    <row r="15" spans="1:8" s="704" customFormat="1" x14ac:dyDescent="0.25">
      <c r="B15" s="711" t="s">
        <v>1226</v>
      </c>
      <c r="C15" s="712" t="s">
        <v>1135</v>
      </c>
      <c r="D15" s="713" t="s">
        <v>1227</v>
      </c>
      <c r="E15" s="714"/>
      <c r="F15" s="714"/>
      <c r="H15" s="715"/>
    </row>
    <row r="16" spans="1:8" s="704" customFormat="1" x14ac:dyDescent="0.25">
      <c r="B16" s="711" t="s">
        <v>1136</v>
      </c>
      <c r="C16" s="712" t="s">
        <v>1137</v>
      </c>
      <c r="D16" s="713" t="s">
        <v>1138</v>
      </c>
      <c r="E16" s="714"/>
      <c r="F16" s="714"/>
      <c r="H16" s="715"/>
    </row>
    <row r="17" spans="2:8" s="704" customFormat="1" x14ac:dyDescent="0.25">
      <c r="B17" s="711" t="s">
        <v>180</v>
      </c>
      <c r="C17" s="712" t="s">
        <v>181</v>
      </c>
      <c r="D17" s="713" t="s">
        <v>182</v>
      </c>
      <c r="E17" s="714"/>
      <c r="F17" s="714"/>
      <c r="H17" s="715"/>
    </row>
    <row r="18" spans="2:8" s="704" customFormat="1" x14ac:dyDescent="0.25">
      <c r="B18" s="711" t="s">
        <v>183</v>
      </c>
      <c r="C18" s="712" t="s">
        <v>184</v>
      </c>
      <c r="D18" s="713" t="s">
        <v>778</v>
      </c>
      <c r="E18" s="714"/>
      <c r="F18" s="714"/>
      <c r="H18" s="715"/>
    </row>
    <row r="19" spans="2:8" s="704" customFormat="1" x14ac:dyDescent="0.25">
      <c r="B19" s="711" t="s">
        <v>151</v>
      </c>
      <c r="C19" s="712" t="s">
        <v>149</v>
      </c>
      <c r="D19" s="713" t="s">
        <v>150</v>
      </c>
      <c r="E19" s="714"/>
      <c r="F19" s="714"/>
      <c r="H19" s="715"/>
    </row>
    <row r="20" spans="2:8" s="704" customFormat="1" x14ac:dyDescent="0.25">
      <c r="B20" s="711" t="s">
        <v>775</v>
      </c>
      <c r="C20" s="712" t="s">
        <v>776</v>
      </c>
      <c r="D20" s="713" t="s">
        <v>779</v>
      </c>
      <c r="E20" s="714"/>
      <c r="F20" s="714"/>
      <c r="H20" s="715" t="s">
        <v>781</v>
      </c>
    </row>
    <row r="21" spans="2:8" s="704" customFormat="1" x14ac:dyDescent="0.25">
      <c r="B21" s="711" t="s">
        <v>1402</v>
      </c>
      <c r="C21" s="712" t="s">
        <v>1403</v>
      </c>
      <c r="D21" s="713" t="s">
        <v>3587</v>
      </c>
      <c r="E21" s="714"/>
      <c r="F21" s="714"/>
      <c r="H21" s="715"/>
    </row>
    <row r="22" spans="2:8" s="704" customFormat="1" ht="18" x14ac:dyDescent="0.25">
      <c r="B22" s="711" t="s">
        <v>1378</v>
      </c>
      <c r="C22" s="712" t="s">
        <v>1379</v>
      </c>
      <c r="D22" s="713" t="s">
        <v>1380</v>
      </c>
      <c r="E22" s="714"/>
      <c r="F22" s="714"/>
      <c r="H22" s="715"/>
    </row>
    <row r="23" spans="2:8" s="704" customFormat="1" ht="18" x14ac:dyDescent="0.25">
      <c r="B23" s="711" t="s">
        <v>1381</v>
      </c>
      <c r="C23" s="712" t="s">
        <v>1382</v>
      </c>
      <c r="D23" s="713" t="s">
        <v>1383</v>
      </c>
      <c r="E23" s="714"/>
      <c r="F23" s="714"/>
      <c r="H23" s="715"/>
    </row>
    <row r="24" spans="2:8" s="704" customFormat="1" ht="18" x14ac:dyDescent="0.25">
      <c r="B24" s="711" t="s">
        <v>1384</v>
      </c>
      <c r="C24" s="712" t="s">
        <v>777</v>
      </c>
      <c r="D24" s="713" t="s">
        <v>1385</v>
      </c>
      <c r="E24" s="714"/>
      <c r="F24" s="714"/>
      <c r="H24" s="715"/>
    </row>
    <row r="25" spans="2:8" s="704" customFormat="1" ht="18" x14ac:dyDescent="0.25">
      <c r="B25" s="711" t="s">
        <v>1386</v>
      </c>
      <c r="C25" s="712" t="s">
        <v>1387</v>
      </c>
      <c r="D25" s="713" t="s">
        <v>1388</v>
      </c>
      <c r="E25" s="714"/>
      <c r="F25" s="714"/>
      <c r="H25" s="715"/>
    </row>
    <row r="26" spans="2:8" s="704" customFormat="1" ht="18" x14ac:dyDescent="0.25">
      <c r="B26" s="711" t="s">
        <v>1389</v>
      </c>
      <c r="C26" s="712" t="s">
        <v>1390</v>
      </c>
      <c r="D26" s="713" t="s">
        <v>1391</v>
      </c>
      <c r="E26" s="714"/>
      <c r="F26" s="714"/>
      <c r="H26" s="715"/>
    </row>
    <row r="27" spans="2:8" s="704" customFormat="1" ht="18" x14ac:dyDescent="0.25">
      <c r="B27" s="711" t="s">
        <v>1392</v>
      </c>
      <c r="C27" s="712" t="s">
        <v>1393</v>
      </c>
      <c r="D27" s="713" t="s">
        <v>1394</v>
      </c>
      <c r="E27" s="714"/>
      <c r="F27" s="714"/>
      <c r="H27" s="715"/>
    </row>
    <row r="28" spans="2:8" s="704" customFormat="1" ht="18" x14ac:dyDescent="0.25">
      <c r="B28" s="711" t="s">
        <v>1395</v>
      </c>
      <c r="C28" s="712" t="s">
        <v>1396</v>
      </c>
      <c r="D28" s="713" t="s">
        <v>1397</v>
      </c>
      <c r="E28" s="714"/>
      <c r="F28" s="714"/>
      <c r="H28" s="715"/>
    </row>
    <row r="29" spans="2:8" s="704" customFormat="1" ht="18" x14ac:dyDescent="0.25">
      <c r="B29" s="711" t="s">
        <v>3588</v>
      </c>
      <c r="C29" s="712" t="s">
        <v>3589</v>
      </c>
      <c r="D29" s="713" t="s">
        <v>3590</v>
      </c>
      <c r="E29" s="714"/>
      <c r="F29" s="714"/>
      <c r="H29" s="715"/>
    </row>
    <row r="30" spans="2:8" s="704" customFormat="1" ht="18" x14ac:dyDescent="0.25">
      <c r="B30" s="711" t="s">
        <v>3591</v>
      </c>
      <c r="C30" s="712" t="s">
        <v>3592</v>
      </c>
      <c r="D30" s="713" t="s">
        <v>3593</v>
      </c>
      <c r="E30" s="714"/>
      <c r="F30" s="714"/>
      <c r="H30" s="715"/>
    </row>
    <row r="31" spans="2:8" s="704" customFormat="1" x14ac:dyDescent="0.25">
      <c r="D31" s="705"/>
    </row>
    <row r="32" spans="2:8" s="704" customFormat="1" ht="15.75" thickBot="1" x14ac:dyDescent="0.3">
      <c r="C32" s="706" t="s">
        <v>1398</v>
      </c>
      <c r="D32" s="705"/>
    </row>
    <row r="33" spans="2:8" s="704" customFormat="1" ht="15.75" thickBot="1" x14ac:dyDescent="0.3">
      <c r="B33" s="707" t="s">
        <v>0</v>
      </c>
      <c r="C33" s="708" t="s">
        <v>1</v>
      </c>
      <c r="D33" s="709" t="s">
        <v>5</v>
      </c>
      <c r="E33" s="710" t="s">
        <v>116</v>
      </c>
      <c r="F33" s="710" t="s">
        <v>2</v>
      </c>
      <c r="H33" s="710" t="s">
        <v>1399</v>
      </c>
    </row>
    <row r="34" spans="2:8" s="704" customFormat="1" x14ac:dyDescent="0.25">
      <c r="B34" s="711" t="s">
        <v>1400</v>
      </c>
      <c r="C34" s="712" t="s">
        <v>1401</v>
      </c>
      <c r="D34" s="713" t="s">
        <v>3949</v>
      </c>
      <c r="E34" s="714"/>
      <c r="F34" s="714"/>
      <c r="H34" s="715"/>
    </row>
    <row r="35" spans="2:8" s="704" customFormat="1" ht="120" x14ac:dyDescent="0.25">
      <c r="B35" s="711" t="s">
        <v>1376</v>
      </c>
      <c r="C35" s="712" t="s">
        <v>1377</v>
      </c>
      <c r="D35" s="713" t="s">
        <v>3594</v>
      </c>
      <c r="E35" s="714"/>
      <c r="F35" s="714"/>
      <c r="H35" s="715"/>
    </row>
    <row r="36" spans="2:8" s="704" customFormat="1" x14ac:dyDescent="0.25">
      <c r="B36" s="711" t="s">
        <v>1404</v>
      </c>
      <c r="C36" s="712" t="s">
        <v>1405</v>
      </c>
      <c r="D36" s="713" t="s">
        <v>3950</v>
      </c>
      <c r="E36" s="714"/>
      <c r="F36" s="714"/>
      <c r="H36" s="715"/>
    </row>
    <row r="37" spans="2:8" s="704" customFormat="1" x14ac:dyDescent="0.25">
      <c r="B37" s="711" t="s">
        <v>1406</v>
      </c>
      <c r="C37" s="712" t="s">
        <v>1407</v>
      </c>
      <c r="D37" s="713" t="s">
        <v>3951</v>
      </c>
      <c r="E37" s="714"/>
      <c r="F37" s="714"/>
      <c r="H37" s="715"/>
    </row>
    <row r="38" spans="2:8" s="704" customFormat="1" x14ac:dyDescent="0.25">
      <c r="B38" s="711" t="s">
        <v>1408</v>
      </c>
      <c r="C38" s="712" t="s">
        <v>1409</v>
      </c>
      <c r="D38" s="713" t="s">
        <v>1410</v>
      </c>
      <c r="E38" s="714"/>
      <c r="F38" s="714"/>
      <c r="H38" s="715"/>
    </row>
    <row r="39" spans="2:8" s="704" customFormat="1" x14ac:dyDescent="0.25">
      <c r="B39" s="711" t="s">
        <v>1411</v>
      </c>
      <c r="C39" s="712" t="s">
        <v>1412</v>
      </c>
      <c r="D39" s="713" t="s">
        <v>1413</v>
      </c>
      <c r="E39" s="714"/>
      <c r="F39" s="714"/>
      <c r="H39" s="715"/>
    </row>
    <row r="40" spans="2:8" s="704" customFormat="1" x14ac:dyDescent="0.25">
      <c r="B40" s="711" t="s">
        <v>1414</v>
      </c>
      <c r="C40" s="712" t="s">
        <v>1415</v>
      </c>
      <c r="D40" s="713" t="s">
        <v>1416</v>
      </c>
      <c r="E40" s="714"/>
      <c r="F40" s="714"/>
      <c r="H40" s="715"/>
    </row>
    <row r="41" spans="2:8" s="704" customFormat="1" x14ac:dyDescent="0.25">
      <c r="B41" s="711" t="s">
        <v>3595</v>
      </c>
      <c r="C41" s="712" t="s">
        <v>3596</v>
      </c>
      <c r="D41" s="713" t="s">
        <v>3597</v>
      </c>
      <c r="E41" s="714"/>
      <c r="F41" s="714"/>
      <c r="H41" s="715"/>
    </row>
    <row r="42" spans="2:8" s="704" customFormat="1" ht="90" x14ac:dyDescent="0.25">
      <c r="B42" s="711" t="s">
        <v>1417</v>
      </c>
      <c r="C42" s="712" t="s">
        <v>1418</v>
      </c>
      <c r="D42" s="713" t="s">
        <v>3598</v>
      </c>
      <c r="E42" s="714"/>
      <c r="F42" s="714"/>
      <c r="H42" s="715"/>
    </row>
    <row r="43" spans="2:8" s="704" customFormat="1" x14ac:dyDescent="0.25">
      <c r="B43" s="711" t="s">
        <v>1419</v>
      </c>
      <c r="C43" s="712" t="s">
        <v>1420</v>
      </c>
      <c r="D43" s="713" t="s">
        <v>1421</v>
      </c>
      <c r="E43" s="714"/>
      <c r="F43" s="714"/>
      <c r="H43" s="715"/>
    </row>
    <row r="44" spans="2:8" s="704" customFormat="1" x14ac:dyDescent="0.25">
      <c r="B44" s="711" t="s">
        <v>3599</v>
      </c>
      <c r="C44" s="712"/>
      <c r="D44" s="713" t="s">
        <v>1421</v>
      </c>
      <c r="E44" s="714" t="s">
        <v>3600</v>
      </c>
      <c r="F44" s="714"/>
      <c r="H44" s="715"/>
    </row>
    <row r="45" spans="2:8" s="704" customFormat="1" ht="90" x14ac:dyDescent="0.25">
      <c r="B45" s="711" t="s">
        <v>1422</v>
      </c>
      <c r="C45" s="712" t="s">
        <v>1423</v>
      </c>
      <c r="D45" s="713" t="s">
        <v>3601</v>
      </c>
      <c r="E45" s="714"/>
      <c r="F45" s="714"/>
      <c r="H45" s="715"/>
    </row>
    <row r="46" spans="2:8" s="704" customFormat="1" ht="270" x14ac:dyDescent="0.25">
      <c r="B46" s="711" t="s">
        <v>3602</v>
      </c>
      <c r="C46" s="712" t="s">
        <v>3603</v>
      </c>
      <c r="D46" s="713" t="s">
        <v>3604</v>
      </c>
      <c r="E46" s="714"/>
      <c r="F46" s="714"/>
      <c r="H46" s="715"/>
    </row>
    <row r="47" spans="2:8" s="704" customFormat="1" ht="90" x14ac:dyDescent="0.25">
      <c r="B47" s="711" t="s">
        <v>1424</v>
      </c>
      <c r="C47" s="712" t="s">
        <v>1425</v>
      </c>
      <c r="D47" s="713" t="s">
        <v>3605</v>
      </c>
      <c r="E47" s="714"/>
      <c r="F47" s="714"/>
      <c r="H47" s="715"/>
    </row>
    <row r="48" spans="2:8" s="704" customFormat="1" ht="90" x14ac:dyDescent="0.25">
      <c r="B48" s="711" t="s">
        <v>1426</v>
      </c>
      <c r="C48" s="712" t="s">
        <v>1427</v>
      </c>
      <c r="D48" s="713" t="s">
        <v>3606</v>
      </c>
      <c r="E48" s="714"/>
      <c r="F48" s="714"/>
      <c r="H48" s="715"/>
    </row>
    <row r="49" spans="2:8" s="704" customFormat="1" ht="90" x14ac:dyDescent="0.25">
      <c r="B49" s="711" t="s">
        <v>1428</v>
      </c>
      <c r="C49" s="712" t="s">
        <v>1429</v>
      </c>
      <c r="D49" s="713" t="s">
        <v>3607</v>
      </c>
      <c r="E49" s="714"/>
      <c r="F49" s="714"/>
      <c r="H49" s="715"/>
    </row>
    <row r="50" spans="2:8" s="704" customFormat="1" ht="105" x14ac:dyDescent="0.25">
      <c r="B50" s="711" t="s">
        <v>3608</v>
      </c>
      <c r="C50" s="712" t="s">
        <v>3609</v>
      </c>
      <c r="D50" s="713" t="s">
        <v>3610</v>
      </c>
      <c r="E50" s="714"/>
      <c r="F50" s="714"/>
      <c r="H50" s="715"/>
    </row>
    <row r="51" spans="2:8" s="704" customFormat="1" ht="90" x14ac:dyDescent="0.25">
      <c r="B51" s="711" t="s">
        <v>3611</v>
      </c>
      <c r="C51" s="712" t="s">
        <v>3612</v>
      </c>
      <c r="D51" s="713" t="s">
        <v>3613</v>
      </c>
      <c r="E51" s="714"/>
      <c r="F51" s="714"/>
      <c r="H51" s="715"/>
    </row>
    <row r="52" spans="2:8" s="704" customFormat="1" x14ac:dyDescent="0.25">
      <c r="B52" s="711" t="s">
        <v>1430</v>
      </c>
      <c r="C52" s="712" t="s">
        <v>1431</v>
      </c>
      <c r="D52" s="713" t="s">
        <v>1432</v>
      </c>
      <c r="E52" s="714"/>
      <c r="F52" s="714"/>
      <c r="H52" s="715"/>
    </row>
    <row r="53" spans="2:8" s="704" customFormat="1" x14ac:dyDescent="0.25">
      <c r="B53" s="711" t="s">
        <v>1433</v>
      </c>
      <c r="C53" s="712" t="s">
        <v>1434</v>
      </c>
      <c r="D53" s="713" t="s">
        <v>1435</v>
      </c>
      <c r="E53" s="714"/>
      <c r="F53" s="714"/>
      <c r="H53" s="715"/>
    </row>
    <row r="54" spans="2:8" s="704" customFormat="1" x14ac:dyDescent="0.25">
      <c r="B54" s="711" t="s">
        <v>1436</v>
      </c>
      <c r="C54" s="712" t="s">
        <v>1437</v>
      </c>
      <c r="D54" s="713" t="s">
        <v>1438</v>
      </c>
      <c r="E54" s="714"/>
      <c r="F54" s="714"/>
      <c r="H54" s="715"/>
    </row>
    <row r="55" spans="2:8" s="704" customFormat="1" x14ac:dyDescent="0.25">
      <c r="B55" s="711" t="s">
        <v>1439</v>
      </c>
      <c r="C55" s="712" t="s">
        <v>1440</v>
      </c>
      <c r="D55" s="713" t="s">
        <v>1441</v>
      </c>
      <c r="E55" s="714"/>
      <c r="F55" s="714"/>
      <c r="H55" s="715"/>
    </row>
    <row r="56" spans="2:8" s="704" customFormat="1" x14ac:dyDescent="0.25">
      <c r="B56" s="711" t="s">
        <v>1442</v>
      </c>
      <c r="C56" s="712" t="s">
        <v>1443</v>
      </c>
      <c r="D56" s="713" t="s">
        <v>1444</v>
      </c>
      <c r="E56" s="714"/>
      <c r="F56" s="714"/>
      <c r="H56" s="715"/>
    </row>
    <row r="57" spans="2:8" s="704" customFormat="1" x14ac:dyDescent="0.25">
      <c r="B57" s="711" t="s">
        <v>1445</v>
      </c>
      <c r="C57" s="712" t="s">
        <v>1446</v>
      </c>
      <c r="D57" s="713" t="s">
        <v>1447</v>
      </c>
      <c r="E57" s="714"/>
      <c r="F57" s="714"/>
      <c r="H57" s="715"/>
    </row>
    <row r="58" spans="2:8" s="704" customFormat="1" x14ac:dyDescent="0.25">
      <c r="B58" s="711" t="s">
        <v>1448</v>
      </c>
      <c r="C58" s="712" t="s">
        <v>1449</v>
      </c>
      <c r="D58" s="713" t="s">
        <v>1450</v>
      </c>
      <c r="E58" s="714"/>
      <c r="F58" s="714"/>
      <c r="H58" s="715"/>
    </row>
    <row r="59" spans="2:8" s="704" customFormat="1" x14ac:dyDescent="0.25">
      <c r="B59" s="711" t="s">
        <v>1451</v>
      </c>
      <c r="C59" s="712" t="s">
        <v>1452</v>
      </c>
      <c r="D59" s="713" t="s">
        <v>1453</v>
      </c>
      <c r="E59" s="714"/>
      <c r="F59" s="714"/>
      <c r="H59" s="715"/>
    </row>
    <row r="60" spans="2:8" s="704" customFormat="1" x14ac:dyDescent="0.25">
      <c r="B60" s="711" t="s">
        <v>1454</v>
      </c>
      <c r="C60" s="712" t="s">
        <v>1455</v>
      </c>
      <c r="D60" s="713" t="s">
        <v>1456</v>
      </c>
      <c r="E60" s="714"/>
      <c r="F60" s="714"/>
      <c r="H60" s="715"/>
    </row>
    <row r="61" spans="2:8" s="704" customFormat="1" x14ac:dyDescent="0.25">
      <c r="B61" s="711" t="s">
        <v>1457</v>
      </c>
      <c r="C61" s="712" t="s">
        <v>1458</v>
      </c>
      <c r="D61" s="713" t="s">
        <v>1459</v>
      </c>
      <c r="E61" s="714"/>
      <c r="F61" s="714"/>
      <c r="H61" s="715"/>
    </row>
    <row r="62" spans="2:8" s="704" customFormat="1" x14ac:dyDescent="0.25">
      <c r="D62" s="705"/>
    </row>
    <row r="63" spans="2:8" s="704" customFormat="1" ht="15.75" thickBot="1" x14ac:dyDescent="0.3">
      <c r="C63" s="708" t="s">
        <v>1460</v>
      </c>
      <c r="D63" s="705"/>
    </row>
    <row r="64" spans="2:8" s="704" customFormat="1" ht="15.75" thickBot="1" x14ac:dyDescent="0.3">
      <c r="B64" s="707" t="s">
        <v>0</v>
      </c>
      <c r="C64" s="708" t="s">
        <v>1</v>
      </c>
      <c r="D64" s="709" t="s">
        <v>5</v>
      </c>
      <c r="E64" s="710" t="s">
        <v>1516</v>
      </c>
      <c r="F64" s="710"/>
      <c r="H64" s="710"/>
    </row>
    <row r="65" spans="2:8" s="704" customFormat="1" x14ac:dyDescent="0.25">
      <c r="B65" s="711" t="s">
        <v>1461</v>
      </c>
      <c r="C65" s="712" t="s">
        <v>380</v>
      </c>
      <c r="D65" s="713" t="s">
        <v>1462</v>
      </c>
      <c r="E65" s="714"/>
      <c r="F65" s="714"/>
      <c r="H65" s="715"/>
    </row>
    <row r="66" spans="2:8" s="704" customFormat="1" x14ac:dyDescent="0.25">
      <c r="B66" s="711" t="s">
        <v>190</v>
      </c>
      <c r="C66" s="712" t="s">
        <v>381</v>
      </c>
      <c r="D66" s="713" t="s">
        <v>192</v>
      </c>
      <c r="E66" s="714"/>
      <c r="F66" s="714"/>
      <c r="H66" s="715"/>
    </row>
    <row r="67" spans="2:8" s="704" customFormat="1" x14ac:dyDescent="0.25">
      <c r="B67" s="711" t="s">
        <v>1463</v>
      </c>
      <c r="C67" s="712" t="s">
        <v>381</v>
      </c>
      <c r="D67" s="713" t="s">
        <v>1464</v>
      </c>
      <c r="E67" s="714"/>
      <c r="F67" s="714"/>
      <c r="H67" s="715"/>
    </row>
    <row r="68" spans="2:8" s="704" customFormat="1" x14ac:dyDescent="0.25">
      <c r="B68" s="711" t="s">
        <v>1465</v>
      </c>
      <c r="C68" s="712" t="s">
        <v>381</v>
      </c>
      <c r="D68" s="713" t="s">
        <v>1466</v>
      </c>
      <c r="E68" s="714"/>
      <c r="F68" s="714"/>
      <c r="H68" s="715"/>
    </row>
    <row r="69" spans="2:8" s="704" customFormat="1" x14ac:dyDescent="0.25">
      <c r="B69" s="711" t="s">
        <v>1467</v>
      </c>
      <c r="C69" s="712" t="s">
        <v>381</v>
      </c>
      <c r="D69" s="713" t="s">
        <v>1468</v>
      </c>
      <c r="E69" s="714"/>
      <c r="F69" s="714"/>
      <c r="H69" s="715"/>
    </row>
    <row r="70" spans="2:8" s="704" customFormat="1" x14ac:dyDescent="0.25">
      <c r="B70" s="711" t="s">
        <v>1469</v>
      </c>
      <c r="C70" s="712" t="s">
        <v>381</v>
      </c>
      <c r="D70" s="713" t="s">
        <v>1470</v>
      </c>
      <c r="E70" s="714"/>
      <c r="F70" s="714"/>
      <c r="H70" s="715"/>
    </row>
    <row r="71" spans="2:8" s="704" customFormat="1" x14ac:dyDescent="0.25">
      <c r="B71" s="711" t="s">
        <v>1471</v>
      </c>
      <c r="C71" s="712" t="s">
        <v>381</v>
      </c>
      <c r="D71" s="713" t="s">
        <v>1472</v>
      </c>
      <c r="E71" s="714"/>
      <c r="F71" s="714"/>
      <c r="H71" s="715"/>
    </row>
    <row r="72" spans="2:8" s="704" customFormat="1" x14ac:dyDescent="0.25">
      <c r="B72" s="711" t="s">
        <v>1473</v>
      </c>
      <c r="C72" s="712" t="s">
        <v>381</v>
      </c>
      <c r="D72" s="713" t="s">
        <v>1474</v>
      </c>
      <c r="E72" s="714"/>
      <c r="F72" s="714"/>
      <c r="H72" s="715"/>
    </row>
    <row r="73" spans="2:8" s="704" customFormat="1" x14ac:dyDescent="0.25">
      <c r="B73" s="711" t="s">
        <v>1475</v>
      </c>
      <c r="C73" s="712" t="s">
        <v>381</v>
      </c>
      <c r="D73" s="713" t="s">
        <v>1476</v>
      </c>
      <c r="E73" s="714"/>
      <c r="F73" s="714"/>
      <c r="H73" s="715"/>
    </row>
    <row r="74" spans="2:8" s="704" customFormat="1" x14ac:dyDescent="0.25">
      <c r="B74" s="711" t="s">
        <v>1477</v>
      </c>
      <c r="C74" s="712" t="s">
        <v>381</v>
      </c>
      <c r="D74" s="713" t="s">
        <v>1478</v>
      </c>
      <c r="E74" s="714"/>
      <c r="F74" s="714"/>
      <c r="H74" s="715"/>
    </row>
    <row r="75" spans="2:8" s="704" customFormat="1" x14ac:dyDescent="0.25">
      <c r="B75" s="711" t="s">
        <v>1479</v>
      </c>
      <c r="C75" s="712" t="s">
        <v>381</v>
      </c>
      <c r="D75" s="713" t="s">
        <v>1480</v>
      </c>
      <c r="E75" s="714"/>
      <c r="F75" s="714"/>
      <c r="H75" s="715"/>
    </row>
    <row r="76" spans="2:8" s="704" customFormat="1" x14ac:dyDescent="0.25">
      <c r="B76" s="711" t="s">
        <v>1481</v>
      </c>
      <c r="C76" s="712" t="s">
        <v>381</v>
      </c>
      <c r="D76" s="713" t="s">
        <v>1482</v>
      </c>
      <c r="E76" s="714"/>
      <c r="F76" s="714"/>
      <c r="H76" s="715"/>
    </row>
    <row r="77" spans="2:8" s="704" customFormat="1" x14ac:dyDescent="0.25">
      <c r="B77" s="711" t="s">
        <v>1483</v>
      </c>
      <c r="C77" s="712" t="s">
        <v>381</v>
      </c>
      <c r="D77" s="713" t="s">
        <v>1484</v>
      </c>
      <c r="E77" s="714"/>
      <c r="F77" s="714"/>
      <c r="H77" s="715"/>
    </row>
    <row r="78" spans="2:8" s="704" customFormat="1" x14ac:dyDescent="0.25">
      <c r="B78" s="711" t="s">
        <v>1485</v>
      </c>
      <c r="C78" s="712" t="s">
        <v>381</v>
      </c>
      <c r="D78" s="713" t="s">
        <v>1486</v>
      </c>
      <c r="E78" s="714"/>
      <c r="F78" s="714"/>
      <c r="H78" s="715"/>
    </row>
    <row r="79" spans="2:8" s="704" customFormat="1" x14ac:dyDescent="0.25">
      <c r="B79" s="711" t="s">
        <v>1487</v>
      </c>
      <c r="C79" s="712" t="s">
        <v>381</v>
      </c>
      <c r="D79" s="713" t="s">
        <v>1488</v>
      </c>
      <c r="E79" s="714"/>
      <c r="F79" s="714"/>
      <c r="H79" s="715"/>
    </row>
    <row r="80" spans="2:8" s="704" customFormat="1" x14ac:dyDescent="0.25">
      <c r="B80" s="711" t="s">
        <v>1489</v>
      </c>
      <c r="C80" s="712" t="s">
        <v>381</v>
      </c>
      <c r="D80" s="713" t="s">
        <v>1490</v>
      </c>
      <c r="E80" s="714"/>
      <c r="F80" s="714"/>
      <c r="H80" s="715"/>
    </row>
    <row r="81" spans="2:8" s="704" customFormat="1" x14ac:dyDescent="0.25">
      <c r="B81" s="711" t="s">
        <v>1491</v>
      </c>
      <c r="C81" s="712" t="s">
        <v>381</v>
      </c>
      <c r="D81" s="713" t="s">
        <v>1492</v>
      </c>
      <c r="E81" s="714"/>
      <c r="F81" s="714"/>
      <c r="H81" s="715"/>
    </row>
    <row r="82" spans="2:8" s="704" customFormat="1" x14ac:dyDescent="0.25">
      <c r="B82" s="711" t="s">
        <v>1493</v>
      </c>
      <c r="C82" s="712" t="s">
        <v>381</v>
      </c>
      <c r="D82" s="713" t="s">
        <v>1494</v>
      </c>
      <c r="E82" s="714"/>
      <c r="F82" s="714"/>
      <c r="H82" s="715"/>
    </row>
    <row r="83" spans="2:8" s="704" customFormat="1" x14ac:dyDescent="0.25">
      <c r="B83" s="711" t="s">
        <v>1495</v>
      </c>
      <c r="C83" s="712" t="s">
        <v>381</v>
      </c>
      <c r="D83" s="713" t="s">
        <v>1496</v>
      </c>
      <c r="E83" s="714"/>
      <c r="F83" s="714"/>
      <c r="H83" s="715"/>
    </row>
    <row r="84" spans="2:8" s="704" customFormat="1" x14ac:dyDescent="0.25">
      <c r="B84" s="711" t="s">
        <v>1497</v>
      </c>
      <c r="C84" s="712" t="s">
        <v>381</v>
      </c>
      <c r="D84" s="713" t="s">
        <v>1498</v>
      </c>
      <c r="E84" s="714"/>
      <c r="F84" s="714"/>
      <c r="H84" s="715"/>
    </row>
    <row r="85" spans="2:8" s="704" customFormat="1" x14ac:dyDescent="0.25">
      <c r="B85" s="711" t="s">
        <v>193</v>
      </c>
      <c r="C85" s="712" t="s">
        <v>1499</v>
      </c>
      <c r="D85" s="713" t="s">
        <v>195</v>
      </c>
      <c r="E85" s="714"/>
      <c r="F85" s="714"/>
      <c r="H85" s="715"/>
    </row>
    <row r="86" spans="2:8" s="704" customFormat="1" x14ac:dyDescent="0.25">
      <c r="B86" s="711" t="s">
        <v>196</v>
      </c>
      <c r="C86" s="712" t="s">
        <v>3952</v>
      </c>
      <c r="D86" s="713" t="s">
        <v>3953</v>
      </c>
      <c r="E86" s="714"/>
      <c r="F86" s="714"/>
      <c r="H86" s="715"/>
    </row>
    <row r="87" spans="2:8" s="704" customFormat="1" x14ac:dyDescent="0.25">
      <c r="B87" s="711" t="s">
        <v>199</v>
      </c>
      <c r="C87" s="712" t="s">
        <v>1500</v>
      </c>
      <c r="D87" s="713" t="s">
        <v>201</v>
      </c>
      <c r="E87" s="714"/>
      <c r="F87" s="714"/>
      <c r="H87" s="715"/>
    </row>
    <row r="88" spans="2:8" s="704" customFormat="1" x14ac:dyDescent="0.25">
      <c r="B88" s="711" t="s">
        <v>202</v>
      </c>
      <c r="C88" s="712" t="s">
        <v>203</v>
      </c>
      <c r="D88" s="713" t="s">
        <v>204</v>
      </c>
      <c r="E88" s="714"/>
      <c r="F88" s="714"/>
      <c r="H88" s="715" t="s">
        <v>781</v>
      </c>
    </row>
    <row r="89" spans="2:8" s="704" customFormat="1" x14ac:dyDescent="0.25">
      <c r="B89" s="711" t="s">
        <v>1501</v>
      </c>
      <c r="C89" s="712" t="s">
        <v>1502</v>
      </c>
      <c r="D89" s="713" t="s">
        <v>1503</v>
      </c>
      <c r="E89" s="714"/>
      <c r="F89" s="714"/>
      <c r="H89" s="715"/>
    </row>
    <row r="90" spans="2:8" s="704" customFormat="1" x14ac:dyDescent="0.25">
      <c r="B90" s="711" t="s">
        <v>205</v>
      </c>
      <c r="C90" s="712" t="s">
        <v>206</v>
      </c>
      <c r="D90" s="713" t="s">
        <v>207</v>
      </c>
      <c r="E90" s="714"/>
      <c r="F90" s="714"/>
      <c r="H90" s="715"/>
    </row>
    <row r="91" spans="2:8" s="704" customFormat="1" x14ac:dyDescent="0.25">
      <c r="B91" s="711" t="s">
        <v>1504</v>
      </c>
      <c r="C91" s="712" t="s">
        <v>1505</v>
      </c>
      <c r="D91" s="713" t="s">
        <v>1506</v>
      </c>
      <c r="E91" s="714"/>
      <c r="F91" s="714"/>
      <c r="H91" s="715"/>
    </row>
    <row r="92" spans="2:8" s="704" customFormat="1" x14ac:dyDescent="0.25">
      <c r="B92" s="711" t="s">
        <v>1507</v>
      </c>
      <c r="C92" s="712" t="s">
        <v>1508</v>
      </c>
      <c r="D92" s="713" t="s">
        <v>1509</v>
      </c>
      <c r="E92" s="714"/>
      <c r="F92" s="714"/>
      <c r="H92" s="715"/>
    </row>
    <row r="93" spans="2:8" s="704" customFormat="1" x14ac:dyDescent="0.25">
      <c r="B93" s="711" t="s">
        <v>1510</v>
      </c>
      <c r="C93" s="712" t="s">
        <v>1511</v>
      </c>
      <c r="D93" s="713" t="s">
        <v>1512</v>
      </c>
      <c r="E93" s="714"/>
      <c r="F93" s="714"/>
      <c r="H93" s="715"/>
    </row>
    <row r="94" spans="2:8" s="704" customFormat="1" x14ac:dyDescent="0.25">
      <c r="D94" s="705"/>
    </row>
    <row r="95" spans="2:8" s="704" customFormat="1" ht="15.75" thickBot="1" x14ac:dyDescent="0.3">
      <c r="C95" s="706" t="s">
        <v>1513</v>
      </c>
      <c r="D95" s="705" t="s">
        <v>1514</v>
      </c>
      <c r="H95" s="704" t="s">
        <v>1515</v>
      </c>
    </row>
    <row r="96" spans="2:8" s="704" customFormat="1" ht="15.75" thickBot="1" x14ac:dyDescent="0.3">
      <c r="B96" s="707" t="s">
        <v>0</v>
      </c>
      <c r="C96" s="708" t="s">
        <v>1</v>
      </c>
      <c r="D96" s="709" t="s">
        <v>5</v>
      </c>
      <c r="E96" s="710" t="s">
        <v>1516</v>
      </c>
      <c r="F96" s="710"/>
      <c r="H96" s="710"/>
    </row>
    <row r="97" spans="2:8" s="704" customFormat="1" x14ac:dyDescent="0.25">
      <c r="B97" s="711" t="s">
        <v>1517</v>
      </c>
      <c r="C97" s="712" t="s">
        <v>1518</v>
      </c>
      <c r="D97" s="713" t="s">
        <v>1517</v>
      </c>
      <c r="E97" s="714"/>
      <c r="F97" s="714"/>
      <c r="H97" s="715"/>
    </row>
    <row r="98" spans="2:8" s="704" customFormat="1" x14ac:dyDescent="0.25">
      <c r="B98" s="711" t="s">
        <v>1519</v>
      </c>
      <c r="C98" s="712" t="s">
        <v>1520</v>
      </c>
      <c r="D98" s="713" t="s">
        <v>1519</v>
      </c>
      <c r="E98" s="714"/>
      <c r="F98" s="714"/>
      <c r="H98" s="715"/>
    </row>
    <row r="99" spans="2:8" s="704" customFormat="1" x14ac:dyDescent="0.25">
      <c r="B99" s="711" t="s">
        <v>1521</v>
      </c>
      <c r="C99" s="712" t="s">
        <v>1522</v>
      </c>
      <c r="D99" s="713" t="s">
        <v>1521</v>
      </c>
      <c r="E99" s="714"/>
      <c r="F99" s="714"/>
      <c r="H99" s="715"/>
    </row>
    <row r="100" spans="2:8" s="704" customFormat="1" x14ac:dyDescent="0.25">
      <c r="B100" s="711" t="s">
        <v>1523</v>
      </c>
      <c r="C100" s="712" t="s">
        <v>1524</v>
      </c>
      <c r="D100" s="713" t="s">
        <v>1523</v>
      </c>
      <c r="E100" s="714"/>
      <c r="F100" s="714"/>
      <c r="H100" s="715"/>
    </row>
    <row r="101" spans="2:8" s="704" customFormat="1" x14ac:dyDescent="0.25">
      <c r="B101" s="711" t="s">
        <v>1525</v>
      </c>
      <c r="C101" s="712" t="s">
        <v>1526</v>
      </c>
      <c r="D101" s="713" t="s">
        <v>1525</v>
      </c>
      <c r="E101" s="714"/>
      <c r="F101" s="714"/>
      <c r="H101" s="715"/>
    </row>
    <row r="102" spans="2:8" s="704" customFormat="1" x14ac:dyDescent="0.25">
      <c r="B102" s="711" t="s">
        <v>1527</v>
      </c>
      <c r="C102" s="712" t="s">
        <v>1528</v>
      </c>
      <c r="D102" s="713" t="s">
        <v>1527</v>
      </c>
      <c r="E102" s="714"/>
      <c r="F102" s="714"/>
      <c r="H102" s="715"/>
    </row>
    <row r="103" spans="2:8" s="704" customFormat="1" x14ac:dyDescent="0.25">
      <c r="B103" s="711" t="s">
        <v>1529</v>
      </c>
      <c r="C103" s="712" t="s">
        <v>1530</v>
      </c>
      <c r="D103" s="713" t="s">
        <v>1529</v>
      </c>
      <c r="E103" s="714"/>
      <c r="F103" s="714"/>
      <c r="H103" s="715"/>
    </row>
    <row r="104" spans="2:8" s="704" customFormat="1" x14ac:dyDescent="0.25">
      <c r="B104" s="711" t="s">
        <v>1531</v>
      </c>
      <c r="C104" s="712" t="s">
        <v>1532</v>
      </c>
      <c r="D104" s="713" t="s">
        <v>1531</v>
      </c>
      <c r="E104" s="714"/>
      <c r="F104" s="714"/>
      <c r="H104" s="715"/>
    </row>
    <row r="105" spans="2:8" s="704" customFormat="1" x14ac:dyDescent="0.25">
      <c r="B105" s="711" t="s">
        <v>1533</v>
      </c>
      <c r="C105" s="712" t="s">
        <v>1534</v>
      </c>
      <c r="D105" s="713" t="s">
        <v>1533</v>
      </c>
      <c r="E105" s="714"/>
      <c r="F105" s="714"/>
      <c r="H105" s="715"/>
    </row>
    <row r="106" spans="2:8" s="704" customFormat="1" x14ac:dyDescent="0.25">
      <c r="B106" s="711" t="s">
        <v>1535</v>
      </c>
      <c r="C106" s="712" t="s">
        <v>1536</v>
      </c>
      <c r="D106" s="713" t="s">
        <v>1535</v>
      </c>
      <c r="E106" s="714"/>
      <c r="F106" s="714"/>
      <c r="H106" s="715"/>
    </row>
    <row r="107" spans="2:8" s="704" customFormat="1" x14ac:dyDescent="0.25">
      <c r="B107" s="711" t="s">
        <v>1537</v>
      </c>
      <c r="C107" s="712" t="s">
        <v>1538</v>
      </c>
      <c r="D107" s="713" t="s">
        <v>1537</v>
      </c>
      <c r="E107" s="714" t="s">
        <v>1539</v>
      </c>
      <c r="F107" s="714"/>
      <c r="H107" s="715"/>
    </row>
    <row r="108" spans="2:8" s="704" customFormat="1" x14ac:dyDescent="0.25">
      <c r="B108" s="711" t="s">
        <v>1540</v>
      </c>
      <c r="C108" s="712" t="s">
        <v>1541</v>
      </c>
      <c r="D108" s="713" t="s">
        <v>1540</v>
      </c>
      <c r="E108" s="714"/>
      <c r="F108" s="714"/>
      <c r="H108" s="715"/>
    </row>
    <row r="109" spans="2:8" s="704" customFormat="1" x14ac:dyDescent="0.25">
      <c r="B109" s="711" t="s">
        <v>1542</v>
      </c>
      <c r="C109" s="712" t="s">
        <v>1543</v>
      </c>
      <c r="D109" s="713" t="s">
        <v>1542</v>
      </c>
      <c r="E109" s="714"/>
      <c r="F109" s="714"/>
      <c r="H109" s="715"/>
    </row>
    <row r="110" spans="2:8" s="704" customFormat="1" x14ac:dyDescent="0.25">
      <c r="B110" s="711" t="s">
        <v>1544</v>
      </c>
      <c r="C110" s="712" t="s">
        <v>1545</v>
      </c>
      <c r="D110" s="713" t="s">
        <v>1544</v>
      </c>
      <c r="E110" s="714"/>
      <c r="F110" s="714"/>
      <c r="H110" s="715"/>
    </row>
    <row r="111" spans="2:8" s="704" customFormat="1" x14ac:dyDescent="0.25">
      <c r="B111" s="711" t="s">
        <v>1546</v>
      </c>
      <c r="C111" s="712" t="s">
        <v>1547</v>
      </c>
      <c r="D111" s="713" t="s">
        <v>1546</v>
      </c>
      <c r="E111" s="714"/>
      <c r="F111" s="714"/>
      <c r="H111" s="715"/>
    </row>
    <row r="112" spans="2:8" s="704" customFormat="1" x14ac:dyDescent="0.25">
      <c r="B112" s="711" t="s">
        <v>1548</v>
      </c>
      <c r="C112" s="712" t="s">
        <v>1549</v>
      </c>
      <c r="D112" s="713" t="s">
        <v>1548</v>
      </c>
      <c r="E112" s="714"/>
      <c r="F112" s="714"/>
      <c r="H112" s="715"/>
    </row>
    <row r="113" spans="2:8" s="704" customFormat="1" x14ac:dyDescent="0.25">
      <c r="B113" s="711" t="s">
        <v>1550</v>
      </c>
      <c r="C113" s="712" t="s">
        <v>1551</v>
      </c>
      <c r="D113" s="713" t="s">
        <v>1550</v>
      </c>
      <c r="E113" s="714"/>
      <c r="F113" s="714"/>
      <c r="H113" s="715"/>
    </row>
    <row r="114" spans="2:8" s="704" customFormat="1" x14ac:dyDescent="0.25">
      <c r="B114" s="711" t="s">
        <v>1552</v>
      </c>
      <c r="C114" s="712" t="s">
        <v>1553</v>
      </c>
      <c r="D114" s="713" t="s">
        <v>1552</v>
      </c>
      <c r="E114" s="714"/>
      <c r="F114" s="714"/>
      <c r="H114" s="715"/>
    </row>
    <row r="115" spans="2:8" s="704" customFormat="1" x14ac:dyDescent="0.25">
      <c r="B115" s="711" t="s">
        <v>1554</v>
      </c>
      <c r="C115" s="712" t="s">
        <v>1555</v>
      </c>
      <c r="D115" s="713" t="s">
        <v>1554</v>
      </c>
      <c r="E115" s="714"/>
      <c r="F115" s="714"/>
      <c r="H115" s="715"/>
    </row>
    <row r="116" spans="2:8" s="704" customFormat="1" x14ac:dyDescent="0.25">
      <c r="B116" s="711" t="s">
        <v>1556</v>
      </c>
      <c r="C116" s="712" t="s">
        <v>1557</v>
      </c>
      <c r="D116" s="713" t="s">
        <v>1556</v>
      </c>
      <c r="E116" s="714"/>
      <c r="F116" s="714"/>
      <c r="H116" s="715"/>
    </row>
    <row r="117" spans="2:8" s="704" customFormat="1" x14ac:dyDescent="0.25">
      <c r="B117" s="711" t="s">
        <v>1558</v>
      </c>
      <c r="C117" s="712" t="s">
        <v>1499</v>
      </c>
      <c r="D117" s="713" t="s">
        <v>1558</v>
      </c>
      <c r="E117" s="714" t="s">
        <v>1559</v>
      </c>
      <c r="F117" s="714"/>
      <c r="H117" s="715"/>
    </row>
    <row r="118" spans="2:8" s="704" customFormat="1" x14ac:dyDescent="0.25">
      <c r="B118" s="711" t="s">
        <v>1560</v>
      </c>
      <c r="C118" s="712" t="s">
        <v>1561</v>
      </c>
      <c r="D118" s="713" t="s">
        <v>1560</v>
      </c>
      <c r="E118" s="714"/>
      <c r="F118" s="714"/>
      <c r="H118" s="715"/>
    </row>
    <row r="119" spans="2:8" s="704" customFormat="1" x14ac:dyDescent="0.25">
      <c r="B119" s="711" t="s">
        <v>1562</v>
      </c>
      <c r="C119" s="712" t="s">
        <v>1563</v>
      </c>
      <c r="D119" s="713" t="s">
        <v>1562</v>
      </c>
      <c r="E119" s="714"/>
      <c r="F119" s="714"/>
      <c r="H119" s="715"/>
    </row>
    <row r="120" spans="2:8" s="704" customFormat="1" x14ac:dyDescent="0.25">
      <c r="B120" s="711" t="s">
        <v>1564</v>
      </c>
      <c r="C120" s="712" t="s">
        <v>1565</v>
      </c>
      <c r="D120" s="713" t="s">
        <v>1564</v>
      </c>
      <c r="E120" s="714"/>
      <c r="F120" s="714"/>
      <c r="H120" s="715"/>
    </row>
    <row r="121" spans="2:8" s="704" customFormat="1" x14ac:dyDescent="0.25">
      <c r="B121" s="711" t="s">
        <v>1566</v>
      </c>
      <c r="C121" s="712" t="s">
        <v>1567</v>
      </c>
      <c r="D121" s="713" t="s">
        <v>1566</v>
      </c>
      <c r="E121" s="714"/>
      <c r="F121" s="714"/>
      <c r="H121" s="715"/>
    </row>
    <row r="122" spans="2:8" s="704" customFormat="1" x14ac:dyDescent="0.25">
      <c r="B122" s="711" t="s">
        <v>1568</v>
      </c>
      <c r="C122" s="712" t="s">
        <v>1569</v>
      </c>
      <c r="D122" s="713" t="s">
        <v>1568</v>
      </c>
      <c r="E122" s="714"/>
      <c r="F122" s="714"/>
      <c r="H122" s="715"/>
    </row>
  </sheetData>
  <conditionalFormatting sqref="E6:F8 E22:F30 E34:F61 E98:F122 E15:F20">
    <cfRule type="cellIs" dxfId="85" priority="8" stopIfTrue="1" operator="notEqual">
      <formula>INDIRECT("Dummy_for_Comparison3!"&amp;ADDRESS(ROW(),COLUMN()))</formula>
    </cfRule>
  </conditionalFormatting>
  <conditionalFormatting sqref="E5:F5">
    <cfRule type="cellIs" dxfId="84" priority="7" stopIfTrue="1" operator="notEqual">
      <formula>INDIRECT("Dummy_for_Comparison3!"&amp;ADDRESS(ROW(),COLUMN()))</formula>
    </cfRule>
  </conditionalFormatting>
  <conditionalFormatting sqref="E4:F4">
    <cfRule type="cellIs" dxfId="83" priority="6" stopIfTrue="1" operator="notEqual">
      <formula>INDIRECT("Dummy_for_Comparison3!"&amp;ADDRESS(ROW(),COLUMN()))</formula>
    </cfRule>
  </conditionalFormatting>
  <conditionalFormatting sqref="E65:F93">
    <cfRule type="cellIs" dxfId="82" priority="5" stopIfTrue="1" operator="notEqual">
      <formula>INDIRECT("Dummy_for_Comparison3!"&amp;ADDRESS(ROW(),COLUMN()))</formula>
    </cfRule>
  </conditionalFormatting>
  <conditionalFormatting sqref="E97:F97">
    <cfRule type="cellIs" dxfId="81" priority="4" stopIfTrue="1" operator="notEqual">
      <formula>INDIRECT("Dummy_for_Comparison3!"&amp;ADDRESS(ROW(),COLUMN()))</formula>
    </cfRule>
  </conditionalFormatting>
  <conditionalFormatting sqref="E21:F21">
    <cfRule type="cellIs" dxfId="80" priority="3" stopIfTrue="1" operator="notEqual">
      <formula>INDIRECT("Dummy_for_Comparison3!"&amp;ADDRESS(ROW(),COLUMN()))</formula>
    </cfRule>
  </conditionalFormatting>
  <conditionalFormatting sqref="E9:F10">
    <cfRule type="cellIs" dxfId="79" priority="2" stopIfTrue="1" operator="notEqual">
      <formula>INDIRECT("Dummy_for_Comparison3!"&amp;ADDRESS(ROW(),COLUMN()))</formula>
    </cfRule>
  </conditionalFormatting>
  <conditionalFormatting sqref="E11:F14">
    <cfRule type="cellIs" dxfId="78" priority="1" stopIfTrue="1" operator="notEqual">
      <formula>INDIRECT("Dummy_for_Comparison3!"&amp;ADDRESS(ROW(),COLUMN()))</formula>
    </cfRule>
  </conditionalFormatting>
  <hyperlinks>
    <hyperlink ref="B97" r:id="rId1" display="http://www.cplusplus.com/reference/cmath/cos/" xr:uid="{00000000-0004-0000-1000-000000000000}"/>
    <hyperlink ref="B98" r:id="rId2" display="http://www.cplusplus.com/reference/cmath/sin/" xr:uid="{00000000-0004-0000-1000-000001000000}"/>
    <hyperlink ref="B99" r:id="rId3" display="http://www.cplusplus.com/reference/cmath/tan/" xr:uid="{00000000-0004-0000-1000-000002000000}"/>
    <hyperlink ref="B100" r:id="rId4" display="http://www.cplusplus.com/reference/cmath/acos/" xr:uid="{00000000-0004-0000-1000-000003000000}"/>
    <hyperlink ref="B101" r:id="rId5" display="http://www.cplusplus.com/reference/cmath/asin/" xr:uid="{00000000-0004-0000-1000-000004000000}"/>
    <hyperlink ref="B102" r:id="rId6" display="http://www.cplusplus.com/reference/cmath/atan/" xr:uid="{00000000-0004-0000-1000-000005000000}"/>
    <hyperlink ref="B103" r:id="rId7" display="http://www.cplusplus.com/reference/cmath/atan2/" xr:uid="{00000000-0004-0000-1000-000006000000}"/>
    <hyperlink ref="B104" r:id="rId8" display="http://www.cplusplus.com/reference/cmath/cosh/" xr:uid="{00000000-0004-0000-1000-000007000000}"/>
    <hyperlink ref="B105" r:id="rId9" display="http://www.cplusplus.com/reference/cmath/sinh/" xr:uid="{00000000-0004-0000-1000-000008000000}"/>
    <hyperlink ref="B106" r:id="rId10" display="http://www.cplusplus.com/reference/cmath/tanh/" xr:uid="{00000000-0004-0000-1000-000009000000}"/>
    <hyperlink ref="B107" r:id="rId11" display="http://www.cplusplus.com/reference/cmath/exp/" xr:uid="{00000000-0004-0000-1000-00000A000000}"/>
    <hyperlink ref="B108" r:id="rId12" display="http://www.cplusplus.com/reference/cmath/ldexp/" xr:uid="{00000000-0004-0000-1000-00000B000000}"/>
    <hyperlink ref="B109" r:id="rId13" display="http://www.cplusplus.com/reference/cmath/log/" xr:uid="{00000000-0004-0000-1000-00000C000000}"/>
    <hyperlink ref="B110" r:id="rId14" display="http://www.cplusplus.com/reference/cmath/log10/" xr:uid="{00000000-0004-0000-1000-00000D000000}"/>
    <hyperlink ref="B111" r:id="rId15" display="http://www.cplusplus.com/reference/cmath/sqrt/" xr:uid="{00000000-0004-0000-1000-00000E000000}"/>
    <hyperlink ref="B112" r:id="rId16" display="http://www.cplusplus.com/reference/cmath/ceil/" xr:uid="{00000000-0004-0000-1000-00000F000000}"/>
    <hyperlink ref="B113" r:id="rId17" display="http://www.cplusplus.com/reference/cmath/fabs/" xr:uid="{00000000-0004-0000-1000-000010000000}"/>
    <hyperlink ref="B114" r:id="rId18" display="http://www.cplusplus.com/reference/cmath/floor/" xr:uid="{00000000-0004-0000-1000-000011000000}"/>
    <hyperlink ref="B116" r:id="rId19" display="http://www.cplusplus.com/reference/cmath/fmod/" xr:uid="{00000000-0004-0000-1000-000012000000}"/>
    <hyperlink ref="D97" r:id="rId20" display="http://www.cplusplus.com/reference/cmath/cos/" xr:uid="{00000000-0004-0000-1000-000013000000}"/>
    <hyperlink ref="D98" r:id="rId21" display="http://www.cplusplus.com/reference/cmath/sin/" xr:uid="{00000000-0004-0000-1000-000014000000}"/>
    <hyperlink ref="D99" r:id="rId22" display="http://www.cplusplus.com/reference/cmath/tan/" xr:uid="{00000000-0004-0000-1000-000015000000}"/>
    <hyperlink ref="D100" r:id="rId23" display="http://www.cplusplus.com/reference/cmath/acos/" xr:uid="{00000000-0004-0000-1000-000016000000}"/>
    <hyperlink ref="D101" r:id="rId24" display="http://www.cplusplus.com/reference/cmath/asin/" xr:uid="{00000000-0004-0000-1000-000017000000}"/>
    <hyperlink ref="D102" r:id="rId25" display="http://www.cplusplus.com/reference/cmath/atan/" xr:uid="{00000000-0004-0000-1000-000018000000}"/>
    <hyperlink ref="D103" r:id="rId26" display="http://www.cplusplus.com/reference/cmath/atan2/" xr:uid="{00000000-0004-0000-1000-000019000000}"/>
    <hyperlink ref="D104" r:id="rId27" display="http://www.cplusplus.com/reference/cmath/cosh/" xr:uid="{00000000-0004-0000-1000-00001A000000}"/>
    <hyperlink ref="D105" r:id="rId28" display="http://www.cplusplus.com/reference/cmath/sinh/" xr:uid="{00000000-0004-0000-1000-00001B000000}"/>
    <hyperlink ref="D106" r:id="rId29" display="http://www.cplusplus.com/reference/cmath/tanh/" xr:uid="{00000000-0004-0000-1000-00001C000000}"/>
    <hyperlink ref="D107" r:id="rId30" display="http://www.cplusplus.com/reference/cmath/exp/" xr:uid="{00000000-0004-0000-1000-00001D000000}"/>
    <hyperlink ref="D108" r:id="rId31" display="http://www.cplusplus.com/reference/cmath/ldexp/" xr:uid="{00000000-0004-0000-1000-00001E000000}"/>
    <hyperlink ref="D109" r:id="rId32" display="http://www.cplusplus.com/reference/cmath/log/" xr:uid="{00000000-0004-0000-1000-00001F000000}"/>
    <hyperlink ref="D110" r:id="rId33" display="http://www.cplusplus.com/reference/cmath/log10/" xr:uid="{00000000-0004-0000-1000-000020000000}"/>
    <hyperlink ref="D111" r:id="rId34" display="http://www.cplusplus.com/reference/cmath/sqrt/" xr:uid="{00000000-0004-0000-1000-000021000000}"/>
    <hyperlink ref="D112" r:id="rId35" display="http://www.cplusplus.com/reference/cmath/ceil/" xr:uid="{00000000-0004-0000-1000-000022000000}"/>
    <hyperlink ref="D113" r:id="rId36" display="http://www.cplusplus.com/reference/cmath/fabs/" xr:uid="{00000000-0004-0000-1000-000023000000}"/>
    <hyperlink ref="D114" r:id="rId37" display="http://www.cplusplus.com/reference/cmath/floor/" xr:uid="{00000000-0004-0000-1000-000024000000}"/>
    <hyperlink ref="D116" r:id="rId38" display="http://www.cplusplus.com/reference/cmath/fmod/" xr:uid="{00000000-0004-0000-1000-000025000000}"/>
  </hyperlinks>
  <pageMargins left="0.7" right="0.7" top="0.75" bottom="0.75" header="0.3" footer="0.3"/>
  <pageSetup paperSize="9" orientation="portrait" r:id="rId39"/>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dimension ref="A2:L517"/>
  <sheetViews>
    <sheetView showGridLines="0" topLeftCell="A34" zoomScaleNormal="100" zoomScalePageLayoutView="85" workbookViewId="0">
      <selection activeCell="B3" sqref="B3:D517"/>
    </sheetView>
  </sheetViews>
  <sheetFormatPr baseColWidth="10" defaultColWidth="9.28515625" defaultRowHeight="15" outlineLevelRow="1" x14ac:dyDescent="0.25"/>
  <cols>
    <col min="1" max="1" width="9.28515625" style="704"/>
    <col min="2" max="2" width="13.28515625" style="704" customWidth="1"/>
    <col min="3" max="3" width="58.28515625" style="704" bestFit="1" customWidth="1"/>
    <col min="4" max="4" width="12.28515625" style="704" bestFit="1" customWidth="1"/>
    <col min="5" max="5" width="8.5703125" style="704" bestFit="1" customWidth="1"/>
    <col min="6" max="6" width="10.28515625" style="704" bestFit="1" customWidth="1"/>
    <col min="7" max="7" width="18" style="704" bestFit="1" customWidth="1"/>
    <col min="8" max="8" width="8.28515625" style="704" bestFit="1" customWidth="1"/>
    <col min="9" max="9" width="9.28515625" style="704"/>
    <col min="10" max="10" width="76.5703125" style="704" customWidth="1"/>
    <col min="11" max="11" width="9.28515625" style="704"/>
    <col min="12" max="12" width="29.28515625" style="704" bestFit="1" customWidth="1"/>
    <col min="13" max="16384" width="9.28515625" style="704"/>
  </cols>
  <sheetData>
    <row r="2" spans="2:10" ht="15.75" thickBot="1" x14ac:dyDescent="0.3">
      <c r="C2" s="706" t="s">
        <v>470</v>
      </c>
    </row>
    <row r="3" spans="2:10" ht="15.75" thickBot="1" x14ac:dyDescent="0.3">
      <c r="B3" s="707" t="s">
        <v>0</v>
      </c>
      <c r="C3" s="708" t="s">
        <v>1</v>
      </c>
      <c r="D3" s="710" t="s">
        <v>152</v>
      </c>
      <c r="E3" s="710" t="s">
        <v>471</v>
      </c>
      <c r="F3" s="710" t="s">
        <v>472</v>
      </c>
      <c r="G3" s="710" t="s">
        <v>2</v>
      </c>
      <c r="H3" s="710" t="s">
        <v>302</v>
      </c>
      <c r="I3" s="710" t="s">
        <v>116</v>
      </c>
      <c r="J3" s="719" t="s">
        <v>117</v>
      </c>
    </row>
    <row r="4" spans="2:10" ht="18" x14ac:dyDescent="0.25">
      <c r="B4" s="711" t="s">
        <v>1002</v>
      </c>
      <c r="C4" s="712" t="s">
        <v>473</v>
      </c>
      <c r="D4" s="712">
        <v>1.2059812053432154E-3</v>
      </c>
      <c r="E4" s="714"/>
      <c r="F4" s="714"/>
      <c r="G4" s="712" t="s">
        <v>448</v>
      </c>
      <c r="H4" s="715"/>
      <c r="I4" s="715"/>
      <c r="J4" s="712" t="s">
        <v>3614</v>
      </c>
    </row>
    <row r="5" spans="2:10" ht="18" x14ac:dyDescent="0.25">
      <c r="B5" s="711" t="s">
        <v>1003</v>
      </c>
      <c r="C5" s="712" t="s">
        <v>474</v>
      </c>
      <c r="D5" s="712">
        <v>1842.5346589768687</v>
      </c>
      <c r="E5" s="714"/>
      <c r="F5" s="714"/>
      <c r="G5" s="712" t="s">
        <v>475</v>
      </c>
      <c r="H5" s="715"/>
      <c r="I5" s="715"/>
      <c r="J5" s="712" t="s">
        <v>3614</v>
      </c>
    </row>
    <row r="6" spans="2:10" ht="18" x14ac:dyDescent="0.25">
      <c r="B6" s="711" t="s">
        <v>1004</v>
      </c>
      <c r="C6" s="712" t="s">
        <v>476</v>
      </c>
      <c r="D6" s="712">
        <v>3.5000000000000003E-2</v>
      </c>
      <c r="E6" s="714"/>
      <c r="F6" s="714"/>
      <c r="G6" s="712" t="s">
        <v>448</v>
      </c>
      <c r="H6" s="715"/>
      <c r="I6" s="715"/>
      <c r="J6" s="712" t="s">
        <v>910</v>
      </c>
    </row>
    <row r="7" spans="2:10" ht="18" x14ac:dyDescent="0.25">
      <c r="B7" s="711" t="s">
        <v>1005</v>
      </c>
      <c r="C7" s="712" t="s">
        <v>3615</v>
      </c>
      <c r="D7" s="712">
        <v>2400</v>
      </c>
      <c r="E7" s="714"/>
      <c r="F7" s="714"/>
      <c r="G7" s="712" t="s">
        <v>475</v>
      </c>
      <c r="H7" s="715"/>
      <c r="I7" s="715"/>
      <c r="J7" s="712" t="s">
        <v>910</v>
      </c>
    </row>
    <row r="8" spans="2:10" ht="18" x14ac:dyDescent="0.25">
      <c r="B8" s="711" t="s">
        <v>1006</v>
      </c>
      <c r="C8" s="712" t="s">
        <v>478</v>
      </c>
      <c r="D8" s="712">
        <v>1.9E-3</v>
      </c>
      <c r="E8" s="714"/>
      <c r="F8" s="714"/>
      <c r="G8" s="712" t="s">
        <v>448</v>
      </c>
      <c r="H8" s="715"/>
      <c r="I8" s="715"/>
      <c r="J8" s="712" t="s">
        <v>911</v>
      </c>
    </row>
    <row r="9" spans="2:10" ht="18" x14ac:dyDescent="0.25">
      <c r="B9" s="711" t="s">
        <v>1007</v>
      </c>
      <c r="C9" s="712" t="s">
        <v>479</v>
      </c>
      <c r="D9" s="712">
        <v>1400</v>
      </c>
      <c r="E9" s="714"/>
      <c r="F9" s="714"/>
      <c r="G9" s="712" t="s">
        <v>475</v>
      </c>
      <c r="H9" s="715"/>
      <c r="I9" s="715"/>
      <c r="J9" s="712" t="s">
        <v>911</v>
      </c>
    </row>
    <row r="10" spans="2:10" ht="18" x14ac:dyDescent="0.25">
      <c r="B10" s="711" t="s">
        <v>1008</v>
      </c>
      <c r="C10" s="712" t="s">
        <v>480</v>
      </c>
      <c r="D10" s="712">
        <v>2.5000000000000001E-2</v>
      </c>
      <c r="E10" s="714"/>
      <c r="F10" s="714"/>
      <c r="G10" s="712" t="s">
        <v>448</v>
      </c>
      <c r="H10" s="715"/>
      <c r="I10" s="715"/>
      <c r="J10" s="712" t="s">
        <v>912</v>
      </c>
    </row>
    <row r="11" spans="2:10" ht="18" x14ac:dyDescent="0.25">
      <c r="B11" s="711" t="s">
        <v>1009</v>
      </c>
      <c r="C11" s="712" t="s">
        <v>477</v>
      </c>
      <c r="D11" s="712">
        <v>2600</v>
      </c>
      <c r="E11" s="714"/>
      <c r="F11" s="714"/>
      <c r="G11" s="712" t="s">
        <v>475</v>
      </c>
      <c r="H11" s="715"/>
      <c r="I11" s="715"/>
      <c r="J11" s="712" t="s">
        <v>912</v>
      </c>
    </row>
    <row r="12" spans="2:10" ht="18" x14ac:dyDescent="0.25">
      <c r="B12" s="711" t="s">
        <v>1010</v>
      </c>
      <c r="C12" s="712" t="s">
        <v>481</v>
      </c>
      <c r="D12" s="712">
        <v>6.4999999999999997E-4</v>
      </c>
      <c r="E12" s="714"/>
      <c r="F12" s="714"/>
      <c r="G12" s="712" t="s">
        <v>448</v>
      </c>
      <c r="H12" s="715"/>
      <c r="I12" s="715"/>
      <c r="J12" s="712" t="s">
        <v>913</v>
      </c>
    </row>
    <row r="13" spans="2:10" ht="18" x14ac:dyDescent="0.25">
      <c r="B13" s="711" t="s">
        <v>1011</v>
      </c>
      <c r="C13" s="712" t="s">
        <v>482</v>
      </c>
      <c r="D13" s="712">
        <v>1300</v>
      </c>
      <c r="E13" s="714"/>
      <c r="F13" s="714"/>
      <c r="G13" s="712" t="s">
        <v>475</v>
      </c>
      <c r="H13" s="715"/>
      <c r="I13" s="715"/>
      <c r="J13" s="712" t="s">
        <v>913</v>
      </c>
    </row>
    <row r="14" spans="2:10" ht="18" x14ac:dyDescent="0.25">
      <c r="B14" s="711" t="s">
        <v>1012</v>
      </c>
      <c r="C14" s="712" t="s">
        <v>483</v>
      </c>
      <c r="D14" s="712">
        <v>7.7999999999999999E-4</v>
      </c>
      <c r="E14" s="714"/>
      <c r="F14" s="714"/>
      <c r="G14" s="712" t="s">
        <v>448</v>
      </c>
      <c r="H14" s="715"/>
      <c r="I14" s="715"/>
      <c r="J14" s="712" t="s">
        <v>1193</v>
      </c>
    </row>
    <row r="15" spans="2:10" ht="18" x14ac:dyDescent="0.25">
      <c r="B15" s="711" t="s">
        <v>1013</v>
      </c>
      <c r="C15" s="712" t="s">
        <v>484</v>
      </c>
      <c r="D15" s="712">
        <v>500</v>
      </c>
      <c r="E15" s="714"/>
      <c r="F15" s="714"/>
      <c r="G15" s="712" t="s">
        <v>475</v>
      </c>
      <c r="H15" s="715"/>
      <c r="I15" s="715"/>
      <c r="J15" s="712" t="s">
        <v>1193</v>
      </c>
    </row>
    <row r="16" spans="2:10" ht="18" x14ac:dyDescent="0.25">
      <c r="B16" s="711" t="s">
        <v>1014</v>
      </c>
      <c r="C16" s="712" t="s">
        <v>449</v>
      </c>
      <c r="D16" s="712">
        <v>1.4E-3</v>
      </c>
      <c r="E16" s="714"/>
      <c r="F16" s="714"/>
      <c r="G16" s="712" t="s">
        <v>448</v>
      </c>
      <c r="H16" s="715"/>
      <c r="I16" s="715"/>
      <c r="J16" s="712" t="s">
        <v>1194</v>
      </c>
    </row>
    <row r="17" spans="2:12" ht="18" x14ac:dyDescent="0.25">
      <c r="B17" s="711" t="s">
        <v>1015</v>
      </c>
      <c r="C17" s="712" t="s">
        <v>485</v>
      </c>
      <c r="D17" s="712">
        <v>1600</v>
      </c>
      <c r="E17" s="714"/>
      <c r="F17" s="714"/>
      <c r="G17" s="712" t="s">
        <v>475</v>
      </c>
      <c r="H17" s="715"/>
      <c r="I17" s="715"/>
      <c r="J17" s="712" t="s">
        <v>1194</v>
      </c>
    </row>
    <row r="18" spans="2:12" ht="18" x14ac:dyDescent="0.25">
      <c r="B18" s="711" t="s">
        <v>1195</v>
      </c>
      <c r="C18" s="712" t="s">
        <v>1196</v>
      </c>
      <c r="D18" s="712">
        <v>61</v>
      </c>
      <c r="E18" s="714"/>
      <c r="F18" s="714"/>
      <c r="G18" s="712" t="s">
        <v>448</v>
      </c>
      <c r="H18" s="715"/>
      <c r="I18" s="715"/>
      <c r="J18" s="712" t="s">
        <v>1197</v>
      </c>
    </row>
    <row r="19" spans="2:12" ht="18" x14ac:dyDescent="0.25">
      <c r="B19" s="711" t="s">
        <v>1198</v>
      </c>
      <c r="C19" s="712" t="s">
        <v>1199</v>
      </c>
      <c r="D19" s="712">
        <v>4100</v>
      </c>
      <c r="E19" s="714"/>
      <c r="F19" s="714"/>
      <c r="G19" s="712" t="s">
        <v>475</v>
      </c>
      <c r="H19" s="715"/>
      <c r="I19" s="715"/>
      <c r="J19" s="712" t="s">
        <v>1197</v>
      </c>
    </row>
    <row r="20" spans="2:12" ht="18" x14ac:dyDescent="0.25">
      <c r="B20" s="711" t="s">
        <v>1149</v>
      </c>
      <c r="C20" s="712" t="s">
        <v>1200</v>
      </c>
      <c r="D20" s="712">
        <v>0.1</v>
      </c>
      <c r="E20" s="714"/>
      <c r="F20" s="714"/>
      <c r="G20" s="712" t="s">
        <v>448</v>
      </c>
      <c r="H20" s="715"/>
      <c r="I20" s="715"/>
      <c r="J20" s="712" t="s">
        <v>1201</v>
      </c>
    </row>
    <row r="21" spans="2:12" ht="18" x14ac:dyDescent="0.25">
      <c r="B21" s="711" t="s">
        <v>1150</v>
      </c>
      <c r="C21" s="712" t="s">
        <v>1151</v>
      </c>
      <c r="D21" s="712">
        <v>2200</v>
      </c>
      <c r="E21" s="714"/>
      <c r="F21" s="714"/>
      <c r="G21" s="712" t="s">
        <v>475</v>
      </c>
      <c r="H21" s="715"/>
      <c r="I21" s="715"/>
      <c r="J21" s="712" t="s">
        <v>1201</v>
      </c>
    </row>
    <row r="23" spans="2:12" ht="15.75" thickBot="1" x14ac:dyDescent="0.3">
      <c r="C23" s="706" t="s">
        <v>3133</v>
      </c>
    </row>
    <row r="24" spans="2:12" ht="15.75" thickBot="1" x14ac:dyDescent="0.3">
      <c r="B24" s="707" t="s">
        <v>0</v>
      </c>
      <c r="C24" s="708" t="s">
        <v>1</v>
      </c>
      <c r="D24" s="710" t="s">
        <v>152</v>
      </c>
      <c r="E24" s="710" t="s">
        <v>471</v>
      </c>
      <c r="F24" s="710" t="s">
        <v>472</v>
      </c>
      <c r="G24" s="710" t="s">
        <v>2</v>
      </c>
      <c r="H24" s="710" t="s">
        <v>302</v>
      </c>
      <c r="I24" s="710" t="s">
        <v>116</v>
      </c>
      <c r="J24" s="719" t="s">
        <v>117</v>
      </c>
    </row>
    <row r="25" spans="2:12" ht="18" x14ac:dyDescent="0.25">
      <c r="B25" s="711" t="s">
        <v>2956</v>
      </c>
      <c r="C25" s="712" t="s">
        <v>458</v>
      </c>
      <c r="D25" s="712">
        <v>2.0900000000000001E-4</v>
      </c>
      <c r="E25" s="714"/>
      <c r="F25" s="714"/>
      <c r="G25" s="712" t="s">
        <v>486</v>
      </c>
      <c r="H25" s="715">
        <v>2</v>
      </c>
      <c r="I25" s="715"/>
      <c r="J25" s="712"/>
    </row>
    <row r="26" spans="2:12" ht="18" x14ac:dyDescent="0.25">
      <c r="B26" s="711" t="s">
        <v>2957</v>
      </c>
      <c r="C26" s="712" t="s">
        <v>459</v>
      </c>
      <c r="D26" s="712">
        <v>1.73E-4</v>
      </c>
      <c r="E26" s="714"/>
      <c r="F26" s="714"/>
      <c r="G26" s="712" t="s">
        <v>486</v>
      </c>
      <c r="H26" s="715">
        <v>2</v>
      </c>
      <c r="I26" s="715"/>
      <c r="J26" s="712"/>
    </row>
    <row r="27" spans="2:12" ht="18" x14ac:dyDescent="0.25">
      <c r="B27" s="711" t="s">
        <v>2958</v>
      </c>
      <c r="C27" s="712" t="s">
        <v>1062</v>
      </c>
      <c r="D27" s="712">
        <f>0.0000693*216/25</f>
        <v>5.9875200000000003E-4</v>
      </c>
      <c r="E27" s="714"/>
      <c r="F27" s="714"/>
      <c r="G27" s="712" t="s">
        <v>486</v>
      </c>
      <c r="H27" s="715">
        <v>2</v>
      </c>
      <c r="I27" s="715"/>
      <c r="J27" s="712"/>
    </row>
    <row r="28" spans="2:12" ht="18" x14ac:dyDescent="0.25">
      <c r="B28" s="711" t="s">
        <v>2959</v>
      </c>
      <c r="C28" s="712" t="s">
        <v>460</v>
      </c>
      <c r="D28" s="712">
        <v>1.65E-4</v>
      </c>
      <c r="E28" s="714"/>
      <c r="F28" s="714"/>
      <c r="G28" s="712" t="s">
        <v>486</v>
      </c>
      <c r="H28" s="715">
        <v>2</v>
      </c>
      <c r="I28" s="715"/>
      <c r="J28" s="712"/>
    </row>
    <row r="29" spans="2:12" ht="18" x14ac:dyDescent="0.25">
      <c r="B29" s="711" t="s">
        <v>2960</v>
      </c>
      <c r="C29" s="712" t="s">
        <v>461</v>
      </c>
      <c r="D29" s="712">
        <v>4.4999999999999999E-4</v>
      </c>
      <c r="E29" s="714"/>
      <c r="F29" s="714"/>
      <c r="G29" s="712" t="s">
        <v>487</v>
      </c>
      <c r="H29" s="715">
        <v>2</v>
      </c>
      <c r="I29" s="715"/>
      <c r="J29" s="712"/>
    </row>
    <row r="30" spans="2:12" ht="18" x14ac:dyDescent="0.25">
      <c r="B30" s="711" t="s">
        <v>2961</v>
      </c>
      <c r="C30" s="712" t="s">
        <v>462</v>
      </c>
      <c r="D30" s="712">
        <v>1.4899999999999999E-4</v>
      </c>
      <c r="E30" s="714"/>
      <c r="F30" s="714"/>
      <c r="G30" s="712" t="s">
        <v>487</v>
      </c>
      <c r="H30" s="715">
        <v>2</v>
      </c>
      <c r="I30" s="715"/>
      <c r="J30" s="712"/>
      <c r="L30" s="704" t="s">
        <v>3616</v>
      </c>
    </row>
    <row r="31" spans="2:12" ht="18" x14ac:dyDescent="0.25">
      <c r="B31" s="711" t="s">
        <v>2962</v>
      </c>
      <c r="C31" s="712" t="s">
        <v>782</v>
      </c>
      <c r="D31" s="712">
        <f>0.000211</f>
        <v>2.1100000000000001E-4</v>
      </c>
      <c r="E31" s="714"/>
      <c r="F31" s="714"/>
      <c r="G31" s="712" t="s">
        <v>487</v>
      </c>
      <c r="H31" s="715">
        <v>2</v>
      </c>
      <c r="I31" s="715"/>
      <c r="J31" s="712" t="s">
        <v>3617</v>
      </c>
      <c r="K31" s="712">
        <f>0.0001909*1.024^(25-20)</f>
        <v>2.1493429221625696E-4</v>
      </c>
      <c r="L31" s="712">
        <v>2.9499999999999999E-5</v>
      </c>
    </row>
    <row r="32" spans="2:12" ht="18" x14ac:dyDescent="0.25">
      <c r="B32" s="711" t="s">
        <v>2963</v>
      </c>
      <c r="C32" s="712" t="s">
        <v>1256</v>
      </c>
      <c r="D32" s="712">
        <f>0.000245</f>
        <v>2.4499999999999999E-4</v>
      </c>
      <c r="E32" s="714"/>
      <c r="F32" s="714"/>
      <c r="G32" s="712" t="s">
        <v>487</v>
      </c>
      <c r="H32" s="715">
        <v>2</v>
      </c>
      <c r="I32" s="715"/>
      <c r="J32" s="712" t="s">
        <v>3617</v>
      </c>
      <c r="K32" s="712">
        <f>0.00015293*1.024^(25-20)</f>
        <v>1.7218387275344247E-4</v>
      </c>
      <c r="L32" s="712">
        <v>1.8E-5</v>
      </c>
    </row>
    <row r="33" spans="2:10" ht="18" x14ac:dyDescent="0.25">
      <c r="B33" s="711" t="s">
        <v>2964</v>
      </c>
      <c r="C33" s="712" t="s">
        <v>1202</v>
      </c>
      <c r="D33" s="712">
        <v>1.22E-4</v>
      </c>
      <c r="E33" s="714"/>
      <c r="F33" s="714"/>
      <c r="G33" s="712" t="s">
        <v>486</v>
      </c>
      <c r="H33" s="715">
        <v>2</v>
      </c>
      <c r="I33" s="715"/>
      <c r="J33" s="712"/>
    </row>
    <row r="35" spans="2:10" ht="15.75" thickBot="1" x14ac:dyDescent="0.3">
      <c r="C35" s="706" t="s">
        <v>488</v>
      </c>
    </row>
    <row r="36" spans="2:10" ht="15.75" thickBot="1" x14ac:dyDescent="0.3">
      <c r="B36" s="707" t="s">
        <v>0</v>
      </c>
      <c r="C36" s="708" t="s">
        <v>1</v>
      </c>
      <c r="D36" s="710" t="s">
        <v>152</v>
      </c>
      <c r="E36" s="710" t="s">
        <v>471</v>
      </c>
      <c r="F36" s="710" t="s">
        <v>472</v>
      </c>
      <c r="G36" s="710" t="s">
        <v>2</v>
      </c>
      <c r="H36" s="710" t="s">
        <v>302</v>
      </c>
      <c r="I36" s="710" t="s">
        <v>116</v>
      </c>
      <c r="J36" s="719" t="s">
        <v>117</v>
      </c>
    </row>
    <row r="37" spans="2:10" ht="18" x14ac:dyDescent="0.25">
      <c r="B37" s="711" t="s">
        <v>489</v>
      </c>
      <c r="C37" s="712" t="s">
        <v>490</v>
      </c>
      <c r="D37" s="712">
        <v>8.0713100000000004</v>
      </c>
      <c r="E37" s="714"/>
      <c r="F37" s="714"/>
      <c r="G37" s="712" t="s">
        <v>278</v>
      </c>
      <c r="H37" s="715"/>
      <c r="I37" s="715"/>
      <c r="J37" s="712"/>
    </row>
    <row r="38" spans="2:10" ht="18" x14ac:dyDescent="0.25">
      <c r="B38" s="711" t="s">
        <v>491</v>
      </c>
      <c r="C38" s="712" t="s">
        <v>492</v>
      </c>
      <c r="D38" s="712">
        <v>1730.63</v>
      </c>
      <c r="E38" s="714"/>
      <c r="F38" s="714"/>
      <c r="G38" s="712" t="s">
        <v>278</v>
      </c>
      <c r="H38" s="715"/>
      <c r="I38" s="715"/>
      <c r="J38" s="712"/>
    </row>
    <row r="39" spans="2:10" ht="18" x14ac:dyDescent="0.25">
      <c r="B39" s="711" t="s">
        <v>493</v>
      </c>
      <c r="C39" s="712" t="s">
        <v>494</v>
      </c>
      <c r="D39" s="712">
        <v>233.42599999999999</v>
      </c>
      <c r="E39" s="714"/>
      <c r="F39" s="714"/>
      <c r="G39" s="712" t="s">
        <v>278</v>
      </c>
      <c r="H39" s="715"/>
      <c r="I39" s="715"/>
      <c r="J39" s="712"/>
    </row>
    <row r="40" spans="2:10" ht="18" x14ac:dyDescent="0.25">
      <c r="B40" s="711" t="s">
        <v>2965</v>
      </c>
      <c r="C40" s="712" t="s">
        <v>2966</v>
      </c>
      <c r="D40" s="712">
        <v>7.2800000000000004E-2</v>
      </c>
      <c r="E40" s="714"/>
      <c r="F40" s="714"/>
      <c r="G40" s="712" t="s">
        <v>2967</v>
      </c>
      <c r="H40" s="715"/>
      <c r="I40" s="715"/>
      <c r="J40" s="712"/>
    </row>
    <row r="41" spans="2:10" ht="18" x14ac:dyDescent="0.25">
      <c r="B41" s="711" t="s">
        <v>495</v>
      </c>
      <c r="C41" s="712" t="s">
        <v>2968</v>
      </c>
      <c r="D41" s="712">
        <v>1000000</v>
      </c>
      <c r="E41" s="714"/>
      <c r="F41" s="714"/>
      <c r="G41" s="712" t="s">
        <v>783</v>
      </c>
      <c r="H41" s="715"/>
      <c r="I41" s="715"/>
      <c r="J41" s="712"/>
    </row>
    <row r="42" spans="2:10" ht="18" x14ac:dyDescent="0.25">
      <c r="B42" s="711" t="s">
        <v>1570</v>
      </c>
      <c r="C42" s="712" t="s">
        <v>2969</v>
      </c>
      <c r="D42" s="712">
        <f>10^-3</f>
        <v>1E-3</v>
      </c>
      <c r="E42" s="714"/>
      <c r="F42" s="714"/>
      <c r="G42" s="712" t="s">
        <v>1571</v>
      </c>
      <c r="H42" s="715"/>
      <c r="I42" s="715"/>
      <c r="J42" s="712"/>
    </row>
    <row r="44" spans="2:10" ht="15.75" thickBot="1" x14ac:dyDescent="0.3">
      <c r="C44" s="706" t="s">
        <v>496</v>
      </c>
    </row>
    <row r="45" spans="2:10" ht="15.75" thickBot="1" x14ac:dyDescent="0.3">
      <c r="B45" s="707" t="s">
        <v>0</v>
      </c>
      <c r="C45" s="708" t="s">
        <v>1</v>
      </c>
      <c r="D45" s="710" t="s">
        <v>152</v>
      </c>
      <c r="E45" s="710" t="s">
        <v>471</v>
      </c>
      <c r="F45" s="710" t="s">
        <v>472</v>
      </c>
      <c r="G45" s="710" t="s">
        <v>2</v>
      </c>
      <c r="H45" s="710" t="s">
        <v>302</v>
      </c>
      <c r="I45" s="710" t="s">
        <v>116</v>
      </c>
      <c r="J45" s="719" t="s">
        <v>117</v>
      </c>
    </row>
    <row r="46" spans="2:10" ht="18" x14ac:dyDescent="0.25">
      <c r="B46" s="711" t="s">
        <v>497</v>
      </c>
      <c r="C46" s="712" t="s">
        <v>498</v>
      </c>
      <c r="D46" s="712">
        <v>0.20949999999999999</v>
      </c>
      <c r="E46" s="714">
        <v>0</v>
      </c>
      <c r="F46" s="714">
        <v>1</v>
      </c>
      <c r="G46" s="712" t="s">
        <v>499</v>
      </c>
      <c r="H46" s="715"/>
      <c r="I46" s="715"/>
      <c r="J46" s="712"/>
    </row>
    <row r="47" spans="2:10" ht="18" x14ac:dyDescent="0.25">
      <c r="B47" s="711" t="s">
        <v>500</v>
      </c>
      <c r="C47" s="712" t="s">
        <v>501</v>
      </c>
      <c r="D47" s="712">
        <v>0.78080000000000005</v>
      </c>
      <c r="E47" s="714">
        <v>0</v>
      </c>
      <c r="F47" s="714">
        <v>1</v>
      </c>
      <c r="G47" s="712" t="s">
        <v>499</v>
      </c>
      <c r="H47" s="715"/>
      <c r="I47" s="715"/>
      <c r="J47" s="712"/>
    </row>
    <row r="48" spans="2:10" ht="18" x14ac:dyDescent="0.25">
      <c r="B48" s="711" t="s">
        <v>502</v>
      </c>
      <c r="C48" s="712" t="s">
        <v>503</v>
      </c>
      <c r="D48" s="712">
        <v>9.2999999999999992E-3</v>
      </c>
      <c r="E48" s="714">
        <v>0</v>
      </c>
      <c r="F48" s="714">
        <v>1</v>
      </c>
      <c r="G48" s="712" t="s">
        <v>499</v>
      </c>
      <c r="H48" s="715"/>
      <c r="I48" s="715"/>
      <c r="J48" s="712"/>
    </row>
    <row r="49" spans="2:12" ht="18" x14ac:dyDescent="0.25">
      <c r="B49" s="711" t="s">
        <v>504</v>
      </c>
      <c r="C49" s="712" t="s">
        <v>505</v>
      </c>
      <c r="D49" s="712">
        <v>4.0000000000000002E-4</v>
      </c>
      <c r="E49" s="714">
        <v>0</v>
      </c>
      <c r="F49" s="714">
        <v>1</v>
      </c>
      <c r="G49" s="712" t="s">
        <v>499</v>
      </c>
      <c r="H49" s="715"/>
      <c r="I49" s="715"/>
      <c r="J49" s="712"/>
    </row>
    <row r="50" spans="2:12" ht="18" x14ac:dyDescent="0.25">
      <c r="B50" s="711" t="s">
        <v>2970</v>
      </c>
      <c r="C50" s="712" t="s">
        <v>2971</v>
      </c>
      <c r="D50" s="712">
        <v>1200</v>
      </c>
      <c r="E50" s="714"/>
      <c r="F50" s="714"/>
      <c r="G50" s="712" t="s">
        <v>783</v>
      </c>
      <c r="H50" s="715"/>
      <c r="I50" s="715"/>
      <c r="J50" s="712"/>
    </row>
    <row r="51" spans="2:12" ht="18" x14ac:dyDescent="0.25">
      <c r="B51" s="711" t="s">
        <v>2972</v>
      </c>
      <c r="C51" s="712" t="s">
        <v>2973</v>
      </c>
      <c r="D51" s="712">
        <v>101325</v>
      </c>
      <c r="E51" s="714">
        <v>0</v>
      </c>
      <c r="F51" s="714"/>
      <c r="G51" s="712" t="s">
        <v>784</v>
      </c>
      <c r="H51" s="715"/>
      <c r="I51" s="715"/>
      <c r="J51" s="712"/>
    </row>
    <row r="52" spans="2:12" ht="18" x14ac:dyDescent="0.25">
      <c r="B52" s="711" t="s">
        <v>3618</v>
      </c>
      <c r="C52" s="712" t="s">
        <v>2974</v>
      </c>
      <c r="D52" s="712">
        <v>101325</v>
      </c>
      <c r="E52" s="714">
        <v>0</v>
      </c>
      <c r="F52" s="714"/>
      <c r="G52" s="712" t="s">
        <v>784</v>
      </c>
      <c r="H52" s="715"/>
      <c r="I52" s="715"/>
      <c r="J52" s="712"/>
    </row>
    <row r="54" spans="2:12" ht="15.75" thickBot="1" x14ac:dyDescent="0.3">
      <c r="C54" s="706" t="s">
        <v>3954</v>
      </c>
    </row>
    <row r="55" spans="2:12" ht="15.75" thickBot="1" x14ac:dyDescent="0.3">
      <c r="B55" s="707" t="s">
        <v>0</v>
      </c>
      <c r="C55" s="708" t="s">
        <v>1</v>
      </c>
      <c r="D55" s="710" t="s">
        <v>152</v>
      </c>
      <c r="E55" s="710" t="s">
        <v>471</v>
      </c>
      <c r="F55" s="710" t="s">
        <v>472</v>
      </c>
      <c r="G55" s="710" t="s">
        <v>2</v>
      </c>
      <c r="H55" s="710" t="s">
        <v>302</v>
      </c>
      <c r="I55" s="710" t="s">
        <v>116</v>
      </c>
      <c r="J55" s="719" t="s">
        <v>117</v>
      </c>
    </row>
    <row r="56" spans="2:12" ht="18" x14ac:dyDescent="0.25">
      <c r="B56" s="711" t="s">
        <v>2954</v>
      </c>
      <c r="C56" s="712" t="s">
        <v>2975</v>
      </c>
      <c r="D56" s="712">
        <v>1</v>
      </c>
      <c r="E56" s="714">
        <v>0</v>
      </c>
      <c r="F56" s="714">
        <v>1</v>
      </c>
      <c r="G56" s="712" t="s">
        <v>2976</v>
      </c>
      <c r="H56" s="715"/>
      <c r="I56" s="715"/>
      <c r="J56" s="712" t="s">
        <v>2977</v>
      </c>
    </row>
    <row r="58" spans="2:12" ht="15.75" thickBot="1" x14ac:dyDescent="0.3">
      <c r="C58" s="706" t="s">
        <v>506</v>
      </c>
    </row>
    <row r="59" spans="2:12" ht="15.75" thickBot="1" x14ac:dyDescent="0.3">
      <c r="B59" s="707" t="s">
        <v>0</v>
      </c>
      <c r="C59" s="708" t="s">
        <v>1</v>
      </c>
      <c r="D59" s="710" t="s">
        <v>152</v>
      </c>
      <c r="E59" s="710" t="s">
        <v>471</v>
      </c>
      <c r="F59" s="710" t="s">
        <v>472</v>
      </c>
      <c r="G59" s="710" t="s">
        <v>2</v>
      </c>
      <c r="H59" s="710" t="s">
        <v>302</v>
      </c>
      <c r="I59" s="710" t="s">
        <v>116</v>
      </c>
      <c r="J59" s="719" t="s">
        <v>117</v>
      </c>
    </row>
    <row r="60" spans="2:12" ht="17.25" x14ac:dyDescent="0.25">
      <c r="B60" s="711" t="s">
        <v>507</v>
      </c>
      <c r="C60" s="712" t="s">
        <v>508</v>
      </c>
      <c r="D60" s="712">
        <v>8.3144721500000003</v>
      </c>
      <c r="E60" s="714"/>
      <c r="F60" s="714"/>
      <c r="G60" s="712" t="s">
        <v>509</v>
      </c>
      <c r="H60" s="715"/>
      <c r="I60" s="715"/>
      <c r="J60" s="712"/>
    </row>
    <row r="61" spans="2:12" ht="18" x14ac:dyDescent="0.25">
      <c r="B61" s="711" t="s">
        <v>1572</v>
      </c>
      <c r="C61" s="712" t="s">
        <v>1573</v>
      </c>
      <c r="D61" s="712">
        <v>287.10199999999998</v>
      </c>
      <c r="E61" s="714"/>
      <c r="F61" s="714"/>
      <c r="G61" s="712" t="s">
        <v>1574</v>
      </c>
      <c r="H61" s="715"/>
      <c r="I61" s="715"/>
      <c r="J61" s="712"/>
    </row>
    <row r="62" spans="2:12" ht="18" x14ac:dyDescent="0.25">
      <c r="B62" s="711" t="s">
        <v>2691</v>
      </c>
      <c r="C62" s="712" t="s">
        <v>2692</v>
      </c>
      <c r="D62" s="712" t="e">
        <f>(T_STP_K*R__)/p_N</f>
        <v>#NAME?</v>
      </c>
      <c r="E62" s="714"/>
      <c r="F62" s="714"/>
      <c r="G62" s="712" t="s">
        <v>2693</v>
      </c>
      <c r="H62" s="715"/>
      <c r="I62" s="715"/>
      <c r="J62" s="712"/>
    </row>
    <row r="63" spans="2:12" x14ac:dyDescent="0.25">
      <c r="B63" s="711" t="s">
        <v>1575</v>
      </c>
      <c r="C63" s="712" t="s">
        <v>3134</v>
      </c>
      <c r="D63" s="712">
        <v>1.4</v>
      </c>
      <c r="E63" s="714"/>
      <c r="F63" s="714"/>
      <c r="G63" s="712" t="s">
        <v>278</v>
      </c>
      <c r="H63" s="715"/>
      <c r="I63" s="715"/>
      <c r="J63" s="712"/>
      <c r="L63" s="704">
        <v>2.24139952407846E-2</v>
      </c>
    </row>
    <row r="64" spans="2:12" ht="17.25" x14ac:dyDescent="0.25">
      <c r="B64" s="711" t="s">
        <v>510</v>
      </c>
      <c r="C64" s="712" t="s">
        <v>511</v>
      </c>
      <c r="D64" s="712">
        <v>96485.339924</v>
      </c>
      <c r="E64" s="714"/>
      <c r="F64" s="714"/>
      <c r="G64" s="712" t="s">
        <v>512</v>
      </c>
      <c r="H64" s="715"/>
      <c r="I64" s="715"/>
      <c r="J64" s="712"/>
    </row>
    <row r="65" spans="2:10" ht="18" x14ac:dyDescent="0.25">
      <c r="B65" s="711" t="s">
        <v>513</v>
      </c>
      <c r="C65" s="712" t="s">
        <v>514</v>
      </c>
      <c r="D65" s="712">
        <v>9.8066499999999994</v>
      </c>
      <c r="E65" s="714"/>
      <c r="F65" s="714"/>
      <c r="G65" s="712" t="s">
        <v>515</v>
      </c>
      <c r="H65" s="715"/>
      <c r="I65" s="715"/>
      <c r="J65" s="712"/>
    </row>
    <row r="66" spans="2:10" ht="18" x14ac:dyDescent="0.25">
      <c r="B66" s="711" t="s">
        <v>914</v>
      </c>
      <c r="C66" s="712" t="s">
        <v>915</v>
      </c>
      <c r="D66" s="712">
        <v>4.1813000000000002</v>
      </c>
      <c r="E66" s="714"/>
      <c r="F66" s="714"/>
      <c r="G66" s="712" t="s">
        <v>3062</v>
      </c>
      <c r="H66" s="715"/>
      <c r="I66" s="715"/>
      <c r="J66" s="712"/>
    </row>
    <row r="67" spans="2:10" ht="18" x14ac:dyDescent="0.25">
      <c r="B67" s="711" t="s">
        <v>2978</v>
      </c>
      <c r="C67" s="712" t="s">
        <v>2979</v>
      </c>
      <c r="D67" s="712">
        <v>298.14999999999998</v>
      </c>
      <c r="E67" s="714"/>
      <c r="F67" s="714"/>
      <c r="G67" s="712" t="s">
        <v>475</v>
      </c>
      <c r="H67" s="715"/>
      <c r="I67" s="715"/>
      <c r="J67" s="712" t="s">
        <v>2980</v>
      </c>
    </row>
    <row r="68" spans="2:10" ht="18" x14ac:dyDescent="0.25">
      <c r="B68" s="711" t="s">
        <v>2981</v>
      </c>
      <c r="C68" s="712" t="s">
        <v>2982</v>
      </c>
      <c r="D68" s="712">
        <v>293.14999999999998</v>
      </c>
      <c r="E68" s="714"/>
      <c r="F68" s="714"/>
      <c r="G68" s="712" t="s">
        <v>475</v>
      </c>
      <c r="H68" s="715"/>
      <c r="I68" s="715"/>
      <c r="J68" s="712" t="s">
        <v>2983</v>
      </c>
    </row>
    <row r="69" spans="2:10" ht="18" x14ac:dyDescent="0.25">
      <c r="B69" s="711" t="s">
        <v>2984</v>
      </c>
      <c r="C69" s="712" t="s">
        <v>2985</v>
      </c>
      <c r="D69" s="712">
        <v>273.14999999999998</v>
      </c>
      <c r="E69" s="714"/>
      <c r="F69" s="714"/>
      <c r="G69" s="712" t="s">
        <v>475</v>
      </c>
      <c r="H69" s="715"/>
      <c r="I69" s="715"/>
      <c r="J69" s="712" t="s">
        <v>2986</v>
      </c>
    </row>
    <row r="70" spans="2:10" ht="18" x14ac:dyDescent="0.25">
      <c r="B70" s="711" t="s">
        <v>2987</v>
      </c>
      <c r="C70" s="712" t="s">
        <v>1203</v>
      </c>
      <c r="D70" s="712">
        <v>0</v>
      </c>
      <c r="E70" s="714"/>
      <c r="F70" s="714"/>
      <c r="G70" s="712" t="s">
        <v>2694</v>
      </c>
      <c r="H70" s="715"/>
      <c r="I70" s="715"/>
      <c r="J70" s="712" t="s">
        <v>1576</v>
      </c>
    </row>
    <row r="72" spans="2:10" ht="15.75" thickBot="1" x14ac:dyDescent="0.3">
      <c r="C72" s="706" t="s">
        <v>516</v>
      </c>
    </row>
    <row r="73" spans="2:10" ht="15.75" thickBot="1" x14ac:dyDescent="0.3">
      <c r="B73" s="707" t="s">
        <v>0</v>
      </c>
      <c r="C73" s="708" t="s">
        <v>1</v>
      </c>
      <c r="D73" s="710" t="s">
        <v>152</v>
      </c>
      <c r="E73" s="710" t="s">
        <v>471</v>
      </c>
      <c r="F73" s="710" t="s">
        <v>472</v>
      </c>
      <c r="G73" s="710" t="s">
        <v>2</v>
      </c>
      <c r="H73" s="710" t="s">
        <v>302</v>
      </c>
      <c r="I73" s="710" t="s">
        <v>116</v>
      </c>
      <c r="J73" s="719" t="s">
        <v>117</v>
      </c>
    </row>
    <row r="74" spans="2:10" x14ac:dyDescent="0.25">
      <c r="B74" s="711" t="s">
        <v>517</v>
      </c>
      <c r="C74" s="712" t="s">
        <v>518</v>
      </c>
      <c r="D74" s="712">
        <v>3.1415926500000002</v>
      </c>
      <c r="E74" s="714"/>
      <c r="F74" s="714"/>
      <c r="G74" s="712" t="s">
        <v>278</v>
      </c>
      <c r="H74" s="715"/>
      <c r="I74" s="715"/>
      <c r="J74" s="712"/>
    </row>
    <row r="76" spans="2:10" ht="15.75" thickBot="1" x14ac:dyDescent="0.3">
      <c r="C76" s="706" t="s">
        <v>519</v>
      </c>
    </row>
    <row r="77" spans="2:10" ht="15.75" thickBot="1" x14ac:dyDescent="0.3">
      <c r="B77" s="707" t="s">
        <v>0</v>
      </c>
      <c r="C77" s="708" t="s">
        <v>1</v>
      </c>
      <c r="D77" s="710" t="s">
        <v>152</v>
      </c>
      <c r="E77" s="710" t="s">
        <v>471</v>
      </c>
      <c r="F77" s="710" t="s">
        <v>472</v>
      </c>
      <c r="G77" s="710" t="s">
        <v>2</v>
      </c>
      <c r="H77" s="710" t="s">
        <v>302</v>
      </c>
      <c r="I77" s="710" t="s">
        <v>116</v>
      </c>
      <c r="J77" s="719" t="s">
        <v>117</v>
      </c>
    </row>
    <row r="78" spans="2:10" ht="18" hidden="1" outlineLevel="1" x14ac:dyDescent="0.25">
      <c r="B78" s="711" t="s">
        <v>374</v>
      </c>
      <c r="C78" s="712" t="s">
        <v>267</v>
      </c>
      <c r="D78" s="712">
        <v>1.0079400000000001</v>
      </c>
      <c r="E78" s="714"/>
      <c r="F78" s="714"/>
      <c r="G78" s="712" t="s">
        <v>366</v>
      </c>
      <c r="H78" s="715"/>
      <c r="I78" s="715"/>
      <c r="J78" s="712"/>
    </row>
    <row r="79" spans="2:10" ht="18" hidden="1" outlineLevel="1" x14ac:dyDescent="0.25">
      <c r="B79" s="711" t="s">
        <v>520</v>
      </c>
      <c r="C79" s="712" t="s">
        <v>521</v>
      </c>
      <c r="D79" s="712">
        <v>4.0026020000000004</v>
      </c>
      <c r="E79" s="714"/>
      <c r="F79" s="714"/>
      <c r="G79" s="712" t="s">
        <v>366</v>
      </c>
      <c r="H79" s="715"/>
      <c r="I79" s="715"/>
      <c r="J79" s="712"/>
    </row>
    <row r="80" spans="2:10" ht="18" hidden="1" outlineLevel="1" x14ac:dyDescent="0.25">
      <c r="B80" s="711" t="s">
        <v>522</v>
      </c>
      <c r="C80" s="712" t="s">
        <v>523</v>
      </c>
      <c r="D80" s="712">
        <v>6.9409999999999998</v>
      </c>
      <c r="E80" s="714"/>
      <c r="F80" s="714"/>
      <c r="G80" s="712" t="s">
        <v>366</v>
      </c>
      <c r="H80" s="715"/>
      <c r="I80" s="715"/>
      <c r="J80" s="712"/>
    </row>
    <row r="81" spans="2:10" ht="18" hidden="1" outlineLevel="1" x14ac:dyDescent="0.25">
      <c r="B81" s="711" t="s">
        <v>524</v>
      </c>
      <c r="C81" s="712" t="s">
        <v>525</v>
      </c>
      <c r="D81" s="712">
        <v>9.0121819999999992</v>
      </c>
      <c r="E81" s="714"/>
      <c r="F81" s="714"/>
      <c r="G81" s="712" t="s">
        <v>366</v>
      </c>
      <c r="H81" s="715"/>
      <c r="I81" s="715"/>
      <c r="J81" s="712"/>
    </row>
    <row r="82" spans="2:10" ht="18" hidden="1" outlineLevel="1" x14ac:dyDescent="0.25">
      <c r="B82" s="711" t="s">
        <v>526</v>
      </c>
      <c r="C82" s="712" t="s">
        <v>527</v>
      </c>
      <c r="D82" s="712">
        <v>10.811</v>
      </c>
      <c r="E82" s="714"/>
      <c r="F82" s="714"/>
      <c r="G82" s="712" t="s">
        <v>366</v>
      </c>
      <c r="H82" s="715"/>
      <c r="I82" s="715"/>
      <c r="J82" s="712"/>
    </row>
    <row r="83" spans="2:10" ht="18" hidden="1" outlineLevel="1" x14ac:dyDescent="0.25">
      <c r="B83" s="711" t="s">
        <v>365</v>
      </c>
      <c r="C83" s="712" t="s">
        <v>274</v>
      </c>
      <c r="D83" s="712">
        <v>12.0107</v>
      </c>
      <c r="E83" s="714"/>
      <c r="F83" s="714"/>
      <c r="G83" s="712" t="s">
        <v>366</v>
      </c>
      <c r="H83" s="715"/>
      <c r="I83" s="715"/>
      <c r="J83" s="712"/>
    </row>
    <row r="84" spans="2:10" ht="18" hidden="1" outlineLevel="1" x14ac:dyDescent="0.25">
      <c r="B84" s="711" t="s">
        <v>368</v>
      </c>
      <c r="C84" s="712" t="s">
        <v>258</v>
      </c>
      <c r="D84" s="712">
        <v>14.0067</v>
      </c>
      <c r="E84" s="714"/>
      <c r="F84" s="714"/>
      <c r="G84" s="712" t="s">
        <v>366</v>
      </c>
      <c r="H84" s="715"/>
      <c r="I84" s="715"/>
      <c r="J84" s="712"/>
    </row>
    <row r="85" spans="2:10" ht="18" hidden="1" outlineLevel="1" x14ac:dyDescent="0.25">
      <c r="B85" s="711" t="s">
        <v>369</v>
      </c>
      <c r="C85" s="712" t="s">
        <v>257</v>
      </c>
      <c r="D85" s="712">
        <v>15.9994</v>
      </c>
      <c r="E85" s="714"/>
      <c r="F85" s="714"/>
      <c r="G85" s="712" t="s">
        <v>366</v>
      </c>
      <c r="H85" s="715"/>
      <c r="I85" s="715"/>
      <c r="J85" s="712"/>
    </row>
    <row r="86" spans="2:10" ht="18" hidden="1" outlineLevel="1" x14ac:dyDescent="0.25">
      <c r="B86" s="711" t="s">
        <v>528</v>
      </c>
      <c r="C86" s="712" t="s">
        <v>529</v>
      </c>
      <c r="D86" s="712">
        <v>18.998403</v>
      </c>
      <c r="E86" s="714"/>
      <c r="F86" s="714"/>
      <c r="G86" s="712" t="s">
        <v>366</v>
      </c>
      <c r="H86" s="715"/>
      <c r="I86" s="715"/>
      <c r="J86" s="712"/>
    </row>
    <row r="87" spans="2:10" ht="18" hidden="1" outlineLevel="1" x14ac:dyDescent="0.25">
      <c r="B87" s="711" t="s">
        <v>530</v>
      </c>
      <c r="C87" s="712" t="s">
        <v>531</v>
      </c>
      <c r="D87" s="712">
        <v>20.1797</v>
      </c>
      <c r="E87" s="714"/>
      <c r="F87" s="714"/>
      <c r="G87" s="712" t="s">
        <v>366</v>
      </c>
      <c r="H87" s="715"/>
      <c r="I87" s="715"/>
      <c r="J87" s="712"/>
    </row>
    <row r="88" spans="2:10" ht="18" hidden="1" outlineLevel="1" x14ac:dyDescent="0.25">
      <c r="B88" s="711" t="s">
        <v>375</v>
      </c>
      <c r="C88" s="712" t="s">
        <v>291</v>
      </c>
      <c r="D88" s="712">
        <v>22.989768999999999</v>
      </c>
      <c r="E88" s="714"/>
      <c r="F88" s="714"/>
      <c r="G88" s="712" t="s">
        <v>366</v>
      </c>
      <c r="H88" s="715"/>
      <c r="I88" s="715"/>
      <c r="J88" s="712"/>
    </row>
    <row r="89" spans="2:10" ht="18" hidden="1" outlineLevel="1" x14ac:dyDescent="0.25">
      <c r="B89" s="711" t="s">
        <v>532</v>
      </c>
      <c r="C89" s="712" t="s">
        <v>533</v>
      </c>
      <c r="D89" s="712">
        <v>24.305</v>
      </c>
      <c r="E89" s="714"/>
      <c r="F89" s="714"/>
      <c r="G89" s="712" t="s">
        <v>366</v>
      </c>
      <c r="H89" s="715"/>
      <c r="I89" s="715"/>
      <c r="J89" s="712"/>
    </row>
    <row r="90" spans="2:10" ht="18" hidden="1" outlineLevel="1" x14ac:dyDescent="0.25">
      <c r="B90" s="711" t="s">
        <v>373</v>
      </c>
      <c r="C90" s="712" t="s">
        <v>261</v>
      </c>
      <c r="D90" s="712">
        <v>26.9815</v>
      </c>
      <c r="E90" s="714"/>
      <c r="F90" s="714"/>
      <c r="G90" s="712" t="s">
        <v>366</v>
      </c>
      <c r="H90" s="715"/>
      <c r="I90" s="715"/>
      <c r="J90" s="712"/>
    </row>
    <row r="91" spans="2:10" ht="18" hidden="1" outlineLevel="1" x14ac:dyDescent="0.25">
      <c r="B91" s="711" t="s">
        <v>534</v>
      </c>
      <c r="C91" s="712" t="s">
        <v>535</v>
      </c>
      <c r="D91" s="712">
        <v>28.0855</v>
      </c>
      <c r="E91" s="714"/>
      <c r="F91" s="714"/>
      <c r="G91" s="712" t="s">
        <v>366</v>
      </c>
      <c r="H91" s="715"/>
      <c r="I91" s="715"/>
      <c r="J91" s="712"/>
    </row>
    <row r="92" spans="2:10" ht="18" hidden="1" outlineLevel="1" x14ac:dyDescent="0.25">
      <c r="B92" s="711" t="s">
        <v>367</v>
      </c>
      <c r="C92" s="712" t="s">
        <v>262</v>
      </c>
      <c r="D92" s="712">
        <v>30.973762199999999</v>
      </c>
      <c r="E92" s="714"/>
      <c r="F92" s="714"/>
      <c r="G92" s="712" t="s">
        <v>366</v>
      </c>
      <c r="H92" s="715"/>
      <c r="I92" s="715"/>
      <c r="J92" s="712"/>
    </row>
    <row r="93" spans="2:10" ht="18" hidden="1" outlineLevel="1" x14ac:dyDescent="0.25">
      <c r="B93" s="711" t="s">
        <v>536</v>
      </c>
      <c r="C93" s="712" t="s">
        <v>537</v>
      </c>
      <c r="D93" s="712">
        <v>32.064999999999998</v>
      </c>
      <c r="E93" s="714"/>
      <c r="F93" s="714"/>
      <c r="G93" s="712" t="s">
        <v>366</v>
      </c>
      <c r="H93" s="715"/>
      <c r="I93" s="715"/>
      <c r="J93" s="712"/>
    </row>
    <row r="94" spans="2:10" ht="18" hidden="1" outlineLevel="1" x14ac:dyDescent="0.25">
      <c r="B94" s="711" t="s">
        <v>376</v>
      </c>
      <c r="C94" s="712" t="s">
        <v>377</v>
      </c>
      <c r="D94" s="712">
        <v>35.453000000000003</v>
      </c>
      <c r="E94" s="714"/>
      <c r="F94" s="714"/>
      <c r="G94" s="712" t="s">
        <v>366</v>
      </c>
      <c r="H94" s="715"/>
      <c r="I94" s="715"/>
      <c r="J94" s="712"/>
    </row>
    <row r="95" spans="2:10" ht="18" hidden="1" outlineLevel="1" x14ac:dyDescent="0.25">
      <c r="B95" s="711" t="s">
        <v>538</v>
      </c>
      <c r="C95" s="712" t="s">
        <v>539</v>
      </c>
      <c r="D95" s="712">
        <v>39.948</v>
      </c>
      <c r="E95" s="714"/>
      <c r="F95" s="714"/>
      <c r="G95" s="712" t="s">
        <v>366</v>
      </c>
      <c r="H95" s="715"/>
      <c r="I95" s="715"/>
      <c r="J95" s="712"/>
    </row>
    <row r="96" spans="2:10" ht="18" hidden="1" outlineLevel="1" x14ac:dyDescent="0.25">
      <c r="B96" s="711" t="s">
        <v>540</v>
      </c>
      <c r="C96" s="712" t="s">
        <v>541</v>
      </c>
      <c r="D96" s="712">
        <v>39.098300000000002</v>
      </c>
      <c r="E96" s="714"/>
      <c r="F96" s="714"/>
      <c r="G96" s="712" t="s">
        <v>366</v>
      </c>
      <c r="H96" s="715"/>
      <c r="I96" s="715"/>
      <c r="J96" s="712"/>
    </row>
    <row r="97" spans="2:10" ht="18" hidden="1" outlineLevel="1" x14ac:dyDescent="0.25">
      <c r="B97" s="711" t="s">
        <v>370</v>
      </c>
      <c r="C97" s="712" t="s">
        <v>371</v>
      </c>
      <c r="D97" s="712">
        <v>40.078000000000003</v>
      </c>
      <c r="E97" s="714"/>
      <c r="F97" s="714"/>
      <c r="G97" s="712" t="s">
        <v>366</v>
      </c>
      <c r="H97" s="715"/>
      <c r="I97" s="715"/>
      <c r="J97" s="712"/>
    </row>
    <row r="98" spans="2:10" ht="18" hidden="1" outlineLevel="1" x14ac:dyDescent="0.25">
      <c r="B98" s="711" t="s">
        <v>542</v>
      </c>
      <c r="C98" s="712" t="s">
        <v>543</v>
      </c>
      <c r="D98" s="712">
        <v>44.955911999999998</v>
      </c>
      <c r="E98" s="714"/>
      <c r="F98" s="714"/>
      <c r="G98" s="712" t="s">
        <v>366</v>
      </c>
      <c r="H98" s="715"/>
      <c r="I98" s="715"/>
      <c r="J98" s="712"/>
    </row>
    <row r="99" spans="2:10" ht="18" hidden="1" outlineLevel="1" x14ac:dyDescent="0.25">
      <c r="B99" s="711" t="s">
        <v>544</v>
      </c>
      <c r="C99" s="712" t="s">
        <v>545</v>
      </c>
      <c r="D99" s="712">
        <v>47.866999999999997</v>
      </c>
      <c r="E99" s="714"/>
      <c r="F99" s="714"/>
      <c r="G99" s="712" t="s">
        <v>366</v>
      </c>
      <c r="H99" s="715"/>
      <c r="I99" s="715"/>
      <c r="J99" s="712"/>
    </row>
    <row r="100" spans="2:10" ht="18" hidden="1" outlineLevel="1" x14ac:dyDescent="0.25">
      <c r="B100" s="711" t="s">
        <v>546</v>
      </c>
      <c r="C100" s="712" t="s">
        <v>547</v>
      </c>
      <c r="D100" s="712">
        <v>50.941499999999998</v>
      </c>
      <c r="E100" s="714"/>
      <c r="F100" s="714"/>
      <c r="G100" s="712" t="s">
        <v>366</v>
      </c>
      <c r="H100" s="715"/>
      <c r="I100" s="715"/>
      <c r="J100" s="712"/>
    </row>
    <row r="101" spans="2:10" ht="18" hidden="1" outlineLevel="1" x14ac:dyDescent="0.25">
      <c r="B101" s="711" t="s">
        <v>548</v>
      </c>
      <c r="C101" s="712" t="s">
        <v>549</v>
      </c>
      <c r="D101" s="712">
        <v>51.996099999999998</v>
      </c>
      <c r="E101" s="714"/>
      <c r="F101" s="714"/>
      <c r="G101" s="712" t="s">
        <v>366</v>
      </c>
      <c r="H101" s="715"/>
      <c r="I101" s="715"/>
      <c r="J101" s="712"/>
    </row>
    <row r="102" spans="2:10" ht="18" hidden="1" outlineLevel="1" x14ac:dyDescent="0.25">
      <c r="B102" s="711" t="s">
        <v>550</v>
      </c>
      <c r="C102" s="712" t="s">
        <v>551</v>
      </c>
      <c r="D102" s="712">
        <v>54.938045000000002</v>
      </c>
      <c r="E102" s="714"/>
      <c r="F102" s="714"/>
      <c r="G102" s="712" t="s">
        <v>366</v>
      </c>
      <c r="H102" s="715"/>
      <c r="I102" s="715"/>
      <c r="J102" s="712"/>
    </row>
    <row r="103" spans="2:10" ht="18" hidden="1" outlineLevel="1" x14ac:dyDescent="0.25">
      <c r="B103" s="711" t="s">
        <v>372</v>
      </c>
      <c r="C103" s="712" t="s">
        <v>260</v>
      </c>
      <c r="D103" s="712">
        <v>55.844999999999999</v>
      </c>
      <c r="E103" s="714"/>
      <c r="F103" s="714"/>
      <c r="G103" s="712" t="s">
        <v>366</v>
      </c>
      <c r="H103" s="715"/>
      <c r="I103" s="715"/>
      <c r="J103" s="712"/>
    </row>
    <row r="104" spans="2:10" ht="18" hidden="1" outlineLevel="1" x14ac:dyDescent="0.25">
      <c r="B104" s="711" t="s">
        <v>552</v>
      </c>
      <c r="C104" s="712" t="s">
        <v>553</v>
      </c>
      <c r="D104" s="712">
        <v>58.933194999999998</v>
      </c>
      <c r="E104" s="714"/>
      <c r="F104" s="714"/>
      <c r="G104" s="712" t="s">
        <v>366</v>
      </c>
      <c r="H104" s="715"/>
      <c r="I104" s="715"/>
      <c r="J104" s="712"/>
    </row>
    <row r="105" spans="2:10" ht="18" hidden="1" outlineLevel="1" x14ac:dyDescent="0.25">
      <c r="B105" s="711" t="s">
        <v>554</v>
      </c>
      <c r="C105" s="712" t="s">
        <v>555</v>
      </c>
      <c r="D105" s="712">
        <v>58.693399999999997</v>
      </c>
      <c r="E105" s="714"/>
      <c r="F105" s="714"/>
      <c r="G105" s="712" t="s">
        <v>366</v>
      </c>
      <c r="H105" s="715"/>
      <c r="I105" s="715"/>
      <c r="J105" s="712"/>
    </row>
    <row r="106" spans="2:10" ht="18" hidden="1" outlineLevel="1" x14ac:dyDescent="0.25">
      <c r="B106" s="711" t="s">
        <v>556</v>
      </c>
      <c r="C106" s="712" t="s">
        <v>557</v>
      </c>
      <c r="D106" s="712">
        <v>63.545999999999999</v>
      </c>
      <c r="E106" s="714"/>
      <c r="F106" s="714"/>
      <c r="G106" s="712" t="s">
        <v>366</v>
      </c>
      <c r="H106" s="715"/>
      <c r="I106" s="715"/>
      <c r="J106" s="712"/>
    </row>
    <row r="107" spans="2:10" ht="18" hidden="1" outlineLevel="1" x14ac:dyDescent="0.25">
      <c r="B107" s="711" t="s">
        <v>558</v>
      </c>
      <c r="C107" s="712" t="s">
        <v>559</v>
      </c>
      <c r="D107" s="712">
        <v>65.38</v>
      </c>
      <c r="E107" s="714"/>
      <c r="F107" s="714"/>
      <c r="G107" s="712" t="s">
        <v>366</v>
      </c>
      <c r="H107" s="715"/>
      <c r="I107" s="715"/>
      <c r="J107" s="712"/>
    </row>
    <row r="108" spans="2:10" ht="18" hidden="1" outlineLevel="1" x14ac:dyDescent="0.25">
      <c r="B108" s="711" t="s">
        <v>560</v>
      </c>
      <c r="C108" s="712" t="s">
        <v>561</v>
      </c>
      <c r="D108" s="712">
        <v>69.722999999999999</v>
      </c>
      <c r="E108" s="714"/>
      <c r="F108" s="714"/>
      <c r="G108" s="712" t="s">
        <v>366</v>
      </c>
      <c r="H108" s="715"/>
      <c r="I108" s="715"/>
      <c r="J108" s="712"/>
    </row>
    <row r="109" spans="2:10" ht="18" hidden="1" outlineLevel="1" x14ac:dyDescent="0.25">
      <c r="B109" s="711" t="s">
        <v>562</v>
      </c>
      <c r="C109" s="712" t="s">
        <v>563</v>
      </c>
      <c r="D109" s="712">
        <v>72.64</v>
      </c>
      <c r="E109" s="714"/>
      <c r="F109" s="714"/>
      <c r="G109" s="712" t="s">
        <v>366</v>
      </c>
      <c r="H109" s="715"/>
      <c r="I109" s="715"/>
      <c r="J109" s="712"/>
    </row>
    <row r="110" spans="2:10" ht="18" hidden="1" outlineLevel="1" x14ac:dyDescent="0.25">
      <c r="B110" s="711" t="s">
        <v>564</v>
      </c>
      <c r="C110" s="712" t="s">
        <v>565</v>
      </c>
      <c r="D110" s="712">
        <v>74.921599999999998</v>
      </c>
      <c r="E110" s="714"/>
      <c r="F110" s="714"/>
      <c r="G110" s="712" t="s">
        <v>366</v>
      </c>
      <c r="H110" s="715"/>
      <c r="I110" s="715"/>
      <c r="J110" s="712"/>
    </row>
    <row r="111" spans="2:10" ht="18" hidden="1" outlineLevel="1" x14ac:dyDescent="0.25">
      <c r="B111" s="711" t="s">
        <v>566</v>
      </c>
      <c r="C111" s="712" t="s">
        <v>567</v>
      </c>
      <c r="D111" s="712">
        <v>78.959999999999994</v>
      </c>
      <c r="E111" s="714"/>
      <c r="F111" s="714"/>
      <c r="G111" s="712" t="s">
        <v>366</v>
      </c>
      <c r="H111" s="715"/>
      <c r="I111" s="715"/>
      <c r="J111" s="712"/>
    </row>
    <row r="112" spans="2:10" ht="18" hidden="1" outlineLevel="1" x14ac:dyDescent="0.25">
      <c r="B112" s="711" t="s">
        <v>568</v>
      </c>
      <c r="C112" s="712" t="s">
        <v>569</v>
      </c>
      <c r="D112" s="712">
        <v>79.903999999999996</v>
      </c>
      <c r="E112" s="714"/>
      <c r="F112" s="714"/>
      <c r="G112" s="712" t="s">
        <v>366</v>
      </c>
      <c r="H112" s="715"/>
      <c r="I112" s="715"/>
      <c r="J112" s="712"/>
    </row>
    <row r="113" spans="2:10" ht="18" hidden="1" outlineLevel="1" x14ac:dyDescent="0.25">
      <c r="B113" s="711" t="s">
        <v>570</v>
      </c>
      <c r="C113" s="712" t="s">
        <v>571</v>
      </c>
      <c r="D113" s="712">
        <v>83.798000000000002</v>
      </c>
      <c r="E113" s="714"/>
      <c r="F113" s="714"/>
      <c r="G113" s="712" t="s">
        <v>366</v>
      </c>
      <c r="H113" s="715"/>
      <c r="I113" s="715"/>
      <c r="J113" s="712"/>
    </row>
    <row r="114" spans="2:10" ht="18" hidden="1" outlineLevel="1" x14ac:dyDescent="0.25">
      <c r="B114" s="711" t="s">
        <v>572</v>
      </c>
      <c r="C114" s="712" t="s">
        <v>573</v>
      </c>
      <c r="D114" s="712">
        <v>85.467799999999997</v>
      </c>
      <c r="E114" s="714"/>
      <c r="F114" s="714"/>
      <c r="G114" s="712" t="s">
        <v>366</v>
      </c>
      <c r="H114" s="715"/>
      <c r="I114" s="715"/>
      <c r="J114" s="712"/>
    </row>
    <row r="115" spans="2:10" ht="18" hidden="1" outlineLevel="1" x14ac:dyDescent="0.25">
      <c r="B115" s="711" t="s">
        <v>574</v>
      </c>
      <c r="C115" s="712" t="s">
        <v>575</v>
      </c>
      <c r="D115" s="712">
        <v>87.62</v>
      </c>
      <c r="E115" s="714"/>
      <c r="F115" s="714"/>
      <c r="G115" s="712" t="s">
        <v>366</v>
      </c>
      <c r="H115" s="715"/>
      <c r="I115" s="715"/>
      <c r="J115" s="712"/>
    </row>
    <row r="116" spans="2:10" ht="18" hidden="1" outlineLevel="1" x14ac:dyDescent="0.25">
      <c r="B116" s="711" t="s">
        <v>576</v>
      </c>
      <c r="C116" s="712" t="s">
        <v>577</v>
      </c>
      <c r="D116" s="712">
        <v>88.905850000000001</v>
      </c>
      <c r="E116" s="714"/>
      <c r="F116" s="714"/>
      <c r="G116" s="712" t="s">
        <v>366</v>
      </c>
      <c r="H116" s="715"/>
      <c r="I116" s="715"/>
      <c r="J116" s="712"/>
    </row>
    <row r="117" spans="2:10" ht="18" hidden="1" outlineLevel="1" x14ac:dyDescent="0.25">
      <c r="B117" s="711" t="s">
        <v>578</v>
      </c>
      <c r="C117" s="712" t="s">
        <v>579</v>
      </c>
      <c r="D117" s="712">
        <v>91.224000000000004</v>
      </c>
      <c r="E117" s="714"/>
      <c r="F117" s="714"/>
      <c r="G117" s="712" t="s">
        <v>366</v>
      </c>
      <c r="H117" s="715"/>
      <c r="I117" s="715"/>
      <c r="J117" s="712"/>
    </row>
    <row r="118" spans="2:10" ht="18" hidden="1" outlineLevel="1" x14ac:dyDescent="0.25">
      <c r="B118" s="711" t="s">
        <v>580</v>
      </c>
      <c r="C118" s="712" t="s">
        <v>581</v>
      </c>
      <c r="D118" s="712">
        <v>92.906379999999999</v>
      </c>
      <c r="E118" s="714"/>
      <c r="F118" s="714"/>
      <c r="G118" s="712" t="s">
        <v>366</v>
      </c>
      <c r="H118" s="715"/>
      <c r="I118" s="715"/>
      <c r="J118" s="712"/>
    </row>
    <row r="119" spans="2:10" ht="18" hidden="1" outlineLevel="1" x14ac:dyDescent="0.25">
      <c r="B119" s="711" t="s">
        <v>582</v>
      </c>
      <c r="C119" s="712" t="s">
        <v>583</v>
      </c>
      <c r="D119" s="712">
        <v>95.94</v>
      </c>
      <c r="E119" s="714"/>
      <c r="F119" s="714"/>
      <c r="G119" s="712" t="s">
        <v>366</v>
      </c>
      <c r="H119" s="715"/>
      <c r="I119" s="715"/>
      <c r="J119" s="712"/>
    </row>
    <row r="120" spans="2:10" ht="18" hidden="1" outlineLevel="1" x14ac:dyDescent="0.25">
      <c r="B120" s="711" t="s">
        <v>584</v>
      </c>
      <c r="C120" s="712" t="s">
        <v>585</v>
      </c>
      <c r="D120" s="712">
        <v>98</v>
      </c>
      <c r="E120" s="714"/>
      <c r="F120" s="714"/>
      <c r="G120" s="712" t="s">
        <v>366</v>
      </c>
      <c r="H120" s="715"/>
      <c r="I120" s="715"/>
      <c r="J120" s="712"/>
    </row>
    <row r="121" spans="2:10" ht="18" hidden="1" outlineLevel="1" x14ac:dyDescent="0.25">
      <c r="B121" s="711" t="s">
        <v>586</v>
      </c>
      <c r="C121" s="712" t="s">
        <v>587</v>
      </c>
      <c r="D121" s="712">
        <v>101.07</v>
      </c>
      <c r="E121" s="714"/>
      <c r="F121" s="714"/>
      <c r="G121" s="712" t="s">
        <v>366</v>
      </c>
      <c r="H121" s="715"/>
      <c r="I121" s="715"/>
      <c r="J121" s="712"/>
    </row>
    <row r="122" spans="2:10" ht="18" hidden="1" outlineLevel="1" x14ac:dyDescent="0.25">
      <c r="B122" s="711" t="s">
        <v>588</v>
      </c>
      <c r="C122" s="712" t="s">
        <v>589</v>
      </c>
      <c r="D122" s="712">
        <v>102.9055</v>
      </c>
      <c r="E122" s="714"/>
      <c r="F122" s="714"/>
      <c r="G122" s="712" t="s">
        <v>366</v>
      </c>
      <c r="H122" s="715"/>
      <c r="I122" s="715"/>
      <c r="J122" s="712"/>
    </row>
    <row r="123" spans="2:10" ht="18" hidden="1" outlineLevel="1" x14ac:dyDescent="0.25">
      <c r="B123" s="711" t="s">
        <v>590</v>
      </c>
      <c r="C123" s="712" t="s">
        <v>591</v>
      </c>
      <c r="D123" s="712">
        <v>106.42</v>
      </c>
      <c r="E123" s="714"/>
      <c r="F123" s="714"/>
      <c r="G123" s="712" t="s">
        <v>366</v>
      </c>
      <c r="H123" s="715"/>
      <c r="I123" s="715"/>
      <c r="J123" s="712"/>
    </row>
    <row r="124" spans="2:10" ht="18" hidden="1" outlineLevel="1" x14ac:dyDescent="0.25">
      <c r="B124" s="711" t="s">
        <v>592</v>
      </c>
      <c r="C124" s="712" t="s">
        <v>593</v>
      </c>
      <c r="D124" s="712">
        <v>107.8682</v>
      </c>
      <c r="E124" s="714"/>
      <c r="F124" s="714"/>
      <c r="G124" s="712" t="s">
        <v>366</v>
      </c>
      <c r="H124" s="715"/>
      <c r="I124" s="715"/>
      <c r="J124" s="712"/>
    </row>
    <row r="125" spans="2:10" ht="18" hidden="1" outlineLevel="1" x14ac:dyDescent="0.25">
      <c r="B125" s="711" t="s">
        <v>594</v>
      </c>
      <c r="C125" s="712" t="s">
        <v>595</v>
      </c>
      <c r="D125" s="712">
        <v>112.411</v>
      </c>
      <c r="E125" s="714"/>
      <c r="F125" s="714"/>
      <c r="G125" s="712" t="s">
        <v>366</v>
      </c>
      <c r="H125" s="715"/>
      <c r="I125" s="715"/>
      <c r="J125" s="712"/>
    </row>
    <row r="126" spans="2:10" ht="18" hidden="1" outlineLevel="1" x14ac:dyDescent="0.25">
      <c r="B126" s="711" t="s">
        <v>596</v>
      </c>
      <c r="C126" s="712" t="s">
        <v>597</v>
      </c>
      <c r="D126" s="712">
        <v>114.818</v>
      </c>
      <c r="E126" s="714"/>
      <c r="F126" s="714"/>
      <c r="G126" s="712" t="s">
        <v>366</v>
      </c>
      <c r="H126" s="715"/>
      <c r="I126" s="715"/>
      <c r="J126" s="712"/>
    </row>
    <row r="127" spans="2:10" ht="18" hidden="1" outlineLevel="1" x14ac:dyDescent="0.25">
      <c r="B127" s="711" t="s">
        <v>598</v>
      </c>
      <c r="C127" s="712" t="s">
        <v>599</v>
      </c>
      <c r="D127" s="712">
        <v>118.71</v>
      </c>
      <c r="E127" s="714"/>
      <c r="F127" s="714"/>
      <c r="G127" s="712" t="s">
        <v>366</v>
      </c>
      <c r="H127" s="715"/>
      <c r="I127" s="715"/>
      <c r="J127" s="712"/>
    </row>
    <row r="128" spans="2:10" ht="18" hidden="1" outlineLevel="1" x14ac:dyDescent="0.25">
      <c r="B128" s="711" t="s">
        <v>600</v>
      </c>
      <c r="C128" s="712" t="s">
        <v>601</v>
      </c>
      <c r="D128" s="712">
        <v>121.76</v>
      </c>
      <c r="E128" s="714"/>
      <c r="F128" s="714"/>
      <c r="G128" s="712" t="s">
        <v>366</v>
      </c>
      <c r="H128" s="715"/>
      <c r="I128" s="715"/>
      <c r="J128" s="712"/>
    </row>
    <row r="129" spans="2:10" ht="18" hidden="1" outlineLevel="1" x14ac:dyDescent="0.25">
      <c r="B129" s="711" t="s">
        <v>602</v>
      </c>
      <c r="C129" s="712" t="s">
        <v>603</v>
      </c>
      <c r="D129" s="712">
        <v>127.6</v>
      </c>
      <c r="E129" s="714"/>
      <c r="F129" s="714"/>
      <c r="G129" s="712" t="s">
        <v>366</v>
      </c>
      <c r="H129" s="715"/>
      <c r="I129" s="715"/>
      <c r="J129" s="712"/>
    </row>
    <row r="130" spans="2:10" ht="18" hidden="1" outlineLevel="1" x14ac:dyDescent="0.25">
      <c r="B130" s="711" t="s">
        <v>604</v>
      </c>
      <c r="C130" s="712" t="s">
        <v>605</v>
      </c>
      <c r="D130" s="712">
        <v>126.90447</v>
      </c>
      <c r="E130" s="714"/>
      <c r="F130" s="714"/>
      <c r="G130" s="712" t="s">
        <v>366</v>
      </c>
      <c r="H130" s="715"/>
      <c r="I130" s="715"/>
      <c r="J130" s="712"/>
    </row>
    <row r="131" spans="2:10" ht="18" hidden="1" outlineLevel="1" x14ac:dyDescent="0.25">
      <c r="B131" s="711" t="s">
        <v>606</v>
      </c>
      <c r="C131" s="712" t="s">
        <v>607</v>
      </c>
      <c r="D131" s="712">
        <v>131.29300000000001</v>
      </c>
      <c r="E131" s="714"/>
      <c r="F131" s="714"/>
      <c r="G131" s="712" t="s">
        <v>366</v>
      </c>
      <c r="H131" s="715"/>
      <c r="I131" s="715"/>
      <c r="J131" s="712"/>
    </row>
    <row r="132" spans="2:10" ht="18" hidden="1" outlineLevel="1" x14ac:dyDescent="0.25">
      <c r="B132" s="711" t="s">
        <v>608</v>
      </c>
      <c r="C132" s="712" t="s">
        <v>609</v>
      </c>
      <c r="D132" s="712">
        <v>132.90545</v>
      </c>
      <c r="E132" s="714"/>
      <c r="F132" s="714"/>
      <c r="G132" s="712" t="s">
        <v>366</v>
      </c>
      <c r="H132" s="715"/>
      <c r="I132" s="715"/>
      <c r="J132" s="712"/>
    </row>
    <row r="133" spans="2:10" ht="18" hidden="1" outlineLevel="1" x14ac:dyDescent="0.25">
      <c r="B133" s="711" t="s">
        <v>610</v>
      </c>
      <c r="C133" s="712" t="s">
        <v>611</v>
      </c>
      <c r="D133" s="712">
        <v>137.327</v>
      </c>
      <c r="E133" s="714"/>
      <c r="F133" s="714"/>
      <c r="G133" s="712" t="s">
        <v>366</v>
      </c>
      <c r="H133" s="715"/>
      <c r="I133" s="715"/>
      <c r="J133" s="712"/>
    </row>
    <row r="134" spans="2:10" ht="18" hidden="1" outlineLevel="1" x14ac:dyDescent="0.25">
      <c r="B134" s="711" t="s">
        <v>612</v>
      </c>
      <c r="C134" s="712" t="s">
        <v>613</v>
      </c>
      <c r="D134" s="712">
        <v>138.90547000000001</v>
      </c>
      <c r="E134" s="714"/>
      <c r="F134" s="714"/>
      <c r="G134" s="712" t="s">
        <v>366</v>
      </c>
      <c r="H134" s="715"/>
      <c r="I134" s="715"/>
      <c r="J134" s="712"/>
    </row>
    <row r="135" spans="2:10" ht="18" hidden="1" outlineLevel="1" x14ac:dyDescent="0.25">
      <c r="B135" s="711" t="s">
        <v>614</v>
      </c>
      <c r="C135" s="712" t="s">
        <v>615</v>
      </c>
      <c r="D135" s="712">
        <v>140.11600000000001</v>
      </c>
      <c r="E135" s="714"/>
      <c r="F135" s="714"/>
      <c r="G135" s="712" t="s">
        <v>366</v>
      </c>
      <c r="H135" s="715"/>
      <c r="I135" s="715"/>
      <c r="J135" s="712"/>
    </row>
    <row r="136" spans="2:10" ht="18" hidden="1" outlineLevel="1" x14ac:dyDescent="0.25">
      <c r="B136" s="711" t="s">
        <v>616</v>
      </c>
      <c r="C136" s="712" t="s">
        <v>617</v>
      </c>
      <c r="D136" s="712">
        <v>140.90764999999999</v>
      </c>
      <c r="E136" s="714"/>
      <c r="F136" s="714"/>
      <c r="G136" s="712" t="s">
        <v>366</v>
      </c>
      <c r="H136" s="715"/>
      <c r="I136" s="715"/>
      <c r="J136" s="712"/>
    </row>
    <row r="137" spans="2:10" ht="18" hidden="1" outlineLevel="1" x14ac:dyDescent="0.25">
      <c r="B137" s="711" t="s">
        <v>618</v>
      </c>
      <c r="C137" s="712" t="s">
        <v>619</v>
      </c>
      <c r="D137" s="712">
        <v>144.24199999999999</v>
      </c>
      <c r="E137" s="714"/>
      <c r="F137" s="714"/>
      <c r="G137" s="712" t="s">
        <v>366</v>
      </c>
      <c r="H137" s="715"/>
      <c r="I137" s="715"/>
      <c r="J137" s="712"/>
    </row>
    <row r="138" spans="2:10" ht="18" hidden="1" outlineLevel="1" x14ac:dyDescent="0.25">
      <c r="B138" s="711" t="s">
        <v>620</v>
      </c>
      <c r="C138" s="712" t="s">
        <v>621</v>
      </c>
      <c r="D138" s="712">
        <v>145</v>
      </c>
      <c r="E138" s="714"/>
      <c r="F138" s="714"/>
      <c r="G138" s="712" t="s">
        <v>366</v>
      </c>
      <c r="H138" s="715"/>
      <c r="I138" s="715"/>
      <c r="J138" s="712"/>
    </row>
    <row r="139" spans="2:10" ht="18" hidden="1" outlineLevel="1" x14ac:dyDescent="0.25">
      <c r="B139" s="711" t="s">
        <v>622</v>
      </c>
      <c r="C139" s="712" t="s">
        <v>623</v>
      </c>
      <c r="D139" s="712">
        <v>150.36000000000001</v>
      </c>
      <c r="E139" s="714"/>
      <c r="F139" s="714"/>
      <c r="G139" s="712" t="s">
        <v>366</v>
      </c>
      <c r="H139" s="715"/>
      <c r="I139" s="715"/>
      <c r="J139" s="712"/>
    </row>
    <row r="140" spans="2:10" ht="18" hidden="1" outlineLevel="1" x14ac:dyDescent="0.25">
      <c r="B140" s="711" t="s">
        <v>624</v>
      </c>
      <c r="C140" s="712" t="s">
        <v>625</v>
      </c>
      <c r="D140" s="712">
        <v>151.964</v>
      </c>
      <c r="E140" s="714"/>
      <c r="F140" s="714"/>
      <c r="G140" s="712" t="s">
        <v>366</v>
      </c>
      <c r="H140" s="715"/>
      <c r="I140" s="715"/>
      <c r="J140" s="712"/>
    </row>
    <row r="141" spans="2:10" ht="18" hidden="1" outlineLevel="1" x14ac:dyDescent="0.25">
      <c r="B141" s="711" t="s">
        <v>626</v>
      </c>
      <c r="C141" s="712" t="s">
        <v>627</v>
      </c>
      <c r="D141" s="712">
        <v>157.25</v>
      </c>
      <c r="E141" s="714"/>
      <c r="F141" s="714"/>
      <c r="G141" s="712" t="s">
        <v>366</v>
      </c>
      <c r="H141" s="715"/>
      <c r="I141" s="715"/>
      <c r="J141" s="712"/>
    </row>
    <row r="142" spans="2:10" ht="18" hidden="1" outlineLevel="1" x14ac:dyDescent="0.25">
      <c r="B142" s="711" t="s">
        <v>628</v>
      </c>
      <c r="C142" s="712" t="s">
        <v>629</v>
      </c>
      <c r="D142" s="712">
        <v>158.92535000000001</v>
      </c>
      <c r="E142" s="714"/>
      <c r="F142" s="714"/>
      <c r="G142" s="712" t="s">
        <v>366</v>
      </c>
      <c r="H142" s="715"/>
      <c r="I142" s="715"/>
      <c r="J142" s="712"/>
    </row>
    <row r="143" spans="2:10" ht="18" hidden="1" outlineLevel="1" x14ac:dyDescent="0.25">
      <c r="B143" s="711" t="s">
        <v>630</v>
      </c>
      <c r="C143" s="712" t="s">
        <v>631</v>
      </c>
      <c r="D143" s="712">
        <v>162.5</v>
      </c>
      <c r="E143" s="714"/>
      <c r="F143" s="714"/>
      <c r="G143" s="712" t="s">
        <v>366</v>
      </c>
      <c r="H143" s="715"/>
      <c r="I143" s="715"/>
      <c r="J143" s="712"/>
    </row>
    <row r="144" spans="2:10" ht="18" hidden="1" outlineLevel="1" x14ac:dyDescent="0.25">
      <c r="B144" s="711" t="s">
        <v>632</v>
      </c>
      <c r="C144" s="712" t="s">
        <v>633</v>
      </c>
      <c r="D144" s="712">
        <v>164.93031999999999</v>
      </c>
      <c r="E144" s="714"/>
      <c r="F144" s="714"/>
      <c r="G144" s="712" t="s">
        <v>366</v>
      </c>
      <c r="H144" s="715"/>
      <c r="I144" s="715"/>
      <c r="J144" s="712"/>
    </row>
    <row r="145" spans="2:10" ht="18" hidden="1" outlineLevel="1" x14ac:dyDescent="0.25">
      <c r="B145" s="711" t="s">
        <v>634</v>
      </c>
      <c r="C145" s="712" t="s">
        <v>635</v>
      </c>
      <c r="D145" s="712">
        <v>167.25899999999999</v>
      </c>
      <c r="E145" s="714"/>
      <c r="F145" s="714"/>
      <c r="G145" s="712" t="s">
        <v>366</v>
      </c>
      <c r="H145" s="715"/>
      <c r="I145" s="715"/>
      <c r="J145" s="712"/>
    </row>
    <row r="146" spans="2:10" ht="18" hidden="1" outlineLevel="1" x14ac:dyDescent="0.25">
      <c r="B146" s="711" t="s">
        <v>636</v>
      </c>
      <c r="C146" s="712" t="s">
        <v>637</v>
      </c>
      <c r="D146" s="712">
        <v>168.93421000000001</v>
      </c>
      <c r="E146" s="714"/>
      <c r="F146" s="714"/>
      <c r="G146" s="712" t="s">
        <v>366</v>
      </c>
      <c r="H146" s="715"/>
      <c r="I146" s="715"/>
      <c r="J146" s="712"/>
    </row>
    <row r="147" spans="2:10" ht="18" hidden="1" outlineLevel="1" x14ac:dyDescent="0.25">
      <c r="B147" s="711" t="s">
        <v>638</v>
      </c>
      <c r="C147" s="712" t="s">
        <v>639</v>
      </c>
      <c r="D147" s="712">
        <v>173.04</v>
      </c>
      <c r="E147" s="714"/>
      <c r="F147" s="714"/>
      <c r="G147" s="712" t="s">
        <v>366</v>
      </c>
      <c r="H147" s="715"/>
      <c r="I147" s="715"/>
      <c r="J147" s="712"/>
    </row>
    <row r="148" spans="2:10" ht="18" hidden="1" outlineLevel="1" x14ac:dyDescent="0.25">
      <c r="B148" s="711" t="s">
        <v>640</v>
      </c>
      <c r="C148" s="712" t="s">
        <v>641</v>
      </c>
      <c r="D148" s="712">
        <v>174.96700000000001</v>
      </c>
      <c r="E148" s="714"/>
      <c r="F148" s="714"/>
      <c r="G148" s="712" t="s">
        <v>366</v>
      </c>
      <c r="H148" s="715"/>
      <c r="I148" s="715"/>
      <c r="J148" s="712"/>
    </row>
    <row r="149" spans="2:10" ht="18" hidden="1" outlineLevel="1" x14ac:dyDescent="0.25">
      <c r="B149" s="711" t="s">
        <v>642</v>
      </c>
      <c r="C149" s="712" t="s">
        <v>643</v>
      </c>
      <c r="D149" s="712">
        <v>178.49</v>
      </c>
      <c r="E149" s="714"/>
      <c r="F149" s="714"/>
      <c r="G149" s="712" t="s">
        <v>366</v>
      </c>
      <c r="H149" s="715"/>
      <c r="I149" s="715"/>
      <c r="J149" s="712"/>
    </row>
    <row r="150" spans="2:10" ht="18" hidden="1" outlineLevel="1" x14ac:dyDescent="0.25">
      <c r="B150" s="711" t="s">
        <v>644</v>
      </c>
      <c r="C150" s="712" t="s">
        <v>645</v>
      </c>
      <c r="D150" s="712">
        <v>180.94788</v>
      </c>
      <c r="E150" s="714"/>
      <c r="F150" s="714"/>
      <c r="G150" s="712" t="s">
        <v>366</v>
      </c>
      <c r="H150" s="715"/>
      <c r="I150" s="715"/>
      <c r="J150" s="712"/>
    </row>
    <row r="151" spans="2:10" ht="18" hidden="1" outlineLevel="1" x14ac:dyDescent="0.25">
      <c r="B151" s="711" t="s">
        <v>646</v>
      </c>
      <c r="C151" s="712" t="s">
        <v>647</v>
      </c>
      <c r="D151" s="712">
        <v>183.84</v>
      </c>
      <c r="E151" s="714"/>
      <c r="F151" s="714"/>
      <c r="G151" s="712" t="s">
        <v>366</v>
      </c>
      <c r="H151" s="715"/>
      <c r="I151" s="715"/>
      <c r="J151" s="712"/>
    </row>
    <row r="152" spans="2:10" ht="18" hidden="1" outlineLevel="1" x14ac:dyDescent="0.25">
      <c r="B152" s="711" t="s">
        <v>648</v>
      </c>
      <c r="C152" s="712" t="s">
        <v>649</v>
      </c>
      <c r="D152" s="712">
        <v>186.20699999999999</v>
      </c>
      <c r="E152" s="714"/>
      <c r="F152" s="714"/>
      <c r="G152" s="712" t="s">
        <v>366</v>
      </c>
      <c r="H152" s="715"/>
      <c r="I152" s="715"/>
      <c r="J152" s="712"/>
    </row>
    <row r="153" spans="2:10" ht="18" hidden="1" outlineLevel="1" x14ac:dyDescent="0.25">
      <c r="B153" s="711" t="s">
        <v>650</v>
      </c>
      <c r="C153" s="712" t="s">
        <v>651</v>
      </c>
      <c r="D153" s="712">
        <v>190.23</v>
      </c>
      <c r="E153" s="714"/>
      <c r="F153" s="714"/>
      <c r="G153" s="712" t="s">
        <v>366</v>
      </c>
      <c r="H153" s="715"/>
      <c r="I153" s="715"/>
      <c r="J153" s="712"/>
    </row>
    <row r="154" spans="2:10" ht="18" hidden="1" outlineLevel="1" x14ac:dyDescent="0.25">
      <c r="B154" s="711" t="s">
        <v>652</v>
      </c>
      <c r="C154" s="712" t="s">
        <v>653</v>
      </c>
      <c r="D154" s="712">
        <v>192.21700000000001</v>
      </c>
      <c r="E154" s="714"/>
      <c r="F154" s="714"/>
      <c r="G154" s="712" t="s">
        <v>366</v>
      </c>
      <c r="H154" s="715"/>
      <c r="I154" s="715"/>
      <c r="J154" s="712"/>
    </row>
    <row r="155" spans="2:10" ht="18" hidden="1" outlineLevel="1" x14ac:dyDescent="0.25">
      <c r="B155" s="711" t="s">
        <v>654</v>
      </c>
      <c r="C155" s="712" t="s">
        <v>655</v>
      </c>
      <c r="D155" s="712">
        <v>195.084</v>
      </c>
      <c r="E155" s="714"/>
      <c r="F155" s="714"/>
      <c r="G155" s="712" t="s">
        <v>366</v>
      </c>
      <c r="H155" s="715"/>
      <c r="I155" s="715"/>
      <c r="J155" s="712"/>
    </row>
    <row r="156" spans="2:10" ht="18" hidden="1" outlineLevel="1" x14ac:dyDescent="0.25">
      <c r="B156" s="711" t="s">
        <v>656</v>
      </c>
      <c r="C156" s="712" t="s">
        <v>657</v>
      </c>
      <c r="D156" s="712">
        <v>196.96656999999999</v>
      </c>
      <c r="E156" s="714"/>
      <c r="F156" s="714"/>
      <c r="G156" s="712" t="s">
        <v>366</v>
      </c>
      <c r="H156" s="715"/>
      <c r="I156" s="715"/>
      <c r="J156" s="712"/>
    </row>
    <row r="157" spans="2:10" ht="18" hidden="1" outlineLevel="1" x14ac:dyDescent="0.25">
      <c r="B157" s="711" t="s">
        <v>658</v>
      </c>
      <c r="C157" s="712" t="s">
        <v>659</v>
      </c>
      <c r="D157" s="712">
        <v>200.59</v>
      </c>
      <c r="E157" s="714"/>
      <c r="F157" s="714"/>
      <c r="G157" s="712" t="s">
        <v>366</v>
      </c>
      <c r="H157" s="715"/>
      <c r="I157" s="715"/>
      <c r="J157" s="712"/>
    </row>
    <row r="158" spans="2:10" ht="18" hidden="1" outlineLevel="1" x14ac:dyDescent="0.25">
      <c r="B158" s="711" t="s">
        <v>660</v>
      </c>
      <c r="C158" s="712" t="s">
        <v>661</v>
      </c>
      <c r="D158" s="712">
        <v>204.38329999999999</v>
      </c>
      <c r="E158" s="714"/>
      <c r="F158" s="714"/>
      <c r="G158" s="712" t="s">
        <v>366</v>
      </c>
      <c r="H158" s="715"/>
      <c r="I158" s="715"/>
      <c r="J158" s="712"/>
    </row>
    <row r="159" spans="2:10" ht="18" hidden="1" outlineLevel="1" x14ac:dyDescent="0.25">
      <c r="B159" s="711" t="s">
        <v>662</v>
      </c>
      <c r="C159" s="712" t="s">
        <v>663</v>
      </c>
      <c r="D159" s="712">
        <v>207.2</v>
      </c>
      <c r="E159" s="714"/>
      <c r="F159" s="714"/>
      <c r="G159" s="712" t="s">
        <v>366</v>
      </c>
      <c r="H159" s="715"/>
      <c r="I159" s="715"/>
      <c r="J159" s="712"/>
    </row>
    <row r="160" spans="2:10" ht="18" hidden="1" outlineLevel="1" x14ac:dyDescent="0.25">
      <c r="B160" s="711" t="s">
        <v>664</v>
      </c>
      <c r="C160" s="712" t="s">
        <v>665</v>
      </c>
      <c r="D160" s="712">
        <v>208.9804</v>
      </c>
      <c r="E160" s="714"/>
      <c r="F160" s="714"/>
      <c r="G160" s="712" t="s">
        <v>366</v>
      </c>
      <c r="H160" s="715"/>
      <c r="I160" s="715"/>
      <c r="J160" s="712"/>
    </row>
    <row r="161" spans="2:10" ht="18" hidden="1" outlineLevel="1" x14ac:dyDescent="0.25">
      <c r="B161" s="711" t="s">
        <v>666</v>
      </c>
      <c r="C161" s="712" t="s">
        <v>667</v>
      </c>
      <c r="D161" s="712">
        <v>209</v>
      </c>
      <c r="E161" s="714"/>
      <c r="F161" s="714"/>
      <c r="G161" s="712" t="s">
        <v>366</v>
      </c>
      <c r="H161" s="715"/>
      <c r="I161" s="715"/>
      <c r="J161" s="712"/>
    </row>
    <row r="162" spans="2:10" ht="18" hidden="1" outlineLevel="1" x14ac:dyDescent="0.25">
      <c r="B162" s="711" t="s">
        <v>668</v>
      </c>
      <c r="C162" s="712" t="s">
        <v>669</v>
      </c>
      <c r="D162" s="712">
        <v>210</v>
      </c>
      <c r="E162" s="714"/>
      <c r="F162" s="714"/>
      <c r="G162" s="712" t="s">
        <v>366</v>
      </c>
      <c r="H162" s="715"/>
      <c r="I162" s="715"/>
      <c r="J162" s="712"/>
    </row>
    <row r="163" spans="2:10" ht="18" hidden="1" outlineLevel="1" x14ac:dyDescent="0.25">
      <c r="B163" s="711" t="s">
        <v>670</v>
      </c>
      <c r="C163" s="712" t="s">
        <v>671</v>
      </c>
      <c r="D163" s="712">
        <v>222</v>
      </c>
      <c r="E163" s="714"/>
      <c r="F163" s="714"/>
      <c r="G163" s="712" t="s">
        <v>366</v>
      </c>
      <c r="H163" s="715"/>
      <c r="I163" s="715"/>
      <c r="J163" s="712"/>
    </row>
    <row r="164" spans="2:10" ht="18" hidden="1" outlineLevel="1" x14ac:dyDescent="0.25">
      <c r="B164" s="711" t="s">
        <v>672</v>
      </c>
      <c r="C164" s="712" t="s">
        <v>673</v>
      </c>
      <c r="D164" s="712">
        <v>223</v>
      </c>
      <c r="E164" s="714"/>
      <c r="F164" s="714"/>
      <c r="G164" s="712" t="s">
        <v>366</v>
      </c>
      <c r="H164" s="715"/>
      <c r="I164" s="715"/>
      <c r="J164" s="712"/>
    </row>
    <row r="165" spans="2:10" ht="18" hidden="1" outlineLevel="1" x14ac:dyDescent="0.25">
      <c r="B165" s="711" t="s">
        <v>674</v>
      </c>
      <c r="C165" s="712" t="s">
        <v>675</v>
      </c>
      <c r="D165" s="712">
        <v>226</v>
      </c>
      <c r="E165" s="714"/>
      <c r="F165" s="714"/>
      <c r="G165" s="712" t="s">
        <v>366</v>
      </c>
      <c r="H165" s="715"/>
      <c r="I165" s="715"/>
      <c r="J165" s="712"/>
    </row>
    <row r="166" spans="2:10" ht="18" hidden="1" outlineLevel="1" x14ac:dyDescent="0.25">
      <c r="B166" s="711" t="s">
        <v>676</v>
      </c>
      <c r="C166" s="712" t="s">
        <v>677</v>
      </c>
      <c r="D166" s="712">
        <v>227</v>
      </c>
      <c r="E166" s="714"/>
      <c r="F166" s="714"/>
      <c r="G166" s="712" t="s">
        <v>366</v>
      </c>
      <c r="H166" s="715"/>
      <c r="I166" s="715"/>
      <c r="J166" s="712"/>
    </row>
    <row r="167" spans="2:10" ht="18" hidden="1" outlineLevel="1" x14ac:dyDescent="0.25">
      <c r="B167" s="711" t="s">
        <v>678</v>
      </c>
      <c r="C167" s="712" t="s">
        <v>679</v>
      </c>
      <c r="D167" s="712">
        <v>232.03806</v>
      </c>
      <c r="E167" s="714"/>
      <c r="F167" s="714"/>
      <c r="G167" s="712" t="s">
        <v>366</v>
      </c>
      <c r="H167" s="715"/>
      <c r="I167" s="715"/>
      <c r="J167" s="712"/>
    </row>
    <row r="168" spans="2:10" ht="18" hidden="1" outlineLevel="1" x14ac:dyDescent="0.25">
      <c r="B168" s="711" t="s">
        <v>680</v>
      </c>
      <c r="C168" s="712" t="s">
        <v>681</v>
      </c>
      <c r="D168" s="712">
        <v>231.03587999999999</v>
      </c>
      <c r="E168" s="714"/>
      <c r="F168" s="714"/>
      <c r="G168" s="712" t="s">
        <v>366</v>
      </c>
      <c r="H168" s="715"/>
      <c r="I168" s="715"/>
      <c r="J168" s="712"/>
    </row>
    <row r="169" spans="2:10" ht="18" hidden="1" outlineLevel="1" x14ac:dyDescent="0.25">
      <c r="B169" s="711" t="s">
        <v>682</v>
      </c>
      <c r="C169" s="712" t="s">
        <v>683</v>
      </c>
      <c r="D169" s="712">
        <v>238.02891</v>
      </c>
      <c r="E169" s="714"/>
      <c r="F169" s="714"/>
      <c r="G169" s="712" t="s">
        <v>366</v>
      </c>
      <c r="H169" s="715"/>
      <c r="I169" s="715"/>
      <c r="J169" s="712"/>
    </row>
    <row r="170" spans="2:10" ht="18" hidden="1" outlineLevel="1" x14ac:dyDescent="0.25">
      <c r="B170" s="711" t="s">
        <v>684</v>
      </c>
      <c r="C170" s="712" t="s">
        <v>685</v>
      </c>
      <c r="D170" s="712">
        <v>237</v>
      </c>
      <c r="E170" s="714"/>
      <c r="F170" s="714"/>
      <c r="G170" s="712" t="s">
        <v>366</v>
      </c>
      <c r="H170" s="715"/>
      <c r="I170" s="715"/>
      <c r="J170" s="712"/>
    </row>
    <row r="171" spans="2:10" ht="18" hidden="1" outlineLevel="1" x14ac:dyDescent="0.25">
      <c r="B171" s="711" t="s">
        <v>686</v>
      </c>
      <c r="C171" s="712" t="s">
        <v>687</v>
      </c>
      <c r="D171" s="712">
        <v>244</v>
      </c>
      <c r="E171" s="714"/>
      <c r="F171" s="714"/>
      <c r="G171" s="712" t="s">
        <v>366</v>
      </c>
      <c r="H171" s="715"/>
      <c r="I171" s="715"/>
      <c r="J171" s="712"/>
    </row>
    <row r="172" spans="2:10" ht="18" hidden="1" outlineLevel="1" x14ac:dyDescent="0.25">
      <c r="B172" s="711" t="s">
        <v>688</v>
      </c>
      <c r="C172" s="712" t="s">
        <v>689</v>
      </c>
      <c r="D172" s="712">
        <v>243</v>
      </c>
      <c r="E172" s="714"/>
      <c r="F172" s="714"/>
      <c r="G172" s="712" t="s">
        <v>366</v>
      </c>
      <c r="H172" s="715"/>
      <c r="I172" s="715"/>
      <c r="J172" s="712"/>
    </row>
    <row r="173" spans="2:10" ht="18" hidden="1" outlineLevel="1" x14ac:dyDescent="0.25">
      <c r="B173" s="711" t="s">
        <v>690</v>
      </c>
      <c r="C173" s="712" t="s">
        <v>691</v>
      </c>
      <c r="D173" s="712">
        <v>247</v>
      </c>
      <c r="E173" s="714"/>
      <c r="F173" s="714"/>
      <c r="G173" s="712" t="s">
        <v>366</v>
      </c>
      <c r="H173" s="715"/>
      <c r="I173" s="715"/>
      <c r="J173" s="712"/>
    </row>
    <row r="174" spans="2:10" ht="18" hidden="1" outlineLevel="1" x14ac:dyDescent="0.25">
      <c r="B174" s="711" t="s">
        <v>692</v>
      </c>
      <c r="C174" s="712" t="s">
        <v>693</v>
      </c>
      <c r="D174" s="712">
        <v>247</v>
      </c>
      <c r="E174" s="714"/>
      <c r="F174" s="714"/>
      <c r="G174" s="712" t="s">
        <v>366</v>
      </c>
      <c r="H174" s="715"/>
      <c r="I174" s="715"/>
      <c r="J174" s="712"/>
    </row>
    <row r="175" spans="2:10" ht="18" hidden="1" outlineLevel="1" x14ac:dyDescent="0.25">
      <c r="B175" s="711" t="s">
        <v>694</v>
      </c>
      <c r="C175" s="712" t="s">
        <v>695</v>
      </c>
      <c r="D175" s="712">
        <v>251</v>
      </c>
      <c r="E175" s="714"/>
      <c r="F175" s="714"/>
      <c r="G175" s="712" t="s">
        <v>366</v>
      </c>
      <c r="H175" s="715"/>
      <c r="I175" s="715"/>
      <c r="J175" s="712"/>
    </row>
    <row r="176" spans="2:10" ht="18" hidden="1" outlineLevel="1" x14ac:dyDescent="0.25">
      <c r="B176" s="711" t="s">
        <v>696</v>
      </c>
      <c r="C176" s="712" t="s">
        <v>697</v>
      </c>
      <c r="D176" s="712">
        <v>252</v>
      </c>
      <c r="E176" s="714"/>
      <c r="F176" s="714"/>
      <c r="G176" s="712" t="s">
        <v>366</v>
      </c>
      <c r="H176" s="715"/>
      <c r="I176" s="715"/>
      <c r="J176" s="712"/>
    </row>
    <row r="177" spans="2:10" ht="18" hidden="1" outlineLevel="1" x14ac:dyDescent="0.25">
      <c r="B177" s="711" t="s">
        <v>698</v>
      </c>
      <c r="C177" s="712" t="s">
        <v>699</v>
      </c>
      <c r="D177" s="712">
        <v>257</v>
      </c>
      <c r="E177" s="714"/>
      <c r="F177" s="714"/>
      <c r="G177" s="712" t="s">
        <v>366</v>
      </c>
      <c r="H177" s="715"/>
      <c r="I177" s="715"/>
      <c r="J177" s="712"/>
    </row>
    <row r="178" spans="2:10" ht="18" hidden="1" outlineLevel="1" x14ac:dyDescent="0.25">
      <c r="B178" s="711" t="s">
        <v>700</v>
      </c>
      <c r="C178" s="712" t="s">
        <v>701</v>
      </c>
      <c r="D178" s="712">
        <v>258</v>
      </c>
      <c r="E178" s="714"/>
      <c r="F178" s="714"/>
      <c r="G178" s="712" t="s">
        <v>366</v>
      </c>
      <c r="H178" s="715"/>
      <c r="I178" s="715"/>
      <c r="J178" s="712"/>
    </row>
    <row r="179" spans="2:10" ht="18" hidden="1" outlineLevel="1" x14ac:dyDescent="0.25">
      <c r="B179" s="711" t="s">
        <v>702</v>
      </c>
      <c r="C179" s="712" t="s">
        <v>703</v>
      </c>
      <c r="D179" s="712">
        <v>259</v>
      </c>
      <c r="E179" s="714"/>
      <c r="F179" s="714"/>
      <c r="G179" s="712" t="s">
        <v>366</v>
      </c>
      <c r="H179" s="715"/>
      <c r="I179" s="715"/>
      <c r="J179" s="712"/>
    </row>
    <row r="180" spans="2:10" ht="18" hidden="1" outlineLevel="1" x14ac:dyDescent="0.25">
      <c r="B180" s="711" t="s">
        <v>704</v>
      </c>
      <c r="C180" s="712" t="s">
        <v>705</v>
      </c>
      <c r="D180" s="712">
        <v>262</v>
      </c>
      <c r="E180" s="714"/>
      <c r="F180" s="714"/>
      <c r="G180" s="712" t="s">
        <v>366</v>
      </c>
      <c r="H180" s="715"/>
      <c r="I180" s="715"/>
      <c r="J180" s="712"/>
    </row>
    <row r="181" spans="2:10" ht="18" hidden="1" outlineLevel="1" x14ac:dyDescent="0.25">
      <c r="B181" s="711" t="s">
        <v>706</v>
      </c>
      <c r="C181" s="712" t="s">
        <v>707</v>
      </c>
      <c r="D181" s="712">
        <v>261</v>
      </c>
      <c r="E181" s="714"/>
      <c r="F181" s="714"/>
      <c r="G181" s="712" t="s">
        <v>366</v>
      </c>
      <c r="H181" s="715"/>
      <c r="I181" s="715"/>
      <c r="J181" s="712"/>
    </row>
    <row r="182" spans="2:10" ht="18" hidden="1" outlineLevel="1" x14ac:dyDescent="0.25">
      <c r="B182" s="711" t="s">
        <v>708</v>
      </c>
      <c r="C182" s="712" t="s">
        <v>709</v>
      </c>
      <c r="D182" s="712">
        <v>262</v>
      </c>
      <c r="E182" s="714"/>
      <c r="F182" s="714"/>
      <c r="G182" s="712" t="s">
        <v>366</v>
      </c>
      <c r="H182" s="715"/>
      <c r="I182" s="715"/>
      <c r="J182" s="712"/>
    </row>
    <row r="183" spans="2:10" ht="18" hidden="1" outlineLevel="1" x14ac:dyDescent="0.25">
      <c r="B183" s="711" t="s">
        <v>710</v>
      </c>
      <c r="C183" s="712" t="s">
        <v>711</v>
      </c>
      <c r="D183" s="712">
        <v>266</v>
      </c>
      <c r="E183" s="714"/>
      <c r="F183" s="714"/>
      <c r="G183" s="712" t="s">
        <v>366</v>
      </c>
      <c r="H183" s="715"/>
      <c r="I183" s="715"/>
      <c r="J183" s="712"/>
    </row>
    <row r="184" spans="2:10" ht="18" hidden="1" outlineLevel="1" x14ac:dyDescent="0.25">
      <c r="B184" s="711" t="s">
        <v>712</v>
      </c>
      <c r="C184" s="712" t="s">
        <v>713</v>
      </c>
      <c r="D184" s="712">
        <v>264</v>
      </c>
      <c r="E184" s="714"/>
      <c r="F184" s="714"/>
      <c r="G184" s="712" t="s">
        <v>366</v>
      </c>
      <c r="H184" s="715"/>
      <c r="I184" s="715"/>
      <c r="J184" s="712"/>
    </row>
    <row r="185" spans="2:10" ht="18" hidden="1" outlineLevel="1" x14ac:dyDescent="0.25">
      <c r="B185" s="711" t="s">
        <v>714</v>
      </c>
      <c r="C185" s="712" t="s">
        <v>715</v>
      </c>
      <c r="D185" s="712">
        <v>277</v>
      </c>
      <c r="E185" s="714"/>
      <c r="F185" s="714"/>
      <c r="G185" s="712" t="s">
        <v>366</v>
      </c>
      <c r="H185" s="715"/>
      <c r="I185" s="715"/>
      <c r="J185" s="712"/>
    </row>
    <row r="186" spans="2:10" ht="18" hidden="1" outlineLevel="1" x14ac:dyDescent="0.25">
      <c r="B186" s="711" t="s">
        <v>716</v>
      </c>
      <c r="C186" s="712" t="s">
        <v>717</v>
      </c>
      <c r="D186" s="712">
        <v>268</v>
      </c>
      <c r="E186" s="714"/>
      <c r="F186" s="714"/>
      <c r="G186" s="712" t="s">
        <v>366</v>
      </c>
      <c r="H186" s="715"/>
      <c r="I186" s="715"/>
      <c r="J186" s="712"/>
    </row>
    <row r="187" spans="2:10" ht="18" hidden="1" outlineLevel="1" x14ac:dyDescent="0.25">
      <c r="B187" s="711" t="s">
        <v>718</v>
      </c>
      <c r="C187" s="712" t="s">
        <v>719</v>
      </c>
      <c r="D187" s="712">
        <v>281</v>
      </c>
      <c r="E187" s="714"/>
      <c r="F187" s="714"/>
      <c r="G187" s="712" t="s">
        <v>366</v>
      </c>
      <c r="H187" s="715"/>
      <c r="I187" s="715"/>
      <c r="J187" s="712"/>
    </row>
    <row r="188" spans="2:10" ht="18" hidden="1" outlineLevel="1" x14ac:dyDescent="0.25">
      <c r="B188" s="711" t="s">
        <v>720</v>
      </c>
      <c r="C188" s="712" t="s">
        <v>721</v>
      </c>
      <c r="D188" s="712">
        <v>272</v>
      </c>
      <c r="E188" s="714"/>
      <c r="F188" s="714"/>
      <c r="G188" s="712" t="s">
        <v>366</v>
      </c>
      <c r="H188" s="715"/>
      <c r="I188" s="715"/>
      <c r="J188" s="712"/>
    </row>
    <row r="189" spans="2:10" ht="18" hidden="1" outlineLevel="1" x14ac:dyDescent="0.25">
      <c r="B189" s="711" t="s">
        <v>722</v>
      </c>
      <c r="C189" s="712" t="s">
        <v>723</v>
      </c>
      <c r="D189" s="712">
        <v>285</v>
      </c>
      <c r="E189" s="714"/>
      <c r="F189" s="714"/>
      <c r="G189" s="712" t="s">
        <v>366</v>
      </c>
      <c r="H189" s="715"/>
      <c r="I189" s="715"/>
      <c r="J189" s="712"/>
    </row>
    <row r="190" spans="2:10" ht="18" hidden="1" outlineLevel="1" x14ac:dyDescent="0.25">
      <c r="B190" s="711" t="s">
        <v>724</v>
      </c>
      <c r="C190" s="712" t="s">
        <v>725</v>
      </c>
      <c r="D190" s="712">
        <v>284</v>
      </c>
      <c r="E190" s="714"/>
      <c r="F190" s="714"/>
      <c r="G190" s="712" t="s">
        <v>366</v>
      </c>
      <c r="H190" s="715"/>
      <c r="I190" s="715"/>
      <c r="J190" s="712"/>
    </row>
    <row r="191" spans="2:10" ht="18" hidden="1" outlineLevel="1" x14ac:dyDescent="0.25">
      <c r="B191" s="711" t="s">
        <v>726</v>
      </c>
      <c r="C191" s="712" t="s">
        <v>727</v>
      </c>
      <c r="D191" s="712">
        <v>289</v>
      </c>
      <c r="E191" s="714"/>
      <c r="F191" s="714"/>
      <c r="G191" s="712" t="s">
        <v>366</v>
      </c>
      <c r="H191" s="715"/>
      <c r="I191" s="715"/>
      <c r="J191" s="712"/>
    </row>
    <row r="192" spans="2:10" ht="18" hidden="1" outlineLevel="1" x14ac:dyDescent="0.25">
      <c r="B192" s="711" t="s">
        <v>728</v>
      </c>
      <c r="C192" s="712" t="s">
        <v>729</v>
      </c>
      <c r="D192" s="712">
        <v>288</v>
      </c>
      <c r="E192" s="714"/>
      <c r="F192" s="714"/>
      <c r="G192" s="712" t="s">
        <v>366</v>
      </c>
      <c r="H192" s="715"/>
      <c r="I192" s="715"/>
      <c r="J192" s="712"/>
    </row>
    <row r="193" spans="2:10" ht="18" hidden="1" outlineLevel="1" x14ac:dyDescent="0.25">
      <c r="B193" s="711" t="s">
        <v>730</v>
      </c>
      <c r="C193" s="712" t="s">
        <v>731</v>
      </c>
      <c r="D193" s="712">
        <v>292</v>
      </c>
      <c r="E193" s="714"/>
      <c r="F193" s="714"/>
      <c r="G193" s="712" t="s">
        <v>366</v>
      </c>
      <c r="H193" s="715"/>
      <c r="I193" s="715"/>
      <c r="J193" s="712"/>
    </row>
    <row r="194" spans="2:10" ht="18" hidden="1" outlineLevel="1" x14ac:dyDescent="0.25">
      <c r="B194" s="711" t="s">
        <v>732</v>
      </c>
      <c r="C194" s="712" t="s">
        <v>733</v>
      </c>
      <c r="D194" s="712">
        <v>292</v>
      </c>
      <c r="E194" s="714"/>
      <c r="F194" s="714"/>
      <c r="G194" s="712" t="s">
        <v>366</v>
      </c>
      <c r="H194" s="715"/>
      <c r="I194" s="715"/>
      <c r="J194" s="712"/>
    </row>
    <row r="195" spans="2:10" ht="18" hidden="1" outlineLevel="1" x14ac:dyDescent="0.25">
      <c r="B195" s="711" t="s">
        <v>734</v>
      </c>
      <c r="C195" s="712" t="s">
        <v>735</v>
      </c>
      <c r="D195" s="712">
        <v>294</v>
      </c>
      <c r="E195" s="714"/>
      <c r="F195" s="714"/>
      <c r="G195" s="712" t="s">
        <v>366</v>
      </c>
      <c r="H195" s="715"/>
      <c r="I195" s="715"/>
      <c r="J195" s="712"/>
    </row>
    <row r="196" spans="2:10" collapsed="1" x14ac:dyDescent="0.25"/>
    <row r="197" spans="2:10" ht="15.75" thickBot="1" x14ac:dyDescent="0.3">
      <c r="C197" s="706" t="s">
        <v>736</v>
      </c>
    </row>
    <row r="198" spans="2:10" ht="15.75" thickBot="1" x14ac:dyDescent="0.3">
      <c r="B198" s="707" t="s">
        <v>0</v>
      </c>
      <c r="C198" s="708" t="s">
        <v>1</v>
      </c>
      <c r="D198" s="710" t="s">
        <v>152</v>
      </c>
      <c r="E198" s="710" t="s">
        <v>471</v>
      </c>
      <c r="F198" s="710" t="s">
        <v>472</v>
      </c>
      <c r="G198" s="710" t="s">
        <v>2</v>
      </c>
      <c r="H198" s="710" t="s">
        <v>302</v>
      </c>
      <c r="I198" s="710" t="s">
        <v>116</v>
      </c>
      <c r="J198" s="719" t="s">
        <v>117</v>
      </c>
    </row>
    <row r="199" spans="2:10" ht="18" hidden="1" outlineLevel="1" x14ac:dyDescent="0.25">
      <c r="B199" s="711" t="s">
        <v>2012</v>
      </c>
      <c r="C199" s="712" t="s">
        <v>2013</v>
      </c>
      <c r="D199" s="712">
        <v>28.97</v>
      </c>
      <c r="E199" s="714"/>
      <c r="F199" s="714"/>
      <c r="G199" s="712" t="s">
        <v>366</v>
      </c>
      <c r="H199" s="715"/>
      <c r="I199" s="715"/>
      <c r="J199" s="712"/>
    </row>
    <row r="200" spans="2:10" ht="18" hidden="1" outlineLevel="1" x14ac:dyDescent="0.25">
      <c r="B200" s="711" t="s">
        <v>463</v>
      </c>
      <c r="C200" s="712" t="s">
        <v>456</v>
      </c>
      <c r="D200" s="712">
        <f>2*A_MH</f>
        <v>2.0158800000000001</v>
      </c>
      <c r="E200" s="714"/>
      <c r="F200" s="714"/>
      <c r="G200" s="712" t="s">
        <v>366</v>
      </c>
      <c r="H200" s="715"/>
      <c r="I200" s="715"/>
      <c r="J200" s="712"/>
    </row>
    <row r="201" spans="2:10" ht="18" hidden="1" outlineLevel="1" x14ac:dyDescent="0.25">
      <c r="B201" s="711" t="s">
        <v>464</v>
      </c>
      <c r="C201" s="712" t="s">
        <v>457</v>
      </c>
      <c r="D201" s="712">
        <f>A_MC+4*A_MH</f>
        <v>16.042459999999998</v>
      </c>
      <c r="E201" s="714"/>
      <c r="F201" s="714"/>
      <c r="G201" s="712" t="s">
        <v>366</v>
      </c>
      <c r="H201" s="715"/>
      <c r="I201" s="715"/>
      <c r="J201" s="712"/>
    </row>
    <row r="202" spans="2:10" ht="18" hidden="1" outlineLevel="1" x14ac:dyDescent="0.25">
      <c r="B202" s="711" t="s">
        <v>737</v>
      </c>
      <c r="C202" s="712" t="s">
        <v>738</v>
      </c>
      <c r="D202" s="712">
        <f>A_MC+2*A_MO</f>
        <v>44.009500000000003</v>
      </c>
      <c r="E202" s="714"/>
      <c r="F202" s="714"/>
      <c r="G202" s="712" t="s">
        <v>366</v>
      </c>
      <c r="H202" s="715"/>
      <c r="I202" s="715"/>
      <c r="J202" s="712"/>
    </row>
    <row r="203" spans="2:10" ht="18" hidden="1" outlineLevel="1" x14ac:dyDescent="0.25">
      <c r="B203" s="711" t="s">
        <v>1107</v>
      </c>
      <c r="C203" s="712" t="s">
        <v>748</v>
      </c>
      <c r="D203" s="712">
        <f>A_MN+3*A_MH</f>
        <v>17.030519999999999</v>
      </c>
      <c r="E203" s="714"/>
      <c r="F203" s="714"/>
      <c r="G203" s="712" t="s">
        <v>366</v>
      </c>
      <c r="H203" s="715"/>
      <c r="I203" s="715"/>
      <c r="J203" s="712"/>
    </row>
    <row r="204" spans="2:10" ht="18" hidden="1" outlineLevel="1" x14ac:dyDescent="0.25">
      <c r="B204" s="711" t="s">
        <v>455</v>
      </c>
      <c r="C204" s="712" t="s">
        <v>454</v>
      </c>
      <c r="D204" s="712">
        <f>2*A_MN</f>
        <v>28.013400000000001</v>
      </c>
      <c r="E204" s="714"/>
      <c r="F204" s="714"/>
      <c r="G204" s="712" t="s">
        <v>366</v>
      </c>
      <c r="H204" s="715"/>
      <c r="I204" s="715"/>
      <c r="J204" s="712"/>
    </row>
    <row r="205" spans="2:10" ht="18" hidden="1" outlineLevel="1" x14ac:dyDescent="0.25">
      <c r="B205" s="711" t="s">
        <v>450</v>
      </c>
      <c r="C205" s="712" t="s">
        <v>451</v>
      </c>
      <c r="D205" s="712">
        <f>2*A_MO</f>
        <v>31.998799999999999</v>
      </c>
      <c r="E205" s="714"/>
      <c r="F205" s="714"/>
      <c r="G205" s="712" t="s">
        <v>366</v>
      </c>
      <c r="H205" s="715"/>
      <c r="I205" s="715"/>
      <c r="J205" s="712" t="s">
        <v>739</v>
      </c>
    </row>
    <row r="206" spans="2:10" ht="18" hidden="1" outlineLevel="1" x14ac:dyDescent="0.25">
      <c r="B206" s="711" t="s">
        <v>740</v>
      </c>
      <c r="C206" s="712" t="s">
        <v>741</v>
      </c>
      <c r="D206" s="712">
        <f>A_MN+A_MO</f>
        <v>30.0061</v>
      </c>
      <c r="E206" s="714"/>
      <c r="F206" s="714"/>
      <c r="G206" s="712" t="s">
        <v>366</v>
      </c>
      <c r="H206" s="715"/>
      <c r="I206" s="715"/>
      <c r="J206" s="712" t="s">
        <v>742</v>
      </c>
    </row>
    <row r="207" spans="2:10" ht="18" hidden="1" outlineLevel="1" x14ac:dyDescent="0.25">
      <c r="B207" s="711" t="s">
        <v>743</v>
      </c>
      <c r="C207" s="712" t="s">
        <v>744</v>
      </c>
      <c r="D207" s="712">
        <f>2*A_MN+A_MO</f>
        <v>44.012799999999999</v>
      </c>
      <c r="E207" s="714"/>
      <c r="F207" s="714"/>
      <c r="G207" s="712" t="s">
        <v>366</v>
      </c>
      <c r="H207" s="715"/>
      <c r="I207" s="715"/>
      <c r="J207" s="712" t="s">
        <v>745</v>
      </c>
    </row>
    <row r="208" spans="2:10" ht="18" hidden="1" outlineLevel="1" x14ac:dyDescent="0.25">
      <c r="B208" s="711" t="s">
        <v>1152</v>
      </c>
      <c r="C208" s="712" t="s">
        <v>1204</v>
      </c>
      <c r="D208" s="712">
        <f>M_MH2S</f>
        <v>34.080880000000001</v>
      </c>
      <c r="E208" s="714"/>
      <c r="F208" s="714"/>
      <c r="G208" s="712" t="s">
        <v>366</v>
      </c>
      <c r="H208" s="715"/>
      <c r="I208" s="715"/>
      <c r="J208" s="712"/>
    </row>
    <row r="209" spans="1:10" collapsed="1" x14ac:dyDescent="0.25"/>
    <row r="210" spans="1:10" ht="15.75" thickBot="1" x14ac:dyDescent="0.3">
      <c r="C210" s="706" t="s">
        <v>746</v>
      </c>
    </row>
    <row r="211" spans="1:10" ht="15.75" thickBot="1" x14ac:dyDescent="0.3">
      <c r="B211" s="707" t="s">
        <v>0</v>
      </c>
      <c r="C211" s="708" t="s">
        <v>1</v>
      </c>
      <c r="D211" s="710" t="s">
        <v>152</v>
      </c>
      <c r="E211" s="710" t="s">
        <v>471</v>
      </c>
      <c r="F211" s="710" t="s">
        <v>472</v>
      </c>
      <c r="G211" s="710" t="s">
        <v>2</v>
      </c>
      <c r="H211" s="710" t="s">
        <v>302</v>
      </c>
      <c r="I211" s="710" t="s">
        <v>116</v>
      </c>
      <c r="J211" s="719" t="s">
        <v>117</v>
      </c>
    </row>
    <row r="212" spans="1:10" ht="18" outlineLevel="1" x14ac:dyDescent="0.25">
      <c r="B212" s="711" t="s">
        <v>1205</v>
      </c>
      <c r="C212" s="712" t="s">
        <v>1129</v>
      </c>
      <c r="D212" s="712">
        <f>3*A_MCa+2*M_MPO4+4*M_MH2O</f>
        <v>382.23784440000003</v>
      </c>
      <c r="E212" s="714"/>
      <c r="F212" s="714"/>
      <c r="G212" s="712" t="s">
        <v>366</v>
      </c>
      <c r="H212" s="715"/>
      <c r="I212" s="715"/>
      <c r="J212" s="712" t="s">
        <v>3619</v>
      </c>
    </row>
    <row r="213" spans="1:10" ht="18" outlineLevel="1" x14ac:dyDescent="0.25">
      <c r="B213" s="711" t="s">
        <v>3620</v>
      </c>
      <c r="C213" s="712" t="s">
        <v>3621</v>
      </c>
      <c r="D213" s="712">
        <f>2*A_MAl+3*A_MS+12*A_MO</f>
        <v>342.1508</v>
      </c>
      <c r="E213" s="714"/>
      <c r="F213" s="714"/>
      <c r="G213" s="712" t="s">
        <v>366</v>
      </c>
      <c r="H213" s="715"/>
      <c r="I213" s="715"/>
      <c r="J213" s="712"/>
    </row>
    <row r="214" spans="1:10" ht="18" outlineLevel="1" x14ac:dyDescent="0.25">
      <c r="B214" s="711" t="s">
        <v>3622</v>
      </c>
      <c r="C214" s="712" t="s">
        <v>3623</v>
      </c>
      <c r="D214" s="712">
        <f>A_MAl+3*A_MCl</f>
        <v>133.34050000000002</v>
      </c>
      <c r="E214" s="714"/>
      <c r="F214" s="714"/>
      <c r="G214" s="712" t="s">
        <v>366</v>
      </c>
      <c r="H214" s="715"/>
      <c r="I214" s="715"/>
      <c r="J214" s="712"/>
    </row>
    <row r="215" spans="1:10" ht="18" outlineLevel="1" x14ac:dyDescent="0.25">
      <c r="B215" s="711" t="s">
        <v>2989</v>
      </c>
      <c r="C215" s="712" t="s">
        <v>2696</v>
      </c>
      <c r="D215" s="712">
        <f>A_MAl+3*(A_MO+A_MH)</f>
        <v>78.003519999999995</v>
      </c>
      <c r="E215" s="714"/>
      <c r="F215" s="714"/>
      <c r="G215" s="712" t="s">
        <v>366</v>
      </c>
      <c r="H215" s="715"/>
      <c r="I215" s="715"/>
      <c r="J215" s="712"/>
    </row>
    <row r="216" spans="1:10" ht="18" outlineLevel="1" x14ac:dyDescent="0.25">
      <c r="B216" s="711" t="s">
        <v>2990</v>
      </c>
      <c r="C216" s="712" t="s">
        <v>2794</v>
      </c>
      <c r="D216" s="712">
        <f>A_MAl+A_MP+4*A_MO</f>
        <v>121.9528622</v>
      </c>
      <c r="E216" s="714"/>
      <c r="F216" s="714"/>
      <c r="G216" s="712" t="s">
        <v>366</v>
      </c>
      <c r="H216" s="715"/>
      <c r="I216" s="715"/>
      <c r="J216" s="712"/>
    </row>
    <row r="217" spans="1:10" ht="18" x14ac:dyDescent="0.25">
      <c r="A217" s="720"/>
      <c r="B217" s="711" t="s">
        <v>3501</v>
      </c>
      <c r="C217" s="712" t="s">
        <v>3502</v>
      </c>
      <c r="D217" s="712">
        <f>1*A_MCa+1*A_MH+1*M_MPO4+2*M_MH2O</f>
        <v>172.08786220000002</v>
      </c>
      <c r="E217" s="714"/>
      <c r="F217" s="714"/>
      <c r="G217" s="712" t="s">
        <v>366</v>
      </c>
      <c r="H217" s="715"/>
      <c r="I217" s="715"/>
      <c r="J217" s="712"/>
    </row>
    <row r="218" spans="1:10" s="721" customFormat="1" ht="18" outlineLevel="1" x14ac:dyDescent="0.25">
      <c r="B218" s="711" t="s">
        <v>3624</v>
      </c>
      <c r="C218" s="712" t="s">
        <v>3625</v>
      </c>
      <c r="D218" s="712">
        <f>A_MCa+2*A_MCl</f>
        <v>110.98400000000001</v>
      </c>
      <c r="E218" s="714"/>
      <c r="F218" s="714"/>
      <c r="G218" s="712" t="s">
        <v>366</v>
      </c>
      <c r="H218" s="722"/>
      <c r="I218" s="722"/>
      <c r="J218" s="723"/>
    </row>
    <row r="219" spans="1:10" s="721" customFormat="1" ht="18" outlineLevel="1" x14ac:dyDescent="0.25">
      <c r="B219" s="711" t="s">
        <v>1261</v>
      </c>
      <c r="C219" s="712" t="s">
        <v>1028</v>
      </c>
      <c r="D219" s="712">
        <f>A_MCa+A_MC+3*A_MO</f>
        <v>100.0869</v>
      </c>
      <c r="E219" s="714"/>
      <c r="F219" s="714"/>
      <c r="G219" s="712" t="s">
        <v>366</v>
      </c>
      <c r="H219" s="722"/>
      <c r="I219" s="722"/>
      <c r="J219" s="723"/>
    </row>
    <row r="220" spans="1:10" ht="18" outlineLevel="1" x14ac:dyDescent="0.25">
      <c r="B220" s="711" t="s">
        <v>1300</v>
      </c>
      <c r="C220" s="712" t="s">
        <v>1331</v>
      </c>
      <c r="D220" s="712">
        <f>A_MCa+2*A_MH+A_MP+4*A_MO</f>
        <v>137.0652422</v>
      </c>
      <c r="E220" s="714"/>
      <c r="F220" s="714"/>
      <c r="G220" s="712" t="s">
        <v>366</v>
      </c>
      <c r="H220" s="715"/>
      <c r="I220" s="715"/>
      <c r="J220" s="712"/>
    </row>
    <row r="221" spans="1:10" ht="18" outlineLevel="1" x14ac:dyDescent="0.25">
      <c r="B221" s="711" t="s">
        <v>1297</v>
      </c>
      <c r="C221" s="712" t="s">
        <v>1328</v>
      </c>
      <c r="D221" s="712">
        <f>A_MCa+A_MH+A_MC+3*A_MO</f>
        <v>101.09484</v>
      </c>
      <c r="E221" s="714"/>
      <c r="F221" s="714"/>
      <c r="G221" s="712" t="s">
        <v>366</v>
      </c>
      <c r="H221" s="715"/>
      <c r="I221" s="715"/>
      <c r="J221" s="712"/>
    </row>
    <row r="222" spans="1:10" ht="18" outlineLevel="1" x14ac:dyDescent="0.25">
      <c r="B222" s="711" t="s">
        <v>1299</v>
      </c>
      <c r="C222" s="712" t="s">
        <v>1330</v>
      </c>
      <c r="D222" s="712">
        <f>A_MCa+A_MH+A_MP+4*A_MO</f>
        <v>136.05730220000001</v>
      </c>
      <c r="E222" s="714"/>
      <c r="F222" s="714"/>
      <c r="G222" s="712" t="s">
        <v>366</v>
      </c>
      <c r="H222" s="715"/>
      <c r="I222" s="715"/>
      <c r="J222" s="712"/>
    </row>
    <row r="223" spans="1:10" ht="18" outlineLevel="1" x14ac:dyDescent="0.25">
      <c r="B223" s="711" t="s">
        <v>1295</v>
      </c>
      <c r="C223" s="712" t="s">
        <v>1296</v>
      </c>
      <c r="D223" s="712">
        <f>A_MCa+A_MO+A_MH</f>
        <v>57.085340000000002</v>
      </c>
      <c r="E223" s="714"/>
      <c r="F223" s="714"/>
      <c r="G223" s="712" t="s">
        <v>366</v>
      </c>
      <c r="H223" s="715"/>
      <c r="I223" s="715"/>
      <c r="J223" s="712"/>
    </row>
    <row r="224" spans="1:10" ht="18" outlineLevel="1" x14ac:dyDescent="0.25">
      <c r="B224" s="711" t="s">
        <v>3626</v>
      </c>
      <c r="C224" s="712" t="s">
        <v>3627</v>
      </c>
      <c r="D224" s="712">
        <f>A_MCa+2*(A_MO+A_MH)</f>
        <v>74.092680000000001</v>
      </c>
      <c r="E224" s="714"/>
      <c r="F224" s="714"/>
      <c r="G224" s="712" t="s">
        <v>366</v>
      </c>
      <c r="H224" s="715"/>
      <c r="I224" s="715"/>
      <c r="J224" s="712"/>
    </row>
    <row r="225" spans="2:10" ht="18" outlineLevel="1" x14ac:dyDescent="0.25">
      <c r="B225" s="711" t="s">
        <v>1298</v>
      </c>
      <c r="C225" s="712" t="s">
        <v>1329</v>
      </c>
      <c r="D225" s="712">
        <f>A_MCa+A_MP+4*A_MO</f>
        <v>135.04936219999999</v>
      </c>
      <c r="E225" s="714"/>
      <c r="F225" s="714"/>
      <c r="G225" s="712" t="s">
        <v>366</v>
      </c>
      <c r="H225" s="715"/>
      <c r="I225" s="715"/>
      <c r="J225" s="712"/>
    </row>
    <row r="226" spans="2:10" ht="18" outlineLevel="1" x14ac:dyDescent="0.25">
      <c r="B226" s="711" t="s">
        <v>752</v>
      </c>
      <c r="C226" s="712" t="s">
        <v>753</v>
      </c>
      <c r="D226" s="712">
        <f>A_MC+3*A_MH+A_MC+2*A_MO+A_MH</f>
        <v>60.051960000000001</v>
      </c>
      <c r="E226" s="714"/>
      <c r="F226" s="714"/>
      <c r="G226" s="712" t="s">
        <v>366</v>
      </c>
      <c r="H226" s="715"/>
      <c r="I226" s="715"/>
      <c r="J226" s="712"/>
    </row>
    <row r="227" spans="2:10" ht="18" outlineLevel="1" x14ac:dyDescent="0.25">
      <c r="B227" s="711" t="s">
        <v>750</v>
      </c>
      <c r="C227" s="712" t="s">
        <v>751</v>
      </c>
      <c r="D227" s="712">
        <f>A_MC+3*A_MH+A_MO+A_MH</f>
        <v>32.04186</v>
      </c>
      <c r="E227" s="714"/>
      <c r="F227" s="714"/>
      <c r="G227" s="712" t="s">
        <v>366</v>
      </c>
      <c r="H227" s="715"/>
      <c r="I227" s="715"/>
      <c r="J227" s="712"/>
    </row>
    <row r="228" spans="2:10" ht="18" outlineLevel="1" x14ac:dyDescent="0.25">
      <c r="B228" s="711" t="s">
        <v>1260</v>
      </c>
      <c r="C228" s="712" t="s">
        <v>738</v>
      </c>
      <c r="D228" s="712">
        <f>A_MC+2*A_MO</f>
        <v>44.009500000000003</v>
      </c>
      <c r="E228" s="714"/>
      <c r="F228" s="714"/>
      <c r="G228" s="712" t="s">
        <v>366</v>
      </c>
      <c r="H228" s="715"/>
      <c r="I228" s="715"/>
      <c r="J228" s="712"/>
    </row>
    <row r="229" spans="2:10" ht="18" outlineLevel="1" x14ac:dyDescent="0.25">
      <c r="B229" s="711" t="s">
        <v>1019</v>
      </c>
      <c r="C229" s="712" t="s">
        <v>1020</v>
      </c>
      <c r="D229" s="712">
        <f>A_MC + 3*A_MO</f>
        <v>60.008899999999997</v>
      </c>
      <c r="E229" s="714"/>
      <c r="F229" s="714"/>
      <c r="G229" s="712" t="s">
        <v>366</v>
      </c>
      <c r="H229" s="715"/>
      <c r="I229" s="715"/>
      <c r="J229" s="712"/>
    </row>
    <row r="230" spans="2:10" ht="18" outlineLevel="1" x14ac:dyDescent="0.25">
      <c r="B230" s="711" t="s">
        <v>1257</v>
      </c>
      <c r="C230" s="712" t="s">
        <v>1258</v>
      </c>
      <c r="D230" s="712">
        <f>2*A_MFe+3*A_MO</f>
        <v>159.68819999999999</v>
      </c>
      <c r="E230" s="714"/>
      <c r="F230" s="714"/>
      <c r="G230" s="712" t="s">
        <v>366</v>
      </c>
      <c r="H230" s="715"/>
      <c r="I230" s="715"/>
      <c r="J230" s="712"/>
    </row>
    <row r="231" spans="2:10" ht="18" outlineLevel="1" x14ac:dyDescent="0.25">
      <c r="B231" s="711" t="s">
        <v>3628</v>
      </c>
      <c r="C231" s="712" t="s">
        <v>3629</v>
      </c>
      <c r="D231" s="712">
        <f>2*A_MFe+3*A_MS+12*A_MO</f>
        <v>399.87779999999998</v>
      </c>
      <c r="E231" s="714"/>
      <c r="F231" s="714"/>
      <c r="G231" s="712" t="s">
        <v>366</v>
      </c>
      <c r="H231" s="715"/>
      <c r="I231" s="715"/>
      <c r="J231" s="712"/>
    </row>
    <row r="232" spans="2:10" ht="18" outlineLevel="1" x14ac:dyDescent="0.25">
      <c r="B232" s="711" t="s">
        <v>2699</v>
      </c>
      <c r="C232" s="712" t="s">
        <v>2700</v>
      </c>
      <c r="D232" s="712">
        <f>A_MFe+2*A_MCl</f>
        <v>126.751</v>
      </c>
      <c r="E232" s="714"/>
      <c r="F232" s="714"/>
      <c r="G232" s="712" t="s">
        <v>366</v>
      </c>
      <c r="H232" s="715"/>
      <c r="I232" s="715"/>
      <c r="J232" s="712"/>
    </row>
    <row r="233" spans="2:10" ht="18" outlineLevel="1" x14ac:dyDescent="0.25">
      <c r="B233" s="711" t="s">
        <v>2697</v>
      </c>
      <c r="C233" s="712" t="s">
        <v>2698</v>
      </c>
      <c r="D233" s="712">
        <f>A_MFe+3*A_MCl</f>
        <v>162.20400000000001</v>
      </c>
      <c r="E233" s="714"/>
      <c r="F233" s="714"/>
      <c r="G233" s="712" t="s">
        <v>366</v>
      </c>
      <c r="H233" s="715"/>
      <c r="I233" s="715"/>
      <c r="J233" s="712"/>
    </row>
    <row r="234" spans="2:10" ht="18" outlineLevel="1" x14ac:dyDescent="0.25">
      <c r="B234" s="711" t="s">
        <v>2988</v>
      </c>
      <c r="C234" s="712" t="s">
        <v>2695</v>
      </c>
      <c r="D234" s="712">
        <f>A_MFe+3*(A_MO+A_MH)</f>
        <v>106.86702</v>
      </c>
      <c r="E234" s="714"/>
      <c r="F234" s="714"/>
      <c r="G234" s="712" t="s">
        <v>366</v>
      </c>
      <c r="H234" s="715"/>
      <c r="I234" s="715"/>
      <c r="J234" s="712"/>
    </row>
    <row r="235" spans="2:10" ht="18" outlineLevel="1" x14ac:dyDescent="0.25">
      <c r="B235" s="711" t="s">
        <v>1118</v>
      </c>
      <c r="C235" s="712" t="s">
        <v>1114</v>
      </c>
      <c r="D235" s="712">
        <f>A_MFe+A_MS</f>
        <v>87.91</v>
      </c>
      <c r="E235" s="714"/>
      <c r="F235" s="714"/>
      <c r="G235" s="712" t="s">
        <v>366</v>
      </c>
      <c r="H235" s="715"/>
      <c r="I235" s="715"/>
      <c r="J235" s="712"/>
    </row>
    <row r="236" spans="2:10" ht="18" outlineLevel="1" x14ac:dyDescent="0.25">
      <c r="B236" s="711" t="s">
        <v>2701</v>
      </c>
      <c r="C236" s="712" t="s">
        <v>2702</v>
      </c>
      <c r="D236" s="712">
        <f>A_MFe+M_MSO4</f>
        <v>151.9076</v>
      </c>
      <c r="E236" s="714"/>
      <c r="F236" s="714"/>
      <c r="G236" s="712" t="s">
        <v>366</v>
      </c>
      <c r="H236" s="715"/>
      <c r="I236" s="715"/>
      <c r="J236" s="712"/>
    </row>
    <row r="237" spans="2:10" ht="18" outlineLevel="1" x14ac:dyDescent="0.25">
      <c r="B237" s="711" t="s">
        <v>1023</v>
      </c>
      <c r="C237" s="712" t="s">
        <v>1024</v>
      </c>
      <c r="D237" s="712">
        <f>2*A_MH+A_MC + 3*A_MO</f>
        <v>62.024779999999993</v>
      </c>
      <c r="E237" s="714"/>
      <c r="F237" s="714"/>
      <c r="G237" s="712" t="s">
        <v>366</v>
      </c>
      <c r="H237" s="715"/>
      <c r="I237" s="715"/>
      <c r="J237" s="712"/>
    </row>
    <row r="238" spans="2:10" ht="18" outlineLevel="1" x14ac:dyDescent="0.25">
      <c r="B238" s="711" t="s">
        <v>1115</v>
      </c>
      <c r="C238" s="712" t="s">
        <v>1116</v>
      </c>
      <c r="D238" s="712">
        <f>2*A_MH+A_MO</f>
        <v>18.015280000000001</v>
      </c>
      <c r="E238" s="714"/>
      <c r="F238" s="714"/>
      <c r="G238" s="712" t="s">
        <v>366</v>
      </c>
      <c r="H238" s="715"/>
      <c r="I238" s="715"/>
      <c r="J238" s="712"/>
    </row>
    <row r="239" spans="2:10" ht="18" outlineLevel="1" x14ac:dyDescent="0.25">
      <c r="B239" s="711" t="s">
        <v>3630</v>
      </c>
      <c r="C239" s="712" t="s">
        <v>3631</v>
      </c>
      <c r="D239" s="712">
        <f>3*A_MH + A_MP+4*A_MO</f>
        <v>97.995182199999988</v>
      </c>
      <c r="E239" s="714"/>
      <c r="F239" s="714"/>
      <c r="G239" s="712" t="s">
        <v>366</v>
      </c>
      <c r="H239" s="715"/>
      <c r="I239" s="715"/>
      <c r="J239" s="712"/>
    </row>
    <row r="240" spans="2:10" ht="18" outlineLevel="1" x14ac:dyDescent="0.25">
      <c r="B240" s="711" t="s">
        <v>1109</v>
      </c>
      <c r="C240" s="712" t="s">
        <v>1027</v>
      </c>
      <c r="D240" s="712">
        <f>2*A_MH + A_MS</f>
        <v>34.080880000000001</v>
      </c>
      <c r="E240" s="714"/>
      <c r="F240" s="714"/>
      <c r="G240" s="712" t="s">
        <v>366</v>
      </c>
      <c r="H240" s="715"/>
      <c r="I240" s="715"/>
      <c r="J240" s="712"/>
    </row>
    <row r="241" spans="2:10" ht="18" outlineLevel="1" x14ac:dyDescent="0.25">
      <c r="B241" s="711" t="s">
        <v>1065</v>
      </c>
      <c r="C241" s="712" t="s">
        <v>1025</v>
      </c>
      <c r="D241" s="712">
        <f>2*A_MH + A_MS+4*A_MO</f>
        <v>98.078479999999999</v>
      </c>
      <c r="E241" s="714"/>
      <c r="F241" s="714"/>
      <c r="G241" s="712" t="s">
        <v>366</v>
      </c>
      <c r="H241" s="715"/>
      <c r="I241" s="715"/>
      <c r="J241" s="712"/>
    </row>
    <row r="242" spans="2:10" ht="18" outlineLevel="1" x14ac:dyDescent="0.25">
      <c r="B242" s="711" t="s">
        <v>1293</v>
      </c>
      <c r="C242" s="712" t="s">
        <v>1294</v>
      </c>
      <c r="D242" s="712">
        <f>5*A_MCa+A_MP*3+4*3*A_MO+A_MO+A_MH</f>
        <v>502.3114266</v>
      </c>
      <c r="E242" s="714"/>
      <c r="F242" s="714"/>
      <c r="G242" s="712" t="s">
        <v>366</v>
      </c>
      <c r="H242" s="715"/>
      <c r="I242" s="715"/>
      <c r="J242" s="712" t="s">
        <v>3632</v>
      </c>
    </row>
    <row r="243" spans="2:10" ht="18" outlineLevel="1" x14ac:dyDescent="0.25">
      <c r="B243" s="711" t="s">
        <v>1026</v>
      </c>
      <c r="C243" s="712" t="s">
        <v>1105</v>
      </c>
      <c r="D243" s="712">
        <f>A_MH + A_MCl</f>
        <v>36.460940000000001</v>
      </c>
      <c r="E243" s="714"/>
      <c r="F243" s="714"/>
      <c r="G243" s="712" t="s">
        <v>366</v>
      </c>
      <c r="H243" s="715"/>
      <c r="I243" s="715"/>
      <c r="J243" s="712"/>
    </row>
    <row r="244" spans="2:10" ht="18" outlineLevel="1" x14ac:dyDescent="0.25">
      <c r="B244" s="711" t="s">
        <v>1021</v>
      </c>
      <c r="C244" s="712" t="s">
        <v>1022</v>
      </c>
      <c r="D244" s="712">
        <f>A_MH + A_MC + 3*A_MO</f>
        <v>61.016839999999995</v>
      </c>
      <c r="E244" s="714"/>
      <c r="F244" s="714"/>
      <c r="G244" s="712" t="s">
        <v>366</v>
      </c>
      <c r="H244" s="715"/>
      <c r="I244" s="715"/>
      <c r="J244" s="712"/>
    </row>
    <row r="245" spans="2:10" ht="18" outlineLevel="1" x14ac:dyDescent="0.25">
      <c r="B245" s="711" t="s">
        <v>1291</v>
      </c>
      <c r="C245" s="712" t="s">
        <v>1292</v>
      </c>
      <c r="D245" s="712">
        <f>2*A_MCa+A_MP+4*A_MO+2*(A_MO+A_MH)</f>
        <v>209.14204219999999</v>
      </c>
      <c r="E245" s="714"/>
      <c r="F245" s="714"/>
      <c r="G245" s="712" t="s">
        <v>366</v>
      </c>
      <c r="H245" s="715"/>
      <c r="I245" s="715"/>
      <c r="J245" s="712" t="s">
        <v>3633</v>
      </c>
    </row>
    <row r="246" spans="2:10" ht="18" outlineLevel="1" x14ac:dyDescent="0.25">
      <c r="B246" s="711" t="s">
        <v>3634</v>
      </c>
      <c r="C246" s="712" t="s">
        <v>3635</v>
      </c>
      <c r="D246" s="712">
        <f>A_MH + A_MN+3*A_MO</f>
        <v>63.012839999999997</v>
      </c>
      <c r="E246" s="714"/>
      <c r="F246" s="714"/>
      <c r="G246" s="712" t="s">
        <v>366</v>
      </c>
      <c r="H246" s="715"/>
      <c r="I246" s="715"/>
      <c r="J246" s="712"/>
    </row>
    <row r="247" spans="2:10" ht="18" outlineLevel="1" x14ac:dyDescent="0.25">
      <c r="B247" s="711" t="s">
        <v>1064</v>
      </c>
      <c r="C247" s="712" t="s">
        <v>1106</v>
      </c>
      <c r="D247" s="712">
        <f>A_MH + A_MS+4*A_MO</f>
        <v>97.070539999999994</v>
      </c>
      <c r="E247" s="714"/>
      <c r="F247" s="714"/>
      <c r="G247" s="712" t="s">
        <v>366</v>
      </c>
      <c r="H247" s="715"/>
      <c r="I247" s="715"/>
      <c r="J247" s="712"/>
    </row>
    <row r="248" spans="2:10" ht="18" outlineLevel="1" x14ac:dyDescent="0.25">
      <c r="B248" s="711" t="s">
        <v>1302</v>
      </c>
      <c r="C248" s="712" t="s">
        <v>1333</v>
      </c>
      <c r="D248" s="712">
        <f>A_MMg+A_MC+3*A_MO</f>
        <v>84.31389999999999</v>
      </c>
      <c r="E248" s="714"/>
      <c r="F248" s="714"/>
      <c r="G248" s="712" t="s">
        <v>366</v>
      </c>
      <c r="H248" s="715"/>
      <c r="I248" s="715"/>
      <c r="J248" s="712"/>
    </row>
    <row r="249" spans="2:10" ht="18" outlineLevel="1" x14ac:dyDescent="0.25">
      <c r="B249" s="711" t="s">
        <v>1306</v>
      </c>
      <c r="C249" s="712" t="s">
        <v>1337</v>
      </c>
      <c r="D249" s="712">
        <f>A_MMg+2*A_MH+A_MP+4*A_MO</f>
        <v>121.2922422</v>
      </c>
      <c r="E249" s="714"/>
      <c r="F249" s="714"/>
      <c r="G249" s="712" t="s">
        <v>366</v>
      </c>
      <c r="H249" s="715"/>
      <c r="I249" s="715"/>
      <c r="J249" s="712"/>
    </row>
    <row r="250" spans="2:10" ht="18" outlineLevel="1" x14ac:dyDescent="0.25">
      <c r="B250" s="711" t="s">
        <v>1303</v>
      </c>
      <c r="C250" s="712" t="s">
        <v>1334</v>
      </c>
      <c r="D250" s="712">
        <f>A_MMg+A_MH+A_MC+3*A_MO</f>
        <v>85.321839999999995</v>
      </c>
      <c r="E250" s="714"/>
      <c r="F250" s="714"/>
      <c r="G250" s="712" t="s">
        <v>366</v>
      </c>
      <c r="H250" s="715"/>
      <c r="I250" s="715"/>
      <c r="J250" s="712"/>
    </row>
    <row r="251" spans="2:10" ht="18" outlineLevel="1" x14ac:dyDescent="0.25">
      <c r="B251" s="711" t="s">
        <v>1304</v>
      </c>
      <c r="C251" s="712" t="s">
        <v>1335</v>
      </c>
      <c r="D251" s="712">
        <f>A_MMg+A_MH+A_MP+4*A_MO</f>
        <v>120.2843022</v>
      </c>
      <c r="E251" s="714"/>
      <c r="F251" s="714"/>
      <c r="G251" s="712" t="s">
        <v>366</v>
      </c>
      <c r="H251" s="715"/>
      <c r="I251" s="715"/>
      <c r="J251" s="712"/>
    </row>
    <row r="252" spans="2:10" ht="18" outlineLevel="1" x14ac:dyDescent="0.25">
      <c r="B252" s="711" t="s">
        <v>1301</v>
      </c>
      <c r="C252" s="712" t="s">
        <v>1332</v>
      </c>
      <c r="D252" s="712">
        <f>A_MMg+A_MO+A_MH</f>
        <v>41.312339999999999</v>
      </c>
      <c r="E252" s="714"/>
      <c r="F252" s="714"/>
      <c r="G252" s="712" t="s">
        <v>366</v>
      </c>
      <c r="H252" s="715"/>
      <c r="I252" s="715"/>
      <c r="J252" s="712"/>
    </row>
    <row r="253" spans="2:10" ht="18" outlineLevel="1" x14ac:dyDescent="0.25">
      <c r="B253" s="711" t="s">
        <v>2703</v>
      </c>
      <c r="C253" s="712" t="s">
        <v>2704</v>
      </c>
      <c r="D253" s="712">
        <f>A_MMg+2*(A_MO+A_MH)</f>
        <v>58.319679999999998</v>
      </c>
      <c r="E253" s="714"/>
      <c r="F253" s="714"/>
      <c r="G253" s="712" t="s">
        <v>366</v>
      </c>
      <c r="H253" s="715"/>
      <c r="I253" s="715"/>
      <c r="J253" s="712"/>
    </row>
    <row r="254" spans="2:10" ht="18" outlineLevel="1" x14ac:dyDescent="0.25">
      <c r="B254" s="711" t="s">
        <v>1305</v>
      </c>
      <c r="C254" s="712" t="s">
        <v>1336</v>
      </c>
      <c r="D254" s="712">
        <f>A_MMg+A_MP+4*A_MO</f>
        <v>119.27636219999999</v>
      </c>
      <c r="E254" s="714"/>
      <c r="F254" s="714"/>
      <c r="G254" s="712" t="s">
        <v>366</v>
      </c>
      <c r="H254" s="715"/>
      <c r="I254" s="715"/>
      <c r="J254" s="712"/>
    </row>
    <row r="255" spans="2:10" ht="18" outlineLevel="1" x14ac:dyDescent="0.25">
      <c r="B255" s="711" t="s">
        <v>1289</v>
      </c>
      <c r="C255" s="712" t="s">
        <v>1290</v>
      </c>
      <c r="D255" s="712">
        <f>A_MMg+A_MK+A_MP+4*A_MO+6*2*A_MH+6*A_MO</f>
        <v>266.46634219999999</v>
      </c>
      <c r="E255" s="714"/>
      <c r="F255" s="714"/>
      <c r="G255" s="712" t="s">
        <v>366</v>
      </c>
      <c r="H255" s="715"/>
      <c r="I255" s="715"/>
      <c r="J255" s="712"/>
    </row>
    <row r="256" spans="2:10" ht="18" outlineLevel="1" x14ac:dyDescent="0.25">
      <c r="B256" s="711" t="s">
        <v>2018</v>
      </c>
      <c r="C256" s="712" t="s">
        <v>2019</v>
      </c>
      <c r="D256" s="712">
        <f>4*A_MH+A_MC+A_MS</f>
        <v>48.107459999999996</v>
      </c>
      <c r="E256" s="714"/>
      <c r="F256" s="714"/>
      <c r="G256" s="712" t="s">
        <v>366</v>
      </c>
      <c r="H256" s="715"/>
      <c r="I256" s="715"/>
      <c r="J256" s="713" t="s">
        <v>3636</v>
      </c>
    </row>
    <row r="257" spans="2:10" ht="18" outlineLevel="1" x14ac:dyDescent="0.25">
      <c r="B257" s="711" t="s">
        <v>453</v>
      </c>
      <c r="C257" s="712" t="s">
        <v>454</v>
      </c>
      <c r="D257" s="712">
        <f>2*A_MN</f>
        <v>28.013400000000001</v>
      </c>
      <c r="E257" s="714"/>
      <c r="F257" s="714"/>
      <c r="G257" s="712" t="s">
        <v>366</v>
      </c>
      <c r="H257" s="715"/>
      <c r="I257" s="715"/>
      <c r="J257" s="712"/>
    </row>
    <row r="258" spans="2:10" ht="18" outlineLevel="1" x14ac:dyDescent="0.25">
      <c r="B258" s="724" t="s">
        <v>3637</v>
      </c>
      <c r="C258" s="723" t="s">
        <v>3638</v>
      </c>
      <c r="D258" s="723">
        <f>2*A_MN + A_MO</f>
        <v>44.012799999999999</v>
      </c>
      <c r="E258" s="725"/>
      <c r="F258" s="725"/>
      <c r="G258" s="723" t="s">
        <v>366</v>
      </c>
      <c r="H258" s="715"/>
      <c r="I258" s="715"/>
      <c r="J258" s="712"/>
    </row>
    <row r="259" spans="2:10" ht="18" outlineLevel="1" x14ac:dyDescent="0.25">
      <c r="B259" s="711" t="s">
        <v>2705</v>
      </c>
      <c r="C259" s="712" t="s">
        <v>2706</v>
      </c>
      <c r="D259" s="712">
        <f>2*A_MNa+A_MC+3*A_MO</f>
        <v>105.988438</v>
      </c>
      <c r="E259" s="714"/>
      <c r="F259" s="714"/>
      <c r="G259" s="712" t="s">
        <v>366</v>
      </c>
      <c r="H259" s="715"/>
      <c r="I259" s="715"/>
      <c r="J259" s="712"/>
    </row>
    <row r="260" spans="2:10" ht="18" outlineLevel="1" x14ac:dyDescent="0.25">
      <c r="B260" s="711" t="s">
        <v>2014</v>
      </c>
      <c r="C260" s="712" t="s">
        <v>2015</v>
      </c>
      <c r="D260" s="712">
        <f>A_MNa+A_MCl</f>
        <v>58.442768999999998</v>
      </c>
      <c r="E260" s="714"/>
      <c r="F260" s="714"/>
      <c r="G260" s="712" t="s">
        <v>366</v>
      </c>
      <c r="H260" s="715"/>
      <c r="I260" s="715"/>
      <c r="J260" s="712"/>
    </row>
    <row r="261" spans="2:10" ht="18" outlineLevel="1" x14ac:dyDescent="0.25">
      <c r="B261" s="711" t="s">
        <v>2707</v>
      </c>
      <c r="C261" s="712" t="s">
        <v>2708</v>
      </c>
      <c r="D261" s="712">
        <f>A_MNa+A_MH+A_MC+3*A_MO</f>
        <v>84.006608999999997</v>
      </c>
      <c r="E261" s="714"/>
      <c r="F261" s="714"/>
      <c r="G261" s="712" t="s">
        <v>366</v>
      </c>
      <c r="H261" s="715"/>
      <c r="I261" s="715"/>
      <c r="J261" s="712"/>
    </row>
    <row r="262" spans="2:10" ht="18" outlineLevel="1" x14ac:dyDescent="0.25">
      <c r="B262" s="711" t="s">
        <v>1307</v>
      </c>
      <c r="C262" s="712" t="s">
        <v>1338</v>
      </c>
      <c r="D262" s="712">
        <f>A_MNa+A_MH+A_MP+4*A_MO</f>
        <v>118.9690712</v>
      </c>
      <c r="E262" s="714"/>
      <c r="F262" s="714"/>
      <c r="G262" s="712" t="s">
        <v>366</v>
      </c>
      <c r="H262" s="715"/>
      <c r="I262" s="715"/>
      <c r="J262" s="712"/>
    </row>
    <row r="263" spans="2:10" ht="18" outlineLevel="1" x14ac:dyDescent="0.25">
      <c r="B263" s="711" t="s">
        <v>3639</v>
      </c>
      <c r="C263" s="712" t="s">
        <v>3640</v>
      </c>
      <c r="D263" s="712">
        <f>A_MK+A_MN+2*A_MO</f>
        <v>85.103800000000007</v>
      </c>
      <c r="E263" s="714"/>
      <c r="F263" s="714"/>
      <c r="G263" s="712" t="s">
        <v>366</v>
      </c>
      <c r="H263" s="715"/>
      <c r="I263" s="715"/>
      <c r="J263" s="712"/>
    </row>
    <row r="264" spans="2:10" ht="18" outlineLevel="1" x14ac:dyDescent="0.25">
      <c r="B264" s="711" t="s">
        <v>3641</v>
      </c>
      <c r="C264" s="712" t="s">
        <v>3642</v>
      </c>
      <c r="D264" s="712">
        <f>A_MK+A_MN+3*A_MO</f>
        <v>101.1032</v>
      </c>
      <c r="E264" s="714"/>
      <c r="F264" s="714"/>
      <c r="G264" s="712" t="s">
        <v>366</v>
      </c>
      <c r="H264" s="715"/>
      <c r="I264" s="715"/>
      <c r="J264" s="712"/>
    </row>
    <row r="265" spans="2:10" ht="18" outlineLevel="1" x14ac:dyDescent="0.25">
      <c r="B265" s="711" t="s">
        <v>2016</v>
      </c>
      <c r="C265" s="712" t="s">
        <v>2017</v>
      </c>
      <c r="D265" s="712">
        <f>A_MNa+A_MH+A_MO</f>
        <v>39.997109000000002</v>
      </c>
      <c r="E265" s="714"/>
      <c r="F265" s="714"/>
      <c r="G265" s="712" t="s">
        <v>366</v>
      </c>
      <c r="H265" s="715"/>
      <c r="I265" s="715"/>
      <c r="J265" s="712"/>
    </row>
    <row r="266" spans="2:10" ht="18" outlineLevel="1" x14ac:dyDescent="0.25">
      <c r="B266" s="711" t="s">
        <v>747</v>
      </c>
      <c r="C266" s="712" t="s">
        <v>748</v>
      </c>
      <c r="D266" s="712">
        <f>A_MN+3*A_MH</f>
        <v>17.030519999999999</v>
      </c>
      <c r="E266" s="714"/>
      <c r="F266" s="714"/>
      <c r="G266" s="712" t="s">
        <v>366</v>
      </c>
      <c r="H266" s="715"/>
      <c r="I266" s="715"/>
      <c r="J266" s="712"/>
    </row>
    <row r="267" spans="2:10" ht="18" outlineLevel="1" x14ac:dyDescent="0.25">
      <c r="B267" s="711" t="s">
        <v>1016</v>
      </c>
      <c r="C267" s="712" t="s">
        <v>3135</v>
      </c>
      <c r="D267" s="712">
        <f>A_MN+4*A_MH</f>
        <v>18.038460000000001</v>
      </c>
      <c r="E267" s="714"/>
      <c r="F267" s="714"/>
      <c r="G267" s="712" t="s">
        <v>366</v>
      </c>
      <c r="H267" s="715"/>
      <c r="I267" s="715"/>
      <c r="J267" s="712"/>
    </row>
    <row r="268" spans="2:10" ht="18" outlineLevel="1" x14ac:dyDescent="0.25">
      <c r="B268" s="711" t="s">
        <v>3643</v>
      </c>
      <c r="C268" s="712" t="s">
        <v>3644</v>
      </c>
      <c r="D268" s="712">
        <f>M_MNH4+A_MH+A_MC+3*A_MO</f>
        <v>79.055300000000003</v>
      </c>
      <c r="E268" s="714"/>
      <c r="F268" s="714"/>
      <c r="G268" s="712" t="s">
        <v>366</v>
      </c>
      <c r="H268" s="715"/>
      <c r="I268" s="715"/>
      <c r="J268" s="712"/>
    </row>
    <row r="269" spans="2:10" ht="18" outlineLevel="1" x14ac:dyDescent="0.25">
      <c r="B269" s="724" t="s">
        <v>3645</v>
      </c>
      <c r="C269" s="723" t="s">
        <v>3646</v>
      </c>
      <c r="D269" s="723">
        <f>A_MN + A_MO</f>
        <v>30.0061</v>
      </c>
      <c r="E269" s="725"/>
      <c r="F269" s="725"/>
      <c r="G269" s="723" t="s">
        <v>366</v>
      </c>
      <c r="H269" s="715"/>
      <c r="I269" s="715"/>
      <c r="J269" s="712"/>
    </row>
    <row r="270" spans="2:10" ht="18" outlineLevel="1" x14ac:dyDescent="0.25">
      <c r="B270" s="711" t="s">
        <v>1017</v>
      </c>
      <c r="C270" s="712" t="s">
        <v>3136</v>
      </c>
      <c r="D270" s="712">
        <f>A_MN + 2*A_MO</f>
        <v>46.005499999999998</v>
      </c>
      <c r="E270" s="714"/>
      <c r="F270" s="714"/>
      <c r="G270" s="712" t="s">
        <v>366</v>
      </c>
      <c r="H270" s="715"/>
      <c r="I270" s="715"/>
      <c r="J270" s="712"/>
    </row>
    <row r="271" spans="2:10" ht="18" outlineLevel="1" x14ac:dyDescent="0.25">
      <c r="B271" s="711" t="s">
        <v>1018</v>
      </c>
      <c r="C271" s="712" t="s">
        <v>3137</v>
      </c>
      <c r="D271" s="712">
        <f>A_MN + 3*A_MO</f>
        <v>62.004899999999999</v>
      </c>
      <c r="E271" s="714"/>
      <c r="F271" s="714"/>
      <c r="G271" s="712" t="s">
        <v>366</v>
      </c>
      <c r="H271" s="715"/>
      <c r="I271" s="715"/>
      <c r="J271" s="712"/>
    </row>
    <row r="272" spans="2:10" ht="18" outlineLevel="1" x14ac:dyDescent="0.25">
      <c r="B272" s="711" t="s">
        <v>452</v>
      </c>
      <c r="C272" s="712" t="s">
        <v>451</v>
      </c>
      <c r="D272" s="712">
        <f>2*A_MO</f>
        <v>31.998799999999999</v>
      </c>
      <c r="E272" s="714"/>
      <c r="F272" s="714"/>
      <c r="G272" s="712" t="s">
        <v>366</v>
      </c>
      <c r="H272" s="715"/>
      <c r="I272" s="715"/>
      <c r="J272" s="712"/>
    </row>
    <row r="273" spans="2:10" ht="18" outlineLevel="1" x14ac:dyDescent="0.25">
      <c r="B273" s="711" t="s">
        <v>1259</v>
      </c>
      <c r="C273" s="712" t="s">
        <v>749</v>
      </c>
      <c r="D273" s="712">
        <f>A_MP+4*A_MO</f>
        <v>94.971362200000002</v>
      </c>
      <c r="E273" s="714"/>
      <c r="F273" s="714"/>
      <c r="G273" s="712" t="s">
        <v>366</v>
      </c>
      <c r="H273" s="715"/>
      <c r="I273" s="715"/>
      <c r="J273" s="712"/>
    </row>
    <row r="274" spans="2:10" ht="18" outlineLevel="1" x14ac:dyDescent="0.25">
      <c r="B274" s="711" t="s">
        <v>1030</v>
      </c>
      <c r="C274" s="712" t="s">
        <v>1031</v>
      </c>
      <c r="D274" s="712">
        <f>A_MSi + 2*A_MO</f>
        <v>60.084299999999999</v>
      </c>
      <c r="E274" s="714"/>
      <c r="F274" s="714"/>
      <c r="G274" s="712" t="s">
        <v>366</v>
      </c>
      <c r="H274" s="715"/>
      <c r="I274" s="715"/>
      <c r="J274" s="712"/>
    </row>
    <row r="275" spans="2:10" ht="18" outlineLevel="1" x14ac:dyDescent="0.25">
      <c r="B275" s="711" t="s">
        <v>1063</v>
      </c>
      <c r="C275" s="712" t="s">
        <v>1108</v>
      </c>
      <c r="D275" s="712">
        <f>A_MS+4*A_MO</f>
        <v>96.062600000000003</v>
      </c>
      <c r="E275" s="714"/>
      <c r="F275" s="714"/>
      <c r="G275" s="712" t="s">
        <v>366</v>
      </c>
      <c r="H275" s="715"/>
      <c r="I275" s="715"/>
      <c r="J275" s="712"/>
    </row>
    <row r="276" spans="2:10" ht="18" outlineLevel="1" x14ac:dyDescent="0.25">
      <c r="B276" s="711" t="s">
        <v>1262</v>
      </c>
      <c r="C276" s="712" t="s">
        <v>1029</v>
      </c>
      <c r="D276" s="712">
        <f>A_MMg+A_MN+4*A_MH+A_MP+4*A_MO+6*(M_MH2O)</f>
        <v>245.40650220000001</v>
      </c>
      <c r="E276" s="714"/>
      <c r="F276" s="714"/>
      <c r="G276" s="712" t="s">
        <v>366</v>
      </c>
      <c r="H276" s="715"/>
      <c r="I276" s="715"/>
      <c r="J276" s="712" t="s">
        <v>3647</v>
      </c>
    </row>
    <row r="277" spans="2:10" ht="18" outlineLevel="1" x14ac:dyDescent="0.25">
      <c r="B277" s="711" t="s">
        <v>1117</v>
      </c>
      <c r="C277" s="712" t="s">
        <v>1113</v>
      </c>
      <c r="D277" s="712">
        <f>3*A_MFe+2*(A_MP+4*A_MO)+8*M_MH2O</f>
        <v>501.59996439999998</v>
      </c>
      <c r="E277" s="714"/>
      <c r="F277" s="714"/>
      <c r="G277" s="712" t="s">
        <v>366</v>
      </c>
      <c r="H277" s="715"/>
      <c r="I277" s="715"/>
      <c r="J277" s="712" t="s">
        <v>3648</v>
      </c>
    </row>
    <row r="279" spans="2:10" ht="15.75" thickBot="1" x14ac:dyDescent="0.3">
      <c r="C279" s="706" t="s">
        <v>754</v>
      </c>
    </row>
    <row r="280" spans="2:10" ht="15.75" thickBot="1" x14ac:dyDescent="0.3">
      <c r="B280" s="707" t="s">
        <v>0</v>
      </c>
      <c r="C280" s="708" t="s">
        <v>1</v>
      </c>
      <c r="D280" s="710" t="s">
        <v>152</v>
      </c>
      <c r="E280" s="710" t="s">
        <v>471</v>
      </c>
      <c r="F280" s="710" t="s">
        <v>472</v>
      </c>
      <c r="G280" s="710" t="s">
        <v>2</v>
      </c>
      <c r="H280" s="710" t="s">
        <v>302</v>
      </c>
      <c r="I280" s="710" t="s">
        <v>116</v>
      </c>
      <c r="J280" s="719" t="s">
        <v>117</v>
      </c>
    </row>
    <row r="281" spans="2:10" ht="18" x14ac:dyDescent="0.25">
      <c r="B281" s="711" t="s">
        <v>1263</v>
      </c>
      <c r="C281" s="712" t="s">
        <v>1066</v>
      </c>
      <c r="D281" s="712">
        <f>2*A_MN</f>
        <v>28.013400000000001</v>
      </c>
      <c r="E281" s="714"/>
      <c r="F281" s="714"/>
      <c r="G281" s="712" t="s">
        <v>2020</v>
      </c>
      <c r="H281" s="715"/>
      <c r="I281" s="715"/>
      <c r="J281" s="712"/>
    </row>
    <row r="282" spans="2:10" ht="18" x14ac:dyDescent="0.25">
      <c r="B282" s="711" t="s">
        <v>1264</v>
      </c>
      <c r="C282" s="712" t="s">
        <v>1110</v>
      </c>
      <c r="D282" s="712">
        <f>A_MN</f>
        <v>14.0067</v>
      </c>
      <c r="E282" s="714"/>
      <c r="F282" s="714"/>
      <c r="G282" s="712" t="s">
        <v>2020</v>
      </c>
      <c r="H282" s="715"/>
      <c r="I282" s="715"/>
      <c r="J282" s="712"/>
    </row>
    <row r="283" spans="2:10" ht="18" x14ac:dyDescent="0.25">
      <c r="B283" s="711" t="s">
        <v>1265</v>
      </c>
      <c r="C283" s="712" t="s">
        <v>1067</v>
      </c>
      <c r="D283" s="712">
        <f>A_MN</f>
        <v>14.0067</v>
      </c>
      <c r="E283" s="714"/>
      <c r="F283" s="714"/>
      <c r="G283" s="712" t="s">
        <v>2020</v>
      </c>
      <c r="H283" s="715"/>
      <c r="I283" s="715"/>
      <c r="J283" s="712"/>
    </row>
    <row r="284" spans="2:10" ht="18" x14ac:dyDescent="0.25">
      <c r="B284" s="711" t="s">
        <v>1266</v>
      </c>
      <c r="C284" s="712" t="s">
        <v>1068</v>
      </c>
      <c r="D284" s="712">
        <f>2*A_MN</f>
        <v>28.013400000000001</v>
      </c>
      <c r="E284" s="714"/>
      <c r="F284" s="714"/>
      <c r="G284" s="712" t="s">
        <v>2020</v>
      </c>
      <c r="H284" s="715"/>
      <c r="I284" s="715"/>
      <c r="J284" s="712"/>
    </row>
    <row r="285" spans="2:10" ht="18" x14ac:dyDescent="0.25">
      <c r="B285" s="711" t="s">
        <v>1267</v>
      </c>
      <c r="C285" s="712" t="s">
        <v>1069</v>
      </c>
      <c r="D285" s="712">
        <v>12.0107</v>
      </c>
      <c r="E285" s="714"/>
      <c r="F285" s="714"/>
      <c r="G285" s="712" t="s">
        <v>366</v>
      </c>
      <c r="H285" s="715"/>
      <c r="I285" s="715"/>
      <c r="J285" s="712" t="s">
        <v>1268</v>
      </c>
    </row>
    <row r="286" spans="2:10" ht="18" x14ac:dyDescent="0.25">
      <c r="B286" s="711" t="s">
        <v>1269</v>
      </c>
      <c r="C286" s="712" t="s">
        <v>1070</v>
      </c>
      <c r="D286" s="712">
        <f>2*A_MO</f>
        <v>31.998799999999999</v>
      </c>
      <c r="E286" s="714"/>
      <c r="F286" s="714"/>
      <c r="G286" s="712" t="s">
        <v>366</v>
      </c>
      <c r="H286" s="715"/>
      <c r="I286" s="715"/>
      <c r="J286" s="712"/>
    </row>
    <row r="287" spans="2:10" ht="18" x14ac:dyDescent="0.25">
      <c r="B287" s="711" t="s">
        <v>755</v>
      </c>
      <c r="C287" s="712" t="s">
        <v>1071</v>
      </c>
      <c r="D287" s="712">
        <v>63.997599999999998</v>
      </c>
      <c r="E287" s="714"/>
      <c r="F287" s="714"/>
      <c r="G287" s="712" t="s">
        <v>2021</v>
      </c>
      <c r="H287" s="715"/>
      <c r="I287" s="715"/>
      <c r="J287" s="712"/>
    </row>
    <row r="288" spans="2:10" ht="18" x14ac:dyDescent="0.25">
      <c r="B288" s="711" t="s">
        <v>756</v>
      </c>
      <c r="C288" s="712" t="s">
        <v>1072</v>
      </c>
      <c r="D288" s="712">
        <f>2*7.9997</f>
        <v>15.9994</v>
      </c>
      <c r="E288" s="714"/>
      <c r="F288" s="714"/>
      <c r="G288" s="712" t="s">
        <v>2021</v>
      </c>
      <c r="H288" s="715"/>
      <c r="I288" s="715"/>
      <c r="J288" s="712"/>
    </row>
    <row r="289" spans="2:10" ht="18" x14ac:dyDescent="0.25">
      <c r="B289" s="711" t="s">
        <v>1146</v>
      </c>
      <c r="C289" s="712" t="s">
        <v>1147</v>
      </c>
      <c r="D289" s="712">
        <f>A_MS</f>
        <v>32.064999999999998</v>
      </c>
      <c r="E289" s="714"/>
      <c r="F289" s="714"/>
      <c r="G289" s="712" t="s">
        <v>2022</v>
      </c>
      <c r="H289" s="715"/>
      <c r="I289" s="715"/>
      <c r="J289" s="712"/>
    </row>
    <row r="291" spans="2:10" ht="15.75" thickBot="1" x14ac:dyDescent="0.3">
      <c r="C291" s="706" t="s">
        <v>757</v>
      </c>
    </row>
    <row r="292" spans="2:10" x14ac:dyDescent="0.25">
      <c r="B292" s="726" t="s">
        <v>0</v>
      </c>
      <c r="C292" s="727" t="s">
        <v>1</v>
      </c>
      <c r="D292" s="728" t="s">
        <v>152</v>
      </c>
      <c r="E292" s="728" t="s">
        <v>471</v>
      </c>
      <c r="F292" s="728" t="s">
        <v>472</v>
      </c>
      <c r="G292" s="728" t="s">
        <v>2</v>
      </c>
      <c r="H292" s="728" t="s">
        <v>302</v>
      </c>
      <c r="I292" s="728" t="s">
        <v>116</v>
      </c>
      <c r="J292" s="729" t="s">
        <v>117</v>
      </c>
    </row>
    <row r="293" spans="2:10" ht="18" x14ac:dyDescent="0.35">
      <c r="B293" s="714" t="s">
        <v>916</v>
      </c>
      <c r="C293" s="714" t="s">
        <v>2709</v>
      </c>
      <c r="D293" s="714">
        <f>10^-13.997</f>
        <v>1.0069316688518014E-14</v>
      </c>
      <c r="E293" s="714"/>
      <c r="F293" s="714"/>
      <c r="G293" s="714"/>
      <c r="H293" s="714"/>
      <c r="I293" s="714"/>
      <c r="J293" s="714" t="s">
        <v>2710</v>
      </c>
    </row>
    <row r="294" spans="2:10" ht="18" x14ac:dyDescent="0.35">
      <c r="B294" s="714" t="s">
        <v>2991</v>
      </c>
      <c r="C294" s="714" t="s">
        <v>2711</v>
      </c>
      <c r="D294" s="714">
        <f>10^-9.244</f>
        <v>5.7016427228074759E-10</v>
      </c>
      <c r="E294" s="714"/>
      <c r="F294" s="714"/>
      <c r="G294" s="714"/>
      <c r="H294" s="714"/>
      <c r="I294" s="714"/>
      <c r="J294" s="714" t="s">
        <v>2712</v>
      </c>
    </row>
    <row r="295" spans="2:10" ht="18" x14ac:dyDescent="0.35">
      <c r="B295" s="714" t="s">
        <v>2992</v>
      </c>
      <c r="C295" s="714" t="s">
        <v>2713</v>
      </c>
      <c r="D295" s="714">
        <f>10^-3.35</f>
        <v>4.4668359215096267E-4</v>
      </c>
      <c r="E295" s="714"/>
      <c r="F295" s="714"/>
      <c r="G295" s="714"/>
      <c r="H295" s="714"/>
      <c r="I295" s="714"/>
      <c r="J295" s="714" t="s">
        <v>2714</v>
      </c>
    </row>
    <row r="296" spans="2:10" ht="18" x14ac:dyDescent="0.35">
      <c r="B296" s="714" t="s">
        <v>917</v>
      </c>
      <c r="C296" s="714" t="s">
        <v>2715</v>
      </c>
      <c r="D296" s="714">
        <f>10^-6.352</f>
        <v>4.4463126746910741E-7</v>
      </c>
      <c r="E296" s="714"/>
      <c r="F296" s="714"/>
      <c r="G296" s="714"/>
      <c r="H296" s="714"/>
      <c r="I296" s="714"/>
      <c r="J296" s="714" t="s">
        <v>2716</v>
      </c>
    </row>
    <row r="297" spans="2:10" ht="18" x14ac:dyDescent="0.35">
      <c r="B297" s="714" t="s">
        <v>918</v>
      </c>
      <c r="C297" s="714" t="s">
        <v>2717</v>
      </c>
      <c r="D297" s="714">
        <f>10^-10.329</f>
        <v>4.6881338214526346E-11</v>
      </c>
      <c r="E297" s="714"/>
      <c r="F297" s="714"/>
      <c r="G297" s="714"/>
      <c r="H297" s="714"/>
      <c r="I297" s="714"/>
      <c r="J297" s="714" t="s">
        <v>2718</v>
      </c>
    </row>
    <row r="298" spans="2:10" ht="18" x14ac:dyDescent="0.35">
      <c r="B298" s="714" t="s">
        <v>919</v>
      </c>
      <c r="C298" s="714" t="s">
        <v>2719</v>
      </c>
      <c r="D298" s="714">
        <f>10^-2.148</f>
        <v>7.1121351365332815E-3</v>
      </c>
      <c r="E298" s="714"/>
      <c r="F298" s="714"/>
      <c r="G298" s="714"/>
      <c r="H298" s="714"/>
      <c r="I298" s="714"/>
      <c r="J298" s="714" t="s">
        <v>2720</v>
      </c>
    </row>
    <row r="299" spans="2:10" ht="18" x14ac:dyDescent="0.35">
      <c r="B299" s="714" t="s">
        <v>920</v>
      </c>
      <c r="C299" s="714" t="s">
        <v>2721</v>
      </c>
      <c r="D299" s="714">
        <f>10^-7.198</f>
        <v>6.3386971125692633E-8</v>
      </c>
      <c r="E299" s="714"/>
      <c r="F299" s="714"/>
      <c r="G299" s="714"/>
      <c r="H299" s="714"/>
      <c r="I299" s="714"/>
      <c r="J299" s="714" t="s">
        <v>2722</v>
      </c>
    </row>
    <row r="300" spans="2:10" ht="18" x14ac:dyDescent="0.35">
      <c r="B300" s="714" t="s">
        <v>921</v>
      </c>
      <c r="C300" s="714" t="s">
        <v>2723</v>
      </c>
      <c r="D300" s="714">
        <f>10^-12.375</f>
        <v>4.216965034285812E-13</v>
      </c>
      <c r="E300" s="714"/>
      <c r="F300" s="714"/>
      <c r="G300" s="714"/>
      <c r="H300" s="714"/>
      <c r="I300" s="714"/>
      <c r="J300" s="714" t="s">
        <v>2724</v>
      </c>
    </row>
    <row r="301" spans="2:10" ht="18" x14ac:dyDescent="0.35">
      <c r="B301" s="714" t="s">
        <v>2993</v>
      </c>
      <c r="C301" s="714" t="s">
        <v>2725</v>
      </c>
      <c r="D301" s="714">
        <f>10^-4.757</f>
        <v>1.7498466886246563E-5</v>
      </c>
      <c r="E301" s="714"/>
      <c r="F301" s="714"/>
      <c r="G301" s="714"/>
      <c r="H301" s="714"/>
      <c r="I301" s="714"/>
      <c r="J301" s="714" t="s">
        <v>2726</v>
      </c>
    </row>
    <row r="302" spans="2:10" ht="18" x14ac:dyDescent="0.35">
      <c r="B302" s="714" t="s">
        <v>3955</v>
      </c>
      <c r="C302" s="714" t="s">
        <v>3649</v>
      </c>
      <c r="D302" s="714">
        <v>1.3365955165464412E-5</v>
      </c>
      <c r="E302" s="714"/>
      <c r="F302" s="714"/>
      <c r="G302" s="714"/>
      <c r="H302" s="714"/>
      <c r="I302" s="714"/>
      <c r="J302" s="714" t="s">
        <v>3652</v>
      </c>
    </row>
    <row r="303" spans="2:10" ht="18" x14ac:dyDescent="0.35">
      <c r="B303" s="714" t="s">
        <v>3650</v>
      </c>
      <c r="C303" s="714" t="s">
        <v>3651</v>
      </c>
      <c r="D303" s="714">
        <v>1.5170503674593348E-5</v>
      </c>
      <c r="E303" s="714"/>
      <c r="F303" s="714"/>
      <c r="G303" s="714"/>
      <c r="H303" s="714"/>
      <c r="I303" s="714"/>
      <c r="J303" s="714" t="s">
        <v>3652</v>
      </c>
    </row>
    <row r="304" spans="2:10" ht="18" x14ac:dyDescent="0.35">
      <c r="B304" s="714" t="s">
        <v>3653</v>
      </c>
      <c r="C304" s="714" t="s">
        <v>3654</v>
      </c>
      <c r="D304" s="714">
        <v>1.4354894333536556E-5</v>
      </c>
      <c r="E304" s="714"/>
      <c r="F304" s="714"/>
      <c r="G304" s="714"/>
      <c r="H304" s="714"/>
      <c r="I304" s="714"/>
      <c r="J304" s="714" t="s">
        <v>3652</v>
      </c>
    </row>
    <row r="305" spans="1:10" ht="18" x14ac:dyDescent="0.35">
      <c r="B305" s="714" t="s">
        <v>1339</v>
      </c>
      <c r="C305" s="714" t="s">
        <v>2727</v>
      </c>
      <c r="D305" s="714">
        <f>10^(-7.02)</f>
        <v>9.5499258602143556E-8</v>
      </c>
      <c r="E305" s="714"/>
      <c r="F305" s="714"/>
      <c r="G305" s="714"/>
      <c r="H305" s="714"/>
      <c r="I305" s="714"/>
      <c r="J305" s="714" t="s">
        <v>2728</v>
      </c>
    </row>
    <row r="306" spans="1:10" ht="18" x14ac:dyDescent="0.35">
      <c r="B306" s="714" t="s">
        <v>1340</v>
      </c>
      <c r="C306" s="714" t="s">
        <v>2729</v>
      </c>
      <c r="D306" s="714">
        <f>10^(-17.3)</f>
        <v>5.0118723362726963E-18</v>
      </c>
      <c r="E306" s="714"/>
      <c r="F306" s="714"/>
      <c r="G306" s="714"/>
      <c r="H306" s="714"/>
      <c r="I306" s="714"/>
      <c r="J306" s="714" t="s">
        <v>2728</v>
      </c>
    </row>
    <row r="307" spans="1:10" ht="18" x14ac:dyDescent="0.35">
      <c r="B307" s="714" t="s">
        <v>1341</v>
      </c>
      <c r="C307" s="714" t="s">
        <v>2730</v>
      </c>
      <c r="D307" s="714">
        <f>10^(3)</f>
        <v>1000</v>
      </c>
      <c r="E307" s="714"/>
      <c r="F307" s="714"/>
      <c r="G307" s="714"/>
      <c r="H307" s="714"/>
      <c r="I307" s="714"/>
      <c r="J307" s="714" t="s">
        <v>1270</v>
      </c>
    </row>
    <row r="308" spans="1:10" ht="18" x14ac:dyDescent="0.35">
      <c r="B308" s="714" t="s">
        <v>1342</v>
      </c>
      <c r="C308" s="714" t="s">
        <v>2731</v>
      </c>
      <c r="D308" s="714">
        <f>10^(-1.99)</f>
        <v>1.0232929922807535E-2</v>
      </c>
      <c r="E308" s="714"/>
      <c r="F308" s="714"/>
      <c r="G308" s="714"/>
      <c r="H308" s="714"/>
      <c r="I308" s="714"/>
      <c r="J308" s="714" t="s">
        <v>2732</v>
      </c>
    </row>
    <row r="309" spans="1:10" ht="18" x14ac:dyDescent="0.35">
      <c r="B309" s="714" t="s">
        <v>2994</v>
      </c>
      <c r="C309" s="714" t="s">
        <v>2727</v>
      </c>
      <c r="D309" s="714">
        <f>10^(-7.02)</f>
        <v>9.5499258602143556E-8</v>
      </c>
      <c r="E309" s="714"/>
      <c r="F309" s="714"/>
      <c r="G309" s="714"/>
      <c r="H309" s="714"/>
      <c r="I309" s="714"/>
      <c r="J309" s="714" t="s">
        <v>2732</v>
      </c>
    </row>
    <row r="311" spans="1:10" ht="15.75" thickBot="1" x14ac:dyDescent="0.3">
      <c r="C311" s="706" t="s">
        <v>1308</v>
      </c>
    </row>
    <row r="312" spans="1:10" ht="15.75" thickBot="1" x14ac:dyDescent="0.3">
      <c r="B312" s="707" t="s">
        <v>0</v>
      </c>
      <c r="C312" s="708" t="s">
        <v>1</v>
      </c>
      <c r="D312" s="710" t="s">
        <v>152</v>
      </c>
      <c r="E312" s="710" t="s">
        <v>471</v>
      </c>
      <c r="F312" s="710" t="s">
        <v>472</v>
      </c>
      <c r="G312" s="710" t="s">
        <v>2</v>
      </c>
      <c r="H312" s="710" t="s">
        <v>302</v>
      </c>
      <c r="I312" s="710" t="s">
        <v>116</v>
      </c>
      <c r="J312" s="719" t="s">
        <v>117</v>
      </c>
    </row>
    <row r="313" spans="1:10" ht="18" x14ac:dyDescent="0.25">
      <c r="B313" s="711" t="s">
        <v>1317</v>
      </c>
      <c r="C313" s="712" t="s">
        <v>3138</v>
      </c>
      <c r="D313" s="712">
        <f>10^(-6.35)</f>
        <v>4.4668359215096327E-7</v>
      </c>
      <c r="E313" s="714"/>
      <c r="F313" s="714"/>
      <c r="G313" s="712"/>
      <c r="H313" s="715"/>
      <c r="I313" s="715"/>
      <c r="J313" s="712"/>
    </row>
    <row r="314" spans="1:10" ht="18" x14ac:dyDescent="0.25">
      <c r="B314" s="711" t="s">
        <v>1318</v>
      </c>
      <c r="C314" s="712" t="s">
        <v>3139</v>
      </c>
      <c r="D314" s="712">
        <v>6.9180000000000002E-14</v>
      </c>
      <c r="E314" s="714"/>
      <c r="F314" s="714"/>
      <c r="G314" s="712"/>
      <c r="H314" s="715"/>
      <c r="I314" s="715"/>
      <c r="J314" s="712"/>
    </row>
    <row r="315" spans="1:10" ht="18" x14ac:dyDescent="0.25">
      <c r="B315" s="711" t="s">
        <v>1322</v>
      </c>
      <c r="C315" s="712" t="s">
        <v>2733</v>
      </c>
      <c r="D315" s="730">
        <f>10^(-25.46)</f>
        <v>3.4673685045252971E-26</v>
      </c>
      <c r="E315" s="714"/>
      <c r="F315" s="714"/>
      <c r="G315" s="712"/>
      <c r="H315" s="715"/>
      <c r="I315" s="715"/>
      <c r="J315" s="712" t="s">
        <v>3655</v>
      </c>
    </row>
    <row r="316" spans="1:10" ht="18" x14ac:dyDescent="0.25">
      <c r="A316" s="720"/>
      <c r="B316" s="711" t="s">
        <v>3498</v>
      </c>
      <c r="C316" s="712" t="s">
        <v>3499</v>
      </c>
      <c r="D316" s="730">
        <f>10^-6.6</f>
        <v>2.511886431509578E-7</v>
      </c>
      <c r="E316" s="714"/>
      <c r="F316" s="714"/>
      <c r="G316" s="712"/>
      <c r="H316" s="715"/>
      <c r="I316" s="715"/>
      <c r="J316" s="712" t="s">
        <v>3500</v>
      </c>
    </row>
    <row r="317" spans="1:10" ht="18" x14ac:dyDescent="0.25">
      <c r="B317" s="711" t="s">
        <v>1319</v>
      </c>
      <c r="C317" s="712" t="s">
        <v>2734</v>
      </c>
      <c r="D317" s="712">
        <v>9.9999999999999994E-37</v>
      </c>
      <c r="E317" s="714"/>
      <c r="F317" s="714"/>
      <c r="G317" s="712"/>
      <c r="H317" s="715"/>
      <c r="I317" s="715"/>
      <c r="J317" s="712" t="s">
        <v>1875</v>
      </c>
    </row>
    <row r="318" spans="1:10" ht="18" x14ac:dyDescent="0.25">
      <c r="B318" s="711" t="s">
        <v>1343</v>
      </c>
      <c r="C318" s="712" t="s">
        <v>2735</v>
      </c>
      <c r="D318" s="712">
        <f>3.7*10^-19</f>
        <v>3.7000000000000001E-19</v>
      </c>
      <c r="E318" s="714"/>
      <c r="F318" s="714"/>
      <c r="G318" s="712"/>
      <c r="H318" s="715"/>
      <c r="I318" s="715"/>
      <c r="J318" s="712"/>
    </row>
    <row r="319" spans="1:10" ht="18" x14ac:dyDescent="0.25">
      <c r="B319" s="711" t="s">
        <v>1320</v>
      </c>
      <c r="C319" s="712" t="s">
        <v>2736</v>
      </c>
      <c r="D319" s="712">
        <v>2.7500000000000001E-22</v>
      </c>
      <c r="E319" s="714"/>
      <c r="F319" s="714"/>
      <c r="G319" s="712"/>
      <c r="H319" s="715"/>
      <c r="I319" s="715"/>
      <c r="J319" s="712"/>
    </row>
    <row r="320" spans="1:10" ht="18" x14ac:dyDescent="0.25">
      <c r="B320" s="711" t="s">
        <v>1321</v>
      </c>
      <c r="C320" s="712" t="s">
        <v>2737</v>
      </c>
      <c r="D320" s="712">
        <f>10^(-16)</f>
        <v>9.9999999999999998E-17</v>
      </c>
      <c r="E320" s="714"/>
      <c r="F320" s="714"/>
      <c r="G320" s="712"/>
      <c r="H320" s="715"/>
      <c r="I320" s="715"/>
      <c r="J320" s="712"/>
    </row>
    <row r="322" spans="1:10" ht="15.75" thickBot="1" x14ac:dyDescent="0.3">
      <c r="C322" s="706" t="s">
        <v>758</v>
      </c>
    </row>
    <row r="323" spans="1:10" ht="15.75" thickBot="1" x14ac:dyDescent="0.3">
      <c r="B323" s="707" t="s">
        <v>0</v>
      </c>
      <c r="C323" s="708" t="s">
        <v>1</v>
      </c>
      <c r="D323" s="710" t="s">
        <v>152</v>
      </c>
      <c r="E323" s="710" t="s">
        <v>471</v>
      </c>
      <c r="F323" s="710" t="s">
        <v>472</v>
      </c>
      <c r="G323" s="710" t="s">
        <v>2</v>
      </c>
      <c r="H323" s="710" t="s">
        <v>302</v>
      </c>
      <c r="I323" s="710" t="s">
        <v>116</v>
      </c>
      <c r="J323" s="719" t="s">
        <v>117</v>
      </c>
    </row>
    <row r="324" spans="1:10" ht="18" x14ac:dyDescent="0.25">
      <c r="B324" s="711" t="s">
        <v>759</v>
      </c>
      <c r="C324" s="712" t="s">
        <v>760</v>
      </c>
      <c r="D324" s="712">
        <f>3*A_MO/(2*A_MN)</f>
        <v>1.7134014435948508</v>
      </c>
      <c r="E324" s="714"/>
      <c r="F324" s="714"/>
      <c r="G324" s="712" t="s">
        <v>2023</v>
      </c>
      <c r="H324" s="715"/>
      <c r="I324" s="715"/>
      <c r="J324" s="712" t="s">
        <v>259</v>
      </c>
    </row>
    <row r="325" spans="1:10" ht="18" x14ac:dyDescent="0.25">
      <c r="B325" s="711" t="s">
        <v>761</v>
      </c>
      <c r="C325" s="712" t="s">
        <v>762</v>
      </c>
      <c r="D325" s="712">
        <f>2*A_MO/(A_MN)</f>
        <v>2.2845352581264677</v>
      </c>
      <c r="E325" s="714"/>
      <c r="F325" s="714"/>
      <c r="G325" s="712" t="s">
        <v>2023</v>
      </c>
      <c r="H325" s="715"/>
      <c r="I325" s="715"/>
      <c r="J325" s="712" t="s">
        <v>259</v>
      </c>
    </row>
    <row r="326" spans="1:10" ht="18" x14ac:dyDescent="0.25">
      <c r="B326" s="711" t="s">
        <v>763</v>
      </c>
      <c r="C326" s="712" t="s">
        <v>764</v>
      </c>
      <c r="D326" s="712">
        <f>2.5*A_MO/(A_MN)</f>
        <v>2.8556690726580851</v>
      </c>
      <c r="E326" s="714"/>
      <c r="F326" s="714"/>
      <c r="G326" s="712" t="s">
        <v>2023</v>
      </c>
      <c r="H326" s="715"/>
      <c r="I326" s="715"/>
      <c r="J326" s="712" t="s">
        <v>259</v>
      </c>
    </row>
    <row r="327" spans="1:10" ht="18" x14ac:dyDescent="0.25">
      <c r="B327" s="711" t="s">
        <v>765</v>
      </c>
      <c r="C327" s="712" t="s">
        <v>766</v>
      </c>
      <c r="D327" s="712">
        <f>3*A_MO/A_MN</f>
        <v>3.4268028871897016</v>
      </c>
      <c r="E327" s="714"/>
      <c r="F327" s="714"/>
      <c r="G327" s="712" t="s">
        <v>2023</v>
      </c>
      <c r="H327" s="715"/>
      <c r="I327" s="715"/>
      <c r="J327" s="712" t="s">
        <v>259</v>
      </c>
    </row>
    <row r="328" spans="1:10" ht="18" x14ac:dyDescent="0.25">
      <c r="B328" s="711" t="s">
        <v>767</v>
      </c>
      <c r="C328" s="712" t="s">
        <v>768</v>
      </c>
      <c r="D328" s="712">
        <f>4*A_MO/A_MN</f>
        <v>4.5690705162529355</v>
      </c>
      <c r="E328" s="714"/>
      <c r="F328" s="714"/>
      <c r="G328" s="712" t="s">
        <v>2023</v>
      </c>
      <c r="H328" s="715"/>
      <c r="I328" s="715"/>
      <c r="J328" s="712" t="s">
        <v>259</v>
      </c>
    </row>
    <row r="329" spans="1:10" ht="18" x14ac:dyDescent="0.25">
      <c r="A329" s="716"/>
      <c r="B329" s="711" t="s">
        <v>3656</v>
      </c>
      <c r="C329" s="712" t="s">
        <v>3657</v>
      </c>
      <c r="D329" s="712">
        <f>A_MO/A_MN</f>
        <v>1.1422676290632339</v>
      </c>
      <c r="E329" s="714"/>
      <c r="F329" s="714"/>
      <c r="G329" s="712" t="s">
        <v>2023</v>
      </c>
      <c r="H329" s="715"/>
      <c r="I329" s="715"/>
      <c r="J329" s="712" t="s">
        <v>259</v>
      </c>
    </row>
    <row r="330" spans="1:10" ht="18" x14ac:dyDescent="0.25">
      <c r="A330" s="716"/>
      <c r="B330" s="711" t="s">
        <v>3658</v>
      </c>
      <c r="C330" s="712" t="s">
        <v>3659</v>
      </c>
      <c r="D330" s="712">
        <f>1.5*A_MO/A_MN</f>
        <v>1.7134014435948508</v>
      </c>
      <c r="E330" s="714"/>
      <c r="F330" s="714"/>
      <c r="G330" s="712" t="s">
        <v>2023</v>
      </c>
      <c r="H330" s="715"/>
      <c r="I330" s="715"/>
      <c r="J330" s="712" t="s">
        <v>259</v>
      </c>
    </row>
    <row r="331" spans="1:10" ht="18" x14ac:dyDescent="0.25">
      <c r="B331" s="711" t="s">
        <v>1032</v>
      </c>
      <c r="C331" s="712" t="s">
        <v>769</v>
      </c>
      <c r="D331" s="712">
        <f>A_MO/A_MN</f>
        <v>1.1422676290632339</v>
      </c>
      <c r="E331" s="714"/>
      <c r="F331" s="714"/>
      <c r="G331" s="712" t="s">
        <v>2023</v>
      </c>
      <c r="H331" s="715"/>
      <c r="I331" s="715"/>
      <c r="J331" s="712"/>
    </row>
    <row r="332" spans="1:10" ht="18" x14ac:dyDescent="0.25">
      <c r="B332" s="711" t="s">
        <v>1033</v>
      </c>
      <c r="C332" s="712" t="s">
        <v>770</v>
      </c>
      <c r="D332" s="712">
        <f>3*A_MO/(2*A_MN)</f>
        <v>1.7134014435948508</v>
      </c>
      <c r="E332" s="714"/>
      <c r="F332" s="714"/>
      <c r="G332" s="712" t="s">
        <v>2023</v>
      </c>
      <c r="H332" s="715"/>
      <c r="I332" s="715"/>
      <c r="J332" s="712"/>
    </row>
    <row r="333" spans="1:10" ht="18" x14ac:dyDescent="0.25">
      <c r="B333" s="711" t="s">
        <v>1034</v>
      </c>
      <c r="C333" s="712" t="s">
        <v>771</v>
      </c>
      <c r="D333" s="712">
        <f>0.5*A_MO/A_MN</f>
        <v>0.57113381453161693</v>
      </c>
      <c r="E333" s="714"/>
      <c r="F333" s="714"/>
      <c r="G333" s="712" t="s">
        <v>2023</v>
      </c>
      <c r="H333" s="715"/>
      <c r="I333" s="715"/>
      <c r="J333" s="712"/>
    </row>
    <row r="334" spans="1:10" ht="18" x14ac:dyDescent="0.25">
      <c r="B334" s="711" t="s">
        <v>1035</v>
      </c>
      <c r="C334" s="712" t="s">
        <v>772</v>
      </c>
      <c r="D334" s="712">
        <f>0.5*A_MO/A_MN</f>
        <v>0.57113381453161693</v>
      </c>
      <c r="E334" s="714"/>
      <c r="F334" s="714"/>
      <c r="G334" s="712" t="s">
        <v>2023</v>
      </c>
      <c r="H334" s="715"/>
      <c r="I334" s="715"/>
      <c r="J334" s="712"/>
    </row>
    <row r="335" spans="1:10" ht="18" x14ac:dyDescent="0.25">
      <c r="B335" s="711" t="s">
        <v>1036</v>
      </c>
      <c r="C335" s="712" t="s">
        <v>773</v>
      </c>
      <c r="D335" s="712">
        <f>0.5*A_MO/A_MN</f>
        <v>0.57113381453161693</v>
      </c>
      <c r="E335" s="714"/>
      <c r="F335" s="714"/>
      <c r="G335" s="712" t="s">
        <v>2023</v>
      </c>
      <c r="H335" s="715"/>
      <c r="I335" s="715"/>
      <c r="J335" s="712"/>
    </row>
    <row r="336" spans="1:10" ht="18" x14ac:dyDescent="0.25">
      <c r="B336" s="711" t="s">
        <v>1073</v>
      </c>
      <c r="C336" s="712" t="s">
        <v>788</v>
      </c>
      <c r="D336" s="712">
        <f>5*A_MO/(2*A_MN)</f>
        <v>2.8556690726580851</v>
      </c>
      <c r="E336" s="714"/>
      <c r="F336" s="714"/>
      <c r="G336" s="712" t="s">
        <v>2023</v>
      </c>
      <c r="H336" s="715"/>
      <c r="I336" s="715"/>
      <c r="J336" s="712"/>
    </row>
    <row r="337" spans="2:10" ht="18" x14ac:dyDescent="0.25">
      <c r="B337" s="711" t="s">
        <v>1344</v>
      </c>
      <c r="C337" s="712" t="s">
        <v>1345</v>
      </c>
      <c r="D337" s="712">
        <f>8/A_MFe</f>
        <v>0.14325364849136002</v>
      </c>
      <c r="E337" s="714"/>
      <c r="F337" s="714"/>
      <c r="G337" s="712" t="s">
        <v>2024</v>
      </c>
      <c r="H337" s="715"/>
      <c r="I337" s="715"/>
      <c r="J337" s="712"/>
    </row>
    <row r="338" spans="2:10" ht="18" x14ac:dyDescent="0.25">
      <c r="B338" s="711" t="s">
        <v>1327</v>
      </c>
      <c r="C338" s="712" t="s">
        <v>1315</v>
      </c>
      <c r="D338" s="712">
        <f>3*A_MO/(A_MS)</f>
        <v>1.4969031654451894</v>
      </c>
      <c r="E338" s="714"/>
      <c r="F338" s="714"/>
      <c r="G338" s="712" t="s">
        <v>2025</v>
      </c>
      <c r="H338" s="715"/>
      <c r="I338" s="715"/>
      <c r="J338" s="712" t="s">
        <v>1271</v>
      </c>
    </row>
    <row r="339" spans="2:10" ht="18" x14ac:dyDescent="0.25">
      <c r="B339" s="711" t="s">
        <v>1144</v>
      </c>
      <c r="C339" s="712" t="s">
        <v>1206</v>
      </c>
      <c r="D339" s="712">
        <f>4*A_MO/(A_MS)</f>
        <v>1.9958708872602526</v>
      </c>
      <c r="E339" s="714"/>
      <c r="F339" s="714"/>
      <c r="G339" s="712" t="s">
        <v>2026</v>
      </c>
      <c r="H339" s="715"/>
      <c r="I339" s="715"/>
      <c r="J339" s="712" t="s">
        <v>1271</v>
      </c>
    </row>
    <row r="341" spans="2:10" ht="15.75" thickBot="1" x14ac:dyDescent="0.3">
      <c r="C341" s="706" t="s">
        <v>922</v>
      </c>
    </row>
    <row r="342" spans="2:10" ht="15.75" thickBot="1" x14ac:dyDescent="0.3">
      <c r="B342" s="707" t="s">
        <v>0</v>
      </c>
      <c r="C342" s="708" t="s">
        <v>1</v>
      </c>
      <c r="D342" s="710" t="s">
        <v>152</v>
      </c>
      <c r="E342" s="710" t="s">
        <v>471</v>
      </c>
      <c r="F342" s="710" t="s">
        <v>472</v>
      </c>
      <c r="G342" s="710" t="s">
        <v>2</v>
      </c>
      <c r="H342" s="710" t="s">
        <v>302</v>
      </c>
      <c r="I342" s="710" t="s">
        <v>116</v>
      </c>
      <c r="J342" s="719" t="s">
        <v>117</v>
      </c>
    </row>
    <row r="343" spans="2:10" ht="18" x14ac:dyDescent="0.25">
      <c r="B343" s="711" t="s">
        <v>923</v>
      </c>
      <c r="C343" s="712" t="s">
        <v>924</v>
      </c>
      <c r="D343" s="712">
        <v>0.5</v>
      </c>
      <c r="E343" s="714"/>
      <c r="F343" s="714"/>
      <c r="G343" s="712"/>
      <c r="H343" s="715"/>
      <c r="I343" s="715"/>
      <c r="J343" s="712" t="s">
        <v>1074</v>
      </c>
    </row>
    <row r="344" spans="2:10" ht="18" x14ac:dyDescent="0.25">
      <c r="B344" s="711" t="s">
        <v>925</v>
      </c>
      <c r="C344" s="712" t="s">
        <v>926</v>
      </c>
      <c r="D344" s="712">
        <v>0.5</v>
      </c>
      <c r="E344" s="714"/>
      <c r="F344" s="714"/>
      <c r="G344" s="712"/>
      <c r="H344" s="715"/>
      <c r="I344" s="715"/>
      <c r="J344" s="712" t="s">
        <v>1075</v>
      </c>
    </row>
    <row r="345" spans="2:10" ht="18" x14ac:dyDescent="0.25">
      <c r="B345" s="711" t="s">
        <v>927</v>
      </c>
      <c r="C345" s="712" t="s">
        <v>928</v>
      </c>
      <c r="D345" s="712">
        <v>2</v>
      </c>
      <c r="E345" s="714"/>
      <c r="F345" s="714"/>
      <c r="G345" s="712"/>
      <c r="H345" s="715"/>
      <c r="I345" s="715"/>
      <c r="J345" s="712" t="s">
        <v>1076</v>
      </c>
    </row>
    <row r="346" spans="2:10" ht="18" x14ac:dyDescent="0.25">
      <c r="B346" s="711" t="s">
        <v>929</v>
      </c>
      <c r="C346" s="712" t="s">
        <v>930</v>
      </c>
      <c r="D346" s="712">
        <v>2</v>
      </c>
      <c r="E346" s="714"/>
      <c r="F346" s="714"/>
      <c r="G346" s="712"/>
      <c r="H346" s="715"/>
      <c r="I346" s="715"/>
      <c r="J346" s="712" t="s">
        <v>1077</v>
      </c>
    </row>
    <row r="347" spans="2:10" ht="18" x14ac:dyDescent="0.25">
      <c r="B347" s="711" t="s">
        <v>931</v>
      </c>
      <c r="C347" s="712" t="s">
        <v>932</v>
      </c>
      <c r="D347" s="712">
        <v>4.5</v>
      </c>
      <c r="E347" s="714"/>
      <c r="F347" s="714"/>
      <c r="G347" s="712"/>
      <c r="H347" s="715"/>
      <c r="I347" s="715"/>
      <c r="J347" s="712" t="s">
        <v>1078</v>
      </c>
    </row>
    <row r="348" spans="2:10" ht="18" x14ac:dyDescent="0.25">
      <c r="B348" s="711" t="s">
        <v>933</v>
      </c>
      <c r="C348" s="712" t="s">
        <v>934</v>
      </c>
      <c r="D348" s="712">
        <v>4.5</v>
      </c>
      <c r="E348" s="714"/>
      <c r="F348" s="714"/>
      <c r="G348" s="712"/>
      <c r="H348" s="715"/>
      <c r="I348" s="715"/>
      <c r="J348" s="712" t="s">
        <v>1079</v>
      </c>
    </row>
    <row r="350" spans="2:10" ht="15.75" thickBot="1" x14ac:dyDescent="0.3">
      <c r="C350" s="706" t="s">
        <v>901</v>
      </c>
    </row>
    <row r="351" spans="2:10" ht="15.75" thickBot="1" x14ac:dyDescent="0.3">
      <c r="B351" s="707" t="s">
        <v>0</v>
      </c>
      <c r="C351" s="708" t="s">
        <v>1</v>
      </c>
      <c r="D351" s="710" t="s">
        <v>152</v>
      </c>
      <c r="E351" s="710" t="s">
        <v>471</v>
      </c>
      <c r="F351" s="710" t="s">
        <v>472</v>
      </c>
      <c r="G351" s="710" t="s">
        <v>2</v>
      </c>
      <c r="H351" s="710" t="s">
        <v>302</v>
      </c>
      <c r="I351" s="710" t="s">
        <v>116</v>
      </c>
      <c r="J351" s="719" t="s">
        <v>117</v>
      </c>
    </row>
    <row r="352" spans="2:10" ht="18" x14ac:dyDescent="0.25">
      <c r="B352" s="711" t="s">
        <v>902</v>
      </c>
      <c r="C352" s="712" t="s">
        <v>903</v>
      </c>
      <c r="D352" s="712">
        <v>6.4135999999999997E-5</v>
      </c>
      <c r="E352" s="714"/>
      <c r="F352" s="714"/>
      <c r="G352" s="712" t="s">
        <v>389</v>
      </c>
      <c r="H352" s="715"/>
      <c r="I352" s="715"/>
      <c r="J352" s="712" t="s">
        <v>1272</v>
      </c>
    </row>
    <row r="354" spans="2:10" ht="15.75" thickBot="1" x14ac:dyDescent="0.3">
      <c r="C354" s="706" t="s">
        <v>901</v>
      </c>
    </row>
    <row r="355" spans="2:10" ht="15.75" thickBot="1" x14ac:dyDescent="0.3">
      <c r="B355" s="707" t="s">
        <v>0</v>
      </c>
      <c r="C355" s="708" t="s">
        <v>1</v>
      </c>
      <c r="D355" s="710" t="s">
        <v>152</v>
      </c>
      <c r="E355" s="710" t="s">
        <v>471</v>
      </c>
      <c r="F355" s="710" t="s">
        <v>472</v>
      </c>
      <c r="G355" s="710" t="s">
        <v>2</v>
      </c>
      <c r="H355" s="710" t="s">
        <v>302</v>
      </c>
      <c r="I355" s="710" t="s">
        <v>116</v>
      </c>
      <c r="J355" s="719" t="s">
        <v>117</v>
      </c>
    </row>
    <row r="356" spans="2:10" ht="18" x14ac:dyDescent="0.25">
      <c r="B356" s="711" t="s">
        <v>2738</v>
      </c>
      <c r="C356" s="712" t="s">
        <v>2739</v>
      </c>
      <c r="D356" s="712">
        <v>0.6</v>
      </c>
      <c r="E356" s="714" t="s">
        <v>1215</v>
      </c>
      <c r="F356" s="714" t="s">
        <v>2740</v>
      </c>
      <c r="G356" s="712" t="s">
        <v>2741</v>
      </c>
      <c r="H356" s="715"/>
      <c r="I356" s="715"/>
      <c r="J356" s="712" t="s">
        <v>2742</v>
      </c>
    </row>
    <row r="358" spans="2:10" ht="15.75" thickBot="1" x14ac:dyDescent="0.3">
      <c r="C358" s="706" t="s">
        <v>935</v>
      </c>
    </row>
    <row r="359" spans="2:10" ht="15.75" thickBot="1" x14ac:dyDescent="0.3">
      <c r="B359" s="707" t="s">
        <v>0</v>
      </c>
      <c r="C359" s="708" t="s">
        <v>1</v>
      </c>
      <c r="D359" s="710" t="s">
        <v>152</v>
      </c>
      <c r="E359" s="710" t="s">
        <v>471</v>
      </c>
      <c r="F359" s="710" t="s">
        <v>472</v>
      </c>
      <c r="G359" s="710" t="s">
        <v>2</v>
      </c>
      <c r="H359" s="710" t="s">
        <v>302</v>
      </c>
      <c r="I359" s="710" t="s">
        <v>116</v>
      </c>
      <c r="J359" s="719" t="s">
        <v>117</v>
      </c>
    </row>
    <row r="360" spans="2:10" ht="18" outlineLevel="1" x14ac:dyDescent="0.25">
      <c r="B360" s="711" t="s">
        <v>936</v>
      </c>
      <c r="C360" s="712" t="s">
        <v>937</v>
      </c>
      <c r="D360" s="712">
        <v>1000000</v>
      </c>
      <c r="E360" s="714"/>
      <c r="F360" s="714"/>
      <c r="G360" s="712" t="s">
        <v>2027</v>
      </c>
      <c r="H360" s="715"/>
      <c r="I360" s="715"/>
      <c r="J360" s="712"/>
    </row>
    <row r="361" spans="2:10" ht="18" outlineLevel="1" x14ac:dyDescent="0.25">
      <c r="B361" s="711" t="s">
        <v>1867</v>
      </c>
      <c r="C361" s="712" t="s">
        <v>1868</v>
      </c>
      <c r="D361" s="712">
        <v>100</v>
      </c>
      <c r="E361" s="714"/>
      <c r="F361" s="714"/>
      <c r="G361" s="712" t="s">
        <v>2028</v>
      </c>
      <c r="H361" s="715"/>
      <c r="I361" s="715"/>
      <c r="J361" s="712"/>
    </row>
    <row r="362" spans="2:10" ht="18" outlineLevel="1" x14ac:dyDescent="0.25">
      <c r="B362" s="711" t="s">
        <v>1876</v>
      </c>
      <c r="C362" s="712" t="s">
        <v>1877</v>
      </c>
      <c r="D362" s="712">
        <v>100</v>
      </c>
      <c r="E362" s="714"/>
      <c r="F362" s="714"/>
      <c r="G362" s="712" t="s">
        <v>1878</v>
      </c>
      <c r="H362" s="715"/>
      <c r="I362" s="715"/>
      <c r="J362" s="712"/>
    </row>
    <row r="363" spans="2:10" ht="18" outlineLevel="1" x14ac:dyDescent="0.25">
      <c r="B363" s="711" t="s">
        <v>3660</v>
      </c>
      <c r="C363" s="712" t="s">
        <v>3661</v>
      </c>
      <c r="D363" s="712">
        <v>1000</v>
      </c>
      <c r="E363" s="714"/>
      <c r="F363" s="714"/>
      <c r="G363" s="712" t="s">
        <v>3662</v>
      </c>
      <c r="H363" s="715"/>
      <c r="I363" s="715"/>
      <c r="J363" s="712"/>
    </row>
    <row r="364" spans="2:10" ht="18" outlineLevel="1" x14ac:dyDescent="0.25">
      <c r="B364" s="711" t="s">
        <v>938</v>
      </c>
      <c r="C364" s="712" t="s">
        <v>1577</v>
      </c>
      <c r="D364" s="712">
        <v>86400</v>
      </c>
      <c r="E364" s="714"/>
      <c r="F364" s="714"/>
      <c r="G364" s="712" t="s">
        <v>1578</v>
      </c>
      <c r="H364" s="715"/>
      <c r="I364" s="715"/>
      <c r="J364" s="712"/>
    </row>
    <row r="365" spans="2:10" ht="18" outlineLevel="1" x14ac:dyDescent="0.25">
      <c r="B365" s="711" t="s">
        <v>1579</v>
      </c>
      <c r="C365" s="712" t="s">
        <v>1580</v>
      </c>
      <c r="D365" s="712">
        <v>3600</v>
      </c>
      <c r="E365" s="714"/>
      <c r="F365" s="714"/>
      <c r="G365" s="712" t="s">
        <v>1581</v>
      </c>
      <c r="H365" s="715"/>
      <c r="I365" s="715"/>
      <c r="J365" s="712"/>
    </row>
    <row r="366" spans="2:10" ht="18" outlineLevel="1" x14ac:dyDescent="0.25">
      <c r="B366" s="711" t="s">
        <v>3663</v>
      </c>
      <c r="C366" s="712" t="s">
        <v>3664</v>
      </c>
      <c r="D366" s="712">
        <v>60</v>
      </c>
      <c r="E366" s="714"/>
      <c r="F366" s="714"/>
      <c r="G366" s="712" t="s">
        <v>3665</v>
      </c>
      <c r="H366" s="715"/>
      <c r="I366" s="715"/>
      <c r="J366" s="712"/>
    </row>
    <row r="367" spans="2:10" ht="18" outlineLevel="1" x14ac:dyDescent="0.25">
      <c r="B367" s="711" t="s">
        <v>3666</v>
      </c>
      <c r="C367" s="712" t="s">
        <v>3667</v>
      </c>
      <c r="D367" s="712">
        <v>1440</v>
      </c>
      <c r="E367" s="714"/>
      <c r="F367" s="714"/>
      <c r="G367" s="712" t="s">
        <v>3668</v>
      </c>
      <c r="H367" s="715"/>
      <c r="I367" s="715"/>
      <c r="J367" s="712"/>
    </row>
    <row r="368" spans="2:10" ht="18" outlineLevel="1" x14ac:dyDescent="0.25">
      <c r="B368" s="711" t="s">
        <v>3140</v>
      </c>
      <c r="C368" s="712" t="s">
        <v>3141</v>
      </c>
      <c r="D368" s="712">
        <v>60</v>
      </c>
      <c r="E368" s="714"/>
      <c r="F368" s="714"/>
      <c r="G368" s="712" t="s">
        <v>3142</v>
      </c>
      <c r="H368" s="715"/>
      <c r="I368" s="715"/>
      <c r="J368" s="712"/>
    </row>
    <row r="369" spans="2:10" ht="18" outlineLevel="1" x14ac:dyDescent="0.25">
      <c r="B369" s="711" t="s">
        <v>3143</v>
      </c>
      <c r="C369" s="712" t="s">
        <v>3144</v>
      </c>
      <c r="D369" s="712">
        <v>24</v>
      </c>
      <c r="E369" s="714"/>
      <c r="F369" s="714"/>
      <c r="G369" s="712" t="s">
        <v>3145</v>
      </c>
      <c r="H369" s="715"/>
      <c r="I369" s="715"/>
      <c r="J369" s="712"/>
    </row>
    <row r="370" spans="2:10" ht="18" outlineLevel="1" x14ac:dyDescent="0.25">
      <c r="B370" s="711" t="s">
        <v>2743</v>
      </c>
      <c r="C370" s="712" t="s">
        <v>2744</v>
      </c>
      <c r="D370" s="712">
        <v>86400000</v>
      </c>
      <c r="E370" s="714"/>
      <c r="F370" s="714"/>
      <c r="G370" s="712" t="s">
        <v>2745</v>
      </c>
      <c r="H370" s="715"/>
      <c r="I370" s="715"/>
      <c r="J370" s="712"/>
    </row>
    <row r="371" spans="2:10" ht="18" outlineLevel="1" x14ac:dyDescent="0.25">
      <c r="B371" s="711" t="s">
        <v>1080</v>
      </c>
      <c r="C371" s="712" t="s">
        <v>1081</v>
      </c>
      <c r="D371" s="712">
        <v>3600000</v>
      </c>
      <c r="E371" s="714"/>
      <c r="F371" s="714"/>
      <c r="G371" s="712" t="s">
        <v>1082</v>
      </c>
      <c r="H371" s="715"/>
      <c r="I371" s="715"/>
      <c r="J371" s="712"/>
    </row>
    <row r="372" spans="2:10" ht="18" outlineLevel="1" x14ac:dyDescent="0.25">
      <c r="B372" s="711" t="s">
        <v>3146</v>
      </c>
      <c r="C372" s="712" t="s">
        <v>3147</v>
      </c>
      <c r="D372" s="712">
        <v>60000</v>
      </c>
      <c r="E372" s="714"/>
      <c r="F372" s="714"/>
      <c r="G372" s="712" t="s">
        <v>3148</v>
      </c>
      <c r="H372" s="715"/>
      <c r="I372" s="715"/>
      <c r="J372" s="712"/>
    </row>
    <row r="373" spans="2:10" ht="18" outlineLevel="1" x14ac:dyDescent="0.25">
      <c r="B373" s="711" t="s">
        <v>2746</v>
      </c>
      <c r="C373" s="712" t="s">
        <v>2747</v>
      </c>
      <c r="D373" s="712">
        <v>1000</v>
      </c>
      <c r="E373" s="714"/>
      <c r="F373" s="714"/>
      <c r="G373" s="712" t="s">
        <v>2748</v>
      </c>
      <c r="H373" s="715"/>
      <c r="I373" s="715"/>
      <c r="J373" s="712"/>
    </row>
    <row r="374" spans="2:10" ht="18" outlineLevel="1" x14ac:dyDescent="0.25">
      <c r="B374" s="711" t="s">
        <v>3669</v>
      </c>
      <c r="C374" s="712" t="s">
        <v>3670</v>
      </c>
      <c r="D374" s="712">
        <v>7</v>
      </c>
      <c r="E374" s="714"/>
      <c r="F374" s="714"/>
      <c r="G374" s="712" t="s">
        <v>3671</v>
      </c>
      <c r="H374" s="715"/>
      <c r="I374" s="715"/>
      <c r="J374" s="712"/>
    </row>
    <row r="375" spans="2:10" ht="18" outlineLevel="1" x14ac:dyDescent="0.25">
      <c r="B375" s="711" t="s">
        <v>3672</v>
      </c>
      <c r="C375" s="712" t="s">
        <v>3673</v>
      </c>
      <c r="D375" s="712">
        <v>30</v>
      </c>
      <c r="E375" s="714"/>
      <c r="F375" s="714"/>
      <c r="G375" s="712" t="s">
        <v>3674</v>
      </c>
      <c r="H375" s="715"/>
      <c r="I375" s="715"/>
      <c r="J375" s="712"/>
    </row>
    <row r="376" spans="2:10" ht="18" outlineLevel="1" x14ac:dyDescent="0.25">
      <c r="B376" s="711" t="s">
        <v>3675</v>
      </c>
      <c r="C376" s="712" t="s">
        <v>3676</v>
      </c>
      <c r="D376" s="712">
        <v>365</v>
      </c>
      <c r="E376" s="714"/>
      <c r="F376" s="714"/>
      <c r="G376" s="712" t="s">
        <v>3677</v>
      </c>
      <c r="H376" s="715"/>
      <c r="I376" s="715"/>
      <c r="J376" s="712"/>
    </row>
    <row r="377" spans="2:10" ht="18" outlineLevel="1" x14ac:dyDescent="0.25">
      <c r="B377" s="711" t="s">
        <v>939</v>
      </c>
      <c r="C377" s="712" t="s">
        <v>940</v>
      </c>
      <c r="D377" s="712">
        <v>1000</v>
      </c>
      <c r="E377" s="714"/>
      <c r="F377" s="714"/>
      <c r="G377" s="712" t="s">
        <v>1582</v>
      </c>
      <c r="H377" s="715"/>
      <c r="I377" s="715"/>
      <c r="J377" s="712"/>
    </row>
    <row r="378" spans="2:10" ht="18" outlineLevel="1" x14ac:dyDescent="0.25">
      <c r="B378" s="711" t="s">
        <v>1037</v>
      </c>
      <c r="C378" s="712" t="s">
        <v>1038</v>
      </c>
      <c r="D378" s="712">
        <v>1000</v>
      </c>
      <c r="E378" s="714"/>
      <c r="F378" s="714"/>
      <c r="G378" s="712" t="s">
        <v>1583</v>
      </c>
      <c r="H378" s="715"/>
      <c r="I378" s="715"/>
      <c r="J378" s="712"/>
    </row>
    <row r="379" spans="2:10" ht="18" outlineLevel="1" x14ac:dyDescent="0.25">
      <c r="B379" s="711" t="s">
        <v>3678</v>
      </c>
      <c r="C379" s="712" t="s">
        <v>3679</v>
      </c>
      <c r="D379" s="712">
        <v>1000000</v>
      </c>
      <c r="E379" s="714"/>
      <c r="F379" s="714"/>
      <c r="G379" s="712" t="s">
        <v>3680</v>
      </c>
      <c r="H379" s="715"/>
      <c r="I379" s="715"/>
      <c r="J379" s="712"/>
    </row>
    <row r="380" spans="2:10" ht="18" outlineLevel="1" x14ac:dyDescent="0.25">
      <c r="B380" s="711" t="s">
        <v>941</v>
      </c>
      <c r="C380" s="712" t="s">
        <v>1584</v>
      </c>
      <c r="D380" s="712">
        <v>1000</v>
      </c>
      <c r="E380" s="714"/>
      <c r="F380" s="714"/>
      <c r="G380" s="712" t="s">
        <v>1585</v>
      </c>
      <c r="H380" s="715"/>
      <c r="I380" s="715"/>
      <c r="J380" s="712"/>
    </row>
    <row r="381" spans="2:10" ht="18" outlineLevel="1" x14ac:dyDescent="0.25">
      <c r="B381" s="731" t="s">
        <v>3149</v>
      </c>
      <c r="C381" s="731" t="s">
        <v>3150</v>
      </c>
      <c r="D381" s="731">
        <v>1000</v>
      </c>
      <c r="E381" s="731"/>
      <c r="F381" s="731"/>
      <c r="G381" s="731" t="s">
        <v>3151</v>
      </c>
      <c r="H381" s="731"/>
      <c r="I381" s="731"/>
      <c r="J381" s="731"/>
    </row>
    <row r="382" spans="2:10" ht="18" outlineLevel="1" x14ac:dyDescent="0.25">
      <c r="B382" s="731" t="s">
        <v>3681</v>
      </c>
      <c r="C382" s="731" t="s">
        <v>3150</v>
      </c>
      <c r="D382" s="731">
        <v>1000</v>
      </c>
      <c r="E382" s="731"/>
      <c r="F382" s="731"/>
      <c r="G382" s="731" t="s">
        <v>3682</v>
      </c>
      <c r="H382" s="731"/>
      <c r="I382" s="731"/>
      <c r="J382" s="731"/>
    </row>
    <row r="383" spans="2:10" ht="18" outlineLevel="1" x14ac:dyDescent="0.25">
      <c r="B383" s="711" t="s">
        <v>3683</v>
      </c>
      <c r="C383" s="712" t="s">
        <v>3684</v>
      </c>
      <c r="D383" s="712">
        <v>1000000</v>
      </c>
      <c r="E383" s="714"/>
      <c r="F383" s="714"/>
      <c r="G383" s="712" t="s">
        <v>3685</v>
      </c>
      <c r="H383" s="715"/>
      <c r="I383" s="715"/>
      <c r="J383" s="712"/>
    </row>
    <row r="384" spans="2:10" ht="18" outlineLevel="1" x14ac:dyDescent="0.25">
      <c r="B384" s="711" t="s">
        <v>1039</v>
      </c>
      <c r="C384" s="712" t="s">
        <v>2029</v>
      </c>
      <c r="D384" s="712">
        <v>133.32236800000001</v>
      </c>
      <c r="E384" s="714"/>
      <c r="F384" s="714"/>
      <c r="G384" s="712" t="s">
        <v>1586</v>
      </c>
      <c r="H384" s="715"/>
      <c r="I384" s="715"/>
      <c r="J384" s="712"/>
    </row>
    <row r="385" spans="2:10" ht="18" outlineLevel="1" x14ac:dyDescent="0.25">
      <c r="B385" s="711" t="s">
        <v>1040</v>
      </c>
      <c r="C385" s="712" t="s">
        <v>2030</v>
      </c>
      <c r="D385" s="712">
        <v>100000</v>
      </c>
      <c r="E385" s="714"/>
      <c r="F385" s="714"/>
      <c r="G385" s="712" t="s">
        <v>1587</v>
      </c>
      <c r="H385" s="715"/>
      <c r="I385" s="715"/>
      <c r="J385" s="712"/>
    </row>
    <row r="386" spans="2:10" ht="18" outlineLevel="1" x14ac:dyDescent="0.25">
      <c r="B386" s="711" t="s">
        <v>3686</v>
      </c>
      <c r="C386" s="712" t="s">
        <v>3687</v>
      </c>
      <c r="D386" s="712">
        <v>100</v>
      </c>
      <c r="E386" s="714"/>
      <c r="F386" s="714"/>
      <c r="G386" s="712" t="s">
        <v>3688</v>
      </c>
      <c r="H386" s="715"/>
      <c r="I386" s="715"/>
      <c r="J386" s="712"/>
    </row>
    <row r="387" spans="2:10" ht="18" outlineLevel="1" x14ac:dyDescent="0.25">
      <c r="B387" s="711" t="s">
        <v>3689</v>
      </c>
      <c r="C387" s="712" t="s">
        <v>3690</v>
      </c>
      <c r="D387" s="712">
        <v>1000000</v>
      </c>
      <c r="E387" s="714"/>
      <c r="F387" s="714"/>
      <c r="G387" s="712" t="s">
        <v>3691</v>
      </c>
      <c r="H387" s="715"/>
      <c r="I387" s="715"/>
      <c r="J387" s="712"/>
    </row>
    <row r="388" spans="2:10" ht="18" outlineLevel="1" x14ac:dyDescent="0.25">
      <c r="B388" s="711" t="s">
        <v>3692</v>
      </c>
      <c r="C388" s="712" t="s">
        <v>3693</v>
      </c>
      <c r="D388" s="712">
        <v>1000</v>
      </c>
      <c r="E388" s="714"/>
      <c r="F388" s="714"/>
      <c r="G388" s="712" t="s">
        <v>3694</v>
      </c>
      <c r="H388" s="715"/>
      <c r="I388" s="715"/>
      <c r="J388" s="712"/>
    </row>
    <row r="389" spans="2:10" ht="18" outlineLevel="1" x14ac:dyDescent="0.25">
      <c r="B389" s="711" t="s">
        <v>3152</v>
      </c>
      <c r="C389" s="712" t="s">
        <v>3153</v>
      </c>
      <c r="D389" s="712">
        <v>100</v>
      </c>
      <c r="E389" s="714"/>
      <c r="F389" s="714"/>
      <c r="G389" s="712" t="s">
        <v>3695</v>
      </c>
      <c r="H389" s="715"/>
      <c r="I389" s="715"/>
      <c r="J389" s="712"/>
    </row>
    <row r="390" spans="2:10" ht="18" outlineLevel="1" x14ac:dyDescent="0.25">
      <c r="B390" s="711" t="s">
        <v>1041</v>
      </c>
      <c r="C390" s="712" t="s">
        <v>2031</v>
      </c>
      <c r="D390" s="712">
        <v>10000</v>
      </c>
      <c r="E390" s="714"/>
      <c r="F390" s="714"/>
      <c r="G390" s="712" t="s">
        <v>1588</v>
      </c>
      <c r="H390" s="715"/>
      <c r="I390" s="715"/>
      <c r="J390" s="712"/>
    </row>
    <row r="391" spans="2:10" ht="18" outlineLevel="1" x14ac:dyDescent="0.25">
      <c r="B391" s="711" t="s">
        <v>2032</v>
      </c>
      <c r="C391" s="712" t="s">
        <v>2033</v>
      </c>
      <c r="D391" s="712">
        <v>1000000</v>
      </c>
      <c r="E391" s="714"/>
      <c r="F391" s="714"/>
      <c r="G391" s="712" t="s">
        <v>2034</v>
      </c>
      <c r="H391" s="715"/>
      <c r="I391" s="715"/>
      <c r="J391" s="712"/>
    </row>
    <row r="392" spans="2:10" ht="18" outlineLevel="1" x14ac:dyDescent="0.25">
      <c r="B392" s="711" t="s">
        <v>3696</v>
      </c>
      <c r="C392" s="712" t="s">
        <v>3697</v>
      </c>
      <c r="D392" s="712">
        <f>1/3785.411784</f>
        <v>2.6417205235814843E-4</v>
      </c>
      <c r="E392" s="714"/>
      <c r="F392" s="714"/>
      <c r="G392" s="712" t="s">
        <v>3698</v>
      </c>
      <c r="H392" s="715"/>
      <c r="I392" s="715"/>
      <c r="J392" s="712"/>
    </row>
    <row r="393" spans="2:10" ht="18" outlineLevel="1" x14ac:dyDescent="0.25">
      <c r="B393" s="711" t="s">
        <v>3699</v>
      </c>
      <c r="C393" s="712" t="s">
        <v>3700</v>
      </c>
      <c r="D393" s="712">
        <f>1/0.003785411784</f>
        <v>264.17205235814839</v>
      </c>
      <c r="E393" s="714"/>
      <c r="F393" s="714"/>
      <c r="G393" s="712" t="s">
        <v>3701</v>
      </c>
      <c r="H393" s="715"/>
      <c r="I393" s="715"/>
      <c r="J393" s="712"/>
    </row>
    <row r="394" spans="2:10" ht="18" outlineLevel="1" x14ac:dyDescent="0.25">
      <c r="B394" s="711" t="s">
        <v>3702</v>
      </c>
      <c r="C394" s="712" t="s">
        <v>3703</v>
      </c>
      <c r="D394" s="712">
        <v>2.2046226218000002E-3</v>
      </c>
      <c r="E394" s="714"/>
      <c r="F394" s="714"/>
      <c r="G394" s="712" t="s">
        <v>3704</v>
      </c>
      <c r="H394" s="715"/>
      <c r="I394" s="715"/>
      <c r="J394" s="712"/>
    </row>
    <row r="395" spans="2:10" ht="18" outlineLevel="1" x14ac:dyDescent="0.25">
      <c r="B395" s="711" t="s">
        <v>3705</v>
      </c>
      <c r="C395" s="712" t="s">
        <v>3706</v>
      </c>
      <c r="D395" s="714">
        <f>+c_ft_m*c_ft2_m2</f>
        <v>35.314670111696707</v>
      </c>
      <c r="E395" s="714"/>
      <c r="F395" s="714"/>
      <c r="G395" s="712" t="s">
        <v>3707</v>
      </c>
      <c r="H395" s="715"/>
      <c r="I395" s="715"/>
      <c r="J395" s="712"/>
    </row>
    <row r="396" spans="2:10" ht="18" outlineLevel="1" x14ac:dyDescent="0.25">
      <c r="B396" s="711" t="s">
        <v>3708</v>
      </c>
      <c r="C396" s="712" t="s">
        <v>3709</v>
      </c>
      <c r="D396" s="714">
        <f>+c_ft_m^2</f>
        <v>10.7639111056</v>
      </c>
      <c r="E396" s="714"/>
      <c r="F396" s="714"/>
      <c r="G396" s="712" t="s">
        <v>3710</v>
      </c>
      <c r="H396" s="715"/>
      <c r="I396" s="715"/>
      <c r="J396" s="712"/>
    </row>
    <row r="397" spans="2:10" ht="18" outlineLevel="1" x14ac:dyDescent="0.25">
      <c r="B397" s="711" t="s">
        <v>3711</v>
      </c>
      <c r="C397" s="712" t="s">
        <v>3712</v>
      </c>
      <c r="D397" s="712">
        <v>3.28084</v>
      </c>
      <c r="E397" s="714"/>
      <c r="F397" s="714"/>
      <c r="G397" s="712" t="s">
        <v>3713</v>
      </c>
      <c r="H397" s="715"/>
      <c r="I397" s="715"/>
      <c r="J397" s="712"/>
    </row>
    <row r="399" spans="2:10" ht="15.75" thickBot="1" x14ac:dyDescent="0.3">
      <c r="C399" s="706" t="s">
        <v>957</v>
      </c>
    </row>
    <row r="400" spans="2:10" ht="15.75" thickBot="1" x14ac:dyDescent="0.3">
      <c r="B400" s="707" t="s">
        <v>0</v>
      </c>
      <c r="C400" s="708" t="s">
        <v>1</v>
      </c>
      <c r="D400" s="710" t="s">
        <v>152</v>
      </c>
      <c r="E400" s="710" t="s">
        <v>471</v>
      </c>
      <c r="F400" s="710" t="s">
        <v>472</v>
      </c>
      <c r="G400" s="710" t="s">
        <v>2</v>
      </c>
      <c r="H400" s="710" t="s">
        <v>302</v>
      </c>
      <c r="I400" s="710" t="s">
        <v>116</v>
      </c>
      <c r="J400" s="719" t="s">
        <v>117</v>
      </c>
    </row>
    <row r="401" spans="2:10" ht="18" outlineLevel="1" x14ac:dyDescent="0.25">
      <c r="B401" s="711" t="s">
        <v>1083</v>
      </c>
      <c r="C401" s="712" t="s">
        <v>958</v>
      </c>
      <c r="D401" s="712">
        <v>0</v>
      </c>
      <c r="E401" s="714"/>
      <c r="F401" s="714"/>
      <c r="G401" s="712" t="s">
        <v>2749</v>
      </c>
      <c r="H401" s="715"/>
      <c r="I401" s="715"/>
      <c r="J401" s="712" t="s">
        <v>959</v>
      </c>
    </row>
    <row r="402" spans="2:10" ht="18" outlineLevel="1" x14ac:dyDescent="0.25">
      <c r="B402" s="711" t="s">
        <v>1084</v>
      </c>
      <c r="C402" s="712" t="s">
        <v>960</v>
      </c>
      <c r="D402" s="712">
        <v>-285840</v>
      </c>
      <c r="E402" s="714"/>
      <c r="F402" s="714"/>
      <c r="G402" s="712" t="s">
        <v>2749</v>
      </c>
      <c r="H402" s="715"/>
      <c r="I402" s="715"/>
      <c r="J402" s="712" t="s">
        <v>961</v>
      </c>
    </row>
    <row r="403" spans="2:10" ht="18" outlineLevel="1" x14ac:dyDescent="0.25">
      <c r="B403" s="711" t="s">
        <v>1085</v>
      </c>
      <c r="C403" s="712" t="s">
        <v>962</v>
      </c>
      <c r="D403" s="712">
        <v>-229994</v>
      </c>
      <c r="E403" s="714"/>
      <c r="F403" s="714"/>
      <c r="G403" s="712" t="s">
        <v>2749</v>
      </c>
      <c r="H403" s="715"/>
      <c r="I403" s="715"/>
      <c r="J403" s="712" t="s">
        <v>959</v>
      </c>
    </row>
    <row r="404" spans="2:10" ht="18" outlineLevel="1" x14ac:dyDescent="0.25">
      <c r="B404" s="711" t="s">
        <v>1086</v>
      </c>
      <c r="C404" s="712" t="s">
        <v>963</v>
      </c>
      <c r="D404" s="712">
        <v>-80920</v>
      </c>
      <c r="E404" s="714"/>
      <c r="F404" s="714"/>
      <c r="G404" s="712" t="s">
        <v>2749</v>
      </c>
      <c r="H404" s="715"/>
      <c r="I404" s="715"/>
      <c r="J404" s="712" t="s">
        <v>959</v>
      </c>
    </row>
    <row r="405" spans="2:10" ht="18" outlineLevel="1" x14ac:dyDescent="0.25">
      <c r="B405" s="711" t="s">
        <v>1087</v>
      </c>
      <c r="C405" s="712" t="s">
        <v>964</v>
      </c>
      <c r="D405" s="712">
        <v>-132510</v>
      </c>
      <c r="E405" s="714"/>
      <c r="F405" s="714"/>
      <c r="G405" s="712" t="s">
        <v>2749</v>
      </c>
      <c r="H405" s="715"/>
      <c r="I405" s="715"/>
      <c r="J405" s="712" t="s">
        <v>959</v>
      </c>
    </row>
    <row r="406" spans="2:10" ht="18" outlineLevel="1" x14ac:dyDescent="0.25">
      <c r="B406" s="711" t="s">
        <v>1088</v>
      </c>
      <c r="C406" s="712" t="s">
        <v>965</v>
      </c>
      <c r="D406" s="712">
        <v>-119200</v>
      </c>
      <c r="E406" s="714"/>
      <c r="F406" s="714"/>
      <c r="G406" s="712" t="s">
        <v>2749</v>
      </c>
      <c r="H406" s="715"/>
      <c r="I406" s="715"/>
      <c r="J406" s="712" t="s">
        <v>959</v>
      </c>
    </row>
    <row r="407" spans="2:10" ht="18" outlineLevel="1" x14ac:dyDescent="0.25">
      <c r="B407" s="711" t="s">
        <v>1089</v>
      </c>
      <c r="C407" s="712" t="s">
        <v>966</v>
      </c>
      <c r="D407" s="712">
        <v>-106000</v>
      </c>
      <c r="E407" s="714"/>
      <c r="F407" s="714"/>
      <c r="G407" s="712" t="s">
        <v>2749</v>
      </c>
      <c r="H407" s="715"/>
      <c r="I407" s="715"/>
      <c r="J407" s="712" t="s">
        <v>961</v>
      </c>
    </row>
    <row r="408" spans="2:10" ht="18" outlineLevel="1" x14ac:dyDescent="0.25">
      <c r="B408" s="711" t="s">
        <v>1090</v>
      </c>
      <c r="C408" s="712" t="s">
        <v>967</v>
      </c>
      <c r="D408" s="712">
        <v>-205000</v>
      </c>
      <c r="E408" s="714"/>
      <c r="F408" s="714"/>
      <c r="G408" s="712" t="s">
        <v>2749</v>
      </c>
      <c r="H408" s="715"/>
      <c r="I408" s="715"/>
      <c r="J408" s="712" t="s">
        <v>959</v>
      </c>
    </row>
    <row r="409" spans="2:10" ht="18" outlineLevel="1" x14ac:dyDescent="0.25">
      <c r="B409" s="711" t="s">
        <v>1091</v>
      </c>
      <c r="C409" s="712" t="s">
        <v>968</v>
      </c>
      <c r="D409" s="712">
        <v>-699650</v>
      </c>
      <c r="E409" s="714"/>
      <c r="F409" s="714"/>
      <c r="G409" s="712" t="s">
        <v>2749</v>
      </c>
      <c r="H409" s="715"/>
      <c r="I409" s="715"/>
      <c r="J409" s="712" t="s">
        <v>959</v>
      </c>
    </row>
    <row r="410" spans="2:10" ht="18" outlineLevel="1" x14ac:dyDescent="0.25">
      <c r="B410" s="711" t="s">
        <v>1092</v>
      </c>
      <c r="C410" s="712" t="s">
        <v>969</v>
      </c>
      <c r="D410" s="712">
        <v>-691990</v>
      </c>
      <c r="E410" s="714"/>
      <c r="F410" s="714"/>
      <c r="G410" s="712" t="s">
        <v>2749</v>
      </c>
      <c r="H410" s="715"/>
      <c r="I410" s="715"/>
      <c r="J410" s="712" t="s">
        <v>959</v>
      </c>
    </row>
    <row r="411" spans="2:10" ht="18" outlineLevel="1" x14ac:dyDescent="0.25">
      <c r="B411" s="711" t="s">
        <v>1093</v>
      </c>
      <c r="C411" s="712" t="s">
        <v>970</v>
      </c>
      <c r="D411" s="712">
        <v>-677140</v>
      </c>
      <c r="E411" s="714"/>
      <c r="F411" s="714"/>
      <c r="G411" s="712" t="s">
        <v>2749</v>
      </c>
      <c r="H411" s="715"/>
      <c r="I411" s="715"/>
      <c r="J411" s="712" t="s">
        <v>959</v>
      </c>
    </row>
    <row r="412" spans="2:10" ht="18" outlineLevel="1" x14ac:dyDescent="0.25">
      <c r="B412" s="711" t="s">
        <v>1094</v>
      </c>
      <c r="C412" s="712" t="s">
        <v>3714</v>
      </c>
      <c r="D412" s="712">
        <v>-1299144</v>
      </c>
      <c r="E412" s="714"/>
      <c r="F412" s="714"/>
      <c r="G412" s="712" t="s">
        <v>2749</v>
      </c>
      <c r="H412" s="715"/>
      <c r="I412" s="715"/>
      <c r="J412" s="712" t="s">
        <v>971</v>
      </c>
    </row>
    <row r="413" spans="2:10" ht="18" outlineLevel="1" x14ac:dyDescent="0.25">
      <c r="B413" s="711" t="s">
        <v>1095</v>
      </c>
      <c r="C413" s="712" t="s">
        <v>972</v>
      </c>
      <c r="D413" s="712">
        <v>1296000</v>
      </c>
      <c r="E413" s="714"/>
      <c r="F413" s="714"/>
      <c r="G413" s="712" t="s">
        <v>2749</v>
      </c>
      <c r="H413" s="715"/>
      <c r="I413" s="715"/>
      <c r="J413" s="712" t="s">
        <v>973</v>
      </c>
    </row>
    <row r="414" spans="2:10" ht="18" outlineLevel="1" x14ac:dyDescent="0.25">
      <c r="B414" s="711" t="s">
        <v>1096</v>
      </c>
      <c r="C414" s="712" t="s">
        <v>974</v>
      </c>
      <c r="D414" s="712">
        <v>-1292000</v>
      </c>
      <c r="E414" s="714"/>
      <c r="F414" s="714"/>
      <c r="G414" s="712" t="s">
        <v>2749</v>
      </c>
      <c r="H414" s="715"/>
      <c r="I414" s="715"/>
      <c r="J414" s="712" t="s">
        <v>973</v>
      </c>
    </row>
    <row r="415" spans="2:10" ht="18" outlineLevel="1" x14ac:dyDescent="0.25">
      <c r="B415" s="711" t="s">
        <v>1097</v>
      </c>
      <c r="C415" s="712" t="s">
        <v>975</v>
      </c>
      <c r="D415" s="712">
        <v>-1277400</v>
      </c>
      <c r="E415" s="714"/>
      <c r="F415" s="714"/>
      <c r="G415" s="712" t="s">
        <v>2749</v>
      </c>
      <c r="H415" s="715"/>
      <c r="I415" s="715"/>
      <c r="J415" s="712" t="s">
        <v>959</v>
      </c>
    </row>
    <row r="416" spans="2:10" ht="18" outlineLevel="1" x14ac:dyDescent="0.25">
      <c r="B416" s="711" t="s">
        <v>1098</v>
      </c>
      <c r="C416" s="712" t="s">
        <v>976</v>
      </c>
      <c r="D416" s="712">
        <v>-488453</v>
      </c>
      <c r="E416" s="714"/>
      <c r="F416" s="714"/>
      <c r="G416" s="712" t="s">
        <v>2749</v>
      </c>
      <c r="H416" s="715"/>
      <c r="I416" s="715"/>
      <c r="J416" s="712" t="s">
        <v>961</v>
      </c>
    </row>
    <row r="417" spans="2:10" ht="18" outlineLevel="1" x14ac:dyDescent="0.25">
      <c r="B417" s="711" t="s">
        <v>1099</v>
      </c>
      <c r="C417" s="712" t="s">
        <v>977</v>
      </c>
      <c r="D417" s="712">
        <v>-488871</v>
      </c>
      <c r="E417" s="714"/>
      <c r="F417" s="714"/>
      <c r="G417" s="712" t="s">
        <v>2749</v>
      </c>
      <c r="H417" s="715"/>
      <c r="I417" s="715"/>
      <c r="J417" s="712" t="s">
        <v>961</v>
      </c>
    </row>
    <row r="418" spans="2:10" ht="18" outlineLevel="1" x14ac:dyDescent="0.25">
      <c r="B418" s="711" t="s">
        <v>1346</v>
      </c>
      <c r="C418" s="712" t="s">
        <v>1273</v>
      </c>
      <c r="D418" s="712">
        <v>-39000</v>
      </c>
      <c r="E418" s="714"/>
      <c r="F418" s="714"/>
      <c r="G418" s="712" t="s">
        <v>2749</v>
      </c>
      <c r="H418" s="715"/>
      <c r="I418" s="715"/>
      <c r="J418" s="712" t="s">
        <v>961</v>
      </c>
    </row>
    <row r="419" spans="2:10" ht="18" outlineLevel="1" x14ac:dyDescent="0.25">
      <c r="B419" s="711" t="s">
        <v>1347</v>
      </c>
      <c r="C419" s="712" t="s">
        <v>1274</v>
      </c>
      <c r="D419" s="712">
        <v>-17000</v>
      </c>
      <c r="E419" s="714"/>
      <c r="F419" s="714"/>
      <c r="G419" s="712" t="s">
        <v>2749</v>
      </c>
      <c r="H419" s="715"/>
      <c r="I419" s="715"/>
      <c r="J419" s="712" t="s">
        <v>1275</v>
      </c>
    </row>
    <row r="420" spans="2:10" ht="18" outlineLevel="1" x14ac:dyDescent="0.25">
      <c r="B420" s="711" t="s">
        <v>1348</v>
      </c>
      <c r="C420" s="712" t="s">
        <v>1276</v>
      </c>
      <c r="D420" s="712">
        <v>33000</v>
      </c>
      <c r="E420" s="714"/>
      <c r="F420" s="714"/>
      <c r="G420" s="712" t="s">
        <v>2749</v>
      </c>
      <c r="H420" s="715"/>
      <c r="I420" s="715"/>
      <c r="J420" s="712" t="s">
        <v>961</v>
      </c>
    </row>
    <row r="421" spans="2:10" ht="18" outlineLevel="1" x14ac:dyDescent="0.25">
      <c r="B421" s="711" t="s">
        <v>1349</v>
      </c>
      <c r="C421" s="712" t="s">
        <v>1277</v>
      </c>
      <c r="D421" s="712">
        <v>-909000</v>
      </c>
      <c r="E421" s="714"/>
      <c r="F421" s="714"/>
      <c r="G421" s="712" t="s">
        <v>2749</v>
      </c>
      <c r="H421" s="715"/>
      <c r="I421" s="715"/>
      <c r="J421" s="712" t="s">
        <v>973</v>
      </c>
    </row>
    <row r="422" spans="2:10" ht="18" outlineLevel="1" x14ac:dyDescent="0.25">
      <c r="B422" s="711" t="s">
        <v>1350</v>
      </c>
      <c r="C422" s="712" t="s">
        <v>1278</v>
      </c>
      <c r="D422" s="712">
        <v>-887000</v>
      </c>
      <c r="E422" s="714"/>
      <c r="F422" s="714"/>
      <c r="G422" s="712" t="s">
        <v>2749</v>
      </c>
      <c r="H422" s="715"/>
      <c r="I422" s="715"/>
      <c r="J422" s="712" t="s">
        <v>1279</v>
      </c>
    </row>
    <row r="423" spans="2:10" ht="18" outlineLevel="1" x14ac:dyDescent="0.25">
      <c r="B423" s="711" t="s">
        <v>1351</v>
      </c>
      <c r="C423" s="712" t="s">
        <v>1280</v>
      </c>
      <c r="D423" s="712">
        <v>-909000</v>
      </c>
      <c r="E423" s="714"/>
      <c r="F423" s="714"/>
      <c r="G423" s="712" t="s">
        <v>2749</v>
      </c>
      <c r="H423" s="715"/>
      <c r="I423" s="715"/>
      <c r="J423" s="712" t="s">
        <v>973</v>
      </c>
    </row>
    <row r="424" spans="2:10" ht="18" outlineLevel="1" x14ac:dyDescent="0.25">
      <c r="B424" s="711" t="s">
        <v>1309</v>
      </c>
      <c r="C424" s="712" t="s">
        <v>1310</v>
      </c>
      <c r="D424" s="712">
        <v>-542960</v>
      </c>
      <c r="E424" s="714"/>
      <c r="F424" s="714"/>
      <c r="G424" s="712" t="s">
        <v>2749</v>
      </c>
      <c r="H424" s="715"/>
      <c r="I424" s="715"/>
      <c r="J424" s="712" t="s">
        <v>961</v>
      </c>
    </row>
    <row r="425" spans="2:10" ht="18" outlineLevel="1" x14ac:dyDescent="0.25">
      <c r="B425" s="711" t="s">
        <v>1311</v>
      </c>
      <c r="C425" s="712" t="s">
        <v>3154</v>
      </c>
      <c r="D425" s="712">
        <v>-461960</v>
      </c>
      <c r="E425" s="714"/>
      <c r="F425" s="714"/>
      <c r="G425" s="712" t="s">
        <v>2749</v>
      </c>
      <c r="H425" s="715"/>
      <c r="I425" s="715"/>
      <c r="J425" s="712" t="s">
        <v>961</v>
      </c>
    </row>
    <row r="426" spans="2:10" ht="18" outlineLevel="1" x14ac:dyDescent="0.25">
      <c r="B426" s="711" t="s">
        <v>1312</v>
      </c>
      <c r="C426" s="712" t="s">
        <v>1313</v>
      </c>
      <c r="D426" s="712">
        <v>-239660</v>
      </c>
      <c r="E426" s="714"/>
      <c r="F426" s="714"/>
      <c r="G426" s="712" t="s">
        <v>2749</v>
      </c>
      <c r="H426" s="715"/>
      <c r="I426" s="715"/>
      <c r="J426" s="712" t="s">
        <v>961</v>
      </c>
    </row>
    <row r="428" spans="2:10" ht="15.75" thickBot="1" x14ac:dyDescent="0.3">
      <c r="C428" s="706" t="s">
        <v>978</v>
      </c>
    </row>
    <row r="429" spans="2:10" ht="15.75" thickBot="1" x14ac:dyDescent="0.3">
      <c r="B429" s="707" t="s">
        <v>0</v>
      </c>
      <c r="C429" s="708" t="s">
        <v>1</v>
      </c>
      <c r="D429" s="710" t="s">
        <v>152</v>
      </c>
      <c r="E429" s="710" t="s">
        <v>471</v>
      </c>
      <c r="F429" s="710" t="s">
        <v>472</v>
      </c>
      <c r="G429" s="710" t="s">
        <v>2</v>
      </c>
      <c r="H429" s="710" t="s">
        <v>302</v>
      </c>
      <c r="I429" s="710" t="s">
        <v>116</v>
      </c>
      <c r="J429" s="719" t="s">
        <v>117</v>
      </c>
    </row>
    <row r="430" spans="2:10" ht="18" x14ac:dyDescent="0.25">
      <c r="B430" s="711" t="s">
        <v>979</v>
      </c>
      <c r="C430" s="712" t="s">
        <v>980</v>
      </c>
      <c r="D430" s="712">
        <v>-286933.08</v>
      </c>
      <c r="E430" s="714"/>
      <c r="F430" s="714"/>
      <c r="G430" s="712" t="s">
        <v>2749</v>
      </c>
      <c r="H430" s="715"/>
      <c r="I430" s="715"/>
      <c r="J430" s="712" t="s">
        <v>981</v>
      </c>
    </row>
    <row r="432" spans="2:10" ht="15.75" thickBot="1" x14ac:dyDescent="0.3">
      <c r="C432" s="706" t="s">
        <v>2035</v>
      </c>
    </row>
    <row r="433" spans="2:12" ht="15.75" thickBot="1" x14ac:dyDescent="0.3">
      <c r="B433" s="707" t="s">
        <v>0</v>
      </c>
      <c r="C433" s="708" t="s">
        <v>1</v>
      </c>
      <c r="D433" s="710" t="s">
        <v>152</v>
      </c>
      <c r="E433" s="710" t="s">
        <v>471</v>
      </c>
      <c r="F433" s="710" t="s">
        <v>472</v>
      </c>
      <c r="G433" s="710" t="s">
        <v>2</v>
      </c>
      <c r="H433" s="710" t="s">
        <v>302</v>
      </c>
      <c r="I433" s="710" t="s">
        <v>116</v>
      </c>
      <c r="J433" s="719" t="s">
        <v>117</v>
      </c>
      <c r="L433" s="704" t="s">
        <v>2036</v>
      </c>
    </row>
    <row r="434" spans="2:12" ht="18" outlineLevel="1" x14ac:dyDescent="0.25">
      <c r="B434" s="711" t="s">
        <v>2037</v>
      </c>
      <c r="C434" s="712" t="s">
        <v>2038</v>
      </c>
      <c r="D434" s="712">
        <v>58032.160000000098</v>
      </c>
      <c r="E434" s="714"/>
      <c r="F434" s="714"/>
      <c r="G434" s="712" t="s">
        <v>2749</v>
      </c>
      <c r="H434" s="715">
        <v>1</v>
      </c>
      <c r="I434" s="715"/>
      <c r="J434" s="712" t="s">
        <v>2039</v>
      </c>
      <c r="L434" s="704">
        <f>(H_OHm+H_H3Op) - 2*H_H2O</f>
        <v>58032.160000000033</v>
      </c>
    </row>
    <row r="435" spans="2:12" ht="18" outlineLevel="1" x14ac:dyDescent="0.25">
      <c r="B435" s="711" t="s">
        <v>2040</v>
      </c>
      <c r="C435" s="712" t="s">
        <v>2041</v>
      </c>
      <c r="D435" s="712">
        <v>5349.0800000000099</v>
      </c>
      <c r="E435" s="714"/>
      <c r="F435" s="714"/>
      <c r="G435" s="712" t="s">
        <v>2749</v>
      </c>
      <c r="H435" s="715">
        <v>1</v>
      </c>
      <c r="I435" s="715"/>
      <c r="J435" s="712" t="s">
        <v>2750</v>
      </c>
      <c r="L435" s="704">
        <f>(H_NH4p + H_OHm) - (H_NH3 + H_H2O)</f>
        <v>5349.0800000000163</v>
      </c>
    </row>
    <row r="436" spans="2:12" ht="18" outlineLevel="1" x14ac:dyDescent="0.25">
      <c r="B436" s="711" t="s">
        <v>2751</v>
      </c>
      <c r="C436" s="712" t="s">
        <v>2752</v>
      </c>
      <c r="D436" s="712">
        <v>14293.080000000031</v>
      </c>
      <c r="E436" s="714"/>
      <c r="F436" s="714"/>
      <c r="G436" s="712" t="s">
        <v>2749</v>
      </c>
      <c r="H436" s="715">
        <v>1</v>
      </c>
      <c r="I436" s="715"/>
      <c r="J436" s="712" t="s">
        <v>2753</v>
      </c>
      <c r="L436" s="704">
        <f>(H_H3Op+H_NO2m)-(H_HNO2+H_H2O)</f>
        <v>14293.080000000016</v>
      </c>
    </row>
    <row r="437" spans="2:12" ht="18" outlineLevel="1" x14ac:dyDescent="0.25">
      <c r="B437" s="711" t="s">
        <v>2042</v>
      </c>
      <c r="C437" s="712" t="s">
        <v>2043</v>
      </c>
      <c r="D437" s="712">
        <v>8753.0800000000672</v>
      </c>
      <c r="E437" s="714"/>
      <c r="F437" s="714"/>
      <c r="G437" s="712" t="s">
        <v>2749</v>
      </c>
      <c r="H437" s="715">
        <v>1</v>
      </c>
      <c r="I437" s="715"/>
      <c r="J437" s="712" t="s">
        <v>2044</v>
      </c>
      <c r="L437" s="704">
        <f>(H_HCO3m + H_H3Op) - (H_H2CO3 + H_H2O)</f>
        <v>8753.0800000000745</v>
      </c>
    </row>
    <row r="438" spans="2:12" ht="18" outlineLevel="1" x14ac:dyDescent="0.25">
      <c r="B438" s="711" t="s">
        <v>2045</v>
      </c>
      <c r="C438" s="712" t="s">
        <v>2046</v>
      </c>
      <c r="D438" s="712">
        <v>15943.080000000009</v>
      </c>
      <c r="E438" s="714"/>
      <c r="F438" s="714"/>
      <c r="G438" s="712" t="s">
        <v>2749</v>
      </c>
      <c r="H438" s="715">
        <v>1</v>
      </c>
      <c r="I438" s="715"/>
      <c r="J438" s="712" t="s">
        <v>2047</v>
      </c>
      <c r="L438" s="704">
        <f>(H_H3Op + H_CO32m) - (H_HCO3m + H_H2O)</f>
        <v>15943.080000000075</v>
      </c>
    </row>
    <row r="439" spans="2:12" ht="18" outlineLevel="1" x14ac:dyDescent="0.25">
      <c r="B439" s="711" t="s">
        <v>2048</v>
      </c>
      <c r="C439" s="712" t="s">
        <v>2049</v>
      </c>
      <c r="D439" s="712">
        <v>2596237.08</v>
      </c>
      <c r="E439" s="714"/>
      <c r="F439" s="714"/>
      <c r="G439" s="712" t="s">
        <v>2749</v>
      </c>
      <c r="H439" s="715">
        <v>1</v>
      </c>
      <c r="I439" s="715"/>
      <c r="J439" s="712" t="s">
        <v>2050</v>
      </c>
      <c r="L439" s="704">
        <f>(H_H3Op + H_H2PO4m) - (H_H3PO4 + H_H2O)</f>
        <v>2596237.08</v>
      </c>
    </row>
    <row r="440" spans="2:12" ht="18" outlineLevel="1" x14ac:dyDescent="0.25">
      <c r="B440" s="711" t="s">
        <v>2051</v>
      </c>
      <c r="C440" s="712" t="s">
        <v>2052</v>
      </c>
      <c r="D440" s="712">
        <v>-2586906.92</v>
      </c>
      <c r="E440" s="714"/>
      <c r="F440" s="714"/>
      <c r="G440" s="712" t="s">
        <v>2749</v>
      </c>
      <c r="H440" s="715">
        <v>1</v>
      </c>
      <c r="I440" s="715"/>
      <c r="J440" s="712" t="s">
        <v>2053</v>
      </c>
      <c r="L440" s="704">
        <f>(H_H3Op + H_HPO42m) - (H_H2PO4m + H_H2O)</f>
        <v>-2586906.92</v>
      </c>
    </row>
    <row r="441" spans="2:12" ht="18" outlineLevel="1" x14ac:dyDescent="0.25">
      <c r="B441" s="711" t="s">
        <v>2054</v>
      </c>
      <c r="C441" s="712" t="s">
        <v>2055</v>
      </c>
      <c r="D441" s="712">
        <v>15693.080000000009</v>
      </c>
      <c r="E441" s="714"/>
      <c r="F441" s="714"/>
      <c r="G441" s="712" t="s">
        <v>2749</v>
      </c>
      <c r="H441" s="715">
        <v>1</v>
      </c>
      <c r="I441" s="715"/>
      <c r="J441" s="712" t="s">
        <v>2056</v>
      </c>
      <c r="L441" s="704">
        <f>(H_H3Op + H_PO43m) - (H_HPO42m + H_H2O)</f>
        <v>15693.080000000075</v>
      </c>
    </row>
    <row r="442" spans="2:12" ht="18" outlineLevel="1" x14ac:dyDescent="0.25">
      <c r="B442" s="711" t="s">
        <v>2057</v>
      </c>
      <c r="C442" s="712" t="s">
        <v>2058</v>
      </c>
      <c r="D442" s="712">
        <v>675.07999999997992</v>
      </c>
      <c r="E442" s="714"/>
      <c r="F442" s="714"/>
      <c r="G442" s="712" t="s">
        <v>2749</v>
      </c>
      <c r="H442" s="715">
        <v>1</v>
      </c>
      <c r="I442" s="715"/>
      <c r="J442" s="712" t="s">
        <v>2059</v>
      </c>
      <c r="L442" s="704">
        <f>(H_H3Op + H_Acm) - (H_HAc + H_H2O)</f>
        <v>675.08000000007451</v>
      </c>
    </row>
    <row r="443" spans="2:12" ht="18" outlineLevel="1" x14ac:dyDescent="0.25">
      <c r="B443" s="732" t="s">
        <v>3715</v>
      </c>
      <c r="C443" s="732" t="s">
        <v>3716</v>
      </c>
      <c r="D443" s="732">
        <v>660</v>
      </c>
      <c r="E443" s="733"/>
      <c r="F443" s="732"/>
      <c r="G443" s="734" t="s">
        <v>2749</v>
      </c>
      <c r="H443" s="735">
        <v>1</v>
      </c>
      <c r="I443" s="732"/>
      <c r="J443" s="732" t="s">
        <v>3717</v>
      </c>
    </row>
    <row r="444" spans="2:12" ht="18" outlineLevel="1" x14ac:dyDescent="0.25">
      <c r="B444" s="732" t="s">
        <v>3718</v>
      </c>
      <c r="C444" s="732" t="s">
        <v>3719</v>
      </c>
      <c r="D444" s="732">
        <v>2800</v>
      </c>
      <c r="E444" s="733"/>
      <c r="F444" s="732"/>
      <c r="G444" s="734" t="s">
        <v>2749</v>
      </c>
      <c r="H444" s="735">
        <v>1</v>
      </c>
      <c r="I444" s="732"/>
      <c r="J444" s="732" t="s">
        <v>3717</v>
      </c>
    </row>
    <row r="445" spans="2:12" ht="18" outlineLevel="1" x14ac:dyDescent="0.25">
      <c r="B445" s="732" t="s">
        <v>3720</v>
      </c>
      <c r="C445" s="732" t="s">
        <v>3721</v>
      </c>
      <c r="D445" s="732">
        <v>2887</v>
      </c>
      <c r="E445" s="733"/>
      <c r="F445" s="732"/>
      <c r="G445" s="734" t="s">
        <v>2749</v>
      </c>
      <c r="H445" s="735">
        <v>1</v>
      </c>
      <c r="I445" s="732"/>
      <c r="J445" s="732" t="s">
        <v>3717</v>
      </c>
    </row>
    <row r="446" spans="2:12" ht="18" outlineLevel="1" x14ac:dyDescent="0.25">
      <c r="B446" s="711" t="s">
        <v>2060</v>
      </c>
      <c r="C446" s="712" t="s">
        <v>2061</v>
      </c>
      <c r="D446" s="712">
        <v>23093.080000000042</v>
      </c>
      <c r="E446" s="714"/>
      <c r="F446" s="714"/>
      <c r="G446" s="712" t="s">
        <v>2749</v>
      </c>
      <c r="H446" s="715">
        <v>1</v>
      </c>
      <c r="I446" s="715"/>
      <c r="J446" s="712" t="s">
        <v>2062</v>
      </c>
      <c r="L446" s="704">
        <f>(H_HSm+H_H3Op)-(H_H2S+H_H2O)</f>
        <v>23093.080000000016</v>
      </c>
    </row>
    <row r="447" spans="2:12" ht="18" outlineLevel="1" x14ac:dyDescent="0.25">
      <c r="B447" s="711" t="s">
        <v>2063</v>
      </c>
      <c r="C447" s="712" t="s">
        <v>2064</v>
      </c>
      <c r="D447" s="712">
        <v>51093.080000000045</v>
      </c>
      <c r="E447" s="714"/>
      <c r="F447" s="714"/>
      <c r="G447" s="712" t="s">
        <v>2749</v>
      </c>
      <c r="H447" s="715">
        <v>1</v>
      </c>
      <c r="I447" s="715"/>
      <c r="J447" s="712" t="s">
        <v>2065</v>
      </c>
      <c r="L447" s="704">
        <f>(H_H3Op+H_S2m)-(H_HSm+H_H2O)</f>
        <v>51093.080000000016</v>
      </c>
    </row>
    <row r="448" spans="2:12" ht="18" outlineLevel="1" x14ac:dyDescent="0.25">
      <c r="B448" s="711" t="s">
        <v>2066</v>
      </c>
      <c r="C448" s="712" t="s">
        <v>2067</v>
      </c>
      <c r="D448" s="712">
        <v>23093.0800000001</v>
      </c>
      <c r="E448" s="714"/>
      <c r="F448" s="714"/>
      <c r="G448" s="712" t="s">
        <v>2749</v>
      </c>
      <c r="H448" s="715">
        <v>1</v>
      </c>
      <c r="I448" s="715"/>
      <c r="J448" s="712" t="s">
        <v>2068</v>
      </c>
      <c r="L448" s="704">
        <f>(H_HSO4m+H_H3Op)-(H_H2SO4+H_H2O)</f>
        <v>23093.080000000075</v>
      </c>
    </row>
    <row r="449" spans="2:12" ht="18" outlineLevel="1" x14ac:dyDescent="0.25">
      <c r="B449" s="711" t="s">
        <v>2069</v>
      </c>
      <c r="C449" s="712" t="s">
        <v>2070</v>
      </c>
      <c r="D449" s="712">
        <v>-20906.9199999999</v>
      </c>
      <c r="E449" s="714"/>
      <c r="F449" s="714"/>
      <c r="G449" s="712" t="s">
        <v>2749</v>
      </c>
      <c r="H449" s="715">
        <v>1</v>
      </c>
      <c r="I449" s="715"/>
      <c r="J449" s="712" t="s">
        <v>2071</v>
      </c>
      <c r="L449" s="704">
        <f>(H_H3Op+H_SO42m)-(H_HSO4m+H_H2O)</f>
        <v>-20906.919999999925</v>
      </c>
    </row>
    <row r="450" spans="2:12" ht="18" outlineLevel="1" x14ac:dyDescent="0.25">
      <c r="B450" s="711" t="s">
        <v>2072</v>
      </c>
      <c r="C450" s="712" t="s">
        <v>2073</v>
      </c>
      <c r="D450" s="712">
        <v>64110</v>
      </c>
      <c r="E450" s="714"/>
      <c r="F450" s="714"/>
      <c r="G450" s="712" t="s">
        <v>2749</v>
      </c>
      <c r="H450" s="715">
        <v>1</v>
      </c>
      <c r="I450" s="715"/>
      <c r="J450" s="712"/>
    </row>
    <row r="451" spans="2:12" ht="18" outlineLevel="1" x14ac:dyDescent="0.25">
      <c r="B451" s="711" t="s">
        <v>2074</v>
      </c>
      <c r="C451" s="712" t="s">
        <v>2075</v>
      </c>
      <c r="D451" s="712">
        <v>16000</v>
      </c>
      <c r="E451" s="714"/>
      <c r="F451" s="714"/>
      <c r="G451" s="712" t="s">
        <v>2749</v>
      </c>
      <c r="H451" s="715">
        <v>1</v>
      </c>
      <c r="I451" s="715"/>
      <c r="J451" s="712"/>
    </row>
    <row r="452" spans="2:12" ht="18" outlineLevel="1" x14ac:dyDescent="0.25">
      <c r="B452" s="711" t="s">
        <v>2076</v>
      </c>
      <c r="C452" s="712" t="s">
        <v>2077</v>
      </c>
      <c r="D452" s="712">
        <v>5400</v>
      </c>
      <c r="E452" s="714"/>
      <c r="F452" s="714"/>
      <c r="G452" s="712" t="s">
        <v>2749</v>
      </c>
      <c r="H452" s="715">
        <v>1</v>
      </c>
      <c r="I452" s="715"/>
      <c r="J452" s="712"/>
    </row>
    <row r="453" spans="2:12" ht="18" outlineLevel="1" x14ac:dyDescent="0.25">
      <c r="B453" s="711" t="s">
        <v>2078</v>
      </c>
      <c r="C453" s="712" t="s">
        <v>2079</v>
      </c>
      <c r="D453" s="712">
        <v>12970.4</v>
      </c>
      <c r="E453" s="714"/>
      <c r="F453" s="714"/>
      <c r="G453" s="712" t="s">
        <v>2749</v>
      </c>
      <c r="H453" s="715">
        <v>1</v>
      </c>
      <c r="I453" s="715"/>
      <c r="J453" s="712"/>
    </row>
    <row r="454" spans="2:12" ht="18" outlineLevel="1" x14ac:dyDescent="0.25">
      <c r="B454" s="711" t="s">
        <v>2080</v>
      </c>
      <c r="C454" s="712" t="s">
        <v>2081</v>
      </c>
      <c r="D454" s="712">
        <v>-3000</v>
      </c>
      <c r="E454" s="714"/>
      <c r="F454" s="714"/>
      <c r="G454" s="712" t="s">
        <v>2749</v>
      </c>
      <c r="H454" s="715">
        <v>1</v>
      </c>
      <c r="I454" s="715"/>
      <c r="J454" s="712"/>
    </row>
    <row r="455" spans="2:12" ht="18" outlineLevel="1" x14ac:dyDescent="0.25">
      <c r="B455" s="711" t="s">
        <v>2082</v>
      </c>
      <c r="C455" s="712" t="s">
        <v>2083</v>
      </c>
      <c r="D455" s="712">
        <v>-6000</v>
      </c>
      <c r="E455" s="714"/>
      <c r="F455" s="714"/>
      <c r="G455" s="712" t="s">
        <v>2749</v>
      </c>
      <c r="H455" s="715">
        <v>1</v>
      </c>
      <c r="I455" s="715"/>
      <c r="J455" s="712"/>
    </row>
    <row r="456" spans="2:12" ht="18" outlineLevel="1" x14ac:dyDescent="0.25">
      <c r="B456" s="711" t="s">
        <v>2084</v>
      </c>
      <c r="C456" s="712" t="s">
        <v>2085</v>
      </c>
      <c r="D456" s="712">
        <v>67810</v>
      </c>
      <c r="E456" s="714"/>
      <c r="F456" s="714"/>
      <c r="G456" s="712" t="s">
        <v>2749</v>
      </c>
      <c r="H456" s="715">
        <v>1</v>
      </c>
      <c r="I456" s="715"/>
      <c r="J456" s="712"/>
    </row>
    <row r="457" spans="2:12" ht="18" outlineLevel="1" x14ac:dyDescent="0.25">
      <c r="B457" s="711" t="s">
        <v>2086</v>
      </c>
      <c r="C457" s="712" t="s">
        <v>2087</v>
      </c>
      <c r="D457" s="712">
        <v>12000</v>
      </c>
      <c r="E457" s="714"/>
      <c r="F457" s="714"/>
      <c r="G457" s="712" t="s">
        <v>2749</v>
      </c>
      <c r="H457" s="715">
        <v>1</v>
      </c>
      <c r="I457" s="715"/>
      <c r="J457" s="712"/>
    </row>
    <row r="458" spans="2:12" ht="18" outlineLevel="1" x14ac:dyDescent="0.25">
      <c r="B458" s="711" t="s">
        <v>2088</v>
      </c>
      <c r="C458" s="712" t="s">
        <v>2089</v>
      </c>
      <c r="D458" s="712">
        <v>-10600</v>
      </c>
      <c r="E458" s="714"/>
      <c r="F458" s="714"/>
      <c r="G458" s="712" t="s">
        <v>2749</v>
      </c>
      <c r="H458" s="715">
        <v>1</v>
      </c>
      <c r="I458" s="715"/>
      <c r="J458" s="712"/>
    </row>
    <row r="459" spans="2:12" ht="18" outlineLevel="1" x14ac:dyDescent="0.25">
      <c r="B459" s="711" t="s">
        <v>2090</v>
      </c>
      <c r="C459" s="712" t="s">
        <v>2091</v>
      </c>
      <c r="D459" s="712">
        <v>-3000</v>
      </c>
      <c r="E459" s="714"/>
      <c r="F459" s="714"/>
      <c r="G459" s="712" t="s">
        <v>2749</v>
      </c>
      <c r="H459" s="715">
        <v>1</v>
      </c>
      <c r="I459" s="715"/>
      <c r="J459" s="712"/>
    </row>
    <row r="460" spans="2:12" ht="18" outlineLevel="1" x14ac:dyDescent="0.25">
      <c r="B460" s="711" t="s">
        <v>2092</v>
      </c>
      <c r="C460" s="712" t="s">
        <v>2093</v>
      </c>
      <c r="D460" s="712">
        <v>12970.4</v>
      </c>
      <c r="E460" s="714"/>
      <c r="F460" s="714"/>
      <c r="G460" s="712" t="s">
        <v>2749</v>
      </c>
      <c r="H460" s="715">
        <v>1</v>
      </c>
      <c r="I460" s="715"/>
      <c r="J460" s="712"/>
    </row>
    <row r="461" spans="2:12" ht="18" outlineLevel="1" x14ac:dyDescent="0.25">
      <c r="B461" s="711" t="s">
        <v>2094</v>
      </c>
      <c r="C461" s="712" t="s">
        <v>2095</v>
      </c>
      <c r="D461" s="712">
        <v>21256.1</v>
      </c>
      <c r="E461" s="714"/>
      <c r="F461" s="714"/>
      <c r="G461" s="712" t="s">
        <v>2749</v>
      </c>
      <c r="H461" s="715">
        <v>1</v>
      </c>
      <c r="I461" s="715"/>
      <c r="J461" s="712"/>
    </row>
    <row r="462" spans="2:12" ht="18" outlineLevel="1" x14ac:dyDescent="0.25">
      <c r="B462" s="711" t="s">
        <v>2096</v>
      </c>
      <c r="C462" s="712" t="s">
        <v>2097</v>
      </c>
      <c r="D462" s="712">
        <v>0</v>
      </c>
      <c r="E462" s="714"/>
      <c r="F462" s="714"/>
      <c r="G462" s="712" t="s">
        <v>2749</v>
      </c>
      <c r="H462" s="715">
        <v>1</v>
      </c>
      <c r="I462" s="715"/>
      <c r="J462" s="712"/>
    </row>
    <row r="464" spans="2:12" ht="15.75" thickBot="1" x14ac:dyDescent="0.3">
      <c r="C464" s="706" t="s">
        <v>3155</v>
      </c>
    </row>
    <row r="465" spans="2:12" ht="15.75" thickBot="1" x14ac:dyDescent="0.3">
      <c r="B465" s="707" t="s">
        <v>0</v>
      </c>
      <c r="C465" s="708" t="s">
        <v>1</v>
      </c>
      <c r="D465" s="710" t="s">
        <v>152</v>
      </c>
      <c r="E465" s="710" t="s">
        <v>471</v>
      </c>
      <c r="F465" s="710" t="s">
        <v>472</v>
      </c>
      <c r="G465" s="710" t="s">
        <v>2</v>
      </c>
      <c r="H465" s="710" t="s">
        <v>302</v>
      </c>
      <c r="I465" s="710" t="s">
        <v>116</v>
      </c>
      <c r="J465" s="719" t="s">
        <v>117</v>
      </c>
      <c r="L465" s="704" t="s">
        <v>2036</v>
      </c>
    </row>
    <row r="466" spans="2:12" ht="18" outlineLevel="1" x14ac:dyDescent="0.25">
      <c r="B466" s="711" t="s">
        <v>2995</v>
      </c>
      <c r="C466" s="712" t="s">
        <v>2754</v>
      </c>
      <c r="D466" s="712">
        <v>2.5000000000000001E-5</v>
      </c>
      <c r="E466" s="714" t="s">
        <v>1215</v>
      </c>
      <c r="F466" s="714" t="s">
        <v>1254</v>
      </c>
      <c r="G466" s="712" t="s">
        <v>2996</v>
      </c>
      <c r="H466" s="715">
        <v>2</v>
      </c>
      <c r="I466" s="715"/>
      <c r="J466" s="712" t="s">
        <v>2755</v>
      </c>
    </row>
    <row r="467" spans="2:12" ht="18" outlineLevel="1" x14ac:dyDescent="0.25">
      <c r="B467" s="711" t="s">
        <v>2997</v>
      </c>
      <c r="C467" s="712" t="s">
        <v>2754</v>
      </c>
      <c r="D467" s="712">
        <v>2.5000000000000001E-5</v>
      </c>
      <c r="E467" s="714" t="s">
        <v>1215</v>
      </c>
      <c r="F467" s="714" t="s">
        <v>1254</v>
      </c>
      <c r="G467" s="712" t="s">
        <v>2996</v>
      </c>
      <c r="H467" s="715">
        <v>2</v>
      </c>
      <c r="I467" s="715"/>
      <c r="J467" s="712" t="s">
        <v>2755</v>
      </c>
    </row>
    <row r="468" spans="2:12" ht="18" outlineLevel="1" x14ac:dyDescent="0.25">
      <c r="B468" s="711" t="s">
        <v>2998</v>
      </c>
      <c r="C468" s="712" t="s">
        <v>2754</v>
      </c>
      <c r="D468" s="712">
        <v>2.5000000000000001E-5</v>
      </c>
      <c r="E468" s="714" t="s">
        <v>1215</v>
      </c>
      <c r="F468" s="714" t="s">
        <v>1254</v>
      </c>
      <c r="G468" s="712" t="s">
        <v>2996</v>
      </c>
      <c r="H468" s="715">
        <v>2</v>
      </c>
      <c r="I468" s="715"/>
      <c r="J468" s="712" t="s">
        <v>2755</v>
      </c>
    </row>
    <row r="469" spans="2:12" ht="18" outlineLevel="1" x14ac:dyDescent="0.25">
      <c r="B469" s="711" t="s">
        <v>2999</v>
      </c>
      <c r="C469" s="712" t="s">
        <v>2756</v>
      </c>
      <c r="D469" s="712">
        <v>1.24E-5</v>
      </c>
      <c r="E469" s="714" t="s">
        <v>1215</v>
      </c>
      <c r="F469" s="714" t="s">
        <v>1254</v>
      </c>
      <c r="G469" s="712" t="s">
        <v>2996</v>
      </c>
      <c r="H469" s="715">
        <v>2</v>
      </c>
      <c r="I469" s="715"/>
      <c r="J469" s="712" t="s">
        <v>2755</v>
      </c>
    </row>
    <row r="470" spans="2:12" ht="18" outlineLevel="1" x14ac:dyDescent="0.25">
      <c r="B470" s="711" t="s">
        <v>3000</v>
      </c>
      <c r="C470" s="712" t="s">
        <v>2757</v>
      </c>
      <c r="D470" s="712">
        <v>1.24E-5</v>
      </c>
      <c r="E470" s="714" t="s">
        <v>1215</v>
      </c>
      <c r="F470" s="714" t="s">
        <v>1254</v>
      </c>
      <c r="G470" s="712" t="s">
        <v>2996</v>
      </c>
      <c r="H470" s="715">
        <v>2</v>
      </c>
      <c r="I470" s="715"/>
      <c r="J470" s="712" t="s">
        <v>2755</v>
      </c>
    </row>
    <row r="471" spans="2:12" ht="18" outlineLevel="1" x14ac:dyDescent="0.25">
      <c r="B471" s="711" t="s">
        <v>3001</v>
      </c>
      <c r="C471" s="712" t="s">
        <v>2758</v>
      </c>
      <c r="D471" s="712">
        <v>1.24E-5</v>
      </c>
      <c r="E471" s="714" t="s">
        <v>1215</v>
      </c>
      <c r="F471" s="714" t="s">
        <v>1254</v>
      </c>
      <c r="G471" s="712" t="s">
        <v>2996</v>
      </c>
      <c r="H471" s="715">
        <v>2</v>
      </c>
      <c r="I471" s="715"/>
      <c r="J471" s="712" t="s">
        <v>2755</v>
      </c>
    </row>
    <row r="472" spans="2:12" ht="18" outlineLevel="1" x14ac:dyDescent="0.25">
      <c r="B472" s="711" t="s">
        <v>3002</v>
      </c>
      <c r="C472" s="712" t="s">
        <v>2756</v>
      </c>
      <c r="D472" s="712">
        <v>1.24E-5</v>
      </c>
      <c r="E472" s="714" t="s">
        <v>1215</v>
      </c>
      <c r="F472" s="714" t="s">
        <v>1254</v>
      </c>
      <c r="G472" s="712" t="s">
        <v>2996</v>
      </c>
      <c r="H472" s="715">
        <v>2</v>
      </c>
      <c r="I472" s="715"/>
      <c r="J472" s="712" t="s">
        <v>2755</v>
      </c>
    </row>
    <row r="473" spans="2:12" ht="18" outlineLevel="1" x14ac:dyDescent="0.25">
      <c r="B473" s="711" t="s">
        <v>3956</v>
      </c>
      <c r="C473" s="712" t="s">
        <v>3957</v>
      </c>
      <c r="D473" s="712">
        <v>1.24E-5</v>
      </c>
      <c r="E473" s="714" t="s">
        <v>1215</v>
      </c>
      <c r="F473" s="714" t="s">
        <v>1254</v>
      </c>
      <c r="G473" s="712" t="s">
        <v>2996</v>
      </c>
      <c r="H473" s="715">
        <v>2</v>
      </c>
      <c r="I473" s="715"/>
      <c r="J473" s="712" t="s">
        <v>2755</v>
      </c>
    </row>
    <row r="474" spans="2:12" ht="18" outlineLevel="1" x14ac:dyDescent="0.25">
      <c r="B474" s="711" t="s">
        <v>3003</v>
      </c>
      <c r="C474" s="712" t="s">
        <v>2759</v>
      </c>
      <c r="D474" s="712">
        <v>1.24E-5</v>
      </c>
      <c r="E474" s="714" t="s">
        <v>1215</v>
      </c>
      <c r="F474" s="714" t="s">
        <v>1254</v>
      </c>
      <c r="G474" s="712" t="s">
        <v>2996</v>
      </c>
      <c r="H474" s="715">
        <v>2</v>
      </c>
      <c r="I474" s="715"/>
      <c r="J474" s="712" t="s">
        <v>2755</v>
      </c>
    </row>
    <row r="475" spans="2:12" ht="18" outlineLevel="1" x14ac:dyDescent="0.25">
      <c r="B475" s="711" t="s">
        <v>3004</v>
      </c>
      <c r="C475" s="712" t="s">
        <v>2759</v>
      </c>
      <c r="D475" s="712">
        <v>1.24E-5</v>
      </c>
      <c r="E475" s="714" t="s">
        <v>1215</v>
      </c>
      <c r="F475" s="714" t="s">
        <v>1254</v>
      </c>
      <c r="G475" s="712" t="s">
        <v>2996</v>
      </c>
      <c r="H475" s="715">
        <v>2</v>
      </c>
      <c r="I475" s="715"/>
      <c r="J475" s="712" t="s">
        <v>2755</v>
      </c>
    </row>
    <row r="476" spans="2:12" ht="18" outlineLevel="1" x14ac:dyDescent="0.25">
      <c r="B476" s="711" t="s">
        <v>3005</v>
      </c>
      <c r="C476" s="712" t="s">
        <v>2760</v>
      </c>
      <c r="D476" s="712">
        <v>1.24E-5</v>
      </c>
      <c r="E476" s="714" t="s">
        <v>1215</v>
      </c>
      <c r="F476" s="714" t="s">
        <v>1254</v>
      </c>
      <c r="G476" s="712" t="s">
        <v>2996</v>
      </c>
      <c r="H476" s="715">
        <v>2</v>
      </c>
      <c r="I476" s="715"/>
      <c r="J476" s="712" t="s">
        <v>2755</v>
      </c>
    </row>
    <row r="477" spans="2:12" ht="18" outlineLevel="1" x14ac:dyDescent="0.25">
      <c r="B477" s="711" t="s">
        <v>3006</v>
      </c>
      <c r="C477" s="712" t="s">
        <v>2761</v>
      </c>
      <c r="D477" s="712">
        <v>1.0000000000000001E-5</v>
      </c>
      <c r="E477" s="714" t="s">
        <v>1215</v>
      </c>
      <c r="F477" s="714" t="s">
        <v>1254</v>
      </c>
      <c r="G477" s="712" t="s">
        <v>2996</v>
      </c>
      <c r="H477" s="715">
        <v>2</v>
      </c>
      <c r="I477" s="715"/>
      <c r="J477" s="712"/>
    </row>
    <row r="478" spans="2:12" ht="18" outlineLevel="1" x14ac:dyDescent="0.25">
      <c r="B478" s="711" t="s">
        <v>3007</v>
      </c>
      <c r="C478" s="712" t="s">
        <v>2761</v>
      </c>
      <c r="D478" s="712">
        <v>1.0000000000000001E-5</v>
      </c>
      <c r="E478" s="714" t="s">
        <v>1215</v>
      </c>
      <c r="F478" s="714" t="s">
        <v>1254</v>
      </c>
      <c r="G478" s="712" t="s">
        <v>2996</v>
      </c>
      <c r="H478" s="715">
        <v>2</v>
      </c>
      <c r="I478" s="715"/>
      <c r="J478" s="712"/>
    </row>
    <row r="479" spans="2:12" ht="18" outlineLevel="1" x14ac:dyDescent="0.25">
      <c r="B479" s="711" t="s">
        <v>3040</v>
      </c>
      <c r="C479" s="712" t="s">
        <v>2792</v>
      </c>
      <c r="D479" s="712">
        <v>2.5000000000000002E-6</v>
      </c>
      <c r="E479" s="714" t="s">
        <v>1215</v>
      </c>
      <c r="F479" s="714" t="s">
        <v>1254</v>
      </c>
      <c r="G479" s="712" t="s">
        <v>2996</v>
      </c>
      <c r="H479" s="715">
        <v>2</v>
      </c>
      <c r="I479" s="715"/>
      <c r="J479" s="712" t="s">
        <v>2755</v>
      </c>
    </row>
    <row r="480" spans="2:12" ht="18" outlineLevel="1" x14ac:dyDescent="0.25">
      <c r="B480" s="711" t="s">
        <v>3041</v>
      </c>
      <c r="C480" s="712" t="s">
        <v>2793</v>
      </c>
      <c r="D480" s="712">
        <v>2.5000000000000002E-6</v>
      </c>
      <c r="E480" s="714" t="s">
        <v>1215</v>
      </c>
      <c r="F480" s="714" t="s">
        <v>1254</v>
      </c>
      <c r="G480" s="712" t="s">
        <v>2996</v>
      </c>
      <c r="H480" s="715">
        <v>2</v>
      </c>
      <c r="I480" s="715"/>
      <c r="J480" s="712" t="s">
        <v>2755</v>
      </c>
    </row>
    <row r="481" spans="2:10" ht="18" outlineLevel="1" x14ac:dyDescent="0.25">
      <c r="B481" s="711" t="s">
        <v>3008</v>
      </c>
      <c r="C481" s="712" t="s">
        <v>2762</v>
      </c>
      <c r="D481" s="712">
        <v>2.0000000000000002E-5</v>
      </c>
      <c r="E481" s="714" t="s">
        <v>1215</v>
      </c>
      <c r="F481" s="714" t="s">
        <v>1254</v>
      </c>
      <c r="G481" s="712" t="s">
        <v>2996</v>
      </c>
      <c r="H481" s="715">
        <v>2</v>
      </c>
      <c r="I481" s="715"/>
      <c r="J481" s="712" t="s">
        <v>2763</v>
      </c>
    </row>
    <row r="482" spans="2:10" ht="18" outlineLevel="1" x14ac:dyDescent="0.25">
      <c r="B482" s="711" t="s">
        <v>3009</v>
      </c>
      <c r="C482" s="712" t="s">
        <v>2762</v>
      </c>
      <c r="D482" s="712">
        <v>2.0000000000000002E-5</v>
      </c>
      <c r="E482" s="714" t="s">
        <v>1215</v>
      </c>
      <c r="F482" s="714" t="s">
        <v>1254</v>
      </c>
      <c r="G482" s="712" t="s">
        <v>2996</v>
      </c>
      <c r="H482" s="715">
        <v>2</v>
      </c>
      <c r="I482" s="715"/>
      <c r="J482" s="712" t="s">
        <v>2763</v>
      </c>
    </row>
    <row r="483" spans="2:10" ht="18" outlineLevel="1" x14ac:dyDescent="0.25">
      <c r="B483" s="711" t="s">
        <v>3010</v>
      </c>
      <c r="C483" s="712" t="s">
        <v>2762</v>
      </c>
      <c r="D483" s="712">
        <v>2.0000000000000002E-5</v>
      </c>
      <c r="E483" s="714" t="s">
        <v>1215</v>
      </c>
      <c r="F483" s="714" t="s">
        <v>1254</v>
      </c>
      <c r="G483" s="712" t="s">
        <v>2996</v>
      </c>
      <c r="H483" s="715">
        <v>2</v>
      </c>
      <c r="I483" s="715"/>
      <c r="J483" s="712" t="s">
        <v>2763</v>
      </c>
    </row>
    <row r="484" spans="2:10" ht="18" outlineLevel="1" x14ac:dyDescent="0.25">
      <c r="B484" s="711" t="s">
        <v>3011</v>
      </c>
      <c r="C484" s="712" t="s">
        <v>2764</v>
      </c>
      <c r="D484" s="712">
        <v>2.0000000000000002E-5</v>
      </c>
      <c r="E484" s="714" t="s">
        <v>1215</v>
      </c>
      <c r="F484" s="714" t="s">
        <v>2740</v>
      </c>
      <c r="G484" s="712" t="s">
        <v>2996</v>
      </c>
      <c r="H484" s="715">
        <v>2</v>
      </c>
      <c r="I484" s="715"/>
      <c r="J484" s="712" t="s">
        <v>2765</v>
      </c>
    </row>
    <row r="485" spans="2:10" ht="18" outlineLevel="1" x14ac:dyDescent="0.25">
      <c r="B485" s="711" t="s">
        <v>3012</v>
      </c>
      <c r="C485" s="712" t="s">
        <v>2766</v>
      </c>
      <c r="D485" s="712">
        <v>1.0000000000000001E-5</v>
      </c>
      <c r="E485" s="714" t="s">
        <v>1215</v>
      </c>
      <c r="F485" s="714" t="s">
        <v>2740</v>
      </c>
      <c r="G485" s="712" t="s">
        <v>2996</v>
      </c>
      <c r="H485" s="715">
        <v>2</v>
      </c>
      <c r="I485" s="715"/>
      <c r="J485" s="712" t="s">
        <v>2755</v>
      </c>
    </row>
    <row r="486" spans="2:10" ht="18" outlineLevel="1" x14ac:dyDescent="0.25">
      <c r="B486" s="711" t="s">
        <v>3013</v>
      </c>
      <c r="C486" s="712" t="s">
        <v>2767</v>
      </c>
      <c r="D486" s="712">
        <v>1.24E-5</v>
      </c>
      <c r="E486" s="714" t="s">
        <v>1215</v>
      </c>
      <c r="F486" s="714" t="s">
        <v>2740</v>
      </c>
      <c r="G486" s="712" t="s">
        <v>2996</v>
      </c>
      <c r="H486" s="715">
        <v>2</v>
      </c>
      <c r="I486" s="715"/>
      <c r="J486" s="712" t="s">
        <v>2755</v>
      </c>
    </row>
    <row r="487" spans="2:10" ht="18" outlineLevel="1" x14ac:dyDescent="0.25">
      <c r="B487" s="711" t="s">
        <v>3014</v>
      </c>
      <c r="C487" s="712" t="s">
        <v>2768</v>
      </c>
      <c r="D487" s="712">
        <v>1.9000000000000001E-5</v>
      </c>
      <c r="E487" s="714" t="s">
        <v>1215</v>
      </c>
      <c r="F487" s="714" t="s">
        <v>2740</v>
      </c>
      <c r="G487" s="712" t="s">
        <v>2996</v>
      </c>
      <c r="H487" s="715">
        <v>2</v>
      </c>
      <c r="I487" s="715"/>
      <c r="J487" s="712" t="s">
        <v>2769</v>
      </c>
    </row>
    <row r="488" spans="2:10" ht="18" outlineLevel="1" x14ac:dyDescent="0.25">
      <c r="B488" s="711" t="s">
        <v>3015</v>
      </c>
      <c r="C488" s="712" t="s">
        <v>2770</v>
      </c>
      <c r="D488" s="712">
        <v>1.24E-5</v>
      </c>
      <c r="E488" s="714" t="s">
        <v>1215</v>
      </c>
      <c r="F488" s="714" t="s">
        <v>2740</v>
      </c>
      <c r="G488" s="712" t="s">
        <v>2996</v>
      </c>
      <c r="H488" s="715">
        <v>2</v>
      </c>
      <c r="I488" s="715"/>
      <c r="J488" s="712" t="s">
        <v>2771</v>
      </c>
    </row>
    <row r="489" spans="2:10" ht="18" outlineLevel="1" x14ac:dyDescent="0.25">
      <c r="B489" s="711" t="s">
        <v>3016</v>
      </c>
      <c r="C489" s="712" t="s">
        <v>2772</v>
      </c>
      <c r="D489" s="712">
        <v>1.24E-5</v>
      </c>
      <c r="E489" s="714" t="s">
        <v>1215</v>
      </c>
      <c r="F489" s="714" t="s">
        <v>2740</v>
      </c>
      <c r="G489" s="712" t="s">
        <v>2996</v>
      </c>
      <c r="H489" s="715">
        <v>2</v>
      </c>
      <c r="I489" s="715"/>
      <c r="J489" s="712" t="s">
        <v>2771</v>
      </c>
    </row>
    <row r="490" spans="2:10" ht="18" outlineLevel="1" x14ac:dyDescent="0.25">
      <c r="B490" s="711" t="s">
        <v>3017</v>
      </c>
      <c r="C490" s="712" t="s">
        <v>2761</v>
      </c>
      <c r="D490" s="712">
        <v>1.0000000000000001E-5</v>
      </c>
      <c r="E490" s="714" t="s">
        <v>1215</v>
      </c>
      <c r="F490" s="714" t="s">
        <v>2740</v>
      </c>
      <c r="G490" s="712" t="s">
        <v>2996</v>
      </c>
      <c r="H490" s="715">
        <v>2</v>
      </c>
      <c r="I490" s="715"/>
      <c r="J490" s="712" t="s">
        <v>2755</v>
      </c>
    </row>
    <row r="491" spans="2:10" ht="18" outlineLevel="1" x14ac:dyDescent="0.25">
      <c r="B491" s="711" t="s">
        <v>3018</v>
      </c>
      <c r="C491" s="712" t="s">
        <v>2766</v>
      </c>
      <c r="D491" s="712">
        <v>1.0000000000000001E-5</v>
      </c>
      <c r="E491" s="714" t="s">
        <v>1215</v>
      </c>
      <c r="F491" s="714" t="s">
        <v>1254</v>
      </c>
      <c r="G491" s="712" t="s">
        <v>2996</v>
      </c>
      <c r="H491" s="715">
        <v>2</v>
      </c>
      <c r="I491" s="715"/>
      <c r="J491" s="712"/>
    </row>
    <row r="492" spans="2:10" ht="18" outlineLevel="1" x14ac:dyDescent="0.25">
      <c r="B492" s="711" t="s">
        <v>3722</v>
      </c>
      <c r="C492" s="712" t="s">
        <v>3723</v>
      </c>
      <c r="D492" s="712">
        <v>1.0000000000000001E-5</v>
      </c>
      <c r="E492" s="714" t="s">
        <v>1215</v>
      </c>
      <c r="F492" s="714" t="s">
        <v>2740</v>
      </c>
      <c r="G492" s="712" t="s">
        <v>2996</v>
      </c>
      <c r="H492" s="715">
        <v>2</v>
      </c>
      <c r="I492" s="715"/>
      <c r="J492" s="712"/>
    </row>
    <row r="493" spans="2:10" ht="18" outlineLevel="1" x14ac:dyDescent="0.25">
      <c r="B493" s="711" t="s">
        <v>3020</v>
      </c>
      <c r="C493" s="712" t="s">
        <v>2774</v>
      </c>
      <c r="D493" s="712">
        <v>1.0000000000000001E-5</v>
      </c>
      <c r="E493" s="714" t="s">
        <v>1215</v>
      </c>
      <c r="F493" s="714" t="s">
        <v>2740</v>
      </c>
      <c r="G493" s="712" t="s">
        <v>2996</v>
      </c>
      <c r="H493" s="715">
        <v>2</v>
      </c>
      <c r="I493" s="715"/>
      <c r="J493" s="712"/>
    </row>
    <row r="494" spans="2:10" ht="18" outlineLevel="1" x14ac:dyDescent="0.25">
      <c r="B494" s="711" t="s">
        <v>3019</v>
      </c>
      <c r="C494" s="712" t="s">
        <v>2773</v>
      </c>
      <c r="D494" s="712">
        <v>1.0000000000000001E-5</v>
      </c>
      <c r="E494" s="714" t="s">
        <v>1215</v>
      </c>
      <c r="F494" s="714" t="s">
        <v>2740</v>
      </c>
      <c r="G494" s="712" t="s">
        <v>2996</v>
      </c>
      <c r="H494" s="715">
        <v>2</v>
      </c>
      <c r="I494" s="715"/>
      <c r="J494" s="712"/>
    </row>
    <row r="495" spans="2:10" ht="18" outlineLevel="1" x14ac:dyDescent="0.25">
      <c r="B495" s="711" t="s">
        <v>3724</v>
      </c>
      <c r="C495" s="712" t="s">
        <v>2766</v>
      </c>
      <c r="D495" s="712">
        <v>1.0000000000000001E-5</v>
      </c>
      <c r="E495" s="714" t="s">
        <v>1215</v>
      </c>
      <c r="F495" s="714" t="s">
        <v>1254</v>
      </c>
      <c r="G495" s="712" t="s">
        <v>2996</v>
      </c>
      <c r="H495" s="715">
        <v>2</v>
      </c>
      <c r="I495" s="715"/>
      <c r="J495" s="712"/>
    </row>
    <row r="496" spans="2:10" ht="18" outlineLevel="1" x14ac:dyDescent="0.25">
      <c r="B496" s="711" t="s">
        <v>3725</v>
      </c>
      <c r="C496" s="712" t="s">
        <v>3726</v>
      </c>
      <c r="D496" s="712">
        <v>1.0000000000000001E-5</v>
      </c>
      <c r="E496" s="714" t="s">
        <v>1215</v>
      </c>
      <c r="F496" s="714" t="s">
        <v>2740</v>
      </c>
      <c r="G496" s="712" t="s">
        <v>2996</v>
      </c>
      <c r="H496" s="715">
        <v>2</v>
      </c>
      <c r="I496" s="715"/>
      <c r="J496" s="712"/>
    </row>
    <row r="497" spans="2:10" ht="18" outlineLevel="1" x14ac:dyDescent="0.25">
      <c r="B497" s="711" t="s">
        <v>3021</v>
      </c>
      <c r="C497" s="712" t="s">
        <v>2775</v>
      </c>
      <c r="D497" s="712">
        <v>1.24E-5</v>
      </c>
      <c r="E497" s="714" t="s">
        <v>1215</v>
      </c>
      <c r="F497" s="714" t="s">
        <v>1254</v>
      </c>
      <c r="G497" s="712" t="s">
        <v>2996</v>
      </c>
      <c r="H497" s="715">
        <v>2</v>
      </c>
      <c r="I497" s="715"/>
      <c r="J497" s="712" t="s">
        <v>2771</v>
      </c>
    </row>
    <row r="498" spans="2:10" ht="18" outlineLevel="1" x14ac:dyDescent="0.25">
      <c r="B498" s="711" t="s">
        <v>3022</v>
      </c>
      <c r="C498" s="712" t="s">
        <v>2775</v>
      </c>
      <c r="D498" s="712">
        <v>1.24E-5</v>
      </c>
      <c r="E498" s="714" t="s">
        <v>1215</v>
      </c>
      <c r="F498" s="714" t="s">
        <v>1254</v>
      </c>
      <c r="G498" s="712" t="s">
        <v>2996</v>
      </c>
      <c r="H498" s="715">
        <v>2</v>
      </c>
      <c r="I498" s="715"/>
      <c r="J498" s="712" t="s">
        <v>2771</v>
      </c>
    </row>
    <row r="499" spans="2:10" ht="18" outlineLevel="1" x14ac:dyDescent="0.25">
      <c r="B499" s="711" t="s">
        <v>3023</v>
      </c>
      <c r="C499" s="712" t="s">
        <v>2767</v>
      </c>
      <c r="D499" s="712">
        <v>1.24E-5</v>
      </c>
      <c r="E499" s="714" t="s">
        <v>1215</v>
      </c>
      <c r="F499" s="714" t="s">
        <v>1254</v>
      </c>
      <c r="G499" s="712" t="s">
        <v>2996</v>
      </c>
      <c r="H499" s="715">
        <v>2</v>
      </c>
      <c r="I499" s="715"/>
      <c r="J499" s="712" t="s">
        <v>2755</v>
      </c>
    </row>
    <row r="500" spans="2:10" ht="18" outlineLevel="1" x14ac:dyDescent="0.25">
      <c r="B500" s="711" t="s">
        <v>3024</v>
      </c>
      <c r="C500" s="712" t="s">
        <v>2767</v>
      </c>
      <c r="D500" s="712">
        <v>1.24E-5</v>
      </c>
      <c r="E500" s="714" t="s">
        <v>1215</v>
      </c>
      <c r="F500" s="714" t="s">
        <v>1254</v>
      </c>
      <c r="G500" s="712" t="s">
        <v>2996</v>
      </c>
      <c r="H500" s="715">
        <v>2</v>
      </c>
      <c r="I500" s="715"/>
      <c r="J500" s="712" t="s">
        <v>2755</v>
      </c>
    </row>
    <row r="501" spans="2:10" ht="18" outlineLevel="1" x14ac:dyDescent="0.25">
      <c r="B501" s="711" t="s">
        <v>3025</v>
      </c>
      <c r="C501" s="712" t="s">
        <v>2776</v>
      </c>
      <c r="D501" s="712">
        <v>1.24E-5</v>
      </c>
      <c r="E501" s="714" t="s">
        <v>1215</v>
      </c>
      <c r="F501" s="714" t="s">
        <v>1254</v>
      </c>
      <c r="G501" s="712" t="s">
        <v>2996</v>
      </c>
      <c r="H501" s="715">
        <v>2</v>
      </c>
      <c r="I501" s="715"/>
      <c r="J501" s="712" t="s">
        <v>2771</v>
      </c>
    </row>
    <row r="502" spans="2:10" ht="18" outlineLevel="1" x14ac:dyDescent="0.25">
      <c r="B502" s="711" t="s">
        <v>3026</v>
      </c>
      <c r="C502" s="712" t="s">
        <v>2777</v>
      </c>
      <c r="D502" s="712">
        <v>2.5000000000000001E-5</v>
      </c>
      <c r="E502" s="714" t="s">
        <v>1215</v>
      </c>
      <c r="F502" s="714" t="s">
        <v>1254</v>
      </c>
      <c r="G502" s="712" t="s">
        <v>2996</v>
      </c>
      <c r="H502" s="715">
        <v>2</v>
      </c>
      <c r="I502" s="715"/>
      <c r="J502" s="712" t="s">
        <v>2778</v>
      </c>
    </row>
    <row r="503" spans="2:10" ht="18" outlineLevel="1" x14ac:dyDescent="0.25">
      <c r="B503" s="711" t="s">
        <v>3727</v>
      </c>
      <c r="C503" s="712" t="s">
        <v>2777</v>
      </c>
      <c r="D503" s="712">
        <v>2.5000000000000001E-5</v>
      </c>
      <c r="E503" s="714" t="s">
        <v>1215</v>
      </c>
      <c r="F503" s="714" t="s">
        <v>1254</v>
      </c>
      <c r="G503" s="712" t="s">
        <v>2996</v>
      </c>
      <c r="H503" s="715">
        <v>2</v>
      </c>
      <c r="I503" s="715"/>
      <c r="J503" s="712" t="s">
        <v>2778</v>
      </c>
    </row>
    <row r="504" spans="2:10" ht="18" outlineLevel="1" x14ac:dyDescent="0.25">
      <c r="B504" s="711" t="s">
        <v>3027</v>
      </c>
      <c r="C504" s="712" t="s">
        <v>2779</v>
      </c>
      <c r="D504" s="712">
        <v>2.5000000000000001E-5</v>
      </c>
      <c r="E504" s="714" t="s">
        <v>1215</v>
      </c>
      <c r="F504" s="714" t="s">
        <v>1254</v>
      </c>
      <c r="G504" s="712" t="s">
        <v>2996</v>
      </c>
      <c r="H504" s="715">
        <v>2</v>
      </c>
      <c r="I504" s="715"/>
      <c r="J504" s="712" t="s">
        <v>2755</v>
      </c>
    </row>
    <row r="505" spans="2:10" ht="18" outlineLevel="1" x14ac:dyDescent="0.25">
      <c r="B505" s="711" t="s">
        <v>3028</v>
      </c>
      <c r="C505" s="712" t="s">
        <v>2780</v>
      </c>
      <c r="D505" s="712">
        <v>2.5000000000000001E-5</v>
      </c>
      <c r="E505" s="714" t="s">
        <v>1215</v>
      </c>
      <c r="F505" s="714" t="s">
        <v>1254</v>
      </c>
      <c r="G505" s="712" t="s">
        <v>2996</v>
      </c>
      <c r="H505" s="715">
        <v>2</v>
      </c>
      <c r="I505" s="715"/>
      <c r="J505" s="712" t="s">
        <v>2755</v>
      </c>
    </row>
    <row r="506" spans="2:10" ht="18" outlineLevel="1" x14ac:dyDescent="0.25">
      <c r="B506" s="711" t="s">
        <v>3029</v>
      </c>
      <c r="C506" s="712" t="s">
        <v>2781</v>
      </c>
      <c r="D506" s="712">
        <v>1.0000000000000001E-5</v>
      </c>
      <c r="E506" s="714" t="s">
        <v>1215</v>
      </c>
      <c r="F506" s="714" t="s">
        <v>1254</v>
      </c>
      <c r="G506" s="712" t="s">
        <v>2996</v>
      </c>
      <c r="H506" s="715">
        <v>2</v>
      </c>
      <c r="I506" s="715"/>
      <c r="J506" s="712" t="s">
        <v>2755</v>
      </c>
    </row>
    <row r="507" spans="2:10" ht="18" outlineLevel="1" x14ac:dyDescent="0.25">
      <c r="B507" s="711" t="s">
        <v>3030</v>
      </c>
      <c r="C507" s="712" t="s">
        <v>2782</v>
      </c>
      <c r="D507" s="712">
        <v>1.9000000000000001E-5</v>
      </c>
      <c r="E507" s="714" t="s">
        <v>1215</v>
      </c>
      <c r="F507" s="714" t="s">
        <v>1254</v>
      </c>
      <c r="G507" s="712" t="s">
        <v>2996</v>
      </c>
      <c r="H507" s="715">
        <v>2</v>
      </c>
      <c r="I507" s="715"/>
      <c r="J507" s="712" t="s">
        <v>2755</v>
      </c>
    </row>
    <row r="508" spans="2:10" ht="18" outlineLevel="1" x14ac:dyDescent="0.25">
      <c r="B508" s="711" t="s">
        <v>3031</v>
      </c>
      <c r="C508" s="712" t="s">
        <v>2783</v>
      </c>
      <c r="D508" s="712">
        <v>1.9000000000000001E-5</v>
      </c>
      <c r="E508" s="714" t="s">
        <v>1215</v>
      </c>
      <c r="F508" s="714" t="s">
        <v>1254</v>
      </c>
      <c r="G508" s="712" t="s">
        <v>2996</v>
      </c>
      <c r="H508" s="715">
        <v>2</v>
      </c>
      <c r="I508" s="715"/>
      <c r="J508" s="712" t="s">
        <v>2755</v>
      </c>
    </row>
    <row r="509" spans="2:10" ht="18" outlineLevel="1" x14ac:dyDescent="0.25">
      <c r="B509" s="711" t="s">
        <v>3032</v>
      </c>
      <c r="C509" s="712" t="s">
        <v>2784</v>
      </c>
      <c r="D509" s="712">
        <v>1.9000000000000001E-5</v>
      </c>
      <c r="E509" s="714" t="s">
        <v>1215</v>
      </c>
      <c r="F509" s="714" t="s">
        <v>1254</v>
      </c>
      <c r="G509" s="712" t="s">
        <v>2996</v>
      </c>
      <c r="H509" s="715">
        <v>2</v>
      </c>
      <c r="I509" s="715"/>
      <c r="J509" s="712" t="s">
        <v>2755</v>
      </c>
    </row>
    <row r="510" spans="2:10" ht="18" outlineLevel="1" x14ac:dyDescent="0.25">
      <c r="B510" s="711" t="s">
        <v>3033</v>
      </c>
      <c r="C510" s="712" t="s">
        <v>2785</v>
      </c>
      <c r="D510" s="712">
        <v>1.9000000000000001E-5</v>
      </c>
      <c r="E510" s="714" t="s">
        <v>1215</v>
      </c>
      <c r="F510" s="714" t="s">
        <v>1254</v>
      </c>
      <c r="G510" s="712" t="s">
        <v>2996</v>
      </c>
      <c r="H510" s="715">
        <v>2</v>
      </c>
      <c r="I510" s="715"/>
      <c r="J510" s="712" t="s">
        <v>2755</v>
      </c>
    </row>
    <row r="511" spans="2:10" ht="18" outlineLevel="1" x14ac:dyDescent="0.25">
      <c r="B511" s="711" t="s">
        <v>3034</v>
      </c>
      <c r="C511" s="712" t="s">
        <v>2786</v>
      </c>
      <c r="D511" s="712">
        <v>1.9000000000000001E-5</v>
      </c>
      <c r="E511" s="714" t="s">
        <v>1215</v>
      </c>
      <c r="F511" s="714" t="s">
        <v>1254</v>
      </c>
      <c r="G511" s="712" t="s">
        <v>2996</v>
      </c>
      <c r="H511" s="715">
        <v>2</v>
      </c>
      <c r="I511" s="715"/>
      <c r="J511" s="712" t="s">
        <v>2755</v>
      </c>
    </row>
    <row r="512" spans="2:10" ht="18" outlineLevel="1" x14ac:dyDescent="0.25">
      <c r="B512" s="711" t="s">
        <v>3035</v>
      </c>
      <c r="C512" s="712" t="s">
        <v>2787</v>
      </c>
      <c r="D512" s="712">
        <v>1.9000000000000001E-5</v>
      </c>
      <c r="E512" s="714" t="s">
        <v>1215</v>
      </c>
      <c r="F512" s="714" t="s">
        <v>1254</v>
      </c>
      <c r="G512" s="712" t="s">
        <v>2996</v>
      </c>
      <c r="H512" s="715">
        <v>2</v>
      </c>
      <c r="I512" s="715"/>
      <c r="J512" s="712" t="s">
        <v>2755</v>
      </c>
    </row>
    <row r="513" spans="2:10" ht="18" outlineLevel="1" x14ac:dyDescent="0.25">
      <c r="B513" s="711" t="s">
        <v>3036</v>
      </c>
      <c r="C513" s="712" t="s">
        <v>2788</v>
      </c>
      <c r="D513" s="712">
        <v>1.9000000000000001E-5</v>
      </c>
      <c r="E513" s="714" t="s">
        <v>1215</v>
      </c>
      <c r="F513" s="714" t="s">
        <v>1254</v>
      </c>
      <c r="G513" s="712" t="s">
        <v>2996</v>
      </c>
      <c r="H513" s="715">
        <v>2</v>
      </c>
      <c r="I513" s="715"/>
      <c r="J513" s="712" t="s">
        <v>2755</v>
      </c>
    </row>
    <row r="514" spans="2:10" ht="18" outlineLevel="1" x14ac:dyDescent="0.25">
      <c r="B514" s="711" t="s">
        <v>3037</v>
      </c>
      <c r="C514" s="712" t="s">
        <v>2789</v>
      </c>
      <c r="D514" s="712">
        <v>1.9000000000000001E-5</v>
      </c>
      <c r="E514" s="714" t="s">
        <v>1215</v>
      </c>
      <c r="F514" s="714" t="s">
        <v>1254</v>
      </c>
      <c r="G514" s="712" t="s">
        <v>2996</v>
      </c>
      <c r="H514" s="715">
        <v>2</v>
      </c>
      <c r="I514" s="715"/>
      <c r="J514" s="712" t="s">
        <v>2755</v>
      </c>
    </row>
    <row r="515" spans="2:10" ht="18" outlineLevel="1" x14ac:dyDescent="0.25">
      <c r="B515" s="711" t="s">
        <v>3038</v>
      </c>
      <c r="C515" s="712" t="s">
        <v>2790</v>
      </c>
      <c r="D515" s="712">
        <v>1.0000000000000001E-5</v>
      </c>
      <c r="E515" s="714" t="s">
        <v>1215</v>
      </c>
      <c r="F515" s="714" t="s">
        <v>2740</v>
      </c>
      <c r="G515" s="712" t="s">
        <v>2996</v>
      </c>
      <c r="H515" s="715"/>
      <c r="I515" s="715"/>
      <c r="J515" s="712"/>
    </row>
    <row r="516" spans="2:10" ht="18" outlineLevel="1" x14ac:dyDescent="0.25">
      <c r="B516" s="711" t="s">
        <v>3728</v>
      </c>
      <c r="C516" s="712" t="s">
        <v>2790</v>
      </c>
      <c r="D516" s="712">
        <v>1.0000000000000001E-5</v>
      </c>
      <c r="E516" s="714" t="s">
        <v>1215</v>
      </c>
      <c r="F516" s="714" t="s">
        <v>2740</v>
      </c>
      <c r="G516" s="712" t="s">
        <v>2996</v>
      </c>
      <c r="H516" s="715"/>
      <c r="I516" s="715"/>
      <c r="J516" s="712"/>
    </row>
    <row r="517" spans="2:10" ht="18" outlineLevel="1" x14ac:dyDescent="0.25">
      <c r="B517" s="711" t="s">
        <v>3039</v>
      </c>
      <c r="C517" s="712" t="s">
        <v>2791</v>
      </c>
      <c r="D517" s="712">
        <v>1.9000000000000001E-5</v>
      </c>
      <c r="E517" s="714" t="s">
        <v>1215</v>
      </c>
      <c r="F517" s="714" t="s">
        <v>2740</v>
      </c>
      <c r="G517" s="712" t="s">
        <v>2996</v>
      </c>
      <c r="H517" s="715">
        <v>2</v>
      </c>
      <c r="I517" s="715"/>
      <c r="J517" s="712" t="s">
        <v>2755</v>
      </c>
    </row>
  </sheetData>
  <conditionalFormatting sqref="E46:F46 E504:F515 E517:F517 E497:F502 E466:F472 E402:F426 E474:F494 E56:F56">
    <cfRule type="cellIs" dxfId="77" priority="65" stopIfTrue="1" operator="notEqual">
      <formula>INDIRECT("Dummy_for_Comparison3!"&amp;ADDRESS(ROW(),COLUMN()))</formula>
    </cfRule>
  </conditionalFormatting>
  <conditionalFormatting sqref="E6:F21 E26:F29 E38:F42 E47:F52 E61:F70 E79:F195 E200:F208 E213:F216 E282:F289 E314:F315 E325:F339 E344:F348 E361:F362 E435:F442 E384:F385 E258:F262 E389:F391 E379:F380 E364:F365 E377:F377 E220:F238 E252:F255 E387:F387 E265:F267 E247:F250 E269:F277 E240:F245 E33:F33 E317:F320 E368:F373 E446:F462">
    <cfRule type="cellIs" dxfId="76" priority="68" stopIfTrue="1" operator="notEqual">
      <formula>INDIRECT("Dummy_for_Comparison3!"&amp;ADDRESS(ROW(),COLUMN()))</formula>
    </cfRule>
  </conditionalFormatting>
  <conditionalFormatting sqref="E25:F25">
    <cfRule type="cellIs" dxfId="75" priority="67" stopIfTrue="1" operator="notEqual">
      <formula>INDIRECT("Dummy_for_Comparison3!"&amp;ADDRESS(ROW(),COLUMN()))</formula>
    </cfRule>
  </conditionalFormatting>
  <conditionalFormatting sqref="E37:F37">
    <cfRule type="cellIs" dxfId="74" priority="66" stopIfTrue="1" operator="notEqual">
      <formula>INDIRECT("Dummy_for_Comparison3!"&amp;ADDRESS(ROW(),COLUMN()))</formula>
    </cfRule>
  </conditionalFormatting>
  <conditionalFormatting sqref="E60:F60">
    <cfRule type="cellIs" dxfId="73" priority="63" stopIfTrue="1" operator="notEqual">
      <formula>INDIRECT("Dummy_for_Comparison3!"&amp;ADDRESS(ROW(),COLUMN()))</formula>
    </cfRule>
  </conditionalFormatting>
  <conditionalFormatting sqref="E74:F74">
    <cfRule type="cellIs" dxfId="72" priority="62" stopIfTrue="1" operator="notEqual">
      <formula>INDIRECT("Dummy_for_Comparison3!"&amp;ADDRESS(ROW(),COLUMN()))</formula>
    </cfRule>
  </conditionalFormatting>
  <conditionalFormatting sqref="E78:F78">
    <cfRule type="cellIs" dxfId="71" priority="61" stopIfTrue="1" operator="notEqual">
      <formula>INDIRECT("Dummy_for_Comparison3!"&amp;ADDRESS(ROW(),COLUMN()))</formula>
    </cfRule>
  </conditionalFormatting>
  <conditionalFormatting sqref="E199:F199">
    <cfRule type="cellIs" dxfId="70" priority="60" stopIfTrue="1" operator="notEqual">
      <formula>INDIRECT("Dummy_for_Comparison3!"&amp;ADDRESS(ROW(),COLUMN()))</formula>
    </cfRule>
  </conditionalFormatting>
  <conditionalFormatting sqref="E212:F212">
    <cfRule type="cellIs" dxfId="69" priority="59" stopIfTrue="1" operator="notEqual">
      <formula>INDIRECT("Dummy_for_Comparison3!"&amp;ADDRESS(ROW(),COLUMN()))</formula>
    </cfRule>
  </conditionalFormatting>
  <conditionalFormatting sqref="E281:F281">
    <cfRule type="cellIs" dxfId="68" priority="58" stopIfTrue="1" operator="notEqual">
      <formula>INDIRECT("Dummy_for_Comparison3!"&amp;ADDRESS(ROW(),COLUMN()))</formula>
    </cfRule>
  </conditionalFormatting>
  <conditionalFormatting sqref="E313:F313">
    <cfRule type="cellIs" dxfId="67" priority="57" stopIfTrue="1" operator="notEqual">
      <formula>INDIRECT("Dummy_for_Comparison3!"&amp;ADDRESS(ROW(),COLUMN()))</formula>
    </cfRule>
  </conditionalFormatting>
  <conditionalFormatting sqref="E324:F324">
    <cfRule type="cellIs" dxfId="66" priority="56" stopIfTrue="1" operator="notEqual">
      <formula>INDIRECT("Dummy_for_Comparison3!"&amp;ADDRESS(ROW(),COLUMN()))</formula>
    </cfRule>
  </conditionalFormatting>
  <conditionalFormatting sqref="E343:F343">
    <cfRule type="cellIs" dxfId="65" priority="55" stopIfTrue="1" operator="notEqual">
      <formula>INDIRECT("Dummy_for_Comparison3!"&amp;ADDRESS(ROW(),COLUMN()))</formula>
    </cfRule>
  </conditionalFormatting>
  <conditionalFormatting sqref="E352:F352">
    <cfRule type="cellIs" dxfId="64" priority="54" stopIfTrue="1" operator="notEqual">
      <formula>INDIRECT("Dummy_for_Comparison3!"&amp;ADDRESS(ROW(),COLUMN()))</formula>
    </cfRule>
  </conditionalFormatting>
  <conditionalFormatting sqref="E356:F356">
    <cfRule type="cellIs" dxfId="63" priority="53" stopIfTrue="1" operator="notEqual">
      <formula>INDIRECT("Dummy_for_Comparison3!"&amp;ADDRESS(ROW(),COLUMN()))</formula>
    </cfRule>
  </conditionalFormatting>
  <conditionalFormatting sqref="E360:F360">
    <cfRule type="cellIs" dxfId="62" priority="52" stopIfTrue="1" operator="notEqual">
      <formula>INDIRECT("Dummy_for_Comparison3!"&amp;ADDRESS(ROW(),COLUMN()))</formula>
    </cfRule>
  </conditionalFormatting>
  <conditionalFormatting sqref="E401:F401">
    <cfRule type="cellIs" dxfId="61" priority="51" stopIfTrue="1" operator="notEqual">
      <formula>INDIRECT("Dummy_for_Comparison3!"&amp;ADDRESS(ROW(),COLUMN()))</formula>
    </cfRule>
  </conditionalFormatting>
  <conditionalFormatting sqref="E430:F430">
    <cfRule type="cellIs" dxfId="60" priority="50" stopIfTrue="1" operator="notEqual">
      <formula>INDIRECT("Dummy_for_Comparison3!"&amp;ADDRESS(ROW(),COLUMN()))</formula>
    </cfRule>
  </conditionalFormatting>
  <conditionalFormatting sqref="E434:F434">
    <cfRule type="cellIs" dxfId="59" priority="49" stopIfTrue="1" operator="notEqual">
      <formula>INDIRECT("Dummy_for_Comparison3!"&amp;ADDRESS(ROW(),COLUMN()))</formula>
    </cfRule>
  </conditionalFormatting>
  <conditionalFormatting sqref="E256:F256">
    <cfRule type="cellIs" dxfId="58" priority="48" stopIfTrue="1" operator="notEqual">
      <formula>INDIRECT("Dummy_for_Comparison3!"&amp;ADDRESS(ROW(),COLUMN()))</formula>
    </cfRule>
  </conditionalFormatting>
  <conditionalFormatting sqref="E5:F5">
    <cfRule type="cellIs" dxfId="57" priority="47" stopIfTrue="1" operator="notEqual">
      <formula>INDIRECT("Dummy_for_Comparison3!"&amp;ADDRESS(ROW(),COLUMN()))</formula>
    </cfRule>
  </conditionalFormatting>
  <conditionalFormatting sqref="E4:F4">
    <cfRule type="cellIs" dxfId="56" priority="46" stopIfTrue="1" operator="notEqual">
      <formula>INDIRECT("Dummy_for_Comparison3!"&amp;ADDRESS(ROW(),COLUMN()))</formula>
    </cfRule>
  </conditionalFormatting>
  <conditionalFormatting sqref="E393:F393">
    <cfRule type="cellIs" dxfId="55" priority="45" stopIfTrue="1" operator="notEqual">
      <formula>INDIRECT("Dummy_for_Comparison3!"&amp;ADDRESS(ROW(),COLUMN()))</formula>
    </cfRule>
  </conditionalFormatting>
  <conditionalFormatting sqref="E392:F392">
    <cfRule type="cellIs" dxfId="54" priority="44" stopIfTrue="1" operator="notEqual">
      <formula>INDIRECT("Dummy_for_Comparison3!"&amp;ADDRESS(ROW(),COLUMN()))</formula>
    </cfRule>
  </conditionalFormatting>
  <conditionalFormatting sqref="E394:F394">
    <cfRule type="cellIs" dxfId="53" priority="43" stopIfTrue="1" operator="notEqual">
      <formula>INDIRECT("Dummy_for_Comparison3!"&amp;ADDRESS(ROW(),COLUMN()))</formula>
    </cfRule>
  </conditionalFormatting>
  <conditionalFormatting sqref="F396">
    <cfRule type="cellIs" dxfId="52" priority="42" stopIfTrue="1" operator="notEqual">
      <formula>INDIRECT("Dummy_for_Comparison3!"&amp;ADDRESS(ROW(),COLUMN()))</formula>
    </cfRule>
  </conditionalFormatting>
  <conditionalFormatting sqref="D396">
    <cfRule type="cellIs" dxfId="51" priority="41" stopIfTrue="1" operator="notEqual">
      <formula>INDIRECT("Dummy_for_Comparison3!"&amp;ADDRESS(ROW(),COLUMN()))</formula>
    </cfRule>
  </conditionalFormatting>
  <conditionalFormatting sqref="E397:F397">
    <cfRule type="cellIs" dxfId="50" priority="40" stopIfTrue="1" operator="notEqual">
      <formula>INDIRECT("Dummy_for_Comparison3!"&amp;ADDRESS(ROW(),COLUMN()))</formula>
    </cfRule>
  </conditionalFormatting>
  <conditionalFormatting sqref="E396">
    <cfRule type="cellIs" dxfId="49" priority="39" stopIfTrue="1" operator="notEqual">
      <formula>INDIRECT("Dummy_for_Comparison3!"&amp;ADDRESS(ROW(),COLUMN()))</formula>
    </cfRule>
  </conditionalFormatting>
  <conditionalFormatting sqref="E388:F388">
    <cfRule type="cellIs" dxfId="48" priority="38" stopIfTrue="1" operator="notEqual">
      <formula>INDIRECT("Dummy_for_Comparison3!"&amp;ADDRESS(ROW(),COLUMN()))</formula>
    </cfRule>
  </conditionalFormatting>
  <conditionalFormatting sqref="E378:F378">
    <cfRule type="cellIs" dxfId="47" priority="37" stopIfTrue="1" operator="notEqual">
      <formula>INDIRECT("Dummy_for_Comparison3!"&amp;ADDRESS(ROW(),COLUMN()))</formula>
    </cfRule>
  </conditionalFormatting>
  <conditionalFormatting sqref="E363:F363">
    <cfRule type="cellIs" dxfId="46" priority="36" stopIfTrue="1" operator="notEqual">
      <formula>INDIRECT("Dummy_for_Comparison3!"&amp;ADDRESS(ROW(),COLUMN()))</formula>
    </cfRule>
  </conditionalFormatting>
  <conditionalFormatting sqref="F395">
    <cfRule type="cellIs" dxfId="45" priority="35" stopIfTrue="1" operator="notEqual">
      <formula>INDIRECT("Dummy_for_Comparison3!"&amp;ADDRESS(ROW(),COLUMN()))</formula>
    </cfRule>
  </conditionalFormatting>
  <conditionalFormatting sqref="D395">
    <cfRule type="cellIs" dxfId="44" priority="34" stopIfTrue="1" operator="notEqual">
      <formula>INDIRECT("Dummy_for_Comparison3!"&amp;ADDRESS(ROW(),COLUMN()))</formula>
    </cfRule>
  </conditionalFormatting>
  <conditionalFormatting sqref="E395">
    <cfRule type="cellIs" dxfId="43" priority="33" stopIfTrue="1" operator="notEqual">
      <formula>INDIRECT("Dummy_for_Comparison3!"&amp;ADDRESS(ROW(),COLUMN()))</formula>
    </cfRule>
  </conditionalFormatting>
  <conditionalFormatting sqref="E257:F257">
    <cfRule type="cellIs" dxfId="42" priority="32" stopIfTrue="1" operator="notEqual">
      <formula>INDIRECT("Dummy_for_Comparison3!"&amp;ADDRESS(ROW(),COLUMN()))</formula>
    </cfRule>
  </conditionalFormatting>
  <conditionalFormatting sqref="E374:F374">
    <cfRule type="cellIs" dxfId="41" priority="31" stopIfTrue="1" operator="notEqual">
      <formula>INDIRECT("Dummy_for_Comparison3!"&amp;ADDRESS(ROW(),COLUMN()))</formula>
    </cfRule>
  </conditionalFormatting>
  <conditionalFormatting sqref="E375:F375">
    <cfRule type="cellIs" dxfId="40" priority="30" stopIfTrue="1" operator="notEqual">
      <formula>INDIRECT("Dummy_for_Comparison3!"&amp;ADDRESS(ROW(),COLUMN()))</formula>
    </cfRule>
  </conditionalFormatting>
  <conditionalFormatting sqref="E376:F376">
    <cfRule type="cellIs" dxfId="39" priority="29" stopIfTrue="1" operator="notEqual">
      <formula>INDIRECT("Dummy_for_Comparison3!"&amp;ADDRESS(ROW(),COLUMN()))</formula>
    </cfRule>
  </conditionalFormatting>
  <conditionalFormatting sqref="E503:F503">
    <cfRule type="cellIs" dxfId="38" priority="28" stopIfTrue="1" operator="notEqual">
      <formula>INDIRECT("Dummy_for_Comparison3!"&amp;ADDRESS(ROW(),COLUMN()))</formula>
    </cfRule>
  </conditionalFormatting>
  <conditionalFormatting sqref="E495:F495">
    <cfRule type="cellIs" dxfId="37" priority="27" stopIfTrue="1" operator="notEqual">
      <formula>INDIRECT("Dummy_for_Comparison3!"&amp;ADDRESS(ROW(),COLUMN()))</formula>
    </cfRule>
  </conditionalFormatting>
  <conditionalFormatting sqref="E516:F516">
    <cfRule type="cellIs" dxfId="36" priority="26" stopIfTrue="1" operator="notEqual">
      <formula>INDIRECT("Dummy_for_Comparison3!"&amp;ADDRESS(ROW(),COLUMN()))</formula>
    </cfRule>
  </conditionalFormatting>
  <conditionalFormatting sqref="E218:F218">
    <cfRule type="cellIs" dxfId="35" priority="23" stopIfTrue="1" operator="notEqual">
      <formula>INDIRECT("Dummy_for_Comparison3!"&amp;ADDRESS(ROW(),COLUMN()))</formula>
    </cfRule>
  </conditionalFormatting>
  <conditionalFormatting sqref="E219:F219">
    <cfRule type="cellIs" dxfId="34" priority="22" stopIfTrue="1" operator="notEqual">
      <formula>INDIRECT("Dummy_for_Comparison3!"&amp;ADDRESS(ROW(),COLUMN()))</formula>
    </cfRule>
  </conditionalFormatting>
  <conditionalFormatting sqref="E226:F226">
    <cfRule type="cellIs" dxfId="33" priority="21" stopIfTrue="1" operator="notEqual">
      <formula>INDIRECT("Dummy_for_Comparison3!"&amp;ADDRESS(ROW(),COLUMN()))</formula>
    </cfRule>
  </conditionalFormatting>
  <conditionalFormatting sqref="E251:F251">
    <cfRule type="cellIs" dxfId="32" priority="20" stopIfTrue="1" operator="notEqual">
      <formula>INDIRECT("Dummy_for_Comparison3!"&amp;ADDRESS(ROW(),COLUMN()))</formula>
    </cfRule>
  </conditionalFormatting>
  <conditionalFormatting sqref="E386:F386">
    <cfRule type="cellIs" dxfId="31" priority="19" stopIfTrue="1" operator="notEqual">
      <formula>INDIRECT("Dummy_for_Comparison3!"&amp;ADDRESS(ROW(),COLUMN()))</formula>
    </cfRule>
  </conditionalFormatting>
  <conditionalFormatting sqref="E227:F227">
    <cfRule type="cellIs" dxfId="30" priority="18" stopIfTrue="1" operator="notEqual">
      <formula>INDIRECT("Dummy_for_Comparison3!"&amp;ADDRESS(ROW(),COLUMN()))</formula>
    </cfRule>
  </conditionalFormatting>
  <conditionalFormatting sqref="E246:F246">
    <cfRule type="cellIs" dxfId="29" priority="17" stopIfTrue="1" operator="notEqual">
      <formula>INDIRECT("Dummy_for_Comparison3!"&amp;ADDRESS(ROW(),COLUMN()))</formula>
    </cfRule>
  </conditionalFormatting>
  <conditionalFormatting sqref="E239:F239">
    <cfRule type="cellIs" dxfId="28" priority="16" stopIfTrue="1" operator="notEqual">
      <formula>INDIRECT("Dummy_for_Comparison3!"&amp;ADDRESS(ROW(),COLUMN()))</formula>
    </cfRule>
  </conditionalFormatting>
  <conditionalFormatting sqref="E263:F263">
    <cfRule type="cellIs" dxfId="27" priority="15" stopIfTrue="1" operator="notEqual">
      <formula>INDIRECT("Dummy_for_Comparison3!"&amp;ADDRESS(ROW(),COLUMN()))</formula>
    </cfRule>
  </conditionalFormatting>
  <conditionalFormatting sqref="E264:F264">
    <cfRule type="cellIs" dxfId="26" priority="14" stopIfTrue="1" operator="notEqual">
      <formula>INDIRECT("Dummy_for_Comparison3!"&amp;ADDRESS(ROW(),COLUMN()))</formula>
    </cfRule>
  </conditionalFormatting>
  <conditionalFormatting sqref="E268:F268">
    <cfRule type="cellIs" dxfId="25" priority="13" stopIfTrue="1" operator="notEqual">
      <formula>INDIRECT("Dummy_for_Comparison3!"&amp;ADDRESS(ROW(),COLUMN()))</formula>
    </cfRule>
  </conditionalFormatting>
  <conditionalFormatting sqref="E30:F30">
    <cfRule type="cellIs" dxfId="24" priority="12" stopIfTrue="1" operator="notEqual">
      <formula>INDIRECT("Dummy_for_Comparison3!"&amp;ADDRESS(ROW(),COLUMN()))</formula>
    </cfRule>
  </conditionalFormatting>
  <conditionalFormatting sqref="E492:F494">
    <cfRule type="cellIs" dxfId="23" priority="11" stopIfTrue="1" operator="notEqual">
      <formula>INDIRECT("Dummy_for_Comparison3!"&amp;ADDRESS(ROW(),COLUMN()))</formula>
    </cfRule>
  </conditionalFormatting>
  <conditionalFormatting sqref="E496:F496">
    <cfRule type="cellIs" dxfId="22" priority="10" stopIfTrue="1" operator="notEqual">
      <formula>INDIRECT("Dummy_for_Comparison3!"&amp;ADDRESS(ROW(),COLUMN()))</formula>
    </cfRule>
  </conditionalFormatting>
  <conditionalFormatting sqref="E217:F217">
    <cfRule type="cellIs" dxfId="21" priority="9" stopIfTrue="1" operator="notEqual">
      <formula>INDIRECT("Dummy_for_Comparison3!"&amp;ADDRESS(ROW(),COLUMN()))</formula>
    </cfRule>
  </conditionalFormatting>
  <conditionalFormatting sqref="E316:F316">
    <cfRule type="cellIs" dxfId="20" priority="8" stopIfTrue="1" operator="notEqual">
      <formula>INDIRECT("Dummy_for_Comparison3!"&amp;ADDRESS(ROW(),COLUMN()))</formula>
    </cfRule>
  </conditionalFormatting>
  <conditionalFormatting sqref="E31:F32">
    <cfRule type="cellIs" dxfId="19" priority="7" stopIfTrue="1" operator="notEqual">
      <formula>INDIRECT("Dummy_for_Comparison3!"&amp;ADDRESS(ROW(),COLUMN()))</formula>
    </cfRule>
  </conditionalFormatting>
  <conditionalFormatting sqref="E367:F367">
    <cfRule type="cellIs" dxfId="18" priority="6" stopIfTrue="1" operator="notEqual">
      <formula>INDIRECT("Dummy_for_Comparison3!"&amp;ADDRESS(ROW(),COLUMN()))</formula>
    </cfRule>
  </conditionalFormatting>
  <conditionalFormatting sqref="E383:F383">
    <cfRule type="cellIs" dxfId="17" priority="5" stopIfTrue="1" operator="notEqual">
      <formula>INDIRECT("Dummy_for_Comparison3!"&amp;ADDRESS(ROW(),COLUMN()))</formula>
    </cfRule>
  </conditionalFormatting>
  <conditionalFormatting sqref="E366:F366">
    <cfRule type="cellIs" dxfId="16" priority="4" stopIfTrue="1" operator="notEqual">
      <formula>INDIRECT("Dummy_for_Comparison3!"&amp;ADDRESS(ROW(),COLUMN()))</formula>
    </cfRule>
  </conditionalFormatting>
  <conditionalFormatting sqref="E443:F445">
    <cfRule type="cellIs" dxfId="15" priority="3" stopIfTrue="1" operator="notEqual">
      <formula>INDIRECT("Dummy_for_Comparison3!"&amp;ADDRESS(ROW(),COLUMN()))</formula>
    </cfRule>
  </conditionalFormatting>
  <conditionalFormatting sqref="B293:J309">
    <cfRule type="cellIs" dxfId="14" priority="2" stopIfTrue="1" operator="notEqual">
      <formula>INDIRECT("Dummy_for_Comparison3!"&amp;ADDRESS(ROW(),COLUMN()))</formula>
    </cfRule>
  </conditionalFormatting>
  <conditionalFormatting sqref="E473:F473">
    <cfRule type="cellIs" dxfId="13" priority="1" stopIfTrue="1" operator="notEqual">
      <formula>INDIRECT("Dummy_for_Comparison3!"&amp;ADDRESS(ROW(),COLUMN()))</formula>
    </cfRule>
  </conditionalFormatting>
  <hyperlinks>
    <hyperlink ref="J18" r:id="rId1" xr:uid="{00000000-0004-0000-1100-000000000000}"/>
    <hyperlink ref="J19" r:id="rId2" xr:uid="{00000000-0004-0000-1100-000001000000}"/>
    <hyperlink ref="J20" r:id="rId3" xr:uid="{00000000-0004-0000-1100-000002000000}"/>
    <hyperlink ref="J21" r:id="rId4" xr:uid="{00000000-0004-0000-1100-000003000000}"/>
    <hyperlink ref="J14" r:id="rId5" xr:uid="{00000000-0004-0000-1100-000004000000}"/>
    <hyperlink ref="J15" r:id="rId6" xr:uid="{00000000-0004-0000-1100-000005000000}"/>
    <hyperlink ref="J16" r:id="rId7" xr:uid="{00000000-0004-0000-1100-000006000000}"/>
    <hyperlink ref="J17" r:id="rId8" xr:uid="{00000000-0004-0000-1100-000007000000}"/>
    <hyperlink ref="J424" r:id="rId9" xr:uid="{00000000-0004-0000-1100-000008000000}"/>
    <hyperlink ref="J7" r:id="rId10" xr:uid="{00000000-0004-0000-1100-000009000000}"/>
  </hyperlinks>
  <pageMargins left="0.7" right="0.7" top="0.75" bottom="0.75" header="0.3" footer="0.3"/>
  <pageSetup orientation="portrait" r:id="rId1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
  <dimension ref="A1:L91"/>
  <sheetViews>
    <sheetView topLeftCell="A30" zoomScaleNormal="100" workbookViewId="0">
      <selection activeCell="B3" sqref="B3:D91"/>
    </sheetView>
  </sheetViews>
  <sheetFormatPr baseColWidth="10" defaultColWidth="9.140625" defaultRowHeight="15" x14ac:dyDescent="0.25"/>
  <cols>
    <col min="2" max="2" width="19.28515625" style="4" bestFit="1" customWidth="1"/>
    <col min="3" max="3" width="56.28515625" style="4" customWidth="1"/>
    <col min="4" max="4" width="13.140625" style="3" customWidth="1"/>
    <col min="5" max="5" width="9.140625" style="3"/>
    <col min="6" max="6" width="17.85546875" style="3" customWidth="1"/>
    <col min="7" max="7" width="10.85546875" style="3" bestFit="1" customWidth="1"/>
    <col min="8" max="8" width="9.140625" style="3"/>
    <col min="9" max="9" width="12.85546875" style="3" bestFit="1" customWidth="1"/>
    <col min="10" max="10" width="19.28515625" customWidth="1"/>
  </cols>
  <sheetData>
    <row r="1" spans="2:11" ht="15.75" thickBot="1" x14ac:dyDescent="0.3"/>
    <row r="2" spans="2:11" s="721" customFormat="1" ht="15.75" thickBot="1" x14ac:dyDescent="0.3">
      <c r="B2" s="94"/>
      <c r="C2" s="367" t="s">
        <v>3965</v>
      </c>
      <c r="D2" s="94"/>
      <c r="E2" s="94"/>
      <c r="F2" s="94"/>
      <c r="G2" s="94"/>
      <c r="H2" s="94"/>
      <c r="I2" s="94"/>
      <c r="J2" s="93"/>
    </row>
    <row r="3" spans="2:11" s="721" customFormat="1" ht="15.75" thickBot="1" x14ac:dyDescent="0.3">
      <c r="B3" s="279" t="s">
        <v>0</v>
      </c>
      <c r="C3" s="283" t="s">
        <v>1</v>
      </c>
      <c r="D3" s="283" t="s">
        <v>152</v>
      </c>
      <c r="E3" s="447" t="s">
        <v>471</v>
      </c>
      <c r="F3" s="283" t="s">
        <v>472</v>
      </c>
      <c r="G3" s="283" t="s">
        <v>2</v>
      </c>
      <c r="H3" s="283" t="s">
        <v>302</v>
      </c>
      <c r="I3" s="283" t="s">
        <v>116</v>
      </c>
      <c r="J3" s="287" t="s">
        <v>117</v>
      </c>
    </row>
    <row r="4" spans="2:11" s="721" customFormat="1" ht="18.75" thickBot="1" x14ac:dyDescent="0.3">
      <c r="B4" s="493" t="s">
        <v>3960</v>
      </c>
      <c r="C4" s="197" t="s">
        <v>3958</v>
      </c>
      <c r="D4" s="196">
        <v>1.0000000000000001E-30</v>
      </c>
      <c r="E4" s="510">
        <v>0</v>
      </c>
      <c r="F4" s="196">
        <v>1</v>
      </c>
      <c r="G4" s="198"/>
      <c r="H4" s="198"/>
      <c r="I4" s="196"/>
      <c r="J4" s="199"/>
      <c r="K4" s="721" t="s">
        <v>3959</v>
      </c>
    </row>
    <row r="5" spans="2:11" ht="15.75" thickBot="1" x14ac:dyDescent="0.3">
      <c r="B5"/>
      <c r="C5"/>
      <c r="D5"/>
      <c r="E5"/>
      <c r="F5"/>
      <c r="G5"/>
      <c r="H5"/>
      <c r="I5"/>
    </row>
    <row r="6" spans="2:11" s="93" customFormat="1" ht="15.75" thickBot="1" x14ac:dyDescent="0.3">
      <c r="B6" s="94"/>
      <c r="C6" s="367" t="s">
        <v>1191</v>
      </c>
      <c r="D6" s="94" t="s">
        <v>303</v>
      </c>
      <c r="E6" s="94"/>
      <c r="F6" s="94"/>
      <c r="G6" s="94"/>
      <c r="H6" s="94"/>
      <c r="I6" s="94"/>
    </row>
    <row r="7" spans="2:11" s="93" customFormat="1" ht="15.75" thickBot="1" x14ac:dyDescent="0.3">
      <c r="B7" s="279" t="s">
        <v>0</v>
      </c>
      <c r="C7" s="283" t="s">
        <v>1</v>
      </c>
      <c r="D7" s="283" t="s">
        <v>838</v>
      </c>
      <c r="E7" s="447" t="s">
        <v>471</v>
      </c>
      <c r="F7" s="283" t="s">
        <v>472</v>
      </c>
      <c r="G7" s="283" t="s">
        <v>2</v>
      </c>
      <c r="H7" s="283" t="s">
        <v>302</v>
      </c>
      <c r="I7" s="283" t="s">
        <v>116</v>
      </c>
      <c r="J7" s="287" t="s">
        <v>117</v>
      </c>
    </row>
    <row r="8" spans="2:11" s="93" customFormat="1" ht="18.75" thickBot="1" x14ac:dyDescent="0.3">
      <c r="B8" s="493" t="s">
        <v>3187</v>
      </c>
      <c r="C8" s="197" t="s">
        <v>2304</v>
      </c>
      <c r="D8" s="196">
        <v>0.1</v>
      </c>
      <c r="E8" s="510">
        <v>0</v>
      </c>
      <c r="F8" s="196">
        <v>1</v>
      </c>
      <c r="G8" s="198" t="s">
        <v>1994</v>
      </c>
      <c r="H8" s="198">
        <v>2</v>
      </c>
      <c r="I8" s="196"/>
      <c r="J8" s="199"/>
    </row>
    <row r="9" spans="2:11" ht="15.75" thickBot="1" x14ac:dyDescent="0.3">
      <c r="B9"/>
      <c r="C9"/>
      <c r="D9"/>
      <c r="E9"/>
      <c r="F9"/>
      <c r="G9"/>
      <c r="H9"/>
      <c r="I9"/>
    </row>
    <row r="10" spans="2:11" ht="15.75" thickBot="1" x14ac:dyDescent="0.3">
      <c r="B10" s="162"/>
      <c r="C10" s="163" t="s">
        <v>2945</v>
      </c>
      <c r="D10" s="162"/>
      <c r="E10" s="162"/>
      <c r="F10" s="162"/>
      <c r="G10" s="162"/>
      <c r="H10" s="162"/>
      <c r="I10" s="162"/>
    </row>
    <row r="11" spans="2:11" ht="15.75" thickBot="1" x14ac:dyDescent="0.3">
      <c r="B11" s="164" t="s">
        <v>0</v>
      </c>
      <c r="C11" s="165" t="s">
        <v>1</v>
      </c>
      <c r="D11" s="165" t="s">
        <v>152</v>
      </c>
      <c r="E11" s="166" t="s">
        <v>471</v>
      </c>
      <c r="F11" s="166" t="s">
        <v>472</v>
      </c>
      <c r="G11" s="165" t="s">
        <v>2</v>
      </c>
      <c r="H11" s="165" t="s">
        <v>302</v>
      </c>
      <c r="I11" s="167" t="s">
        <v>116</v>
      </c>
    </row>
    <row r="12" spans="2:11" ht="18" x14ac:dyDescent="0.35">
      <c r="B12" s="937" t="s">
        <v>4225</v>
      </c>
      <c r="C12" s="938" t="s">
        <v>4226</v>
      </c>
      <c r="D12" s="939">
        <v>4.8</v>
      </c>
      <c r="E12" s="938"/>
      <c r="F12" s="938"/>
      <c r="G12" s="938" t="s">
        <v>4227</v>
      </c>
      <c r="H12" s="938"/>
      <c r="I12" s="940"/>
    </row>
    <row r="13" spans="2:11" ht="18.75" x14ac:dyDescent="0.35">
      <c r="B13" s="463" t="s">
        <v>2910</v>
      </c>
      <c r="C13" s="941" t="s">
        <v>2810</v>
      </c>
      <c r="D13" s="942">
        <v>76.402000000000001</v>
      </c>
      <c r="E13" s="941"/>
      <c r="F13" s="941"/>
      <c r="G13" s="941" t="s">
        <v>2809</v>
      </c>
      <c r="H13" s="941"/>
      <c r="I13" s="466"/>
    </row>
    <row r="14" spans="2:11" ht="18.75" x14ac:dyDescent="0.35">
      <c r="B14" s="463" t="s">
        <v>2912</v>
      </c>
      <c r="C14" s="464" t="s">
        <v>2811</v>
      </c>
      <c r="D14" s="465">
        <v>100</v>
      </c>
      <c r="E14" s="464"/>
      <c r="F14" s="464"/>
      <c r="G14" s="464" t="s">
        <v>2809</v>
      </c>
      <c r="H14" s="464"/>
      <c r="I14" s="466"/>
    </row>
    <row r="15" spans="2:11" ht="18.75" x14ac:dyDescent="0.35">
      <c r="B15" s="463" t="s">
        <v>2914</v>
      </c>
      <c r="C15" s="464" t="s">
        <v>2812</v>
      </c>
      <c r="D15" s="465">
        <v>88.852000000000004</v>
      </c>
      <c r="E15" s="464"/>
      <c r="F15" s="464"/>
      <c r="G15" s="464" t="s">
        <v>2809</v>
      </c>
      <c r="H15" s="464"/>
      <c r="I15" s="466"/>
    </row>
    <row r="16" spans="2:11" ht="18.75" x14ac:dyDescent="0.35">
      <c r="B16" s="463" t="s">
        <v>2916</v>
      </c>
      <c r="C16" s="464" t="s">
        <v>2813</v>
      </c>
      <c r="D16" s="465">
        <v>84.435000000000002</v>
      </c>
      <c r="E16" s="464"/>
      <c r="F16" s="464"/>
      <c r="G16" s="464" t="s">
        <v>2809</v>
      </c>
      <c r="H16" s="464"/>
      <c r="I16" s="466"/>
    </row>
    <row r="17" spans="1:9" ht="18.75" x14ac:dyDescent="0.35">
      <c r="B17" s="463" t="s">
        <v>2918</v>
      </c>
      <c r="C17" s="464" t="s">
        <v>2814</v>
      </c>
      <c r="D17" s="465">
        <v>146.73500000000001</v>
      </c>
      <c r="E17" s="464"/>
      <c r="F17" s="464"/>
      <c r="G17" s="464" t="s">
        <v>2809</v>
      </c>
      <c r="H17" s="464"/>
      <c r="I17" s="466"/>
    </row>
    <row r="18" spans="1:9" ht="18.75" x14ac:dyDescent="0.35">
      <c r="B18" s="463" t="s">
        <v>2920</v>
      </c>
      <c r="C18" s="464" t="s">
        <v>2815</v>
      </c>
      <c r="D18" s="465">
        <v>0</v>
      </c>
      <c r="E18" s="464"/>
      <c r="F18" s="464"/>
      <c r="G18" s="464" t="s">
        <v>2809</v>
      </c>
      <c r="H18" s="464"/>
      <c r="I18" s="466"/>
    </row>
    <row r="19" spans="1:9" ht="18.75" x14ac:dyDescent="0.35">
      <c r="B19" s="463" t="s">
        <v>2922</v>
      </c>
      <c r="C19" s="464" t="s">
        <v>2816</v>
      </c>
      <c r="D19" s="465">
        <v>90.980999999999995</v>
      </c>
      <c r="E19" s="464"/>
      <c r="F19" s="464"/>
      <c r="G19" s="464" t="s">
        <v>2809</v>
      </c>
      <c r="H19" s="464"/>
      <c r="I19" s="466"/>
    </row>
    <row r="20" spans="1:9" s="135" customFormat="1" ht="18" x14ac:dyDescent="0.35">
      <c r="B20" s="481" t="s">
        <v>2924</v>
      </c>
      <c r="C20" s="482" t="s">
        <v>2817</v>
      </c>
      <c r="D20" s="483">
        <v>3748.91</v>
      </c>
      <c r="E20" s="483"/>
      <c r="F20" s="482"/>
      <c r="G20" s="484" t="s">
        <v>835</v>
      </c>
      <c r="H20" s="482"/>
      <c r="I20" s="485" t="s">
        <v>1174</v>
      </c>
    </row>
    <row r="21" spans="1:9" s="135" customFormat="1" ht="18.75" x14ac:dyDescent="0.35">
      <c r="B21" s="481" t="s">
        <v>2926</v>
      </c>
      <c r="C21" s="482" t="s">
        <v>2819</v>
      </c>
      <c r="D21" s="483">
        <v>10</v>
      </c>
      <c r="E21" s="483"/>
      <c r="F21" s="482"/>
      <c r="G21" s="482" t="s">
        <v>835</v>
      </c>
      <c r="H21" s="482"/>
      <c r="I21" s="485" t="s">
        <v>1164</v>
      </c>
    </row>
    <row r="22" spans="1:9" s="135" customFormat="1" ht="18.75" x14ac:dyDescent="0.35">
      <c r="B22" s="481" t="s">
        <v>2928</v>
      </c>
      <c r="C22" s="482" t="s">
        <v>2821</v>
      </c>
      <c r="D22" s="483">
        <v>40</v>
      </c>
      <c r="E22" s="483"/>
      <c r="F22" s="482"/>
      <c r="G22" s="482" t="s">
        <v>835</v>
      </c>
      <c r="H22" s="482"/>
      <c r="I22" s="485" t="s">
        <v>1165</v>
      </c>
    </row>
    <row r="23" spans="1:9" s="135" customFormat="1" ht="18.75" x14ac:dyDescent="0.35">
      <c r="B23" s="481" t="s">
        <v>2930</v>
      </c>
      <c r="C23" s="482" t="s">
        <v>2823</v>
      </c>
      <c r="D23" s="483">
        <v>0</v>
      </c>
      <c r="E23" s="483"/>
      <c r="F23" s="482"/>
      <c r="G23" s="482" t="s">
        <v>835</v>
      </c>
      <c r="H23" s="482"/>
      <c r="I23" s="485" t="s">
        <v>1166</v>
      </c>
    </row>
    <row r="24" spans="1:9" s="135" customFormat="1" ht="18.75" x14ac:dyDescent="0.35">
      <c r="B24" s="481" t="s">
        <v>2932</v>
      </c>
      <c r="C24" s="482" t="s">
        <v>2825</v>
      </c>
      <c r="D24" s="483">
        <v>0</v>
      </c>
      <c r="E24" s="483"/>
      <c r="F24" s="482"/>
      <c r="G24" s="482" t="s">
        <v>835</v>
      </c>
      <c r="H24" s="482"/>
      <c r="I24" s="485" t="s">
        <v>1167</v>
      </c>
    </row>
    <row r="25" spans="1:9" s="135" customFormat="1" ht="18" x14ac:dyDescent="0.25">
      <c r="B25" s="486" t="s">
        <v>2934</v>
      </c>
      <c r="C25" s="484" t="s">
        <v>2827</v>
      </c>
      <c r="D25" s="487">
        <v>0</v>
      </c>
      <c r="E25" s="487"/>
      <c r="F25" s="487"/>
      <c r="G25" s="484" t="s">
        <v>835</v>
      </c>
      <c r="H25" s="487"/>
      <c r="I25" s="488" t="s">
        <v>1175</v>
      </c>
    </row>
    <row r="26" spans="1:9" s="135" customFormat="1" ht="19.5" thickBot="1" x14ac:dyDescent="0.4">
      <c r="A26"/>
      <c r="B26" s="489" t="s">
        <v>2936</v>
      </c>
      <c r="C26" s="490" t="s">
        <v>2829</v>
      </c>
      <c r="D26" s="491">
        <v>15</v>
      </c>
      <c r="E26" s="491"/>
      <c r="F26" s="490"/>
      <c r="G26" s="490" t="s">
        <v>835</v>
      </c>
      <c r="H26" s="490"/>
      <c r="I26" s="492" t="s">
        <v>1168</v>
      </c>
    </row>
    <row r="27" spans="1:9" ht="15.75" thickBot="1" x14ac:dyDescent="0.3">
      <c r="B27"/>
      <c r="C27"/>
      <c r="D27"/>
      <c r="E27"/>
      <c r="F27"/>
      <c r="G27"/>
      <c r="H27"/>
      <c r="I27"/>
    </row>
    <row r="28" spans="1:9" ht="15.75" thickBot="1" x14ac:dyDescent="0.3">
      <c r="B28" s="162"/>
      <c r="C28" s="163" t="s">
        <v>2946</v>
      </c>
      <c r="D28" s="162"/>
      <c r="E28" s="162"/>
      <c r="F28" s="162"/>
      <c r="G28" s="162"/>
      <c r="H28" s="162"/>
      <c r="I28" s="162"/>
    </row>
    <row r="29" spans="1:9" ht="15.75" thickBot="1" x14ac:dyDescent="0.3">
      <c r="B29" s="164" t="s">
        <v>0</v>
      </c>
      <c r="C29" s="165" t="s">
        <v>1</v>
      </c>
      <c r="D29" s="165" t="s">
        <v>152</v>
      </c>
      <c r="E29" s="166" t="s">
        <v>471</v>
      </c>
      <c r="F29" s="166" t="s">
        <v>472</v>
      </c>
      <c r="G29" s="165" t="s">
        <v>2</v>
      </c>
      <c r="H29" s="165" t="s">
        <v>302</v>
      </c>
      <c r="I29" s="167" t="s">
        <v>116</v>
      </c>
    </row>
    <row r="30" spans="1:9" ht="18.75" x14ac:dyDescent="0.35">
      <c r="B30" s="477" t="s">
        <v>2911</v>
      </c>
      <c r="C30" s="478" t="s">
        <v>2831</v>
      </c>
      <c r="D30" s="479">
        <v>2.2919999999999998</v>
      </c>
      <c r="E30" s="478"/>
      <c r="F30" s="478"/>
      <c r="G30" s="478" t="s">
        <v>2809</v>
      </c>
      <c r="H30" s="478"/>
      <c r="I30" s="480"/>
    </row>
    <row r="31" spans="1:9" ht="18.75" x14ac:dyDescent="0.35">
      <c r="B31" s="463" t="s">
        <v>2913</v>
      </c>
      <c r="C31" s="464" t="s">
        <v>2832</v>
      </c>
      <c r="D31" s="465">
        <v>3</v>
      </c>
      <c r="E31" s="464"/>
      <c r="F31" s="464"/>
      <c r="G31" s="464" t="s">
        <v>2809</v>
      </c>
      <c r="H31" s="464"/>
      <c r="I31" s="466"/>
    </row>
    <row r="32" spans="1:9" ht="18.75" x14ac:dyDescent="0.35">
      <c r="B32" s="463" t="s">
        <v>2915</v>
      </c>
      <c r="C32" s="464" t="s">
        <v>2833</v>
      </c>
      <c r="D32" s="465">
        <v>2.6659999999999999</v>
      </c>
      <c r="E32" s="464"/>
      <c r="F32" s="464"/>
      <c r="G32" s="464" t="s">
        <v>2809</v>
      </c>
      <c r="H32" s="464"/>
      <c r="I32" s="466"/>
    </row>
    <row r="33" spans="1:9" ht="18.75" x14ac:dyDescent="0.35">
      <c r="B33" s="463" t="s">
        <v>2917</v>
      </c>
      <c r="C33" s="464" t="s">
        <v>2834</v>
      </c>
      <c r="D33" s="465">
        <v>2.5329999999999999</v>
      </c>
      <c r="E33" s="464"/>
      <c r="F33" s="464"/>
      <c r="G33" s="464" t="s">
        <v>2809</v>
      </c>
      <c r="H33" s="464"/>
      <c r="I33" s="466"/>
    </row>
    <row r="34" spans="1:9" ht="18.75" x14ac:dyDescent="0.35">
      <c r="B34" s="463" t="s">
        <v>2919</v>
      </c>
      <c r="C34" s="464" t="s">
        <v>2835</v>
      </c>
      <c r="D34" s="465">
        <v>4.4020000000000001</v>
      </c>
      <c r="E34" s="464"/>
      <c r="F34" s="464"/>
      <c r="G34" s="464" t="s">
        <v>2809</v>
      </c>
      <c r="H34" s="464"/>
      <c r="I34" s="466"/>
    </row>
    <row r="35" spans="1:9" ht="18.75" x14ac:dyDescent="0.35">
      <c r="B35" s="463" t="s">
        <v>2921</v>
      </c>
      <c r="C35" s="464" t="s">
        <v>2836</v>
      </c>
      <c r="D35" s="465">
        <v>0</v>
      </c>
      <c r="E35" s="464"/>
      <c r="F35" s="464"/>
      <c r="G35" s="464" t="s">
        <v>2809</v>
      </c>
      <c r="H35" s="464"/>
      <c r="I35" s="466"/>
    </row>
    <row r="36" spans="1:9" ht="18.75" x14ac:dyDescent="0.35">
      <c r="B36" s="463" t="s">
        <v>2923</v>
      </c>
      <c r="C36" s="464" t="s">
        <v>2837</v>
      </c>
      <c r="D36" s="465">
        <v>2.73</v>
      </c>
      <c r="E36" s="464"/>
      <c r="F36" s="464"/>
      <c r="G36" s="464" t="s">
        <v>2809</v>
      </c>
      <c r="H36" s="464"/>
      <c r="I36" s="466"/>
    </row>
    <row r="37" spans="1:9" s="135" customFormat="1" ht="18" x14ac:dyDescent="0.35">
      <c r="B37" s="481" t="s">
        <v>2925</v>
      </c>
      <c r="C37" s="482" t="s">
        <v>2818</v>
      </c>
      <c r="D37" s="483">
        <v>3748.91</v>
      </c>
      <c r="E37" s="483"/>
      <c r="F37" s="482"/>
      <c r="G37" s="484" t="s">
        <v>835</v>
      </c>
      <c r="H37" s="482"/>
      <c r="I37" s="485" t="s">
        <v>2944</v>
      </c>
    </row>
    <row r="38" spans="1:9" s="135" customFormat="1" ht="18.75" x14ac:dyDescent="0.35">
      <c r="B38" s="481" t="s">
        <v>2927</v>
      </c>
      <c r="C38" s="482" t="s">
        <v>2820</v>
      </c>
      <c r="D38" s="483">
        <v>10</v>
      </c>
      <c r="E38" s="483"/>
      <c r="F38" s="482"/>
      <c r="G38" s="482" t="s">
        <v>835</v>
      </c>
      <c r="H38" s="482"/>
      <c r="I38" s="485" t="s">
        <v>2943</v>
      </c>
    </row>
    <row r="39" spans="1:9" s="135" customFormat="1" ht="18.75" x14ac:dyDescent="0.35">
      <c r="B39" s="481" t="s">
        <v>2929</v>
      </c>
      <c r="C39" s="482" t="s">
        <v>2822</v>
      </c>
      <c r="D39" s="483">
        <v>40</v>
      </c>
      <c r="E39" s="483"/>
      <c r="F39" s="482"/>
      <c r="G39" s="482" t="s">
        <v>835</v>
      </c>
      <c r="H39" s="482"/>
      <c r="I39" s="485" t="s">
        <v>2942</v>
      </c>
    </row>
    <row r="40" spans="1:9" s="135" customFormat="1" ht="18.75" x14ac:dyDescent="0.35">
      <c r="B40" s="481" t="s">
        <v>2931</v>
      </c>
      <c r="C40" s="482" t="s">
        <v>2824</v>
      </c>
      <c r="D40" s="483">
        <v>0</v>
      </c>
      <c r="E40" s="483"/>
      <c r="F40" s="482"/>
      <c r="G40" s="482" t="s">
        <v>835</v>
      </c>
      <c r="H40" s="482"/>
      <c r="I40" s="485" t="s">
        <v>2941</v>
      </c>
    </row>
    <row r="41" spans="1:9" s="135" customFormat="1" ht="18.75" x14ac:dyDescent="0.35">
      <c r="B41" s="481" t="s">
        <v>2933</v>
      </c>
      <c r="C41" s="482" t="s">
        <v>2826</v>
      </c>
      <c r="D41" s="483">
        <v>0</v>
      </c>
      <c r="E41" s="483"/>
      <c r="F41" s="482"/>
      <c r="G41" s="482" t="s">
        <v>835</v>
      </c>
      <c r="H41" s="482"/>
      <c r="I41" s="485" t="s">
        <v>2940</v>
      </c>
    </row>
    <row r="42" spans="1:9" s="135" customFormat="1" ht="18" x14ac:dyDescent="0.25">
      <c r="B42" s="486" t="s">
        <v>2935</v>
      </c>
      <c r="C42" s="484" t="s">
        <v>2828</v>
      </c>
      <c r="D42" s="487">
        <v>0</v>
      </c>
      <c r="E42" s="487"/>
      <c r="F42" s="487"/>
      <c r="G42" s="484" t="s">
        <v>835</v>
      </c>
      <c r="H42" s="487"/>
      <c r="I42" s="488" t="s">
        <v>2938</v>
      </c>
    </row>
    <row r="43" spans="1:9" s="135" customFormat="1" ht="19.5" thickBot="1" x14ac:dyDescent="0.4">
      <c r="A43" s="110"/>
      <c r="B43" s="489" t="s">
        <v>2937</v>
      </c>
      <c r="C43" s="490" t="s">
        <v>2830</v>
      </c>
      <c r="D43" s="491">
        <v>15</v>
      </c>
      <c r="E43" s="491"/>
      <c r="F43" s="490"/>
      <c r="G43" s="490" t="s">
        <v>835</v>
      </c>
      <c r="H43" s="490"/>
      <c r="I43" s="492" t="s">
        <v>2939</v>
      </c>
    </row>
    <row r="44" spans="1:9" ht="15.75" thickBot="1" x14ac:dyDescent="0.3">
      <c r="B44"/>
      <c r="C44"/>
      <c r="D44"/>
      <c r="E44"/>
      <c r="F44"/>
      <c r="G44"/>
      <c r="H44"/>
      <c r="I44"/>
    </row>
    <row r="45" spans="1:9" ht="15.75" thickBot="1" x14ac:dyDescent="0.3">
      <c r="B45" s="162"/>
      <c r="C45" s="1977" t="s">
        <v>2946</v>
      </c>
      <c r="D45" s="162"/>
      <c r="E45" s="162"/>
      <c r="F45" s="162"/>
      <c r="G45" s="162"/>
      <c r="H45" s="162"/>
      <c r="I45" s="162"/>
    </row>
    <row r="46" spans="1:9" ht="15.75" thickBot="1" x14ac:dyDescent="0.3">
      <c r="B46" s="1978" t="s">
        <v>0</v>
      </c>
      <c r="C46" s="1979" t="s">
        <v>1</v>
      </c>
      <c r="D46" s="1979" t="s">
        <v>152</v>
      </c>
      <c r="E46" s="1980" t="s">
        <v>471</v>
      </c>
      <c r="F46" s="1980" t="s">
        <v>472</v>
      </c>
      <c r="G46" s="1979" t="s">
        <v>2</v>
      </c>
      <c r="H46" s="1979" t="s">
        <v>302</v>
      </c>
      <c r="I46" s="1981" t="s">
        <v>116</v>
      </c>
    </row>
    <row r="47" spans="1:9" ht="17.25" x14ac:dyDescent="0.25">
      <c r="B47" s="1982" t="s">
        <v>4934</v>
      </c>
      <c r="C47" s="1983" t="s">
        <v>4935</v>
      </c>
      <c r="D47" s="1984">
        <v>1</v>
      </c>
      <c r="E47" s="1983"/>
      <c r="F47" s="1983"/>
      <c r="G47" s="870" t="s">
        <v>4936</v>
      </c>
      <c r="H47" s="1983">
        <v>0</v>
      </c>
      <c r="I47" s="1985"/>
    </row>
    <row r="48" spans="1:9" ht="17.25" x14ac:dyDescent="0.25">
      <c r="B48" s="1986" t="s">
        <v>4937</v>
      </c>
      <c r="C48" s="941" t="s">
        <v>4938</v>
      </c>
      <c r="D48" s="942">
        <v>2</v>
      </c>
      <c r="E48" s="941"/>
      <c r="F48" s="941"/>
      <c r="G48" s="870" t="s">
        <v>4936</v>
      </c>
      <c r="H48" s="941">
        <v>0</v>
      </c>
      <c r="I48" s="1987"/>
    </row>
    <row r="49" spans="2:12" ht="18" thickBot="1" x14ac:dyDescent="0.3">
      <c r="B49" s="1988" t="s">
        <v>4939</v>
      </c>
      <c r="C49" s="1989" t="s">
        <v>4940</v>
      </c>
      <c r="D49" s="1990">
        <v>1</v>
      </c>
      <c r="E49" s="1990"/>
      <c r="F49" s="1989"/>
      <c r="G49" s="1989" t="s">
        <v>4936</v>
      </c>
      <c r="H49" s="1989">
        <v>0</v>
      </c>
      <c r="I49" s="1991"/>
    </row>
    <row r="50" spans="2:12" ht="15.75" thickBot="1" x14ac:dyDescent="0.3">
      <c r="B50"/>
      <c r="C50"/>
      <c r="D50"/>
      <c r="E50"/>
      <c r="F50"/>
      <c r="G50"/>
      <c r="H50"/>
      <c r="I50"/>
    </row>
    <row r="51" spans="2:12" ht="15.75" thickBot="1" x14ac:dyDescent="0.3">
      <c r="B51" s="162"/>
      <c r="C51" s="163" t="s">
        <v>785</v>
      </c>
      <c r="D51" s="162"/>
      <c r="E51" s="162"/>
      <c r="F51" s="162"/>
      <c r="G51" s="162"/>
      <c r="H51" s="162"/>
      <c r="I51" s="162"/>
    </row>
    <row r="52" spans="2:12" ht="15.75" thickBot="1" x14ac:dyDescent="0.3">
      <c r="B52" s="164" t="s">
        <v>0</v>
      </c>
      <c r="C52" s="165" t="s">
        <v>1</v>
      </c>
      <c r="D52" s="165" t="s">
        <v>152</v>
      </c>
      <c r="E52" s="166" t="s">
        <v>471</v>
      </c>
      <c r="F52" s="166" t="s">
        <v>472</v>
      </c>
      <c r="G52" s="165" t="s">
        <v>2</v>
      </c>
      <c r="H52" s="165" t="s">
        <v>302</v>
      </c>
      <c r="I52" s="167" t="s">
        <v>116</v>
      </c>
    </row>
    <row r="53" spans="2:12" s="93" customFormat="1" ht="30" x14ac:dyDescent="0.25">
      <c r="B53" s="540" t="s">
        <v>3069</v>
      </c>
      <c r="C53" s="541" t="s">
        <v>3070</v>
      </c>
      <c r="D53" s="538">
        <v>0</v>
      </c>
      <c r="E53" s="539">
        <v>0</v>
      </c>
      <c r="F53" s="539" t="s">
        <v>1254</v>
      </c>
      <c r="G53" s="542" t="s">
        <v>2011</v>
      </c>
      <c r="H53" s="539">
        <v>1</v>
      </c>
      <c r="I53" s="74" t="s">
        <v>3074</v>
      </c>
      <c r="J53" s="536" t="s">
        <v>3071</v>
      </c>
    </row>
    <row r="54" spans="2:12" s="93" customFormat="1" ht="30" x14ac:dyDescent="0.25">
      <c r="B54" s="540" t="s">
        <v>3072</v>
      </c>
      <c r="C54" s="541" t="s">
        <v>3073</v>
      </c>
      <c r="D54" s="538">
        <v>0</v>
      </c>
      <c r="E54" s="539">
        <v>0</v>
      </c>
      <c r="F54" s="539" t="s">
        <v>1254</v>
      </c>
      <c r="G54" s="542" t="s">
        <v>2011</v>
      </c>
      <c r="H54" s="539">
        <v>1</v>
      </c>
      <c r="I54" s="74" t="s">
        <v>3075</v>
      </c>
      <c r="J54" s="536" t="s">
        <v>3071</v>
      </c>
    </row>
    <row r="55" spans="2:12" ht="18.75" x14ac:dyDescent="0.35">
      <c r="B55" s="467" t="s">
        <v>802</v>
      </c>
      <c r="C55" s="76" t="s">
        <v>801</v>
      </c>
      <c r="D55" s="89">
        <v>7.0000000000000001E-3</v>
      </c>
      <c r="E55" s="76"/>
      <c r="F55" s="76"/>
      <c r="G55" s="141" t="s">
        <v>1882</v>
      </c>
      <c r="H55" s="76"/>
      <c r="I55" s="77"/>
    </row>
    <row r="56" spans="2:12" s="110" customFormat="1" ht="18" x14ac:dyDescent="0.25">
      <c r="B56" s="371" t="s">
        <v>2201</v>
      </c>
      <c r="C56" s="72" t="s">
        <v>2202</v>
      </c>
      <c r="D56" s="83">
        <v>35</v>
      </c>
      <c r="E56" s="83"/>
      <c r="F56" s="83"/>
      <c r="G56" s="74" t="s">
        <v>1045</v>
      </c>
      <c r="H56" s="103"/>
      <c r="I56" s="104"/>
      <c r="J56" s="143"/>
      <c r="K56" s="143"/>
      <c r="L56" s="143"/>
    </row>
    <row r="57" spans="2:12" s="110" customFormat="1" ht="18.75" thickBot="1" x14ac:dyDescent="0.3">
      <c r="B57" s="372" t="s">
        <v>2203</v>
      </c>
      <c r="C57" s="373" t="s">
        <v>2204</v>
      </c>
      <c r="D57" s="88">
        <v>150</v>
      </c>
      <c r="E57" s="88"/>
      <c r="F57" s="88"/>
      <c r="G57" s="274" t="s">
        <v>1047</v>
      </c>
      <c r="H57" s="105"/>
      <c r="I57" s="106"/>
      <c r="J57" s="143"/>
      <c r="K57" s="143"/>
      <c r="L57" s="143"/>
    </row>
    <row r="58" spans="2:12" s="173" customFormat="1" ht="15.75" thickBot="1" x14ac:dyDescent="0.3">
      <c r="B58" s="140"/>
      <c r="C58" s="168"/>
      <c r="D58" s="169"/>
      <c r="E58" s="170"/>
      <c r="F58" s="171"/>
      <c r="G58" s="169"/>
      <c r="H58" s="169"/>
      <c r="I58" s="172"/>
    </row>
    <row r="59" spans="2:12" s="173" customFormat="1" ht="15.75" thickBot="1" x14ac:dyDescent="0.3">
      <c r="B59" s="140"/>
      <c r="C59" s="163" t="s">
        <v>1169</v>
      </c>
      <c r="D59" s="169"/>
      <c r="E59" s="170"/>
      <c r="F59" s="171"/>
      <c r="G59" s="169"/>
      <c r="H59" s="169"/>
      <c r="I59" s="172"/>
    </row>
    <row r="60" spans="2:12" s="173" customFormat="1" ht="15.75" thickBot="1" x14ac:dyDescent="0.3">
      <c r="B60" s="164" t="s">
        <v>0</v>
      </c>
      <c r="C60" s="165" t="s">
        <v>1</v>
      </c>
      <c r="D60" s="165" t="s">
        <v>152</v>
      </c>
      <c r="E60" s="166" t="s">
        <v>471</v>
      </c>
      <c r="F60" s="166" t="s">
        <v>472</v>
      </c>
      <c r="G60" s="165" t="s">
        <v>2</v>
      </c>
      <c r="H60" s="165" t="s">
        <v>302</v>
      </c>
      <c r="I60" s="167" t="s">
        <v>116</v>
      </c>
    </row>
    <row r="61" spans="2:12" s="173" customFormat="1" ht="15.75" thickBot="1" x14ac:dyDescent="0.3">
      <c r="B61" s="174" t="s">
        <v>791</v>
      </c>
      <c r="C61" s="175" t="s">
        <v>786</v>
      </c>
      <c r="D61" s="176" t="b">
        <v>0</v>
      </c>
      <c r="E61" s="175"/>
      <c r="F61" s="175"/>
      <c r="G61" s="175"/>
      <c r="H61" s="175"/>
      <c r="I61" s="177" t="s">
        <v>787</v>
      </c>
    </row>
    <row r="62" spans="2:12" s="173" customFormat="1" ht="15.75" thickBot="1" x14ac:dyDescent="0.3"/>
    <row r="63" spans="2:12" s="173" customFormat="1" ht="15.75" thickBot="1" x14ac:dyDescent="0.3">
      <c r="B63" s="178" t="s">
        <v>1170</v>
      </c>
      <c r="C63" s="163" t="s">
        <v>1171</v>
      </c>
      <c r="D63" s="162"/>
      <c r="E63" s="162"/>
      <c r="F63" s="162"/>
      <c r="G63" s="162"/>
      <c r="H63" s="162"/>
      <c r="I63" s="162"/>
    </row>
    <row r="64" spans="2:12" s="173" customFormat="1" ht="15.75" thickBot="1" x14ac:dyDescent="0.3">
      <c r="B64" s="270" t="s">
        <v>0</v>
      </c>
      <c r="C64" s="271" t="s">
        <v>1</v>
      </c>
      <c r="D64" s="271" t="s">
        <v>152</v>
      </c>
      <c r="E64" s="272" t="s">
        <v>471</v>
      </c>
      <c r="F64" s="272" t="s">
        <v>472</v>
      </c>
      <c r="G64" s="271" t="s">
        <v>2</v>
      </c>
      <c r="H64" s="271" t="s">
        <v>302</v>
      </c>
      <c r="I64" s="273" t="s">
        <v>116</v>
      </c>
    </row>
    <row r="65" spans="2:9" s="173" customFormat="1" x14ac:dyDescent="0.25">
      <c r="B65" s="924" t="s">
        <v>1172</v>
      </c>
      <c r="C65" s="925"/>
      <c r="D65" s="925" t="b">
        <v>0</v>
      </c>
      <c r="E65" s="925"/>
      <c r="F65" s="925"/>
      <c r="G65" s="925"/>
      <c r="H65" s="925"/>
      <c r="I65" s="926" t="s">
        <v>1173</v>
      </c>
    </row>
    <row r="66" spans="2:9" s="173" customFormat="1" x14ac:dyDescent="0.25">
      <c r="B66" s="921" t="s">
        <v>1255</v>
      </c>
      <c r="C66" s="922"/>
      <c r="D66" s="922" t="b">
        <v>0</v>
      </c>
      <c r="E66" s="922"/>
      <c r="F66" s="922"/>
      <c r="G66" s="922"/>
      <c r="H66" s="922"/>
      <c r="I66" s="923" t="s">
        <v>1173</v>
      </c>
    </row>
    <row r="67" spans="2:9" s="173" customFormat="1" x14ac:dyDescent="0.25">
      <c r="B67" s="921" t="s">
        <v>11</v>
      </c>
      <c r="C67" s="922"/>
      <c r="D67" s="922" t="b">
        <v>1</v>
      </c>
      <c r="E67" s="922"/>
      <c r="F67" s="922"/>
      <c r="G67" s="922"/>
      <c r="H67" s="922"/>
      <c r="I67" s="923" t="s">
        <v>1173</v>
      </c>
    </row>
    <row r="68" spans="2:9" s="173" customFormat="1" x14ac:dyDescent="0.25">
      <c r="B68" s="921" t="s">
        <v>15</v>
      </c>
      <c r="C68" s="922"/>
      <c r="D68" s="922" t="b">
        <v>0</v>
      </c>
      <c r="E68" s="922"/>
      <c r="F68" s="922"/>
      <c r="G68" s="922"/>
      <c r="H68" s="922"/>
      <c r="I68" s="923" t="s">
        <v>1173</v>
      </c>
    </row>
    <row r="69" spans="2:9" s="173" customFormat="1" x14ac:dyDescent="0.25">
      <c r="B69" s="921" t="s">
        <v>4194</v>
      </c>
      <c r="C69" s="922"/>
      <c r="D69" s="922" t="b">
        <v>0</v>
      </c>
      <c r="E69" s="922"/>
      <c r="F69" s="922"/>
      <c r="G69" s="922"/>
      <c r="H69" s="922"/>
      <c r="I69" s="923" t="s">
        <v>1173</v>
      </c>
    </row>
    <row r="70" spans="2:9" s="173" customFormat="1" x14ac:dyDescent="0.25">
      <c r="B70" s="921" t="s">
        <v>2107</v>
      </c>
      <c r="C70" s="922"/>
      <c r="D70" s="922" t="b">
        <v>1</v>
      </c>
      <c r="E70" s="922"/>
      <c r="F70" s="922"/>
      <c r="G70" s="922"/>
      <c r="H70" s="922"/>
      <c r="I70" s="923" t="s">
        <v>1173</v>
      </c>
    </row>
    <row r="71" spans="2:9" s="173" customFormat="1" x14ac:dyDescent="0.25">
      <c r="B71" s="921" t="s">
        <v>333</v>
      </c>
      <c r="C71" s="922"/>
      <c r="D71" s="922" t="b">
        <v>1</v>
      </c>
      <c r="E71" s="922"/>
      <c r="F71" s="922"/>
      <c r="G71" s="922"/>
      <c r="H71" s="922"/>
      <c r="I71" s="923" t="s">
        <v>1173</v>
      </c>
    </row>
    <row r="72" spans="2:9" x14ac:dyDescent="0.25">
      <c r="B72" s="921" t="s">
        <v>1208</v>
      </c>
      <c r="C72" s="927"/>
      <c r="D72" s="922" t="b">
        <v>0</v>
      </c>
      <c r="E72" s="927"/>
      <c r="F72" s="927"/>
      <c r="G72" s="927"/>
      <c r="H72" s="927"/>
      <c r="I72" s="923" t="s">
        <v>1173</v>
      </c>
    </row>
    <row r="73" spans="2:9" x14ac:dyDescent="0.25">
      <c r="B73" s="921" t="s">
        <v>1594</v>
      </c>
      <c r="C73" s="927"/>
      <c r="D73" s="922" t="b">
        <v>0</v>
      </c>
      <c r="E73" s="927"/>
      <c r="F73" s="927"/>
      <c r="G73" s="927"/>
      <c r="H73" s="927"/>
      <c r="I73" s="923" t="s">
        <v>1173</v>
      </c>
    </row>
    <row r="74" spans="2:9" s="173" customFormat="1" x14ac:dyDescent="0.25">
      <c r="B74" s="921" t="s">
        <v>1606</v>
      </c>
      <c r="C74" s="922"/>
      <c r="D74" s="922" t="b">
        <v>1</v>
      </c>
      <c r="E74" s="922"/>
      <c r="F74" s="922"/>
      <c r="G74" s="922"/>
      <c r="H74" s="922"/>
      <c r="I74" s="923" t="s">
        <v>1173</v>
      </c>
    </row>
    <row r="75" spans="2:9" s="173" customFormat="1" x14ac:dyDescent="0.25">
      <c r="B75" s="921" t="s">
        <v>4188</v>
      </c>
      <c r="C75" s="922"/>
      <c r="D75" s="922" t="b">
        <v>1</v>
      </c>
      <c r="E75" s="922"/>
      <c r="F75" s="922"/>
      <c r="G75" s="922"/>
      <c r="H75" s="922"/>
      <c r="I75" s="923" t="s">
        <v>1173</v>
      </c>
    </row>
    <row r="76" spans="2:9" s="173" customFormat="1" x14ac:dyDescent="0.25">
      <c r="B76" s="921" t="s">
        <v>4189</v>
      </c>
      <c r="C76" s="922"/>
      <c r="D76" s="922" t="b">
        <v>0</v>
      </c>
      <c r="E76" s="922"/>
      <c r="F76" s="922"/>
      <c r="G76" s="922"/>
      <c r="H76" s="922"/>
      <c r="I76" s="923" t="s">
        <v>1173</v>
      </c>
    </row>
    <row r="77" spans="2:9" s="173" customFormat="1" x14ac:dyDescent="0.25">
      <c r="B77" s="921" t="s">
        <v>4190</v>
      </c>
      <c r="C77" s="922"/>
      <c r="D77" s="922" t="b">
        <v>0</v>
      </c>
      <c r="E77" s="922"/>
      <c r="F77" s="922"/>
      <c r="G77" s="922"/>
      <c r="H77" s="922"/>
      <c r="I77" s="923" t="s">
        <v>1173</v>
      </c>
    </row>
    <row r="78" spans="2:9" s="173" customFormat="1" x14ac:dyDescent="0.25">
      <c r="B78" s="921" t="s">
        <v>4191</v>
      </c>
      <c r="C78" s="922"/>
      <c r="D78" s="922" t="b">
        <v>0</v>
      </c>
      <c r="E78" s="922"/>
      <c r="F78" s="922"/>
      <c r="G78" s="922"/>
      <c r="H78" s="922"/>
      <c r="I78" s="923" t="s">
        <v>1173</v>
      </c>
    </row>
    <row r="79" spans="2:9" s="173" customFormat="1" x14ac:dyDescent="0.25">
      <c r="B79" s="921" t="s">
        <v>4192</v>
      </c>
      <c r="C79" s="922"/>
      <c r="D79" s="922" t="b">
        <v>0</v>
      </c>
      <c r="E79" s="922"/>
      <c r="F79" s="922"/>
      <c r="G79" s="922"/>
      <c r="H79" s="922"/>
      <c r="I79" s="923" t="s">
        <v>1173</v>
      </c>
    </row>
    <row r="80" spans="2:9" s="173" customFormat="1" x14ac:dyDescent="0.25">
      <c r="B80" s="921" t="s">
        <v>3767</v>
      </c>
      <c r="C80" s="922"/>
      <c r="D80" s="922" t="b">
        <v>0</v>
      </c>
      <c r="E80" s="922"/>
      <c r="F80" s="922"/>
      <c r="G80" s="922"/>
      <c r="H80" s="922"/>
      <c r="I80" s="923" t="s">
        <v>1173</v>
      </c>
    </row>
    <row r="81" spans="1:10" s="173" customFormat="1" x14ac:dyDescent="0.25">
      <c r="B81" s="921" t="s">
        <v>4193</v>
      </c>
      <c r="C81" s="922"/>
      <c r="D81" s="922" t="b">
        <v>0</v>
      </c>
      <c r="E81" s="922"/>
      <c r="F81" s="922"/>
      <c r="G81" s="922"/>
      <c r="H81" s="922"/>
      <c r="I81" s="923" t="s">
        <v>1173</v>
      </c>
    </row>
    <row r="82" spans="1:10" s="173" customFormat="1" x14ac:dyDescent="0.25">
      <c r="B82" s="921" t="s">
        <v>3768</v>
      </c>
      <c r="C82" s="922"/>
      <c r="D82" s="922" t="b">
        <v>0</v>
      </c>
      <c r="E82" s="922"/>
      <c r="F82" s="922"/>
      <c r="G82" s="922"/>
      <c r="H82" s="922"/>
      <c r="I82" s="923" t="s">
        <v>1173</v>
      </c>
    </row>
    <row r="83" spans="1:10" s="173" customFormat="1" ht="15.75" thickBot="1" x14ac:dyDescent="0.3">
      <c r="B83" s="929" t="s">
        <v>3770</v>
      </c>
      <c r="C83" s="930"/>
      <c r="D83" s="930" t="b">
        <v>0</v>
      </c>
      <c r="E83" s="930"/>
      <c r="F83" s="930"/>
      <c r="G83" s="930"/>
      <c r="H83" s="930"/>
      <c r="I83" s="928" t="s">
        <v>1173</v>
      </c>
    </row>
    <row r="86" spans="1:10" s="3" customFormat="1" x14ac:dyDescent="0.25">
      <c r="B86" s="4"/>
      <c r="C86" s="4"/>
    </row>
    <row r="87" spans="1:10" s="998" customFormat="1" ht="15.75" thickBot="1" x14ac:dyDescent="0.3">
      <c r="B87" s="999"/>
      <c r="C87" s="1000" t="s">
        <v>4347</v>
      </c>
      <c r="D87" s="999"/>
      <c r="E87" s="1001"/>
      <c r="F87" s="1001"/>
      <c r="G87" s="1001"/>
      <c r="H87" s="1001"/>
    </row>
    <row r="88" spans="1:10" s="998" customFormat="1" ht="15.75" thickBot="1" x14ac:dyDescent="0.3">
      <c r="B88" s="1002" t="s">
        <v>0</v>
      </c>
      <c r="C88" s="1003" t="s">
        <v>1</v>
      </c>
      <c r="D88" s="1000" t="s">
        <v>838</v>
      </c>
      <c r="E88" s="1000" t="s">
        <v>471</v>
      </c>
      <c r="F88" s="1000" t="s">
        <v>472</v>
      </c>
      <c r="G88" s="1000" t="s">
        <v>2</v>
      </c>
      <c r="H88" s="1000" t="s">
        <v>302</v>
      </c>
      <c r="I88" s="1000" t="s">
        <v>116</v>
      </c>
      <c r="J88" s="1000" t="s">
        <v>117</v>
      </c>
    </row>
    <row r="89" spans="1:10" s="1004" customFormat="1" ht="18" x14ac:dyDescent="0.25">
      <c r="B89" s="871" t="s">
        <v>4418</v>
      </c>
      <c r="C89" s="871" t="s">
        <v>4348</v>
      </c>
      <c r="D89" s="871">
        <v>200</v>
      </c>
      <c r="E89" s="871">
        <v>0</v>
      </c>
      <c r="F89" s="871" t="s">
        <v>2802</v>
      </c>
      <c r="G89" s="871" t="s">
        <v>4349</v>
      </c>
      <c r="H89" s="871">
        <v>0</v>
      </c>
      <c r="I89" s="870"/>
      <c r="J89" s="871"/>
    </row>
    <row r="90" spans="1:10" s="1007" customFormat="1" ht="14.65" customHeight="1" x14ac:dyDescent="0.25">
      <c r="A90" s="1005"/>
      <c r="B90" s="870" t="s">
        <v>4419</v>
      </c>
      <c r="C90" s="870" t="s">
        <v>4350</v>
      </c>
      <c r="D90" s="1006">
        <v>120</v>
      </c>
      <c r="E90" s="871">
        <v>0</v>
      </c>
      <c r="F90" s="871" t="s">
        <v>2802</v>
      </c>
      <c r="G90" s="870" t="s">
        <v>4349</v>
      </c>
      <c r="H90" s="4"/>
    </row>
    <row r="91" spans="1:10" s="1007" customFormat="1" ht="14.65" customHeight="1" x14ac:dyDescent="0.25">
      <c r="A91" s="1005"/>
      <c r="B91" s="870" t="s">
        <v>4420</v>
      </c>
      <c r="C91" s="870" t="s">
        <v>4351</v>
      </c>
      <c r="D91" s="1006">
        <v>1000</v>
      </c>
      <c r="E91" s="871">
        <v>0</v>
      </c>
      <c r="F91" s="871" t="s">
        <v>2802</v>
      </c>
      <c r="G91" s="870" t="s">
        <v>4352</v>
      </c>
      <c r="H91" s="4"/>
    </row>
  </sheetData>
  <conditionalFormatting sqref="A86:XFD88 A89 C89:XFD89">
    <cfRule type="cellIs" dxfId="12" priority="14" stopIfTrue="1" operator="notEqual">
      <formula>INDIRECT("Dummy_for_Comparison3!"&amp;ADDRESS(ROW(),COLUMN()))</formula>
    </cfRule>
  </conditionalFormatting>
  <conditionalFormatting sqref="G88 G87:K87">
    <cfRule type="cellIs" dxfId="11" priority="13" stopIfTrue="1" operator="notEqual">
      <formula>INDIRECT("Dummy_for_Comparison3!"&amp;ADDRESS(ROW(),COLUMN()))</formula>
    </cfRule>
  </conditionalFormatting>
  <conditionalFormatting sqref="K89:XFD89 A89 C89:F89">
    <cfRule type="cellIs" dxfId="10" priority="12" stopIfTrue="1" operator="notEqual">
      <formula>INDIRECT("Dummy_for_Comparison3!"&amp;ADDRESS(ROW(),COLUMN()))</formula>
    </cfRule>
  </conditionalFormatting>
  <conditionalFormatting sqref="G89:H89 J89">
    <cfRule type="cellIs" dxfId="9" priority="11" stopIfTrue="1" operator="notEqual">
      <formula>INDIRECT("Dummy_for_Comparison3!"&amp;ADDRESS(ROW(),COLUMN()))</formula>
    </cfRule>
  </conditionalFormatting>
  <conditionalFormatting sqref="H88:J88">
    <cfRule type="cellIs" dxfId="8" priority="10" stopIfTrue="1" operator="notEqual">
      <formula>INDIRECT("Dummy_for_Comparison3!"&amp;ADDRESS(ROW(),COLUMN()))</formula>
    </cfRule>
  </conditionalFormatting>
  <conditionalFormatting sqref="I90:XFD91 A90:A91 G90:G91 C90:D91">
    <cfRule type="cellIs" dxfId="7" priority="9" stopIfTrue="1" operator="notEqual">
      <formula>INDIRECT("Dummy_for_Comparison5!"&amp;ADDRESS(ROW(),COLUMN()))</formula>
    </cfRule>
  </conditionalFormatting>
  <conditionalFormatting sqref="E90:F90">
    <cfRule type="cellIs" dxfId="6" priority="7" stopIfTrue="1" operator="notEqual">
      <formula>INDIRECT("Dummy_for_Comparison3!"&amp;ADDRESS(ROW(),COLUMN()))</formula>
    </cfRule>
  </conditionalFormatting>
  <conditionalFormatting sqref="E90:F90">
    <cfRule type="cellIs" dxfId="5" priority="6" stopIfTrue="1" operator="notEqual">
      <formula>INDIRECT("Dummy_for_Comparison3!"&amp;ADDRESS(ROW(),COLUMN()))</formula>
    </cfRule>
  </conditionalFormatting>
  <conditionalFormatting sqref="E91:F91">
    <cfRule type="cellIs" dxfId="4" priority="5" stopIfTrue="1" operator="notEqual">
      <formula>INDIRECT("Dummy_for_Comparison3!"&amp;ADDRESS(ROW(),COLUMN()))</formula>
    </cfRule>
  </conditionalFormatting>
  <conditionalFormatting sqref="E91:F91">
    <cfRule type="cellIs" dxfId="3" priority="4" stopIfTrue="1" operator="notEqual">
      <formula>INDIRECT("Dummy_for_Comparison3!"&amp;ADDRESS(ROW(),COLUMN()))</formula>
    </cfRule>
  </conditionalFormatting>
  <conditionalFormatting sqref="B89">
    <cfRule type="cellIs" dxfId="2" priority="3" stopIfTrue="1" operator="notEqual">
      <formula>INDIRECT("Dummy_for_Comparison3!"&amp;ADDRESS(ROW(),COLUMN()))</formula>
    </cfRule>
  </conditionalFormatting>
  <conditionalFormatting sqref="B89">
    <cfRule type="cellIs" dxfId="1" priority="2" stopIfTrue="1" operator="notEqual">
      <formula>INDIRECT("Dummy_for_Comparison3!"&amp;ADDRESS(ROW(),COLUMN()))</formula>
    </cfRule>
  </conditionalFormatting>
  <conditionalFormatting sqref="B90:B91">
    <cfRule type="cellIs" dxfId="0" priority="1" stopIfTrue="1" operator="notEqual">
      <formula>INDIRECT("Dummy_for_Comparison5!"&amp;ADDRESS(ROW(),COLUMN()))</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17</vt:i4>
      </vt:variant>
      <vt:variant>
        <vt:lpstr>Plages nommées</vt:lpstr>
      </vt:variant>
      <vt:variant>
        <vt:i4>8923</vt:i4>
      </vt:variant>
    </vt:vector>
  </HeadingPairs>
  <TitlesOfParts>
    <vt:vector size="8940" baseType="lpstr">
      <vt:lpstr>Help</vt:lpstr>
      <vt:lpstr>Concepts</vt:lpstr>
      <vt:lpstr>Parameters</vt:lpstr>
      <vt:lpstr>PU parameters</vt:lpstr>
      <vt:lpstr>Model</vt:lpstr>
      <vt:lpstr>pH</vt:lpstr>
      <vt:lpstr>Species</vt:lpstr>
      <vt:lpstr>Tableau</vt:lpstr>
      <vt:lpstr>Components</vt:lpstr>
      <vt:lpstr>Algebraic model</vt:lpstr>
      <vt:lpstr>Expert knowledge</vt:lpstr>
      <vt:lpstr>Calculated variables</vt:lpstr>
      <vt:lpstr>Functions</vt:lpstr>
      <vt:lpstr>Code</vt:lpstr>
      <vt:lpstr>systemcode_functions</vt:lpstr>
      <vt:lpstr>systemcode_constants</vt:lpstr>
      <vt:lpstr>other parameters</vt:lpstr>
      <vt:lpstr>µ_ALGAE</vt:lpstr>
      <vt:lpstr>µ_ALGAE_T</vt:lpstr>
      <vt:lpstr>µ_AMETO</vt:lpstr>
      <vt:lpstr>µ_AMETO_T</vt:lpstr>
      <vt:lpstr>µ_CASTO</vt:lpstr>
      <vt:lpstr>µ_CASTO_T</vt:lpstr>
      <vt:lpstr>µ_FERM_OHO</vt:lpstr>
      <vt:lpstr>µ_FERM_OHO_T</vt:lpstr>
      <vt:lpstr>µ_FERM_PAO</vt:lpstr>
      <vt:lpstr>µ_FERM_PAO_T</vt:lpstr>
      <vt:lpstr>µ_HMETO</vt:lpstr>
      <vt:lpstr>µ_HMETO_T</vt:lpstr>
      <vt:lpstr>µ_MEOLO</vt:lpstr>
      <vt:lpstr>µ_MEOLO_T</vt:lpstr>
      <vt:lpstr>µ_NITO</vt:lpstr>
      <vt:lpstr>µ_NITO_T</vt:lpstr>
      <vt:lpstr>µ_OHO</vt:lpstr>
      <vt:lpstr>µ_OHO_T</vt:lpstr>
      <vt:lpstr>µ_PAO_lim</vt:lpstr>
      <vt:lpstr>µ_PAO_lim_T</vt:lpstr>
      <vt:lpstr>A_AR</vt:lpstr>
      <vt:lpstr>A_Davies</vt:lpstr>
      <vt:lpstr>A_H2O</vt:lpstr>
      <vt:lpstr>A_MAc</vt:lpstr>
      <vt:lpstr>A_MAg</vt:lpstr>
      <vt:lpstr>A_MAl</vt:lpstr>
      <vt:lpstr>A_MAm</vt:lpstr>
      <vt:lpstr>A_MAr</vt:lpstr>
      <vt:lpstr>A_MAs</vt:lpstr>
      <vt:lpstr>A_MAt</vt:lpstr>
      <vt:lpstr>A_MAu</vt:lpstr>
      <vt:lpstr>A_MB</vt:lpstr>
      <vt:lpstr>A_MBa</vt:lpstr>
      <vt:lpstr>A_MBe</vt:lpstr>
      <vt:lpstr>A_MBh</vt:lpstr>
      <vt:lpstr>A_MBi</vt:lpstr>
      <vt:lpstr>A_MBk</vt:lpstr>
      <vt:lpstr>A_MBr</vt:lpstr>
      <vt:lpstr>A_MC</vt:lpstr>
      <vt:lpstr>A_MCa</vt:lpstr>
      <vt:lpstr>A_MCd</vt:lpstr>
      <vt:lpstr>A_MCe</vt:lpstr>
      <vt:lpstr>A_MCf</vt:lpstr>
      <vt:lpstr>A_MCl</vt:lpstr>
      <vt:lpstr>A_MCm</vt:lpstr>
      <vt:lpstr>A_MCn</vt:lpstr>
      <vt:lpstr>A_MCo</vt:lpstr>
      <vt:lpstr>A_MCr</vt:lpstr>
      <vt:lpstr>A_MCs</vt:lpstr>
      <vt:lpstr>A_MCu</vt:lpstr>
      <vt:lpstr>A_MDb</vt:lpstr>
      <vt:lpstr>A_MDs</vt:lpstr>
      <vt:lpstr>A_MDy</vt:lpstr>
      <vt:lpstr>A_MEr</vt:lpstr>
      <vt:lpstr>A_MEs</vt:lpstr>
      <vt:lpstr>A_MEu</vt:lpstr>
      <vt:lpstr>A_MF</vt:lpstr>
      <vt:lpstr>A_MFe</vt:lpstr>
      <vt:lpstr>A_MFl</vt:lpstr>
      <vt:lpstr>A_MFm</vt:lpstr>
      <vt:lpstr>A_MFr</vt:lpstr>
      <vt:lpstr>A_MGa</vt:lpstr>
      <vt:lpstr>A_MGd</vt:lpstr>
      <vt:lpstr>A_MGe</vt:lpstr>
      <vt:lpstr>A_MH</vt:lpstr>
      <vt:lpstr>A_MHe</vt:lpstr>
      <vt:lpstr>A_MHf</vt:lpstr>
      <vt:lpstr>A_MHg</vt:lpstr>
      <vt:lpstr>A_MHo</vt:lpstr>
      <vt:lpstr>A_MHs</vt:lpstr>
      <vt:lpstr>A_MI</vt:lpstr>
      <vt:lpstr>A_MIn</vt:lpstr>
      <vt:lpstr>A_MIr</vt:lpstr>
      <vt:lpstr>A_MK</vt:lpstr>
      <vt:lpstr>A_MKr</vt:lpstr>
      <vt:lpstr>A_MLa</vt:lpstr>
      <vt:lpstr>A_MLi</vt:lpstr>
      <vt:lpstr>A_MLr</vt:lpstr>
      <vt:lpstr>A_MLu</vt:lpstr>
      <vt:lpstr>A_MLv</vt:lpstr>
      <vt:lpstr>A_MMd</vt:lpstr>
      <vt:lpstr>A_MMg</vt:lpstr>
      <vt:lpstr>A_MMn</vt:lpstr>
      <vt:lpstr>A_MMo</vt:lpstr>
      <vt:lpstr>A_MMt</vt:lpstr>
      <vt:lpstr>A_MN</vt:lpstr>
      <vt:lpstr>A_MNa</vt:lpstr>
      <vt:lpstr>A_MNb</vt:lpstr>
      <vt:lpstr>A_MNd</vt:lpstr>
      <vt:lpstr>A_MNe</vt:lpstr>
      <vt:lpstr>A_MNi</vt:lpstr>
      <vt:lpstr>A_MNo</vt:lpstr>
      <vt:lpstr>A_MNp</vt:lpstr>
      <vt:lpstr>A_MO</vt:lpstr>
      <vt:lpstr>A_MOs</vt:lpstr>
      <vt:lpstr>A_MP</vt:lpstr>
      <vt:lpstr>A_MPa</vt:lpstr>
      <vt:lpstr>A_MPb</vt:lpstr>
      <vt:lpstr>A_MPd</vt:lpstr>
      <vt:lpstr>A_MPm</vt:lpstr>
      <vt:lpstr>A_MPo</vt:lpstr>
      <vt:lpstr>A_MPr</vt:lpstr>
      <vt:lpstr>A_MPt</vt:lpstr>
      <vt:lpstr>A_MPu</vt:lpstr>
      <vt:lpstr>A_MRa</vt:lpstr>
      <vt:lpstr>A_MRb</vt:lpstr>
      <vt:lpstr>A_MRe</vt:lpstr>
      <vt:lpstr>A_MRf</vt:lpstr>
      <vt:lpstr>A_MRg</vt:lpstr>
      <vt:lpstr>A_MRh</vt:lpstr>
      <vt:lpstr>A_MRn</vt:lpstr>
      <vt:lpstr>A_MRu</vt:lpstr>
      <vt:lpstr>A_MS</vt:lpstr>
      <vt:lpstr>A_MSb</vt:lpstr>
      <vt:lpstr>A_MSc</vt:lpstr>
      <vt:lpstr>A_MSe</vt:lpstr>
      <vt:lpstr>A_MSg</vt:lpstr>
      <vt:lpstr>A_MSi</vt:lpstr>
      <vt:lpstr>A_MSm</vt:lpstr>
      <vt:lpstr>A_MSn</vt:lpstr>
      <vt:lpstr>A_MSr</vt:lpstr>
      <vt:lpstr>A_MTa</vt:lpstr>
      <vt:lpstr>A_MTb</vt:lpstr>
      <vt:lpstr>A_MTc</vt:lpstr>
      <vt:lpstr>A_MTe</vt:lpstr>
      <vt:lpstr>A_MTh</vt:lpstr>
      <vt:lpstr>A_MTi</vt:lpstr>
      <vt:lpstr>A_MTl</vt:lpstr>
      <vt:lpstr>A_MTm</vt:lpstr>
      <vt:lpstr>A_MU</vt:lpstr>
      <vt:lpstr>A_MUuo</vt:lpstr>
      <vt:lpstr>A_MUup</vt:lpstr>
      <vt:lpstr>A_MUus</vt:lpstr>
      <vt:lpstr>A_MUut</vt:lpstr>
      <vt:lpstr>A_MV</vt:lpstr>
      <vt:lpstr>A_MW</vt:lpstr>
      <vt:lpstr>A_MXe</vt:lpstr>
      <vt:lpstr>A_MY</vt:lpstr>
      <vt:lpstr>A_MYb</vt:lpstr>
      <vt:lpstr>A_MZn</vt:lpstr>
      <vt:lpstr>A_MZr</vt:lpstr>
      <vt:lpstr>A_SFHAO_H</vt:lpstr>
      <vt:lpstr>A_SFHAO_L</vt:lpstr>
      <vt:lpstr>A_SFHFO_H</vt:lpstr>
      <vt:lpstr>A_SFHFO_L</vt:lpstr>
      <vt:lpstr>A_UR</vt:lpstr>
      <vt:lpstr>actferm_PAO_ORP</vt:lpstr>
      <vt:lpstr>actGAO</vt:lpstr>
      <vt:lpstr>actPAO</vt:lpstr>
      <vt:lpstr>actsto_GAO_ORP</vt:lpstr>
      <vt:lpstr>actsto_PAO_ORP</vt:lpstr>
      <vt:lpstr>b_ALGAE</vt:lpstr>
      <vt:lpstr>b_ALGAE_T</vt:lpstr>
      <vt:lpstr>b_AMETO</vt:lpstr>
      <vt:lpstr>b_AMETO_T</vt:lpstr>
      <vt:lpstr>b_CASTO</vt:lpstr>
      <vt:lpstr>b_CASTO_T</vt:lpstr>
      <vt:lpstr>B_ellinhpH</vt:lpstr>
      <vt:lpstr>B_ellinhpH_AMETO</vt:lpstr>
      <vt:lpstr>B_ellinhpH_FLOC_HAO</vt:lpstr>
      <vt:lpstr>B_ellinhpH_FLOC_HFO</vt:lpstr>
      <vt:lpstr>B_ellinhpH_HMETO</vt:lpstr>
      <vt:lpstr>B_ellinhpH_NITO</vt:lpstr>
      <vt:lpstr>B_H2O</vt:lpstr>
      <vt:lpstr>b_HMETO</vt:lpstr>
      <vt:lpstr>b_HMETO_T</vt:lpstr>
      <vt:lpstr>b_MEOLO</vt:lpstr>
      <vt:lpstr>b_MEOLO_T</vt:lpstr>
      <vt:lpstr>b_NITO</vt:lpstr>
      <vt:lpstr>b_NITO_T</vt:lpstr>
      <vt:lpstr>b_OHO</vt:lpstr>
      <vt:lpstr>b_OHO_T</vt:lpstr>
      <vt:lpstr>b_PP_ana</vt:lpstr>
      <vt:lpstr>b_PP_ana_T</vt:lpstr>
      <vt:lpstr>b_STC</vt:lpstr>
      <vt:lpstr>b_STC_T</vt:lpstr>
      <vt:lpstr>C_B</vt:lpstr>
      <vt:lpstr>c_cm_m</vt:lpstr>
      <vt:lpstr>c_cm2_m2</vt:lpstr>
      <vt:lpstr>c_cm3_m3</vt:lpstr>
      <vt:lpstr>c_d_mon</vt:lpstr>
      <vt:lpstr>c_d_w</vt:lpstr>
      <vt:lpstr>c_d_y</vt:lpstr>
      <vt:lpstr>c_ft_m</vt:lpstr>
      <vt:lpstr>c_ft2_m2</vt:lpstr>
      <vt:lpstr>c_ft3_m3</vt:lpstr>
      <vt:lpstr>c_g_kg</vt:lpstr>
      <vt:lpstr>c_G_m3</vt:lpstr>
      <vt:lpstr>c_g_ton</vt:lpstr>
      <vt:lpstr>c_h_d</vt:lpstr>
      <vt:lpstr>C_H2O</vt:lpstr>
      <vt:lpstr>c_hargebalance</vt:lpstr>
      <vt:lpstr>c_hargebalanceerror</vt:lpstr>
      <vt:lpstr>c_kJ_MJ</vt:lpstr>
      <vt:lpstr>c_L_m3</vt:lpstr>
      <vt:lpstr>c_lbs_g</vt:lpstr>
      <vt:lpstr>c_mg_g</vt:lpstr>
      <vt:lpstr>c_MG_m3</vt:lpstr>
      <vt:lpstr>c_micron_m</vt:lpstr>
      <vt:lpstr>c_min_d</vt:lpstr>
      <vt:lpstr>c_min_h</vt:lpstr>
      <vt:lpstr>c_mm_m</vt:lpstr>
      <vt:lpstr>c_mmol_mol</vt:lpstr>
      <vt:lpstr>c_ms_d</vt:lpstr>
      <vt:lpstr>c_ms_h</vt:lpstr>
      <vt:lpstr>c_ms_min</vt:lpstr>
      <vt:lpstr>c_ms_s</vt:lpstr>
      <vt:lpstr>c_oeffdamp_ALPHA</vt:lpstr>
      <vt:lpstr>c_oefflead_TSS_α_mech</vt:lpstr>
      <vt:lpstr>c_oefflin_TSS_α_mech</vt:lpstr>
      <vt:lpstr>c_onstTSS_α_mech</vt:lpstr>
      <vt:lpstr>c_orrh_diff_α</vt:lpstr>
      <vt:lpstr>c_orrTSS_α</vt:lpstr>
      <vt:lpstr>C_OUR</vt:lpstr>
      <vt:lpstr>c_p_water</vt:lpstr>
      <vt:lpstr>c_Pa_bar</vt:lpstr>
      <vt:lpstr>c_Pa_Hgmm</vt:lpstr>
      <vt:lpstr>c_Pa_mbar</vt:lpstr>
      <vt:lpstr>c_Pa_MPa</vt:lpstr>
      <vt:lpstr>c_percent_fraction</vt:lpstr>
      <vt:lpstr>c_percent_Vconc</vt:lpstr>
      <vt:lpstr>c_ppm_Vconc</vt:lpstr>
      <vt:lpstr>c_s_d</vt:lpstr>
      <vt:lpstr>c_s_h</vt:lpstr>
      <vt:lpstr>c_s_min</vt:lpstr>
      <vt:lpstr>C_U</vt:lpstr>
      <vt:lpstr>c_W_kW</vt:lpstr>
      <vt:lpstr>conc_Acm_I</vt:lpstr>
      <vt:lpstr>conc_Acm_Ieq</vt:lpstr>
      <vt:lpstr>conc_ANm_I</vt:lpstr>
      <vt:lpstr>conc_Ca2p_I</vt:lpstr>
      <vt:lpstr>conc_CATp_I</vt:lpstr>
      <vt:lpstr>conc_CO32m_I</vt:lpstr>
      <vt:lpstr>conc_Fe2p_I</vt:lpstr>
      <vt:lpstr>conc_H2CO3_I</vt:lpstr>
      <vt:lpstr>conc_H2PO4m_I</vt:lpstr>
      <vt:lpstr>conc_H2PO4m_Ieq</vt:lpstr>
      <vt:lpstr>conc_H3PO4_I</vt:lpstr>
      <vt:lpstr>conc_HAc_I</vt:lpstr>
      <vt:lpstr>conc_HCO3m_I</vt:lpstr>
      <vt:lpstr>conc_Hp_I</vt:lpstr>
      <vt:lpstr>conc_Hp_Ieq</vt:lpstr>
      <vt:lpstr>conc_HPO42m_I</vt:lpstr>
      <vt:lpstr>conc_HPO42m_Ieq</vt:lpstr>
      <vt:lpstr>conc_Kp_I</vt:lpstr>
      <vt:lpstr>conc_Mg2p_I</vt:lpstr>
      <vt:lpstr>conc_NH3_I</vt:lpstr>
      <vt:lpstr>conc_NH4p_I</vt:lpstr>
      <vt:lpstr>conc_NO3m_I</vt:lpstr>
      <vt:lpstr>conc_OHm_I</vt:lpstr>
      <vt:lpstr>conc_PO43m_I</vt:lpstr>
      <vt:lpstr>d_ampALPHA</vt:lpstr>
      <vt:lpstr>D_CB</vt:lpstr>
      <vt:lpstr>D_CU</vt:lpstr>
      <vt:lpstr>D_eltaHbio</vt:lpstr>
      <vt:lpstr>D_GCH4_25</vt:lpstr>
      <vt:lpstr>D_GCO2_25</vt:lpstr>
      <vt:lpstr>D_GH2_25</vt:lpstr>
      <vt:lpstr>D_GH2S_25</vt:lpstr>
      <vt:lpstr>D_GN2_25</vt:lpstr>
      <vt:lpstr>D_GN2O_25</vt:lpstr>
      <vt:lpstr>D_GNH3_25</vt:lpstr>
      <vt:lpstr>D_GNO_25</vt:lpstr>
      <vt:lpstr>D_GO2_25</vt:lpstr>
      <vt:lpstr>d_HCaCO3</vt:lpstr>
      <vt:lpstr>d_HCaH2PO4p</vt:lpstr>
      <vt:lpstr>d_HCaHCO3p</vt:lpstr>
      <vt:lpstr>d_HCaHPO4</vt:lpstr>
      <vt:lpstr>d_HCaOHp</vt:lpstr>
      <vt:lpstr>d_HCaPO4m</vt:lpstr>
      <vt:lpstr>d_Hdiss_But</vt:lpstr>
      <vt:lpstr>d_Hdiss_CO2_1</vt:lpstr>
      <vt:lpstr>d_Hdiss_CO2_2</vt:lpstr>
      <vt:lpstr>d_Hdiss_H2O</vt:lpstr>
      <vt:lpstr>d_Hdiss_NO2</vt:lpstr>
      <vt:lpstr>d_Hdiss_PO4_1</vt:lpstr>
      <vt:lpstr>d_Hdiss_PO4_2</vt:lpstr>
      <vt:lpstr>d_Hdiss_PO4_3</vt:lpstr>
      <vt:lpstr>d_Hdiss_Prop</vt:lpstr>
      <vt:lpstr>d_Hdiss_S_1</vt:lpstr>
      <vt:lpstr>d_Hdiss_S_2</vt:lpstr>
      <vt:lpstr>d_Hdiss_SO4_1</vt:lpstr>
      <vt:lpstr>d_Hdiss_SO4_2</vt:lpstr>
      <vt:lpstr>d_Hdiss_Val</vt:lpstr>
      <vt:lpstr>d_Hdiss_VFA</vt:lpstr>
      <vt:lpstr>d_Hion_amm</vt:lpstr>
      <vt:lpstr>d_HMgCO3</vt:lpstr>
      <vt:lpstr>d_HMgH2PO4p</vt:lpstr>
      <vt:lpstr>d_HMgHCO3p</vt:lpstr>
      <vt:lpstr>d_HMgHPO4</vt:lpstr>
      <vt:lpstr>d_HMgOHp</vt:lpstr>
      <vt:lpstr>d_HMgPO4m</vt:lpstr>
      <vt:lpstr>d_HNaHPO4m</vt:lpstr>
      <vt:lpstr>D_isplay_µALGAE_T</vt:lpstr>
      <vt:lpstr>D_isplay_µAOB_T</vt:lpstr>
      <vt:lpstr>D_isplay_BellinhpH_AOB</vt:lpstr>
      <vt:lpstr>D_isplay_LightSwitch</vt:lpstr>
      <vt:lpstr>D_isplay_LogsatpHCO2_AOB</vt:lpstr>
      <vt:lpstr>D_isplay_MinhpHHNO2_AOB</vt:lpstr>
      <vt:lpstr>D_isplay_MinhpHNH3_NITO</vt:lpstr>
      <vt:lpstr>D_isplay_MinhSNHx_KiNHx_ALGAE</vt:lpstr>
      <vt:lpstr>D_isplay_MsatSALK_KALK</vt:lpstr>
      <vt:lpstr>D_isplay_MsatSAN_KAN</vt:lpstr>
      <vt:lpstr>D_isplay_MsatSCa_KCa</vt:lpstr>
      <vt:lpstr>D_isplay_MsatSCAT_KCAT</vt:lpstr>
      <vt:lpstr>D_isplay_MsatSCO2_KCO2_ALGAE</vt:lpstr>
      <vt:lpstr>D_isplay_MsatSMg_KMg</vt:lpstr>
      <vt:lpstr>D_isplay_MsatSNHx_KNHx_ALGAE</vt:lpstr>
      <vt:lpstr>D_isplay_MsatSNHx_KNHx_AOB</vt:lpstr>
      <vt:lpstr>D_isplay_MsatSNOx_KNOx_ALGAE</vt:lpstr>
      <vt:lpstr>D_isplay_MsatSO2_KO2_AOB</vt:lpstr>
      <vt:lpstr>D_isplay_MsatSPO4_KPO4_BIO</vt:lpstr>
      <vt:lpstr>D_isplay_MsatSSO4_KSO4_BIO</vt:lpstr>
      <vt:lpstr>D_isplay_XALGAE</vt:lpstr>
      <vt:lpstr>D_isplay_XAOB</vt:lpstr>
      <vt:lpstr>D_NBS</vt:lpstr>
      <vt:lpstr>D_NH3</vt:lpstr>
      <vt:lpstr>D_NO3</vt:lpstr>
      <vt:lpstr>D_NUS</vt:lpstr>
      <vt:lpstr>D_PO4</vt:lpstr>
      <vt:lpstr>D_SA</vt:lpstr>
      <vt:lpstr>D_SALK</vt:lpstr>
      <vt:lpstr>D_SALPHA</vt:lpstr>
      <vt:lpstr>D_SAN</vt:lpstr>
      <vt:lpstr>D_SB</vt:lpstr>
      <vt:lpstr>D_SB_mono</vt:lpstr>
      <vt:lpstr>D_SB_poly</vt:lpstr>
      <vt:lpstr>D_SBSA</vt:lpstr>
      <vt:lpstr>D_SBSC</vt:lpstr>
      <vt:lpstr>D_SCa</vt:lpstr>
      <vt:lpstr>D_SCAT</vt:lpstr>
      <vt:lpstr>D_SCH4</vt:lpstr>
      <vt:lpstr>D_SCO2</vt:lpstr>
      <vt:lpstr>D_SF</vt:lpstr>
      <vt:lpstr>D_SFe2</vt:lpstr>
      <vt:lpstr>D_SH2</vt:lpstr>
      <vt:lpstr>D_SH2S</vt:lpstr>
      <vt:lpstr>D_SHCO</vt:lpstr>
      <vt:lpstr>D_SI</vt:lpstr>
      <vt:lpstr>D_SK</vt:lpstr>
      <vt:lpstr>D_SMEOL</vt:lpstr>
      <vt:lpstr>D_SMg</vt:lpstr>
      <vt:lpstr>D_SMM_index</vt:lpstr>
      <vt:lpstr>D_SN_B</vt:lpstr>
      <vt:lpstr>D_SN2</vt:lpstr>
      <vt:lpstr>D_SN2O</vt:lpstr>
      <vt:lpstr>D_SND</vt:lpstr>
      <vt:lpstr>D_SNH</vt:lpstr>
      <vt:lpstr>D_SNH2OH</vt:lpstr>
      <vt:lpstr>D_SNH4</vt:lpstr>
      <vt:lpstr>D_SNHx</vt:lpstr>
      <vt:lpstr>D_SNO</vt:lpstr>
      <vt:lpstr>D_SNO2</vt:lpstr>
      <vt:lpstr>D_SNO3</vt:lpstr>
      <vt:lpstr>D_SNOx</vt:lpstr>
      <vt:lpstr>D_SO</vt:lpstr>
      <vt:lpstr>D_SO2</vt:lpstr>
      <vt:lpstr>D_SP_B</vt:lpstr>
      <vt:lpstr>D_SPO</vt:lpstr>
      <vt:lpstr>D_SPO4</vt:lpstr>
      <vt:lpstr>D_SS</vt:lpstr>
      <vt:lpstr>D_SSO4</vt:lpstr>
      <vt:lpstr>D_SU</vt:lpstr>
      <vt:lpstr>D_SUS</vt:lpstr>
      <vt:lpstr>D_SVFA</vt:lpstr>
      <vt:lpstr>E_EQFe2</vt:lpstr>
      <vt:lpstr>E_EQH2S</vt:lpstr>
      <vt:lpstr>E_EQN2</vt:lpstr>
      <vt:lpstr>E_EQN2_N2O</vt:lpstr>
      <vt:lpstr>E_EQN2_NO2</vt:lpstr>
      <vt:lpstr>E_EQN2_NO3</vt:lpstr>
      <vt:lpstr>E_EQN2O</vt:lpstr>
      <vt:lpstr>E_EQN2O_NO</vt:lpstr>
      <vt:lpstr>E_EQNH2OH</vt:lpstr>
      <vt:lpstr>E_EQNH2OH_NO</vt:lpstr>
      <vt:lpstr>E_EQNO</vt:lpstr>
      <vt:lpstr>E_EQNO_NO2</vt:lpstr>
      <vt:lpstr>E_EQNO2</vt:lpstr>
      <vt:lpstr>E_EQNO2_NO3</vt:lpstr>
      <vt:lpstr>E_EQNO3</vt:lpstr>
      <vt:lpstr>E_EQS</vt:lpstr>
      <vt:lpstr>e_rrorNHx_NOx</vt:lpstr>
      <vt:lpstr>F__</vt:lpstr>
      <vt:lpstr>f_Ar_air</vt:lpstr>
      <vt:lpstr>f_bw_floc</vt:lpstr>
      <vt:lpstr>f_C_BOD5_BODult</vt:lpstr>
      <vt:lpstr>f_CO2_air</vt:lpstr>
      <vt:lpstr>f_di</vt:lpstr>
      <vt:lpstr>f_di_IS_an</vt:lpstr>
      <vt:lpstr>f_di_IS_cat</vt:lpstr>
      <vt:lpstr>f_di_ISlim</vt:lpstr>
      <vt:lpstr>f_E</vt:lpstr>
      <vt:lpstr>f_H2O_HAO_TSS</vt:lpstr>
      <vt:lpstr>f_H2O_HAO_VSS</vt:lpstr>
      <vt:lpstr>f_H2O_HFO_TSS</vt:lpstr>
      <vt:lpstr>f_H2O_HFO_VSS</vt:lpstr>
      <vt:lpstr>f_kL_GCH4</vt:lpstr>
      <vt:lpstr>f_kL_GCO2</vt:lpstr>
      <vt:lpstr>f_kL_GH2</vt:lpstr>
      <vt:lpstr>f_kL_GN2</vt:lpstr>
      <vt:lpstr>f_kL_GNH3</vt:lpstr>
      <vt:lpstr>f_KS</vt:lpstr>
      <vt:lpstr>f_KS_biofilm</vt:lpstr>
      <vt:lpstr>f_mono</vt:lpstr>
      <vt:lpstr>f_mono_IS_an</vt:lpstr>
      <vt:lpstr>f_mono_IS_cat</vt:lpstr>
      <vt:lpstr>f_mono_ISlim</vt:lpstr>
      <vt:lpstr>f_N2_air</vt:lpstr>
      <vt:lpstr>f_Na</vt:lpstr>
      <vt:lpstr>f_O2_air</vt:lpstr>
      <vt:lpstr>f_O2_max_ALPHA</vt:lpstr>
      <vt:lpstr>f_P_VFA</vt:lpstr>
      <vt:lpstr>f_S_BOD5_BODult</vt:lpstr>
      <vt:lpstr>f_TOC_1</vt:lpstr>
      <vt:lpstr>f_TOC_2</vt:lpstr>
      <vt:lpstr>f_tri</vt:lpstr>
      <vt:lpstr>f_tri_IS_an</vt:lpstr>
      <vt:lpstr>f_tri_IS_cat</vt:lpstr>
      <vt:lpstr>f_tri_ISlim</vt:lpstr>
      <vt:lpstr>f_VFA_DM</vt:lpstr>
      <vt:lpstr>f_X_BOD5_BODult</vt:lpstr>
      <vt:lpstr>G_CH4</vt:lpstr>
      <vt:lpstr>G_CH4_atm</vt:lpstr>
      <vt:lpstr>G_CO2</vt:lpstr>
      <vt:lpstr>G_CO2_atm</vt:lpstr>
      <vt:lpstr>g_grav</vt:lpstr>
      <vt:lpstr>G_H2</vt:lpstr>
      <vt:lpstr>G_H2_atm</vt:lpstr>
      <vt:lpstr>G_N2</vt:lpstr>
      <vt:lpstr>G_N2_atm</vt:lpstr>
      <vt:lpstr>G_NH3</vt:lpstr>
      <vt:lpstr>G_NH3_atm</vt:lpstr>
      <vt:lpstr>G_O2</vt:lpstr>
      <vt:lpstr>G_O2_atm</vt:lpstr>
      <vt:lpstr>H_Acm</vt:lpstr>
      <vt:lpstr>H_Ca2p</vt:lpstr>
      <vt:lpstr>H_CO32m</vt:lpstr>
      <vt:lpstr>h_diff</vt:lpstr>
      <vt:lpstr>H_enryGCH4_25</vt:lpstr>
      <vt:lpstr>H_enryGCH4_dt</vt:lpstr>
      <vt:lpstr>H_enryGCO2_25</vt:lpstr>
      <vt:lpstr>H_enryGCO2_dt</vt:lpstr>
      <vt:lpstr>H_enryGH2_25</vt:lpstr>
      <vt:lpstr>H_enryGH2_dt</vt:lpstr>
      <vt:lpstr>H_enryGH2S_25</vt:lpstr>
      <vt:lpstr>H_enryGH2S_dt</vt:lpstr>
      <vt:lpstr>H_enryGN2_25</vt:lpstr>
      <vt:lpstr>H_enryGN2_dt</vt:lpstr>
      <vt:lpstr>H_enryGN2O_25</vt:lpstr>
      <vt:lpstr>H_enryGN2O_dt</vt:lpstr>
      <vt:lpstr>H_enryGNH3_25</vt:lpstr>
      <vt:lpstr>H_enryGNH3_dt</vt:lpstr>
      <vt:lpstr>H_enryGNO_25</vt:lpstr>
      <vt:lpstr>H_enryGNO_dt</vt:lpstr>
      <vt:lpstr>H_enryGO2_25</vt:lpstr>
      <vt:lpstr>H_enryGO2_dt</vt:lpstr>
      <vt:lpstr>H_H2CO3</vt:lpstr>
      <vt:lpstr>H_H2O</vt:lpstr>
      <vt:lpstr>H_H2PO4m</vt:lpstr>
      <vt:lpstr>H_H2S</vt:lpstr>
      <vt:lpstr>H_H2SO4</vt:lpstr>
      <vt:lpstr>H_H3Op</vt:lpstr>
      <vt:lpstr>H_H3PO4</vt:lpstr>
      <vt:lpstr>H_HAc</vt:lpstr>
      <vt:lpstr>H_HCO3m</vt:lpstr>
      <vt:lpstr>H_HNO2</vt:lpstr>
      <vt:lpstr>H_Hp</vt:lpstr>
      <vt:lpstr>H_HPO42m</vt:lpstr>
      <vt:lpstr>H_HSm</vt:lpstr>
      <vt:lpstr>H_HSO4m</vt:lpstr>
      <vt:lpstr>H_Mg2p</vt:lpstr>
      <vt:lpstr>H_Nap</vt:lpstr>
      <vt:lpstr>H_NH3</vt:lpstr>
      <vt:lpstr>H_NH4p</vt:lpstr>
      <vt:lpstr>H_NO2m</vt:lpstr>
      <vt:lpstr>H_NO3m</vt:lpstr>
      <vt:lpstr>H_OHm</vt:lpstr>
      <vt:lpstr>H_PO43m</vt:lpstr>
      <vt:lpstr>H_S2m</vt:lpstr>
      <vt:lpstr>H_satSVFA_AMETO</vt:lpstr>
      <vt:lpstr>H_SO42m</vt:lpstr>
      <vt:lpstr>H_STP</vt:lpstr>
      <vt:lpstr>i_Ca_INORG</vt:lpstr>
      <vt:lpstr>i_Ca_PP</vt:lpstr>
      <vt:lpstr>i_CIT_ALGAE</vt:lpstr>
      <vt:lpstr>i_CIT_BIO</vt:lpstr>
      <vt:lpstr>i_CIT_CH4</vt:lpstr>
      <vt:lpstr>i_CIT_MEOL</vt:lpstr>
      <vt:lpstr>i_CIT_PHA</vt:lpstr>
      <vt:lpstr>i_CIT_SB</vt:lpstr>
      <vt:lpstr>i_CIT_STC</vt:lpstr>
      <vt:lpstr>i_CIT_VFA</vt:lpstr>
      <vt:lpstr>i_CIT_XBe</vt:lpstr>
      <vt:lpstr>i_CV_BIO</vt:lpstr>
      <vt:lpstr>i_CV_CB</vt:lpstr>
      <vt:lpstr>i_CV_CU</vt:lpstr>
      <vt:lpstr>i_CV_PHA</vt:lpstr>
      <vt:lpstr>i_CV_SB</vt:lpstr>
      <vt:lpstr>i_CV_SU</vt:lpstr>
      <vt:lpstr>i_CV_VFA</vt:lpstr>
      <vt:lpstr>i_CV_XB</vt:lpstr>
      <vt:lpstr>i_CV_XBe</vt:lpstr>
      <vt:lpstr>i_CV_XE</vt:lpstr>
      <vt:lpstr>i_CV_XU</vt:lpstr>
      <vt:lpstr>i_INORG</vt:lpstr>
      <vt:lpstr>i_iw_BIO</vt:lpstr>
      <vt:lpstr>i_K_PP</vt:lpstr>
      <vt:lpstr>i_Mg_INORG</vt:lpstr>
      <vt:lpstr>i_Mg_PP</vt:lpstr>
      <vt:lpstr>i_N_ALGAE</vt:lpstr>
      <vt:lpstr>i_N_BIO</vt:lpstr>
      <vt:lpstr>i_N_CB</vt:lpstr>
      <vt:lpstr>i_N_CU</vt:lpstr>
      <vt:lpstr>i_N_SU</vt:lpstr>
      <vt:lpstr>i_N_XE</vt:lpstr>
      <vt:lpstr>i_N_XSTR</vt:lpstr>
      <vt:lpstr>i_P_ALGAE</vt:lpstr>
      <vt:lpstr>i_P_BIO</vt:lpstr>
      <vt:lpstr>i_P_CB</vt:lpstr>
      <vt:lpstr>i_P_CU</vt:lpstr>
      <vt:lpstr>i_P_SU</vt:lpstr>
      <vt:lpstr>i_P_XACP</vt:lpstr>
      <vt:lpstr>i_P_XBSH</vt:lpstr>
      <vt:lpstr>i_P_XSTR</vt:lpstr>
      <vt:lpstr>i_P_XVivi</vt:lpstr>
      <vt:lpstr>I_S</vt:lpstr>
      <vt:lpstr>I_Scalc</vt:lpstr>
      <vt:lpstr>I_Serror</vt:lpstr>
      <vt:lpstr>I_Sinput_AS</vt:lpstr>
      <vt:lpstr>I_Sinput_DIG</vt:lpstr>
      <vt:lpstr>I_Sinput_sidestream</vt:lpstr>
      <vt:lpstr>I_Slim</vt:lpstr>
      <vt:lpstr>i_TSS_PP</vt:lpstr>
      <vt:lpstr>i_vw_BIO</vt:lpstr>
      <vt:lpstr>i_vw_CB</vt:lpstr>
      <vt:lpstr>i_vw_CU</vt:lpstr>
      <vt:lpstr>i_vw_EPS</vt:lpstr>
      <vt:lpstr>i_vw_PHA</vt:lpstr>
      <vt:lpstr>i_vw_XB</vt:lpstr>
      <vt:lpstr>i_vw_XBe</vt:lpstr>
      <vt:lpstr>i_vw_XE</vt:lpstr>
      <vt:lpstr>i_vw_XU</vt:lpstr>
      <vt:lpstr>i_wh_BIO</vt:lpstr>
      <vt:lpstr>i_wh_EPS</vt:lpstr>
      <vt:lpstr>i_wh_PHA</vt:lpstr>
      <vt:lpstr>i_wh_XB</vt:lpstr>
      <vt:lpstr>i_wh_XBe</vt:lpstr>
      <vt:lpstr>i_wh_XE</vt:lpstr>
      <vt:lpstr>i_wh_XU</vt:lpstr>
      <vt:lpstr>J_photosynt_solar</vt:lpstr>
      <vt:lpstr>J_photosynt_solar_opt</vt:lpstr>
      <vt:lpstr>K_Ac</vt:lpstr>
      <vt:lpstr>K_Ac_param</vt:lpstr>
      <vt:lpstr>K_Ac_T</vt:lpstr>
      <vt:lpstr>K_ACP_DISS</vt:lpstr>
      <vt:lpstr>K_AN</vt:lpstr>
      <vt:lpstr>K_AN_AS</vt:lpstr>
      <vt:lpstr>K_BSH_DISS</vt:lpstr>
      <vt:lpstr>K_But_param</vt:lpstr>
      <vt:lpstr>K_C1</vt:lpstr>
      <vt:lpstr>K_C1_param</vt:lpstr>
      <vt:lpstr>K_C1_T</vt:lpstr>
      <vt:lpstr>K_C2</vt:lpstr>
      <vt:lpstr>K_C2_param</vt:lpstr>
      <vt:lpstr>K_C2_T</vt:lpstr>
      <vt:lpstr>K_Ca_BIO</vt:lpstr>
      <vt:lpstr>K_Ca_BIO_AS</vt:lpstr>
      <vt:lpstr>K_Ca_PAO</vt:lpstr>
      <vt:lpstr>K_Ca_PAO_AS</vt:lpstr>
      <vt:lpstr>K_CaCO3_DISS</vt:lpstr>
      <vt:lpstr>K_CAT</vt:lpstr>
      <vt:lpstr>K_CAT_AS</vt:lpstr>
      <vt:lpstr>K_CB_FLOC</vt:lpstr>
      <vt:lpstr>K_CB_FLOC_HAO</vt:lpstr>
      <vt:lpstr>K_CB_FLOC_HFO</vt:lpstr>
      <vt:lpstr>K_CO2_ALGAE</vt:lpstr>
      <vt:lpstr>K_CO2_BIO</vt:lpstr>
      <vt:lpstr>K_CO2_BIO_AS</vt:lpstr>
      <vt:lpstr>K_CO2_NITO_pH</vt:lpstr>
      <vt:lpstr>K_CO2_NITO_pH_AS</vt:lpstr>
      <vt:lpstr>K_CO2_NITO_pH_sidestream</vt:lpstr>
      <vt:lpstr>K_CU_FLOC</vt:lpstr>
      <vt:lpstr>K_CU_FLOC_HAO</vt:lpstr>
      <vt:lpstr>K_CU_FLOC_HFO</vt:lpstr>
      <vt:lpstr>K_H2_HMETO</vt:lpstr>
      <vt:lpstr>K_H2_HMETO_AS</vt:lpstr>
      <vt:lpstr>K_H2S_param</vt:lpstr>
      <vt:lpstr>K_HYD</vt:lpstr>
      <vt:lpstr>K_HYD_AS</vt:lpstr>
      <vt:lpstr>K_iNH3_AMETO_pH</vt:lpstr>
      <vt:lpstr>K_iNH3_AMETO_pH_AS</vt:lpstr>
      <vt:lpstr>K_iNH3_NITO_pH</vt:lpstr>
      <vt:lpstr>K_iNH3_NITO_pH_AS</vt:lpstr>
      <vt:lpstr>K_iNHx_ALGAE</vt:lpstr>
      <vt:lpstr>K_iNHx_ASSIM</vt:lpstr>
      <vt:lpstr>K_iNHx_ASSIM_AS</vt:lpstr>
      <vt:lpstr>K_iO2_AMETO</vt:lpstr>
      <vt:lpstr>K_iO2_AMETO_AS</vt:lpstr>
      <vt:lpstr>K_iO2_HMETO</vt:lpstr>
      <vt:lpstr>K_iO2_HMETO_AS</vt:lpstr>
      <vt:lpstr>K_iO2_MEOLO</vt:lpstr>
      <vt:lpstr>K_iO2_MEOLO_AS</vt:lpstr>
      <vt:lpstr>K_iP_HAO_DESORP</vt:lpstr>
      <vt:lpstr>K_iP_HAO_DISS</vt:lpstr>
      <vt:lpstr>K_iP_HFO_DESORP</vt:lpstr>
      <vt:lpstr>K_iP_HFO_DISS</vt:lpstr>
      <vt:lpstr>K_iPHA_GAO_max</vt:lpstr>
      <vt:lpstr>K_iPHA_PAO_max</vt:lpstr>
      <vt:lpstr>K_iPO4_lim</vt:lpstr>
      <vt:lpstr>K_iPO4_lim_AS</vt:lpstr>
      <vt:lpstr>K_iPP_PAO_max</vt:lpstr>
      <vt:lpstr>K_iVFA_AMETO</vt:lpstr>
      <vt:lpstr>K_iVFA_AMETO_AS</vt:lpstr>
      <vt:lpstr>K_K_PAO</vt:lpstr>
      <vt:lpstr>K_K_PAO_AS</vt:lpstr>
      <vt:lpstr>k_L_GCH4_bub</vt:lpstr>
      <vt:lpstr>k_L_GCH4_sur</vt:lpstr>
      <vt:lpstr>k_L_GCO2_bub</vt:lpstr>
      <vt:lpstr>k_L_GCO2_sur</vt:lpstr>
      <vt:lpstr>k_L_GH2_bub</vt:lpstr>
      <vt:lpstr>k_L_GH2_sur</vt:lpstr>
      <vt:lpstr>k_L_GN2_bub</vt:lpstr>
      <vt:lpstr>k_L_GN2_sur</vt:lpstr>
      <vt:lpstr>k_L_GNH3_bub</vt:lpstr>
      <vt:lpstr>k_L_GNH3_sur</vt:lpstr>
      <vt:lpstr>k_L_GO2_bub</vt:lpstr>
      <vt:lpstr>k_L_GO2_PondSurface</vt:lpstr>
      <vt:lpstr>k_L_GO2_sur</vt:lpstr>
      <vt:lpstr>k_LaGCH4_bub</vt:lpstr>
      <vt:lpstr>k_LaGCH4_sur</vt:lpstr>
      <vt:lpstr>k_LaGCO2_bub</vt:lpstr>
      <vt:lpstr>k_LaGCO2_sur</vt:lpstr>
      <vt:lpstr>k_LaGH2_bub</vt:lpstr>
      <vt:lpstr>k_LaGH2_sur</vt:lpstr>
      <vt:lpstr>k_LaGH2S_bub</vt:lpstr>
      <vt:lpstr>k_LaGH2S_sur</vt:lpstr>
      <vt:lpstr>k_LaGN2_bub</vt:lpstr>
      <vt:lpstr>k_LaGN2_sur</vt:lpstr>
      <vt:lpstr>k_LaGNH3_bub</vt:lpstr>
      <vt:lpstr>k_LaGNH3_sur</vt:lpstr>
      <vt:lpstr>k_LaGO2_bub</vt:lpstr>
      <vt:lpstr>k_LaGO2_sur</vt:lpstr>
      <vt:lpstr>K_MEOL</vt:lpstr>
      <vt:lpstr>K_MEOL_AS</vt:lpstr>
      <vt:lpstr>K_MEOL_OHO</vt:lpstr>
      <vt:lpstr>K_MEOL_OHO_AS</vt:lpstr>
      <vt:lpstr>K_Mg_BIO</vt:lpstr>
      <vt:lpstr>K_Mg_BIO_AS</vt:lpstr>
      <vt:lpstr>K_Mg_PAO</vt:lpstr>
      <vt:lpstr>K_Mg_PAO_AS</vt:lpstr>
      <vt:lpstr>K_NH3</vt:lpstr>
      <vt:lpstr>K_NH3_param</vt:lpstr>
      <vt:lpstr>K_NH3_T</vt:lpstr>
      <vt:lpstr>K_NHx_ALGAE</vt:lpstr>
      <vt:lpstr>K_NHx_BIO</vt:lpstr>
      <vt:lpstr>K_NHx_BIO_AS</vt:lpstr>
      <vt:lpstr>K_NHx_NITO</vt:lpstr>
      <vt:lpstr>K_NHx_NITO_AS</vt:lpstr>
      <vt:lpstr>K_NO2_param</vt:lpstr>
      <vt:lpstr>K_NOx_ALGAE</vt:lpstr>
      <vt:lpstr>K_NOx_AMETO</vt:lpstr>
      <vt:lpstr>K_NOx_AMETO_AS</vt:lpstr>
      <vt:lpstr>K_NOx_ASSIM</vt:lpstr>
      <vt:lpstr>K_NOx_ASSIM_AS</vt:lpstr>
      <vt:lpstr>K_NOx_CASTO</vt:lpstr>
      <vt:lpstr>K_NOx_CASTO_AS</vt:lpstr>
      <vt:lpstr>K_NOx_HMETO</vt:lpstr>
      <vt:lpstr>K_NOx_HMETO_AS</vt:lpstr>
      <vt:lpstr>K_NOx_MEOLO</vt:lpstr>
      <vt:lpstr>K_NOx_MEOLO_AS</vt:lpstr>
      <vt:lpstr>K_NOx_NITO</vt:lpstr>
      <vt:lpstr>K_NOx_NITO_AS</vt:lpstr>
      <vt:lpstr>K_NOx_OHO</vt:lpstr>
      <vt:lpstr>K_NOx_OHO_AS</vt:lpstr>
      <vt:lpstr>K_O2_ALGAE</vt:lpstr>
      <vt:lpstr>K_O2_ALPHA</vt:lpstr>
      <vt:lpstr>K_O2_CASTO</vt:lpstr>
      <vt:lpstr>K_O2_CASTO_AS</vt:lpstr>
      <vt:lpstr>K_O2_NITO</vt:lpstr>
      <vt:lpstr>K_O2_NITO_AS</vt:lpstr>
      <vt:lpstr>K_O2_NITO_sidestream</vt:lpstr>
      <vt:lpstr>K_O2_OHO</vt:lpstr>
      <vt:lpstr>K_O2_OHO_AS</vt:lpstr>
      <vt:lpstr>K_OC_PFOA_EQ</vt:lpstr>
      <vt:lpstr>K_OC_PFOS_EQ</vt:lpstr>
      <vt:lpstr>K_ORP_ana</vt:lpstr>
      <vt:lpstr>K_ORP_SNOx</vt:lpstr>
      <vt:lpstr>K_ORP_SO2</vt:lpstr>
      <vt:lpstr>k_ORPswitch</vt:lpstr>
      <vt:lpstr>K_P_HAO_BIND</vt:lpstr>
      <vt:lpstr>K_P_HFO_BIND</vt:lpstr>
      <vt:lpstr>K_P1</vt:lpstr>
      <vt:lpstr>K_P1_param</vt:lpstr>
      <vt:lpstr>K_P1_T</vt:lpstr>
      <vt:lpstr>K_P2</vt:lpstr>
      <vt:lpstr>K_P2_param</vt:lpstr>
      <vt:lpstr>K_P2_T</vt:lpstr>
      <vt:lpstr>K_P3</vt:lpstr>
      <vt:lpstr>K_P3_param</vt:lpstr>
      <vt:lpstr>K_P3_T</vt:lpstr>
      <vt:lpstr>K_PHA</vt:lpstr>
      <vt:lpstr>K_PHA_cle</vt:lpstr>
      <vt:lpstr>K_PHA_GAO</vt:lpstr>
      <vt:lpstr>K_PO4_BIO</vt:lpstr>
      <vt:lpstr>K_PO4_BIO_AS</vt:lpstr>
      <vt:lpstr>K_PO4_PAO</vt:lpstr>
      <vt:lpstr>K_PO4_PAO_AS</vt:lpstr>
      <vt:lpstr>K_PP</vt:lpstr>
      <vt:lpstr>K_PP_lim</vt:lpstr>
      <vt:lpstr>K_Prop_param</vt:lpstr>
      <vt:lpstr>K_S1_param</vt:lpstr>
      <vt:lpstr>K_S2_param</vt:lpstr>
      <vt:lpstr>K_SB</vt:lpstr>
      <vt:lpstr>K_SB_ana</vt:lpstr>
      <vt:lpstr>K_SB_ana_AS</vt:lpstr>
      <vt:lpstr>K_SB_ana_DIG</vt:lpstr>
      <vt:lpstr>K_SB_AS</vt:lpstr>
      <vt:lpstr>K_SO41_param</vt:lpstr>
      <vt:lpstr>K_SO42_param</vt:lpstr>
      <vt:lpstr>K_sp_ACP</vt:lpstr>
      <vt:lpstr>K_sp_ACP_param</vt:lpstr>
      <vt:lpstr>K_sp_BSH</vt:lpstr>
      <vt:lpstr>K_sp_BSH_param</vt:lpstr>
      <vt:lpstr>K_sp_CaCO3</vt:lpstr>
      <vt:lpstr>K_sp_CaCO3_param</vt:lpstr>
      <vt:lpstr>K_sp_FeS_param</vt:lpstr>
      <vt:lpstr>K_sp_HDP_param</vt:lpstr>
      <vt:lpstr>K_sp_MKP_param</vt:lpstr>
      <vt:lpstr>K_sp_STR</vt:lpstr>
      <vt:lpstr>K_sp_STR_param</vt:lpstr>
      <vt:lpstr>K_sp_Vivi</vt:lpstr>
      <vt:lpstr>K_sp_Vivi_param</vt:lpstr>
      <vt:lpstr>K_STC</vt:lpstr>
      <vt:lpstr>K_STR_DISS</vt:lpstr>
      <vt:lpstr>k_transfer_GCO2_bub</vt:lpstr>
      <vt:lpstr>k_transfer_GCO2_sur</vt:lpstr>
      <vt:lpstr>k_transfer_GNH3_bub</vt:lpstr>
      <vt:lpstr>k_transfer_GNH3_sur</vt:lpstr>
      <vt:lpstr>K_Val_param</vt:lpstr>
      <vt:lpstr>K_VFA</vt:lpstr>
      <vt:lpstr>K_VFA_AMETO</vt:lpstr>
      <vt:lpstr>K_VFA_AMETO_AS</vt:lpstr>
      <vt:lpstr>K_VFA_AS</vt:lpstr>
      <vt:lpstr>K_VFA_CASTO</vt:lpstr>
      <vt:lpstr>K_VFA_CASTO_AS</vt:lpstr>
      <vt:lpstr>K_VFA_FERM</vt:lpstr>
      <vt:lpstr>K_VFA_FERM_AS</vt:lpstr>
      <vt:lpstr>K_Vivi_DISS</vt:lpstr>
      <vt:lpstr>K_W</vt:lpstr>
      <vt:lpstr>K_W_param</vt:lpstr>
      <vt:lpstr>K_W_T</vt:lpstr>
      <vt:lpstr>K_XB_HYD</vt:lpstr>
      <vt:lpstr>K_XBe_HYD</vt:lpstr>
      <vt:lpstr>K_XEana_HYD</vt:lpstr>
      <vt:lpstr>K_XTSS_lightextinction</vt:lpstr>
      <vt:lpstr>K_XU</vt:lpstr>
      <vt:lpstr>L_ightSwitch</vt:lpstr>
      <vt:lpstr>L_oginhORP_HFO</vt:lpstr>
      <vt:lpstr>L_oginhORP_PAO</vt:lpstr>
      <vt:lpstr>L_oginhpHNH3_AMETO</vt:lpstr>
      <vt:lpstr>L_oginhSPO4_KiP_HAO_DISS</vt:lpstr>
      <vt:lpstr>L_oginhSPO4_KiP_HFO_DISS</vt:lpstr>
      <vt:lpstr>L_oginhSVFA_KVFA_FERM</vt:lpstr>
      <vt:lpstr>L_oginhXHET_HYD_lim</vt:lpstr>
      <vt:lpstr>L_oginhXPHA_XGAO_max</vt:lpstr>
      <vt:lpstr>L_oginhXPHA_XPAO_max</vt:lpstr>
      <vt:lpstr>L_oginhXPP_XPAO_max</vt:lpstr>
      <vt:lpstr>L_ograngeCO2_NITO_pH_AS</vt:lpstr>
      <vt:lpstr>L_ograngeCO2_NITO_pH_sidestream</vt:lpstr>
      <vt:lpstr>L_ograngeNH3_AMETO</vt:lpstr>
      <vt:lpstr>L_ograngeP_HAO_DISS</vt:lpstr>
      <vt:lpstr>L_ograngeP_HFO_DISS</vt:lpstr>
      <vt:lpstr>L_ograngePHA_GAO_inh</vt:lpstr>
      <vt:lpstr>L_ograngePHA_PAO_inh</vt:lpstr>
      <vt:lpstr>L_ograngePO4_PAO_AS_sat</vt:lpstr>
      <vt:lpstr>L_ograngePP_PAO_AS_sat</vt:lpstr>
      <vt:lpstr>L_ograngePP_PAO_inh</vt:lpstr>
      <vt:lpstr>L_ograngeVFA_FERM_AS</vt:lpstr>
      <vt:lpstr>L_ograngeXHET_HYD_lim</vt:lpstr>
      <vt:lpstr>L_ogsatORP_GAO_Half_15</vt:lpstr>
      <vt:lpstr>L_ogsatORP_GAO_Half_25</vt:lpstr>
      <vt:lpstr>L_ogsatORP_GAO_Half_T</vt:lpstr>
      <vt:lpstr>L_ogsatORP_GAO_Slope</vt:lpstr>
      <vt:lpstr>L_ogsatORP_GAO_T</vt:lpstr>
      <vt:lpstr>L_ogsatORP_HFO_Half</vt:lpstr>
      <vt:lpstr>L_ogsatORP_HFO_Slope</vt:lpstr>
      <vt:lpstr>L_ogsatORP_PAO_Half</vt:lpstr>
      <vt:lpstr>L_ogsatORP_PAO_Slope</vt:lpstr>
      <vt:lpstr>L_ogsatpHCO2_NITO</vt:lpstr>
      <vt:lpstr>L_ogsatSPO4_KPO4_PAO</vt:lpstr>
      <vt:lpstr>L_ogsatSVFA_KVFA_FERM</vt:lpstr>
      <vt:lpstr>L_ogsatXHET_HYD_lim</vt:lpstr>
      <vt:lpstr>L_ogsatXPP_KPO4_PAO</vt:lpstr>
      <vt:lpstr>L_ogslopeCO2_NITO_pH</vt:lpstr>
      <vt:lpstr>L_ogslopeNH3_AMETO_pH</vt:lpstr>
      <vt:lpstr>L_ogslopeP_HAO_DISS</vt:lpstr>
      <vt:lpstr>L_ogslopeP_HFO_DISS</vt:lpstr>
      <vt:lpstr>L_ogslopePHA_GAO_inh</vt:lpstr>
      <vt:lpstr>L_ogslopePHA_PAO_inh</vt:lpstr>
      <vt:lpstr>L_ogslopePO4_PAO_sat</vt:lpstr>
      <vt:lpstr>L_ogslopePP_PAO_inh</vt:lpstr>
      <vt:lpstr>L_ogslopePP_PAO_sat</vt:lpstr>
      <vt:lpstr>L_ogslopeVFA_FERM</vt:lpstr>
      <vt:lpstr>L_ogslopeXHET_HYD_lim</vt:lpstr>
      <vt:lpstr>M_inhpHNH3_NITO</vt:lpstr>
      <vt:lpstr>M_inhSNHx_KiNHx_ALGAE</vt:lpstr>
      <vt:lpstr>M_inhSNHx_KiNHx_ASSIM</vt:lpstr>
      <vt:lpstr>M_inhSNOx_KNOx_AMETO</vt:lpstr>
      <vt:lpstr>M_inhSNOx_KNOx_CASTO</vt:lpstr>
      <vt:lpstr>M_inhSNOx_KNOx_HMETO</vt:lpstr>
      <vt:lpstr>M_inhSNOx_KNOx_MEOLO</vt:lpstr>
      <vt:lpstr>M_inhSNOx_KNOx_NITO</vt:lpstr>
      <vt:lpstr>M_inhSNOx_KNOx_OHO</vt:lpstr>
      <vt:lpstr>M_inhSO2_KiO2_AMETO</vt:lpstr>
      <vt:lpstr>M_inhSO2_KiO2_HMETO</vt:lpstr>
      <vt:lpstr>M_inhSO2_KiO2_MEOLO</vt:lpstr>
      <vt:lpstr>M_inhSO2_KO2_ALGAE</vt:lpstr>
      <vt:lpstr>M_inhSO2_KO2_CASTO</vt:lpstr>
      <vt:lpstr>M_inhSO2_KO2_NITO</vt:lpstr>
      <vt:lpstr>M_inhSO2_KO2_OHO</vt:lpstr>
      <vt:lpstr>M_inhSPO4_KiP_HAO_DESORP</vt:lpstr>
      <vt:lpstr>M_inhSPO4_KiP_HFO_DESORP</vt:lpstr>
      <vt:lpstr>M_inhSPO4_KiPO4_lim</vt:lpstr>
      <vt:lpstr>M_inhSVFA_KVFA</vt:lpstr>
      <vt:lpstr>M_MACP</vt:lpstr>
      <vt:lpstr>M_Mair</vt:lpstr>
      <vt:lpstr>M_MAl2SO43</vt:lpstr>
      <vt:lpstr>M_MAlCl3</vt:lpstr>
      <vt:lpstr>M_MAlOH3</vt:lpstr>
      <vt:lpstr>M_MAlPO4</vt:lpstr>
      <vt:lpstr>M_MBSH</vt:lpstr>
      <vt:lpstr>M_MCaCl2</vt:lpstr>
      <vt:lpstr>M_MCaCO3</vt:lpstr>
      <vt:lpstr>M_MCaH2PO4</vt:lpstr>
      <vt:lpstr>M_MCaHCO3</vt:lpstr>
      <vt:lpstr>M_MCaHPO4</vt:lpstr>
      <vt:lpstr>M_MCaOH</vt:lpstr>
      <vt:lpstr>M_MCaOH2</vt:lpstr>
      <vt:lpstr>M_MCaPO4</vt:lpstr>
      <vt:lpstr>M_MCH3COOH</vt:lpstr>
      <vt:lpstr>M_MCH3OH</vt:lpstr>
      <vt:lpstr>M_MCO2</vt:lpstr>
      <vt:lpstr>M_MCO3</vt:lpstr>
      <vt:lpstr>M_MEQ_GCH4</vt:lpstr>
      <vt:lpstr>M_MEQ_GCO2</vt:lpstr>
      <vt:lpstr>M_MEQ_GH2</vt:lpstr>
      <vt:lpstr>M_MEQ_GH2S</vt:lpstr>
      <vt:lpstr>M_MEQ_GN2</vt:lpstr>
      <vt:lpstr>M_MEQ_GN2O</vt:lpstr>
      <vt:lpstr>M_MEQ_GNH3</vt:lpstr>
      <vt:lpstr>M_MEQ_GNO</vt:lpstr>
      <vt:lpstr>M_MEQ_GO2</vt:lpstr>
      <vt:lpstr>M_MFe2O3</vt:lpstr>
      <vt:lpstr>M_MFe2SO43</vt:lpstr>
      <vt:lpstr>M_MFeCl2</vt:lpstr>
      <vt:lpstr>M_MFeCl3</vt:lpstr>
      <vt:lpstr>M_MFeOH3</vt:lpstr>
      <vt:lpstr>M_MFeS</vt:lpstr>
      <vt:lpstr>M_MFeSO4</vt:lpstr>
      <vt:lpstr>M_MGCH4</vt:lpstr>
      <vt:lpstr>M_MGCO2</vt:lpstr>
      <vt:lpstr>M_MGH2</vt:lpstr>
      <vt:lpstr>M_MGH2S</vt:lpstr>
      <vt:lpstr>M_MGN2</vt:lpstr>
      <vt:lpstr>M_MGN2O</vt:lpstr>
      <vt:lpstr>M_MGNH3</vt:lpstr>
      <vt:lpstr>M_MGNO</vt:lpstr>
      <vt:lpstr>M_MGO2</vt:lpstr>
      <vt:lpstr>M_MH2CO3</vt:lpstr>
      <vt:lpstr>M_MH2O</vt:lpstr>
      <vt:lpstr>M_MH2S</vt:lpstr>
      <vt:lpstr>M_MH2SO4</vt:lpstr>
      <vt:lpstr>M_MH3PO4</vt:lpstr>
      <vt:lpstr>M_MHAP</vt:lpstr>
      <vt:lpstr>M_MHCl</vt:lpstr>
      <vt:lpstr>M_MHCO3</vt:lpstr>
      <vt:lpstr>M_MHDP</vt:lpstr>
      <vt:lpstr>M_MHNO3</vt:lpstr>
      <vt:lpstr>M_MHSO4</vt:lpstr>
      <vt:lpstr>M_MKNO2</vt:lpstr>
      <vt:lpstr>M_MKNO3</vt:lpstr>
      <vt:lpstr>M_MMgCO3</vt:lpstr>
      <vt:lpstr>M_MMgH2PO4</vt:lpstr>
      <vt:lpstr>M_MMgHCO3</vt:lpstr>
      <vt:lpstr>M_MMgHPO4</vt:lpstr>
      <vt:lpstr>M_MMgOH</vt:lpstr>
      <vt:lpstr>M_MMgOH2</vt:lpstr>
      <vt:lpstr>M_MMgPO4</vt:lpstr>
      <vt:lpstr>M_MMKP</vt:lpstr>
      <vt:lpstr>M_MMMC</vt:lpstr>
      <vt:lpstr>M_MN2</vt:lpstr>
      <vt:lpstr>M_MN2O</vt:lpstr>
      <vt:lpstr>M_MNa2CO3</vt:lpstr>
      <vt:lpstr>M_MNaCl</vt:lpstr>
      <vt:lpstr>M_MNaHCO3</vt:lpstr>
      <vt:lpstr>M_MNaHPO4</vt:lpstr>
      <vt:lpstr>M_MNaOH</vt:lpstr>
      <vt:lpstr>M_MNH3</vt:lpstr>
      <vt:lpstr>M_MNH4</vt:lpstr>
      <vt:lpstr>M_MNH4HCO3</vt:lpstr>
      <vt:lpstr>M_MNO</vt:lpstr>
      <vt:lpstr>M_MNO2</vt:lpstr>
      <vt:lpstr>M_MNO3</vt:lpstr>
      <vt:lpstr>M_MO2</vt:lpstr>
      <vt:lpstr>M_MPO4</vt:lpstr>
      <vt:lpstr>M_MSiO2</vt:lpstr>
      <vt:lpstr>M_MSO4</vt:lpstr>
      <vt:lpstr>M_MSTR</vt:lpstr>
      <vt:lpstr>M_MVivi</vt:lpstr>
      <vt:lpstr>M_RinhXPHA_XGAO_KPHA</vt:lpstr>
      <vt:lpstr>M_RinhXPHA_XPAO_KPHA_cle</vt:lpstr>
      <vt:lpstr>M_RinhXPP_XPAO_KPP</vt:lpstr>
      <vt:lpstr>M_RinhXSTC_XCASTO_KSTC</vt:lpstr>
      <vt:lpstr>M_RsatXB_XHET_KHYD</vt:lpstr>
      <vt:lpstr>M_RsatXBe_XHET_KHYD</vt:lpstr>
      <vt:lpstr>M_RsatXEana_XHET_KHYD</vt:lpstr>
      <vt:lpstr>M_RsatXPHA_XGAO_KPHA</vt:lpstr>
      <vt:lpstr>M_RsatXPHA_XPAO_KPHA</vt:lpstr>
      <vt:lpstr>M_RsatXPP_XPAO_KPP</vt:lpstr>
      <vt:lpstr>M_RsatXSTC_XCASTO_KSTC</vt:lpstr>
      <vt:lpstr>M_satCB_KCB_FLOC</vt:lpstr>
      <vt:lpstr>M_satCB_KCB_FLOC_HAO</vt:lpstr>
      <vt:lpstr>M_satCB_KCB_FLOC_HFO</vt:lpstr>
      <vt:lpstr>M_satCU_KCU_FLOC</vt:lpstr>
      <vt:lpstr>M_satCU_KCU_FLOC_HAO</vt:lpstr>
      <vt:lpstr>M_satCU_KCU_FLOC_HFO</vt:lpstr>
      <vt:lpstr>M_satSAN_KAN</vt:lpstr>
      <vt:lpstr>M_satSB_KSB</vt:lpstr>
      <vt:lpstr>M_satSB_KSB_ana</vt:lpstr>
      <vt:lpstr>M_satSCa_KCa</vt:lpstr>
      <vt:lpstr>M_satSCa_KCa_PAO</vt:lpstr>
      <vt:lpstr>M_satSCAT_KCAT</vt:lpstr>
      <vt:lpstr>M_satSCO2_KCO2_ALGAE</vt:lpstr>
      <vt:lpstr>M_satSCO2_KCO2_BIO</vt:lpstr>
      <vt:lpstr>M_satSH2_KH2_HMETO</vt:lpstr>
      <vt:lpstr>M_satSK_KK_PAO</vt:lpstr>
      <vt:lpstr>M_satSMEOL_KMEOL</vt:lpstr>
      <vt:lpstr>M_satSMEOL_KMEOL_OHO</vt:lpstr>
      <vt:lpstr>M_satSMg_KMg</vt:lpstr>
      <vt:lpstr>M_satSMg_KMg_PAO</vt:lpstr>
      <vt:lpstr>M_satSNHx_KNHx_ALGAE</vt:lpstr>
      <vt:lpstr>M_satSNHx_KNHx_BIO</vt:lpstr>
      <vt:lpstr>M_satSNHx_KNHx_NITO</vt:lpstr>
      <vt:lpstr>M_satSNOx_KNOx_ALGAE</vt:lpstr>
      <vt:lpstr>M_satSNOx_KNOx_AMETO</vt:lpstr>
      <vt:lpstr>M_satSNOx_KNOx_ASSIM</vt:lpstr>
      <vt:lpstr>M_satSNOx_KNOx_CASTO</vt:lpstr>
      <vt:lpstr>M_satSNOx_KNOx_HMETO</vt:lpstr>
      <vt:lpstr>M_satSNOx_KNOx_MEOLO</vt:lpstr>
      <vt:lpstr>M_satSNOx_KNOx_NITO</vt:lpstr>
      <vt:lpstr>M_satSNOx_KNOx_OHO</vt:lpstr>
      <vt:lpstr>M_satSO2_KiO2_AMETO</vt:lpstr>
      <vt:lpstr>M_satSO2_KiO2_HMETO</vt:lpstr>
      <vt:lpstr>M_satSO2_KiO2_MEOLO</vt:lpstr>
      <vt:lpstr>M_satSO2_KO2_ALGAE</vt:lpstr>
      <vt:lpstr>M_satSO2_KO2_CASTO</vt:lpstr>
      <vt:lpstr>M_satSO2_KO2_NITO</vt:lpstr>
      <vt:lpstr>M_satSO2_KO2_OHO</vt:lpstr>
      <vt:lpstr>M_satSPO4_KP_HAO_BIND</vt:lpstr>
      <vt:lpstr>M_satSPO4_KP_HFO_BIND</vt:lpstr>
      <vt:lpstr>M_satSPO4_KPO4_BIO</vt:lpstr>
      <vt:lpstr>M_satSPO4_KPO4_PAO</vt:lpstr>
      <vt:lpstr>M_satSVFA_KVFA</vt:lpstr>
      <vt:lpstr>M_satSVFA_KVFA_CASTO</vt:lpstr>
      <vt:lpstr>M_satXACP_KACP_DISS</vt:lpstr>
      <vt:lpstr>M_satXB_KXB_HYD</vt:lpstr>
      <vt:lpstr>M_satXBe_KXBe_HYD</vt:lpstr>
      <vt:lpstr>M_satXBSH_KBSH_DISS</vt:lpstr>
      <vt:lpstr>M_satXCaCO3_KCaCO3_DISS</vt:lpstr>
      <vt:lpstr>M_satXEana_KXEana_HYD</vt:lpstr>
      <vt:lpstr>M_satXPP_KPP_lim</vt:lpstr>
      <vt:lpstr>M_satXSTR_KSTR_DISS</vt:lpstr>
      <vt:lpstr>M_satXU_KXU</vt:lpstr>
      <vt:lpstr>M_satXVivi_KVivi_DISS</vt:lpstr>
      <vt:lpstr>m_tox_aer</vt:lpstr>
      <vt:lpstr>m_tox_ana</vt:lpstr>
      <vt:lpstr>m_tox_ana_max</vt:lpstr>
      <vt:lpstr>m_tox_anox</vt:lpstr>
      <vt:lpstr>N_OUR</vt:lpstr>
      <vt:lpstr>N_UR</vt:lpstr>
      <vt:lpstr>o_ffsetORPswitch</vt:lpstr>
      <vt:lpstr>O_RP</vt:lpstr>
      <vt:lpstr>O_RPana</vt:lpstr>
      <vt:lpstr>O_RPbase</vt:lpstr>
      <vt:lpstr>O_RPmax_SNOx</vt:lpstr>
      <vt:lpstr>O_RPmax_SO2</vt:lpstr>
      <vt:lpstr>O_RPNOx</vt:lpstr>
      <vt:lpstr>O_RPO2</vt:lpstr>
      <vt:lpstr>O_UR</vt:lpstr>
      <vt:lpstr>p_H</vt:lpstr>
      <vt:lpstr>p_Hfield</vt:lpstr>
      <vt:lpstr>p_Hhigh</vt:lpstr>
      <vt:lpstr>p_Hhigh_AMETO</vt:lpstr>
      <vt:lpstr>p_Hhigh_FLOC_HAO</vt:lpstr>
      <vt:lpstr>p_Hhigh_FLOC_HFO</vt:lpstr>
      <vt:lpstr>p_Hhigh_HMETO</vt:lpstr>
      <vt:lpstr>p_Hhigh_NITO</vt:lpstr>
      <vt:lpstr>p_Hlow</vt:lpstr>
      <vt:lpstr>p_Hlow_AMETO</vt:lpstr>
      <vt:lpstr>p_Hlow_FLOC_HAO</vt:lpstr>
      <vt:lpstr>p_Hlow_FLOC_HFO</vt:lpstr>
      <vt:lpstr>p_Hlow_HMETO</vt:lpstr>
      <vt:lpstr>p_Hlow_NITO</vt:lpstr>
      <vt:lpstr>p_i</vt:lpstr>
      <vt:lpstr>p_NTP</vt:lpstr>
      <vt:lpstr>p_owdamp_ALPHA</vt:lpstr>
      <vt:lpstr>P_recipDrivingForceACP</vt:lpstr>
      <vt:lpstr>P_recipDrivingForceBSH</vt:lpstr>
      <vt:lpstr>P_recipDrivingForceCaCO3</vt:lpstr>
      <vt:lpstr>P_recipDrivingForceSTR</vt:lpstr>
      <vt:lpstr>P_recipDrivingForceVivi</vt:lpstr>
      <vt:lpstr>P_RR</vt:lpstr>
      <vt:lpstr>p_STP</vt:lpstr>
      <vt:lpstr>P_UR</vt:lpstr>
      <vt:lpstr>P_URBIO</vt:lpstr>
      <vt:lpstr>P_URBIOP</vt:lpstr>
      <vt:lpstr>P_URCHEM</vt:lpstr>
      <vt:lpstr>q_ACP</vt:lpstr>
      <vt:lpstr>q_ACP_DISS</vt:lpstr>
      <vt:lpstr>q_ACP_PREC</vt:lpstr>
      <vt:lpstr>q_ALPHA</vt:lpstr>
      <vt:lpstr>q_ALPHA_O2</vt:lpstr>
      <vt:lpstr>q_AMMON</vt:lpstr>
      <vt:lpstr>q_AMMON_T</vt:lpstr>
      <vt:lpstr>q_ASSIM</vt:lpstr>
      <vt:lpstr>q_ASSIM_T</vt:lpstr>
      <vt:lpstr>q_BSH</vt:lpstr>
      <vt:lpstr>q_BSH_DISS</vt:lpstr>
      <vt:lpstr>q_BSH_PREC</vt:lpstr>
      <vt:lpstr>q_CaCO3</vt:lpstr>
      <vt:lpstr>q_CaCO3_DISS</vt:lpstr>
      <vt:lpstr>q_CaCO3_PREC</vt:lpstr>
      <vt:lpstr>q_Fe2_OX</vt:lpstr>
      <vt:lpstr>q_Fe2_OX_T</vt:lpstr>
      <vt:lpstr>q_FLOC</vt:lpstr>
      <vt:lpstr>q_FLOC_HAO</vt:lpstr>
      <vt:lpstr>q_FLOC_HAO_T</vt:lpstr>
      <vt:lpstr>q_FLOC_HFO</vt:lpstr>
      <vt:lpstr>q_FLOC_HFO_T</vt:lpstr>
      <vt:lpstr>q_FLOC_T</vt:lpstr>
      <vt:lpstr>q_GAO_PHA</vt:lpstr>
      <vt:lpstr>q_GAO_PHA_T</vt:lpstr>
      <vt:lpstr>q_HAO_DISS</vt:lpstr>
      <vt:lpstr>q_HAOH_AGING</vt:lpstr>
      <vt:lpstr>q_HAOH_DESORP</vt:lpstr>
      <vt:lpstr>q_HAOL_AGING</vt:lpstr>
      <vt:lpstr>q_HAOL_DESORP</vt:lpstr>
      <vt:lpstr>q_HFO_DISS</vt:lpstr>
      <vt:lpstr>q_HFO_RED</vt:lpstr>
      <vt:lpstr>q_HFO_RED_T</vt:lpstr>
      <vt:lpstr>q_HFOH_AGING</vt:lpstr>
      <vt:lpstr>q_HFOH_DESORP</vt:lpstr>
      <vt:lpstr>q_HFOL_AGING</vt:lpstr>
      <vt:lpstr>q_HFOL_DESORP</vt:lpstr>
      <vt:lpstr>q_HYD_XB</vt:lpstr>
      <vt:lpstr>q_HYD_XB_T</vt:lpstr>
      <vt:lpstr>q_HYD_XBe</vt:lpstr>
      <vt:lpstr>q_HYD_XBe_T</vt:lpstr>
      <vt:lpstr>q_MEOL</vt:lpstr>
      <vt:lpstr>q_P_HAO_BIND</vt:lpstr>
      <vt:lpstr>q_P_HAO_COPREC</vt:lpstr>
      <vt:lpstr>q_P_HFO_BIND</vt:lpstr>
      <vt:lpstr>q_P_HFO_COPREC</vt:lpstr>
      <vt:lpstr>q_PAO_PHA</vt:lpstr>
      <vt:lpstr>q_PAO_PHA_T</vt:lpstr>
      <vt:lpstr>q_PAO_PP</vt:lpstr>
      <vt:lpstr>q_PAO_PP_T</vt:lpstr>
      <vt:lpstr>q_PFOA_SORP</vt:lpstr>
      <vt:lpstr>q_PFOS_SORP</vt:lpstr>
      <vt:lpstr>q_SPB</vt:lpstr>
      <vt:lpstr>q_SPB_T</vt:lpstr>
      <vt:lpstr>q_STR</vt:lpstr>
      <vt:lpstr>q_STR_DISS</vt:lpstr>
      <vt:lpstr>q_STR_PREC</vt:lpstr>
      <vt:lpstr>q_Vivi</vt:lpstr>
      <vt:lpstr>q_Vivi_DISS</vt:lpstr>
      <vt:lpstr>q_Vivi_PREC</vt:lpstr>
      <vt:lpstr>q_XE</vt:lpstr>
      <vt:lpstr>q_XE_T</vt:lpstr>
      <vt:lpstr>q_XU</vt:lpstr>
      <vt:lpstr>q_XU_T</vt:lpstr>
      <vt:lpstr>R__</vt:lpstr>
      <vt:lpstr>r_1</vt:lpstr>
      <vt:lpstr>r_10</vt:lpstr>
      <vt:lpstr>r_11</vt:lpstr>
      <vt:lpstr>r_12</vt:lpstr>
      <vt:lpstr>r_13</vt:lpstr>
      <vt:lpstr>r_14</vt:lpstr>
      <vt:lpstr>r_15</vt:lpstr>
      <vt:lpstr>r_16</vt:lpstr>
      <vt:lpstr>r_17</vt:lpstr>
      <vt:lpstr>r_18</vt:lpstr>
      <vt:lpstr>r_19</vt:lpstr>
      <vt:lpstr>r_2</vt:lpstr>
      <vt:lpstr>r_20</vt:lpstr>
      <vt:lpstr>r_21</vt:lpstr>
      <vt:lpstr>r_22</vt:lpstr>
      <vt:lpstr>r_23</vt:lpstr>
      <vt:lpstr>r_24</vt:lpstr>
      <vt:lpstr>r_25</vt:lpstr>
      <vt:lpstr>r_26</vt:lpstr>
      <vt:lpstr>r_27</vt:lpstr>
      <vt:lpstr>r_28</vt:lpstr>
      <vt:lpstr>r_29</vt:lpstr>
      <vt:lpstr>r_3</vt:lpstr>
      <vt:lpstr>r_30</vt:lpstr>
      <vt:lpstr>r_31</vt:lpstr>
      <vt:lpstr>r_32</vt:lpstr>
      <vt:lpstr>r_33</vt:lpstr>
      <vt:lpstr>r_34</vt:lpstr>
      <vt:lpstr>r_35</vt:lpstr>
      <vt:lpstr>r_36</vt:lpstr>
      <vt:lpstr>r_37</vt:lpstr>
      <vt:lpstr>r_38</vt:lpstr>
      <vt:lpstr>r_39</vt:lpstr>
      <vt:lpstr>r_4</vt:lpstr>
      <vt:lpstr>r_40</vt:lpstr>
      <vt:lpstr>r_41</vt:lpstr>
      <vt:lpstr>r_42</vt:lpstr>
      <vt:lpstr>r_43</vt:lpstr>
      <vt:lpstr>r_44</vt:lpstr>
      <vt:lpstr>r_45</vt:lpstr>
      <vt:lpstr>r_46</vt:lpstr>
      <vt:lpstr>r_47</vt:lpstr>
      <vt:lpstr>r_48</vt:lpstr>
      <vt:lpstr>r_49</vt:lpstr>
      <vt:lpstr>r_5</vt:lpstr>
      <vt:lpstr>r_50</vt:lpstr>
      <vt:lpstr>r_51</vt:lpstr>
      <vt:lpstr>r_52</vt:lpstr>
      <vt:lpstr>r_53</vt:lpstr>
      <vt:lpstr>r_54</vt:lpstr>
      <vt:lpstr>r_55</vt:lpstr>
      <vt:lpstr>r_56</vt:lpstr>
      <vt:lpstr>r_57</vt:lpstr>
      <vt:lpstr>r_58</vt:lpstr>
      <vt:lpstr>r_59</vt:lpstr>
      <vt:lpstr>r_6</vt:lpstr>
      <vt:lpstr>r_60</vt:lpstr>
      <vt:lpstr>r_61</vt:lpstr>
      <vt:lpstr>r_62</vt:lpstr>
      <vt:lpstr>r_63</vt:lpstr>
      <vt:lpstr>r_64</vt:lpstr>
      <vt:lpstr>r_65</vt:lpstr>
      <vt:lpstr>r_66</vt:lpstr>
      <vt:lpstr>r_67</vt:lpstr>
      <vt:lpstr>r_68</vt:lpstr>
      <vt:lpstr>r_69</vt:lpstr>
      <vt:lpstr>r_7</vt:lpstr>
      <vt:lpstr>r_70</vt:lpstr>
      <vt:lpstr>r_71</vt:lpstr>
      <vt:lpstr>r_72</vt:lpstr>
      <vt:lpstr>r_73</vt:lpstr>
      <vt:lpstr>r_74</vt:lpstr>
      <vt:lpstr>r_75</vt:lpstr>
      <vt:lpstr>r_76</vt:lpstr>
      <vt:lpstr>r_77</vt:lpstr>
      <vt:lpstr>r_78</vt:lpstr>
      <vt:lpstr>r_79</vt:lpstr>
      <vt:lpstr>r_8</vt:lpstr>
      <vt:lpstr>r_80</vt:lpstr>
      <vt:lpstr>r_81</vt:lpstr>
      <vt:lpstr>r_82</vt:lpstr>
      <vt:lpstr>r_83</vt:lpstr>
      <vt:lpstr>r_84</vt:lpstr>
      <vt:lpstr>r_85</vt:lpstr>
      <vt:lpstr>r_86</vt:lpstr>
      <vt:lpstr>r_87</vt:lpstr>
      <vt:lpstr>r_88</vt:lpstr>
      <vt:lpstr>r_89</vt:lpstr>
      <vt:lpstr>r_9</vt:lpstr>
      <vt:lpstr>r_90</vt:lpstr>
      <vt:lpstr>r_91</vt:lpstr>
      <vt:lpstr>R_air</vt:lpstr>
      <vt:lpstr>r_ate_DiffAer_ox_transf</vt:lpstr>
      <vt:lpstr>r_ate_Hbio</vt:lpstr>
      <vt:lpstr>r_ate_SCO2_ALGAE</vt:lpstr>
      <vt:lpstr>r_ate_SCO2_Hydrolysis</vt:lpstr>
      <vt:lpstr>r_ate_SCO2_NITOs</vt:lpstr>
      <vt:lpstr>r_ate_SCO2_OHOs</vt:lpstr>
      <vt:lpstr>r_ate_SCO2_Precipitation</vt:lpstr>
      <vt:lpstr>r_ate_SCO2_stripping</vt:lpstr>
      <vt:lpstr>r_ate_SNHx_ALGAE</vt:lpstr>
      <vt:lpstr>r_ate_SNHx_Hydrolysis</vt:lpstr>
      <vt:lpstr>r_ate_SNHx_NITOs</vt:lpstr>
      <vt:lpstr>r_ate_SNHx_OHOs</vt:lpstr>
      <vt:lpstr>r_ate_SNHx_stripping</vt:lpstr>
      <vt:lpstr>r_ate_SNOx_ALGAE</vt:lpstr>
      <vt:lpstr>r_ate_SNOx_NITOs</vt:lpstr>
      <vt:lpstr>r_ate_SNOx_OHOs</vt:lpstr>
      <vt:lpstr>r_ate_SO2_aerator</vt:lpstr>
      <vt:lpstr>r_ate_SO2_ALGAE_resp</vt:lpstr>
      <vt:lpstr>r_ate_SO2_C_oxidation</vt:lpstr>
      <vt:lpstr>r_ate_SO2_Fe_oxidation</vt:lpstr>
      <vt:lpstr>r_ate_SO2_nitrif</vt:lpstr>
      <vt:lpstr>r_ate_SO2_photosynt</vt:lpstr>
      <vt:lpstr>r_ate_SO2_sur</vt:lpstr>
      <vt:lpstr>r_ate_SPO4_ALGAE</vt:lpstr>
      <vt:lpstr>r_ate_SPO4_Hydrolysis</vt:lpstr>
      <vt:lpstr>r_ate_SPO4_NITOs</vt:lpstr>
      <vt:lpstr>r_ate_SPO4_OHOs</vt:lpstr>
      <vt:lpstr>r_ate_SPO4_Precipitation</vt:lpstr>
      <vt:lpstr>r_ate_SurfAer_ox_transf</vt:lpstr>
      <vt:lpstr>r_ate_TCOD_autotrophs</vt:lpstr>
      <vt:lpstr>r_ate_TCOD_oxydation_NO3</vt:lpstr>
      <vt:lpstr>r_ate_TCOD_oxydation_O2</vt:lpstr>
      <vt:lpstr>r_ate_TCOD_photosynt</vt:lpstr>
      <vt:lpstr>r_ate_TCOD_stripping</vt:lpstr>
      <vt:lpstr>r_ate_TN_denit</vt:lpstr>
      <vt:lpstr>r_ateFLOC_CB_polymer</vt:lpstr>
      <vt:lpstr>r_ateFLOC_CU_polymer</vt:lpstr>
      <vt:lpstr>r_atioAAR_rbCODDR</vt:lpstr>
      <vt:lpstr>r_atioVSS_TSS</vt:lpstr>
      <vt:lpstr>r_bCODDR</vt:lpstr>
      <vt:lpstr>S_ALK</vt:lpstr>
      <vt:lpstr>S_ALK_calc</vt:lpstr>
      <vt:lpstr>S_ALK_input</vt:lpstr>
      <vt:lpstr>S_ALPHA</vt:lpstr>
      <vt:lpstr>S_ALPHA_sat</vt:lpstr>
      <vt:lpstr>S_AN</vt:lpstr>
      <vt:lpstr>S_AN_ini</vt:lpstr>
      <vt:lpstr>S_B</vt:lpstr>
      <vt:lpstr>S_BOD_5</vt:lpstr>
      <vt:lpstr>S_BOD_ult</vt:lpstr>
      <vt:lpstr>S_Ca</vt:lpstr>
      <vt:lpstr>S_CAT</vt:lpstr>
      <vt:lpstr>S_CAT_ini</vt:lpstr>
      <vt:lpstr>S_CCOD</vt:lpstr>
      <vt:lpstr>S_CH4</vt:lpstr>
      <vt:lpstr>S_CO2</vt:lpstr>
      <vt:lpstr>S_COD</vt:lpstr>
      <vt:lpstr>S_Fe2</vt:lpstr>
      <vt:lpstr>S_GCH4_bub_sat</vt:lpstr>
      <vt:lpstr>S_GCH4_sur_sat</vt:lpstr>
      <vt:lpstr>S_GCO2_bub_sat</vt:lpstr>
      <vt:lpstr>S_GCO2_sur_sat</vt:lpstr>
      <vt:lpstr>S_GH2_bub_sat</vt:lpstr>
      <vt:lpstr>S_GH2_sur_sat</vt:lpstr>
      <vt:lpstr>S_GH2S_bub_sat</vt:lpstr>
      <vt:lpstr>S_GH2S_sur_sat</vt:lpstr>
      <vt:lpstr>S_GN2_bub_sat</vt:lpstr>
      <vt:lpstr>S_GN2_sur_sat</vt:lpstr>
      <vt:lpstr>S_GNH3_bub_sat</vt:lpstr>
      <vt:lpstr>S_GNH3_sur_sat</vt:lpstr>
      <vt:lpstr>S_GO2_bub_sat</vt:lpstr>
      <vt:lpstr>S_GO2_sur_sat</vt:lpstr>
      <vt:lpstr>S_H</vt:lpstr>
      <vt:lpstr>S_H2</vt:lpstr>
      <vt:lpstr>S_K</vt:lpstr>
      <vt:lpstr>S_KN</vt:lpstr>
      <vt:lpstr>s_lh_diff_α</vt:lpstr>
      <vt:lpstr>S_lopeIS_corr</vt:lpstr>
      <vt:lpstr>s_lORP_GAO_Half_T</vt:lpstr>
      <vt:lpstr>s_lTSS_α_coarse</vt:lpstr>
      <vt:lpstr>s_lTSS_α_def</vt:lpstr>
      <vt:lpstr>S_MEOL</vt:lpstr>
      <vt:lpstr>S_Mg</vt:lpstr>
      <vt:lpstr>S_N_B</vt:lpstr>
      <vt:lpstr>S_N2</vt:lpstr>
      <vt:lpstr>S_NHx</vt:lpstr>
      <vt:lpstr>S_NOx</vt:lpstr>
      <vt:lpstr>S_O2</vt:lpstr>
      <vt:lpstr>S_ORPswitch</vt:lpstr>
      <vt:lpstr>S_OTRaerator</vt:lpstr>
      <vt:lpstr>S_OTRsur</vt:lpstr>
      <vt:lpstr>S_OTRsur_min</vt:lpstr>
      <vt:lpstr>S_P</vt:lpstr>
      <vt:lpstr>S_P_B</vt:lpstr>
      <vt:lpstr>S_PFOA</vt:lpstr>
      <vt:lpstr>S_PFOS</vt:lpstr>
      <vt:lpstr>S_PO4</vt:lpstr>
      <vt:lpstr>S_rbCOD</vt:lpstr>
      <vt:lpstr>S_U</vt:lpstr>
      <vt:lpstr>S_U_N</vt:lpstr>
      <vt:lpstr>S_umo__MSatMin</vt:lpstr>
      <vt:lpstr>S_umo__pHEffects</vt:lpstr>
      <vt:lpstr>S_VFA</vt:lpstr>
      <vt:lpstr>T__</vt:lpstr>
      <vt:lpstr>T_Al</vt:lpstr>
      <vt:lpstr>T_base</vt:lpstr>
      <vt:lpstr>T_BOD_5</vt:lpstr>
      <vt:lpstr>T_BOD_ult</vt:lpstr>
      <vt:lpstr>T_Ca</vt:lpstr>
      <vt:lpstr>T_COD</vt:lpstr>
      <vt:lpstr>T_COD_Th</vt:lpstr>
      <vt:lpstr>T_Fe</vt:lpstr>
      <vt:lpstr>T_IN</vt:lpstr>
      <vt:lpstr>T_K</vt:lpstr>
      <vt:lpstr>T_KN</vt:lpstr>
      <vt:lpstr>T_KN_B</vt:lpstr>
      <vt:lpstr>T_Mg</vt:lpstr>
      <vt:lpstr>T_N</vt:lpstr>
      <vt:lpstr>T_NTP_K</vt:lpstr>
      <vt:lpstr>T_OC</vt:lpstr>
      <vt:lpstr>T_P</vt:lpstr>
      <vt:lpstr>T_PFOA</vt:lpstr>
      <vt:lpstr>T_PFOS</vt:lpstr>
      <vt:lpstr>T_st_K</vt:lpstr>
      <vt:lpstr>T_STP_K</vt:lpstr>
      <vt:lpstr>v_1_CB</vt:lpstr>
      <vt:lpstr>v_1_CU</vt:lpstr>
      <vt:lpstr>v_1_GCH4</vt:lpstr>
      <vt:lpstr>v_1_GCH4_atm</vt:lpstr>
      <vt:lpstr>v_1_GCO2</vt:lpstr>
      <vt:lpstr>v_1_GCO2_atm</vt:lpstr>
      <vt:lpstr>v_1_GH2</vt:lpstr>
      <vt:lpstr>v_1_GH2_atm</vt:lpstr>
      <vt:lpstr>v_1_GN2</vt:lpstr>
      <vt:lpstr>v_1_GN2_atm</vt:lpstr>
      <vt:lpstr>v_1_GNH3</vt:lpstr>
      <vt:lpstr>v_1_GNH3_atm</vt:lpstr>
      <vt:lpstr>v_1_GO2</vt:lpstr>
      <vt:lpstr>v_1_GO2_atm</vt:lpstr>
      <vt:lpstr>v_1_SALPHA</vt:lpstr>
      <vt:lpstr>v_1_SAN</vt:lpstr>
      <vt:lpstr>v_1_SB</vt:lpstr>
      <vt:lpstr>v_1_SCa</vt:lpstr>
      <vt:lpstr>v_1_SCAT</vt:lpstr>
      <vt:lpstr>v_1_SCH4</vt:lpstr>
      <vt:lpstr>v_1_SCO2</vt:lpstr>
      <vt:lpstr>v_1_SFe2</vt:lpstr>
      <vt:lpstr>v_1_SH</vt:lpstr>
      <vt:lpstr>v_1_SH2</vt:lpstr>
      <vt:lpstr>v_1_SK</vt:lpstr>
      <vt:lpstr>v_1_SMEOL</vt:lpstr>
      <vt:lpstr>v_1_SMg</vt:lpstr>
      <vt:lpstr>v_1_SN_B</vt:lpstr>
      <vt:lpstr>v_1_SN2</vt:lpstr>
      <vt:lpstr>v_1_SNHx</vt:lpstr>
      <vt:lpstr>v_1_SNOx</vt:lpstr>
      <vt:lpstr>v_1_SO2</vt:lpstr>
      <vt:lpstr>v_1_SORPswitch</vt:lpstr>
      <vt:lpstr>v_1_SP_B</vt:lpstr>
      <vt:lpstr>v_1_SPFOA</vt:lpstr>
      <vt:lpstr>v_1_SPFOS</vt:lpstr>
      <vt:lpstr>v_1_SPO4</vt:lpstr>
      <vt:lpstr>v_1_SU</vt:lpstr>
      <vt:lpstr>v_1_SVFA</vt:lpstr>
      <vt:lpstr>v_1_XACP</vt:lpstr>
      <vt:lpstr>v_1_XALGAE</vt:lpstr>
      <vt:lpstr>v_1_XAMETO</vt:lpstr>
      <vt:lpstr>v_1_XB</vt:lpstr>
      <vt:lpstr>v_1_XB_e</vt:lpstr>
      <vt:lpstr>v_1_XBSH</vt:lpstr>
      <vt:lpstr>v_1_XCaCO3</vt:lpstr>
      <vt:lpstr>v_1_XCASTO</vt:lpstr>
      <vt:lpstr>v_1_XE</vt:lpstr>
      <vt:lpstr>v_1_XE_ana</vt:lpstr>
      <vt:lpstr>v_1_XHAO_H</vt:lpstr>
      <vt:lpstr>v_1_XHAO_H_P</vt:lpstr>
      <vt:lpstr>v_1_XHAO_H_P_old</vt:lpstr>
      <vt:lpstr>v_1_XHAO_L</vt:lpstr>
      <vt:lpstr>v_1_XHAO_L_P</vt:lpstr>
      <vt:lpstr>v_1_XHAO_L_P_old</vt:lpstr>
      <vt:lpstr>v_1_XHAO_old</vt:lpstr>
      <vt:lpstr>v_1_XHFO_H</vt:lpstr>
      <vt:lpstr>v_1_XHFO_H_P</vt:lpstr>
      <vt:lpstr>v_1_XHFO_H_P_old</vt:lpstr>
      <vt:lpstr>v_1_XHFO_L</vt:lpstr>
      <vt:lpstr>v_1_XHFO_L_P</vt:lpstr>
      <vt:lpstr>v_1_XHFO_L_P_old</vt:lpstr>
      <vt:lpstr>v_1_XHFO_old</vt:lpstr>
      <vt:lpstr>v_1_XHMETO</vt:lpstr>
      <vt:lpstr>v_1_XINORG</vt:lpstr>
      <vt:lpstr>v_1_XMEOLO</vt:lpstr>
      <vt:lpstr>v_1_XN_B</vt:lpstr>
      <vt:lpstr>v_1_XN_Be</vt:lpstr>
      <vt:lpstr>v_1_XN_U</vt:lpstr>
      <vt:lpstr>v_1_XNITO</vt:lpstr>
      <vt:lpstr>v_1_XOHO</vt:lpstr>
      <vt:lpstr>v_1_XP_B</vt:lpstr>
      <vt:lpstr>v_1_XP_Be</vt:lpstr>
      <vt:lpstr>v_1_XP_U</vt:lpstr>
      <vt:lpstr>v_1_XPFOA</vt:lpstr>
      <vt:lpstr>v_1_XPFOS</vt:lpstr>
      <vt:lpstr>v_1_XPHA_GAO</vt:lpstr>
      <vt:lpstr>v_1_XPHA_PAO</vt:lpstr>
      <vt:lpstr>v_1_XPP</vt:lpstr>
      <vt:lpstr>v_1_XSTR</vt:lpstr>
      <vt:lpstr>v_1_XU</vt:lpstr>
      <vt:lpstr>v_1_XVivi</vt:lpstr>
      <vt:lpstr>v_10_CB</vt:lpstr>
      <vt:lpstr>v_10_CU</vt:lpstr>
      <vt:lpstr>v_10_GCH4</vt:lpstr>
      <vt:lpstr>v_10_GCH4_atm</vt:lpstr>
      <vt:lpstr>v_10_GCO2</vt:lpstr>
      <vt:lpstr>v_10_GCO2_atm</vt:lpstr>
      <vt:lpstr>v_10_GH2</vt:lpstr>
      <vt:lpstr>v_10_GH2_atm</vt:lpstr>
      <vt:lpstr>v_10_GN2</vt:lpstr>
      <vt:lpstr>v_10_GN2_atm</vt:lpstr>
      <vt:lpstr>v_10_GNH3</vt:lpstr>
      <vt:lpstr>v_10_GNH3_atm</vt:lpstr>
      <vt:lpstr>v_10_GO2</vt:lpstr>
      <vt:lpstr>v_10_GO2_atm</vt:lpstr>
      <vt:lpstr>v_10_SALPHA</vt:lpstr>
      <vt:lpstr>v_10_SAN</vt:lpstr>
      <vt:lpstr>v_10_SB</vt:lpstr>
      <vt:lpstr>v_10_SCa</vt:lpstr>
      <vt:lpstr>v_10_SCAT</vt:lpstr>
      <vt:lpstr>v_10_SCH4</vt:lpstr>
      <vt:lpstr>v_10_SCO2</vt:lpstr>
      <vt:lpstr>v_10_SFe2</vt:lpstr>
      <vt:lpstr>v_10_SH</vt:lpstr>
      <vt:lpstr>v_10_SH2</vt:lpstr>
      <vt:lpstr>v_10_SK</vt:lpstr>
      <vt:lpstr>v_10_SMEOL</vt:lpstr>
      <vt:lpstr>v_10_SMg</vt:lpstr>
      <vt:lpstr>v_10_SN_B</vt:lpstr>
      <vt:lpstr>v_10_SN2</vt:lpstr>
      <vt:lpstr>v_10_SNHx</vt:lpstr>
      <vt:lpstr>v_10_SNOx</vt:lpstr>
      <vt:lpstr>v_10_SO2</vt:lpstr>
      <vt:lpstr>v_10_SORPswitch</vt:lpstr>
      <vt:lpstr>v_10_SP_B</vt:lpstr>
      <vt:lpstr>v_10_SPFOA</vt:lpstr>
      <vt:lpstr>v_10_SPFOS</vt:lpstr>
      <vt:lpstr>v_10_SPO4</vt:lpstr>
      <vt:lpstr>v_10_SU</vt:lpstr>
      <vt:lpstr>v_10_SVFA</vt:lpstr>
      <vt:lpstr>v_10_XACP</vt:lpstr>
      <vt:lpstr>v_10_XALGAE</vt:lpstr>
      <vt:lpstr>v_10_XAMETO</vt:lpstr>
      <vt:lpstr>v_10_XB</vt:lpstr>
      <vt:lpstr>v_10_XB_e</vt:lpstr>
      <vt:lpstr>v_10_XBSH</vt:lpstr>
      <vt:lpstr>v_10_XCaCO3</vt:lpstr>
      <vt:lpstr>v_10_XCASTO</vt:lpstr>
      <vt:lpstr>v_10_XE</vt:lpstr>
      <vt:lpstr>v_10_XE_ana</vt:lpstr>
      <vt:lpstr>v_10_XHAO_H</vt:lpstr>
      <vt:lpstr>v_10_XHAO_H_P</vt:lpstr>
      <vt:lpstr>v_10_XHAO_H_P_old</vt:lpstr>
      <vt:lpstr>v_10_XHAO_L</vt:lpstr>
      <vt:lpstr>v_10_XHAO_L_P</vt:lpstr>
      <vt:lpstr>v_10_XHAO_L_P_old</vt:lpstr>
      <vt:lpstr>v_10_XHAO_old</vt:lpstr>
      <vt:lpstr>v_10_XHFO_H</vt:lpstr>
      <vt:lpstr>v_10_XHFO_H_P</vt:lpstr>
      <vt:lpstr>v_10_XHFO_H_P_old</vt:lpstr>
      <vt:lpstr>v_10_XHFO_L</vt:lpstr>
      <vt:lpstr>v_10_XHFO_L_P</vt:lpstr>
      <vt:lpstr>v_10_XHFO_L_P_old</vt:lpstr>
      <vt:lpstr>v_10_XHFO_old</vt:lpstr>
      <vt:lpstr>v_10_XHMETO</vt:lpstr>
      <vt:lpstr>v_10_XINORG</vt:lpstr>
      <vt:lpstr>v_10_XMEOLO</vt:lpstr>
      <vt:lpstr>v_10_XN_B</vt:lpstr>
      <vt:lpstr>v_10_XN_Be</vt:lpstr>
      <vt:lpstr>v_10_XN_U</vt:lpstr>
      <vt:lpstr>v_10_XNITO</vt:lpstr>
      <vt:lpstr>v_10_XOHO</vt:lpstr>
      <vt:lpstr>v_10_XP_B</vt:lpstr>
      <vt:lpstr>v_10_XP_Be</vt:lpstr>
      <vt:lpstr>v_10_XP_U</vt:lpstr>
      <vt:lpstr>v_10_XPFOA</vt:lpstr>
      <vt:lpstr>v_10_XPFOS</vt:lpstr>
      <vt:lpstr>v_10_XPHA_GAO</vt:lpstr>
      <vt:lpstr>v_10_XPHA_PAO</vt:lpstr>
      <vt:lpstr>v_10_XPP</vt:lpstr>
      <vt:lpstr>v_10_XSTR</vt:lpstr>
      <vt:lpstr>v_10_XU</vt:lpstr>
      <vt:lpstr>v_10_XVivi</vt:lpstr>
      <vt:lpstr>v_11_CB</vt:lpstr>
      <vt:lpstr>v_11_CU</vt:lpstr>
      <vt:lpstr>v_11_GCH4</vt:lpstr>
      <vt:lpstr>v_11_GCH4_atm</vt:lpstr>
      <vt:lpstr>v_11_GCO2</vt:lpstr>
      <vt:lpstr>v_11_GCO2_atm</vt:lpstr>
      <vt:lpstr>v_11_GH2</vt:lpstr>
      <vt:lpstr>v_11_GH2_atm</vt:lpstr>
      <vt:lpstr>v_11_GN2</vt:lpstr>
      <vt:lpstr>v_11_GN2_atm</vt:lpstr>
      <vt:lpstr>v_11_GNH3</vt:lpstr>
      <vt:lpstr>v_11_GNH3_atm</vt:lpstr>
      <vt:lpstr>v_11_GO2</vt:lpstr>
      <vt:lpstr>v_11_GO2_atm</vt:lpstr>
      <vt:lpstr>v_11_SALPHA</vt:lpstr>
      <vt:lpstr>v_11_SAN</vt:lpstr>
      <vt:lpstr>v_11_SB</vt:lpstr>
      <vt:lpstr>v_11_SCa</vt:lpstr>
      <vt:lpstr>v_11_SCAT</vt:lpstr>
      <vt:lpstr>v_11_SCH4</vt:lpstr>
      <vt:lpstr>v_11_SCO2</vt:lpstr>
      <vt:lpstr>v_11_SFe2</vt:lpstr>
      <vt:lpstr>v_11_SH</vt:lpstr>
      <vt:lpstr>v_11_SH2</vt:lpstr>
      <vt:lpstr>v_11_SK</vt:lpstr>
      <vt:lpstr>v_11_SMEOL</vt:lpstr>
      <vt:lpstr>v_11_SMg</vt:lpstr>
      <vt:lpstr>v_11_SN_B</vt:lpstr>
      <vt:lpstr>v_11_SN2</vt:lpstr>
      <vt:lpstr>v_11_SNHx</vt:lpstr>
      <vt:lpstr>v_11_SNOx</vt:lpstr>
      <vt:lpstr>v_11_SO2</vt:lpstr>
      <vt:lpstr>v_11_SORPswitch</vt:lpstr>
      <vt:lpstr>v_11_SP_B</vt:lpstr>
      <vt:lpstr>v_11_SPFOA</vt:lpstr>
      <vt:lpstr>v_11_SPFOS</vt:lpstr>
      <vt:lpstr>v_11_SPO4</vt:lpstr>
      <vt:lpstr>v_11_SU</vt:lpstr>
      <vt:lpstr>v_11_SVFA</vt:lpstr>
      <vt:lpstr>v_11_XACP</vt:lpstr>
      <vt:lpstr>v_11_XALGAE</vt:lpstr>
      <vt:lpstr>v_11_XAMETO</vt:lpstr>
      <vt:lpstr>v_11_XB</vt:lpstr>
      <vt:lpstr>v_11_XB_e</vt:lpstr>
      <vt:lpstr>v_11_XBSH</vt:lpstr>
      <vt:lpstr>v_11_XCaCO3</vt:lpstr>
      <vt:lpstr>v_11_XCASTO</vt:lpstr>
      <vt:lpstr>v_11_XE</vt:lpstr>
      <vt:lpstr>v_11_XE_ana</vt:lpstr>
      <vt:lpstr>v_11_XHAO_H</vt:lpstr>
      <vt:lpstr>v_11_XHAO_H_P</vt:lpstr>
      <vt:lpstr>v_11_XHAO_H_P_old</vt:lpstr>
      <vt:lpstr>v_11_XHAO_L</vt:lpstr>
      <vt:lpstr>v_11_XHAO_L_P</vt:lpstr>
      <vt:lpstr>v_11_XHAO_L_P_old</vt:lpstr>
      <vt:lpstr>v_11_XHAO_old</vt:lpstr>
      <vt:lpstr>v_11_XHFO_H</vt:lpstr>
      <vt:lpstr>v_11_XHFO_H_P</vt:lpstr>
      <vt:lpstr>v_11_XHFO_H_P_old</vt:lpstr>
      <vt:lpstr>v_11_XHFO_L</vt:lpstr>
      <vt:lpstr>v_11_XHFO_L_P</vt:lpstr>
      <vt:lpstr>v_11_XHFO_L_P_old</vt:lpstr>
      <vt:lpstr>v_11_XHFO_old</vt:lpstr>
      <vt:lpstr>v_11_XHMETO</vt:lpstr>
      <vt:lpstr>v_11_XINORG</vt:lpstr>
      <vt:lpstr>v_11_XMEOLO</vt:lpstr>
      <vt:lpstr>v_11_XN_B</vt:lpstr>
      <vt:lpstr>v_11_XN_Be</vt:lpstr>
      <vt:lpstr>v_11_XN_U</vt:lpstr>
      <vt:lpstr>v_11_XNITO</vt:lpstr>
      <vt:lpstr>v_11_XOHO</vt:lpstr>
      <vt:lpstr>v_11_XP_B</vt:lpstr>
      <vt:lpstr>v_11_XP_Be</vt:lpstr>
      <vt:lpstr>v_11_XP_U</vt:lpstr>
      <vt:lpstr>v_11_XPFOA</vt:lpstr>
      <vt:lpstr>v_11_XPFOS</vt:lpstr>
      <vt:lpstr>v_11_XPHA_GAO</vt:lpstr>
      <vt:lpstr>v_11_XPHA_PAO</vt:lpstr>
      <vt:lpstr>v_11_XPP</vt:lpstr>
      <vt:lpstr>v_11_XSTR</vt:lpstr>
      <vt:lpstr>v_11_XU</vt:lpstr>
      <vt:lpstr>v_11_XVivi</vt:lpstr>
      <vt:lpstr>v_12_CB</vt:lpstr>
      <vt:lpstr>v_12_CU</vt:lpstr>
      <vt:lpstr>v_12_GCH4</vt:lpstr>
      <vt:lpstr>v_12_GCH4_atm</vt:lpstr>
      <vt:lpstr>v_12_GCO2</vt:lpstr>
      <vt:lpstr>v_12_GCO2_atm</vt:lpstr>
      <vt:lpstr>v_12_GH2</vt:lpstr>
      <vt:lpstr>v_12_GH2_atm</vt:lpstr>
      <vt:lpstr>v_12_GN2</vt:lpstr>
      <vt:lpstr>v_12_GN2_atm</vt:lpstr>
      <vt:lpstr>v_12_GNH3</vt:lpstr>
      <vt:lpstr>v_12_GNH3_atm</vt:lpstr>
      <vt:lpstr>v_12_GO2</vt:lpstr>
      <vt:lpstr>v_12_GO2_atm</vt:lpstr>
      <vt:lpstr>v_12_SALPHA</vt:lpstr>
      <vt:lpstr>v_12_SAN</vt:lpstr>
      <vt:lpstr>v_12_SB</vt:lpstr>
      <vt:lpstr>v_12_SCa</vt:lpstr>
      <vt:lpstr>v_12_SCAT</vt:lpstr>
      <vt:lpstr>v_12_SCH4</vt:lpstr>
      <vt:lpstr>v_12_SCO2</vt:lpstr>
      <vt:lpstr>v_12_SFe2</vt:lpstr>
      <vt:lpstr>v_12_SH</vt:lpstr>
      <vt:lpstr>v_12_SH2</vt:lpstr>
      <vt:lpstr>v_12_SK</vt:lpstr>
      <vt:lpstr>v_12_SMEOL</vt:lpstr>
      <vt:lpstr>v_12_SMg</vt:lpstr>
      <vt:lpstr>v_12_SN_B</vt:lpstr>
      <vt:lpstr>v_12_SN2</vt:lpstr>
      <vt:lpstr>v_12_SNHx</vt:lpstr>
      <vt:lpstr>v_12_SNOx</vt:lpstr>
      <vt:lpstr>v_12_SO2</vt:lpstr>
      <vt:lpstr>v_12_SORPswitch</vt:lpstr>
      <vt:lpstr>v_12_SP_B</vt:lpstr>
      <vt:lpstr>v_12_SPFOA</vt:lpstr>
      <vt:lpstr>v_12_SPFOS</vt:lpstr>
      <vt:lpstr>v_12_SPO4</vt:lpstr>
      <vt:lpstr>v_12_SU</vt:lpstr>
      <vt:lpstr>v_12_SVFA</vt:lpstr>
      <vt:lpstr>v_12_XACP</vt:lpstr>
      <vt:lpstr>v_12_XALGAE</vt:lpstr>
      <vt:lpstr>v_12_XAMETO</vt:lpstr>
      <vt:lpstr>v_12_XB</vt:lpstr>
      <vt:lpstr>v_12_XB_e</vt:lpstr>
      <vt:lpstr>v_12_XBSH</vt:lpstr>
      <vt:lpstr>v_12_XCaCO3</vt:lpstr>
      <vt:lpstr>v_12_XCASTO</vt:lpstr>
      <vt:lpstr>v_12_XE</vt:lpstr>
      <vt:lpstr>v_12_XE_ana</vt:lpstr>
      <vt:lpstr>v_12_XHAO_H</vt:lpstr>
      <vt:lpstr>v_12_XHAO_H_P</vt:lpstr>
      <vt:lpstr>v_12_XHAO_H_P_old</vt:lpstr>
      <vt:lpstr>v_12_XHAO_L</vt:lpstr>
      <vt:lpstr>v_12_XHAO_L_P</vt:lpstr>
      <vt:lpstr>v_12_XHAO_L_P_old</vt:lpstr>
      <vt:lpstr>v_12_XHAO_old</vt:lpstr>
      <vt:lpstr>v_12_XHFO_H</vt:lpstr>
      <vt:lpstr>v_12_XHFO_H_P</vt:lpstr>
      <vt:lpstr>v_12_XHFO_H_P_old</vt:lpstr>
      <vt:lpstr>v_12_XHFO_L</vt:lpstr>
      <vt:lpstr>v_12_XHFO_L_P</vt:lpstr>
      <vt:lpstr>v_12_XHFO_L_P_old</vt:lpstr>
      <vt:lpstr>v_12_XHFO_old</vt:lpstr>
      <vt:lpstr>v_12_XHMETO</vt:lpstr>
      <vt:lpstr>v_12_XINORG</vt:lpstr>
      <vt:lpstr>v_12_XMEOLO</vt:lpstr>
      <vt:lpstr>v_12_XN_B</vt:lpstr>
      <vt:lpstr>v_12_XN_Be</vt:lpstr>
      <vt:lpstr>v_12_XN_U</vt:lpstr>
      <vt:lpstr>v_12_XNITO</vt:lpstr>
      <vt:lpstr>v_12_XOHO</vt:lpstr>
      <vt:lpstr>v_12_XP_B</vt:lpstr>
      <vt:lpstr>v_12_XP_Be</vt:lpstr>
      <vt:lpstr>v_12_XP_U</vt:lpstr>
      <vt:lpstr>v_12_XPFOA</vt:lpstr>
      <vt:lpstr>v_12_XPFOS</vt:lpstr>
      <vt:lpstr>v_12_XPHA_GAO</vt:lpstr>
      <vt:lpstr>v_12_XPHA_PAO</vt:lpstr>
      <vt:lpstr>v_12_XPP</vt:lpstr>
      <vt:lpstr>v_12_XSTR</vt:lpstr>
      <vt:lpstr>v_12_XU</vt:lpstr>
      <vt:lpstr>v_12_XVivi</vt:lpstr>
      <vt:lpstr>v_13_CB</vt:lpstr>
      <vt:lpstr>v_13_CU</vt:lpstr>
      <vt:lpstr>v_13_GCH4</vt:lpstr>
      <vt:lpstr>v_13_GCH4_atm</vt:lpstr>
      <vt:lpstr>v_13_GCO2</vt:lpstr>
      <vt:lpstr>v_13_GCO2_atm</vt:lpstr>
      <vt:lpstr>v_13_GH2</vt:lpstr>
      <vt:lpstr>v_13_GH2_atm</vt:lpstr>
      <vt:lpstr>v_13_GN2</vt:lpstr>
      <vt:lpstr>v_13_GN2_atm</vt:lpstr>
      <vt:lpstr>v_13_GNH3</vt:lpstr>
      <vt:lpstr>v_13_GNH3_atm</vt:lpstr>
      <vt:lpstr>v_13_GO2</vt:lpstr>
      <vt:lpstr>v_13_GO2_atm</vt:lpstr>
      <vt:lpstr>v_13_SALPHA</vt:lpstr>
      <vt:lpstr>v_13_SAN</vt:lpstr>
      <vt:lpstr>v_13_SB</vt:lpstr>
      <vt:lpstr>v_13_SCa</vt:lpstr>
      <vt:lpstr>v_13_SCAT</vt:lpstr>
      <vt:lpstr>v_13_SCH4</vt:lpstr>
      <vt:lpstr>v_13_SCO2</vt:lpstr>
      <vt:lpstr>v_13_SFe2</vt:lpstr>
      <vt:lpstr>v_13_SH</vt:lpstr>
      <vt:lpstr>v_13_SH2</vt:lpstr>
      <vt:lpstr>v_13_SK</vt:lpstr>
      <vt:lpstr>v_13_SMEOL</vt:lpstr>
      <vt:lpstr>v_13_SMg</vt:lpstr>
      <vt:lpstr>v_13_SN_B</vt:lpstr>
      <vt:lpstr>v_13_SN2</vt:lpstr>
      <vt:lpstr>v_13_SNHx</vt:lpstr>
      <vt:lpstr>v_13_SNOx</vt:lpstr>
      <vt:lpstr>v_13_SO2</vt:lpstr>
      <vt:lpstr>v_13_SORPswitch</vt:lpstr>
      <vt:lpstr>v_13_SP_B</vt:lpstr>
      <vt:lpstr>v_13_SPFOA</vt:lpstr>
      <vt:lpstr>v_13_SPFOS</vt:lpstr>
      <vt:lpstr>v_13_SPO4</vt:lpstr>
      <vt:lpstr>v_13_SU</vt:lpstr>
      <vt:lpstr>v_13_SVFA</vt:lpstr>
      <vt:lpstr>v_13_XACP</vt:lpstr>
      <vt:lpstr>v_13_XALGAE</vt:lpstr>
      <vt:lpstr>v_13_XAMETO</vt:lpstr>
      <vt:lpstr>v_13_XB</vt:lpstr>
      <vt:lpstr>v_13_XB_e</vt:lpstr>
      <vt:lpstr>v_13_XBSH</vt:lpstr>
      <vt:lpstr>v_13_XCaCO3</vt:lpstr>
      <vt:lpstr>v_13_XCASTO</vt:lpstr>
      <vt:lpstr>v_13_XE</vt:lpstr>
      <vt:lpstr>v_13_XE_ana</vt:lpstr>
      <vt:lpstr>v_13_XHAO_H</vt:lpstr>
      <vt:lpstr>v_13_XHAO_H_P</vt:lpstr>
      <vt:lpstr>v_13_XHAO_H_P_old</vt:lpstr>
      <vt:lpstr>v_13_XHAO_L</vt:lpstr>
      <vt:lpstr>v_13_XHAO_L_P</vt:lpstr>
      <vt:lpstr>v_13_XHAO_L_P_old</vt:lpstr>
      <vt:lpstr>v_13_XHAO_old</vt:lpstr>
      <vt:lpstr>v_13_XHFO_H</vt:lpstr>
      <vt:lpstr>v_13_XHFO_H_P</vt:lpstr>
      <vt:lpstr>v_13_XHFO_H_P_old</vt:lpstr>
      <vt:lpstr>v_13_XHFO_L</vt:lpstr>
      <vt:lpstr>v_13_XHFO_L_P</vt:lpstr>
      <vt:lpstr>v_13_XHFO_L_P_old</vt:lpstr>
      <vt:lpstr>v_13_XHFO_old</vt:lpstr>
      <vt:lpstr>v_13_XHMETO</vt:lpstr>
      <vt:lpstr>v_13_XINORG</vt:lpstr>
      <vt:lpstr>v_13_XMEOLO</vt:lpstr>
      <vt:lpstr>v_13_XN_B</vt:lpstr>
      <vt:lpstr>v_13_XN_Be</vt:lpstr>
      <vt:lpstr>v_13_XN_U</vt:lpstr>
      <vt:lpstr>v_13_XNITO</vt:lpstr>
      <vt:lpstr>v_13_XOHO</vt:lpstr>
      <vt:lpstr>v_13_XP_B</vt:lpstr>
      <vt:lpstr>v_13_XP_Be</vt:lpstr>
      <vt:lpstr>v_13_XP_U</vt:lpstr>
      <vt:lpstr>v_13_XPFOA</vt:lpstr>
      <vt:lpstr>v_13_XPFOS</vt:lpstr>
      <vt:lpstr>v_13_XPHA_GAO</vt:lpstr>
      <vt:lpstr>v_13_XPHA_PAO</vt:lpstr>
      <vt:lpstr>v_13_XPP</vt:lpstr>
      <vt:lpstr>v_13_XSTR</vt:lpstr>
      <vt:lpstr>v_13_XU</vt:lpstr>
      <vt:lpstr>v_13_XVivi</vt:lpstr>
      <vt:lpstr>v_14_CB</vt:lpstr>
      <vt:lpstr>v_14_CU</vt:lpstr>
      <vt:lpstr>v_14_GCH4</vt:lpstr>
      <vt:lpstr>v_14_GCH4_atm</vt:lpstr>
      <vt:lpstr>v_14_GCO2</vt:lpstr>
      <vt:lpstr>v_14_GCO2_atm</vt:lpstr>
      <vt:lpstr>v_14_GH2</vt:lpstr>
      <vt:lpstr>v_14_GH2_atm</vt:lpstr>
      <vt:lpstr>v_14_GN2</vt:lpstr>
      <vt:lpstr>v_14_GN2_atm</vt:lpstr>
      <vt:lpstr>v_14_GNH3</vt:lpstr>
      <vt:lpstr>v_14_GNH3_atm</vt:lpstr>
      <vt:lpstr>v_14_GO2</vt:lpstr>
      <vt:lpstr>v_14_GO2_atm</vt:lpstr>
      <vt:lpstr>v_14_SALPHA</vt:lpstr>
      <vt:lpstr>v_14_SAN</vt:lpstr>
      <vt:lpstr>v_14_SB</vt:lpstr>
      <vt:lpstr>v_14_SCa</vt:lpstr>
      <vt:lpstr>v_14_SCAT</vt:lpstr>
      <vt:lpstr>v_14_SCH4</vt:lpstr>
      <vt:lpstr>v_14_SCO2</vt:lpstr>
      <vt:lpstr>v_14_SFe2</vt:lpstr>
      <vt:lpstr>v_14_SH</vt:lpstr>
      <vt:lpstr>v_14_SH2</vt:lpstr>
      <vt:lpstr>v_14_SK</vt:lpstr>
      <vt:lpstr>v_14_SMEOL</vt:lpstr>
      <vt:lpstr>v_14_SMg</vt:lpstr>
      <vt:lpstr>v_14_SN_B</vt:lpstr>
      <vt:lpstr>v_14_SN2</vt:lpstr>
      <vt:lpstr>v_14_SNHx</vt:lpstr>
      <vt:lpstr>v_14_SNOx</vt:lpstr>
      <vt:lpstr>v_14_SO2</vt:lpstr>
      <vt:lpstr>v_14_SORPswitch</vt:lpstr>
      <vt:lpstr>v_14_SP_B</vt:lpstr>
      <vt:lpstr>v_14_SPFOA</vt:lpstr>
      <vt:lpstr>v_14_SPFOS</vt:lpstr>
      <vt:lpstr>v_14_SPO4</vt:lpstr>
      <vt:lpstr>v_14_SU</vt:lpstr>
      <vt:lpstr>v_14_SVFA</vt:lpstr>
      <vt:lpstr>v_14_XACP</vt:lpstr>
      <vt:lpstr>v_14_XALGAE</vt:lpstr>
      <vt:lpstr>v_14_XAMETO</vt:lpstr>
      <vt:lpstr>v_14_XB</vt:lpstr>
      <vt:lpstr>v_14_XB_e</vt:lpstr>
      <vt:lpstr>v_14_XBSH</vt:lpstr>
      <vt:lpstr>v_14_XCaCO3</vt:lpstr>
      <vt:lpstr>v_14_XCASTO</vt:lpstr>
      <vt:lpstr>v_14_XE</vt:lpstr>
      <vt:lpstr>v_14_XE_ana</vt:lpstr>
      <vt:lpstr>v_14_XHAO_H</vt:lpstr>
      <vt:lpstr>v_14_XHAO_H_P</vt:lpstr>
      <vt:lpstr>v_14_XHAO_H_P_old</vt:lpstr>
      <vt:lpstr>v_14_XHAO_L</vt:lpstr>
      <vt:lpstr>v_14_XHAO_L_P</vt:lpstr>
      <vt:lpstr>v_14_XHAO_L_P_old</vt:lpstr>
      <vt:lpstr>v_14_XHAO_old</vt:lpstr>
      <vt:lpstr>v_14_XHFO_H</vt:lpstr>
      <vt:lpstr>v_14_XHFO_H_P</vt:lpstr>
      <vt:lpstr>v_14_XHFO_H_P_old</vt:lpstr>
      <vt:lpstr>v_14_XHFO_L</vt:lpstr>
      <vt:lpstr>v_14_XHFO_L_P</vt:lpstr>
      <vt:lpstr>v_14_XHFO_L_P_old</vt:lpstr>
      <vt:lpstr>v_14_XHFO_old</vt:lpstr>
      <vt:lpstr>v_14_XHMETO</vt:lpstr>
      <vt:lpstr>v_14_XINORG</vt:lpstr>
      <vt:lpstr>v_14_XMEOLO</vt:lpstr>
      <vt:lpstr>v_14_XN_B</vt:lpstr>
      <vt:lpstr>v_14_XN_Be</vt:lpstr>
      <vt:lpstr>v_14_XN_U</vt:lpstr>
      <vt:lpstr>v_14_XNITO</vt:lpstr>
      <vt:lpstr>v_14_XOHO</vt:lpstr>
      <vt:lpstr>v_14_XP_B</vt:lpstr>
      <vt:lpstr>v_14_XP_Be</vt:lpstr>
      <vt:lpstr>v_14_XP_U</vt:lpstr>
      <vt:lpstr>v_14_XPFOA</vt:lpstr>
      <vt:lpstr>v_14_XPFOS</vt:lpstr>
      <vt:lpstr>v_14_XPHA_GAO</vt:lpstr>
      <vt:lpstr>v_14_XPHA_PAO</vt:lpstr>
      <vt:lpstr>v_14_XPP</vt:lpstr>
      <vt:lpstr>v_14_XSTR</vt:lpstr>
      <vt:lpstr>v_14_XU</vt:lpstr>
      <vt:lpstr>v_14_XVivi</vt:lpstr>
      <vt:lpstr>v_15_CB</vt:lpstr>
      <vt:lpstr>v_15_CU</vt:lpstr>
      <vt:lpstr>v_15_GCH4</vt:lpstr>
      <vt:lpstr>v_15_GCH4_atm</vt:lpstr>
      <vt:lpstr>v_15_GCO2</vt:lpstr>
      <vt:lpstr>v_15_GCO2_atm</vt:lpstr>
      <vt:lpstr>v_15_GH2</vt:lpstr>
      <vt:lpstr>v_15_GH2_atm</vt:lpstr>
      <vt:lpstr>v_15_GN2</vt:lpstr>
      <vt:lpstr>v_15_GN2_atm</vt:lpstr>
      <vt:lpstr>v_15_GNH3</vt:lpstr>
      <vt:lpstr>v_15_GNH3_atm</vt:lpstr>
      <vt:lpstr>v_15_GO2</vt:lpstr>
      <vt:lpstr>v_15_GO2_atm</vt:lpstr>
      <vt:lpstr>v_15_SALPHA</vt:lpstr>
      <vt:lpstr>v_15_SAN</vt:lpstr>
      <vt:lpstr>v_15_SB</vt:lpstr>
      <vt:lpstr>v_15_SCa</vt:lpstr>
      <vt:lpstr>v_15_SCAT</vt:lpstr>
      <vt:lpstr>v_15_SCH4</vt:lpstr>
      <vt:lpstr>v_15_SCO2</vt:lpstr>
      <vt:lpstr>v_15_SFe2</vt:lpstr>
      <vt:lpstr>v_15_SH</vt:lpstr>
      <vt:lpstr>v_15_SH2</vt:lpstr>
      <vt:lpstr>v_15_SK</vt:lpstr>
      <vt:lpstr>v_15_SMEOL</vt:lpstr>
      <vt:lpstr>v_15_SMg</vt:lpstr>
      <vt:lpstr>v_15_SN_B</vt:lpstr>
      <vt:lpstr>v_15_SN2</vt:lpstr>
      <vt:lpstr>v_15_SNHx</vt:lpstr>
      <vt:lpstr>v_15_SNOx</vt:lpstr>
      <vt:lpstr>v_15_SO2</vt:lpstr>
      <vt:lpstr>v_15_SORPswitch</vt:lpstr>
      <vt:lpstr>v_15_SP_B</vt:lpstr>
      <vt:lpstr>v_15_SPFOA</vt:lpstr>
      <vt:lpstr>v_15_SPFOS</vt:lpstr>
      <vt:lpstr>v_15_SPO4</vt:lpstr>
      <vt:lpstr>v_15_SU</vt:lpstr>
      <vt:lpstr>v_15_SVFA</vt:lpstr>
      <vt:lpstr>v_15_XACP</vt:lpstr>
      <vt:lpstr>v_15_XALGAE</vt:lpstr>
      <vt:lpstr>v_15_XAMETO</vt:lpstr>
      <vt:lpstr>v_15_XB</vt:lpstr>
      <vt:lpstr>v_15_XB_e</vt:lpstr>
      <vt:lpstr>v_15_XBSH</vt:lpstr>
      <vt:lpstr>v_15_XCaCO3</vt:lpstr>
      <vt:lpstr>v_15_XCASTO</vt:lpstr>
      <vt:lpstr>v_15_XE</vt:lpstr>
      <vt:lpstr>v_15_XE_ana</vt:lpstr>
      <vt:lpstr>v_15_XHAO_H</vt:lpstr>
      <vt:lpstr>v_15_XHAO_H_P</vt:lpstr>
      <vt:lpstr>v_15_XHAO_H_P_old</vt:lpstr>
      <vt:lpstr>v_15_XHAO_L</vt:lpstr>
      <vt:lpstr>v_15_XHAO_L_P</vt:lpstr>
      <vt:lpstr>v_15_XHAO_L_P_old</vt:lpstr>
      <vt:lpstr>v_15_XHAO_old</vt:lpstr>
      <vt:lpstr>v_15_XHFO_H</vt:lpstr>
      <vt:lpstr>v_15_XHFO_H_P</vt:lpstr>
      <vt:lpstr>v_15_XHFO_H_P_old</vt:lpstr>
      <vt:lpstr>v_15_XHFO_L</vt:lpstr>
      <vt:lpstr>v_15_XHFO_L_P</vt:lpstr>
      <vt:lpstr>v_15_XHFO_L_P_old</vt:lpstr>
      <vt:lpstr>v_15_XHFO_old</vt:lpstr>
      <vt:lpstr>v_15_XHMETO</vt:lpstr>
      <vt:lpstr>v_15_XINORG</vt:lpstr>
      <vt:lpstr>v_15_XMEOLO</vt:lpstr>
      <vt:lpstr>v_15_XN_B</vt:lpstr>
      <vt:lpstr>v_15_XN_Be</vt:lpstr>
      <vt:lpstr>v_15_XN_U</vt:lpstr>
      <vt:lpstr>v_15_XNITO</vt:lpstr>
      <vt:lpstr>v_15_XOHO</vt:lpstr>
      <vt:lpstr>v_15_XP_B</vt:lpstr>
      <vt:lpstr>v_15_XP_Be</vt:lpstr>
      <vt:lpstr>v_15_XP_U</vt:lpstr>
      <vt:lpstr>v_15_XPFOA</vt:lpstr>
      <vt:lpstr>v_15_XPFOS</vt:lpstr>
      <vt:lpstr>v_15_XPHA_GAO</vt:lpstr>
      <vt:lpstr>v_15_XPHA_PAO</vt:lpstr>
      <vt:lpstr>v_15_XPP</vt:lpstr>
      <vt:lpstr>v_15_XSTR</vt:lpstr>
      <vt:lpstr>v_15_XU</vt:lpstr>
      <vt:lpstr>v_15_XVivi</vt:lpstr>
      <vt:lpstr>v_16_CB</vt:lpstr>
      <vt:lpstr>v_16_CU</vt:lpstr>
      <vt:lpstr>v_16_GCH4</vt:lpstr>
      <vt:lpstr>v_16_GCH4_atm</vt:lpstr>
      <vt:lpstr>v_16_GCO2</vt:lpstr>
      <vt:lpstr>v_16_GCO2_atm</vt:lpstr>
      <vt:lpstr>v_16_GH2</vt:lpstr>
      <vt:lpstr>v_16_GH2_atm</vt:lpstr>
      <vt:lpstr>v_16_GN2</vt:lpstr>
      <vt:lpstr>v_16_GN2_atm</vt:lpstr>
      <vt:lpstr>v_16_GNH3</vt:lpstr>
      <vt:lpstr>v_16_GNH3_atm</vt:lpstr>
      <vt:lpstr>v_16_GO2</vt:lpstr>
      <vt:lpstr>v_16_GO2_atm</vt:lpstr>
      <vt:lpstr>v_16_SALPHA</vt:lpstr>
      <vt:lpstr>v_16_SAN</vt:lpstr>
      <vt:lpstr>v_16_SB</vt:lpstr>
      <vt:lpstr>v_16_SCa</vt:lpstr>
      <vt:lpstr>v_16_SCAT</vt:lpstr>
      <vt:lpstr>v_16_SCH4</vt:lpstr>
      <vt:lpstr>v_16_SCO2</vt:lpstr>
      <vt:lpstr>v_16_SFe2</vt:lpstr>
      <vt:lpstr>v_16_SH</vt:lpstr>
      <vt:lpstr>v_16_SH2</vt:lpstr>
      <vt:lpstr>v_16_SK</vt:lpstr>
      <vt:lpstr>v_16_SMEOL</vt:lpstr>
      <vt:lpstr>v_16_SMg</vt:lpstr>
      <vt:lpstr>v_16_SN_B</vt:lpstr>
      <vt:lpstr>v_16_SN2</vt:lpstr>
      <vt:lpstr>v_16_SNHx</vt:lpstr>
      <vt:lpstr>v_16_SNOx</vt:lpstr>
      <vt:lpstr>v_16_SO2</vt:lpstr>
      <vt:lpstr>v_16_SORPswitch</vt:lpstr>
      <vt:lpstr>v_16_SP_B</vt:lpstr>
      <vt:lpstr>v_16_SPFOA</vt:lpstr>
      <vt:lpstr>v_16_SPFOS</vt:lpstr>
      <vt:lpstr>v_16_SPO4</vt:lpstr>
      <vt:lpstr>v_16_SU</vt:lpstr>
      <vt:lpstr>v_16_SVFA</vt:lpstr>
      <vt:lpstr>v_16_XACP</vt:lpstr>
      <vt:lpstr>v_16_XALGAE</vt:lpstr>
      <vt:lpstr>v_16_XAMETO</vt:lpstr>
      <vt:lpstr>v_16_XB</vt:lpstr>
      <vt:lpstr>v_16_XB_e</vt:lpstr>
      <vt:lpstr>v_16_XBSH</vt:lpstr>
      <vt:lpstr>v_16_XCaCO3</vt:lpstr>
      <vt:lpstr>v_16_XCASTO</vt:lpstr>
      <vt:lpstr>v_16_XE</vt:lpstr>
      <vt:lpstr>v_16_XE_ana</vt:lpstr>
      <vt:lpstr>v_16_XHAO_H</vt:lpstr>
      <vt:lpstr>v_16_XHAO_H_P</vt:lpstr>
      <vt:lpstr>v_16_XHAO_H_P_old</vt:lpstr>
      <vt:lpstr>v_16_XHAO_L</vt:lpstr>
      <vt:lpstr>v_16_XHAO_L_P</vt:lpstr>
      <vt:lpstr>v_16_XHAO_L_P_old</vt:lpstr>
      <vt:lpstr>v_16_XHAO_old</vt:lpstr>
      <vt:lpstr>v_16_XHFO_H</vt:lpstr>
      <vt:lpstr>v_16_XHFO_H_P</vt:lpstr>
      <vt:lpstr>v_16_XHFO_H_P_old</vt:lpstr>
      <vt:lpstr>v_16_XHFO_L</vt:lpstr>
      <vt:lpstr>v_16_XHFO_L_P</vt:lpstr>
      <vt:lpstr>v_16_XHFO_L_P_old</vt:lpstr>
      <vt:lpstr>v_16_XHFO_old</vt:lpstr>
      <vt:lpstr>v_16_XHMETO</vt:lpstr>
      <vt:lpstr>v_16_XINORG</vt:lpstr>
      <vt:lpstr>v_16_XMEOLO</vt:lpstr>
      <vt:lpstr>v_16_XN_B</vt:lpstr>
      <vt:lpstr>v_16_XN_Be</vt:lpstr>
      <vt:lpstr>v_16_XN_U</vt:lpstr>
      <vt:lpstr>v_16_XNITO</vt:lpstr>
      <vt:lpstr>v_16_XOHO</vt:lpstr>
      <vt:lpstr>v_16_XP_B</vt:lpstr>
      <vt:lpstr>v_16_XP_Be</vt:lpstr>
      <vt:lpstr>v_16_XP_U</vt:lpstr>
      <vt:lpstr>v_16_XPFOA</vt:lpstr>
      <vt:lpstr>v_16_XPFOS</vt:lpstr>
      <vt:lpstr>v_16_XPHA_GAO</vt:lpstr>
      <vt:lpstr>v_16_XPHA_PAO</vt:lpstr>
      <vt:lpstr>v_16_XPP</vt:lpstr>
      <vt:lpstr>v_16_XSTR</vt:lpstr>
      <vt:lpstr>v_16_XU</vt:lpstr>
      <vt:lpstr>v_16_XVivi</vt:lpstr>
      <vt:lpstr>v_17_CB</vt:lpstr>
      <vt:lpstr>v_17_CU</vt:lpstr>
      <vt:lpstr>v_17_GCH4</vt:lpstr>
      <vt:lpstr>v_17_GCH4_atm</vt:lpstr>
      <vt:lpstr>v_17_GCO2</vt:lpstr>
      <vt:lpstr>v_17_GCO2_atm</vt:lpstr>
      <vt:lpstr>v_17_GH2</vt:lpstr>
      <vt:lpstr>v_17_GH2_atm</vt:lpstr>
      <vt:lpstr>v_17_GN2</vt:lpstr>
      <vt:lpstr>v_17_GN2_atm</vt:lpstr>
      <vt:lpstr>v_17_GNH3</vt:lpstr>
      <vt:lpstr>v_17_GNH3_atm</vt:lpstr>
      <vt:lpstr>v_17_GO2</vt:lpstr>
      <vt:lpstr>v_17_GO2_atm</vt:lpstr>
      <vt:lpstr>v_17_SALPHA</vt:lpstr>
      <vt:lpstr>v_17_SAN</vt:lpstr>
      <vt:lpstr>v_17_SB</vt:lpstr>
      <vt:lpstr>v_17_SCa</vt:lpstr>
      <vt:lpstr>v_17_SCAT</vt:lpstr>
      <vt:lpstr>v_17_SCH4</vt:lpstr>
      <vt:lpstr>v_17_SCO2</vt:lpstr>
      <vt:lpstr>v_17_SFe2</vt:lpstr>
      <vt:lpstr>v_17_SH</vt:lpstr>
      <vt:lpstr>v_17_SH2</vt:lpstr>
      <vt:lpstr>v_17_SK</vt:lpstr>
      <vt:lpstr>v_17_SMEOL</vt:lpstr>
      <vt:lpstr>v_17_SMg</vt:lpstr>
      <vt:lpstr>v_17_SN_B</vt:lpstr>
      <vt:lpstr>v_17_SN2</vt:lpstr>
      <vt:lpstr>v_17_SNHx</vt:lpstr>
      <vt:lpstr>v_17_SNOx</vt:lpstr>
      <vt:lpstr>v_17_SO2</vt:lpstr>
      <vt:lpstr>v_17_SORPswitch</vt:lpstr>
      <vt:lpstr>v_17_SP_B</vt:lpstr>
      <vt:lpstr>v_17_SPFOA</vt:lpstr>
      <vt:lpstr>v_17_SPFOS</vt:lpstr>
      <vt:lpstr>v_17_SPO4</vt:lpstr>
      <vt:lpstr>v_17_SU</vt:lpstr>
      <vt:lpstr>v_17_SVFA</vt:lpstr>
      <vt:lpstr>v_17_XACP</vt:lpstr>
      <vt:lpstr>v_17_XALGAE</vt:lpstr>
      <vt:lpstr>v_17_XAMETO</vt:lpstr>
      <vt:lpstr>v_17_XB</vt:lpstr>
      <vt:lpstr>v_17_XB_e</vt:lpstr>
      <vt:lpstr>v_17_XBSH</vt:lpstr>
      <vt:lpstr>v_17_XCaCO3</vt:lpstr>
      <vt:lpstr>v_17_XCASTO</vt:lpstr>
      <vt:lpstr>v_17_XE</vt:lpstr>
      <vt:lpstr>v_17_XE_ana</vt:lpstr>
      <vt:lpstr>v_17_XHAO_H</vt:lpstr>
      <vt:lpstr>v_17_XHAO_H_P</vt:lpstr>
      <vt:lpstr>v_17_XHAO_H_P_old</vt:lpstr>
      <vt:lpstr>v_17_XHAO_L</vt:lpstr>
      <vt:lpstr>v_17_XHAO_L_P</vt:lpstr>
      <vt:lpstr>v_17_XHAO_L_P_old</vt:lpstr>
      <vt:lpstr>v_17_XHAO_old</vt:lpstr>
      <vt:lpstr>v_17_XHFO_H</vt:lpstr>
      <vt:lpstr>v_17_XHFO_H_P</vt:lpstr>
      <vt:lpstr>v_17_XHFO_H_P_old</vt:lpstr>
      <vt:lpstr>v_17_XHFO_L</vt:lpstr>
      <vt:lpstr>v_17_XHFO_L_P</vt:lpstr>
      <vt:lpstr>v_17_XHFO_L_P_old</vt:lpstr>
      <vt:lpstr>v_17_XHFO_old</vt:lpstr>
      <vt:lpstr>v_17_XHMETO</vt:lpstr>
      <vt:lpstr>v_17_XINORG</vt:lpstr>
      <vt:lpstr>v_17_XMEOLO</vt:lpstr>
      <vt:lpstr>v_17_XN_B</vt:lpstr>
      <vt:lpstr>v_17_XN_Be</vt:lpstr>
      <vt:lpstr>v_17_XN_U</vt:lpstr>
      <vt:lpstr>v_17_XNITO</vt:lpstr>
      <vt:lpstr>v_17_XOHO</vt:lpstr>
      <vt:lpstr>v_17_XP_B</vt:lpstr>
      <vt:lpstr>v_17_XP_Be</vt:lpstr>
      <vt:lpstr>v_17_XP_U</vt:lpstr>
      <vt:lpstr>v_17_XPFOA</vt:lpstr>
      <vt:lpstr>v_17_XPFOS</vt:lpstr>
      <vt:lpstr>v_17_XPHA_GAO</vt:lpstr>
      <vt:lpstr>v_17_XPHA_PAO</vt:lpstr>
      <vt:lpstr>v_17_XPP</vt:lpstr>
      <vt:lpstr>v_17_XSTR</vt:lpstr>
      <vt:lpstr>v_17_XU</vt:lpstr>
      <vt:lpstr>v_17_XVivi</vt:lpstr>
      <vt:lpstr>v_18_CB</vt:lpstr>
      <vt:lpstr>v_18_CU</vt:lpstr>
      <vt:lpstr>v_18_GCH4</vt:lpstr>
      <vt:lpstr>v_18_GCH4_atm</vt:lpstr>
      <vt:lpstr>v_18_GCO2</vt:lpstr>
      <vt:lpstr>v_18_GCO2_atm</vt:lpstr>
      <vt:lpstr>v_18_GH2</vt:lpstr>
      <vt:lpstr>v_18_GH2_atm</vt:lpstr>
      <vt:lpstr>v_18_GN2</vt:lpstr>
      <vt:lpstr>v_18_GN2_atm</vt:lpstr>
      <vt:lpstr>v_18_GNH3</vt:lpstr>
      <vt:lpstr>v_18_GNH3_atm</vt:lpstr>
      <vt:lpstr>v_18_GO2</vt:lpstr>
      <vt:lpstr>v_18_GO2_atm</vt:lpstr>
      <vt:lpstr>v_18_SALPHA</vt:lpstr>
      <vt:lpstr>v_18_SAN</vt:lpstr>
      <vt:lpstr>v_18_SB</vt:lpstr>
      <vt:lpstr>v_18_SCa</vt:lpstr>
      <vt:lpstr>v_18_SCAT</vt:lpstr>
      <vt:lpstr>v_18_SCH4</vt:lpstr>
      <vt:lpstr>v_18_SCO2</vt:lpstr>
      <vt:lpstr>v_18_SFe2</vt:lpstr>
      <vt:lpstr>v_18_SH</vt:lpstr>
      <vt:lpstr>v_18_SH2</vt:lpstr>
      <vt:lpstr>v_18_SK</vt:lpstr>
      <vt:lpstr>v_18_SMEOL</vt:lpstr>
      <vt:lpstr>v_18_SMg</vt:lpstr>
      <vt:lpstr>v_18_SN_B</vt:lpstr>
      <vt:lpstr>v_18_SN2</vt:lpstr>
      <vt:lpstr>v_18_SNHx</vt:lpstr>
      <vt:lpstr>v_18_SNOx</vt:lpstr>
      <vt:lpstr>v_18_SO2</vt:lpstr>
      <vt:lpstr>v_18_SORPswitch</vt:lpstr>
      <vt:lpstr>v_18_SP_B</vt:lpstr>
      <vt:lpstr>v_18_SPFOA</vt:lpstr>
      <vt:lpstr>v_18_SPFOS</vt:lpstr>
      <vt:lpstr>v_18_SPO4</vt:lpstr>
      <vt:lpstr>v_18_SU</vt:lpstr>
      <vt:lpstr>v_18_SVFA</vt:lpstr>
      <vt:lpstr>v_18_XACP</vt:lpstr>
      <vt:lpstr>v_18_XALGAE</vt:lpstr>
      <vt:lpstr>v_18_XAMETO</vt:lpstr>
      <vt:lpstr>v_18_XB</vt:lpstr>
      <vt:lpstr>v_18_XB_e</vt:lpstr>
      <vt:lpstr>v_18_XBSH</vt:lpstr>
      <vt:lpstr>v_18_XCaCO3</vt:lpstr>
      <vt:lpstr>v_18_XCASTO</vt:lpstr>
      <vt:lpstr>v_18_XE</vt:lpstr>
      <vt:lpstr>v_18_XE_ana</vt:lpstr>
      <vt:lpstr>v_18_XHAO_H</vt:lpstr>
      <vt:lpstr>v_18_XHAO_H_P</vt:lpstr>
      <vt:lpstr>v_18_XHAO_H_P_old</vt:lpstr>
      <vt:lpstr>v_18_XHAO_L</vt:lpstr>
      <vt:lpstr>v_18_XHAO_L_P</vt:lpstr>
      <vt:lpstr>v_18_XHAO_L_P_old</vt:lpstr>
      <vt:lpstr>v_18_XHAO_old</vt:lpstr>
      <vt:lpstr>v_18_XHFO_H</vt:lpstr>
      <vt:lpstr>v_18_XHFO_H_P</vt:lpstr>
      <vt:lpstr>v_18_XHFO_H_P_old</vt:lpstr>
      <vt:lpstr>v_18_XHFO_L</vt:lpstr>
      <vt:lpstr>v_18_XHFO_L_P</vt:lpstr>
      <vt:lpstr>v_18_XHFO_L_P_old</vt:lpstr>
      <vt:lpstr>v_18_XHFO_old</vt:lpstr>
      <vt:lpstr>v_18_XHMETO</vt:lpstr>
      <vt:lpstr>v_18_XINORG</vt:lpstr>
      <vt:lpstr>v_18_XMEOLO</vt:lpstr>
      <vt:lpstr>v_18_XN_B</vt:lpstr>
      <vt:lpstr>v_18_XN_Be</vt:lpstr>
      <vt:lpstr>v_18_XN_U</vt:lpstr>
      <vt:lpstr>v_18_XNITO</vt:lpstr>
      <vt:lpstr>v_18_XOHO</vt:lpstr>
      <vt:lpstr>v_18_XP_B</vt:lpstr>
      <vt:lpstr>v_18_XP_Be</vt:lpstr>
      <vt:lpstr>v_18_XP_U</vt:lpstr>
      <vt:lpstr>v_18_XPFOA</vt:lpstr>
      <vt:lpstr>v_18_XPFOS</vt:lpstr>
      <vt:lpstr>v_18_XPHA_GAO</vt:lpstr>
      <vt:lpstr>v_18_XPHA_PAO</vt:lpstr>
      <vt:lpstr>v_18_XPP</vt:lpstr>
      <vt:lpstr>v_18_XSTR</vt:lpstr>
      <vt:lpstr>v_18_XU</vt:lpstr>
      <vt:lpstr>v_18_XVivi</vt:lpstr>
      <vt:lpstr>v_19_CB</vt:lpstr>
      <vt:lpstr>v_19_CU</vt:lpstr>
      <vt:lpstr>v_19_GCH4</vt:lpstr>
      <vt:lpstr>v_19_GCH4_atm</vt:lpstr>
      <vt:lpstr>v_19_GCO2</vt:lpstr>
      <vt:lpstr>v_19_GCO2_atm</vt:lpstr>
      <vt:lpstr>v_19_GH2</vt:lpstr>
      <vt:lpstr>v_19_GH2_atm</vt:lpstr>
      <vt:lpstr>v_19_GN2</vt:lpstr>
      <vt:lpstr>v_19_GN2_atm</vt:lpstr>
      <vt:lpstr>v_19_GNH3</vt:lpstr>
      <vt:lpstr>v_19_GNH3_atm</vt:lpstr>
      <vt:lpstr>v_19_GO2</vt:lpstr>
      <vt:lpstr>v_19_GO2_atm</vt:lpstr>
      <vt:lpstr>v_19_SALPHA</vt:lpstr>
      <vt:lpstr>v_19_SAN</vt:lpstr>
      <vt:lpstr>v_19_SB</vt:lpstr>
      <vt:lpstr>v_19_SCa</vt:lpstr>
      <vt:lpstr>v_19_SCAT</vt:lpstr>
      <vt:lpstr>v_19_SCH4</vt:lpstr>
      <vt:lpstr>v_19_SCO2</vt:lpstr>
      <vt:lpstr>v_19_SFe2</vt:lpstr>
      <vt:lpstr>v_19_SH</vt:lpstr>
      <vt:lpstr>v_19_SH2</vt:lpstr>
      <vt:lpstr>v_19_SK</vt:lpstr>
      <vt:lpstr>v_19_SMEOL</vt:lpstr>
      <vt:lpstr>v_19_SMg</vt:lpstr>
      <vt:lpstr>v_19_SN_B</vt:lpstr>
      <vt:lpstr>v_19_SN2</vt:lpstr>
      <vt:lpstr>v_19_SNHx</vt:lpstr>
      <vt:lpstr>v_19_SNOx</vt:lpstr>
      <vt:lpstr>v_19_SO2</vt:lpstr>
      <vt:lpstr>v_19_SORPswitch</vt:lpstr>
      <vt:lpstr>v_19_SP_B</vt:lpstr>
      <vt:lpstr>v_19_SPFOA</vt:lpstr>
      <vt:lpstr>v_19_SPFOS</vt:lpstr>
      <vt:lpstr>v_19_SPO4</vt:lpstr>
      <vt:lpstr>v_19_SU</vt:lpstr>
      <vt:lpstr>v_19_SVFA</vt:lpstr>
      <vt:lpstr>v_19_XACP</vt:lpstr>
      <vt:lpstr>v_19_XALGAE</vt:lpstr>
      <vt:lpstr>v_19_XAMETO</vt:lpstr>
      <vt:lpstr>v_19_XB</vt:lpstr>
      <vt:lpstr>v_19_XB_e</vt:lpstr>
      <vt:lpstr>v_19_XBSH</vt:lpstr>
      <vt:lpstr>v_19_XCaCO3</vt:lpstr>
      <vt:lpstr>v_19_XCASTO</vt:lpstr>
      <vt:lpstr>v_19_XE</vt:lpstr>
      <vt:lpstr>v_19_XE_ana</vt:lpstr>
      <vt:lpstr>v_19_XHAO_H</vt:lpstr>
      <vt:lpstr>v_19_XHAO_H_P</vt:lpstr>
      <vt:lpstr>v_19_XHAO_H_P_old</vt:lpstr>
      <vt:lpstr>v_19_XHAO_L</vt:lpstr>
      <vt:lpstr>v_19_XHAO_L_P</vt:lpstr>
      <vt:lpstr>v_19_XHAO_L_P_old</vt:lpstr>
      <vt:lpstr>v_19_XHAO_old</vt:lpstr>
      <vt:lpstr>v_19_XHFO_H</vt:lpstr>
      <vt:lpstr>v_19_XHFO_H_P</vt:lpstr>
      <vt:lpstr>v_19_XHFO_H_P_old</vt:lpstr>
      <vt:lpstr>v_19_XHFO_L</vt:lpstr>
      <vt:lpstr>v_19_XHFO_L_P</vt:lpstr>
      <vt:lpstr>v_19_XHFO_L_P_old</vt:lpstr>
      <vt:lpstr>v_19_XHFO_old</vt:lpstr>
      <vt:lpstr>v_19_XHMETO</vt:lpstr>
      <vt:lpstr>v_19_XINORG</vt:lpstr>
      <vt:lpstr>v_19_XMEOLO</vt:lpstr>
      <vt:lpstr>v_19_XN_B</vt:lpstr>
      <vt:lpstr>v_19_XN_Be</vt:lpstr>
      <vt:lpstr>v_19_XN_U</vt:lpstr>
      <vt:lpstr>v_19_XNITO</vt:lpstr>
      <vt:lpstr>v_19_XOHO</vt:lpstr>
      <vt:lpstr>v_19_XP_B</vt:lpstr>
      <vt:lpstr>v_19_XP_Be</vt:lpstr>
      <vt:lpstr>v_19_XP_U</vt:lpstr>
      <vt:lpstr>v_19_XPFOA</vt:lpstr>
      <vt:lpstr>v_19_XPFOS</vt:lpstr>
      <vt:lpstr>v_19_XPHA_GAO</vt:lpstr>
      <vt:lpstr>v_19_XPHA_PAO</vt:lpstr>
      <vt:lpstr>v_19_XPP</vt:lpstr>
      <vt:lpstr>v_19_XSTR</vt:lpstr>
      <vt:lpstr>v_19_XU</vt:lpstr>
      <vt:lpstr>v_19_XVivi</vt:lpstr>
      <vt:lpstr>v_2_CB</vt:lpstr>
      <vt:lpstr>v_2_CU</vt:lpstr>
      <vt:lpstr>v_2_GCH4</vt:lpstr>
      <vt:lpstr>v_2_GCH4_atm</vt:lpstr>
      <vt:lpstr>v_2_GCO2</vt:lpstr>
      <vt:lpstr>v_2_GCO2_atm</vt:lpstr>
      <vt:lpstr>v_2_GH2</vt:lpstr>
      <vt:lpstr>v_2_GH2_atm</vt:lpstr>
      <vt:lpstr>v_2_GN2</vt:lpstr>
      <vt:lpstr>v_2_GN2_atm</vt:lpstr>
      <vt:lpstr>v_2_GNH3</vt:lpstr>
      <vt:lpstr>v_2_GNH3_atm</vt:lpstr>
      <vt:lpstr>v_2_GO2</vt:lpstr>
      <vt:lpstr>v_2_GO2_atm</vt:lpstr>
      <vt:lpstr>v_2_SALPHA</vt:lpstr>
      <vt:lpstr>v_2_SAN</vt:lpstr>
      <vt:lpstr>v_2_SB</vt:lpstr>
      <vt:lpstr>v_2_SCa</vt:lpstr>
      <vt:lpstr>v_2_SCAT</vt:lpstr>
      <vt:lpstr>v_2_SCH4</vt:lpstr>
      <vt:lpstr>v_2_SCO2</vt:lpstr>
      <vt:lpstr>v_2_SFe2</vt:lpstr>
      <vt:lpstr>v_2_SH</vt:lpstr>
      <vt:lpstr>v_2_SH2</vt:lpstr>
      <vt:lpstr>v_2_SK</vt:lpstr>
      <vt:lpstr>v_2_SMEOL</vt:lpstr>
      <vt:lpstr>v_2_SMg</vt:lpstr>
      <vt:lpstr>v_2_SN_B</vt:lpstr>
      <vt:lpstr>v_2_SN2</vt:lpstr>
      <vt:lpstr>v_2_SNHx</vt:lpstr>
      <vt:lpstr>v_2_SNOx</vt:lpstr>
      <vt:lpstr>v_2_SO2</vt:lpstr>
      <vt:lpstr>v_2_SORPswitch</vt:lpstr>
      <vt:lpstr>v_2_SP_B</vt:lpstr>
      <vt:lpstr>v_2_SPFOA</vt:lpstr>
      <vt:lpstr>v_2_SPFOS</vt:lpstr>
      <vt:lpstr>v_2_SPO4</vt:lpstr>
      <vt:lpstr>v_2_SU</vt:lpstr>
      <vt:lpstr>v_2_SVFA</vt:lpstr>
      <vt:lpstr>v_2_XACP</vt:lpstr>
      <vt:lpstr>v_2_XALGAE</vt:lpstr>
      <vt:lpstr>v_2_XAMETO</vt:lpstr>
      <vt:lpstr>v_2_XB</vt:lpstr>
      <vt:lpstr>v_2_XB_e</vt:lpstr>
      <vt:lpstr>v_2_XBSH</vt:lpstr>
      <vt:lpstr>v_2_XCaCO3</vt:lpstr>
      <vt:lpstr>v_2_XCASTO</vt:lpstr>
      <vt:lpstr>v_2_XE</vt:lpstr>
      <vt:lpstr>v_2_XE_ana</vt:lpstr>
      <vt:lpstr>v_2_XHAO_H</vt:lpstr>
      <vt:lpstr>v_2_XHAO_H_P</vt:lpstr>
      <vt:lpstr>v_2_XHAO_H_P_old</vt:lpstr>
      <vt:lpstr>v_2_XHAO_L</vt:lpstr>
      <vt:lpstr>v_2_XHAO_L_P</vt:lpstr>
      <vt:lpstr>v_2_XHAO_L_P_old</vt:lpstr>
      <vt:lpstr>v_2_XHAO_old</vt:lpstr>
      <vt:lpstr>v_2_XHFO_H</vt:lpstr>
      <vt:lpstr>v_2_XHFO_H_P</vt:lpstr>
      <vt:lpstr>v_2_XHFO_H_P_old</vt:lpstr>
      <vt:lpstr>v_2_XHFO_L</vt:lpstr>
      <vt:lpstr>v_2_XHFO_L_P</vt:lpstr>
      <vt:lpstr>v_2_XHFO_L_P_old</vt:lpstr>
      <vt:lpstr>v_2_XHFO_old</vt:lpstr>
      <vt:lpstr>v_2_XHMETO</vt:lpstr>
      <vt:lpstr>v_2_XINORG</vt:lpstr>
      <vt:lpstr>v_2_XMEOLO</vt:lpstr>
      <vt:lpstr>v_2_XN_B</vt:lpstr>
      <vt:lpstr>v_2_XN_Be</vt:lpstr>
      <vt:lpstr>v_2_XN_U</vt:lpstr>
      <vt:lpstr>v_2_XNITO</vt:lpstr>
      <vt:lpstr>v_2_XOHO</vt:lpstr>
      <vt:lpstr>v_2_XP_B</vt:lpstr>
      <vt:lpstr>v_2_XP_Be</vt:lpstr>
      <vt:lpstr>v_2_XP_U</vt:lpstr>
      <vt:lpstr>v_2_XPFOA</vt:lpstr>
      <vt:lpstr>v_2_XPFOS</vt:lpstr>
      <vt:lpstr>v_2_XPHA_GAO</vt:lpstr>
      <vt:lpstr>v_2_XPHA_PAO</vt:lpstr>
      <vt:lpstr>v_2_XPP</vt:lpstr>
      <vt:lpstr>v_2_XSTR</vt:lpstr>
      <vt:lpstr>v_2_XU</vt:lpstr>
      <vt:lpstr>v_2_XVivi</vt:lpstr>
      <vt:lpstr>v_20_CB</vt:lpstr>
      <vt:lpstr>v_20_CU</vt:lpstr>
      <vt:lpstr>v_20_GCH4</vt:lpstr>
      <vt:lpstr>v_20_GCH4_atm</vt:lpstr>
      <vt:lpstr>v_20_GCO2</vt:lpstr>
      <vt:lpstr>v_20_GCO2_atm</vt:lpstr>
      <vt:lpstr>v_20_GH2</vt:lpstr>
      <vt:lpstr>v_20_GH2_atm</vt:lpstr>
      <vt:lpstr>v_20_GN2</vt:lpstr>
      <vt:lpstr>v_20_GN2_atm</vt:lpstr>
      <vt:lpstr>v_20_GNH3</vt:lpstr>
      <vt:lpstr>v_20_GNH3_atm</vt:lpstr>
      <vt:lpstr>v_20_GO2</vt:lpstr>
      <vt:lpstr>v_20_GO2_atm</vt:lpstr>
      <vt:lpstr>v_20_SALPHA</vt:lpstr>
      <vt:lpstr>v_20_SAN</vt:lpstr>
      <vt:lpstr>v_20_SB</vt:lpstr>
      <vt:lpstr>v_20_SCa</vt:lpstr>
      <vt:lpstr>v_20_SCAT</vt:lpstr>
      <vt:lpstr>v_20_SCH4</vt:lpstr>
      <vt:lpstr>v_20_SCO2</vt:lpstr>
      <vt:lpstr>v_20_SFe2</vt:lpstr>
      <vt:lpstr>v_20_SH</vt:lpstr>
      <vt:lpstr>v_20_SH2</vt:lpstr>
      <vt:lpstr>v_20_SK</vt:lpstr>
      <vt:lpstr>v_20_SMEOL</vt:lpstr>
      <vt:lpstr>v_20_SMg</vt:lpstr>
      <vt:lpstr>v_20_SN_B</vt:lpstr>
      <vt:lpstr>v_20_SN2</vt:lpstr>
      <vt:lpstr>v_20_SNHx</vt:lpstr>
      <vt:lpstr>v_20_SNOx</vt:lpstr>
      <vt:lpstr>v_20_SO2</vt:lpstr>
      <vt:lpstr>v_20_SORPswitch</vt:lpstr>
      <vt:lpstr>v_20_SP_B</vt:lpstr>
      <vt:lpstr>v_20_SPFOA</vt:lpstr>
      <vt:lpstr>v_20_SPFOS</vt:lpstr>
      <vt:lpstr>v_20_SPO4</vt:lpstr>
      <vt:lpstr>v_20_SU</vt:lpstr>
      <vt:lpstr>v_20_SVFA</vt:lpstr>
      <vt:lpstr>v_20_XACP</vt:lpstr>
      <vt:lpstr>v_20_XALGAE</vt:lpstr>
      <vt:lpstr>v_20_XAMETO</vt:lpstr>
      <vt:lpstr>v_20_XB</vt:lpstr>
      <vt:lpstr>v_20_XB_e</vt:lpstr>
      <vt:lpstr>v_20_XBSH</vt:lpstr>
      <vt:lpstr>v_20_XCaCO3</vt:lpstr>
      <vt:lpstr>v_20_XCASTO</vt:lpstr>
      <vt:lpstr>v_20_XE</vt:lpstr>
      <vt:lpstr>v_20_XE_ana</vt:lpstr>
      <vt:lpstr>v_20_XHAO_H</vt:lpstr>
      <vt:lpstr>v_20_XHAO_H_P</vt:lpstr>
      <vt:lpstr>v_20_XHAO_H_P_old</vt:lpstr>
      <vt:lpstr>v_20_XHAO_L</vt:lpstr>
      <vt:lpstr>v_20_XHAO_L_P</vt:lpstr>
      <vt:lpstr>v_20_XHAO_L_P_old</vt:lpstr>
      <vt:lpstr>v_20_XHAO_old</vt:lpstr>
      <vt:lpstr>v_20_XHFO_H</vt:lpstr>
      <vt:lpstr>v_20_XHFO_H_P</vt:lpstr>
      <vt:lpstr>v_20_XHFO_H_P_old</vt:lpstr>
      <vt:lpstr>v_20_XHFO_L</vt:lpstr>
      <vt:lpstr>v_20_XHFO_L_P</vt:lpstr>
      <vt:lpstr>v_20_XHFO_L_P_old</vt:lpstr>
      <vt:lpstr>v_20_XHFO_old</vt:lpstr>
      <vt:lpstr>v_20_XHMETO</vt:lpstr>
      <vt:lpstr>v_20_XINORG</vt:lpstr>
      <vt:lpstr>v_20_XMEOLO</vt:lpstr>
      <vt:lpstr>v_20_XN_B</vt:lpstr>
      <vt:lpstr>v_20_XN_Be</vt:lpstr>
      <vt:lpstr>v_20_XN_U</vt:lpstr>
      <vt:lpstr>v_20_XNITO</vt:lpstr>
      <vt:lpstr>v_20_XOHO</vt:lpstr>
      <vt:lpstr>v_20_XP_B</vt:lpstr>
      <vt:lpstr>v_20_XP_Be</vt:lpstr>
      <vt:lpstr>v_20_XP_U</vt:lpstr>
      <vt:lpstr>v_20_XPFOA</vt:lpstr>
      <vt:lpstr>v_20_XPFOS</vt:lpstr>
      <vt:lpstr>v_20_XPHA_GAO</vt:lpstr>
      <vt:lpstr>v_20_XPHA_PAO</vt:lpstr>
      <vt:lpstr>v_20_XPP</vt:lpstr>
      <vt:lpstr>v_20_XSTR</vt:lpstr>
      <vt:lpstr>v_20_XU</vt:lpstr>
      <vt:lpstr>v_20_XVivi</vt:lpstr>
      <vt:lpstr>v_21_CB</vt:lpstr>
      <vt:lpstr>v_21_CU</vt:lpstr>
      <vt:lpstr>v_21_GCH4</vt:lpstr>
      <vt:lpstr>v_21_GCH4_atm</vt:lpstr>
      <vt:lpstr>v_21_GCO2</vt:lpstr>
      <vt:lpstr>v_21_GCO2_atm</vt:lpstr>
      <vt:lpstr>v_21_GH2</vt:lpstr>
      <vt:lpstr>v_21_GH2_atm</vt:lpstr>
      <vt:lpstr>v_21_GN2</vt:lpstr>
      <vt:lpstr>v_21_GN2_atm</vt:lpstr>
      <vt:lpstr>v_21_GNH3</vt:lpstr>
      <vt:lpstr>v_21_GNH3_atm</vt:lpstr>
      <vt:lpstr>v_21_GO2</vt:lpstr>
      <vt:lpstr>v_21_GO2_atm</vt:lpstr>
      <vt:lpstr>v_21_SALPHA</vt:lpstr>
      <vt:lpstr>v_21_SAN</vt:lpstr>
      <vt:lpstr>v_21_SB</vt:lpstr>
      <vt:lpstr>v_21_SCa</vt:lpstr>
      <vt:lpstr>v_21_SCAT</vt:lpstr>
      <vt:lpstr>v_21_SCH4</vt:lpstr>
      <vt:lpstr>v_21_SCO2</vt:lpstr>
      <vt:lpstr>v_21_SFe2</vt:lpstr>
      <vt:lpstr>v_21_SH</vt:lpstr>
      <vt:lpstr>v_21_SH2</vt:lpstr>
      <vt:lpstr>v_21_SK</vt:lpstr>
      <vt:lpstr>v_21_SMEOL</vt:lpstr>
      <vt:lpstr>v_21_SMg</vt:lpstr>
      <vt:lpstr>v_21_SN_B</vt:lpstr>
      <vt:lpstr>v_21_SN2</vt:lpstr>
      <vt:lpstr>v_21_SNHx</vt:lpstr>
      <vt:lpstr>v_21_SNOx</vt:lpstr>
      <vt:lpstr>v_21_SO2</vt:lpstr>
      <vt:lpstr>v_21_SORPswitch</vt:lpstr>
      <vt:lpstr>v_21_SP_B</vt:lpstr>
      <vt:lpstr>v_21_SPFOA</vt:lpstr>
      <vt:lpstr>v_21_SPFOS</vt:lpstr>
      <vt:lpstr>v_21_SPO4</vt:lpstr>
      <vt:lpstr>v_21_SU</vt:lpstr>
      <vt:lpstr>v_21_SVFA</vt:lpstr>
      <vt:lpstr>v_21_XACP</vt:lpstr>
      <vt:lpstr>v_21_XALGAE</vt:lpstr>
      <vt:lpstr>v_21_XAMETO</vt:lpstr>
      <vt:lpstr>v_21_XB</vt:lpstr>
      <vt:lpstr>v_21_XB_e</vt:lpstr>
      <vt:lpstr>v_21_XBSH</vt:lpstr>
      <vt:lpstr>v_21_XCaCO3</vt:lpstr>
      <vt:lpstr>v_21_XCASTO</vt:lpstr>
      <vt:lpstr>v_21_XE</vt:lpstr>
      <vt:lpstr>v_21_XE_ana</vt:lpstr>
      <vt:lpstr>v_21_XHAO_H</vt:lpstr>
      <vt:lpstr>v_21_XHAO_H_P</vt:lpstr>
      <vt:lpstr>v_21_XHAO_H_P_old</vt:lpstr>
      <vt:lpstr>v_21_XHAO_L</vt:lpstr>
      <vt:lpstr>v_21_XHAO_L_P</vt:lpstr>
      <vt:lpstr>v_21_XHAO_L_P_old</vt:lpstr>
      <vt:lpstr>v_21_XHAO_old</vt:lpstr>
      <vt:lpstr>v_21_XHFO_H</vt:lpstr>
      <vt:lpstr>v_21_XHFO_H_P</vt:lpstr>
      <vt:lpstr>v_21_XHFO_H_P_old</vt:lpstr>
      <vt:lpstr>v_21_XHFO_L</vt:lpstr>
      <vt:lpstr>v_21_XHFO_L_P</vt:lpstr>
      <vt:lpstr>v_21_XHFO_L_P_old</vt:lpstr>
      <vt:lpstr>v_21_XHFO_old</vt:lpstr>
      <vt:lpstr>v_21_XHMETO</vt:lpstr>
      <vt:lpstr>v_21_XINORG</vt:lpstr>
      <vt:lpstr>v_21_XMEOLO</vt:lpstr>
      <vt:lpstr>v_21_XN_B</vt:lpstr>
      <vt:lpstr>v_21_XN_Be</vt:lpstr>
      <vt:lpstr>v_21_XN_U</vt:lpstr>
      <vt:lpstr>v_21_XNITO</vt:lpstr>
      <vt:lpstr>v_21_XOHO</vt:lpstr>
      <vt:lpstr>v_21_XP_B</vt:lpstr>
      <vt:lpstr>v_21_XP_Be</vt:lpstr>
      <vt:lpstr>v_21_XP_U</vt:lpstr>
      <vt:lpstr>v_21_XPFOA</vt:lpstr>
      <vt:lpstr>v_21_XPFOS</vt:lpstr>
      <vt:lpstr>v_21_XPHA_GAO</vt:lpstr>
      <vt:lpstr>v_21_XPHA_PAO</vt:lpstr>
      <vt:lpstr>v_21_XPP</vt:lpstr>
      <vt:lpstr>v_21_XSTR</vt:lpstr>
      <vt:lpstr>v_21_XU</vt:lpstr>
      <vt:lpstr>v_21_XVivi</vt:lpstr>
      <vt:lpstr>v_22_CB</vt:lpstr>
      <vt:lpstr>v_22_CU</vt:lpstr>
      <vt:lpstr>v_22_GCH4</vt:lpstr>
      <vt:lpstr>v_22_GCH4_atm</vt:lpstr>
      <vt:lpstr>v_22_GCO2</vt:lpstr>
      <vt:lpstr>v_22_GCO2_atm</vt:lpstr>
      <vt:lpstr>v_22_GH2</vt:lpstr>
      <vt:lpstr>v_22_GH2_atm</vt:lpstr>
      <vt:lpstr>v_22_GN2</vt:lpstr>
      <vt:lpstr>v_22_GN2_atm</vt:lpstr>
      <vt:lpstr>v_22_GNH3</vt:lpstr>
      <vt:lpstr>v_22_GNH3_atm</vt:lpstr>
      <vt:lpstr>v_22_GO2</vt:lpstr>
      <vt:lpstr>v_22_GO2_atm</vt:lpstr>
      <vt:lpstr>v_22_SALPHA</vt:lpstr>
      <vt:lpstr>v_22_SAN</vt:lpstr>
      <vt:lpstr>v_22_SB</vt:lpstr>
      <vt:lpstr>v_22_SCa</vt:lpstr>
      <vt:lpstr>v_22_SCAT</vt:lpstr>
      <vt:lpstr>v_22_SCH4</vt:lpstr>
      <vt:lpstr>v_22_SCO2</vt:lpstr>
      <vt:lpstr>v_22_SFe2</vt:lpstr>
      <vt:lpstr>v_22_SH</vt:lpstr>
      <vt:lpstr>v_22_SH2</vt:lpstr>
      <vt:lpstr>v_22_SK</vt:lpstr>
      <vt:lpstr>v_22_SMEOL</vt:lpstr>
      <vt:lpstr>v_22_SMg</vt:lpstr>
      <vt:lpstr>v_22_SN_B</vt:lpstr>
      <vt:lpstr>v_22_SN2</vt:lpstr>
      <vt:lpstr>v_22_SNHx</vt:lpstr>
      <vt:lpstr>v_22_SNOx</vt:lpstr>
      <vt:lpstr>v_22_SO2</vt:lpstr>
      <vt:lpstr>v_22_SORPswitch</vt:lpstr>
      <vt:lpstr>v_22_SP_B</vt:lpstr>
      <vt:lpstr>v_22_SPFOA</vt:lpstr>
      <vt:lpstr>v_22_SPFOS</vt:lpstr>
      <vt:lpstr>v_22_SPO4</vt:lpstr>
      <vt:lpstr>v_22_SU</vt:lpstr>
      <vt:lpstr>v_22_SVFA</vt:lpstr>
      <vt:lpstr>v_22_XACP</vt:lpstr>
      <vt:lpstr>v_22_XALGAE</vt:lpstr>
      <vt:lpstr>v_22_XAMETO</vt:lpstr>
      <vt:lpstr>v_22_XB</vt:lpstr>
      <vt:lpstr>v_22_XB_e</vt:lpstr>
      <vt:lpstr>v_22_XBSH</vt:lpstr>
      <vt:lpstr>v_22_XCaCO3</vt:lpstr>
      <vt:lpstr>v_22_XCASTO</vt:lpstr>
      <vt:lpstr>v_22_XE</vt:lpstr>
      <vt:lpstr>v_22_XE_ana</vt:lpstr>
      <vt:lpstr>v_22_XHAO_H</vt:lpstr>
      <vt:lpstr>v_22_XHAO_H_P</vt:lpstr>
      <vt:lpstr>v_22_XHAO_H_P_old</vt:lpstr>
      <vt:lpstr>v_22_XHAO_L</vt:lpstr>
      <vt:lpstr>v_22_XHAO_L_P</vt:lpstr>
      <vt:lpstr>v_22_XHAO_L_P_old</vt:lpstr>
      <vt:lpstr>v_22_XHAO_old</vt:lpstr>
      <vt:lpstr>v_22_XHFO_H</vt:lpstr>
      <vt:lpstr>v_22_XHFO_H_P</vt:lpstr>
      <vt:lpstr>v_22_XHFO_H_P_old</vt:lpstr>
      <vt:lpstr>v_22_XHFO_L</vt:lpstr>
      <vt:lpstr>v_22_XHFO_L_P</vt:lpstr>
      <vt:lpstr>v_22_XHFO_L_P_old</vt:lpstr>
      <vt:lpstr>v_22_XHFO_old</vt:lpstr>
      <vt:lpstr>v_22_XHMETO</vt:lpstr>
      <vt:lpstr>v_22_XINORG</vt:lpstr>
      <vt:lpstr>v_22_XMEOLO</vt:lpstr>
      <vt:lpstr>v_22_XN_B</vt:lpstr>
      <vt:lpstr>v_22_XN_Be</vt:lpstr>
      <vt:lpstr>v_22_XN_U</vt:lpstr>
      <vt:lpstr>v_22_XNITO</vt:lpstr>
      <vt:lpstr>v_22_XOHO</vt:lpstr>
      <vt:lpstr>v_22_XP_B</vt:lpstr>
      <vt:lpstr>v_22_XP_Be</vt:lpstr>
      <vt:lpstr>v_22_XP_U</vt:lpstr>
      <vt:lpstr>v_22_XPFOA</vt:lpstr>
      <vt:lpstr>v_22_XPFOS</vt:lpstr>
      <vt:lpstr>v_22_XPHA_GAO</vt:lpstr>
      <vt:lpstr>v_22_XPHA_PAO</vt:lpstr>
      <vt:lpstr>v_22_XPP</vt:lpstr>
      <vt:lpstr>v_22_XSTR</vt:lpstr>
      <vt:lpstr>v_22_XU</vt:lpstr>
      <vt:lpstr>v_22_XVivi</vt:lpstr>
      <vt:lpstr>v_23_CB</vt:lpstr>
      <vt:lpstr>v_23_CU</vt:lpstr>
      <vt:lpstr>v_23_GCH4</vt:lpstr>
      <vt:lpstr>v_23_GCH4_atm</vt:lpstr>
      <vt:lpstr>v_23_GCO2</vt:lpstr>
      <vt:lpstr>v_23_GCO2_atm</vt:lpstr>
      <vt:lpstr>v_23_GH2</vt:lpstr>
      <vt:lpstr>v_23_GH2_atm</vt:lpstr>
      <vt:lpstr>v_23_GN2</vt:lpstr>
      <vt:lpstr>v_23_GN2_atm</vt:lpstr>
      <vt:lpstr>v_23_GNH3</vt:lpstr>
      <vt:lpstr>v_23_GNH3_atm</vt:lpstr>
      <vt:lpstr>v_23_GO2</vt:lpstr>
      <vt:lpstr>v_23_GO2_atm</vt:lpstr>
      <vt:lpstr>v_23_SALPHA</vt:lpstr>
      <vt:lpstr>v_23_SAN</vt:lpstr>
      <vt:lpstr>v_23_SB</vt:lpstr>
      <vt:lpstr>v_23_SCa</vt:lpstr>
      <vt:lpstr>v_23_SCAT</vt:lpstr>
      <vt:lpstr>v_23_SCH4</vt:lpstr>
      <vt:lpstr>v_23_SCO2</vt:lpstr>
      <vt:lpstr>v_23_SFe2</vt:lpstr>
      <vt:lpstr>v_23_SH</vt:lpstr>
      <vt:lpstr>v_23_SH2</vt:lpstr>
      <vt:lpstr>v_23_SK</vt:lpstr>
      <vt:lpstr>v_23_SMEOL</vt:lpstr>
      <vt:lpstr>v_23_SMg</vt:lpstr>
      <vt:lpstr>v_23_SN_B</vt:lpstr>
      <vt:lpstr>v_23_SN2</vt:lpstr>
      <vt:lpstr>v_23_SNHx</vt:lpstr>
      <vt:lpstr>v_23_SNOx</vt:lpstr>
      <vt:lpstr>v_23_SO2</vt:lpstr>
      <vt:lpstr>v_23_SORPswitch</vt:lpstr>
      <vt:lpstr>v_23_SP_B</vt:lpstr>
      <vt:lpstr>v_23_SPFOA</vt:lpstr>
      <vt:lpstr>v_23_SPFOS</vt:lpstr>
      <vt:lpstr>v_23_SPO4</vt:lpstr>
      <vt:lpstr>v_23_SU</vt:lpstr>
      <vt:lpstr>v_23_SVFA</vt:lpstr>
      <vt:lpstr>v_23_XACP</vt:lpstr>
      <vt:lpstr>v_23_XALGAE</vt:lpstr>
      <vt:lpstr>v_23_XAMETO</vt:lpstr>
      <vt:lpstr>v_23_XB</vt:lpstr>
      <vt:lpstr>v_23_XB_e</vt:lpstr>
      <vt:lpstr>v_23_XBSH</vt:lpstr>
      <vt:lpstr>v_23_XCaCO3</vt:lpstr>
      <vt:lpstr>v_23_XCASTO</vt:lpstr>
      <vt:lpstr>v_23_XE</vt:lpstr>
      <vt:lpstr>v_23_XE_ana</vt:lpstr>
      <vt:lpstr>v_23_XHAO_H</vt:lpstr>
      <vt:lpstr>v_23_XHAO_H_P</vt:lpstr>
      <vt:lpstr>v_23_XHAO_H_P_old</vt:lpstr>
      <vt:lpstr>v_23_XHAO_L</vt:lpstr>
      <vt:lpstr>v_23_XHAO_L_P</vt:lpstr>
      <vt:lpstr>v_23_XHAO_L_P_old</vt:lpstr>
      <vt:lpstr>v_23_XHAO_old</vt:lpstr>
      <vt:lpstr>v_23_XHFO_H</vt:lpstr>
      <vt:lpstr>v_23_XHFO_H_P</vt:lpstr>
      <vt:lpstr>v_23_XHFO_H_P_old</vt:lpstr>
      <vt:lpstr>v_23_XHFO_L</vt:lpstr>
      <vt:lpstr>v_23_XHFO_L_P</vt:lpstr>
      <vt:lpstr>v_23_XHFO_L_P_old</vt:lpstr>
      <vt:lpstr>v_23_XHFO_old</vt:lpstr>
      <vt:lpstr>v_23_XHMETO</vt:lpstr>
      <vt:lpstr>v_23_XINORG</vt:lpstr>
      <vt:lpstr>v_23_XMEOLO</vt:lpstr>
      <vt:lpstr>v_23_XN_B</vt:lpstr>
      <vt:lpstr>v_23_XN_Be</vt:lpstr>
      <vt:lpstr>v_23_XN_U</vt:lpstr>
      <vt:lpstr>v_23_XNITO</vt:lpstr>
      <vt:lpstr>v_23_XOHO</vt:lpstr>
      <vt:lpstr>v_23_XP_B</vt:lpstr>
      <vt:lpstr>v_23_XP_Be</vt:lpstr>
      <vt:lpstr>v_23_XP_U</vt:lpstr>
      <vt:lpstr>v_23_XPFOA</vt:lpstr>
      <vt:lpstr>v_23_XPFOS</vt:lpstr>
      <vt:lpstr>v_23_XPHA_GAO</vt:lpstr>
      <vt:lpstr>v_23_XPHA_PAO</vt:lpstr>
      <vt:lpstr>v_23_XPP</vt:lpstr>
      <vt:lpstr>v_23_XSTR</vt:lpstr>
      <vt:lpstr>v_23_XU</vt:lpstr>
      <vt:lpstr>v_23_XVivi</vt:lpstr>
      <vt:lpstr>v_24_CB</vt:lpstr>
      <vt:lpstr>v_24_CU</vt:lpstr>
      <vt:lpstr>v_24_GCH4</vt:lpstr>
      <vt:lpstr>v_24_GCH4_atm</vt:lpstr>
      <vt:lpstr>v_24_GCO2</vt:lpstr>
      <vt:lpstr>v_24_GCO2_atm</vt:lpstr>
      <vt:lpstr>v_24_GH2</vt:lpstr>
      <vt:lpstr>v_24_GH2_atm</vt:lpstr>
      <vt:lpstr>v_24_GN2</vt:lpstr>
      <vt:lpstr>v_24_GN2_atm</vt:lpstr>
      <vt:lpstr>v_24_GNH3</vt:lpstr>
      <vt:lpstr>v_24_GNH3_atm</vt:lpstr>
      <vt:lpstr>v_24_GO2</vt:lpstr>
      <vt:lpstr>v_24_GO2_atm</vt:lpstr>
      <vt:lpstr>v_24_SALPHA</vt:lpstr>
      <vt:lpstr>v_24_SAN</vt:lpstr>
      <vt:lpstr>v_24_SB</vt:lpstr>
      <vt:lpstr>v_24_SCa</vt:lpstr>
      <vt:lpstr>v_24_SCAT</vt:lpstr>
      <vt:lpstr>v_24_SCH4</vt:lpstr>
      <vt:lpstr>v_24_SCO2</vt:lpstr>
      <vt:lpstr>v_24_SFe2</vt:lpstr>
      <vt:lpstr>v_24_SH</vt:lpstr>
      <vt:lpstr>v_24_SH2</vt:lpstr>
      <vt:lpstr>v_24_SK</vt:lpstr>
      <vt:lpstr>v_24_SMEOL</vt:lpstr>
      <vt:lpstr>v_24_SMg</vt:lpstr>
      <vt:lpstr>v_24_SN_B</vt:lpstr>
      <vt:lpstr>v_24_SN2</vt:lpstr>
      <vt:lpstr>v_24_SNHx</vt:lpstr>
      <vt:lpstr>v_24_SNOx</vt:lpstr>
      <vt:lpstr>v_24_SO2</vt:lpstr>
      <vt:lpstr>v_24_SORPswitch</vt:lpstr>
      <vt:lpstr>v_24_SP_B</vt:lpstr>
      <vt:lpstr>v_24_SPFOA</vt:lpstr>
      <vt:lpstr>v_24_SPFOS</vt:lpstr>
      <vt:lpstr>v_24_SPO4</vt:lpstr>
      <vt:lpstr>v_24_SU</vt:lpstr>
      <vt:lpstr>v_24_SVFA</vt:lpstr>
      <vt:lpstr>v_24_XACP</vt:lpstr>
      <vt:lpstr>v_24_XALGAE</vt:lpstr>
      <vt:lpstr>v_24_XAMETO</vt:lpstr>
      <vt:lpstr>v_24_XB</vt:lpstr>
      <vt:lpstr>v_24_XB_e</vt:lpstr>
      <vt:lpstr>v_24_XBSH</vt:lpstr>
      <vt:lpstr>v_24_XCaCO3</vt:lpstr>
      <vt:lpstr>v_24_XCASTO</vt:lpstr>
      <vt:lpstr>v_24_XE</vt:lpstr>
      <vt:lpstr>v_24_XE_ana</vt:lpstr>
      <vt:lpstr>v_24_XHAO_H</vt:lpstr>
      <vt:lpstr>v_24_XHAO_H_P</vt:lpstr>
      <vt:lpstr>v_24_XHAO_H_P_old</vt:lpstr>
      <vt:lpstr>v_24_XHAO_L</vt:lpstr>
      <vt:lpstr>v_24_XHAO_L_P</vt:lpstr>
      <vt:lpstr>v_24_XHAO_L_P_old</vt:lpstr>
      <vt:lpstr>v_24_XHAO_old</vt:lpstr>
      <vt:lpstr>v_24_XHFO_H</vt:lpstr>
      <vt:lpstr>v_24_XHFO_H_P</vt:lpstr>
      <vt:lpstr>v_24_XHFO_H_P_old</vt:lpstr>
      <vt:lpstr>v_24_XHFO_L</vt:lpstr>
      <vt:lpstr>v_24_XHFO_L_P</vt:lpstr>
      <vt:lpstr>v_24_XHFO_L_P_old</vt:lpstr>
      <vt:lpstr>v_24_XHFO_old</vt:lpstr>
      <vt:lpstr>v_24_XHMETO</vt:lpstr>
      <vt:lpstr>v_24_XINORG</vt:lpstr>
      <vt:lpstr>v_24_XMEOLO</vt:lpstr>
      <vt:lpstr>v_24_XN_B</vt:lpstr>
      <vt:lpstr>v_24_XN_Be</vt:lpstr>
      <vt:lpstr>v_24_XN_U</vt:lpstr>
      <vt:lpstr>v_24_XNITO</vt:lpstr>
      <vt:lpstr>v_24_XOHO</vt:lpstr>
      <vt:lpstr>v_24_XP_B</vt:lpstr>
      <vt:lpstr>v_24_XP_Be</vt:lpstr>
      <vt:lpstr>v_24_XP_U</vt:lpstr>
      <vt:lpstr>v_24_XPFOA</vt:lpstr>
      <vt:lpstr>v_24_XPFOS</vt:lpstr>
      <vt:lpstr>v_24_XPHA_GAO</vt:lpstr>
      <vt:lpstr>v_24_XPHA_PAO</vt:lpstr>
      <vt:lpstr>v_24_XPP</vt:lpstr>
      <vt:lpstr>v_24_XSTR</vt:lpstr>
      <vt:lpstr>v_24_XU</vt:lpstr>
      <vt:lpstr>v_24_XVivi</vt:lpstr>
      <vt:lpstr>v_25_CB</vt:lpstr>
      <vt:lpstr>v_25_CU</vt:lpstr>
      <vt:lpstr>v_25_GCH4</vt:lpstr>
      <vt:lpstr>v_25_GCH4_atm</vt:lpstr>
      <vt:lpstr>v_25_GCO2</vt:lpstr>
      <vt:lpstr>v_25_GCO2_atm</vt:lpstr>
      <vt:lpstr>v_25_GH2</vt:lpstr>
      <vt:lpstr>v_25_GH2_atm</vt:lpstr>
      <vt:lpstr>v_25_GN2</vt:lpstr>
      <vt:lpstr>v_25_GN2_atm</vt:lpstr>
      <vt:lpstr>v_25_GNH3</vt:lpstr>
      <vt:lpstr>v_25_GNH3_atm</vt:lpstr>
      <vt:lpstr>v_25_GO2</vt:lpstr>
      <vt:lpstr>v_25_GO2_atm</vt:lpstr>
      <vt:lpstr>v_25_SALPHA</vt:lpstr>
      <vt:lpstr>v_25_SAN</vt:lpstr>
      <vt:lpstr>v_25_SB</vt:lpstr>
      <vt:lpstr>v_25_SCa</vt:lpstr>
      <vt:lpstr>v_25_SCAT</vt:lpstr>
      <vt:lpstr>v_25_SCH4</vt:lpstr>
      <vt:lpstr>v_25_SCO2</vt:lpstr>
      <vt:lpstr>v_25_SFe2</vt:lpstr>
      <vt:lpstr>v_25_SH</vt:lpstr>
      <vt:lpstr>v_25_SH2</vt:lpstr>
      <vt:lpstr>v_25_SK</vt:lpstr>
      <vt:lpstr>v_25_SMEOL</vt:lpstr>
      <vt:lpstr>v_25_SMg</vt:lpstr>
      <vt:lpstr>v_25_SN_B</vt:lpstr>
      <vt:lpstr>v_25_SN2</vt:lpstr>
      <vt:lpstr>v_25_SNHx</vt:lpstr>
      <vt:lpstr>v_25_SNOx</vt:lpstr>
      <vt:lpstr>v_25_SO2</vt:lpstr>
      <vt:lpstr>v_25_SORPswitch</vt:lpstr>
      <vt:lpstr>v_25_SP_B</vt:lpstr>
      <vt:lpstr>v_25_SPFOA</vt:lpstr>
      <vt:lpstr>v_25_SPFOS</vt:lpstr>
      <vt:lpstr>v_25_SPO4</vt:lpstr>
      <vt:lpstr>v_25_SU</vt:lpstr>
      <vt:lpstr>v_25_SVFA</vt:lpstr>
      <vt:lpstr>v_25_XACP</vt:lpstr>
      <vt:lpstr>v_25_XALGAE</vt:lpstr>
      <vt:lpstr>v_25_XAMETO</vt:lpstr>
      <vt:lpstr>v_25_XB</vt:lpstr>
      <vt:lpstr>v_25_XB_e</vt:lpstr>
      <vt:lpstr>v_25_XBSH</vt:lpstr>
      <vt:lpstr>v_25_XCaCO3</vt:lpstr>
      <vt:lpstr>v_25_XCASTO</vt:lpstr>
      <vt:lpstr>v_25_XE</vt:lpstr>
      <vt:lpstr>v_25_XE_ana</vt:lpstr>
      <vt:lpstr>v_25_XHAO_H</vt:lpstr>
      <vt:lpstr>v_25_XHAO_H_P</vt:lpstr>
      <vt:lpstr>v_25_XHAO_H_P_old</vt:lpstr>
      <vt:lpstr>v_25_XHAO_L</vt:lpstr>
      <vt:lpstr>v_25_XHAO_L_P</vt:lpstr>
      <vt:lpstr>v_25_XHAO_L_P_old</vt:lpstr>
      <vt:lpstr>v_25_XHAO_old</vt:lpstr>
      <vt:lpstr>v_25_XHFO_H</vt:lpstr>
      <vt:lpstr>v_25_XHFO_H_P</vt:lpstr>
      <vt:lpstr>v_25_XHFO_H_P_old</vt:lpstr>
      <vt:lpstr>v_25_XHFO_L</vt:lpstr>
      <vt:lpstr>v_25_XHFO_L_P</vt:lpstr>
      <vt:lpstr>v_25_XHFO_L_P_old</vt:lpstr>
      <vt:lpstr>v_25_XHFO_old</vt:lpstr>
      <vt:lpstr>v_25_XHMETO</vt:lpstr>
      <vt:lpstr>v_25_XINORG</vt:lpstr>
      <vt:lpstr>v_25_XMEOLO</vt:lpstr>
      <vt:lpstr>v_25_XN_B</vt:lpstr>
      <vt:lpstr>v_25_XN_Be</vt:lpstr>
      <vt:lpstr>v_25_XN_U</vt:lpstr>
      <vt:lpstr>v_25_XNITO</vt:lpstr>
      <vt:lpstr>v_25_XOHO</vt:lpstr>
      <vt:lpstr>v_25_XP_B</vt:lpstr>
      <vt:lpstr>v_25_XP_Be</vt:lpstr>
      <vt:lpstr>v_25_XP_U</vt:lpstr>
      <vt:lpstr>v_25_XPFOA</vt:lpstr>
      <vt:lpstr>v_25_XPFOS</vt:lpstr>
      <vt:lpstr>v_25_XPHA_GAO</vt:lpstr>
      <vt:lpstr>v_25_XPHA_PAO</vt:lpstr>
      <vt:lpstr>v_25_XPP</vt:lpstr>
      <vt:lpstr>v_25_XSTR</vt:lpstr>
      <vt:lpstr>v_25_XU</vt:lpstr>
      <vt:lpstr>v_25_XVivi</vt:lpstr>
      <vt:lpstr>v_26_CB</vt:lpstr>
      <vt:lpstr>v_26_CU</vt:lpstr>
      <vt:lpstr>v_26_GCH4</vt:lpstr>
      <vt:lpstr>v_26_GCH4_atm</vt:lpstr>
      <vt:lpstr>v_26_GCO2</vt:lpstr>
      <vt:lpstr>v_26_GCO2_atm</vt:lpstr>
      <vt:lpstr>v_26_GH2</vt:lpstr>
      <vt:lpstr>v_26_GH2_atm</vt:lpstr>
      <vt:lpstr>v_26_GN2</vt:lpstr>
      <vt:lpstr>v_26_GN2_atm</vt:lpstr>
      <vt:lpstr>v_26_GNH3</vt:lpstr>
      <vt:lpstr>v_26_GNH3_atm</vt:lpstr>
      <vt:lpstr>v_26_GO2</vt:lpstr>
      <vt:lpstr>v_26_GO2_atm</vt:lpstr>
      <vt:lpstr>v_26_SALPHA</vt:lpstr>
      <vt:lpstr>v_26_SAN</vt:lpstr>
      <vt:lpstr>v_26_SB</vt:lpstr>
      <vt:lpstr>v_26_SCa</vt:lpstr>
      <vt:lpstr>v_26_SCAT</vt:lpstr>
      <vt:lpstr>v_26_SCH4</vt:lpstr>
      <vt:lpstr>v_26_SCO2</vt:lpstr>
      <vt:lpstr>v_26_SFe2</vt:lpstr>
      <vt:lpstr>v_26_SH</vt:lpstr>
      <vt:lpstr>v_26_SH2</vt:lpstr>
      <vt:lpstr>v_26_SK</vt:lpstr>
      <vt:lpstr>v_26_SMEOL</vt:lpstr>
      <vt:lpstr>v_26_SMg</vt:lpstr>
      <vt:lpstr>v_26_SN_B</vt:lpstr>
      <vt:lpstr>v_26_SN2</vt:lpstr>
      <vt:lpstr>v_26_SNHx</vt:lpstr>
      <vt:lpstr>v_26_SNOx</vt:lpstr>
      <vt:lpstr>v_26_SO2</vt:lpstr>
      <vt:lpstr>v_26_SORPswitch</vt:lpstr>
      <vt:lpstr>v_26_SP_B</vt:lpstr>
      <vt:lpstr>v_26_SPFOA</vt:lpstr>
      <vt:lpstr>v_26_SPFOS</vt:lpstr>
      <vt:lpstr>v_26_SPO4</vt:lpstr>
      <vt:lpstr>v_26_SU</vt:lpstr>
      <vt:lpstr>v_26_SVFA</vt:lpstr>
      <vt:lpstr>v_26_XACP</vt:lpstr>
      <vt:lpstr>v_26_XALGAE</vt:lpstr>
      <vt:lpstr>v_26_XAMETO</vt:lpstr>
      <vt:lpstr>v_26_XB</vt:lpstr>
      <vt:lpstr>v_26_XB_e</vt:lpstr>
      <vt:lpstr>v_26_XBSH</vt:lpstr>
      <vt:lpstr>v_26_XCaCO3</vt:lpstr>
      <vt:lpstr>v_26_XCASTO</vt:lpstr>
      <vt:lpstr>v_26_XE</vt:lpstr>
      <vt:lpstr>v_26_XE_ana</vt:lpstr>
      <vt:lpstr>v_26_XHAO_H</vt:lpstr>
      <vt:lpstr>v_26_XHAO_H_P</vt:lpstr>
      <vt:lpstr>v_26_XHAO_H_P_old</vt:lpstr>
      <vt:lpstr>v_26_XHAO_L</vt:lpstr>
      <vt:lpstr>v_26_XHAO_L_P</vt:lpstr>
      <vt:lpstr>v_26_XHAO_L_P_old</vt:lpstr>
      <vt:lpstr>v_26_XHAO_old</vt:lpstr>
      <vt:lpstr>v_26_XHFO_H</vt:lpstr>
      <vt:lpstr>v_26_XHFO_H_P</vt:lpstr>
      <vt:lpstr>v_26_XHFO_H_P_old</vt:lpstr>
      <vt:lpstr>v_26_XHFO_L</vt:lpstr>
      <vt:lpstr>v_26_XHFO_L_P</vt:lpstr>
      <vt:lpstr>v_26_XHFO_L_P_old</vt:lpstr>
      <vt:lpstr>v_26_XHFO_old</vt:lpstr>
      <vt:lpstr>v_26_XHMETO</vt:lpstr>
      <vt:lpstr>v_26_XINORG</vt:lpstr>
      <vt:lpstr>v_26_XMEOLO</vt:lpstr>
      <vt:lpstr>v_26_XN_B</vt:lpstr>
      <vt:lpstr>v_26_XN_Be</vt:lpstr>
      <vt:lpstr>v_26_XN_U</vt:lpstr>
      <vt:lpstr>v_26_XNITO</vt:lpstr>
      <vt:lpstr>v_26_XOHO</vt:lpstr>
      <vt:lpstr>v_26_XP_B</vt:lpstr>
      <vt:lpstr>v_26_XP_Be</vt:lpstr>
      <vt:lpstr>v_26_XP_U</vt:lpstr>
      <vt:lpstr>v_26_XPFOA</vt:lpstr>
      <vt:lpstr>v_26_XPFOS</vt:lpstr>
      <vt:lpstr>v_26_XPHA_GAO</vt:lpstr>
      <vt:lpstr>v_26_XPHA_PAO</vt:lpstr>
      <vt:lpstr>v_26_XPP</vt:lpstr>
      <vt:lpstr>v_26_XSTR</vt:lpstr>
      <vt:lpstr>v_26_XU</vt:lpstr>
      <vt:lpstr>v_26_XVivi</vt:lpstr>
      <vt:lpstr>v_27_CB</vt:lpstr>
      <vt:lpstr>v_27_CU</vt:lpstr>
      <vt:lpstr>v_27_GCH4</vt:lpstr>
      <vt:lpstr>v_27_GCH4_atm</vt:lpstr>
      <vt:lpstr>v_27_GCO2</vt:lpstr>
      <vt:lpstr>v_27_GCO2_atm</vt:lpstr>
      <vt:lpstr>v_27_GH2</vt:lpstr>
      <vt:lpstr>v_27_GH2_atm</vt:lpstr>
      <vt:lpstr>v_27_GN2</vt:lpstr>
      <vt:lpstr>v_27_GN2_atm</vt:lpstr>
      <vt:lpstr>v_27_GNH3</vt:lpstr>
      <vt:lpstr>v_27_GNH3_atm</vt:lpstr>
      <vt:lpstr>v_27_GO2</vt:lpstr>
      <vt:lpstr>v_27_GO2_atm</vt:lpstr>
      <vt:lpstr>v_27_SALPHA</vt:lpstr>
      <vt:lpstr>v_27_SAN</vt:lpstr>
      <vt:lpstr>v_27_SB</vt:lpstr>
      <vt:lpstr>v_27_SCa</vt:lpstr>
      <vt:lpstr>v_27_SCAT</vt:lpstr>
      <vt:lpstr>v_27_SCH4</vt:lpstr>
      <vt:lpstr>v_27_SCO2</vt:lpstr>
      <vt:lpstr>v_27_SFe2</vt:lpstr>
      <vt:lpstr>v_27_SH</vt:lpstr>
      <vt:lpstr>v_27_SH2</vt:lpstr>
      <vt:lpstr>v_27_SK</vt:lpstr>
      <vt:lpstr>v_27_SMEOL</vt:lpstr>
      <vt:lpstr>v_27_SMg</vt:lpstr>
      <vt:lpstr>v_27_SN_B</vt:lpstr>
      <vt:lpstr>v_27_SN2</vt:lpstr>
      <vt:lpstr>v_27_SNHx</vt:lpstr>
      <vt:lpstr>v_27_SNOx</vt:lpstr>
      <vt:lpstr>v_27_SO2</vt:lpstr>
      <vt:lpstr>v_27_SORPswitch</vt:lpstr>
      <vt:lpstr>v_27_SP_B</vt:lpstr>
      <vt:lpstr>v_27_SPFOA</vt:lpstr>
      <vt:lpstr>v_27_SPFOS</vt:lpstr>
      <vt:lpstr>v_27_SPO4</vt:lpstr>
      <vt:lpstr>v_27_SU</vt:lpstr>
      <vt:lpstr>v_27_SVFA</vt:lpstr>
      <vt:lpstr>v_27_XACP</vt:lpstr>
      <vt:lpstr>v_27_XALGAE</vt:lpstr>
      <vt:lpstr>v_27_XAMETO</vt:lpstr>
      <vt:lpstr>v_27_XB</vt:lpstr>
      <vt:lpstr>v_27_XB_e</vt:lpstr>
      <vt:lpstr>v_27_XBSH</vt:lpstr>
      <vt:lpstr>v_27_XCaCO3</vt:lpstr>
      <vt:lpstr>v_27_XCASTO</vt:lpstr>
      <vt:lpstr>v_27_XE</vt:lpstr>
      <vt:lpstr>v_27_XE_ana</vt:lpstr>
      <vt:lpstr>v_27_XHAO_H</vt:lpstr>
      <vt:lpstr>v_27_XHAO_H_P</vt:lpstr>
      <vt:lpstr>v_27_XHAO_H_P_old</vt:lpstr>
      <vt:lpstr>v_27_XHAO_L</vt:lpstr>
      <vt:lpstr>v_27_XHAO_L_P</vt:lpstr>
      <vt:lpstr>v_27_XHAO_L_P_old</vt:lpstr>
      <vt:lpstr>v_27_XHAO_old</vt:lpstr>
      <vt:lpstr>v_27_XHFO_H</vt:lpstr>
      <vt:lpstr>v_27_XHFO_H_P</vt:lpstr>
      <vt:lpstr>v_27_XHFO_H_P_old</vt:lpstr>
      <vt:lpstr>v_27_XHFO_L</vt:lpstr>
      <vt:lpstr>v_27_XHFO_L_P</vt:lpstr>
      <vt:lpstr>v_27_XHFO_L_P_old</vt:lpstr>
      <vt:lpstr>v_27_XHFO_old</vt:lpstr>
      <vt:lpstr>v_27_XHMETO</vt:lpstr>
      <vt:lpstr>v_27_XINORG</vt:lpstr>
      <vt:lpstr>v_27_XMEOLO</vt:lpstr>
      <vt:lpstr>v_27_XN_B</vt:lpstr>
      <vt:lpstr>v_27_XN_Be</vt:lpstr>
      <vt:lpstr>v_27_XN_U</vt:lpstr>
      <vt:lpstr>v_27_XNITO</vt:lpstr>
      <vt:lpstr>v_27_XOHO</vt:lpstr>
      <vt:lpstr>v_27_XP_B</vt:lpstr>
      <vt:lpstr>v_27_XP_Be</vt:lpstr>
      <vt:lpstr>v_27_XP_U</vt:lpstr>
      <vt:lpstr>v_27_XPFOA</vt:lpstr>
      <vt:lpstr>v_27_XPFOS</vt:lpstr>
      <vt:lpstr>v_27_XPHA_GAO</vt:lpstr>
      <vt:lpstr>v_27_XPHA_PAO</vt:lpstr>
      <vt:lpstr>v_27_XPP</vt:lpstr>
      <vt:lpstr>v_27_XSTR</vt:lpstr>
      <vt:lpstr>v_27_XU</vt:lpstr>
      <vt:lpstr>v_27_XVivi</vt:lpstr>
      <vt:lpstr>v_28_CB</vt:lpstr>
      <vt:lpstr>v_28_CU</vt:lpstr>
      <vt:lpstr>v_28_GCH4</vt:lpstr>
      <vt:lpstr>v_28_GCH4_atm</vt:lpstr>
      <vt:lpstr>v_28_GCO2</vt:lpstr>
      <vt:lpstr>v_28_GCO2_atm</vt:lpstr>
      <vt:lpstr>v_28_GH2</vt:lpstr>
      <vt:lpstr>v_28_GH2_atm</vt:lpstr>
      <vt:lpstr>v_28_GN2</vt:lpstr>
      <vt:lpstr>v_28_GN2_atm</vt:lpstr>
      <vt:lpstr>v_28_GNH3</vt:lpstr>
      <vt:lpstr>v_28_GNH3_atm</vt:lpstr>
      <vt:lpstr>v_28_GO2</vt:lpstr>
      <vt:lpstr>v_28_GO2_atm</vt:lpstr>
      <vt:lpstr>v_28_SALPHA</vt:lpstr>
      <vt:lpstr>v_28_SAN</vt:lpstr>
      <vt:lpstr>v_28_SB</vt:lpstr>
      <vt:lpstr>v_28_SCa</vt:lpstr>
      <vt:lpstr>v_28_SCAT</vt:lpstr>
      <vt:lpstr>v_28_SCH4</vt:lpstr>
      <vt:lpstr>v_28_SCO2</vt:lpstr>
      <vt:lpstr>v_28_SFe2</vt:lpstr>
      <vt:lpstr>v_28_SH</vt:lpstr>
      <vt:lpstr>v_28_SH2</vt:lpstr>
      <vt:lpstr>v_28_SK</vt:lpstr>
      <vt:lpstr>v_28_SMEOL</vt:lpstr>
      <vt:lpstr>v_28_SMg</vt:lpstr>
      <vt:lpstr>v_28_SN_B</vt:lpstr>
      <vt:lpstr>v_28_SN2</vt:lpstr>
      <vt:lpstr>v_28_SNHx</vt:lpstr>
      <vt:lpstr>v_28_SNOx</vt:lpstr>
      <vt:lpstr>v_28_SO2</vt:lpstr>
      <vt:lpstr>v_28_SORPswitch</vt:lpstr>
      <vt:lpstr>v_28_SP_B</vt:lpstr>
      <vt:lpstr>v_28_SPFOA</vt:lpstr>
      <vt:lpstr>v_28_SPFOS</vt:lpstr>
      <vt:lpstr>v_28_SPO4</vt:lpstr>
      <vt:lpstr>v_28_SU</vt:lpstr>
      <vt:lpstr>v_28_SVFA</vt:lpstr>
      <vt:lpstr>v_28_XACP</vt:lpstr>
      <vt:lpstr>v_28_XALGAE</vt:lpstr>
      <vt:lpstr>v_28_XAMETO</vt:lpstr>
      <vt:lpstr>v_28_XB</vt:lpstr>
      <vt:lpstr>v_28_XB_e</vt:lpstr>
      <vt:lpstr>v_28_XBSH</vt:lpstr>
      <vt:lpstr>v_28_XCaCO3</vt:lpstr>
      <vt:lpstr>v_28_XCASTO</vt:lpstr>
      <vt:lpstr>v_28_XE</vt:lpstr>
      <vt:lpstr>v_28_XE_ana</vt:lpstr>
      <vt:lpstr>v_28_XHAO_H</vt:lpstr>
      <vt:lpstr>v_28_XHAO_H_P</vt:lpstr>
      <vt:lpstr>v_28_XHAO_H_P_old</vt:lpstr>
      <vt:lpstr>v_28_XHAO_L</vt:lpstr>
      <vt:lpstr>v_28_XHAO_L_P</vt:lpstr>
      <vt:lpstr>v_28_XHAO_L_P_old</vt:lpstr>
      <vt:lpstr>v_28_XHAO_old</vt:lpstr>
      <vt:lpstr>v_28_XHFO_H</vt:lpstr>
      <vt:lpstr>v_28_XHFO_H_P</vt:lpstr>
      <vt:lpstr>v_28_XHFO_H_P_old</vt:lpstr>
      <vt:lpstr>v_28_XHFO_L</vt:lpstr>
      <vt:lpstr>v_28_XHFO_L_P</vt:lpstr>
      <vt:lpstr>v_28_XHFO_L_P_old</vt:lpstr>
      <vt:lpstr>v_28_XHFO_old</vt:lpstr>
      <vt:lpstr>v_28_XHMETO</vt:lpstr>
      <vt:lpstr>v_28_XINORG</vt:lpstr>
      <vt:lpstr>v_28_XMEOLO</vt:lpstr>
      <vt:lpstr>v_28_XN_B</vt:lpstr>
      <vt:lpstr>v_28_XN_Be</vt:lpstr>
      <vt:lpstr>v_28_XN_U</vt:lpstr>
      <vt:lpstr>v_28_XNITO</vt:lpstr>
      <vt:lpstr>v_28_XOHO</vt:lpstr>
      <vt:lpstr>v_28_XP_B</vt:lpstr>
      <vt:lpstr>v_28_XP_Be</vt:lpstr>
      <vt:lpstr>v_28_XP_U</vt:lpstr>
      <vt:lpstr>v_28_XPFOA</vt:lpstr>
      <vt:lpstr>v_28_XPFOS</vt:lpstr>
      <vt:lpstr>v_28_XPHA_GAO</vt:lpstr>
      <vt:lpstr>v_28_XPHA_PAO</vt:lpstr>
      <vt:lpstr>v_28_XPP</vt:lpstr>
      <vt:lpstr>v_28_XSTR</vt:lpstr>
      <vt:lpstr>v_28_XU</vt:lpstr>
      <vt:lpstr>v_28_XVivi</vt:lpstr>
      <vt:lpstr>v_29_CB</vt:lpstr>
      <vt:lpstr>v_29_CU</vt:lpstr>
      <vt:lpstr>v_29_GCH4</vt:lpstr>
      <vt:lpstr>v_29_GCH4_atm</vt:lpstr>
      <vt:lpstr>v_29_GCO2</vt:lpstr>
      <vt:lpstr>v_29_GCO2_atm</vt:lpstr>
      <vt:lpstr>v_29_GH2</vt:lpstr>
      <vt:lpstr>v_29_GH2_atm</vt:lpstr>
      <vt:lpstr>v_29_GN2</vt:lpstr>
      <vt:lpstr>v_29_GN2_atm</vt:lpstr>
      <vt:lpstr>v_29_GNH3</vt:lpstr>
      <vt:lpstr>v_29_GNH3_atm</vt:lpstr>
      <vt:lpstr>v_29_GO2</vt:lpstr>
      <vt:lpstr>v_29_GO2_atm</vt:lpstr>
      <vt:lpstr>v_29_SALPHA</vt:lpstr>
      <vt:lpstr>v_29_SAN</vt:lpstr>
      <vt:lpstr>v_29_SB</vt:lpstr>
      <vt:lpstr>v_29_SCa</vt:lpstr>
      <vt:lpstr>v_29_SCAT</vt:lpstr>
      <vt:lpstr>v_29_SCH4</vt:lpstr>
      <vt:lpstr>v_29_SCO2</vt:lpstr>
      <vt:lpstr>v_29_SFe2</vt:lpstr>
      <vt:lpstr>v_29_SH</vt:lpstr>
      <vt:lpstr>v_29_SH2</vt:lpstr>
      <vt:lpstr>v_29_SK</vt:lpstr>
      <vt:lpstr>v_29_SMEOL</vt:lpstr>
      <vt:lpstr>v_29_SMg</vt:lpstr>
      <vt:lpstr>v_29_SN_B</vt:lpstr>
      <vt:lpstr>v_29_SN2</vt:lpstr>
      <vt:lpstr>v_29_SNHx</vt:lpstr>
      <vt:lpstr>v_29_SNOx</vt:lpstr>
      <vt:lpstr>v_29_SO2</vt:lpstr>
      <vt:lpstr>v_29_SORPswitch</vt:lpstr>
      <vt:lpstr>v_29_SP_B</vt:lpstr>
      <vt:lpstr>v_29_SPFOA</vt:lpstr>
      <vt:lpstr>v_29_SPFOS</vt:lpstr>
      <vt:lpstr>v_29_SPO4</vt:lpstr>
      <vt:lpstr>v_29_SU</vt:lpstr>
      <vt:lpstr>v_29_SVFA</vt:lpstr>
      <vt:lpstr>v_29_XACP</vt:lpstr>
      <vt:lpstr>v_29_XALGAE</vt:lpstr>
      <vt:lpstr>v_29_XAMETO</vt:lpstr>
      <vt:lpstr>v_29_XB</vt:lpstr>
      <vt:lpstr>v_29_XB_e</vt:lpstr>
      <vt:lpstr>v_29_XBSH</vt:lpstr>
      <vt:lpstr>v_29_XCaCO3</vt:lpstr>
      <vt:lpstr>v_29_XCASTO</vt:lpstr>
      <vt:lpstr>v_29_XE</vt:lpstr>
      <vt:lpstr>v_29_XE_ana</vt:lpstr>
      <vt:lpstr>v_29_XHAO_H</vt:lpstr>
      <vt:lpstr>v_29_XHAO_H_P</vt:lpstr>
      <vt:lpstr>v_29_XHAO_H_P_old</vt:lpstr>
      <vt:lpstr>v_29_XHAO_L</vt:lpstr>
      <vt:lpstr>v_29_XHAO_L_P</vt:lpstr>
      <vt:lpstr>v_29_XHAO_L_P_old</vt:lpstr>
      <vt:lpstr>v_29_XHAO_old</vt:lpstr>
      <vt:lpstr>v_29_XHFO_H</vt:lpstr>
      <vt:lpstr>v_29_XHFO_H_P</vt:lpstr>
      <vt:lpstr>v_29_XHFO_H_P_old</vt:lpstr>
      <vt:lpstr>v_29_XHFO_L</vt:lpstr>
      <vt:lpstr>v_29_XHFO_L_P</vt:lpstr>
      <vt:lpstr>v_29_XHFO_L_P_old</vt:lpstr>
      <vt:lpstr>v_29_XHFO_old</vt:lpstr>
      <vt:lpstr>v_29_XHMETO</vt:lpstr>
      <vt:lpstr>v_29_XINORG</vt:lpstr>
      <vt:lpstr>v_29_XMEOLO</vt:lpstr>
      <vt:lpstr>v_29_XN_B</vt:lpstr>
      <vt:lpstr>v_29_XN_Be</vt:lpstr>
      <vt:lpstr>v_29_XN_U</vt:lpstr>
      <vt:lpstr>v_29_XNITO</vt:lpstr>
      <vt:lpstr>v_29_XOHO</vt:lpstr>
      <vt:lpstr>v_29_XP_B</vt:lpstr>
      <vt:lpstr>v_29_XP_Be</vt:lpstr>
      <vt:lpstr>v_29_XP_U</vt:lpstr>
      <vt:lpstr>v_29_XPFOA</vt:lpstr>
      <vt:lpstr>v_29_XPFOS</vt:lpstr>
      <vt:lpstr>v_29_XPHA_GAO</vt:lpstr>
      <vt:lpstr>v_29_XPHA_PAO</vt:lpstr>
      <vt:lpstr>v_29_XPP</vt:lpstr>
      <vt:lpstr>v_29_XSTR</vt:lpstr>
      <vt:lpstr>v_29_XU</vt:lpstr>
      <vt:lpstr>v_29_XVivi</vt:lpstr>
      <vt:lpstr>v_3_CB</vt:lpstr>
      <vt:lpstr>v_3_CU</vt:lpstr>
      <vt:lpstr>v_3_GCH4</vt:lpstr>
      <vt:lpstr>v_3_GCH4_atm</vt:lpstr>
      <vt:lpstr>v_3_GCO2</vt:lpstr>
      <vt:lpstr>v_3_GCO2_atm</vt:lpstr>
      <vt:lpstr>v_3_GH2</vt:lpstr>
      <vt:lpstr>v_3_GH2_atm</vt:lpstr>
      <vt:lpstr>v_3_GN2</vt:lpstr>
      <vt:lpstr>v_3_GN2_atm</vt:lpstr>
      <vt:lpstr>v_3_GNH3</vt:lpstr>
      <vt:lpstr>v_3_GNH3_atm</vt:lpstr>
      <vt:lpstr>v_3_GO2</vt:lpstr>
      <vt:lpstr>v_3_GO2_atm</vt:lpstr>
      <vt:lpstr>v_3_SALPHA</vt:lpstr>
      <vt:lpstr>v_3_SAN</vt:lpstr>
      <vt:lpstr>v_3_SB</vt:lpstr>
      <vt:lpstr>v_3_SCa</vt:lpstr>
      <vt:lpstr>v_3_SCAT</vt:lpstr>
      <vt:lpstr>v_3_SCH4</vt:lpstr>
      <vt:lpstr>v_3_SCO2</vt:lpstr>
      <vt:lpstr>v_3_SFe2</vt:lpstr>
      <vt:lpstr>v_3_SH</vt:lpstr>
      <vt:lpstr>v_3_SH2</vt:lpstr>
      <vt:lpstr>v_3_SK</vt:lpstr>
      <vt:lpstr>v_3_SMEOL</vt:lpstr>
      <vt:lpstr>v_3_SMg</vt:lpstr>
      <vt:lpstr>v_3_SN_B</vt:lpstr>
      <vt:lpstr>v_3_SN2</vt:lpstr>
      <vt:lpstr>v_3_SNHx</vt:lpstr>
      <vt:lpstr>v_3_SNOx</vt:lpstr>
      <vt:lpstr>v_3_SO2</vt:lpstr>
      <vt:lpstr>v_3_SORPswitch</vt:lpstr>
      <vt:lpstr>v_3_SP_B</vt:lpstr>
      <vt:lpstr>v_3_SPFOA</vt:lpstr>
      <vt:lpstr>v_3_SPFOS</vt:lpstr>
      <vt:lpstr>v_3_SPO4</vt:lpstr>
      <vt:lpstr>v_3_SU</vt:lpstr>
      <vt:lpstr>v_3_SVFA</vt:lpstr>
      <vt:lpstr>v_3_XACP</vt:lpstr>
      <vt:lpstr>v_3_XALGAE</vt:lpstr>
      <vt:lpstr>v_3_XAMETO</vt:lpstr>
      <vt:lpstr>v_3_XB</vt:lpstr>
      <vt:lpstr>v_3_XB_e</vt:lpstr>
      <vt:lpstr>v_3_XBSH</vt:lpstr>
      <vt:lpstr>v_3_XCaCO3</vt:lpstr>
      <vt:lpstr>v_3_XCASTO</vt:lpstr>
      <vt:lpstr>v_3_XE</vt:lpstr>
      <vt:lpstr>v_3_XE_ana</vt:lpstr>
      <vt:lpstr>v_3_XHAO_H</vt:lpstr>
      <vt:lpstr>v_3_XHAO_H_P</vt:lpstr>
      <vt:lpstr>v_3_XHAO_H_P_old</vt:lpstr>
      <vt:lpstr>v_3_XHAO_L</vt:lpstr>
      <vt:lpstr>v_3_XHAO_L_P</vt:lpstr>
      <vt:lpstr>v_3_XHAO_L_P_old</vt:lpstr>
      <vt:lpstr>v_3_XHAO_old</vt:lpstr>
      <vt:lpstr>v_3_XHFO_H</vt:lpstr>
      <vt:lpstr>v_3_XHFO_H_P</vt:lpstr>
      <vt:lpstr>v_3_XHFO_H_P_old</vt:lpstr>
      <vt:lpstr>v_3_XHFO_L</vt:lpstr>
      <vt:lpstr>v_3_XHFO_L_P</vt:lpstr>
      <vt:lpstr>v_3_XHFO_L_P_old</vt:lpstr>
      <vt:lpstr>v_3_XHFO_old</vt:lpstr>
      <vt:lpstr>v_3_XHMETO</vt:lpstr>
      <vt:lpstr>v_3_XINORG</vt:lpstr>
      <vt:lpstr>v_3_XMEOLO</vt:lpstr>
      <vt:lpstr>v_3_XN_B</vt:lpstr>
      <vt:lpstr>v_3_XN_Be</vt:lpstr>
      <vt:lpstr>v_3_XN_U</vt:lpstr>
      <vt:lpstr>v_3_XNITO</vt:lpstr>
      <vt:lpstr>v_3_XOHO</vt:lpstr>
      <vt:lpstr>v_3_XP_B</vt:lpstr>
      <vt:lpstr>v_3_XP_Be</vt:lpstr>
      <vt:lpstr>v_3_XP_U</vt:lpstr>
      <vt:lpstr>v_3_XPFOA</vt:lpstr>
      <vt:lpstr>v_3_XPFOS</vt:lpstr>
      <vt:lpstr>v_3_XPHA_GAO</vt:lpstr>
      <vt:lpstr>v_3_XPHA_PAO</vt:lpstr>
      <vt:lpstr>v_3_XPP</vt:lpstr>
      <vt:lpstr>v_3_XSTR</vt:lpstr>
      <vt:lpstr>v_3_XU</vt:lpstr>
      <vt:lpstr>v_3_XVivi</vt:lpstr>
      <vt:lpstr>v_30_CB</vt:lpstr>
      <vt:lpstr>v_30_CU</vt:lpstr>
      <vt:lpstr>v_30_GCH4</vt:lpstr>
      <vt:lpstr>v_30_GCH4_atm</vt:lpstr>
      <vt:lpstr>v_30_GCO2</vt:lpstr>
      <vt:lpstr>v_30_GCO2_atm</vt:lpstr>
      <vt:lpstr>v_30_GH2</vt:lpstr>
      <vt:lpstr>v_30_GH2_atm</vt:lpstr>
      <vt:lpstr>v_30_GN2</vt:lpstr>
      <vt:lpstr>v_30_GN2_atm</vt:lpstr>
      <vt:lpstr>v_30_GNH3</vt:lpstr>
      <vt:lpstr>v_30_GNH3_atm</vt:lpstr>
      <vt:lpstr>v_30_GO2</vt:lpstr>
      <vt:lpstr>v_30_GO2_atm</vt:lpstr>
      <vt:lpstr>v_30_SALPHA</vt:lpstr>
      <vt:lpstr>v_30_SAN</vt:lpstr>
      <vt:lpstr>v_30_SB</vt:lpstr>
      <vt:lpstr>v_30_SCa</vt:lpstr>
      <vt:lpstr>v_30_SCAT</vt:lpstr>
      <vt:lpstr>v_30_SCH4</vt:lpstr>
      <vt:lpstr>v_30_SCO2</vt:lpstr>
      <vt:lpstr>v_30_SFe2</vt:lpstr>
      <vt:lpstr>v_30_SH</vt:lpstr>
      <vt:lpstr>v_30_SH2</vt:lpstr>
      <vt:lpstr>v_30_SK</vt:lpstr>
      <vt:lpstr>v_30_SMEOL</vt:lpstr>
      <vt:lpstr>v_30_SMg</vt:lpstr>
      <vt:lpstr>v_30_SN_B</vt:lpstr>
      <vt:lpstr>v_30_SN2</vt:lpstr>
      <vt:lpstr>v_30_SNHx</vt:lpstr>
      <vt:lpstr>v_30_SNOx</vt:lpstr>
      <vt:lpstr>v_30_SO2</vt:lpstr>
      <vt:lpstr>v_30_SORPswitch</vt:lpstr>
      <vt:lpstr>v_30_SP_B</vt:lpstr>
      <vt:lpstr>v_30_SPFOA</vt:lpstr>
      <vt:lpstr>v_30_SPFOS</vt:lpstr>
      <vt:lpstr>v_30_SPO4</vt:lpstr>
      <vt:lpstr>v_30_SU</vt:lpstr>
      <vt:lpstr>v_30_SVFA</vt:lpstr>
      <vt:lpstr>v_30_XACP</vt:lpstr>
      <vt:lpstr>v_30_XALGAE</vt:lpstr>
      <vt:lpstr>v_30_XAMETO</vt:lpstr>
      <vt:lpstr>v_30_XB</vt:lpstr>
      <vt:lpstr>v_30_XB_e</vt:lpstr>
      <vt:lpstr>v_30_XBSH</vt:lpstr>
      <vt:lpstr>v_30_XCaCO3</vt:lpstr>
      <vt:lpstr>v_30_XCASTO</vt:lpstr>
      <vt:lpstr>v_30_XE</vt:lpstr>
      <vt:lpstr>v_30_XE_ana</vt:lpstr>
      <vt:lpstr>v_30_XHAO_H</vt:lpstr>
      <vt:lpstr>v_30_XHAO_H_P</vt:lpstr>
      <vt:lpstr>v_30_XHAO_H_P_old</vt:lpstr>
      <vt:lpstr>v_30_XHAO_L</vt:lpstr>
      <vt:lpstr>v_30_XHAO_L_P</vt:lpstr>
      <vt:lpstr>v_30_XHAO_L_P_old</vt:lpstr>
      <vt:lpstr>v_30_XHAO_old</vt:lpstr>
      <vt:lpstr>v_30_XHFO_H</vt:lpstr>
      <vt:lpstr>v_30_XHFO_H_P</vt:lpstr>
      <vt:lpstr>v_30_XHFO_H_P_old</vt:lpstr>
      <vt:lpstr>v_30_XHFO_L</vt:lpstr>
      <vt:lpstr>v_30_XHFO_L_P</vt:lpstr>
      <vt:lpstr>v_30_XHFO_L_P_old</vt:lpstr>
      <vt:lpstr>v_30_XHFO_old</vt:lpstr>
      <vt:lpstr>v_30_XHMETO</vt:lpstr>
      <vt:lpstr>v_30_XINORG</vt:lpstr>
      <vt:lpstr>v_30_XMEOLO</vt:lpstr>
      <vt:lpstr>v_30_XN_B</vt:lpstr>
      <vt:lpstr>v_30_XN_Be</vt:lpstr>
      <vt:lpstr>v_30_XN_U</vt:lpstr>
      <vt:lpstr>v_30_XNITO</vt:lpstr>
      <vt:lpstr>v_30_XOHO</vt:lpstr>
      <vt:lpstr>v_30_XP_B</vt:lpstr>
      <vt:lpstr>v_30_XP_Be</vt:lpstr>
      <vt:lpstr>v_30_XP_U</vt:lpstr>
      <vt:lpstr>v_30_XPFOA</vt:lpstr>
      <vt:lpstr>v_30_XPFOS</vt:lpstr>
      <vt:lpstr>v_30_XPHA_GAO</vt:lpstr>
      <vt:lpstr>v_30_XPHA_PAO</vt:lpstr>
      <vt:lpstr>v_30_XPP</vt:lpstr>
      <vt:lpstr>v_30_XSTR</vt:lpstr>
      <vt:lpstr>v_30_XU</vt:lpstr>
      <vt:lpstr>v_30_XVivi</vt:lpstr>
      <vt:lpstr>v_31_CB</vt:lpstr>
      <vt:lpstr>v_31_CU</vt:lpstr>
      <vt:lpstr>v_31_GCH4</vt:lpstr>
      <vt:lpstr>v_31_GCH4_atm</vt:lpstr>
      <vt:lpstr>v_31_GCO2</vt:lpstr>
      <vt:lpstr>v_31_GCO2_atm</vt:lpstr>
      <vt:lpstr>v_31_GH2</vt:lpstr>
      <vt:lpstr>v_31_GH2_atm</vt:lpstr>
      <vt:lpstr>v_31_GN2</vt:lpstr>
      <vt:lpstr>v_31_GN2_atm</vt:lpstr>
      <vt:lpstr>v_31_GNH3</vt:lpstr>
      <vt:lpstr>v_31_GNH3_atm</vt:lpstr>
      <vt:lpstr>v_31_GO2</vt:lpstr>
      <vt:lpstr>v_31_GO2_atm</vt:lpstr>
      <vt:lpstr>v_31_SALPHA</vt:lpstr>
      <vt:lpstr>v_31_SAN</vt:lpstr>
      <vt:lpstr>v_31_SB</vt:lpstr>
      <vt:lpstr>v_31_SCa</vt:lpstr>
      <vt:lpstr>v_31_SCAT</vt:lpstr>
      <vt:lpstr>v_31_SCH4</vt:lpstr>
      <vt:lpstr>v_31_SCO2</vt:lpstr>
      <vt:lpstr>v_31_SFe2</vt:lpstr>
      <vt:lpstr>v_31_SH</vt:lpstr>
      <vt:lpstr>v_31_SH2</vt:lpstr>
      <vt:lpstr>v_31_SK</vt:lpstr>
      <vt:lpstr>v_31_SMEOL</vt:lpstr>
      <vt:lpstr>v_31_SMg</vt:lpstr>
      <vt:lpstr>v_31_SN_B</vt:lpstr>
      <vt:lpstr>v_31_SN2</vt:lpstr>
      <vt:lpstr>v_31_SNHx</vt:lpstr>
      <vt:lpstr>v_31_SNOx</vt:lpstr>
      <vt:lpstr>v_31_SO2</vt:lpstr>
      <vt:lpstr>v_31_SORPswitch</vt:lpstr>
      <vt:lpstr>v_31_SP_B</vt:lpstr>
      <vt:lpstr>v_31_SPFOA</vt:lpstr>
      <vt:lpstr>v_31_SPFOS</vt:lpstr>
      <vt:lpstr>v_31_SPO4</vt:lpstr>
      <vt:lpstr>v_31_SU</vt:lpstr>
      <vt:lpstr>v_31_SVFA</vt:lpstr>
      <vt:lpstr>v_31_XACP</vt:lpstr>
      <vt:lpstr>v_31_XALGAE</vt:lpstr>
      <vt:lpstr>v_31_XAMETO</vt:lpstr>
      <vt:lpstr>v_31_XB</vt:lpstr>
      <vt:lpstr>v_31_XB_e</vt:lpstr>
      <vt:lpstr>v_31_XBSH</vt:lpstr>
      <vt:lpstr>v_31_XCaCO3</vt:lpstr>
      <vt:lpstr>v_31_XCASTO</vt:lpstr>
      <vt:lpstr>v_31_XE</vt:lpstr>
      <vt:lpstr>v_31_XE_ana</vt:lpstr>
      <vt:lpstr>v_31_XHAO_H</vt:lpstr>
      <vt:lpstr>v_31_XHAO_H_P</vt:lpstr>
      <vt:lpstr>v_31_XHAO_H_P_old</vt:lpstr>
      <vt:lpstr>v_31_XHAO_L</vt:lpstr>
      <vt:lpstr>v_31_XHAO_L_P</vt:lpstr>
      <vt:lpstr>v_31_XHAO_L_P_old</vt:lpstr>
      <vt:lpstr>v_31_XHAO_old</vt:lpstr>
      <vt:lpstr>v_31_XHFO_H</vt:lpstr>
      <vt:lpstr>v_31_XHFO_H_P</vt:lpstr>
      <vt:lpstr>v_31_XHFO_H_P_old</vt:lpstr>
      <vt:lpstr>v_31_XHFO_L</vt:lpstr>
      <vt:lpstr>v_31_XHFO_L_P</vt:lpstr>
      <vt:lpstr>v_31_XHFO_L_P_old</vt:lpstr>
      <vt:lpstr>v_31_XHFO_old</vt:lpstr>
      <vt:lpstr>v_31_XHMETO</vt:lpstr>
      <vt:lpstr>v_31_XINORG</vt:lpstr>
      <vt:lpstr>v_31_XMEOLO</vt:lpstr>
      <vt:lpstr>v_31_XN_B</vt:lpstr>
      <vt:lpstr>v_31_XN_Be</vt:lpstr>
      <vt:lpstr>v_31_XN_U</vt:lpstr>
      <vt:lpstr>v_31_XNITO</vt:lpstr>
      <vt:lpstr>v_31_XOHO</vt:lpstr>
      <vt:lpstr>v_31_XP_B</vt:lpstr>
      <vt:lpstr>v_31_XP_Be</vt:lpstr>
      <vt:lpstr>v_31_XP_U</vt:lpstr>
      <vt:lpstr>v_31_XPFOA</vt:lpstr>
      <vt:lpstr>v_31_XPFOS</vt:lpstr>
      <vt:lpstr>v_31_XPHA_GAO</vt:lpstr>
      <vt:lpstr>v_31_XPHA_PAO</vt:lpstr>
      <vt:lpstr>v_31_XPP</vt:lpstr>
      <vt:lpstr>v_31_XSTR</vt:lpstr>
      <vt:lpstr>v_31_XU</vt:lpstr>
      <vt:lpstr>v_31_XVivi</vt:lpstr>
      <vt:lpstr>v_32_CB</vt:lpstr>
      <vt:lpstr>v_32_CU</vt:lpstr>
      <vt:lpstr>v_32_GCH4</vt:lpstr>
      <vt:lpstr>v_32_GCH4_atm</vt:lpstr>
      <vt:lpstr>v_32_GCO2</vt:lpstr>
      <vt:lpstr>v_32_GCO2_atm</vt:lpstr>
      <vt:lpstr>v_32_GH2</vt:lpstr>
      <vt:lpstr>v_32_GH2_atm</vt:lpstr>
      <vt:lpstr>v_32_GN2</vt:lpstr>
      <vt:lpstr>v_32_GN2_atm</vt:lpstr>
      <vt:lpstr>v_32_GNH3</vt:lpstr>
      <vt:lpstr>v_32_GNH3_atm</vt:lpstr>
      <vt:lpstr>v_32_GO2</vt:lpstr>
      <vt:lpstr>v_32_GO2_atm</vt:lpstr>
      <vt:lpstr>v_32_SALPHA</vt:lpstr>
      <vt:lpstr>v_32_SAN</vt:lpstr>
      <vt:lpstr>v_32_SB</vt:lpstr>
      <vt:lpstr>v_32_SCa</vt:lpstr>
      <vt:lpstr>v_32_SCAT</vt:lpstr>
      <vt:lpstr>v_32_SCH4</vt:lpstr>
      <vt:lpstr>v_32_SCO2</vt:lpstr>
      <vt:lpstr>v_32_SFe2</vt:lpstr>
      <vt:lpstr>v_32_SH</vt:lpstr>
      <vt:lpstr>v_32_SH2</vt:lpstr>
      <vt:lpstr>v_32_SK</vt:lpstr>
      <vt:lpstr>v_32_SMEOL</vt:lpstr>
      <vt:lpstr>v_32_SMg</vt:lpstr>
      <vt:lpstr>v_32_SN_B</vt:lpstr>
      <vt:lpstr>v_32_SN2</vt:lpstr>
      <vt:lpstr>v_32_SNHx</vt:lpstr>
      <vt:lpstr>v_32_SNOx</vt:lpstr>
      <vt:lpstr>v_32_SO2</vt:lpstr>
      <vt:lpstr>v_32_SORPswitch</vt:lpstr>
      <vt:lpstr>v_32_SP_B</vt:lpstr>
      <vt:lpstr>v_32_SPFOA</vt:lpstr>
      <vt:lpstr>v_32_SPFOS</vt:lpstr>
      <vt:lpstr>v_32_SPO4</vt:lpstr>
      <vt:lpstr>v_32_SU</vt:lpstr>
      <vt:lpstr>v_32_SVFA</vt:lpstr>
      <vt:lpstr>v_32_XACP</vt:lpstr>
      <vt:lpstr>v_32_XALGAE</vt:lpstr>
      <vt:lpstr>v_32_XAMETO</vt:lpstr>
      <vt:lpstr>v_32_XB</vt:lpstr>
      <vt:lpstr>v_32_XB_e</vt:lpstr>
      <vt:lpstr>v_32_XBSH</vt:lpstr>
      <vt:lpstr>v_32_XCaCO3</vt:lpstr>
      <vt:lpstr>v_32_XCASTO</vt:lpstr>
      <vt:lpstr>v_32_XE</vt:lpstr>
      <vt:lpstr>v_32_XE_ana</vt:lpstr>
      <vt:lpstr>v_32_XHAO_H</vt:lpstr>
      <vt:lpstr>v_32_XHAO_H_P</vt:lpstr>
      <vt:lpstr>v_32_XHAO_H_P_old</vt:lpstr>
      <vt:lpstr>v_32_XHAO_L</vt:lpstr>
      <vt:lpstr>v_32_XHAO_L_P</vt:lpstr>
      <vt:lpstr>v_32_XHAO_L_P_old</vt:lpstr>
      <vt:lpstr>v_32_XHAO_old</vt:lpstr>
      <vt:lpstr>v_32_XHFO_H</vt:lpstr>
      <vt:lpstr>v_32_XHFO_H_P</vt:lpstr>
      <vt:lpstr>v_32_XHFO_H_P_old</vt:lpstr>
      <vt:lpstr>v_32_XHFO_L</vt:lpstr>
      <vt:lpstr>v_32_XHFO_L_P</vt:lpstr>
      <vt:lpstr>v_32_XHFO_L_P_old</vt:lpstr>
      <vt:lpstr>v_32_XHFO_old</vt:lpstr>
      <vt:lpstr>v_32_XHMETO</vt:lpstr>
      <vt:lpstr>v_32_XINORG</vt:lpstr>
      <vt:lpstr>v_32_XMEOLO</vt:lpstr>
      <vt:lpstr>v_32_XN_B</vt:lpstr>
      <vt:lpstr>v_32_XN_Be</vt:lpstr>
      <vt:lpstr>v_32_XN_U</vt:lpstr>
      <vt:lpstr>v_32_XNITO</vt:lpstr>
      <vt:lpstr>v_32_XOHO</vt:lpstr>
      <vt:lpstr>v_32_XP_B</vt:lpstr>
      <vt:lpstr>v_32_XP_Be</vt:lpstr>
      <vt:lpstr>v_32_XP_U</vt:lpstr>
      <vt:lpstr>v_32_XPFOA</vt:lpstr>
      <vt:lpstr>v_32_XPFOS</vt:lpstr>
      <vt:lpstr>v_32_XPHA_GAO</vt:lpstr>
      <vt:lpstr>v_32_XPHA_PAO</vt:lpstr>
      <vt:lpstr>v_32_XPP</vt:lpstr>
      <vt:lpstr>v_32_XSTR</vt:lpstr>
      <vt:lpstr>v_32_XU</vt:lpstr>
      <vt:lpstr>v_32_XVivi</vt:lpstr>
      <vt:lpstr>v_33_CB</vt:lpstr>
      <vt:lpstr>v_33_CU</vt:lpstr>
      <vt:lpstr>v_33_GCH4</vt:lpstr>
      <vt:lpstr>v_33_GCH4_atm</vt:lpstr>
      <vt:lpstr>v_33_GCO2</vt:lpstr>
      <vt:lpstr>v_33_GCO2_atm</vt:lpstr>
      <vt:lpstr>v_33_GH2</vt:lpstr>
      <vt:lpstr>v_33_GH2_atm</vt:lpstr>
      <vt:lpstr>v_33_GN2</vt:lpstr>
      <vt:lpstr>v_33_GN2_atm</vt:lpstr>
      <vt:lpstr>v_33_GNH3</vt:lpstr>
      <vt:lpstr>v_33_GNH3_atm</vt:lpstr>
      <vt:lpstr>v_33_GO2</vt:lpstr>
      <vt:lpstr>v_33_GO2_atm</vt:lpstr>
      <vt:lpstr>v_33_SALPHA</vt:lpstr>
      <vt:lpstr>v_33_SAN</vt:lpstr>
      <vt:lpstr>v_33_SB</vt:lpstr>
      <vt:lpstr>v_33_SCa</vt:lpstr>
      <vt:lpstr>v_33_SCAT</vt:lpstr>
      <vt:lpstr>v_33_SCH4</vt:lpstr>
      <vt:lpstr>v_33_SCO2</vt:lpstr>
      <vt:lpstr>v_33_SFe2</vt:lpstr>
      <vt:lpstr>v_33_SH</vt:lpstr>
      <vt:lpstr>v_33_SH2</vt:lpstr>
      <vt:lpstr>v_33_SK</vt:lpstr>
      <vt:lpstr>v_33_SMEOL</vt:lpstr>
      <vt:lpstr>v_33_SMg</vt:lpstr>
      <vt:lpstr>v_33_SN_B</vt:lpstr>
      <vt:lpstr>v_33_SN2</vt:lpstr>
      <vt:lpstr>v_33_SNHx</vt:lpstr>
      <vt:lpstr>v_33_SNOx</vt:lpstr>
      <vt:lpstr>v_33_SO2</vt:lpstr>
      <vt:lpstr>v_33_SORPswitch</vt:lpstr>
      <vt:lpstr>v_33_SP_B</vt:lpstr>
      <vt:lpstr>v_33_SPFOA</vt:lpstr>
      <vt:lpstr>v_33_SPFOS</vt:lpstr>
      <vt:lpstr>v_33_SPO4</vt:lpstr>
      <vt:lpstr>v_33_SU</vt:lpstr>
      <vt:lpstr>v_33_SVFA</vt:lpstr>
      <vt:lpstr>v_33_XACP</vt:lpstr>
      <vt:lpstr>v_33_XALGAE</vt:lpstr>
      <vt:lpstr>v_33_XAMETO</vt:lpstr>
      <vt:lpstr>v_33_XB</vt:lpstr>
      <vt:lpstr>v_33_XB_e</vt:lpstr>
      <vt:lpstr>v_33_XBSH</vt:lpstr>
      <vt:lpstr>v_33_XCaCO3</vt:lpstr>
      <vt:lpstr>v_33_XCASTO</vt:lpstr>
      <vt:lpstr>v_33_XE</vt:lpstr>
      <vt:lpstr>v_33_XE_ana</vt:lpstr>
      <vt:lpstr>v_33_XHAO_H</vt:lpstr>
      <vt:lpstr>v_33_XHAO_H_P</vt:lpstr>
      <vt:lpstr>v_33_XHAO_H_P_old</vt:lpstr>
      <vt:lpstr>v_33_XHAO_L</vt:lpstr>
      <vt:lpstr>v_33_XHAO_L_P</vt:lpstr>
      <vt:lpstr>v_33_XHAO_L_P_old</vt:lpstr>
      <vt:lpstr>v_33_XHAO_old</vt:lpstr>
      <vt:lpstr>v_33_XHFO_H</vt:lpstr>
      <vt:lpstr>v_33_XHFO_H_P</vt:lpstr>
      <vt:lpstr>v_33_XHFO_H_P_old</vt:lpstr>
      <vt:lpstr>v_33_XHFO_L</vt:lpstr>
      <vt:lpstr>v_33_XHFO_L_P</vt:lpstr>
      <vt:lpstr>v_33_XHFO_L_P_old</vt:lpstr>
      <vt:lpstr>v_33_XHFO_old</vt:lpstr>
      <vt:lpstr>v_33_XHMETO</vt:lpstr>
      <vt:lpstr>v_33_XINORG</vt:lpstr>
      <vt:lpstr>v_33_XMEOLO</vt:lpstr>
      <vt:lpstr>v_33_XN_B</vt:lpstr>
      <vt:lpstr>v_33_XN_Be</vt:lpstr>
      <vt:lpstr>v_33_XN_U</vt:lpstr>
      <vt:lpstr>v_33_XNITO</vt:lpstr>
      <vt:lpstr>v_33_XOHO</vt:lpstr>
      <vt:lpstr>v_33_XP_B</vt:lpstr>
      <vt:lpstr>v_33_XP_Be</vt:lpstr>
      <vt:lpstr>v_33_XP_U</vt:lpstr>
      <vt:lpstr>v_33_XPFOA</vt:lpstr>
      <vt:lpstr>v_33_XPFOS</vt:lpstr>
      <vt:lpstr>v_33_XPHA_GAO</vt:lpstr>
      <vt:lpstr>v_33_XPHA_PAO</vt:lpstr>
      <vt:lpstr>v_33_XPP</vt:lpstr>
      <vt:lpstr>v_33_XSTR</vt:lpstr>
      <vt:lpstr>v_33_XU</vt:lpstr>
      <vt:lpstr>v_33_XVivi</vt:lpstr>
      <vt:lpstr>v_34_CB</vt:lpstr>
      <vt:lpstr>v_34_CU</vt:lpstr>
      <vt:lpstr>v_34_GCH4</vt:lpstr>
      <vt:lpstr>v_34_GCH4_atm</vt:lpstr>
      <vt:lpstr>v_34_GCO2</vt:lpstr>
      <vt:lpstr>v_34_GCO2_atm</vt:lpstr>
      <vt:lpstr>v_34_GH2</vt:lpstr>
      <vt:lpstr>v_34_GH2_atm</vt:lpstr>
      <vt:lpstr>v_34_GN2</vt:lpstr>
      <vt:lpstr>v_34_GN2_atm</vt:lpstr>
      <vt:lpstr>v_34_GNH3</vt:lpstr>
      <vt:lpstr>v_34_GNH3_atm</vt:lpstr>
      <vt:lpstr>v_34_GO2</vt:lpstr>
      <vt:lpstr>v_34_GO2_atm</vt:lpstr>
      <vt:lpstr>v_34_SALPHA</vt:lpstr>
      <vt:lpstr>v_34_SAN</vt:lpstr>
      <vt:lpstr>v_34_SB</vt:lpstr>
      <vt:lpstr>v_34_SCa</vt:lpstr>
      <vt:lpstr>v_34_SCAT</vt:lpstr>
      <vt:lpstr>v_34_SCH4</vt:lpstr>
      <vt:lpstr>v_34_SCO2</vt:lpstr>
      <vt:lpstr>v_34_SFe2</vt:lpstr>
      <vt:lpstr>v_34_SH</vt:lpstr>
      <vt:lpstr>v_34_SH2</vt:lpstr>
      <vt:lpstr>v_34_SK</vt:lpstr>
      <vt:lpstr>v_34_SMEOL</vt:lpstr>
      <vt:lpstr>v_34_SMg</vt:lpstr>
      <vt:lpstr>v_34_SN_B</vt:lpstr>
      <vt:lpstr>v_34_SN2</vt:lpstr>
      <vt:lpstr>v_34_SNHx</vt:lpstr>
      <vt:lpstr>v_34_SNOx</vt:lpstr>
      <vt:lpstr>v_34_SO2</vt:lpstr>
      <vt:lpstr>v_34_SORPswitch</vt:lpstr>
      <vt:lpstr>v_34_SP_B</vt:lpstr>
      <vt:lpstr>v_34_SPFOA</vt:lpstr>
      <vt:lpstr>v_34_SPFOS</vt:lpstr>
      <vt:lpstr>v_34_SPO4</vt:lpstr>
      <vt:lpstr>v_34_SU</vt:lpstr>
      <vt:lpstr>v_34_SVFA</vt:lpstr>
      <vt:lpstr>v_34_XACP</vt:lpstr>
      <vt:lpstr>v_34_XALGAE</vt:lpstr>
      <vt:lpstr>v_34_XAMETO</vt:lpstr>
      <vt:lpstr>v_34_XB</vt:lpstr>
      <vt:lpstr>v_34_XB_e</vt:lpstr>
      <vt:lpstr>v_34_XBSH</vt:lpstr>
      <vt:lpstr>v_34_XCaCO3</vt:lpstr>
      <vt:lpstr>v_34_XCASTO</vt:lpstr>
      <vt:lpstr>v_34_XE</vt:lpstr>
      <vt:lpstr>v_34_XE_ana</vt:lpstr>
      <vt:lpstr>v_34_XHAO_H</vt:lpstr>
      <vt:lpstr>v_34_XHAO_H_P</vt:lpstr>
      <vt:lpstr>v_34_XHAO_H_P_old</vt:lpstr>
      <vt:lpstr>v_34_XHAO_L</vt:lpstr>
      <vt:lpstr>v_34_XHAO_L_P</vt:lpstr>
      <vt:lpstr>v_34_XHAO_L_P_old</vt:lpstr>
      <vt:lpstr>v_34_XHAO_old</vt:lpstr>
      <vt:lpstr>v_34_XHFO_H</vt:lpstr>
      <vt:lpstr>v_34_XHFO_H_P</vt:lpstr>
      <vt:lpstr>v_34_XHFO_H_P_old</vt:lpstr>
      <vt:lpstr>v_34_XHFO_L</vt:lpstr>
      <vt:lpstr>v_34_XHFO_L_P</vt:lpstr>
      <vt:lpstr>v_34_XHFO_L_P_old</vt:lpstr>
      <vt:lpstr>v_34_XHFO_old</vt:lpstr>
      <vt:lpstr>v_34_XHMETO</vt:lpstr>
      <vt:lpstr>v_34_XINORG</vt:lpstr>
      <vt:lpstr>v_34_XMEOLO</vt:lpstr>
      <vt:lpstr>v_34_XN_B</vt:lpstr>
      <vt:lpstr>v_34_XN_Be</vt:lpstr>
      <vt:lpstr>v_34_XN_U</vt:lpstr>
      <vt:lpstr>v_34_XNITO</vt:lpstr>
      <vt:lpstr>v_34_XOHO</vt:lpstr>
      <vt:lpstr>v_34_XP_B</vt:lpstr>
      <vt:lpstr>v_34_XP_Be</vt:lpstr>
      <vt:lpstr>v_34_XP_U</vt:lpstr>
      <vt:lpstr>v_34_XPFOA</vt:lpstr>
      <vt:lpstr>v_34_XPFOS</vt:lpstr>
      <vt:lpstr>v_34_XPHA_GAO</vt:lpstr>
      <vt:lpstr>v_34_XPHA_PAO</vt:lpstr>
      <vt:lpstr>v_34_XPP</vt:lpstr>
      <vt:lpstr>v_34_XSTR</vt:lpstr>
      <vt:lpstr>v_34_XU</vt:lpstr>
      <vt:lpstr>v_34_XVivi</vt:lpstr>
      <vt:lpstr>v_35_CB</vt:lpstr>
      <vt:lpstr>v_35_CU</vt:lpstr>
      <vt:lpstr>v_35_GCH4</vt:lpstr>
      <vt:lpstr>v_35_GCH4_atm</vt:lpstr>
      <vt:lpstr>v_35_GCO2</vt:lpstr>
      <vt:lpstr>v_35_GCO2_atm</vt:lpstr>
      <vt:lpstr>v_35_GH2</vt:lpstr>
      <vt:lpstr>v_35_GH2_atm</vt:lpstr>
      <vt:lpstr>v_35_GN2</vt:lpstr>
      <vt:lpstr>v_35_GN2_atm</vt:lpstr>
      <vt:lpstr>v_35_GNH3</vt:lpstr>
      <vt:lpstr>v_35_GNH3_atm</vt:lpstr>
      <vt:lpstr>v_35_GO2</vt:lpstr>
      <vt:lpstr>v_35_GO2_atm</vt:lpstr>
      <vt:lpstr>v_35_SALPHA</vt:lpstr>
      <vt:lpstr>v_35_SAN</vt:lpstr>
      <vt:lpstr>v_35_SB</vt:lpstr>
      <vt:lpstr>v_35_SCa</vt:lpstr>
      <vt:lpstr>v_35_SCAT</vt:lpstr>
      <vt:lpstr>v_35_SCH4</vt:lpstr>
      <vt:lpstr>v_35_SCO2</vt:lpstr>
      <vt:lpstr>v_35_SFe2</vt:lpstr>
      <vt:lpstr>v_35_SH</vt:lpstr>
      <vt:lpstr>v_35_SH2</vt:lpstr>
      <vt:lpstr>v_35_SK</vt:lpstr>
      <vt:lpstr>v_35_SMEOL</vt:lpstr>
      <vt:lpstr>v_35_SMg</vt:lpstr>
      <vt:lpstr>v_35_SN_B</vt:lpstr>
      <vt:lpstr>v_35_SN2</vt:lpstr>
      <vt:lpstr>v_35_SNHx</vt:lpstr>
      <vt:lpstr>v_35_SNOx</vt:lpstr>
      <vt:lpstr>v_35_SO2</vt:lpstr>
      <vt:lpstr>v_35_SORPswitch</vt:lpstr>
      <vt:lpstr>v_35_SP_B</vt:lpstr>
      <vt:lpstr>v_35_SPFOA</vt:lpstr>
      <vt:lpstr>v_35_SPFOS</vt:lpstr>
      <vt:lpstr>v_35_SPO4</vt:lpstr>
      <vt:lpstr>v_35_SU</vt:lpstr>
      <vt:lpstr>v_35_SVFA</vt:lpstr>
      <vt:lpstr>v_35_XACP</vt:lpstr>
      <vt:lpstr>v_35_XALGAE</vt:lpstr>
      <vt:lpstr>v_35_XAMETO</vt:lpstr>
      <vt:lpstr>v_35_XB</vt:lpstr>
      <vt:lpstr>v_35_XB_e</vt:lpstr>
      <vt:lpstr>v_35_XBSH</vt:lpstr>
      <vt:lpstr>v_35_XCaCO3</vt:lpstr>
      <vt:lpstr>v_35_XCASTO</vt:lpstr>
      <vt:lpstr>v_35_XE</vt:lpstr>
      <vt:lpstr>v_35_XE_ana</vt:lpstr>
      <vt:lpstr>v_35_XHAO_H</vt:lpstr>
      <vt:lpstr>v_35_XHAO_H_P</vt:lpstr>
      <vt:lpstr>v_35_XHAO_H_P_old</vt:lpstr>
      <vt:lpstr>v_35_XHAO_L</vt:lpstr>
      <vt:lpstr>v_35_XHAO_L_P</vt:lpstr>
      <vt:lpstr>v_35_XHAO_L_P_old</vt:lpstr>
      <vt:lpstr>v_35_XHAO_old</vt:lpstr>
      <vt:lpstr>v_35_XHFO_H</vt:lpstr>
      <vt:lpstr>v_35_XHFO_H_P</vt:lpstr>
      <vt:lpstr>v_35_XHFO_H_P_old</vt:lpstr>
      <vt:lpstr>v_35_XHFO_L</vt:lpstr>
      <vt:lpstr>v_35_XHFO_L_P</vt:lpstr>
      <vt:lpstr>v_35_XHFO_L_P_old</vt:lpstr>
      <vt:lpstr>v_35_XHFO_old</vt:lpstr>
      <vt:lpstr>v_35_XHMETO</vt:lpstr>
      <vt:lpstr>v_35_XINORG</vt:lpstr>
      <vt:lpstr>v_35_XMEOLO</vt:lpstr>
      <vt:lpstr>v_35_XN_B</vt:lpstr>
      <vt:lpstr>v_35_XN_Be</vt:lpstr>
      <vt:lpstr>v_35_XN_U</vt:lpstr>
      <vt:lpstr>v_35_XNITO</vt:lpstr>
      <vt:lpstr>v_35_XOHO</vt:lpstr>
      <vt:lpstr>v_35_XP_B</vt:lpstr>
      <vt:lpstr>v_35_XP_Be</vt:lpstr>
      <vt:lpstr>v_35_XP_U</vt:lpstr>
      <vt:lpstr>v_35_XPFOA</vt:lpstr>
      <vt:lpstr>v_35_XPFOS</vt:lpstr>
      <vt:lpstr>v_35_XPHA_GAO</vt:lpstr>
      <vt:lpstr>v_35_XPHA_PAO</vt:lpstr>
      <vt:lpstr>v_35_XPP</vt:lpstr>
      <vt:lpstr>v_35_XSTR</vt:lpstr>
      <vt:lpstr>v_35_XU</vt:lpstr>
      <vt:lpstr>v_35_XVivi</vt:lpstr>
      <vt:lpstr>v_36_CB</vt:lpstr>
      <vt:lpstr>v_36_CU</vt:lpstr>
      <vt:lpstr>v_36_GCH4</vt:lpstr>
      <vt:lpstr>v_36_GCH4_atm</vt:lpstr>
      <vt:lpstr>v_36_GCO2</vt:lpstr>
      <vt:lpstr>v_36_GCO2_atm</vt:lpstr>
      <vt:lpstr>v_36_GH2</vt:lpstr>
      <vt:lpstr>v_36_GH2_atm</vt:lpstr>
      <vt:lpstr>v_36_GN2</vt:lpstr>
      <vt:lpstr>v_36_GN2_atm</vt:lpstr>
      <vt:lpstr>v_36_GNH3</vt:lpstr>
      <vt:lpstr>v_36_GNH3_atm</vt:lpstr>
      <vt:lpstr>v_36_GO2</vt:lpstr>
      <vt:lpstr>v_36_GO2_atm</vt:lpstr>
      <vt:lpstr>v_36_SALPHA</vt:lpstr>
      <vt:lpstr>v_36_SAN</vt:lpstr>
      <vt:lpstr>v_36_SB</vt:lpstr>
      <vt:lpstr>v_36_SCa</vt:lpstr>
      <vt:lpstr>v_36_SCAT</vt:lpstr>
      <vt:lpstr>v_36_SCH4</vt:lpstr>
      <vt:lpstr>v_36_SCO2</vt:lpstr>
      <vt:lpstr>v_36_SFe2</vt:lpstr>
      <vt:lpstr>v_36_SH</vt:lpstr>
      <vt:lpstr>v_36_SH2</vt:lpstr>
      <vt:lpstr>v_36_SK</vt:lpstr>
      <vt:lpstr>v_36_SMEOL</vt:lpstr>
      <vt:lpstr>v_36_SMg</vt:lpstr>
      <vt:lpstr>v_36_SN_B</vt:lpstr>
      <vt:lpstr>v_36_SN2</vt:lpstr>
      <vt:lpstr>v_36_SNHx</vt:lpstr>
      <vt:lpstr>v_36_SNOx</vt:lpstr>
      <vt:lpstr>v_36_SO2</vt:lpstr>
      <vt:lpstr>v_36_SORPswitch</vt:lpstr>
      <vt:lpstr>v_36_SP_B</vt:lpstr>
      <vt:lpstr>v_36_SPFOA</vt:lpstr>
      <vt:lpstr>v_36_SPFOS</vt:lpstr>
      <vt:lpstr>v_36_SPO4</vt:lpstr>
      <vt:lpstr>v_36_SU</vt:lpstr>
      <vt:lpstr>v_36_SVFA</vt:lpstr>
      <vt:lpstr>v_36_XACP</vt:lpstr>
      <vt:lpstr>v_36_XALGAE</vt:lpstr>
      <vt:lpstr>v_36_XAMETO</vt:lpstr>
      <vt:lpstr>v_36_XB</vt:lpstr>
      <vt:lpstr>v_36_XB_e</vt:lpstr>
      <vt:lpstr>v_36_XBSH</vt:lpstr>
      <vt:lpstr>v_36_XCaCO3</vt:lpstr>
      <vt:lpstr>v_36_XCASTO</vt:lpstr>
      <vt:lpstr>v_36_XE</vt:lpstr>
      <vt:lpstr>v_36_XE_ana</vt:lpstr>
      <vt:lpstr>v_36_XHAO_H</vt:lpstr>
      <vt:lpstr>v_36_XHAO_H_P</vt:lpstr>
      <vt:lpstr>v_36_XHAO_H_P_old</vt:lpstr>
      <vt:lpstr>v_36_XHAO_L</vt:lpstr>
      <vt:lpstr>v_36_XHAO_L_P</vt:lpstr>
      <vt:lpstr>v_36_XHAO_L_P_old</vt:lpstr>
      <vt:lpstr>v_36_XHAO_old</vt:lpstr>
      <vt:lpstr>v_36_XHFO_H</vt:lpstr>
      <vt:lpstr>v_36_XHFO_H_P</vt:lpstr>
      <vt:lpstr>v_36_XHFO_H_P_old</vt:lpstr>
      <vt:lpstr>v_36_XHFO_L</vt:lpstr>
      <vt:lpstr>v_36_XHFO_L_P</vt:lpstr>
      <vt:lpstr>v_36_XHFO_L_P_old</vt:lpstr>
      <vt:lpstr>v_36_XHFO_old</vt:lpstr>
      <vt:lpstr>v_36_XHMETO</vt:lpstr>
      <vt:lpstr>v_36_XINORG</vt:lpstr>
      <vt:lpstr>v_36_XMEOLO</vt:lpstr>
      <vt:lpstr>v_36_XN_B</vt:lpstr>
      <vt:lpstr>v_36_XN_Be</vt:lpstr>
      <vt:lpstr>v_36_XN_U</vt:lpstr>
      <vt:lpstr>v_36_XNITO</vt:lpstr>
      <vt:lpstr>v_36_XOHO</vt:lpstr>
      <vt:lpstr>v_36_XP_B</vt:lpstr>
      <vt:lpstr>v_36_XP_Be</vt:lpstr>
      <vt:lpstr>v_36_XP_U</vt:lpstr>
      <vt:lpstr>v_36_XPFOA</vt:lpstr>
      <vt:lpstr>v_36_XPFOS</vt:lpstr>
      <vt:lpstr>v_36_XPHA_GAO</vt:lpstr>
      <vt:lpstr>v_36_XPHA_PAO</vt:lpstr>
      <vt:lpstr>v_36_XPP</vt:lpstr>
      <vt:lpstr>v_36_XSTR</vt:lpstr>
      <vt:lpstr>v_36_XU</vt:lpstr>
      <vt:lpstr>v_36_XVivi</vt:lpstr>
      <vt:lpstr>v_37_CB</vt:lpstr>
      <vt:lpstr>v_37_CU</vt:lpstr>
      <vt:lpstr>v_37_GCH4</vt:lpstr>
      <vt:lpstr>v_37_GCH4_atm</vt:lpstr>
      <vt:lpstr>v_37_GCO2</vt:lpstr>
      <vt:lpstr>v_37_GCO2_atm</vt:lpstr>
      <vt:lpstr>v_37_GH2</vt:lpstr>
      <vt:lpstr>v_37_GH2_atm</vt:lpstr>
      <vt:lpstr>v_37_GN2</vt:lpstr>
      <vt:lpstr>v_37_GN2_atm</vt:lpstr>
      <vt:lpstr>v_37_GNH3</vt:lpstr>
      <vt:lpstr>v_37_GNH3_atm</vt:lpstr>
      <vt:lpstr>v_37_GO2</vt:lpstr>
      <vt:lpstr>v_37_GO2_atm</vt:lpstr>
      <vt:lpstr>v_37_SALPHA</vt:lpstr>
      <vt:lpstr>v_37_SAN</vt:lpstr>
      <vt:lpstr>v_37_SB</vt:lpstr>
      <vt:lpstr>v_37_SCa</vt:lpstr>
      <vt:lpstr>v_37_SCAT</vt:lpstr>
      <vt:lpstr>v_37_SCH4</vt:lpstr>
      <vt:lpstr>v_37_SCO2</vt:lpstr>
      <vt:lpstr>v_37_SFe2</vt:lpstr>
      <vt:lpstr>v_37_SH</vt:lpstr>
      <vt:lpstr>v_37_SH2</vt:lpstr>
      <vt:lpstr>v_37_SK</vt:lpstr>
      <vt:lpstr>v_37_SMEOL</vt:lpstr>
      <vt:lpstr>v_37_SMg</vt:lpstr>
      <vt:lpstr>v_37_SN_B</vt:lpstr>
      <vt:lpstr>v_37_SN2</vt:lpstr>
      <vt:lpstr>v_37_SNHx</vt:lpstr>
      <vt:lpstr>v_37_SNOx</vt:lpstr>
      <vt:lpstr>v_37_SO2</vt:lpstr>
      <vt:lpstr>v_37_SORPswitch</vt:lpstr>
      <vt:lpstr>v_37_SP_B</vt:lpstr>
      <vt:lpstr>v_37_SPFOA</vt:lpstr>
      <vt:lpstr>v_37_SPFOS</vt:lpstr>
      <vt:lpstr>v_37_SPO4</vt:lpstr>
      <vt:lpstr>v_37_SU</vt:lpstr>
      <vt:lpstr>v_37_SVFA</vt:lpstr>
      <vt:lpstr>v_37_XACP</vt:lpstr>
      <vt:lpstr>v_37_XALGAE</vt:lpstr>
      <vt:lpstr>v_37_XAMETO</vt:lpstr>
      <vt:lpstr>v_37_XB</vt:lpstr>
      <vt:lpstr>v_37_XB_e</vt:lpstr>
      <vt:lpstr>v_37_XBSH</vt:lpstr>
      <vt:lpstr>v_37_XCaCO3</vt:lpstr>
      <vt:lpstr>v_37_XCASTO</vt:lpstr>
      <vt:lpstr>v_37_XE</vt:lpstr>
      <vt:lpstr>v_37_XE_ana</vt:lpstr>
      <vt:lpstr>v_37_XHAO_H</vt:lpstr>
      <vt:lpstr>v_37_XHAO_H_P</vt:lpstr>
      <vt:lpstr>v_37_XHAO_H_P_old</vt:lpstr>
      <vt:lpstr>v_37_XHAO_L</vt:lpstr>
      <vt:lpstr>v_37_XHAO_L_P</vt:lpstr>
      <vt:lpstr>v_37_XHAO_L_P_old</vt:lpstr>
      <vt:lpstr>v_37_XHAO_old</vt:lpstr>
      <vt:lpstr>v_37_XHFO_H</vt:lpstr>
      <vt:lpstr>v_37_XHFO_H_P</vt:lpstr>
      <vt:lpstr>v_37_XHFO_H_P_old</vt:lpstr>
      <vt:lpstr>v_37_XHFO_L</vt:lpstr>
      <vt:lpstr>v_37_XHFO_L_P</vt:lpstr>
      <vt:lpstr>v_37_XHFO_L_P_old</vt:lpstr>
      <vt:lpstr>v_37_XHFO_old</vt:lpstr>
      <vt:lpstr>v_37_XHMETO</vt:lpstr>
      <vt:lpstr>v_37_XINORG</vt:lpstr>
      <vt:lpstr>v_37_XMEOLO</vt:lpstr>
      <vt:lpstr>v_37_XN_B</vt:lpstr>
      <vt:lpstr>v_37_XN_Be</vt:lpstr>
      <vt:lpstr>v_37_XN_U</vt:lpstr>
      <vt:lpstr>v_37_XNITO</vt:lpstr>
      <vt:lpstr>v_37_XOHO</vt:lpstr>
      <vt:lpstr>v_37_XP_B</vt:lpstr>
      <vt:lpstr>v_37_XP_Be</vt:lpstr>
      <vt:lpstr>v_37_XP_U</vt:lpstr>
      <vt:lpstr>v_37_XPFOA</vt:lpstr>
      <vt:lpstr>v_37_XPFOS</vt:lpstr>
      <vt:lpstr>v_37_XPHA_GAO</vt:lpstr>
      <vt:lpstr>v_37_XPHA_PAO</vt:lpstr>
      <vt:lpstr>v_37_XPP</vt:lpstr>
      <vt:lpstr>v_37_XSTR</vt:lpstr>
      <vt:lpstr>v_37_XU</vt:lpstr>
      <vt:lpstr>v_37_XVivi</vt:lpstr>
      <vt:lpstr>v_38_CB</vt:lpstr>
      <vt:lpstr>v_38_CU</vt:lpstr>
      <vt:lpstr>v_38_GCH4</vt:lpstr>
      <vt:lpstr>v_38_GCH4_atm</vt:lpstr>
      <vt:lpstr>v_38_GCO2</vt:lpstr>
      <vt:lpstr>v_38_GCO2_atm</vt:lpstr>
      <vt:lpstr>v_38_GH2</vt:lpstr>
      <vt:lpstr>v_38_GH2_atm</vt:lpstr>
      <vt:lpstr>v_38_GN2</vt:lpstr>
      <vt:lpstr>v_38_GN2_atm</vt:lpstr>
      <vt:lpstr>v_38_GNH3</vt:lpstr>
      <vt:lpstr>v_38_GNH3_atm</vt:lpstr>
      <vt:lpstr>v_38_GO2</vt:lpstr>
      <vt:lpstr>v_38_GO2_atm</vt:lpstr>
      <vt:lpstr>v_38_SALPHA</vt:lpstr>
      <vt:lpstr>v_38_SAN</vt:lpstr>
      <vt:lpstr>v_38_SB</vt:lpstr>
      <vt:lpstr>v_38_SCa</vt:lpstr>
      <vt:lpstr>v_38_SCAT</vt:lpstr>
      <vt:lpstr>v_38_SCH4</vt:lpstr>
      <vt:lpstr>v_38_SCO2</vt:lpstr>
      <vt:lpstr>v_38_SFe2</vt:lpstr>
      <vt:lpstr>v_38_SH</vt:lpstr>
      <vt:lpstr>v_38_SH2</vt:lpstr>
      <vt:lpstr>v_38_SK</vt:lpstr>
      <vt:lpstr>v_38_SMEOL</vt:lpstr>
      <vt:lpstr>v_38_SMg</vt:lpstr>
      <vt:lpstr>v_38_SN_B</vt:lpstr>
      <vt:lpstr>v_38_SN2</vt:lpstr>
      <vt:lpstr>v_38_SNHx</vt:lpstr>
      <vt:lpstr>v_38_SNOx</vt:lpstr>
      <vt:lpstr>v_38_SO2</vt:lpstr>
      <vt:lpstr>v_38_SORPswitch</vt:lpstr>
      <vt:lpstr>v_38_SP_B</vt:lpstr>
      <vt:lpstr>v_38_SPFOA</vt:lpstr>
      <vt:lpstr>v_38_SPFOS</vt:lpstr>
      <vt:lpstr>v_38_SPO4</vt:lpstr>
      <vt:lpstr>v_38_SU</vt:lpstr>
      <vt:lpstr>v_38_SVFA</vt:lpstr>
      <vt:lpstr>v_38_XACP</vt:lpstr>
      <vt:lpstr>v_38_XALGAE</vt:lpstr>
      <vt:lpstr>v_38_XAMETO</vt:lpstr>
      <vt:lpstr>v_38_XB</vt:lpstr>
      <vt:lpstr>v_38_XB_e</vt:lpstr>
      <vt:lpstr>v_38_XBSH</vt:lpstr>
      <vt:lpstr>v_38_XCaCO3</vt:lpstr>
      <vt:lpstr>v_38_XCASTO</vt:lpstr>
      <vt:lpstr>v_38_XE</vt:lpstr>
      <vt:lpstr>v_38_XE_ana</vt:lpstr>
      <vt:lpstr>v_38_XHAO_H</vt:lpstr>
      <vt:lpstr>v_38_XHAO_H_P</vt:lpstr>
      <vt:lpstr>v_38_XHAO_H_P_old</vt:lpstr>
      <vt:lpstr>v_38_XHAO_L</vt:lpstr>
      <vt:lpstr>v_38_XHAO_L_P</vt:lpstr>
      <vt:lpstr>v_38_XHAO_L_P_old</vt:lpstr>
      <vt:lpstr>v_38_XHAO_old</vt:lpstr>
      <vt:lpstr>v_38_XHFO_H</vt:lpstr>
      <vt:lpstr>v_38_XHFO_H_P</vt:lpstr>
      <vt:lpstr>v_38_XHFO_H_P_old</vt:lpstr>
      <vt:lpstr>v_38_XHFO_L</vt:lpstr>
      <vt:lpstr>v_38_XHFO_L_P</vt:lpstr>
      <vt:lpstr>v_38_XHFO_L_P_old</vt:lpstr>
      <vt:lpstr>v_38_XHFO_old</vt:lpstr>
      <vt:lpstr>v_38_XHMETO</vt:lpstr>
      <vt:lpstr>v_38_XINORG</vt:lpstr>
      <vt:lpstr>v_38_XMEOLO</vt:lpstr>
      <vt:lpstr>v_38_XN_B</vt:lpstr>
      <vt:lpstr>v_38_XN_Be</vt:lpstr>
      <vt:lpstr>v_38_XN_U</vt:lpstr>
      <vt:lpstr>v_38_XNITO</vt:lpstr>
      <vt:lpstr>v_38_XOHO</vt:lpstr>
      <vt:lpstr>v_38_XP_B</vt:lpstr>
      <vt:lpstr>v_38_XP_Be</vt:lpstr>
      <vt:lpstr>v_38_XP_U</vt:lpstr>
      <vt:lpstr>v_38_XPFOA</vt:lpstr>
      <vt:lpstr>v_38_XPFOS</vt:lpstr>
      <vt:lpstr>v_38_XPHA_GAO</vt:lpstr>
      <vt:lpstr>v_38_XPHA_PAO</vt:lpstr>
      <vt:lpstr>v_38_XPP</vt:lpstr>
      <vt:lpstr>v_38_XSTR</vt:lpstr>
      <vt:lpstr>v_38_XU</vt:lpstr>
      <vt:lpstr>v_38_XVivi</vt:lpstr>
      <vt:lpstr>v_39_CB</vt:lpstr>
      <vt:lpstr>v_39_CU</vt:lpstr>
      <vt:lpstr>v_39_GCH4</vt:lpstr>
      <vt:lpstr>v_39_GCH4_atm</vt:lpstr>
      <vt:lpstr>v_39_GCO2</vt:lpstr>
      <vt:lpstr>v_39_GCO2_atm</vt:lpstr>
      <vt:lpstr>v_39_GH2</vt:lpstr>
      <vt:lpstr>v_39_GH2_atm</vt:lpstr>
      <vt:lpstr>v_39_GN2</vt:lpstr>
      <vt:lpstr>v_39_GN2_atm</vt:lpstr>
      <vt:lpstr>v_39_GNH3</vt:lpstr>
      <vt:lpstr>v_39_GNH3_atm</vt:lpstr>
      <vt:lpstr>v_39_GO2</vt:lpstr>
      <vt:lpstr>v_39_GO2_atm</vt:lpstr>
      <vt:lpstr>v_39_SALPHA</vt:lpstr>
      <vt:lpstr>v_39_SAN</vt:lpstr>
      <vt:lpstr>v_39_SB</vt:lpstr>
      <vt:lpstr>v_39_SCa</vt:lpstr>
      <vt:lpstr>v_39_SCAT</vt:lpstr>
      <vt:lpstr>v_39_SCH4</vt:lpstr>
      <vt:lpstr>v_39_SCO2</vt:lpstr>
      <vt:lpstr>v_39_SFe2</vt:lpstr>
      <vt:lpstr>v_39_SH</vt:lpstr>
      <vt:lpstr>v_39_SH2</vt:lpstr>
      <vt:lpstr>v_39_SK</vt:lpstr>
      <vt:lpstr>v_39_SMEOL</vt:lpstr>
      <vt:lpstr>v_39_SMg</vt:lpstr>
      <vt:lpstr>v_39_SN_B</vt:lpstr>
      <vt:lpstr>v_39_SN2</vt:lpstr>
      <vt:lpstr>v_39_SNHx</vt:lpstr>
      <vt:lpstr>v_39_SNOx</vt:lpstr>
      <vt:lpstr>v_39_SO2</vt:lpstr>
      <vt:lpstr>v_39_SORPswitch</vt:lpstr>
      <vt:lpstr>v_39_SP_B</vt:lpstr>
      <vt:lpstr>v_39_SPFOA</vt:lpstr>
      <vt:lpstr>v_39_SPFOS</vt:lpstr>
      <vt:lpstr>v_39_SPO4</vt:lpstr>
      <vt:lpstr>v_39_SU</vt:lpstr>
      <vt:lpstr>v_39_SVFA</vt:lpstr>
      <vt:lpstr>v_39_XACP</vt:lpstr>
      <vt:lpstr>v_39_XALGAE</vt:lpstr>
      <vt:lpstr>v_39_XAMETO</vt:lpstr>
      <vt:lpstr>v_39_XB</vt:lpstr>
      <vt:lpstr>v_39_XB_e</vt:lpstr>
      <vt:lpstr>v_39_XBSH</vt:lpstr>
      <vt:lpstr>v_39_XCaCO3</vt:lpstr>
      <vt:lpstr>v_39_XCASTO</vt:lpstr>
      <vt:lpstr>v_39_XE</vt:lpstr>
      <vt:lpstr>v_39_XE_ana</vt:lpstr>
      <vt:lpstr>v_39_XHAO_H</vt:lpstr>
      <vt:lpstr>v_39_XHAO_H_P</vt:lpstr>
      <vt:lpstr>v_39_XHAO_H_P_old</vt:lpstr>
      <vt:lpstr>v_39_XHAO_L</vt:lpstr>
      <vt:lpstr>v_39_XHAO_L_P</vt:lpstr>
      <vt:lpstr>v_39_XHAO_L_P_old</vt:lpstr>
      <vt:lpstr>v_39_XHAO_old</vt:lpstr>
      <vt:lpstr>v_39_XHFO_H</vt:lpstr>
      <vt:lpstr>v_39_XHFO_H_P</vt:lpstr>
      <vt:lpstr>v_39_XHFO_H_P_old</vt:lpstr>
      <vt:lpstr>v_39_XHFO_L</vt:lpstr>
      <vt:lpstr>v_39_XHFO_L_P</vt:lpstr>
      <vt:lpstr>v_39_XHFO_L_P_old</vt:lpstr>
      <vt:lpstr>v_39_XHFO_old</vt:lpstr>
      <vt:lpstr>v_39_XHMETO</vt:lpstr>
      <vt:lpstr>v_39_XINORG</vt:lpstr>
      <vt:lpstr>v_39_XMEOLO</vt:lpstr>
      <vt:lpstr>v_39_XN_B</vt:lpstr>
      <vt:lpstr>v_39_XN_Be</vt:lpstr>
      <vt:lpstr>v_39_XN_U</vt:lpstr>
      <vt:lpstr>v_39_XNITO</vt:lpstr>
      <vt:lpstr>v_39_XOHO</vt:lpstr>
      <vt:lpstr>v_39_XP_B</vt:lpstr>
      <vt:lpstr>v_39_XP_Be</vt:lpstr>
      <vt:lpstr>v_39_XP_U</vt:lpstr>
      <vt:lpstr>v_39_XPFOA</vt:lpstr>
      <vt:lpstr>v_39_XPFOS</vt:lpstr>
      <vt:lpstr>v_39_XPHA_GAO</vt:lpstr>
      <vt:lpstr>v_39_XPHA_PAO</vt:lpstr>
      <vt:lpstr>v_39_XPP</vt:lpstr>
      <vt:lpstr>v_39_XSTR</vt:lpstr>
      <vt:lpstr>v_39_XU</vt:lpstr>
      <vt:lpstr>v_39_XVivi</vt:lpstr>
      <vt:lpstr>v_4_CB</vt:lpstr>
      <vt:lpstr>v_4_CU</vt:lpstr>
      <vt:lpstr>v_4_GCH4</vt:lpstr>
      <vt:lpstr>v_4_GCH4_atm</vt:lpstr>
      <vt:lpstr>v_4_GCO2</vt:lpstr>
      <vt:lpstr>v_4_GCO2_atm</vt:lpstr>
      <vt:lpstr>v_4_GH2</vt:lpstr>
      <vt:lpstr>v_4_GH2_atm</vt:lpstr>
      <vt:lpstr>v_4_GN2</vt:lpstr>
      <vt:lpstr>v_4_GN2_atm</vt:lpstr>
      <vt:lpstr>v_4_GNH3</vt:lpstr>
      <vt:lpstr>v_4_GNH3_atm</vt:lpstr>
      <vt:lpstr>v_4_GO2</vt:lpstr>
      <vt:lpstr>v_4_GO2_atm</vt:lpstr>
      <vt:lpstr>v_4_SALPHA</vt:lpstr>
      <vt:lpstr>v_4_SAN</vt:lpstr>
      <vt:lpstr>v_4_SB</vt:lpstr>
      <vt:lpstr>v_4_SCa</vt:lpstr>
      <vt:lpstr>v_4_SCAT</vt:lpstr>
      <vt:lpstr>v_4_SCH4</vt:lpstr>
      <vt:lpstr>v_4_SCO2</vt:lpstr>
      <vt:lpstr>v_4_SFe2</vt:lpstr>
      <vt:lpstr>v_4_SH</vt:lpstr>
      <vt:lpstr>v_4_SH2</vt:lpstr>
      <vt:lpstr>v_4_SK</vt:lpstr>
      <vt:lpstr>v_4_SMEOL</vt:lpstr>
      <vt:lpstr>v_4_SMg</vt:lpstr>
      <vt:lpstr>v_4_SN_B</vt:lpstr>
      <vt:lpstr>v_4_SN2</vt:lpstr>
      <vt:lpstr>v_4_SNHx</vt:lpstr>
      <vt:lpstr>v_4_SNOx</vt:lpstr>
      <vt:lpstr>v_4_SO2</vt:lpstr>
      <vt:lpstr>v_4_SORPswitch</vt:lpstr>
      <vt:lpstr>v_4_SP_B</vt:lpstr>
      <vt:lpstr>v_4_SPFOA</vt:lpstr>
      <vt:lpstr>v_4_SPFOS</vt:lpstr>
      <vt:lpstr>v_4_SPO4</vt:lpstr>
      <vt:lpstr>v_4_SU</vt:lpstr>
      <vt:lpstr>v_4_SVFA</vt:lpstr>
      <vt:lpstr>v_4_XACP</vt:lpstr>
      <vt:lpstr>v_4_XALGAE</vt:lpstr>
      <vt:lpstr>v_4_XAMETO</vt:lpstr>
      <vt:lpstr>v_4_XB</vt:lpstr>
      <vt:lpstr>v_4_XB_e</vt:lpstr>
      <vt:lpstr>v_4_XBSH</vt:lpstr>
      <vt:lpstr>v_4_XCaCO3</vt:lpstr>
      <vt:lpstr>v_4_XCASTO</vt:lpstr>
      <vt:lpstr>v_4_XE</vt:lpstr>
      <vt:lpstr>v_4_XE_ana</vt:lpstr>
      <vt:lpstr>v_4_XHAO_H</vt:lpstr>
      <vt:lpstr>v_4_XHAO_H_P</vt:lpstr>
      <vt:lpstr>v_4_XHAO_H_P_old</vt:lpstr>
      <vt:lpstr>v_4_XHAO_L</vt:lpstr>
      <vt:lpstr>v_4_XHAO_L_P</vt:lpstr>
      <vt:lpstr>v_4_XHAO_L_P_old</vt:lpstr>
      <vt:lpstr>v_4_XHAO_old</vt:lpstr>
      <vt:lpstr>v_4_XHFO_H</vt:lpstr>
      <vt:lpstr>v_4_XHFO_H_P</vt:lpstr>
      <vt:lpstr>v_4_XHFO_H_P_old</vt:lpstr>
      <vt:lpstr>v_4_XHFO_L</vt:lpstr>
      <vt:lpstr>v_4_XHFO_L_P</vt:lpstr>
      <vt:lpstr>v_4_XHFO_L_P_old</vt:lpstr>
      <vt:lpstr>v_4_XHFO_old</vt:lpstr>
      <vt:lpstr>v_4_XHMETO</vt:lpstr>
      <vt:lpstr>v_4_XINORG</vt:lpstr>
      <vt:lpstr>v_4_XMEOLO</vt:lpstr>
      <vt:lpstr>v_4_XN_B</vt:lpstr>
      <vt:lpstr>v_4_XN_Be</vt:lpstr>
      <vt:lpstr>v_4_XN_U</vt:lpstr>
      <vt:lpstr>v_4_XNITO</vt:lpstr>
      <vt:lpstr>v_4_XOHO</vt:lpstr>
      <vt:lpstr>v_4_XP_B</vt:lpstr>
      <vt:lpstr>v_4_XP_Be</vt:lpstr>
      <vt:lpstr>v_4_XP_U</vt:lpstr>
      <vt:lpstr>v_4_XPFOA</vt:lpstr>
      <vt:lpstr>v_4_XPFOS</vt:lpstr>
      <vt:lpstr>v_4_XPHA_GAO</vt:lpstr>
      <vt:lpstr>v_4_XPHA_PAO</vt:lpstr>
      <vt:lpstr>v_4_XPP</vt:lpstr>
      <vt:lpstr>v_4_XSTR</vt:lpstr>
      <vt:lpstr>v_4_XU</vt:lpstr>
      <vt:lpstr>v_4_XVivi</vt:lpstr>
      <vt:lpstr>v_40_CB</vt:lpstr>
      <vt:lpstr>v_40_CU</vt:lpstr>
      <vt:lpstr>v_40_GCH4</vt:lpstr>
      <vt:lpstr>v_40_GCH4_atm</vt:lpstr>
      <vt:lpstr>v_40_GCO2</vt:lpstr>
      <vt:lpstr>v_40_GCO2_atm</vt:lpstr>
      <vt:lpstr>v_40_GH2</vt:lpstr>
      <vt:lpstr>v_40_GH2_atm</vt:lpstr>
      <vt:lpstr>v_40_GN2</vt:lpstr>
      <vt:lpstr>v_40_GN2_atm</vt:lpstr>
      <vt:lpstr>v_40_GNH3</vt:lpstr>
      <vt:lpstr>v_40_GNH3_atm</vt:lpstr>
      <vt:lpstr>v_40_GO2</vt:lpstr>
      <vt:lpstr>v_40_GO2_atm</vt:lpstr>
      <vt:lpstr>v_40_SALPHA</vt:lpstr>
      <vt:lpstr>v_40_SAN</vt:lpstr>
      <vt:lpstr>v_40_SB</vt:lpstr>
      <vt:lpstr>v_40_SCa</vt:lpstr>
      <vt:lpstr>v_40_SCAT</vt:lpstr>
      <vt:lpstr>v_40_SCH4</vt:lpstr>
      <vt:lpstr>v_40_SCO2</vt:lpstr>
      <vt:lpstr>v_40_SFe2</vt:lpstr>
      <vt:lpstr>v_40_SH</vt:lpstr>
      <vt:lpstr>v_40_SH2</vt:lpstr>
      <vt:lpstr>v_40_SK</vt:lpstr>
      <vt:lpstr>v_40_SMEOL</vt:lpstr>
      <vt:lpstr>v_40_SMg</vt:lpstr>
      <vt:lpstr>v_40_SN_B</vt:lpstr>
      <vt:lpstr>v_40_SN2</vt:lpstr>
      <vt:lpstr>v_40_SNHx</vt:lpstr>
      <vt:lpstr>v_40_SNOx</vt:lpstr>
      <vt:lpstr>v_40_SO2</vt:lpstr>
      <vt:lpstr>v_40_SORPswitch</vt:lpstr>
      <vt:lpstr>v_40_SP_B</vt:lpstr>
      <vt:lpstr>v_40_SPFOA</vt:lpstr>
      <vt:lpstr>v_40_SPFOS</vt:lpstr>
      <vt:lpstr>v_40_SPO4</vt:lpstr>
      <vt:lpstr>v_40_SU</vt:lpstr>
      <vt:lpstr>v_40_SVFA</vt:lpstr>
      <vt:lpstr>v_40_XACP</vt:lpstr>
      <vt:lpstr>v_40_XALGAE</vt:lpstr>
      <vt:lpstr>v_40_XAMETO</vt:lpstr>
      <vt:lpstr>v_40_XB</vt:lpstr>
      <vt:lpstr>v_40_XB_e</vt:lpstr>
      <vt:lpstr>v_40_XBSH</vt:lpstr>
      <vt:lpstr>v_40_XCaCO3</vt:lpstr>
      <vt:lpstr>v_40_XCASTO</vt:lpstr>
      <vt:lpstr>v_40_XE</vt:lpstr>
      <vt:lpstr>v_40_XE_ana</vt:lpstr>
      <vt:lpstr>v_40_XHAO_H</vt:lpstr>
      <vt:lpstr>v_40_XHAO_H_P</vt:lpstr>
      <vt:lpstr>v_40_XHAO_H_P_old</vt:lpstr>
      <vt:lpstr>v_40_XHAO_L</vt:lpstr>
      <vt:lpstr>v_40_XHAO_L_P</vt:lpstr>
      <vt:lpstr>v_40_XHAO_L_P_old</vt:lpstr>
      <vt:lpstr>v_40_XHAO_old</vt:lpstr>
      <vt:lpstr>v_40_XHFO_H</vt:lpstr>
      <vt:lpstr>v_40_XHFO_H_P</vt:lpstr>
      <vt:lpstr>v_40_XHFO_H_P_old</vt:lpstr>
      <vt:lpstr>v_40_XHFO_L</vt:lpstr>
      <vt:lpstr>v_40_XHFO_L_P</vt:lpstr>
      <vt:lpstr>v_40_XHFO_L_P_old</vt:lpstr>
      <vt:lpstr>v_40_XHFO_old</vt:lpstr>
      <vt:lpstr>v_40_XHMETO</vt:lpstr>
      <vt:lpstr>v_40_XINORG</vt:lpstr>
      <vt:lpstr>v_40_XMEOLO</vt:lpstr>
      <vt:lpstr>v_40_XN_B</vt:lpstr>
      <vt:lpstr>v_40_XN_Be</vt:lpstr>
      <vt:lpstr>v_40_XN_U</vt:lpstr>
      <vt:lpstr>v_40_XNITO</vt:lpstr>
      <vt:lpstr>v_40_XOHO</vt:lpstr>
      <vt:lpstr>v_40_XP_B</vt:lpstr>
      <vt:lpstr>v_40_XP_Be</vt:lpstr>
      <vt:lpstr>v_40_XP_U</vt:lpstr>
      <vt:lpstr>v_40_XPFOA</vt:lpstr>
      <vt:lpstr>v_40_XPFOS</vt:lpstr>
      <vt:lpstr>v_40_XPHA_GAO</vt:lpstr>
      <vt:lpstr>v_40_XPHA_PAO</vt:lpstr>
      <vt:lpstr>v_40_XPP</vt:lpstr>
      <vt:lpstr>v_40_XSTR</vt:lpstr>
      <vt:lpstr>v_40_XU</vt:lpstr>
      <vt:lpstr>v_40_XVivi</vt:lpstr>
      <vt:lpstr>v_41_CB</vt:lpstr>
      <vt:lpstr>v_41_CU</vt:lpstr>
      <vt:lpstr>v_41_GCH4</vt:lpstr>
      <vt:lpstr>v_41_GCH4_atm</vt:lpstr>
      <vt:lpstr>v_41_GCO2</vt:lpstr>
      <vt:lpstr>v_41_GCO2_atm</vt:lpstr>
      <vt:lpstr>v_41_GH2</vt:lpstr>
      <vt:lpstr>v_41_GH2_atm</vt:lpstr>
      <vt:lpstr>v_41_GN2</vt:lpstr>
      <vt:lpstr>v_41_GN2_atm</vt:lpstr>
      <vt:lpstr>v_41_GNH3</vt:lpstr>
      <vt:lpstr>v_41_GNH3_atm</vt:lpstr>
      <vt:lpstr>v_41_GO2</vt:lpstr>
      <vt:lpstr>v_41_GO2_atm</vt:lpstr>
      <vt:lpstr>v_41_SALPHA</vt:lpstr>
      <vt:lpstr>v_41_SAN</vt:lpstr>
      <vt:lpstr>v_41_SB</vt:lpstr>
      <vt:lpstr>v_41_SCa</vt:lpstr>
      <vt:lpstr>v_41_SCAT</vt:lpstr>
      <vt:lpstr>v_41_SCH4</vt:lpstr>
      <vt:lpstr>v_41_SCO2</vt:lpstr>
      <vt:lpstr>v_41_SFe2</vt:lpstr>
      <vt:lpstr>v_41_SH</vt:lpstr>
      <vt:lpstr>v_41_SH2</vt:lpstr>
      <vt:lpstr>v_41_SK</vt:lpstr>
      <vt:lpstr>v_41_SMEOL</vt:lpstr>
      <vt:lpstr>v_41_SMg</vt:lpstr>
      <vt:lpstr>v_41_SN_B</vt:lpstr>
      <vt:lpstr>v_41_SN2</vt:lpstr>
      <vt:lpstr>v_41_SNHx</vt:lpstr>
      <vt:lpstr>v_41_SNOx</vt:lpstr>
      <vt:lpstr>v_41_SO2</vt:lpstr>
      <vt:lpstr>v_41_SORPswitch</vt:lpstr>
      <vt:lpstr>v_41_SP_B</vt:lpstr>
      <vt:lpstr>v_41_SPFOA</vt:lpstr>
      <vt:lpstr>v_41_SPFOS</vt:lpstr>
      <vt:lpstr>v_41_SPO4</vt:lpstr>
      <vt:lpstr>v_41_SU</vt:lpstr>
      <vt:lpstr>v_41_SVFA</vt:lpstr>
      <vt:lpstr>v_41_XACP</vt:lpstr>
      <vt:lpstr>v_41_XALGAE</vt:lpstr>
      <vt:lpstr>v_41_XAMETO</vt:lpstr>
      <vt:lpstr>v_41_XB</vt:lpstr>
      <vt:lpstr>v_41_XB_e</vt:lpstr>
      <vt:lpstr>v_41_XBSH</vt:lpstr>
      <vt:lpstr>v_41_XCaCO3</vt:lpstr>
      <vt:lpstr>v_41_XCASTO</vt:lpstr>
      <vt:lpstr>v_41_XE</vt:lpstr>
      <vt:lpstr>v_41_XE_ana</vt:lpstr>
      <vt:lpstr>v_41_XHAO_H</vt:lpstr>
      <vt:lpstr>v_41_XHAO_H_P</vt:lpstr>
      <vt:lpstr>v_41_XHAO_H_P_old</vt:lpstr>
      <vt:lpstr>v_41_XHAO_L</vt:lpstr>
      <vt:lpstr>v_41_XHAO_L_P</vt:lpstr>
      <vt:lpstr>v_41_XHAO_L_P_old</vt:lpstr>
      <vt:lpstr>v_41_XHAO_old</vt:lpstr>
      <vt:lpstr>v_41_XHFO_H</vt:lpstr>
      <vt:lpstr>v_41_XHFO_H_P</vt:lpstr>
      <vt:lpstr>v_41_XHFO_H_P_old</vt:lpstr>
      <vt:lpstr>v_41_XHFO_L</vt:lpstr>
      <vt:lpstr>v_41_XHFO_L_P</vt:lpstr>
      <vt:lpstr>v_41_XHFO_L_P_old</vt:lpstr>
      <vt:lpstr>v_41_XHFO_old</vt:lpstr>
      <vt:lpstr>v_41_XHMETO</vt:lpstr>
      <vt:lpstr>v_41_XINORG</vt:lpstr>
      <vt:lpstr>v_41_XMEOLO</vt:lpstr>
      <vt:lpstr>v_41_XN_B</vt:lpstr>
      <vt:lpstr>v_41_XN_Be</vt:lpstr>
      <vt:lpstr>v_41_XN_U</vt:lpstr>
      <vt:lpstr>v_41_XNITO</vt:lpstr>
      <vt:lpstr>v_41_XOHO</vt:lpstr>
      <vt:lpstr>v_41_XP_B</vt:lpstr>
      <vt:lpstr>v_41_XP_Be</vt:lpstr>
      <vt:lpstr>v_41_XP_U</vt:lpstr>
      <vt:lpstr>v_41_XPFOA</vt:lpstr>
      <vt:lpstr>v_41_XPFOS</vt:lpstr>
      <vt:lpstr>v_41_XPHA_GAO</vt:lpstr>
      <vt:lpstr>v_41_XPHA_PAO</vt:lpstr>
      <vt:lpstr>v_41_XPP</vt:lpstr>
      <vt:lpstr>v_41_XSTR</vt:lpstr>
      <vt:lpstr>v_41_XU</vt:lpstr>
      <vt:lpstr>v_41_XVivi</vt:lpstr>
      <vt:lpstr>v_42_CB</vt:lpstr>
      <vt:lpstr>v_42_CU</vt:lpstr>
      <vt:lpstr>v_42_GCH4</vt:lpstr>
      <vt:lpstr>v_42_GCH4_atm</vt:lpstr>
      <vt:lpstr>v_42_GCO2</vt:lpstr>
      <vt:lpstr>v_42_GCO2_atm</vt:lpstr>
      <vt:lpstr>v_42_GH2</vt:lpstr>
      <vt:lpstr>v_42_GH2_atm</vt:lpstr>
      <vt:lpstr>v_42_GN2</vt:lpstr>
      <vt:lpstr>v_42_GN2_atm</vt:lpstr>
      <vt:lpstr>v_42_GNH3</vt:lpstr>
      <vt:lpstr>v_42_GNH3_atm</vt:lpstr>
      <vt:lpstr>v_42_GO2</vt:lpstr>
      <vt:lpstr>v_42_GO2_atm</vt:lpstr>
      <vt:lpstr>v_42_SALPHA</vt:lpstr>
      <vt:lpstr>v_42_SAN</vt:lpstr>
      <vt:lpstr>v_42_SB</vt:lpstr>
      <vt:lpstr>v_42_SCa</vt:lpstr>
      <vt:lpstr>v_42_SCAT</vt:lpstr>
      <vt:lpstr>v_42_SCH4</vt:lpstr>
      <vt:lpstr>v_42_SCO2</vt:lpstr>
      <vt:lpstr>v_42_SFe2</vt:lpstr>
      <vt:lpstr>v_42_SH</vt:lpstr>
      <vt:lpstr>v_42_SH2</vt:lpstr>
      <vt:lpstr>v_42_SK</vt:lpstr>
      <vt:lpstr>v_42_SMEOL</vt:lpstr>
      <vt:lpstr>v_42_SMg</vt:lpstr>
      <vt:lpstr>v_42_SN_B</vt:lpstr>
      <vt:lpstr>v_42_SN2</vt:lpstr>
      <vt:lpstr>v_42_SNHx</vt:lpstr>
      <vt:lpstr>v_42_SNOx</vt:lpstr>
      <vt:lpstr>v_42_SO2</vt:lpstr>
      <vt:lpstr>v_42_SORPswitch</vt:lpstr>
      <vt:lpstr>v_42_SP_B</vt:lpstr>
      <vt:lpstr>v_42_SPFOA</vt:lpstr>
      <vt:lpstr>v_42_SPFOS</vt:lpstr>
      <vt:lpstr>v_42_SPO4</vt:lpstr>
      <vt:lpstr>v_42_SU</vt:lpstr>
      <vt:lpstr>v_42_SVFA</vt:lpstr>
      <vt:lpstr>v_42_XACP</vt:lpstr>
      <vt:lpstr>v_42_XALGAE</vt:lpstr>
      <vt:lpstr>v_42_XAMETO</vt:lpstr>
      <vt:lpstr>v_42_XB</vt:lpstr>
      <vt:lpstr>v_42_XB_e</vt:lpstr>
      <vt:lpstr>v_42_XBSH</vt:lpstr>
      <vt:lpstr>v_42_XCaCO3</vt:lpstr>
      <vt:lpstr>v_42_XCASTO</vt:lpstr>
      <vt:lpstr>v_42_XE</vt:lpstr>
      <vt:lpstr>v_42_XE_ana</vt:lpstr>
      <vt:lpstr>v_42_XHAO_H</vt:lpstr>
      <vt:lpstr>v_42_XHAO_H_P</vt:lpstr>
      <vt:lpstr>v_42_XHAO_H_P_old</vt:lpstr>
      <vt:lpstr>v_42_XHAO_L</vt:lpstr>
      <vt:lpstr>v_42_XHAO_L_P</vt:lpstr>
      <vt:lpstr>v_42_XHAO_L_P_old</vt:lpstr>
      <vt:lpstr>v_42_XHAO_old</vt:lpstr>
      <vt:lpstr>v_42_XHFO_H</vt:lpstr>
      <vt:lpstr>v_42_XHFO_H_P</vt:lpstr>
      <vt:lpstr>v_42_XHFO_H_P_old</vt:lpstr>
      <vt:lpstr>v_42_XHFO_L</vt:lpstr>
      <vt:lpstr>v_42_XHFO_L_P</vt:lpstr>
      <vt:lpstr>v_42_XHFO_L_P_old</vt:lpstr>
      <vt:lpstr>v_42_XHFO_old</vt:lpstr>
      <vt:lpstr>v_42_XHMETO</vt:lpstr>
      <vt:lpstr>v_42_XINORG</vt:lpstr>
      <vt:lpstr>v_42_XMEOLO</vt:lpstr>
      <vt:lpstr>v_42_XN_B</vt:lpstr>
      <vt:lpstr>v_42_XN_Be</vt:lpstr>
      <vt:lpstr>v_42_XN_U</vt:lpstr>
      <vt:lpstr>v_42_XNITO</vt:lpstr>
      <vt:lpstr>v_42_XOHO</vt:lpstr>
      <vt:lpstr>v_42_XP_B</vt:lpstr>
      <vt:lpstr>v_42_XP_Be</vt:lpstr>
      <vt:lpstr>v_42_XP_U</vt:lpstr>
      <vt:lpstr>v_42_XPFOA</vt:lpstr>
      <vt:lpstr>v_42_XPFOS</vt:lpstr>
      <vt:lpstr>v_42_XPHA_GAO</vt:lpstr>
      <vt:lpstr>v_42_XPHA_PAO</vt:lpstr>
      <vt:lpstr>v_42_XPP</vt:lpstr>
      <vt:lpstr>v_42_XSTR</vt:lpstr>
      <vt:lpstr>v_42_XU</vt:lpstr>
      <vt:lpstr>v_42_XVivi</vt:lpstr>
      <vt:lpstr>v_43_CB</vt:lpstr>
      <vt:lpstr>v_43_CU</vt:lpstr>
      <vt:lpstr>v_43_GCH4</vt:lpstr>
      <vt:lpstr>v_43_GCH4_atm</vt:lpstr>
      <vt:lpstr>v_43_GCO2</vt:lpstr>
      <vt:lpstr>v_43_GCO2_atm</vt:lpstr>
      <vt:lpstr>v_43_GH2</vt:lpstr>
      <vt:lpstr>v_43_GH2_atm</vt:lpstr>
      <vt:lpstr>v_43_GN2</vt:lpstr>
      <vt:lpstr>v_43_GN2_atm</vt:lpstr>
      <vt:lpstr>v_43_GNH3</vt:lpstr>
      <vt:lpstr>v_43_GNH3_atm</vt:lpstr>
      <vt:lpstr>v_43_GO2</vt:lpstr>
      <vt:lpstr>v_43_GO2_atm</vt:lpstr>
      <vt:lpstr>v_43_SALPHA</vt:lpstr>
      <vt:lpstr>v_43_SAN</vt:lpstr>
      <vt:lpstr>v_43_SB</vt:lpstr>
      <vt:lpstr>v_43_SCa</vt:lpstr>
      <vt:lpstr>v_43_SCAT</vt:lpstr>
      <vt:lpstr>v_43_SCH4</vt:lpstr>
      <vt:lpstr>v_43_SCO2</vt:lpstr>
      <vt:lpstr>v_43_SFe2</vt:lpstr>
      <vt:lpstr>v_43_SH</vt:lpstr>
      <vt:lpstr>v_43_SH2</vt:lpstr>
      <vt:lpstr>v_43_SK</vt:lpstr>
      <vt:lpstr>v_43_SMEOL</vt:lpstr>
      <vt:lpstr>v_43_SMg</vt:lpstr>
      <vt:lpstr>v_43_SN_B</vt:lpstr>
      <vt:lpstr>v_43_SN2</vt:lpstr>
      <vt:lpstr>v_43_SNHx</vt:lpstr>
      <vt:lpstr>v_43_SNOx</vt:lpstr>
      <vt:lpstr>v_43_SO2</vt:lpstr>
      <vt:lpstr>v_43_SORPswitch</vt:lpstr>
      <vt:lpstr>v_43_SP_B</vt:lpstr>
      <vt:lpstr>v_43_SPFOA</vt:lpstr>
      <vt:lpstr>v_43_SPFOS</vt:lpstr>
      <vt:lpstr>v_43_SPO4</vt:lpstr>
      <vt:lpstr>v_43_SU</vt:lpstr>
      <vt:lpstr>v_43_SVFA</vt:lpstr>
      <vt:lpstr>v_43_XACP</vt:lpstr>
      <vt:lpstr>v_43_XALGAE</vt:lpstr>
      <vt:lpstr>v_43_XAMETO</vt:lpstr>
      <vt:lpstr>v_43_XB</vt:lpstr>
      <vt:lpstr>v_43_XB_e</vt:lpstr>
      <vt:lpstr>v_43_XBSH</vt:lpstr>
      <vt:lpstr>v_43_XCaCO3</vt:lpstr>
      <vt:lpstr>v_43_XCASTO</vt:lpstr>
      <vt:lpstr>v_43_XE</vt:lpstr>
      <vt:lpstr>v_43_XE_ana</vt:lpstr>
      <vt:lpstr>v_43_XHAO_H</vt:lpstr>
      <vt:lpstr>v_43_XHAO_H_P</vt:lpstr>
      <vt:lpstr>v_43_XHAO_H_P_old</vt:lpstr>
      <vt:lpstr>v_43_XHAO_L</vt:lpstr>
      <vt:lpstr>v_43_XHAO_L_P</vt:lpstr>
      <vt:lpstr>v_43_XHAO_L_P_old</vt:lpstr>
      <vt:lpstr>v_43_XHAO_old</vt:lpstr>
      <vt:lpstr>v_43_XHFO_H</vt:lpstr>
      <vt:lpstr>v_43_XHFO_H_P</vt:lpstr>
      <vt:lpstr>v_43_XHFO_H_P_old</vt:lpstr>
      <vt:lpstr>v_43_XHFO_L</vt:lpstr>
      <vt:lpstr>v_43_XHFO_L_P</vt:lpstr>
      <vt:lpstr>v_43_XHFO_L_P_old</vt:lpstr>
      <vt:lpstr>v_43_XHFO_old</vt:lpstr>
      <vt:lpstr>v_43_XHMETO</vt:lpstr>
      <vt:lpstr>v_43_XINORG</vt:lpstr>
      <vt:lpstr>v_43_XMEOLO</vt:lpstr>
      <vt:lpstr>v_43_XN_B</vt:lpstr>
      <vt:lpstr>v_43_XN_Be</vt:lpstr>
      <vt:lpstr>v_43_XN_U</vt:lpstr>
      <vt:lpstr>v_43_XNITO</vt:lpstr>
      <vt:lpstr>v_43_XOHO</vt:lpstr>
      <vt:lpstr>v_43_XP_B</vt:lpstr>
      <vt:lpstr>v_43_XP_Be</vt:lpstr>
      <vt:lpstr>v_43_XP_U</vt:lpstr>
      <vt:lpstr>v_43_XPFOA</vt:lpstr>
      <vt:lpstr>v_43_XPFOS</vt:lpstr>
      <vt:lpstr>v_43_XPHA_GAO</vt:lpstr>
      <vt:lpstr>v_43_XPHA_PAO</vt:lpstr>
      <vt:lpstr>v_43_XPP</vt:lpstr>
      <vt:lpstr>v_43_XSTR</vt:lpstr>
      <vt:lpstr>v_43_XU</vt:lpstr>
      <vt:lpstr>v_43_XVivi</vt:lpstr>
      <vt:lpstr>v_44_CB</vt:lpstr>
      <vt:lpstr>v_44_CU</vt:lpstr>
      <vt:lpstr>v_44_GCH4</vt:lpstr>
      <vt:lpstr>v_44_GCH4_atm</vt:lpstr>
      <vt:lpstr>v_44_GCO2</vt:lpstr>
      <vt:lpstr>v_44_GCO2_atm</vt:lpstr>
      <vt:lpstr>v_44_GH2</vt:lpstr>
      <vt:lpstr>v_44_GH2_atm</vt:lpstr>
      <vt:lpstr>v_44_GN2</vt:lpstr>
      <vt:lpstr>v_44_GN2_atm</vt:lpstr>
      <vt:lpstr>v_44_GNH3</vt:lpstr>
      <vt:lpstr>v_44_GNH3_atm</vt:lpstr>
      <vt:lpstr>v_44_GO2</vt:lpstr>
      <vt:lpstr>v_44_GO2_atm</vt:lpstr>
      <vt:lpstr>v_44_SALPHA</vt:lpstr>
      <vt:lpstr>v_44_SAN</vt:lpstr>
      <vt:lpstr>v_44_SB</vt:lpstr>
      <vt:lpstr>v_44_SCa</vt:lpstr>
      <vt:lpstr>v_44_SCAT</vt:lpstr>
      <vt:lpstr>v_44_SCH4</vt:lpstr>
      <vt:lpstr>v_44_SCO2</vt:lpstr>
      <vt:lpstr>v_44_SFe2</vt:lpstr>
      <vt:lpstr>v_44_SH</vt:lpstr>
      <vt:lpstr>v_44_SH2</vt:lpstr>
      <vt:lpstr>v_44_SK</vt:lpstr>
      <vt:lpstr>v_44_SMEOL</vt:lpstr>
      <vt:lpstr>v_44_SMg</vt:lpstr>
      <vt:lpstr>v_44_SN_B</vt:lpstr>
      <vt:lpstr>v_44_SN2</vt:lpstr>
      <vt:lpstr>v_44_SNHx</vt:lpstr>
      <vt:lpstr>v_44_SNOx</vt:lpstr>
      <vt:lpstr>v_44_SO2</vt:lpstr>
      <vt:lpstr>v_44_SORPswitch</vt:lpstr>
      <vt:lpstr>v_44_SP_B</vt:lpstr>
      <vt:lpstr>v_44_SPFOA</vt:lpstr>
      <vt:lpstr>v_44_SPFOS</vt:lpstr>
      <vt:lpstr>v_44_SPO4</vt:lpstr>
      <vt:lpstr>v_44_SU</vt:lpstr>
      <vt:lpstr>v_44_SVFA</vt:lpstr>
      <vt:lpstr>v_44_XACP</vt:lpstr>
      <vt:lpstr>v_44_XALGAE</vt:lpstr>
      <vt:lpstr>v_44_XAMETO</vt:lpstr>
      <vt:lpstr>v_44_XB</vt:lpstr>
      <vt:lpstr>v_44_XB_e</vt:lpstr>
      <vt:lpstr>v_44_XBSH</vt:lpstr>
      <vt:lpstr>v_44_XCaCO3</vt:lpstr>
      <vt:lpstr>v_44_XCASTO</vt:lpstr>
      <vt:lpstr>v_44_XE</vt:lpstr>
      <vt:lpstr>v_44_XE_ana</vt:lpstr>
      <vt:lpstr>v_44_XHAO_H</vt:lpstr>
      <vt:lpstr>v_44_XHAO_H_P</vt:lpstr>
      <vt:lpstr>v_44_XHAO_H_P_old</vt:lpstr>
      <vt:lpstr>v_44_XHAO_L</vt:lpstr>
      <vt:lpstr>v_44_XHAO_L_P</vt:lpstr>
      <vt:lpstr>v_44_XHAO_L_P_old</vt:lpstr>
      <vt:lpstr>v_44_XHAO_old</vt:lpstr>
      <vt:lpstr>v_44_XHFO_H</vt:lpstr>
      <vt:lpstr>v_44_XHFO_H_P</vt:lpstr>
      <vt:lpstr>v_44_XHFO_H_P_old</vt:lpstr>
      <vt:lpstr>v_44_XHFO_L</vt:lpstr>
      <vt:lpstr>v_44_XHFO_L_P</vt:lpstr>
      <vt:lpstr>v_44_XHFO_L_P_old</vt:lpstr>
      <vt:lpstr>v_44_XHFO_old</vt:lpstr>
      <vt:lpstr>v_44_XHMETO</vt:lpstr>
      <vt:lpstr>v_44_XINORG</vt:lpstr>
      <vt:lpstr>v_44_XMEOLO</vt:lpstr>
      <vt:lpstr>v_44_XN_B</vt:lpstr>
      <vt:lpstr>v_44_XN_Be</vt:lpstr>
      <vt:lpstr>v_44_XN_U</vt:lpstr>
      <vt:lpstr>v_44_XNITO</vt:lpstr>
      <vt:lpstr>v_44_XOHO</vt:lpstr>
      <vt:lpstr>v_44_XP_B</vt:lpstr>
      <vt:lpstr>v_44_XP_Be</vt:lpstr>
      <vt:lpstr>v_44_XP_U</vt:lpstr>
      <vt:lpstr>v_44_XPFOA</vt:lpstr>
      <vt:lpstr>v_44_XPFOS</vt:lpstr>
      <vt:lpstr>v_44_XPHA_GAO</vt:lpstr>
      <vt:lpstr>v_44_XPHA_PAO</vt:lpstr>
      <vt:lpstr>v_44_XPP</vt:lpstr>
      <vt:lpstr>v_44_XSTR</vt:lpstr>
      <vt:lpstr>v_44_XU</vt:lpstr>
      <vt:lpstr>v_44_XVivi</vt:lpstr>
      <vt:lpstr>v_45_CB</vt:lpstr>
      <vt:lpstr>v_45_CU</vt:lpstr>
      <vt:lpstr>v_45_GCH4</vt:lpstr>
      <vt:lpstr>v_45_GCH4_atm</vt:lpstr>
      <vt:lpstr>v_45_GCO2</vt:lpstr>
      <vt:lpstr>v_45_GCO2_atm</vt:lpstr>
      <vt:lpstr>v_45_GH2</vt:lpstr>
      <vt:lpstr>v_45_GH2_atm</vt:lpstr>
      <vt:lpstr>v_45_GN2</vt:lpstr>
      <vt:lpstr>v_45_GN2_atm</vt:lpstr>
      <vt:lpstr>v_45_GNH3</vt:lpstr>
      <vt:lpstr>v_45_GNH3_atm</vt:lpstr>
      <vt:lpstr>v_45_GO2</vt:lpstr>
      <vt:lpstr>v_45_GO2_atm</vt:lpstr>
      <vt:lpstr>v_45_SALPHA</vt:lpstr>
      <vt:lpstr>v_45_SAN</vt:lpstr>
      <vt:lpstr>v_45_SB</vt:lpstr>
      <vt:lpstr>v_45_SCa</vt:lpstr>
      <vt:lpstr>v_45_SCAT</vt:lpstr>
      <vt:lpstr>v_45_SCH4</vt:lpstr>
      <vt:lpstr>v_45_SCO2</vt:lpstr>
      <vt:lpstr>v_45_SFe2</vt:lpstr>
      <vt:lpstr>v_45_SH</vt:lpstr>
      <vt:lpstr>v_45_SH2</vt:lpstr>
      <vt:lpstr>v_45_SK</vt:lpstr>
      <vt:lpstr>v_45_SMEOL</vt:lpstr>
      <vt:lpstr>v_45_SMg</vt:lpstr>
      <vt:lpstr>v_45_SN_B</vt:lpstr>
      <vt:lpstr>v_45_SN2</vt:lpstr>
      <vt:lpstr>v_45_SNHx</vt:lpstr>
      <vt:lpstr>v_45_SNOx</vt:lpstr>
      <vt:lpstr>v_45_SO2</vt:lpstr>
      <vt:lpstr>v_45_SORPswitch</vt:lpstr>
      <vt:lpstr>v_45_SP_B</vt:lpstr>
      <vt:lpstr>v_45_SPFOA</vt:lpstr>
      <vt:lpstr>v_45_SPFOS</vt:lpstr>
      <vt:lpstr>v_45_SPO4</vt:lpstr>
      <vt:lpstr>v_45_SU</vt:lpstr>
      <vt:lpstr>v_45_SVFA</vt:lpstr>
      <vt:lpstr>v_45_XACP</vt:lpstr>
      <vt:lpstr>v_45_XALGAE</vt:lpstr>
      <vt:lpstr>v_45_XAMETO</vt:lpstr>
      <vt:lpstr>v_45_XB</vt:lpstr>
      <vt:lpstr>v_45_XB_e</vt:lpstr>
      <vt:lpstr>v_45_XBSH</vt:lpstr>
      <vt:lpstr>v_45_XCaCO3</vt:lpstr>
      <vt:lpstr>v_45_XCASTO</vt:lpstr>
      <vt:lpstr>v_45_XE</vt:lpstr>
      <vt:lpstr>v_45_XE_ana</vt:lpstr>
      <vt:lpstr>v_45_XHAO_H</vt:lpstr>
      <vt:lpstr>v_45_XHAO_H_P</vt:lpstr>
      <vt:lpstr>v_45_XHAO_H_P_old</vt:lpstr>
      <vt:lpstr>v_45_XHAO_L</vt:lpstr>
      <vt:lpstr>v_45_XHAO_L_P</vt:lpstr>
      <vt:lpstr>v_45_XHAO_L_P_old</vt:lpstr>
      <vt:lpstr>v_45_XHAO_old</vt:lpstr>
      <vt:lpstr>v_45_XHFO_H</vt:lpstr>
      <vt:lpstr>v_45_XHFO_H_P</vt:lpstr>
      <vt:lpstr>v_45_XHFO_H_P_old</vt:lpstr>
      <vt:lpstr>v_45_XHFO_L</vt:lpstr>
      <vt:lpstr>v_45_XHFO_L_P</vt:lpstr>
      <vt:lpstr>v_45_XHFO_L_P_old</vt:lpstr>
      <vt:lpstr>v_45_XHFO_old</vt:lpstr>
      <vt:lpstr>v_45_XHMETO</vt:lpstr>
      <vt:lpstr>v_45_XINORG</vt:lpstr>
      <vt:lpstr>v_45_XMEOLO</vt:lpstr>
      <vt:lpstr>v_45_XN_B</vt:lpstr>
      <vt:lpstr>v_45_XN_Be</vt:lpstr>
      <vt:lpstr>v_45_XN_U</vt:lpstr>
      <vt:lpstr>v_45_XNITO</vt:lpstr>
      <vt:lpstr>v_45_XOHO</vt:lpstr>
      <vt:lpstr>v_45_XP_B</vt:lpstr>
      <vt:lpstr>v_45_XP_Be</vt:lpstr>
      <vt:lpstr>v_45_XP_U</vt:lpstr>
      <vt:lpstr>v_45_XPFOA</vt:lpstr>
      <vt:lpstr>v_45_XPFOS</vt:lpstr>
      <vt:lpstr>v_45_XPHA_GAO</vt:lpstr>
      <vt:lpstr>v_45_XPHA_PAO</vt:lpstr>
      <vt:lpstr>v_45_XPP</vt:lpstr>
      <vt:lpstr>v_45_XSTR</vt:lpstr>
      <vt:lpstr>v_45_XU</vt:lpstr>
      <vt:lpstr>v_45_XVivi</vt:lpstr>
      <vt:lpstr>v_46_CB</vt:lpstr>
      <vt:lpstr>v_46_CU</vt:lpstr>
      <vt:lpstr>v_46_GCH4</vt:lpstr>
      <vt:lpstr>v_46_GCH4_atm</vt:lpstr>
      <vt:lpstr>v_46_GCO2</vt:lpstr>
      <vt:lpstr>v_46_GCO2_atm</vt:lpstr>
      <vt:lpstr>v_46_GH2</vt:lpstr>
      <vt:lpstr>v_46_GH2_atm</vt:lpstr>
      <vt:lpstr>v_46_GN2</vt:lpstr>
      <vt:lpstr>v_46_GN2_atm</vt:lpstr>
      <vt:lpstr>v_46_GNH3</vt:lpstr>
      <vt:lpstr>v_46_GNH3_atm</vt:lpstr>
      <vt:lpstr>v_46_GO2</vt:lpstr>
      <vt:lpstr>v_46_GO2_atm</vt:lpstr>
      <vt:lpstr>v_46_SALPHA</vt:lpstr>
      <vt:lpstr>v_46_SAN</vt:lpstr>
      <vt:lpstr>v_46_SB</vt:lpstr>
      <vt:lpstr>v_46_SCa</vt:lpstr>
      <vt:lpstr>v_46_SCAT</vt:lpstr>
      <vt:lpstr>v_46_SCH4</vt:lpstr>
      <vt:lpstr>v_46_SCO2</vt:lpstr>
      <vt:lpstr>v_46_SFe2</vt:lpstr>
      <vt:lpstr>v_46_SH</vt:lpstr>
      <vt:lpstr>v_46_SH2</vt:lpstr>
      <vt:lpstr>v_46_SK</vt:lpstr>
      <vt:lpstr>v_46_SMEOL</vt:lpstr>
      <vt:lpstr>v_46_SMg</vt:lpstr>
      <vt:lpstr>v_46_SN_B</vt:lpstr>
      <vt:lpstr>v_46_SN2</vt:lpstr>
      <vt:lpstr>v_46_SNHx</vt:lpstr>
      <vt:lpstr>v_46_SNOx</vt:lpstr>
      <vt:lpstr>v_46_SO2</vt:lpstr>
      <vt:lpstr>v_46_SORPswitch</vt:lpstr>
      <vt:lpstr>v_46_SP_B</vt:lpstr>
      <vt:lpstr>v_46_SPFOA</vt:lpstr>
      <vt:lpstr>v_46_SPFOS</vt:lpstr>
      <vt:lpstr>v_46_SPO4</vt:lpstr>
      <vt:lpstr>v_46_SU</vt:lpstr>
      <vt:lpstr>v_46_SVFA</vt:lpstr>
      <vt:lpstr>v_46_XACP</vt:lpstr>
      <vt:lpstr>v_46_XALGAE</vt:lpstr>
      <vt:lpstr>v_46_XAMETO</vt:lpstr>
      <vt:lpstr>v_46_XB</vt:lpstr>
      <vt:lpstr>v_46_XB_e</vt:lpstr>
      <vt:lpstr>v_46_XBSH</vt:lpstr>
      <vt:lpstr>v_46_XCaCO3</vt:lpstr>
      <vt:lpstr>v_46_XCASTO</vt:lpstr>
      <vt:lpstr>v_46_XE</vt:lpstr>
      <vt:lpstr>v_46_XE_ana</vt:lpstr>
      <vt:lpstr>v_46_XHAO_H</vt:lpstr>
      <vt:lpstr>v_46_XHAO_H_P</vt:lpstr>
      <vt:lpstr>v_46_XHAO_H_P_old</vt:lpstr>
      <vt:lpstr>v_46_XHAO_L</vt:lpstr>
      <vt:lpstr>v_46_XHAO_L_P</vt:lpstr>
      <vt:lpstr>v_46_XHAO_L_P_old</vt:lpstr>
      <vt:lpstr>v_46_XHAO_old</vt:lpstr>
      <vt:lpstr>v_46_XHFO_H</vt:lpstr>
      <vt:lpstr>v_46_XHFO_H_P</vt:lpstr>
      <vt:lpstr>v_46_XHFO_H_P_old</vt:lpstr>
      <vt:lpstr>v_46_XHFO_L</vt:lpstr>
      <vt:lpstr>v_46_XHFO_L_P</vt:lpstr>
      <vt:lpstr>v_46_XHFO_L_P_old</vt:lpstr>
      <vt:lpstr>v_46_XHFO_old</vt:lpstr>
      <vt:lpstr>v_46_XHMETO</vt:lpstr>
      <vt:lpstr>v_46_XINORG</vt:lpstr>
      <vt:lpstr>v_46_XMEOLO</vt:lpstr>
      <vt:lpstr>v_46_XN_B</vt:lpstr>
      <vt:lpstr>v_46_XN_Be</vt:lpstr>
      <vt:lpstr>v_46_XN_U</vt:lpstr>
      <vt:lpstr>v_46_XNITO</vt:lpstr>
      <vt:lpstr>v_46_XOHO</vt:lpstr>
      <vt:lpstr>v_46_XP_B</vt:lpstr>
      <vt:lpstr>v_46_XP_Be</vt:lpstr>
      <vt:lpstr>v_46_XP_U</vt:lpstr>
      <vt:lpstr>v_46_XPFOA</vt:lpstr>
      <vt:lpstr>v_46_XPFOS</vt:lpstr>
      <vt:lpstr>v_46_XPHA_GAO</vt:lpstr>
      <vt:lpstr>v_46_XPHA_PAO</vt:lpstr>
      <vt:lpstr>v_46_XPP</vt:lpstr>
      <vt:lpstr>v_46_XSTR</vt:lpstr>
      <vt:lpstr>v_46_XU</vt:lpstr>
      <vt:lpstr>v_46_XVivi</vt:lpstr>
      <vt:lpstr>v_47_CB</vt:lpstr>
      <vt:lpstr>v_47_CU</vt:lpstr>
      <vt:lpstr>v_47_GCH4</vt:lpstr>
      <vt:lpstr>v_47_GCH4_atm</vt:lpstr>
      <vt:lpstr>v_47_GCO2</vt:lpstr>
      <vt:lpstr>v_47_GCO2_atm</vt:lpstr>
      <vt:lpstr>v_47_GH2</vt:lpstr>
      <vt:lpstr>v_47_GH2_atm</vt:lpstr>
      <vt:lpstr>v_47_GN2</vt:lpstr>
      <vt:lpstr>v_47_GN2_atm</vt:lpstr>
      <vt:lpstr>v_47_GNH3</vt:lpstr>
      <vt:lpstr>v_47_GNH3_atm</vt:lpstr>
      <vt:lpstr>v_47_GO2</vt:lpstr>
      <vt:lpstr>v_47_GO2_atm</vt:lpstr>
      <vt:lpstr>v_47_SALPHA</vt:lpstr>
      <vt:lpstr>v_47_SAN</vt:lpstr>
      <vt:lpstr>v_47_SB</vt:lpstr>
      <vt:lpstr>v_47_SCa</vt:lpstr>
      <vt:lpstr>v_47_SCAT</vt:lpstr>
      <vt:lpstr>v_47_SCH4</vt:lpstr>
      <vt:lpstr>v_47_SCO2</vt:lpstr>
      <vt:lpstr>v_47_SFe2</vt:lpstr>
      <vt:lpstr>v_47_SH</vt:lpstr>
      <vt:lpstr>v_47_SH2</vt:lpstr>
      <vt:lpstr>v_47_SK</vt:lpstr>
      <vt:lpstr>v_47_SMEOL</vt:lpstr>
      <vt:lpstr>v_47_SMg</vt:lpstr>
      <vt:lpstr>v_47_SN_B</vt:lpstr>
      <vt:lpstr>v_47_SN2</vt:lpstr>
      <vt:lpstr>v_47_SNHx</vt:lpstr>
      <vt:lpstr>v_47_SNOx</vt:lpstr>
      <vt:lpstr>v_47_SO2</vt:lpstr>
      <vt:lpstr>v_47_SORPswitch</vt:lpstr>
      <vt:lpstr>v_47_SP_B</vt:lpstr>
      <vt:lpstr>v_47_SPFOA</vt:lpstr>
      <vt:lpstr>v_47_SPFOS</vt:lpstr>
      <vt:lpstr>v_47_SPO4</vt:lpstr>
      <vt:lpstr>v_47_SU</vt:lpstr>
      <vt:lpstr>v_47_SVFA</vt:lpstr>
      <vt:lpstr>v_47_XACP</vt:lpstr>
      <vt:lpstr>v_47_XALGAE</vt:lpstr>
      <vt:lpstr>v_47_XAMETO</vt:lpstr>
      <vt:lpstr>v_47_XB</vt:lpstr>
      <vt:lpstr>v_47_XB_e</vt:lpstr>
      <vt:lpstr>v_47_XBSH</vt:lpstr>
      <vt:lpstr>v_47_XCaCO3</vt:lpstr>
      <vt:lpstr>v_47_XCASTO</vt:lpstr>
      <vt:lpstr>v_47_XE</vt:lpstr>
      <vt:lpstr>v_47_XE_ana</vt:lpstr>
      <vt:lpstr>v_47_XHAO_H</vt:lpstr>
      <vt:lpstr>v_47_XHAO_H_P</vt:lpstr>
      <vt:lpstr>v_47_XHAO_H_P_old</vt:lpstr>
      <vt:lpstr>v_47_XHAO_L</vt:lpstr>
      <vt:lpstr>v_47_XHAO_L_P</vt:lpstr>
      <vt:lpstr>v_47_XHAO_L_P_old</vt:lpstr>
      <vt:lpstr>v_47_XHAO_old</vt:lpstr>
      <vt:lpstr>v_47_XHFO_H</vt:lpstr>
      <vt:lpstr>v_47_XHFO_H_P</vt:lpstr>
      <vt:lpstr>v_47_XHFO_H_P_old</vt:lpstr>
      <vt:lpstr>v_47_XHFO_L</vt:lpstr>
      <vt:lpstr>v_47_XHFO_L_P</vt:lpstr>
      <vt:lpstr>v_47_XHFO_L_P_old</vt:lpstr>
      <vt:lpstr>v_47_XHFO_old</vt:lpstr>
      <vt:lpstr>v_47_XHMETO</vt:lpstr>
      <vt:lpstr>v_47_XINORG</vt:lpstr>
      <vt:lpstr>v_47_XMEOLO</vt:lpstr>
      <vt:lpstr>v_47_XN_B</vt:lpstr>
      <vt:lpstr>v_47_XN_Be</vt:lpstr>
      <vt:lpstr>v_47_XN_U</vt:lpstr>
      <vt:lpstr>v_47_XNITO</vt:lpstr>
      <vt:lpstr>v_47_XOHO</vt:lpstr>
      <vt:lpstr>v_47_XP_B</vt:lpstr>
      <vt:lpstr>v_47_XP_Be</vt:lpstr>
      <vt:lpstr>v_47_XP_U</vt:lpstr>
      <vt:lpstr>v_47_XPFOA</vt:lpstr>
      <vt:lpstr>v_47_XPFOS</vt:lpstr>
      <vt:lpstr>v_47_XPHA_GAO</vt:lpstr>
      <vt:lpstr>v_47_XPHA_PAO</vt:lpstr>
      <vt:lpstr>v_47_XPP</vt:lpstr>
      <vt:lpstr>v_47_XSTR</vt:lpstr>
      <vt:lpstr>v_47_XU</vt:lpstr>
      <vt:lpstr>v_47_XVivi</vt:lpstr>
      <vt:lpstr>v_48_CB</vt:lpstr>
      <vt:lpstr>v_48_CU</vt:lpstr>
      <vt:lpstr>v_48_GCH4</vt:lpstr>
      <vt:lpstr>v_48_GCH4_atm</vt:lpstr>
      <vt:lpstr>v_48_GCO2</vt:lpstr>
      <vt:lpstr>v_48_GCO2_atm</vt:lpstr>
      <vt:lpstr>v_48_GH2</vt:lpstr>
      <vt:lpstr>v_48_GH2_atm</vt:lpstr>
      <vt:lpstr>v_48_GN2</vt:lpstr>
      <vt:lpstr>v_48_GN2_atm</vt:lpstr>
      <vt:lpstr>v_48_GNH3</vt:lpstr>
      <vt:lpstr>v_48_GNH3_atm</vt:lpstr>
      <vt:lpstr>v_48_GO2</vt:lpstr>
      <vt:lpstr>v_48_GO2_atm</vt:lpstr>
      <vt:lpstr>v_48_SALPHA</vt:lpstr>
      <vt:lpstr>v_48_SAN</vt:lpstr>
      <vt:lpstr>v_48_SB</vt:lpstr>
      <vt:lpstr>v_48_SCa</vt:lpstr>
      <vt:lpstr>v_48_SCAT</vt:lpstr>
      <vt:lpstr>v_48_SCH4</vt:lpstr>
      <vt:lpstr>v_48_SCO2</vt:lpstr>
      <vt:lpstr>v_48_SFe2</vt:lpstr>
      <vt:lpstr>v_48_SH</vt:lpstr>
      <vt:lpstr>v_48_SH2</vt:lpstr>
      <vt:lpstr>v_48_SK</vt:lpstr>
      <vt:lpstr>v_48_SMEOL</vt:lpstr>
      <vt:lpstr>v_48_SMg</vt:lpstr>
      <vt:lpstr>v_48_SN_B</vt:lpstr>
      <vt:lpstr>v_48_SN2</vt:lpstr>
      <vt:lpstr>v_48_SNHx</vt:lpstr>
      <vt:lpstr>v_48_SNOx</vt:lpstr>
      <vt:lpstr>v_48_SO2</vt:lpstr>
      <vt:lpstr>v_48_SORPswitch</vt:lpstr>
      <vt:lpstr>v_48_SP_B</vt:lpstr>
      <vt:lpstr>v_48_SPFOA</vt:lpstr>
      <vt:lpstr>v_48_SPFOS</vt:lpstr>
      <vt:lpstr>v_48_SPO4</vt:lpstr>
      <vt:lpstr>v_48_SU</vt:lpstr>
      <vt:lpstr>v_48_SVFA</vt:lpstr>
      <vt:lpstr>v_48_XACP</vt:lpstr>
      <vt:lpstr>v_48_XALGAE</vt:lpstr>
      <vt:lpstr>v_48_XAMETO</vt:lpstr>
      <vt:lpstr>v_48_XB</vt:lpstr>
      <vt:lpstr>v_48_XB_e</vt:lpstr>
      <vt:lpstr>v_48_XBSH</vt:lpstr>
      <vt:lpstr>v_48_XCaCO3</vt:lpstr>
      <vt:lpstr>v_48_XCASTO</vt:lpstr>
      <vt:lpstr>v_48_XE</vt:lpstr>
      <vt:lpstr>v_48_XE_ana</vt:lpstr>
      <vt:lpstr>v_48_XHAO_H</vt:lpstr>
      <vt:lpstr>v_48_XHAO_H_P</vt:lpstr>
      <vt:lpstr>v_48_XHAO_H_P_old</vt:lpstr>
      <vt:lpstr>v_48_XHAO_L</vt:lpstr>
      <vt:lpstr>v_48_XHAO_L_P</vt:lpstr>
      <vt:lpstr>v_48_XHAO_L_P_old</vt:lpstr>
      <vt:lpstr>v_48_XHAO_old</vt:lpstr>
      <vt:lpstr>v_48_XHFO_H</vt:lpstr>
      <vt:lpstr>v_48_XHFO_H_P</vt:lpstr>
      <vt:lpstr>v_48_XHFO_H_P_old</vt:lpstr>
      <vt:lpstr>v_48_XHFO_L</vt:lpstr>
      <vt:lpstr>v_48_XHFO_L_P</vt:lpstr>
      <vt:lpstr>v_48_XHFO_L_P_old</vt:lpstr>
      <vt:lpstr>v_48_XHFO_old</vt:lpstr>
      <vt:lpstr>v_48_XHMETO</vt:lpstr>
      <vt:lpstr>v_48_XINORG</vt:lpstr>
      <vt:lpstr>v_48_XMEOLO</vt:lpstr>
      <vt:lpstr>v_48_XN_B</vt:lpstr>
      <vt:lpstr>v_48_XN_Be</vt:lpstr>
      <vt:lpstr>v_48_XN_U</vt:lpstr>
      <vt:lpstr>v_48_XNITO</vt:lpstr>
      <vt:lpstr>v_48_XOHO</vt:lpstr>
      <vt:lpstr>v_48_XP_B</vt:lpstr>
      <vt:lpstr>v_48_XP_Be</vt:lpstr>
      <vt:lpstr>v_48_XP_U</vt:lpstr>
      <vt:lpstr>v_48_XPFOA</vt:lpstr>
      <vt:lpstr>v_48_XPFOS</vt:lpstr>
      <vt:lpstr>v_48_XPHA_GAO</vt:lpstr>
      <vt:lpstr>v_48_XPHA_PAO</vt:lpstr>
      <vt:lpstr>v_48_XPP</vt:lpstr>
      <vt:lpstr>v_48_XSTR</vt:lpstr>
      <vt:lpstr>v_48_XU</vt:lpstr>
      <vt:lpstr>v_48_XVivi</vt:lpstr>
      <vt:lpstr>v_49_CB</vt:lpstr>
      <vt:lpstr>v_49_CU</vt:lpstr>
      <vt:lpstr>v_49_GCH4</vt:lpstr>
      <vt:lpstr>v_49_GCH4_atm</vt:lpstr>
      <vt:lpstr>v_49_GCO2</vt:lpstr>
      <vt:lpstr>v_49_GCO2_atm</vt:lpstr>
      <vt:lpstr>v_49_GH2</vt:lpstr>
      <vt:lpstr>v_49_GH2_atm</vt:lpstr>
      <vt:lpstr>v_49_GN2</vt:lpstr>
      <vt:lpstr>v_49_GN2_atm</vt:lpstr>
      <vt:lpstr>v_49_GNH3</vt:lpstr>
      <vt:lpstr>v_49_GNH3_atm</vt:lpstr>
      <vt:lpstr>v_49_GO2</vt:lpstr>
      <vt:lpstr>v_49_GO2_atm</vt:lpstr>
      <vt:lpstr>v_49_SALPHA</vt:lpstr>
      <vt:lpstr>v_49_SAN</vt:lpstr>
      <vt:lpstr>v_49_SB</vt:lpstr>
      <vt:lpstr>v_49_SCa</vt:lpstr>
      <vt:lpstr>v_49_SCAT</vt:lpstr>
      <vt:lpstr>v_49_SCH4</vt:lpstr>
      <vt:lpstr>v_49_SCO2</vt:lpstr>
      <vt:lpstr>v_49_SFe2</vt:lpstr>
      <vt:lpstr>v_49_SH</vt:lpstr>
      <vt:lpstr>v_49_SH2</vt:lpstr>
      <vt:lpstr>v_49_SK</vt:lpstr>
      <vt:lpstr>v_49_SMEOL</vt:lpstr>
      <vt:lpstr>v_49_SMg</vt:lpstr>
      <vt:lpstr>v_49_SN_B</vt:lpstr>
      <vt:lpstr>v_49_SN2</vt:lpstr>
      <vt:lpstr>v_49_SNHx</vt:lpstr>
      <vt:lpstr>v_49_SNOx</vt:lpstr>
      <vt:lpstr>v_49_SO2</vt:lpstr>
      <vt:lpstr>v_49_SORPswitch</vt:lpstr>
      <vt:lpstr>v_49_SP_B</vt:lpstr>
      <vt:lpstr>v_49_SPFOA</vt:lpstr>
      <vt:lpstr>v_49_SPFOS</vt:lpstr>
      <vt:lpstr>v_49_SPO4</vt:lpstr>
      <vt:lpstr>v_49_SU</vt:lpstr>
      <vt:lpstr>v_49_SVFA</vt:lpstr>
      <vt:lpstr>v_49_XACP</vt:lpstr>
      <vt:lpstr>v_49_XALGAE</vt:lpstr>
      <vt:lpstr>v_49_XAMETO</vt:lpstr>
      <vt:lpstr>v_49_XB</vt:lpstr>
      <vt:lpstr>v_49_XB_e</vt:lpstr>
      <vt:lpstr>v_49_XBSH</vt:lpstr>
      <vt:lpstr>v_49_XCaCO3</vt:lpstr>
      <vt:lpstr>v_49_XCASTO</vt:lpstr>
      <vt:lpstr>v_49_XE</vt:lpstr>
      <vt:lpstr>v_49_XE_ana</vt:lpstr>
      <vt:lpstr>v_49_XHAO_H</vt:lpstr>
      <vt:lpstr>v_49_XHAO_H_P</vt:lpstr>
      <vt:lpstr>v_49_XHAO_H_P_old</vt:lpstr>
      <vt:lpstr>v_49_XHAO_L</vt:lpstr>
      <vt:lpstr>v_49_XHAO_L_P</vt:lpstr>
      <vt:lpstr>v_49_XHAO_L_P_old</vt:lpstr>
      <vt:lpstr>v_49_XHAO_old</vt:lpstr>
      <vt:lpstr>v_49_XHFO_H</vt:lpstr>
      <vt:lpstr>v_49_XHFO_H_P</vt:lpstr>
      <vt:lpstr>v_49_XHFO_H_P_old</vt:lpstr>
      <vt:lpstr>v_49_XHFO_L</vt:lpstr>
      <vt:lpstr>v_49_XHFO_L_P</vt:lpstr>
      <vt:lpstr>v_49_XHFO_L_P_old</vt:lpstr>
      <vt:lpstr>v_49_XHFO_old</vt:lpstr>
      <vt:lpstr>v_49_XHMETO</vt:lpstr>
      <vt:lpstr>v_49_XINORG</vt:lpstr>
      <vt:lpstr>v_49_XMEOLO</vt:lpstr>
      <vt:lpstr>v_49_XN_B</vt:lpstr>
      <vt:lpstr>v_49_XN_Be</vt:lpstr>
      <vt:lpstr>v_49_XN_U</vt:lpstr>
      <vt:lpstr>v_49_XNITO</vt:lpstr>
      <vt:lpstr>v_49_XOHO</vt:lpstr>
      <vt:lpstr>v_49_XP_B</vt:lpstr>
      <vt:lpstr>v_49_XP_Be</vt:lpstr>
      <vt:lpstr>v_49_XP_U</vt:lpstr>
      <vt:lpstr>v_49_XPFOA</vt:lpstr>
      <vt:lpstr>v_49_XPFOS</vt:lpstr>
      <vt:lpstr>v_49_XPHA_GAO</vt:lpstr>
      <vt:lpstr>v_49_XPHA_PAO</vt:lpstr>
      <vt:lpstr>v_49_XPP</vt:lpstr>
      <vt:lpstr>v_49_XSTR</vt:lpstr>
      <vt:lpstr>v_49_XU</vt:lpstr>
      <vt:lpstr>v_49_XVivi</vt:lpstr>
      <vt:lpstr>v_5_CB</vt:lpstr>
      <vt:lpstr>v_5_CU</vt:lpstr>
      <vt:lpstr>v_5_GCH4</vt:lpstr>
      <vt:lpstr>v_5_GCH4_atm</vt:lpstr>
      <vt:lpstr>v_5_GCO2</vt:lpstr>
      <vt:lpstr>v_5_GCO2_atm</vt:lpstr>
      <vt:lpstr>v_5_GH2</vt:lpstr>
      <vt:lpstr>v_5_GH2_atm</vt:lpstr>
      <vt:lpstr>v_5_GN2</vt:lpstr>
      <vt:lpstr>v_5_GN2_atm</vt:lpstr>
      <vt:lpstr>v_5_GNH3</vt:lpstr>
      <vt:lpstr>v_5_GNH3_atm</vt:lpstr>
      <vt:lpstr>v_5_GO2</vt:lpstr>
      <vt:lpstr>v_5_GO2_atm</vt:lpstr>
      <vt:lpstr>v_5_SALPHA</vt:lpstr>
      <vt:lpstr>v_5_SAN</vt:lpstr>
      <vt:lpstr>v_5_SB</vt:lpstr>
      <vt:lpstr>v_5_SCa</vt:lpstr>
      <vt:lpstr>v_5_SCAT</vt:lpstr>
      <vt:lpstr>v_5_SCH4</vt:lpstr>
      <vt:lpstr>v_5_SCO2</vt:lpstr>
      <vt:lpstr>v_5_SFe2</vt:lpstr>
      <vt:lpstr>v_5_SH</vt:lpstr>
      <vt:lpstr>v_5_SH2</vt:lpstr>
      <vt:lpstr>v_5_SK</vt:lpstr>
      <vt:lpstr>v_5_SMEOL</vt:lpstr>
      <vt:lpstr>v_5_SMg</vt:lpstr>
      <vt:lpstr>v_5_SN_B</vt:lpstr>
      <vt:lpstr>v_5_SN2</vt:lpstr>
      <vt:lpstr>v_5_SNHx</vt:lpstr>
      <vt:lpstr>v_5_SNOx</vt:lpstr>
      <vt:lpstr>v_5_SO2</vt:lpstr>
      <vt:lpstr>v_5_SORPswitch</vt:lpstr>
      <vt:lpstr>v_5_SP_B</vt:lpstr>
      <vt:lpstr>v_5_SPFOA</vt:lpstr>
      <vt:lpstr>v_5_SPFOS</vt:lpstr>
      <vt:lpstr>v_5_SPO4</vt:lpstr>
      <vt:lpstr>v_5_SU</vt:lpstr>
      <vt:lpstr>v_5_SVFA</vt:lpstr>
      <vt:lpstr>v_5_XACP</vt:lpstr>
      <vt:lpstr>v_5_XALGAE</vt:lpstr>
      <vt:lpstr>v_5_XAMETO</vt:lpstr>
      <vt:lpstr>v_5_XB</vt:lpstr>
      <vt:lpstr>v_5_XB_e</vt:lpstr>
      <vt:lpstr>v_5_XBSH</vt:lpstr>
      <vt:lpstr>v_5_XCaCO3</vt:lpstr>
      <vt:lpstr>v_5_XCASTO</vt:lpstr>
      <vt:lpstr>v_5_XE</vt:lpstr>
      <vt:lpstr>v_5_XE_ana</vt:lpstr>
      <vt:lpstr>v_5_XHAO_H</vt:lpstr>
      <vt:lpstr>v_5_XHAO_H_P</vt:lpstr>
      <vt:lpstr>v_5_XHAO_H_P_old</vt:lpstr>
      <vt:lpstr>v_5_XHAO_L</vt:lpstr>
      <vt:lpstr>v_5_XHAO_L_P</vt:lpstr>
      <vt:lpstr>v_5_XHAO_L_P_old</vt:lpstr>
      <vt:lpstr>v_5_XHAO_old</vt:lpstr>
      <vt:lpstr>v_5_XHFO_H</vt:lpstr>
      <vt:lpstr>v_5_XHFO_H_P</vt:lpstr>
      <vt:lpstr>v_5_XHFO_H_P_old</vt:lpstr>
      <vt:lpstr>v_5_XHFO_L</vt:lpstr>
      <vt:lpstr>v_5_XHFO_L_P</vt:lpstr>
      <vt:lpstr>v_5_XHFO_L_P_old</vt:lpstr>
      <vt:lpstr>v_5_XHFO_old</vt:lpstr>
      <vt:lpstr>v_5_XHMETO</vt:lpstr>
      <vt:lpstr>v_5_XINORG</vt:lpstr>
      <vt:lpstr>v_5_XMEOLO</vt:lpstr>
      <vt:lpstr>v_5_XN_B</vt:lpstr>
      <vt:lpstr>v_5_XN_Be</vt:lpstr>
      <vt:lpstr>v_5_XN_U</vt:lpstr>
      <vt:lpstr>v_5_XNITO</vt:lpstr>
      <vt:lpstr>v_5_XOHO</vt:lpstr>
      <vt:lpstr>v_5_XP_B</vt:lpstr>
      <vt:lpstr>v_5_XP_Be</vt:lpstr>
      <vt:lpstr>v_5_XP_U</vt:lpstr>
      <vt:lpstr>v_5_XPFOA</vt:lpstr>
      <vt:lpstr>v_5_XPFOS</vt:lpstr>
      <vt:lpstr>v_5_XPHA_GAO</vt:lpstr>
      <vt:lpstr>v_5_XPHA_PAO</vt:lpstr>
      <vt:lpstr>v_5_XPP</vt:lpstr>
      <vt:lpstr>v_5_XSTR</vt:lpstr>
      <vt:lpstr>v_5_XU</vt:lpstr>
      <vt:lpstr>v_5_XVivi</vt:lpstr>
      <vt:lpstr>v_50_CB</vt:lpstr>
      <vt:lpstr>v_50_CU</vt:lpstr>
      <vt:lpstr>v_50_GCH4</vt:lpstr>
      <vt:lpstr>v_50_GCH4_atm</vt:lpstr>
      <vt:lpstr>v_50_GCO2</vt:lpstr>
      <vt:lpstr>v_50_GCO2_atm</vt:lpstr>
      <vt:lpstr>v_50_GH2</vt:lpstr>
      <vt:lpstr>v_50_GH2_atm</vt:lpstr>
      <vt:lpstr>v_50_GN2</vt:lpstr>
      <vt:lpstr>v_50_GN2_atm</vt:lpstr>
      <vt:lpstr>v_50_GNH3</vt:lpstr>
      <vt:lpstr>v_50_GNH3_atm</vt:lpstr>
      <vt:lpstr>v_50_GO2</vt:lpstr>
      <vt:lpstr>v_50_GO2_atm</vt:lpstr>
      <vt:lpstr>v_50_SALPHA</vt:lpstr>
      <vt:lpstr>v_50_SAN</vt:lpstr>
      <vt:lpstr>v_50_SB</vt:lpstr>
      <vt:lpstr>v_50_SCa</vt:lpstr>
      <vt:lpstr>v_50_SCAT</vt:lpstr>
      <vt:lpstr>v_50_SCH4</vt:lpstr>
      <vt:lpstr>v_50_SCO2</vt:lpstr>
      <vt:lpstr>v_50_SFe2</vt:lpstr>
      <vt:lpstr>v_50_SH</vt:lpstr>
      <vt:lpstr>v_50_SH2</vt:lpstr>
      <vt:lpstr>v_50_SK</vt:lpstr>
      <vt:lpstr>v_50_SMEOL</vt:lpstr>
      <vt:lpstr>v_50_SMg</vt:lpstr>
      <vt:lpstr>v_50_SN_B</vt:lpstr>
      <vt:lpstr>v_50_SN2</vt:lpstr>
      <vt:lpstr>v_50_SNHx</vt:lpstr>
      <vt:lpstr>v_50_SNOx</vt:lpstr>
      <vt:lpstr>v_50_SO2</vt:lpstr>
      <vt:lpstr>v_50_SORPswitch</vt:lpstr>
      <vt:lpstr>v_50_SP_B</vt:lpstr>
      <vt:lpstr>v_50_SPFOA</vt:lpstr>
      <vt:lpstr>v_50_SPFOS</vt:lpstr>
      <vt:lpstr>v_50_SPO4</vt:lpstr>
      <vt:lpstr>v_50_SU</vt:lpstr>
      <vt:lpstr>v_50_SVFA</vt:lpstr>
      <vt:lpstr>v_50_XACP</vt:lpstr>
      <vt:lpstr>v_50_XALGAE</vt:lpstr>
      <vt:lpstr>v_50_XAMETO</vt:lpstr>
      <vt:lpstr>v_50_XB</vt:lpstr>
      <vt:lpstr>v_50_XB_e</vt:lpstr>
      <vt:lpstr>v_50_XBSH</vt:lpstr>
      <vt:lpstr>v_50_XCaCO3</vt:lpstr>
      <vt:lpstr>v_50_XCASTO</vt:lpstr>
      <vt:lpstr>v_50_XE</vt:lpstr>
      <vt:lpstr>v_50_XE_ana</vt:lpstr>
      <vt:lpstr>v_50_XHAO_H</vt:lpstr>
      <vt:lpstr>v_50_XHAO_H_P</vt:lpstr>
      <vt:lpstr>v_50_XHAO_H_P_old</vt:lpstr>
      <vt:lpstr>v_50_XHAO_L</vt:lpstr>
      <vt:lpstr>v_50_XHAO_L_P</vt:lpstr>
      <vt:lpstr>v_50_XHAO_L_P_old</vt:lpstr>
      <vt:lpstr>v_50_XHAO_old</vt:lpstr>
      <vt:lpstr>v_50_XHFO_H</vt:lpstr>
      <vt:lpstr>v_50_XHFO_H_P</vt:lpstr>
      <vt:lpstr>v_50_XHFO_H_P_old</vt:lpstr>
      <vt:lpstr>v_50_XHFO_L</vt:lpstr>
      <vt:lpstr>v_50_XHFO_L_P</vt:lpstr>
      <vt:lpstr>v_50_XHFO_L_P_old</vt:lpstr>
      <vt:lpstr>v_50_XHFO_old</vt:lpstr>
      <vt:lpstr>v_50_XHMETO</vt:lpstr>
      <vt:lpstr>v_50_XINORG</vt:lpstr>
      <vt:lpstr>v_50_XMEOLO</vt:lpstr>
      <vt:lpstr>v_50_XN_B</vt:lpstr>
      <vt:lpstr>v_50_XN_Be</vt:lpstr>
      <vt:lpstr>v_50_XN_U</vt:lpstr>
      <vt:lpstr>v_50_XNITO</vt:lpstr>
      <vt:lpstr>v_50_XOHO</vt:lpstr>
      <vt:lpstr>v_50_XP_B</vt:lpstr>
      <vt:lpstr>v_50_XP_Be</vt:lpstr>
      <vt:lpstr>v_50_XP_U</vt:lpstr>
      <vt:lpstr>v_50_XPFOA</vt:lpstr>
      <vt:lpstr>v_50_XPFOS</vt:lpstr>
      <vt:lpstr>v_50_XPHA_GAO</vt:lpstr>
      <vt:lpstr>v_50_XPHA_PAO</vt:lpstr>
      <vt:lpstr>v_50_XPP</vt:lpstr>
      <vt:lpstr>v_50_XSTR</vt:lpstr>
      <vt:lpstr>v_50_XU</vt:lpstr>
      <vt:lpstr>v_50_XVivi</vt:lpstr>
      <vt:lpstr>v_51_CB</vt:lpstr>
      <vt:lpstr>v_51_CU</vt:lpstr>
      <vt:lpstr>v_51_GCH4</vt:lpstr>
      <vt:lpstr>v_51_GCH4_atm</vt:lpstr>
      <vt:lpstr>v_51_GCO2</vt:lpstr>
      <vt:lpstr>v_51_GCO2_atm</vt:lpstr>
      <vt:lpstr>v_51_GH2</vt:lpstr>
      <vt:lpstr>v_51_GH2_atm</vt:lpstr>
      <vt:lpstr>v_51_GN2</vt:lpstr>
      <vt:lpstr>v_51_GN2_atm</vt:lpstr>
      <vt:lpstr>v_51_GNH3</vt:lpstr>
      <vt:lpstr>v_51_GNH3_atm</vt:lpstr>
      <vt:lpstr>v_51_GO2</vt:lpstr>
      <vt:lpstr>v_51_GO2_atm</vt:lpstr>
      <vt:lpstr>v_51_SALPHA</vt:lpstr>
      <vt:lpstr>v_51_SAN</vt:lpstr>
      <vt:lpstr>v_51_SB</vt:lpstr>
      <vt:lpstr>v_51_SCa</vt:lpstr>
      <vt:lpstr>v_51_SCAT</vt:lpstr>
      <vt:lpstr>v_51_SCH4</vt:lpstr>
      <vt:lpstr>v_51_SCO2</vt:lpstr>
      <vt:lpstr>v_51_SFe2</vt:lpstr>
      <vt:lpstr>v_51_SH</vt:lpstr>
      <vt:lpstr>v_51_SH2</vt:lpstr>
      <vt:lpstr>v_51_SK</vt:lpstr>
      <vt:lpstr>v_51_SMEOL</vt:lpstr>
      <vt:lpstr>v_51_SMg</vt:lpstr>
      <vt:lpstr>v_51_SN_B</vt:lpstr>
      <vt:lpstr>v_51_SN2</vt:lpstr>
      <vt:lpstr>v_51_SNHx</vt:lpstr>
      <vt:lpstr>v_51_SNOx</vt:lpstr>
      <vt:lpstr>v_51_SO2</vt:lpstr>
      <vt:lpstr>v_51_SORPswitch</vt:lpstr>
      <vt:lpstr>v_51_SP_B</vt:lpstr>
      <vt:lpstr>v_51_SPFOA</vt:lpstr>
      <vt:lpstr>v_51_SPFOS</vt:lpstr>
      <vt:lpstr>v_51_SPO4</vt:lpstr>
      <vt:lpstr>v_51_SU</vt:lpstr>
      <vt:lpstr>v_51_SVFA</vt:lpstr>
      <vt:lpstr>v_51_XACP</vt:lpstr>
      <vt:lpstr>v_51_XALGAE</vt:lpstr>
      <vt:lpstr>v_51_XAMETO</vt:lpstr>
      <vt:lpstr>v_51_XB</vt:lpstr>
      <vt:lpstr>v_51_XB_e</vt:lpstr>
      <vt:lpstr>v_51_XBSH</vt:lpstr>
      <vt:lpstr>v_51_XCaCO3</vt:lpstr>
      <vt:lpstr>v_51_XCASTO</vt:lpstr>
      <vt:lpstr>v_51_XE</vt:lpstr>
      <vt:lpstr>v_51_XE_ana</vt:lpstr>
      <vt:lpstr>v_51_XHAO_H</vt:lpstr>
      <vt:lpstr>v_51_XHAO_H_P</vt:lpstr>
      <vt:lpstr>v_51_XHAO_H_P_old</vt:lpstr>
      <vt:lpstr>v_51_XHAO_L</vt:lpstr>
      <vt:lpstr>v_51_XHAO_L_P</vt:lpstr>
      <vt:lpstr>v_51_XHAO_L_P_old</vt:lpstr>
      <vt:lpstr>v_51_XHAO_old</vt:lpstr>
      <vt:lpstr>v_51_XHFO_H</vt:lpstr>
      <vt:lpstr>v_51_XHFO_H_P</vt:lpstr>
      <vt:lpstr>v_51_XHFO_H_P_old</vt:lpstr>
      <vt:lpstr>v_51_XHFO_L</vt:lpstr>
      <vt:lpstr>v_51_XHFO_L_P</vt:lpstr>
      <vt:lpstr>v_51_XHFO_L_P_old</vt:lpstr>
      <vt:lpstr>v_51_XHFO_old</vt:lpstr>
      <vt:lpstr>v_51_XHMETO</vt:lpstr>
      <vt:lpstr>v_51_XINORG</vt:lpstr>
      <vt:lpstr>v_51_XMEOLO</vt:lpstr>
      <vt:lpstr>v_51_XN_B</vt:lpstr>
      <vt:lpstr>v_51_XN_Be</vt:lpstr>
      <vt:lpstr>v_51_XN_U</vt:lpstr>
      <vt:lpstr>v_51_XNITO</vt:lpstr>
      <vt:lpstr>v_51_XOHO</vt:lpstr>
      <vt:lpstr>v_51_XP_B</vt:lpstr>
      <vt:lpstr>v_51_XP_Be</vt:lpstr>
      <vt:lpstr>v_51_XP_U</vt:lpstr>
      <vt:lpstr>v_51_XPFOA</vt:lpstr>
      <vt:lpstr>v_51_XPFOS</vt:lpstr>
      <vt:lpstr>v_51_XPHA_GAO</vt:lpstr>
      <vt:lpstr>v_51_XPHA_PAO</vt:lpstr>
      <vt:lpstr>v_51_XPP</vt:lpstr>
      <vt:lpstr>v_51_XSTR</vt:lpstr>
      <vt:lpstr>v_51_XU</vt:lpstr>
      <vt:lpstr>v_51_XVivi</vt:lpstr>
      <vt:lpstr>v_52_CB</vt:lpstr>
      <vt:lpstr>v_52_CU</vt:lpstr>
      <vt:lpstr>v_52_GCH4</vt:lpstr>
      <vt:lpstr>v_52_GCH4_atm</vt:lpstr>
      <vt:lpstr>v_52_GCO2</vt:lpstr>
      <vt:lpstr>v_52_GCO2_atm</vt:lpstr>
      <vt:lpstr>v_52_GH2</vt:lpstr>
      <vt:lpstr>v_52_GH2_atm</vt:lpstr>
      <vt:lpstr>v_52_GN2</vt:lpstr>
      <vt:lpstr>v_52_GN2_atm</vt:lpstr>
      <vt:lpstr>v_52_GNH3</vt:lpstr>
      <vt:lpstr>v_52_GNH3_atm</vt:lpstr>
      <vt:lpstr>v_52_GO2</vt:lpstr>
      <vt:lpstr>v_52_GO2_atm</vt:lpstr>
      <vt:lpstr>v_52_SALPHA</vt:lpstr>
      <vt:lpstr>v_52_SAN</vt:lpstr>
      <vt:lpstr>v_52_SB</vt:lpstr>
      <vt:lpstr>v_52_SCa</vt:lpstr>
      <vt:lpstr>v_52_SCAT</vt:lpstr>
      <vt:lpstr>v_52_SCH4</vt:lpstr>
      <vt:lpstr>v_52_SCO2</vt:lpstr>
      <vt:lpstr>v_52_SFe2</vt:lpstr>
      <vt:lpstr>v_52_SH</vt:lpstr>
      <vt:lpstr>v_52_SH2</vt:lpstr>
      <vt:lpstr>v_52_SK</vt:lpstr>
      <vt:lpstr>v_52_SMEOL</vt:lpstr>
      <vt:lpstr>v_52_SMg</vt:lpstr>
      <vt:lpstr>v_52_SN_B</vt:lpstr>
      <vt:lpstr>v_52_SN2</vt:lpstr>
      <vt:lpstr>v_52_SNHx</vt:lpstr>
      <vt:lpstr>v_52_SNOx</vt:lpstr>
      <vt:lpstr>v_52_SO2</vt:lpstr>
      <vt:lpstr>v_52_SORPswitch</vt:lpstr>
      <vt:lpstr>v_52_SP_B</vt:lpstr>
      <vt:lpstr>v_52_SPFOA</vt:lpstr>
      <vt:lpstr>v_52_SPFOS</vt:lpstr>
      <vt:lpstr>v_52_SPO4</vt:lpstr>
      <vt:lpstr>v_52_SU</vt:lpstr>
      <vt:lpstr>v_52_SVFA</vt:lpstr>
      <vt:lpstr>v_52_XACP</vt:lpstr>
      <vt:lpstr>v_52_XALGAE</vt:lpstr>
      <vt:lpstr>v_52_XAMETO</vt:lpstr>
      <vt:lpstr>v_52_XB</vt:lpstr>
      <vt:lpstr>v_52_XB_e</vt:lpstr>
      <vt:lpstr>v_52_XBSH</vt:lpstr>
      <vt:lpstr>v_52_XCaCO3</vt:lpstr>
      <vt:lpstr>v_52_XCASTO</vt:lpstr>
      <vt:lpstr>v_52_XE</vt:lpstr>
      <vt:lpstr>v_52_XE_ana</vt:lpstr>
      <vt:lpstr>v_52_XHAO_H</vt:lpstr>
      <vt:lpstr>v_52_XHAO_H_P</vt:lpstr>
      <vt:lpstr>v_52_XHAO_H_P_old</vt:lpstr>
      <vt:lpstr>v_52_XHAO_L</vt:lpstr>
      <vt:lpstr>v_52_XHAO_L_P</vt:lpstr>
      <vt:lpstr>v_52_XHAO_L_P_old</vt:lpstr>
      <vt:lpstr>v_52_XHAO_old</vt:lpstr>
      <vt:lpstr>v_52_XHFO_H</vt:lpstr>
      <vt:lpstr>v_52_XHFO_H_P</vt:lpstr>
      <vt:lpstr>v_52_XHFO_H_P_old</vt:lpstr>
      <vt:lpstr>v_52_XHFO_L</vt:lpstr>
      <vt:lpstr>v_52_XHFO_L_P</vt:lpstr>
      <vt:lpstr>v_52_XHFO_L_P_old</vt:lpstr>
      <vt:lpstr>v_52_XHFO_old</vt:lpstr>
      <vt:lpstr>v_52_XHMETO</vt:lpstr>
      <vt:lpstr>v_52_XINORG</vt:lpstr>
      <vt:lpstr>v_52_XMEOLO</vt:lpstr>
      <vt:lpstr>v_52_XN_B</vt:lpstr>
      <vt:lpstr>v_52_XN_Be</vt:lpstr>
      <vt:lpstr>v_52_XN_U</vt:lpstr>
      <vt:lpstr>v_52_XNITO</vt:lpstr>
      <vt:lpstr>v_52_XOHO</vt:lpstr>
      <vt:lpstr>v_52_XP_B</vt:lpstr>
      <vt:lpstr>v_52_XP_Be</vt:lpstr>
      <vt:lpstr>v_52_XP_U</vt:lpstr>
      <vt:lpstr>v_52_XPFOA</vt:lpstr>
      <vt:lpstr>v_52_XPFOS</vt:lpstr>
      <vt:lpstr>v_52_XPHA_GAO</vt:lpstr>
      <vt:lpstr>v_52_XPHA_PAO</vt:lpstr>
      <vt:lpstr>v_52_XPP</vt:lpstr>
      <vt:lpstr>v_52_XSTR</vt:lpstr>
      <vt:lpstr>v_52_XU</vt:lpstr>
      <vt:lpstr>v_52_XVivi</vt:lpstr>
      <vt:lpstr>v_53_CB</vt:lpstr>
      <vt:lpstr>v_53_CU</vt:lpstr>
      <vt:lpstr>v_53_GCH4</vt:lpstr>
      <vt:lpstr>v_53_GCH4_atm</vt:lpstr>
      <vt:lpstr>v_53_GCO2</vt:lpstr>
      <vt:lpstr>v_53_GCO2_atm</vt:lpstr>
      <vt:lpstr>v_53_GH2</vt:lpstr>
      <vt:lpstr>v_53_GH2_atm</vt:lpstr>
      <vt:lpstr>v_53_GN2</vt:lpstr>
      <vt:lpstr>v_53_GN2_atm</vt:lpstr>
      <vt:lpstr>v_53_GNH3</vt:lpstr>
      <vt:lpstr>v_53_GNH3_atm</vt:lpstr>
      <vt:lpstr>v_53_GO2</vt:lpstr>
      <vt:lpstr>v_53_GO2_atm</vt:lpstr>
      <vt:lpstr>v_53_SALPHA</vt:lpstr>
      <vt:lpstr>v_53_SAN</vt:lpstr>
      <vt:lpstr>v_53_SB</vt:lpstr>
      <vt:lpstr>v_53_SCa</vt:lpstr>
      <vt:lpstr>v_53_SCAT</vt:lpstr>
      <vt:lpstr>v_53_SCH4</vt:lpstr>
      <vt:lpstr>v_53_SCO2</vt:lpstr>
      <vt:lpstr>v_53_SFe2</vt:lpstr>
      <vt:lpstr>v_53_SH</vt:lpstr>
      <vt:lpstr>v_53_SH2</vt:lpstr>
      <vt:lpstr>v_53_SK</vt:lpstr>
      <vt:lpstr>v_53_SMEOL</vt:lpstr>
      <vt:lpstr>v_53_SMg</vt:lpstr>
      <vt:lpstr>v_53_SN_B</vt:lpstr>
      <vt:lpstr>v_53_SN2</vt:lpstr>
      <vt:lpstr>v_53_SNHx</vt:lpstr>
      <vt:lpstr>v_53_SNOx</vt:lpstr>
      <vt:lpstr>v_53_SO2</vt:lpstr>
      <vt:lpstr>v_53_SORPswitch</vt:lpstr>
      <vt:lpstr>v_53_SP_B</vt:lpstr>
      <vt:lpstr>v_53_SPFOA</vt:lpstr>
      <vt:lpstr>v_53_SPFOS</vt:lpstr>
      <vt:lpstr>v_53_SPO4</vt:lpstr>
      <vt:lpstr>v_53_SU</vt:lpstr>
      <vt:lpstr>v_53_SVFA</vt:lpstr>
      <vt:lpstr>v_53_XACP</vt:lpstr>
      <vt:lpstr>v_53_XALGAE</vt:lpstr>
      <vt:lpstr>v_53_XAMETO</vt:lpstr>
      <vt:lpstr>v_53_XB</vt:lpstr>
      <vt:lpstr>v_53_XB_e</vt:lpstr>
      <vt:lpstr>v_53_XBSH</vt:lpstr>
      <vt:lpstr>v_53_XCaCO3</vt:lpstr>
      <vt:lpstr>v_53_XCASTO</vt:lpstr>
      <vt:lpstr>v_53_XE</vt:lpstr>
      <vt:lpstr>v_53_XE_ana</vt:lpstr>
      <vt:lpstr>v_53_XHAO_H</vt:lpstr>
      <vt:lpstr>v_53_XHAO_H_P</vt:lpstr>
      <vt:lpstr>v_53_XHAO_H_P_old</vt:lpstr>
      <vt:lpstr>v_53_XHAO_L</vt:lpstr>
      <vt:lpstr>v_53_XHAO_L_P</vt:lpstr>
      <vt:lpstr>v_53_XHAO_L_P_old</vt:lpstr>
      <vt:lpstr>v_53_XHAO_old</vt:lpstr>
      <vt:lpstr>v_53_XHFO_H</vt:lpstr>
      <vt:lpstr>v_53_XHFO_H_P</vt:lpstr>
      <vt:lpstr>v_53_XHFO_H_P_old</vt:lpstr>
      <vt:lpstr>v_53_XHFO_L</vt:lpstr>
      <vt:lpstr>v_53_XHFO_L_P</vt:lpstr>
      <vt:lpstr>v_53_XHFO_L_P_old</vt:lpstr>
      <vt:lpstr>v_53_XHFO_old</vt:lpstr>
      <vt:lpstr>v_53_XHMETO</vt:lpstr>
      <vt:lpstr>v_53_XINORG</vt:lpstr>
      <vt:lpstr>v_53_XMEOLO</vt:lpstr>
      <vt:lpstr>v_53_XN_B</vt:lpstr>
      <vt:lpstr>v_53_XN_Be</vt:lpstr>
      <vt:lpstr>v_53_XN_U</vt:lpstr>
      <vt:lpstr>v_53_XNITO</vt:lpstr>
      <vt:lpstr>v_53_XOHO</vt:lpstr>
      <vt:lpstr>v_53_XP_B</vt:lpstr>
      <vt:lpstr>v_53_XP_Be</vt:lpstr>
      <vt:lpstr>v_53_XP_U</vt:lpstr>
      <vt:lpstr>v_53_XPFOA</vt:lpstr>
      <vt:lpstr>v_53_XPFOS</vt:lpstr>
      <vt:lpstr>v_53_XPHA_GAO</vt:lpstr>
      <vt:lpstr>v_53_XPHA_PAO</vt:lpstr>
      <vt:lpstr>v_53_XPP</vt:lpstr>
      <vt:lpstr>v_53_XSTR</vt:lpstr>
      <vt:lpstr>v_53_XU</vt:lpstr>
      <vt:lpstr>v_53_XVivi</vt:lpstr>
      <vt:lpstr>v_54_CB</vt:lpstr>
      <vt:lpstr>v_54_CU</vt:lpstr>
      <vt:lpstr>v_54_GCH4</vt:lpstr>
      <vt:lpstr>v_54_GCH4_atm</vt:lpstr>
      <vt:lpstr>v_54_GCO2</vt:lpstr>
      <vt:lpstr>v_54_GCO2_atm</vt:lpstr>
      <vt:lpstr>v_54_GH2</vt:lpstr>
      <vt:lpstr>v_54_GH2_atm</vt:lpstr>
      <vt:lpstr>v_54_GN2</vt:lpstr>
      <vt:lpstr>v_54_GN2_atm</vt:lpstr>
      <vt:lpstr>v_54_GNH3</vt:lpstr>
      <vt:lpstr>v_54_GNH3_atm</vt:lpstr>
      <vt:lpstr>v_54_GO2</vt:lpstr>
      <vt:lpstr>v_54_GO2_atm</vt:lpstr>
      <vt:lpstr>v_54_SALPHA</vt:lpstr>
      <vt:lpstr>v_54_SAN</vt:lpstr>
      <vt:lpstr>v_54_SB</vt:lpstr>
      <vt:lpstr>v_54_SCa</vt:lpstr>
      <vt:lpstr>v_54_SCAT</vt:lpstr>
      <vt:lpstr>v_54_SCH4</vt:lpstr>
      <vt:lpstr>v_54_SCO2</vt:lpstr>
      <vt:lpstr>v_54_SFe2</vt:lpstr>
      <vt:lpstr>v_54_SH</vt:lpstr>
      <vt:lpstr>v_54_SH2</vt:lpstr>
      <vt:lpstr>v_54_SK</vt:lpstr>
      <vt:lpstr>v_54_SMEOL</vt:lpstr>
      <vt:lpstr>v_54_SMg</vt:lpstr>
      <vt:lpstr>v_54_SN_B</vt:lpstr>
      <vt:lpstr>v_54_SN2</vt:lpstr>
      <vt:lpstr>v_54_SNHx</vt:lpstr>
      <vt:lpstr>v_54_SNOx</vt:lpstr>
      <vt:lpstr>v_54_SO2</vt:lpstr>
      <vt:lpstr>v_54_SORPswitch</vt:lpstr>
      <vt:lpstr>v_54_SP_B</vt:lpstr>
      <vt:lpstr>v_54_SPFOA</vt:lpstr>
      <vt:lpstr>v_54_SPFOS</vt:lpstr>
      <vt:lpstr>v_54_SPO4</vt:lpstr>
      <vt:lpstr>v_54_SU</vt:lpstr>
      <vt:lpstr>v_54_SVFA</vt:lpstr>
      <vt:lpstr>v_54_XACP</vt:lpstr>
      <vt:lpstr>v_54_XALGAE</vt:lpstr>
      <vt:lpstr>v_54_XAMETO</vt:lpstr>
      <vt:lpstr>v_54_XB</vt:lpstr>
      <vt:lpstr>v_54_XB_e</vt:lpstr>
      <vt:lpstr>v_54_XBSH</vt:lpstr>
      <vt:lpstr>v_54_XCaCO3</vt:lpstr>
      <vt:lpstr>v_54_XCASTO</vt:lpstr>
      <vt:lpstr>v_54_XE</vt:lpstr>
      <vt:lpstr>v_54_XE_ana</vt:lpstr>
      <vt:lpstr>v_54_XHAO_H</vt:lpstr>
      <vt:lpstr>v_54_XHAO_H_P</vt:lpstr>
      <vt:lpstr>v_54_XHAO_H_P_old</vt:lpstr>
      <vt:lpstr>v_54_XHAO_L</vt:lpstr>
      <vt:lpstr>v_54_XHAO_L_P</vt:lpstr>
      <vt:lpstr>v_54_XHAO_L_P_old</vt:lpstr>
      <vt:lpstr>v_54_XHAO_old</vt:lpstr>
      <vt:lpstr>v_54_XHFO_H</vt:lpstr>
      <vt:lpstr>v_54_XHFO_H_P</vt:lpstr>
      <vt:lpstr>v_54_XHFO_H_P_old</vt:lpstr>
      <vt:lpstr>v_54_XHFO_L</vt:lpstr>
      <vt:lpstr>v_54_XHFO_L_P</vt:lpstr>
      <vt:lpstr>v_54_XHFO_L_P_old</vt:lpstr>
      <vt:lpstr>v_54_XHFO_old</vt:lpstr>
      <vt:lpstr>v_54_XHMETO</vt:lpstr>
      <vt:lpstr>v_54_XINORG</vt:lpstr>
      <vt:lpstr>v_54_XMEOLO</vt:lpstr>
      <vt:lpstr>v_54_XN_B</vt:lpstr>
      <vt:lpstr>v_54_XN_Be</vt:lpstr>
      <vt:lpstr>v_54_XN_U</vt:lpstr>
      <vt:lpstr>v_54_XNITO</vt:lpstr>
      <vt:lpstr>v_54_XOHO</vt:lpstr>
      <vt:lpstr>v_54_XP_B</vt:lpstr>
      <vt:lpstr>v_54_XP_Be</vt:lpstr>
      <vt:lpstr>v_54_XP_U</vt:lpstr>
      <vt:lpstr>v_54_XPFOA</vt:lpstr>
      <vt:lpstr>v_54_XPFOS</vt:lpstr>
      <vt:lpstr>v_54_XPHA_GAO</vt:lpstr>
      <vt:lpstr>v_54_XPHA_PAO</vt:lpstr>
      <vt:lpstr>v_54_XPP</vt:lpstr>
      <vt:lpstr>v_54_XSTR</vt:lpstr>
      <vt:lpstr>v_54_XU</vt:lpstr>
      <vt:lpstr>v_54_XVivi</vt:lpstr>
      <vt:lpstr>v_55_CB</vt:lpstr>
      <vt:lpstr>v_55_CU</vt:lpstr>
      <vt:lpstr>v_55_GCH4</vt:lpstr>
      <vt:lpstr>v_55_GCH4_atm</vt:lpstr>
      <vt:lpstr>v_55_GCO2</vt:lpstr>
      <vt:lpstr>v_55_GCO2_atm</vt:lpstr>
      <vt:lpstr>v_55_GH2</vt:lpstr>
      <vt:lpstr>v_55_GH2_atm</vt:lpstr>
      <vt:lpstr>v_55_GN2</vt:lpstr>
      <vt:lpstr>v_55_GN2_atm</vt:lpstr>
      <vt:lpstr>v_55_GNH3</vt:lpstr>
      <vt:lpstr>v_55_GNH3_atm</vt:lpstr>
      <vt:lpstr>v_55_GO2</vt:lpstr>
      <vt:lpstr>v_55_GO2_atm</vt:lpstr>
      <vt:lpstr>v_55_SALPHA</vt:lpstr>
      <vt:lpstr>v_55_SAN</vt:lpstr>
      <vt:lpstr>v_55_SB</vt:lpstr>
      <vt:lpstr>v_55_SCa</vt:lpstr>
      <vt:lpstr>v_55_SCAT</vt:lpstr>
      <vt:lpstr>v_55_SCH4</vt:lpstr>
      <vt:lpstr>v_55_SCO2</vt:lpstr>
      <vt:lpstr>v_55_SFe2</vt:lpstr>
      <vt:lpstr>v_55_SH</vt:lpstr>
      <vt:lpstr>v_55_SH2</vt:lpstr>
      <vt:lpstr>v_55_SK</vt:lpstr>
      <vt:lpstr>v_55_SMEOL</vt:lpstr>
      <vt:lpstr>v_55_SMg</vt:lpstr>
      <vt:lpstr>v_55_SN_B</vt:lpstr>
      <vt:lpstr>v_55_SN2</vt:lpstr>
      <vt:lpstr>v_55_SNHx</vt:lpstr>
      <vt:lpstr>v_55_SNOx</vt:lpstr>
      <vt:lpstr>v_55_SO2</vt:lpstr>
      <vt:lpstr>v_55_SORPswitch</vt:lpstr>
      <vt:lpstr>v_55_SP_B</vt:lpstr>
      <vt:lpstr>v_55_SPFOA</vt:lpstr>
      <vt:lpstr>v_55_SPFOS</vt:lpstr>
      <vt:lpstr>v_55_SPO4</vt:lpstr>
      <vt:lpstr>v_55_SU</vt:lpstr>
      <vt:lpstr>v_55_SVFA</vt:lpstr>
      <vt:lpstr>v_55_XACP</vt:lpstr>
      <vt:lpstr>v_55_XALGAE</vt:lpstr>
      <vt:lpstr>v_55_XAMETO</vt:lpstr>
      <vt:lpstr>v_55_XB</vt:lpstr>
      <vt:lpstr>v_55_XB_e</vt:lpstr>
      <vt:lpstr>v_55_XBSH</vt:lpstr>
      <vt:lpstr>v_55_XCaCO3</vt:lpstr>
      <vt:lpstr>v_55_XCASTO</vt:lpstr>
      <vt:lpstr>v_55_XE</vt:lpstr>
      <vt:lpstr>v_55_XE_ana</vt:lpstr>
      <vt:lpstr>v_55_XHAO_H</vt:lpstr>
      <vt:lpstr>v_55_XHAO_H_P</vt:lpstr>
      <vt:lpstr>v_55_XHAO_H_P_old</vt:lpstr>
      <vt:lpstr>v_55_XHAO_L</vt:lpstr>
      <vt:lpstr>v_55_XHAO_L_P</vt:lpstr>
      <vt:lpstr>v_55_XHAO_L_P_old</vt:lpstr>
      <vt:lpstr>v_55_XHAO_old</vt:lpstr>
      <vt:lpstr>v_55_XHFO_H</vt:lpstr>
      <vt:lpstr>v_55_XHFO_H_P</vt:lpstr>
      <vt:lpstr>v_55_XHFO_H_P_old</vt:lpstr>
      <vt:lpstr>v_55_XHFO_L</vt:lpstr>
      <vt:lpstr>v_55_XHFO_L_P</vt:lpstr>
      <vt:lpstr>v_55_XHFO_L_P_old</vt:lpstr>
      <vt:lpstr>v_55_XHFO_old</vt:lpstr>
      <vt:lpstr>v_55_XHMETO</vt:lpstr>
      <vt:lpstr>v_55_XINORG</vt:lpstr>
      <vt:lpstr>v_55_XMEOLO</vt:lpstr>
      <vt:lpstr>v_55_XN_B</vt:lpstr>
      <vt:lpstr>v_55_XN_Be</vt:lpstr>
      <vt:lpstr>v_55_XN_U</vt:lpstr>
      <vt:lpstr>v_55_XNITO</vt:lpstr>
      <vt:lpstr>v_55_XOHO</vt:lpstr>
      <vt:lpstr>v_55_XP_B</vt:lpstr>
      <vt:lpstr>v_55_XP_Be</vt:lpstr>
      <vt:lpstr>v_55_XP_U</vt:lpstr>
      <vt:lpstr>v_55_XPFOA</vt:lpstr>
      <vt:lpstr>v_55_XPFOS</vt:lpstr>
      <vt:lpstr>v_55_XPHA_GAO</vt:lpstr>
      <vt:lpstr>v_55_XPHA_PAO</vt:lpstr>
      <vt:lpstr>v_55_XPP</vt:lpstr>
      <vt:lpstr>v_55_XSTR</vt:lpstr>
      <vt:lpstr>v_55_XU</vt:lpstr>
      <vt:lpstr>v_55_XVivi</vt:lpstr>
      <vt:lpstr>v_56_CB</vt:lpstr>
      <vt:lpstr>v_56_CU</vt:lpstr>
      <vt:lpstr>v_56_GCH4</vt:lpstr>
      <vt:lpstr>v_56_GCH4_atm</vt:lpstr>
      <vt:lpstr>v_56_GCO2</vt:lpstr>
      <vt:lpstr>v_56_GCO2_atm</vt:lpstr>
      <vt:lpstr>v_56_GH2</vt:lpstr>
      <vt:lpstr>v_56_GH2_atm</vt:lpstr>
      <vt:lpstr>v_56_GN2</vt:lpstr>
      <vt:lpstr>v_56_GN2_atm</vt:lpstr>
      <vt:lpstr>v_56_GNH3</vt:lpstr>
      <vt:lpstr>v_56_GNH3_atm</vt:lpstr>
      <vt:lpstr>v_56_GO2</vt:lpstr>
      <vt:lpstr>v_56_GO2_atm</vt:lpstr>
      <vt:lpstr>v_56_SALPHA</vt:lpstr>
      <vt:lpstr>v_56_SAN</vt:lpstr>
      <vt:lpstr>v_56_SB</vt:lpstr>
      <vt:lpstr>v_56_SCa</vt:lpstr>
      <vt:lpstr>v_56_SCAT</vt:lpstr>
      <vt:lpstr>v_56_SCH4</vt:lpstr>
      <vt:lpstr>v_56_SCO2</vt:lpstr>
      <vt:lpstr>v_56_SFe2</vt:lpstr>
      <vt:lpstr>v_56_SH</vt:lpstr>
      <vt:lpstr>v_56_SH2</vt:lpstr>
      <vt:lpstr>v_56_SK</vt:lpstr>
      <vt:lpstr>v_56_SMEOL</vt:lpstr>
      <vt:lpstr>v_56_SMg</vt:lpstr>
      <vt:lpstr>v_56_SN_B</vt:lpstr>
      <vt:lpstr>v_56_SN2</vt:lpstr>
      <vt:lpstr>v_56_SNHx</vt:lpstr>
      <vt:lpstr>v_56_SNOx</vt:lpstr>
      <vt:lpstr>v_56_SO2</vt:lpstr>
      <vt:lpstr>v_56_SORPswitch</vt:lpstr>
      <vt:lpstr>v_56_SP_B</vt:lpstr>
      <vt:lpstr>v_56_SPFOA</vt:lpstr>
      <vt:lpstr>v_56_SPFOS</vt:lpstr>
      <vt:lpstr>v_56_SPO4</vt:lpstr>
      <vt:lpstr>v_56_SU</vt:lpstr>
      <vt:lpstr>v_56_SVFA</vt:lpstr>
      <vt:lpstr>v_56_XACP</vt:lpstr>
      <vt:lpstr>v_56_XALGAE</vt:lpstr>
      <vt:lpstr>v_56_XAMETO</vt:lpstr>
      <vt:lpstr>v_56_XB</vt:lpstr>
      <vt:lpstr>v_56_XB_e</vt:lpstr>
      <vt:lpstr>v_56_XBSH</vt:lpstr>
      <vt:lpstr>v_56_XCaCO3</vt:lpstr>
      <vt:lpstr>v_56_XCASTO</vt:lpstr>
      <vt:lpstr>v_56_XE</vt:lpstr>
      <vt:lpstr>v_56_XE_ana</vt:lpstr>
      <vt:lpstr>v_56_XHAO_H</vt:lpstr>
      <vt:lpstr>v_56_XHAO_H_P</vt:lpstr>
      <vt:lpstr>v_56_XHAO_H_P_old</vt:lpstr>
      <vt:lpstr>v_56_XHAO_L</vt:lpstr>
      <vt:lpstr>v_56_XHAO_L_P</vt:lpstr>
      <vt:lpstr>v_56_XHAO_L_P_old</vt:lpstr>
      <vt:lpstr>v_56_XHAO_old</vt:lpstr>
      <vt:lpstr>v_56_XHFO_H</vt:lpstr>
      <vt:lpstr>v_56_XHFO_H_P</vt:lpstr>
      <vt:lpstr>v_56_XHFO_H_P_old</vt:lpstr>
      <vt:lpstr>v_56_XHFO_L</vt:lpstr>
      <vt:lpstr>v_56_XHFO_L_P</vt:lpstr>
      <vt:lpstr>v_56_XHFO_L_P_old</vt:lpstr>
      <vt:lpstr>v_56_XHFO_old</vt:lpstr>
      <vt:lpstr>v_56_XHMETO</vt:lpstr>
      <vt:lpstr>v_56_XINORG</vt:lpstr>
      <vt:lpstr>v_56_XMEOLO</vt:lpstr>
      <vt:lpstr>v_56_XN_B</vt:lpstr>
      <vt:lpstr>v_56_XN_Be</vt:lpstr>
      <vt:lpstr>v_56_XN_U</vt:lpstr>
      <vt:lpstr>v_56_XNITO</vt:lpstr>
      <vt:lpstr>v_56_XOHO</vt:lpstr>
      <vt:lpstr>v_56_XP_B</vt:lpstr>
      <vt:lpstr>v_56_XP_Be</vt:lpstr>
      <vt:lpstr>v_56_XP_U</vt:lpstr>
      <vt:lpstr>v_56_XPFOA</vt:lpstr>
      <vt:lpstr>v_56_XPFOS</vt:lpstr>
      <vt:lpstr>v_56_XPHA_GAO</vt:lpstr>
      <vt:lpstr>v_56_XPHA_PAO</vt:lpstr>
      <vt:lpstr>v_56_XPP</vt:lpstr>
      <vt:lpstr>v_56_XSTR</vt:lpstr>
      <vt:lpstr>v_56_XU</vt:lpstr>
      <vt:lpstr>v_56_XVivi</vt:lpstr>
      <vt:lpstr>v_57_CB</vt:lpstr>
      <vt:lpstr>v_57_CU</vt:lpstr>
      <vt:lpstr>v_57_GCH4</vt:lpstr>
      <vt:lpstr>v_57_GCH4_atm</vt:lpstr>
      <vt:lpstr>v_57_GCO2</vt:lpstr>
      <vt:lpstr>v_57_GCO2_atm</vt:lpstr>
      <vt:lpstr>v_57_GH2</vt:lpstr>
      <vt:lpstr>v_57_GH2_atm</vt:lpstr>
      <vt:lpstr>v_57_GN2</vt:lpstr>
      <vt:lpstr>v_57_GN2_atm</vt:lpstr>
      <vt:lpstr>v_57_GNH3</vt:lpstr>
      <vt:lpstr>v_57_GNH3_atm</vt:lpstr>
      <vt:lpstr>v_57_GO2</vt:lpstr>
      <vt:lpstr>v_57_GO2_atm</vt:lpstr>
      <vt:lpstr>v_57_SALPHA</vt:lpstr>
      <vt:lpstr>v_57_SAN</vt:lpstr>
      <vt:lpstr>v_57_SB</vt:lpstr>
      <vt:lpstr>v_57_SCa</vt:lpstr>
      <vt:lpstr>v_57_SCAT</vt:lpstr>
      <vt:lpstr>v_57_SCH4</vt:lpstr>
      <vt:lpstr>v_57_SCO2</vt:lpstr>
      <vt:lpstr>v_57_SFe2</vt:lpstr>
      <vt:lpstr>v_57_SH</vt:lpstr>
      <vt:lpstr>v_57_SH2</vt:lpstr>
      <vt:lpstr>v_57_SK</vt:lpstr>
      <vt:lpstr>v_57_SMEOL</vt:lpstr>
      <vt:lpstr>v_57_SMg</vt:lpstr>
      <vt:lpstr>v_57_SN_B</vt:lpstr>
      <vt:lpstr>v_57_SN2</vt:lpstr>
      <vt:lpstr>v_57_SNHx</vt:lpstr>
      <vt:lpstr>v_57_SNOx</vt:lpstr>
      <vt:lpstr>v_57_SO2</vt:lpstr>
      <vt:lpstr>v_57_SORPswitch</vt:lpstr>
      <vt:lpstr>v_57_SP_B</vt:lpstr>
      <vt:lpstr>v_57_SPFOA</vt:lpstr>
      <vt:lpstr>v_57_SPFOS</vt:lpstr>
      <vt:lpstr>v_57_SPO4</vt:lpstr>
      <vt:lpstr>v_57_SU</vt:lpstr>
      <vt:lpstr>v_57_SVFA</vt:lpstr>
      <vt:lpstr>v_57_XACP</vt:lpstr>
      <vt:lpstr>v_57_XALGAE</vt:lpstr>
      <vt:lpstr>v_57_XAMETO</vt:lpstr>
      <vt:lpstr>v_57_XB</vt:lpstr>
      <vt:lpstr>v_57_XB_e</vt:lpstr>
      <vt:lpstr>v_57_XBSH</vt:lpstr>
      <vt:lpstr>v_57_XCaCO3</vt:lpstr>
      <vt:lpstr>v_57_XCASTO</vt:lpstr>
      <vt:lpstr>v_57_XE</vt:lpstr>
      <vt:lpstr>v_57_XE_ana</vt:lpstr>
      <vt:lpstr>v_57_XHAO_H</vt:lpstr>
      <vt:lpstr>v_57_XHAO_H_P</vt:lpstr>
      <vt:lpstr>v_57_XHAO_H_P_old</vt:lpstr>
      <vt:lpstr>v_57_XHAO_L</vt:lpstr>
      <vt:lpstr>v_57_XHAO_L_P</vt:lpstr>
      <vt:lpstr>v_57_XHAO_L_P_old</vt:lpstr>
      <vt:lpstr>v_57_XHAO_old</vt:lpstr>
      <vt:lpstr>v_57_XHFO_H</vt:lpstr>
      <vt:lpstr>v_57_XHFO_H_P</vt:lpstr>
      <vt:lpstr>v_57_XHFO_H_P_old</vt:lpstr>
      <vt:lpstr>v_57_XHFO_L</vt:lpstr>
      <vt:lpstr>v_57_XHFO_L_P</vt:lpstr>
      <vt:lpstr>v_57_XHFO_L_P_old</vt:lpstr>
      <vt:lpstr>v_57_XHFO_old</vt:lpstr>
      <vt:lpstr>v_57_XHMETO</vt:lpstr>
      <vt:lpstr>v_57_XINORG</vt:lpstr>
      <vt:lpstr>v_57_XMEOLO</vt:lpstr>
      <vt:lpstr>v_57_XN_B</vt:lpstr>
      <vt:lpstr>v_57_XN_Be</vt:lpstr>
      <vt:lpstr>v_57_XN_U</vt:lpstr>
      <vt:lpstr>v_57_XNITO</vt:lpstr>
      <vt:lpstr>v_57_XOHO</vt:lpstr>
      <vt:lpstr>v_57_XP_B</vt:lpstr>
      <vt:lpstr>v_57_XP_Be</vt:lpstr>
      <vt:lpstr>v_57_XP_U</vt:lpstr>
      <vt:lpstr>v_57_XPFOA</vt:lpstr>
      <vt:lpstr>v_57_XPFOS</vt:lpstr>
      <vt:lpstr>v_57_XPHA_GAO</vt:lpstr>
      <vt:lpstr>v_57_XPHA_PAO</vt:lpstr>
      <vt:lpstr>v_57_XPP</vt:lpstr>
      <vt:lpstr>v_57_XSTR</vt:lpstr>
      <vt:lpstr>v_57_XU</vt:lpstr>
      <vt:lpstr>v_57_XVivi</vt:lpstr>
      <vt:lpstr>v_58_CB</vt:lpstr>
      <vt:lpstr>v_58_CU</vt:lpstr>
      <vt:lpstr>v_58_GCH4</vt:lpstr>
      <vt:lpstr>v_58_GCH4_atm</vt:lpstr>
      <vt:lpstr>v_58_GCO2</vt:lpstr>
      <vt:lpstr>v_58_GCO2_atm</vt:lpstr>
      <vt:lpstr>v_58_GH2</vt:lpstr>
      <vt:lpstr>v_58_GH2_atm</vt:lpstr>
      <vt:lpstr>v_58_GN2</vt:lpstr>
      <vt:lpstr>v_58_GN2_atm</vt:lpstr>
      <vt:lpstr>v_58_GNH3</vt:lpstr>
      <vt:lpstr>v_58_GNH3_atm</vt:lpstr>
      <vt:lpstr>v_58_GO2</vt:lpstr>
      <vt:lpstr>v_58_GO2_atm</vt:lpstr>
      <vt:lpstr>v_58_SALPHA</vt:lpstr>
      <vt:lpstr>v_58_SAN</vt:lpstr>
      <vt:lpstr>v_58_SB</vt:lpstr>
      <vt:lpstr>v_58_SCa</vt:lpstr>
      <vt:lpstr>v_58_SCAT</vt:lpstr>
      <vt:lpstr>v_58_SCH4</vt:lpstr>
      <vt:lpstr>v_58_SCO2</vt:lpstr>
      <vt:lpstr>v_58_SFe2</vt:lpstr>
      <vt:lpstr>v_58_SH</vt:lpstr>
      <vt:lpstr>v_58_SH2</vt:lpstr>
      <vt:lpstr>v_58_SK</vt:lpstr>
      <vt:lpstr>v_58_SMEOL</vt:lpstr>
      <vt:lpstr>v_58_SMg</vt:lpstr>
      <vt:lpstr>v_58_SN_B</vt:lpstr>
      <vt:lpstr>v_58_SN2</vt:lpstr>
      <vt:lpstr>v_58_SNHx</vt:lpstr>
      <vt:lpstr>v_58_SNOx</vt:lpstr>
      <vt:lpstr>v_58_SO2</vt:lpstr>
      <vt:lpstr>v_58_SORPswitch</vt:lpstr>
      <vt:lpstr>v_58_SP_B</vt:lpstr>
      <vt:lpstr>v_58_SPFOA</vt:lpstr>
      <vt:lpstr>v_58_SPFOS</vt:lpstr>
      <vt:lpstr>v_58_SPO4</vt:lpstr>
      <vt:lpstr>v_58_SU</vt:lpstr>
      <vt:lpstr>v_58_SVFA</vt:lpstr>
      <vt:lpstr>v_58_XACP</vt:lpstr>
      <vt:lpstr>v_58_XALGAE</vt:lpstr>
      <vt:lpstr>v_58_XAMETO</vt:lpstr>
      <vt:lpstr>v_58_XB</vt:lpstr>
      <vt:lpstr>v_58_XB_e</vt:lpstr>
      <vt:lpstr>v_58_XBSH</vt:lpstr>
      <vt:lpstr>v_58_XCaCO3</vt:lpstr>
      <vt:lpstr>v_58_XCASTO</vt:lpstr>
      <vt:lpstr>v_58_XE</vt:lpstr>
      <vt:lpstr>v_58_XE_ana</vt:lpstr>
      <vt:lpstr>v_58_XHAO_H</vt:lpstr>
      <vt:lpstr>v_58_XHAO_H_P</vt:lpstr>
      <vt:lpstr>v_58_XHAO_H_P_old</vt:lpstr>
      <vt:lpstr>v_58_XHAO_L</vt:lpstr>
      <vt:lpstr>v_58_XHAO_L_P</vt:lpstr>
      <vt:lpstr>v_58_XHAO_L_P_old</vt:lpstr>
      <vt:lpstr>v_58_XHAO_old</vt:lpstr>
      <vt:lpstr>v_58_XHFO_H</vt:lpstr>
      <vt:lpstr>v_58_XHFO_H_P</vt:lpstr>
      <vt:lpstr>v_58_XHFO_H_P_old</vt:lpstr>
      <vt:lpstr>v_58_XHFO_L</vt:lpstr>
      <vt:lpstr>v_58_XHFO_L_P</vt:lpstr>
      <vt:lpstr>v_58_XHFO_L_P_old</vt:lpstr>
      <vt:lpstr>v_58_XHFO_old</vt:lpstr>
      <vt:lpstr>v_58_XHMETO</vt:lpstr>
      <vt:lpstr>v_58_XINORG</vt:lpstr>
      <vt:lpstr>v_58_XMEOLO</vt:lpstr>
      <vt:lpstr>v_58_XN_B</vt:lpstr>
      <vt:lpstr>v_58_XN_Be</vt:lpstr>
      <vt:lpstr>v_58_XN_U</vt:lpstr>
      <vt:lpstr>v_58_XNITO</vt:lpstr>
      <vt:lpstr>v_58_XOHO</vt:lpstr>
      <vt:lpstr>v_58_XP_B</vt:lpstr>
      <vt:lpstr>v_58_XP_Be</vt:lpstr>
      <vt:lpstr>v_58_XP_U</vt:lpstr>
      <vt:lpstr>v_58_XPFOA</vt:lpstr>
      <vt:lpstr>v_58_XPFOS</vt:lpstr>
      <vt:lpstr>v_58_XPHA_GAO</vt:lpstr>
      <vt:lpstr>v_58_XPHA_PAO</vt:lpstr>
      <vt:lpstr>v_58_XPP</vt:lpstr>
      <vt:lpstr>v_58_XSTR</vt:lpstr>
      <vt:lpstr>v_58_XU</vt:lpstr>
      <vt:lpstr>v_58_XVivi</vt:lpstr>
      <vt:lpstr>v_59_CB</vt:lpstr>
      <vt:lpstr>v_59_CU</vt:lpstr>
      <vt:lpstr>v_59_GCH4</vt:lpstr>
      <vt:lpstr>v_59_GCH4_atm</vt:lpstr>
      <vt:lpstr>v_59_GCO2</vt:lpstr>
      <vt:lpstr>v_59_GCO2_atm</vt:lpstr>
      <vt:lpstr>v_59_GH2</vt:lpstr>
      <vt:lpstr>v_59_GH2_atm</vt:lpstr>
      <vt:lpstr>v_59_GN2</vt:lpstr>
      <vt:lpstr>v_59_GN2_atm</vt:lpstr>
      <vt:lpstr>v_59_GNH3</vt:lpstr>
      <vt:lpstr>v_59_GNH3_atm</vt:lpstr>
      <vt:lpstr>v_59_GO2</vt:lpstr>
      <vt:lpstr>v_59_GO2_atm</vt:lpstr>
      <vt:lpstr>v_59_SALPHA</vt:lpstr>
      <vt:lpstr>v_59_SAN</vt:lpstr>
      <vt:lpstr>v_59_SB</vt:lpstr>
      <vt:lpstr>v_59_SCa</vt:lpstr>
      <vt:lpstr>v_59_SCAT</vt:lpstr>
      <vt:lpstr>v_59_SCH4</vt:lpstr>
      <vt:lpstr>v_59_SCO2</vt:lpstr>
      <vt:lpstr>v_59_SFe2</vt:lpstr>
      <vt:lpstr>v_59_SH</vt:lpstr>
      <vt:lpstr>v_59_SH2</vt:lpstr>
      <vt:lpstr>v_59_SK</vt:lpstr>
      <vt:lpstr>v_59_SMEOL</vt:lpstr>
      <vt:lpstr>v_59_SMg</vt:lpstr>
      <vt:lpstr>v_59_SN_B</vt:lpstr>
      <vt:lpstr>v_59_SN2</vt:lpstr>
      <vt:lpstr>v_59_SNHx</vt:lpstr>
      <vt:lpstr>v_59_SNOx</vt:lpstr>
      <vt:lpstr>v_59_SO2</vt:lpstr>
      <vt:lpstr>v_59_SORPswitch</vt:lpstr>
      <vt:lpstr>v_59_SP_B</vt:lpstr>
      <vt:lpstr>v_59_SPFOA</vt:lpstr>
      <vt:lpstr>v_59_SPFOS</vt:lpstr>
      <vt:lpstr>v_59_SPO4</vt:lpstr>
      <vt:lpstr>v_59_SU</vt:lpstr>
      <vt:lpstr>v_59_SVFA</vt:lpstr>
      <vt:lpstr>v_59_XACP</vt:lpstr>
      <vt:lpstr>v_59_XALGAE</vt:lpstr>
      <vt:lpstr>v_59_XAMETO</vt:lpstr>
      <vt:lpstr>v_59_XB</vt:lpstr>
      <vt:lpstr>v_59_XB_e</vt:lpstr>
      <vt:lpstr>v_59_XBSH</vt:lpstr>
      <vt:lpstr>v_59_XCaCO3</vt:lpstr>
      <vt:lpstr>v_59_XCASTO</vt:lpstr>
      <vt:lpstr>v_59_XE</vt:lpstr>
      <vt:lpstr>v_59_XE_ana</vt:lpstr>
      <vt:lpstr>v_59_XHAO_H</vt:lpstr>
      <vt:lpstr>v_59_XHAO_H_P</vt:lpstr>
      <vt:lpstr>v_59_XHAO_H_P_old</vt:lpstr>
      <vt:lpstr>v_59_XHAO_L</vt:lpstr>
      <vt:lpstr>v_59_XHAO_L_P</vt:lpstr>
      <vt:lpstr>v_59_XHAO_L_P_old</vt:lpstr>
      <vt:lpstr>v_59_XHAO_old</vt:lpstr>
      <vt:lpstr>v_59_XHFO_H</vt:lpstr>
      <vt:lpstr>v_59_XHFO_H_P</vt:lpstr>
      <vt:lpstr>v_59_XHFO_H_P_old</vt:lpstr>
      <vt:lpstr>v_59_XHFO_L</vt:lpstr>
      <vt:lpstr>v_59_XHFO_L_P</vt:lpstr>
      <vt:lpstr>v_59_XHFO_L_P_old</vt:lpstr>
      <vt:lpstr>v_59_XHFO_old</vt:lpstr>
      <vt:lpstr>v_59_XHMETO</vt:lpstr>
      <vt:lpstr>v_59_XINORG</vt:lpstr>
      <vt:lpstr>v_59_XMEOLO</vt:lpstr>
      <vt:lpstr>v_59_XN_B</vt:lpstr>
      <vt:lpstr>v_59_XN_Be</vt:lpstr>
      <vt:lpstr>v_59_XN_U</vt:lpstr>
      <vt:lpstr>v_59_XNITO</vt:lpstr>
      <vt:lpstr>v_59_XOHO</vt:lpstr>
      <vt:lpstr>v_59_XP_B</vt:lpstr>
      <vt:lpstr>v_59_XP_Be</vt:lpstr>
      <vt:lpstr>v_59_XP_U</vt:lpstr>
      <vt:lpstr>v_59_XPFOA</vt:lpstr>
      <vt:lpstr>v_59_XPFOS</vt:lpstr>
      <vt:lpstr>v_59_XPHA_GAO</vt:lpstr>
      <vt:lpstr>v_59_XPHA_PAO</vt:lpstr>
      <vt:lpstr>v_59_XPP</vt:lpstr>
      <vt:lpstr>v_59_XSTR</vt:lpstr>
      <vt:lpstr>v_59_XU</vt:lpstr>
      <vt:lpstr>v_59_XVivi</vt:lpstr>
      <vt:lpstr>v_6_CB</vt:lpstr>
      <vt:lpstr>v_6_CU</vt:lpstr>
      <vt:lpstr>v_6_GCH4</vt:lpstr>
      <vt:lpstr>v_6_GCH4_atm</vt:lpstr>
      <vt:lpstr>v_6_GCO2</vt:lpstr>
      <vt:lpstr>v_6_GCO2_atm</vt:lpstr>
      <vt:lpstr>v_6_GH2</vt:lpstr>
      <vt:lpstr>v_6_GH2_atm</vt:lpstr>
      <vt:lpstr>v_6_GN2</vt:lpstr>
      <vt:lpstr>v_6_GN2_atm</vt:lpstr>
      <vt:lpstr>v_6_GNH3</vt:lpstr>
      <vt:lpstr>v_6_GNH3_atm</vt:lpstr>
      <vt:lpstr>v_6_GO2</vt:lpstr>
      <vt:lpstr>v_6_GO2_atm</vt:lpstr>
      <vt:lpstr>v_6_SALPHA</vt:lpstr>
      <vt:lpstr>v_6_SAN</vt:lpstr>
      <vt:lpstr>v_6_SB</vt:lpstr>
      <vt:lpstr>v_6_SCa</vt:lpstr>
      <vt:lpstr>v_6_SCAT</vt:lpstr>
      <vt:lpstr>v_6_SCH4</vt:lpstr>
      <vt:lpstr>v_6_SCO2</vt:lpstr>
      <vt:lpstr>v_6_SFe2</vt:lpstr>
      <vt:lpstr>v_6_SH</vt:lpstr>
      <vt:lpstr>v_6_SH2</vt:lpstr>
      <vt:lpstr>v_6_SK</vt:lpstr>
      <vt:lpstr>v_6_SMEOL</vt:lpstr>
      <vt:lpstr>v_6_SMg</vt:lpstr>
      <vt:lpstr>v_6_SN_B</vt:lpstr>
      <vt:lpstr>v_6_SN2</vt:lpstr>
      <vt:lpstr>v_6_SNHx</vt:lpstr>
      <vt:lpstr>v_6_SNOx</vt:lpstr>
      <vt:lpstr>v_6_SO2</vt:lpstr>
      <vt:lpstr>v_6_SORPswitch</vt:lpstr>
      <vt:lpstr>v_6_SP_B</vt:lpstr>
      <vt:lpstr>v_6_SPFOA</vt:lpstr>
      <vt:lpstr>v_6_SPFOS</vt:lpstr>
      <vt:lpstr>v_6_SPO4</vt:lpstr>
      <vt:lpstr>v_6_SU</vt:lpstr>
      <vt:lpstr>v_6_SVFA</vt:lpstr>
      <vt:lpstr>v_6_XACP</vt:lpstr>
      <vt:lpstr>v_6_XALGAE</vt:lpstr>
      <vt:lpstr>v_6_XAMETO</vt:lpstr>
      <vt:lpstr>v_6_XB</vt:lpstr>
      <vt:lpstr>v_6_XB_e</vt:lpstr>
      <vt:lpstr>v_6_XBSH</vt:lpstr>
      <vt:lpstr>v_6_XCaCO3</vt:lpstr>
      <vt:lpstr>v_6_XCASTO</vt:lpstr>
      <vt:lpstr>v_6_XE</vt:lpstr>
      <vt:lpstr>v_6_XE_ana</vt:lpstr>
      <vt:lpstr>v_6_XHAO_H</vt:lpstr>
      <vt:lpstr>v_6_XHAO_H_P</vt:lpstr>
      <vt:lpstr>v_6_XHAO_H_P_old</vt:lpstr>
      <vt:lpstr>v_6_XHAO_L</vt:lpstr>
      <vt:lpstr>v_6_XHAO_L_P</vt:lpstr>
      <vt:lpstr>v_6_XHAO_L_P_old</vt:lpstr>
      <vt:lpstr>v_6_XHAO_old</vt:lpstr>
      <vt:lpstr>v_6_XHFO_H</vt:lpstr>
      <vt:lpstr>v_6_XHFO_H_P</vt:lpstr>
      <vt:lpstr>v_6_XHFO_H_P_old</vt:lpstr>
      <vt:lpstr>v_6_XHFO_L</vt:lpstr>
      <vt:lpstr>v_6_XHFO_L_P</vt:lpstr>
      <vt:lpstr>v_6_XHFO_L_P_old</vt:lpstr>
      <vt:lpstr>v_6_XHFO_old</vt:lpstr>
      <vt:lpstr>v_6_XHMETO</vt:lpstr>
      <vt:lpstr>v_6_XINORG</vt:lpstr>
      <vt:lpstr>v_6_XMEOLO</vt:lpstr>
      <vt:lpstr>v_6_XN_B</vt:lpstr>
      <vt:lpstr>v_6_XN_Be</vt:lpstr>
      <vt:lpstr>v_6_XN_U</vt:lpstr>
      <vt:lpstr>v_6_XNITO</vt:lpstr>
      <vt:lpstr>v_6_XOHO</vt:lpstr>
      <vt:lpstr>v_6_XP_B</vt:lpstr>
      <vt:lpstr>v_6_XP_Be</vt:lpstr>
      <vt:lpstr>v_6_XP_U</vt:lpstr>
      <vt:lpstr>v_6_XPFOA</vt:lpstr>
      <vt:lpstr>v_6_XPFOS</vt:lpstr>
      <vt:lpstr>v_6_XPHA_GAO</vt:lpstr>
      <vt:lpstr>v_6_XPHA_PAO</vt:lpstr>
      <vt:lpstr>v_6_XPP</vt:lpstr>
      <vt:lpstr>v_6_XSTR</vt:lpstr>
      <vt:lpstr>v_6_XU</vt:lpstr>
      <vt:lpstr>v_6_XVivi</vt:lpstr>
      <vt:lpstr>v_60_CB</vt:lpstr>
      <vt:lpstr>v_60_CU</vt:lpstr>
      <vt:lpstr>v_60_GCH4</vt:lpstr>
      <vt:lpstr>v_60_GCH4_atm</vt:lpstr>
      <vt:lpstr>v_60_GCO2</vt:lpstr>
      <vt:lpstr>v_60_GCO2_atm</vt:lpstr>
      <vt:lpstr>v_60_GH2</vt:lpstr>
      <vt:lpstr>v_60_GH2_atm</vt:lpstr>
      <vt:lpstr>v_60_GN2</vt:lpstr>
      <vt:lpstr>v_60_GN2_atm</vt:lpstr>
      <vt:lpstr>v_60_GNH3</vt:lpstr>
      <vt:lpstr>v_60_GNH3_atm</vt:lpstr>
      <vt:lpstr>v_60_GO2</vt:lpstr>
      <vt:lpstr>v_60_GO2_atm</vt:lpstr>
      <vt:lpstr>v_60_SALPHA</vt:lpstr>
      <vt:lpstr>v_60_SAN</vt:lpstr>
      <vt:lpstr>v_60_SB</vt:lpstr>
      <vt:lpstr>v_60_SCa</vt:lpstr>
      <vt:lpstr>v_60_SCAT</vt:lpstr>
      <vt:lpstr>v_60_SCH4</vt:lpstr>
      <vt:lpstr>v_60_SCO2</vt:lpstr>
      <vt:lpstr>v_60_SFe2</vt:lpstr>
      <vt:lpstr>v_60_SH</vt:lpstr>
      <vt:lpstr>v_60_SH2</vt:lpstr>
      <vt:lpstr>v_60_SK</vt:lpstr>
      <vt:lpstr>v_60_SMEOL</vt:lpstr>
      <vt:lpstr>v_60_SMg</vt:lpstr>
      <vt:lpstr>v_60_SN_B</vt:lpstr>
      <vt:lpstr>v_60_SN2</vt:lpstr>
      <vt:lpstr>v_60_SNHx</vt:lpstr>
      <vt:lpstr>v_60_SNOx</vt:lpstr>
      <vt:lpstr>v_60_SO2</vt:lpstr>
      <vt:lpstr>v_60_SORPswitch</vt:lpstr>
      <vt:lpstr>v_60_SP_B</vt:lpstr>
      <vt:lpstr>v_60_SPFOA</vt:lpstr>
      <vt:lpstr>v_60_SPFOS</vt:lpstr>
      <vt:lpstr>v_60_SPO4</vt:lpstr>
      <vt:lpstr>v_60_SU</vt:lpstr>
      <vt:lpstr>v_60_SVFA</vt:lpstr>
      <vt:lpstr>v_60_XACP</vt:lpstr>
      <vt:lpstr>v_60_XALGAE</vt:lpstr>
      <vt:lpstr>v_60_XAMETO</vt:lpstr>
      <vt:lpstr>v_60_XB</vt:lpstr>
      <vt:lpstr>v_60_XB_e</vt:lpstr>
      <vt:lpstr>v_60_XBSH</vt:lpstr>
      <vt:lpstr>v_60_XCaCO3</vt:lpstr>
      <vt:lpstr>v_60_XCASTO</vt:lpstr>
      <vt:lpstr>v_60_XE</vt:lpstr>
      <vt:lpstr>v_60_XE_ana</vt:lpstr>
      <vt:lpstr>v_60_XHAO_H</vt:lpstr>
      <vt:lpstr>v_60_XHAO_H_P</vt:lpstr>
      <vt:lpstr>v_60_XHAO_H_P_old</vt:lpstr>
      <vt:lpstr>v_60_XHAO_L</vt:lpstr>
      <vt:lpstr>v_60_XHAO_L_P</vt:lpstr>
      <vt:lpstr>v_60_XHAO_L_P_old</vt:lpstr>
      <vt:lpstr>v_60_XHAO_old</vt:lpstr>
      <vt:lpstr>v_60_XHFO_H</vt:lpstr>
      <vt:lpstr>v_60_XHFO_H_P</vt:lpstr>
      <vt:lpstr>v_60_XHFO_H_P_old</vt:lpstr>
      <vt:lpstr>v_60_XHFO_L</vt:lpstr>
      <vt:lpstr>v_60_XHFO_L_P</vt:lpstr>
      <vt:lpstr>v_60_XHFO_L_P_old</vt:lpstr>
      <vt:lpstr>v_60_XHFO_old</vt:lpstr>
      <vt:lpstr>v_60_XHMETO</vt:lpstr>
      <vt:lpstr>v_60_XINORG</vt:lpstr>
      <vt:lpstr>v_60_XMEOLO</vt:lpstr>
      <vt:lpstr>v_60_XN_B</vt:lpstr>
      <vt:lpstr>v_60_XN_Be</vt:lpstr>
      <vt:lpstr>v_60_XN_U</vt:lpstr>
      <vt:lpstr>v_60_XNITO</vt:lpstr>
      <vt:lpstr>v_60_XOHO</vt:lpstr>
      <vt:lpstr>v_60_XP_B</vt:lpstr>
      <vt:lpstr>v_60_XP_Be</vt:lpstr>
      <vt:lpstr>v_60_XP_U</vt:lpstr>
      <vt:lpstr>v_60_XPFOA</vt:lpstr>
      <vt:lpstr>v_60_XPFOS</vt:lpstr>
      <vt:lpstr>v_60_XPHA_GAO</vt:lpstr>
      <vt:lpstr>v_60_XPHA_PAO</vt:lpstr>
      <vt:lpstr>v_60_XPP</vt:lpstr>
      <vt:lpstr>v_60_XSTR</vt:lpstr>
      <vt:lpstr>v_60_XU</vt:lpstr>
      <vt:lpstr>v_60_XVivi</vt:lpstr>
      <vt:lpstr>v_61_CB</vt:lpstr>
      <vt:lpstr>v_61_CU</vt:lpstr>
      <vt:lpstr>v_61_GCH4</vt:lpstr>
      <vt:lpstr>v_61_GCH4_atm</vt:lpstr>
      <vt:lpstr>v_61_GCO2</vt:lpstr>
      <vt:lpstr>v_61_GCO2_atm</vt:lpstr>
      <vt:lpstr>v_61_GH2</vt:lpstr>
      <vt:lpstr>v_61_GH2_atm</vt:lpstr>
      <vt:lpstr>v_61_GN2</vt:lpstr>
      <vt:lpstr>v_61_GN2_atm</vt:lpstr>
      <vt:lpstr>v_61_GNH3</vt:lpstr>
      <vt:lpstr>v_61_GNH3_atm</vt:lpstr>
      <vt:lpstr>v_61_GO2</vt:lpstr>
      <vt:lpstr>v_61_GO2_atm</vt:lpstr>
      <vt:lpstr>v_61_SALPHA</vt:lpstr>
      <vt:lpstr>v_61_SAN</vt:lpstr>
      <vt:lpstr>v_61_SB</vt:lpstr>
      <vt:lpstr>v_61_SCa</vt:lpstr>
      <vt:lpstr>v_61_SCAT</vt:lpstr>
      <vt:lpstr>v_61_SCH4</vt:lpstr>
      <vt:lpstr>v_61_SCO2</vt:lpstr>
      <vt:lpstr>v_61_SFe2</vt:lpstr>
      <vt:lpstr>v_61_SH</vt:lpstr>
      <vt:lpstr>v_61_SH2</vt:lpstr>
      <vt:lpstr>v_61_SK</vt:lpstr>
      <vt:lpstr>v_61_SMEOL</vt:lpstr>
      <vt:lpstr>v_61_SMg</vt:lpstr>
      <vt:lpstr>v_61_SN_B</vt:lpstr>
      <vt:lpstr>v_61_SN2</vt:lpstr>
      <vt:lpstr>v_61_SNHx</vt:lpstr>
      <vt:lpstr>v_61_SNOx</vt:lpstr>
      <vt:lpstr>v_61_SO2</vt:lpstr>
      <vt:lpstr>v_61_SORPswitch</vt:lpstr>
      <vt:lpstr>v_61_SP_B</vt:lpstr>
      <vt:lpstr>v_61_SPFOA</vt:lpstr>
      <vt:lpstr>v_61_SPFOS</vt:lpstr>
      <vt:lpstr>v_61_SPO4</vt:lpstr>
      <vt:lpstr>v_61_SU</vt:lpstr>
      <vt:lpstr>v_61_SVFA</vt:lpstr>
      <vt:lpstr>v_61_XACP</vt:lpstr>
      <vt:lpstr>v_61_XALGAE</vt:lpstr>
      <vt:lpstr>v_61_XAMETO</vt:lpstr>
      <vt:lpstr>v_61_XB</vt:lpstr>
      <vt:lpstr>v_61_XB_e</vt:lpstr>
      <vt:lpstr>v_61_XBSH</vt:lpstr>
      <vt:lpstr>v_61_XCaCO3</vt:lpstr>
      <vt:lpstr>v_61_XCASTO</vt:lpstr>
      <vt:lpstr>v_61_XE</vt:lpstr>
      <vt:lpstr>v_61_XE_ana</vt:lpstr>
      <vt:lpstr>v_61_XHAO_H</vt:lpstr>
      <vt:lpstr>v_61_XHAO_H_P</vt:lpstr>
      <vt:lpstr>v_61_XHAO_H_P_old</vt:lpstr>
      <vt:lpstr>v_61_XHAO_L</vt:lpstr>
      <vt:lpstr>v_61_XHAO_L_P</vt:lpstr>
      <vt:lpstr>v_61_XHAO_L_P_old</vt:lpstr>
      <vt:lpstr>v_61_XHAO_old</vt:lpstr>
      <vt:lpstr>v_61_XHFO_H</vt:lpstr>
      <vt:lpstr>v_61_XHFO_H_P</vt:lpstr>
      <vt:lpstr>v_61_XHFO_H_P_old</vt:lpstr>
      <vt:lpstr>v_61_XHFO_L</vt:lpstr>
      <vt:lpstr>v_61_XHFO_L_P</vt:lpstr>
      <vt:lpstr>v_61_XHFO_L_P_old</vt:lpstr>
      <vt:lpstr>v_61_XHFO_old</vt:lpstr>
      <vt:lpstr>v_61_XHMETO</vt:lpstr>
      <vt:lpstr>v_61_XINORG</vt:lpstr>
      <vt:lpstr>v_61_XMEOLO</vt:lpstr>
      <vt:lpstr>v_61_XN_B</vt:lpstr>
      <vt:lpstr>v_61_XN_Be</vt:lpstr>
      <vt:lpstr>v_61_XN_U</vt:lpstr>
      <vt:lpstr>v_61_XNITO</vt:lpstr>
      <vt:lpstr>v_61_XOHO</vt:lpstr>
      <vt:lpstr>v_61_XP_B</vt:lpstr>
      <vt:lpstr>v_61_XP_Be</vt:lpstr>
      <vt:lpstr>v_61_XP_U</vt:lpstr>
      <vt:lpstr>v_61_XPFOA</vt:lpstr>
      <vt:lpstr>v_61_XPFOS</vt:lpstr>
      <vt:lpstr>v_61_XPHA_GAO</vt:lpstr>
      <vt:lpstr>v_61_XPHA_PAO</vt:lpstr>
      <vt:lpstr>v_61_XPP</vt:lpstr>
      <vt:lpstr>v_61_XSTR</vt:lpstr>
      <vt:lpstr>v_61_XU</vt:lpstr>
      <vt:lpstr>v_61_XVivi</vt:lpstr>
      <vt:lpstr>v_62_CB</vt:lpstr>
      <vt:lpstr>v_62_CU</vt:lpstr>
      <vt:lpstr>v_62_GCH4</vt:lpstr>
      <vt:lpstr>v_62_GCH4_atm</vt:lpstr>
      <vt:lpstr>v_62_GCO2</vt:lpstr>
      <vt:lpstr>v_62_GCO2_atm</vt:lpstr>
      <vt:lpstr>v_62_GH2</vt:lpstr>
      <vt:lpstr>v_62_GH2_atm</vt:lpstr>
      <vt:lpstr>v_62_GN2</vt:lpstr>
      <vt:lpstr>v_62_GN2_atm</vt:lpstr>
      <vt:lpstr>v_62_GNH3</vt:lpstr>
      <vt:lpstr>v_62_GNH3_atm</vt:lpstr>
      <vt:lpstr>v_62_GO2</vt:lpstr>
      <vt:lpstr>v_62_GO2_atm</vt:lpstr>
      <vt:lpstr>v_62_SALPHA</vt:lpstr>
      <vt:lpstr>v_62_SAN</vt:lpstr>
      <vt:lpstr>v_62_SB</vt:lpstr>
      <vt:lpstr>v_62_SCa</vt:lpstr>
      <vt:lpstr>v_62_SCAT</vt:lpstr>
      <vt:lpstr>v_62_SCH4</vt:lpstr>
      <vt:lpstr>v_62_SCO2</vt:lpstr>
      <vt:lpstr>v_62_SFe2</vt:lpstr>
      <vt:lpstr>v_62_SH</vt:lpstr>
      <vt:lpstr>v_62_SH2</vt:lpstr>
      <vt:lpstr>v_62_SK</vt:lpstr>
      <vt:lpstr>v_62_SMEOL</vt:lpstr>
      <vt:lpstr>v_62_SMg</vt:lpstr>
      <vt:lpstr>v_62_SN_B</vt:lpstr>
      <vt:lpstr>v_62_SN2</vt:lpstr>
      <vt:lpstr>v_62_SNHx</vt:lpstr>
      <vt:lpstr>v_62_SNOx</vt:lpstr>
      <vt:lpstr>v_62_SO2</vt:lpstr>
      <vt:lpstr>v_62_SORPswitch</vt:lpstr>
      <vt:lpstr>v_62_SP_B</vt:lpstr>
      <vt:lpstr>v_62_SPFOA</vt:lpstr>
      <vt:lpstr>v_62_SPFOS</vt:lpstr>
      <vt:lpstr>v_62_SPO4</vt:lpstr>
      <vt:lpstr>v_62_SU</vt:lpstr>
      <vt:lpstr>v_62_SVFA</vt:lpstr>
      <vt:lpstr>v_62_XACP</vt:lpstr>
      <vt:lpstr>v_62_XALGAE</vt:lpstr>
      <vt:lpstr>v_62_XAMETO</vt:lpstr>
      <vt:lpstr>v_62_XB</vt:lpstr>
      <vt:lpstr>v_62_XB_e</vt:lpstr>
      <vt:lpstr>v_62_XBSH</vt:lpstr>
      <vt:lpstr>v_62_XCaCO3</vt:lpstr>
      <vt:lpstr>v_62_XCASTO</vt:lpstr>
      <vt:lpstr>v_62_XE</vt:lpstr>
      <vt:lpstr>v_62_XE_ana</vt:lpstr>
      <vt:lpstr>v_62_XHAO_H</vt:lpstr>
      <vt:lpstr>v_62_XHAO_H_P</vt:lpstr>
      <vt:lpstr>v_62_XHAO_H_P_old</vt:lpstr>
      <vt:lpstr>v_62_XHAO_L</vt:lpstr>
      <vt:lpstr>v_62_XHAO_L_P</vt:lpstr>
      <vt:lpstr>v_62_XHAO_L_P_old</vt:lpstr>
      <vt:lpstr>v_62_XHAO_old</vt:lpstr>
      <vt:lpstr>v_62_XHFO_H</vt:lpstr>
      <vt:lpstr>v_62_XHFO_H_P</vt:lpstr>
      <vt:lpstr>v_62_XHFO_H_P_old</vt:lpstr>
      <vt:lpstr>v_62_XHFO_L</vt:lpstr>
      <vt:lpstr>v_62_XHFO_L_P</vt:lpstr>
      <vt:lpstr>v_62_XHFO_L_P_old</vt:lpstr>
      <vt:lpstr>v_62_XHFO_old</vt:lpstr>
      <vt:lpstr>v_62_XHMETO</vt:lpstr>
      <vt:lpstr>v_62_XINORG</vt:lpstr>
      <vt:lpstr>v_62_XMEOLO</vt:lpstr>
      <vt:lpstr>v_62_XN_B</vt:lpstr>
      <vt:lpstr>v_62_XN_Be</vt:lpstr>
      <vt:lpstr>v_62_XN_U</vt:lpstr>
      <vt:lpstr>v_62_XNITO</vt:lpstr>
      <vt:lpstr>v_62_XOHO</vt:lpstr>
      <vt:lpstr>v_62_XP_B</vt:lpstr>
      <vt:lpstr>v_62_XP_Be</vt:lpstr>
      <vt:lpstr>v_62_XP_U</vt:lpstr>
      <vt:lpstr>v_62_XPFOA</vt:lpstr>
      <vt:lpstr>v_62_XPFOS</vt:lpstr>
      <vt:lpstr>v_62_XPHA_GAO</vt:lpstr>
      <vt:lpstr>v_62_XPHA_PAO</vt:lpstr>
      <vt:lpstr>v_62_XPP</vt:lpstr>
      <vt:lpstr>v_62_XSTR</vt:lpstr>
      <vt:lpstr>v_62_XU</vt:lpstr>
      <vt:lpstr>v_62_XVivi</vt:lpstr>
      <vt:lpstr>v_63_CB</vt:lpstr>
      <vt:lpstr>v_63_CU</vt:lpstr>
      <vt:lpstr>v_63_GCH4</vt:lpstr>
      <vt:lpstr>v_63_GCH4_atm</vt:lpstr>
      <vt:lpstr>v_63_GCO2</vt:lpstr>
      <vt:lpstr>v_63_GCO2_atm</vt:lpstr>
      <vt:lpstr>v_63_GH2</vt:lpstr>
      <vt:lpstr>v_63_GH2_atm</vt:lpstr>
      <vt:lpstr>v_63_GN2</vt:lpstr>
      <vt:lpstr>v_63_GN2_atm</vt:lpstr>
      <vt:lpstr>v_63_GNH3</vt:lpstr>
      <vt:lpstr>v_63_GNH3_atm</vt:lpstr>
      <vt:lpstr>v_63_GO2</vt:lpstr>
      <vt:lpstr>v_63_GO2_atm</vt:lpstr>
      <vt:lpstr>v_63_SALPHA</vt:lpstr>
      <vt:lpstr>v_63_SAN</vt:lpstr>
      <vt:lpstr>v_63_SB</vt:lpstr>
      <vt:lpstr>v_63_SCa</vt:lpstr>
      <vt:lpstr>v_63_SCAT</vt:lpstr>
      <vt:lpstr>v_63_SCH4</vt:lpstr>
      <vt:lpstr>v_63_SCO2</vt:lpstr>
      <vt:lpstr>v_63_SFe2</vt:lpstr>
      <vt:lpstr>v_63_SH</vt:lpstr>
      <vt:lpstr>v_63_SH2</vt:lpstr>
      <vt:lpstr>v_63_SK</vt:lpstr>
      <vt:lpstr>v_63_SMEOL</vt:lpstr>
      <vt:lpstr>v_63_SMg</vt:lpstr>
      <vt:lpstr>v_63_SN_B</vt:lpstr>
      <vt:lpstr>v_63_SN2</vt:lpstr>
      <vt:lpstr>v_63_SNHx</vt:lpstr>
      <vt:lpstr>v_63_SNOx</vt:lpstr>
      <vt:lpstr>v_63_SO2</vt:lpstr>
      <vt:lpstr>v_63_SORPswitch</vt:lpstr>
      <vt:lpstr>v_63_SP_B</vt:lpstr>
      <vt:lpstr>v_63_SPFOA</vt:lpstr>
      <vt:lpstr>v_63_SPFOS</vt:lpstr>
      <vt:lpstr>v_63_SPO4</vt:lpstr>
      <vt:lpstr>v_63_SU</vt:lpstr>
      <vt:lpstr>v_63_SVFA</vt:lpstr>
      <vt:lpstr>v_63_XACP</vt:lpstr>
      <vt:lpstr>v_63_XALGAE</vt:lpstr>
      <vt:lpstr>v_63_XAMETO</vt:lpstr>
      <vt:lpstr>v_63_XB</vt:lpstr>
      <vt:lpstr>v_63_XB_e</vt:lpstr>
      <vt:lpstr>v_63_XBSH</vt:lpstr>
      <vt:lpstr>v_63_XCaCO3</vt:lpstr>
      <vt:lpstr>v_63_XCASTO</vt:lpstr>
      <vt:lpstr>v_63_XE</vt:lpstr>
      <vt:lpstr>v_63_XE_ana</vt:lpstr>
      <vt:lpstr>v_63_XHAO_H</vt:lpstr>
      <vt:lpstr>v_63_XHAO_H_P</vt:lpstr>
      <vt:lpstr>v_63_XHAO_H_P_old</vt:lpstr>
      <vt:lpstr>v_63_XHAO_L</vt:lpstr>
      <vt:lpstr>v_63_XHAO_L_P</vt:lpstr>
      <vt:lpstr>v_63_XHAO_L_P_old</vt:lpstr>
      <vt:lpstr>v_63_XHAO_old</vt:lpstr>
      <vt:lpstr>v_63_XHFO_H</vt:lpstr>
      <vt:lpstr>v_63_XHFO_H_P</vt:lpstr>
      <vt:lpstr>v_63_XHFO_H_P_old</vt:lpstr>
      <vt:lpstr>v_63_XHFO_L</vt:lpstr>
      <vt:lpstr>v_63_XHFO_L_P</vt:lpstr>
      <vt:lpstr>v_63_XHFO_L_P_old</vt:lpstr>
      <vt:lpstr>v_63_XHFO_old</vt:lpstr>
      <vt:lpstr>v_63_XHMETO</vt:lpstr>
      <vt:lpstr>v_63_XINORG</vt:lpstr>
      <vt:lpstr>v_63_XMEOLO</vt:lpstr>
      <vt:lpstr>v_63_XN_B</vt:lpstr>
      <vt:lpstr>v_63_XN_Be</vt:lpstr>
      <vt:lpstr>v_63_XN_U</vt:lpstr>
      <vt:lpstr>v_63_XNITO</vt:lpstr>
      <vt:lpstr>v_63_XOHO</vt:lpstr>
      <vt:lpstr>v_63_XP_B</vt:lpstr>
      <vt:lpstr>v_63_XP_Be</vt:lpstr>
      <vt:lpstr>v_63_XP_U</vt:lpstr>
      <vt:lpstr>v_63_XPFOA</vt:lpstr>
      <vt:lpstr>v_63_XPFOS</vt:lpstr>
      <vt:lpstr>v_63_XPHA_GAO</vt:lpstr>
      <vt:lpstr>v_63_XPHA_PAO</vt:lpstr>
      <vt:lpstr>v_63_XPP</vt:lpstr>
      <vt:lpstr>v_63_XSTR</vt:lpstr>
      <vt:lpstr>v_63_XU</vt:lpstr>
      <vt:lpstr>v_63_XVivi</vt:lpstr>
      <vt:lpstr>v_64_CB</vt:lpstr>
      <vt:lpstr>v_64_CU</vt:lpstr>
      <vt:lpstr>v_64_GCH4</vt:lpstr>
      <vt:lpstr>v_64_GCH4_atm</vt:lpstr>
      <vt:lpstr>v_64_GCO2</vt:lpstr>
      <vt:lpstr>v_64_GCO2_atm</vt:lpstr>
      <vt:lpstr>v_64_GH2</vt:lpstr>
      <vt:lpstr>v_64_GH2_atm</vt:lpstr>
      <vt:lpstr>v_64_GN2</vt:lpstr>
      <vt:lpstr>v_64_GN2_atm</vt:lpstr>
      <vt:lpstr>v_64_GNH3</vt:lpstr>
      <vt:lpstr>v_64_GNH3_atm</vt:lpstr>
      <vt:lpstr>v_64_GO2</vt:lpstr>
      <vt:lpstr>v_64_GO2_atm</vt:lpstr>
      <vt:lpstr>v_64_SALPHA</vt:lpstr>
      <vt:lpstr>v_64_SAN</vt:lpstr>
      <vt:lpstr>v_64_SB</vt:lpstr>
      <vt:lpstr>v_64_SCa</vt:lpstr>
      <vt:lpstr>v_64_SCAT</vt:lpstr>
      <vt:lpstr>v_64_SCH4</vt:lpstr>
      <vt:lpstr>v_64_SCO2</vt:lpstr>
      <vt:lpstr>v_64_SFe2</vt:lpstr>
      <vt:lpstr>v_64_SH</vt:lpstr>
      <vt:lpstr>v_64_SH2</vt:lpstr>
      <vt:lpstr>v_64_SK</vt:lpstr>
      <vt:lpstr>v_64_SMEOL</vt:lpstr>
      <vt:lpstr>v_64_SMg</vt:lpstr>
      <vt:lpstr>v_64_SN_B</vt:lpstr>
      <vt:lpstr>v_64_SN2</vt:lpstr>
      <vt:lpstr>v_64_SNHx</vt:lpstr>
      <vt:lpstr>v_64_SNOx</vt:lpstr>
      <vt:lpstr>v_64_SO2</vt:lpstr>
      <vt:lpstr>v_64_SORPswitch</vt:lpstr>
      <vt:lpstr>v_64_SP_B</vt:lpstr>
      <vt:lpstr>v_64_SPFOA</vt:lpstr>
      <vt:lpstr>v_64_SPFOS</vt:lpstr>
      <vt:lpstr>v_64_SPO4</vt:lpstr>
      <vt:lpstr>v_64_SU</vt:lpstr>
      <vt:lpstr>v_64_SVFA</vt:lpstr>
      <vt:lpstr>v_64_XACP</vt:lpstr>
      <vt:lpstr>v_64_XALGAE</vt:lpstr>
      <vt:lpstr>v_64_XAMETO</vt:lpstr>
      <vt:lpstr>v_64_XB</vt:lpstr>
      <vt:lpstr>v_64_XB_e</vt:lpstr>
      <vt:lpstr>v_64_XBSH</vt:lpstr>
      <vt:lpstr>v_64_XCaCO3</vt:lpstr>
      <vt:lpstr>v_64_XCASTO</vt:lpstr>
      <vt:lpstr>v_64_XE</vt:lpstr>
      <vt:lpstr>v_64_XE_ana</vt:lpstr>
      <vt:lpstr>v_64_XHAO_H</vt:lpstr>
      <vt:lpstr>v_64_XHAO_H_P</vt:lpstr>
      <vt:lpstr>v_64_XHAO_H_P_old</vt:lpstr>
      <vt:lpstr>v_64_XHAO_L</vt:lpstr>
      <vt:lpstr>v_64_XHAO_L_P</vt:lpstr>
      <vt:lpstr>v_64_XHAO_L_P_old</vt:lpstr>
      <vt:lpstr>v_64_XHAO_old</vt:lpstr>
      <vt:lpstr>v_64_XHFO_H</vt:lpstr>
      <vt:lpstr>v_64_XHFO_H_P</vt:lpstr>
      <vt:lpstr>v_64_XHFO_H_P_old</vt:lpstr>
      <vt:lpstr>v_64_XHFO_L</vt:lpstr>
      <vt:lpstr>v_64_XHFO_L_P</vt:lpstr>
      <vt:lpstr>v_64_XHFO_L_P_old</vt:lpstr>
      <vt:lpstr>v_64_XHFO_old</vt:lpstr>
      <vt:lpstr>v_64_XHMETO</vt:lpstr>
      <vt:lpstr>v_64_XINORG</vt:lpstr>
      <vt:lpstr>v_64_XMEOLO</vt:lpstr>
      <vt:lpstr>v_64_XN_B</vt:lpstr>
      <vt:lpstr>v_64_XN_Be</vt:lpstr>
      <vt:lpstr>v_64_XN_U</vt:lpstr>
      <vt:lpstr>v_64_XNITO</vt:lpstr>
      <vt:lpstr>v_64_XOHO</vt:lpstr>
      <vt:lpstr>v_64_XP_B</vt:lpstr>
      <vt:lpstr>v_64_XP_Be</vt:lpstr>
      <vt:lpstr>v_64_XP_U</vt:lpstr>
      <vt:lpstr>v_64_XPFOA</vt:lpstr>
      <vt:lpstr>v_64_XPFOS</vt:lpstr>
      <vt:lpstr>v_64_XPHA_GAO</vt:lpstr>
      <vt:lpstr>v_64_XPHA_PAO</vt:lpstr>
      <vt:lpstr>v_64_XPP</vt:lpstr>
      <vt:lpstr>v_64_XSTR</vt:lpstr>
      <vt:lpstr>v_64_XU</vt:lpstr>
      <vt:lpstr>v_64_XVivi</vt:lpstr>
      <vt:lpstr>v_65_CB</vt:lpstr>
      <vt:lpstr>v_65_CU</vt:lpstr>
      <vt:lpstr>v_65_GCH4</vt:lpstr>
      <vt:lpstr>v_65_GCH4_atm</vt:lpstr>
      <vt:lpstr>v_65_GCO2</vt:lpstr>
      <vt:lpstr>v_65_GCO2_atm</vt:lpstr>
      <vt:lpstr>v_65_GH2</vt:lpstr>
      <vt:lpstr>v_65_GH2_atm</vt:lpstr>
      <vt:lpstr>v_65_GN2</vt:lpstr>
      <vt:lpstr>v_65_GN2_atm</vt:lpstr>
      <vt:lpstr>v_65_GNH3</vt:lpstr>
      <vt:lpstr>v_65_GNH3_atm</vt:lpstr>
      <vt:lpstr>v_65_GO2</vt:lpstr>
      <vt:lpstr>v_65_GO2_atm</vt:lpstr>
      <vt:lpstr>v_65_SALPHA</vt:lpstr>
      <vt:lpstr>v_65_SAN</vt:lpstr>
      <vt:lpstr>v_65_SB</vt:lpstr>
      <vt:lpstr>v_65_SCa</vt:lpstr>
      <vt:lpstr>v_65_SCAT</vt:lpstr>
      <vt:lpstr>v_65_SCH4</vt:lpstr>
      <vt:lpstr>v_65_SCO2</vt:lpstr>
      <vt:lpstr>v_65_SFe2</vt:lpstr>
      <vt:lpstr>v_65_SH</vt:lpstr>
      <vt:lpstr>v_65_SH2</vt:lpstr>
      <vt:lpstr>v_65_SK</vt:lpstr>
      <vt:lpstr>v_65_SMEOL</vt:lpstr>
      <vt:lpstr>v_65_SMg</vt:lpstr>
      <vt:lpstr>v_65_SN_B</vt:lpstr>
      <vt:lpstr>v_65_SN2</vt:lpstr>
      <vt:lpstr>v_65_SNHx</vt:lpstr>
      <vt:lpstr>v_65_SNOx</vt:lpstr>
      <vt:lpstr>v_65_SO2</vt:lpstr>
      <vt:lpstr>v_65_SORPswitch</vt:lpstr>
      <vt:lpstr>v_65_SP_B</vt:lpstr>
      <vt:lpstr>v_65_SPFOA</vt:lpstr>
      <vt:lpstr>v_65_SPFOS</vt:lpstr>
      <vt:lpstr>v_65_SPO4</vt:lpstr>
      <vt:lpstr>v_65_SU</vt:lpstr>
      <vt:lpstr>v_65_SVFA</vt:lpstr>
      <vt:lpstr>v_65_XACP</vt:lpstr>
      <vt:lpstr>v_65_XALGAE</vt:lpstr>
      <vt:lpstr>v_65_XAMETO</vt:lpstr>
      <vt:lpstr>v_65_XB</vt:lpstr>
      <vt:lpstr>v_65_XB_e</vt:lpstr>
      <vt:lpstr>v_65_XBSH</vt:lpstr>
      <vt:lpstr>v_65_XCaCO3</vt:lpstr>
      <vt:lpstr>v_65_XCASTO</vt:lpstr>
      <vt:lpstr>v_65_XE</vt:lpstr>
      <vt:lpstr>v_65_XE_ana</vt:lpstr>
      <vt:lpstr>v_65_XHAO_H</vt:lpstr>
      <vt:lpstr>v_65_XHAO_H_P</vt:lpstr>
      <vt:lpstr>v_65_XHAO_H_P_old</vt:lpstr>
      <vt:lpstr>v_65_XHAO_L</vt:lpstr>
      <vt:lpstr>v_65_XHAO_L_P</vt:lpstr>
      <vt:lpstr>v_65_XHAO_L_P_old</vt:lpstr>
      <vt:lpstr>v_65_XHAO_old</vt:lpstr>
      <vt:lpstr>v_65_XHFO_H</vt:lpstr>
      <vt:lpstr>v_65_XHFO_H_P</vt:lpstr>
      <vt:lpstr>v_65_XHFO_H_P_old</vt:lpstr>
      <vt:lpstr>v_65_XHFO_L</vt:lpstr>
      <vt:lpstr>v_65_XHFO_L_P</vt:lpstr>
      <vt:lpstr>v_65_XHFO_L_P_old</vt:lpstr>
      <vt:lpstr>v_65_XHFO_old</vt:lpstr>
      <vt:lpstr>v_65_XHMETO</vt:lpstr>
      <vt:lpstr>v_65_XINORG</vt:lpstr>
      <vt:lpstr>v_65_XMEOLO</vt:lpstr>
      <vt:lpstr>v_65_XN_B</vt:lpstr>
      <vt:lpstr>v_65_XN_Be</vt:lpstr>
      <vt:lpstr>v_65_XN_U</vt:lpstr>
      <vt:lpstr>v_65_XNITO</vt:lpstr>
      <vt:lpstr>v_65_XOHO</vt:lpstr>
      <vt:lpstr>v_65_XP_B</vt:lpstr>
      <vt:lpstr>v_65_XP_Be</vt:lpstr>
      <vt:lpstr>v_65_XP_U</vt:lpstr>
      <vt:lpstr>v_65_XPFOA</vt:lpstr>
      <vt:lpstr>v_65_XPFOS</vt:lpstr>
      <vt:lpstr>v_65_XPHA_GAO</vt:lpstr>
      <vt:lpstr>v_65_XPHA_PAO</vt:lpstr>
      <vt:lpstr>v_65_XPP</vt:lpstr>
      <vt:lpstr>v_65_XSTR</vt:lpstr>
      <vt:lpstr>v_65_XU</vt:lpstr>
      <vt:lpstr>v_65_XVivi</vt:lpstr>
      <vt:lpstr>v_66_CB</vt:lpstr>
      <vt:lpstr>v_66_CU</vt:lpstr>
      <vt:lpstr>v_66_GCH4</vt:lpstr>
      <vt:lpstr>v_66_GCH4_atm</vt:lpstr>
      <vt:lpstr>v_66_GCO2</vt:lpstr>
      <vt:lpstr>v_66_GCO2_atm</vt:lpstr>
      <vt:lpstr>v_66_GH2</vt:lpstr>
      <vt:lpstr>v_66_GH2_atm</vt:lpstr>
      <vt:lpstr>v_66_GN2</vt:lpstr>
      <vt:lpstr>v_66_GN2_atm</vt:lpstr>
      <vt:lpstr>v_66_GNH3</vt:lpstr>
      <vt:lpstr>v_66_GNH3_atm</vt:lpstr>
      <vt:lpstr>v_66_GO2</vt:lpstr>
      <vt:lpstr>v_66_GO2_atm</vt:lpstr>
      <vt:lpstr>v_66_SALPHA</vt:lpstr>
      <vt:lpstr>v_66_SAN</vt:lpstr>
      <vt:lpstr>v_66_SB</vt:lpstr>
      <vt:lpstr>v_66_SCa</vt:lpstr>
      <vt:lpstr>v_66_SCAT</vt:lpstr>
      <vt:lpstr>v_66_SCH4</vt:lpstr>
      <vt:lpstr>v_66_SCO2</vt:lpstr>
      <vt:lpstr>v_66_SFe2</vt:lpstr>
      <vt:lpstr>v_66_SH</vt:lpstr>
      <vt:lpstr>v_66_SH2</vt:lpstr>
      <vt:lpstr>v_66_SK</vt:lpstr>
      <vt:lpstr>v_66_SMEOL</vt:lpstr>
      <vt:lpstr>v_66_SMg</vt:lpstr>
      <vt:lpstr>v_66_SN_B</vt:lpstr>
      <vt:lpstr>v_66_SN2</vt:lpstr>
      <vt:lpstr>v_66_SNHx</vt:lpstr>
      <vt:lpstr>v_66_SNOx</vt:lpstr>
      <vt:lpstr>v_66_SO2</vt:lpstr>
      <vt:lpstr>v_66_SORPswitch</vt:lpstr>
      <vt:lpstr>v_66_SP_B</vt:lpstr>
      <vt:lpstr>v_66_SPFOA</vt:lpstr>
      <vt:lpstr>v_66_SPFOS</vt:lpstr>
      <vt:lpstr>v_66_SPO4</vt:lpstr>
      <vt:lpstr>v_66_SU</vt:lpstr>
      <vt:lpstr>v_66_SVFA</vt:lpstr>
      <vt:lpstr>v_66_XACP</vt:lpstr>
      <vt:lpstr>v_66_XALGAE</vt:lpstr>
      <vt:lpstr>v_66_XAMETO</vt:lpstr>
      <vt:lpstr>v_66_XB</vt:lpstr>
      <vt:lpstr>v_66_XB_e</vt:lpstr>
      <vt:lpstr>v_66_XBSH</vt:lpstr>
      <vt:lpstr>v_66_XCaCO3</vt:lpstr>
      <vt:lpstr>v_66_XCASTO</vt:lpstr>
      <vt:lpstr>v_66_XE</vt:lpstr>
      <vt:lpstr>v_66_XE_ana</vt:lpstr>
      <vt:lpstr>v_66_XHAO_H</vt:lpstr>
      <vt:lpstr>v_66_XHAO_H_P</vt:lpstr>
      <vt:lpstr>v_66_XHAO_H_P_old</vt:lpstr>
      <vt:lpstr>v_66_XHAO_L</vt:lpstr>
      <vt:lpstr>v_66_XHAO_L_P</vt:lpstr>
      <vt:lpstr>v_66_XHAO_L_P_old</vt:lpstr>
      <vt:lpstr>v_66_XHAO_old</vt:lpstr>
      <vt:lpstr>v_66_XHFO_H</vt:lpstr>
      <vt:lpstr>v_66_XHFO_H_P</vt:lpstr>
      <vt:lpstr>v_66_XHFO_H_P_old</vt:lpstr>
      <vt:lpstr>v_66_XHFO_L</vt:lpstr>
      <vt:lpstr>v_66_XHFO_L_P</vt:lpstr>
      <vt:lpstr>v_66_XHFO_L_P_old</vt:lpstr>
      <vt:lpstr>v_66_XHFO_old</vt:lpstr>
      <vt:lpstr>v_66_XHMETO</vt:lpstr>
      <vt:lpstr>v_66_XINORG</vt:lpstr>
      <vt:lpstr>v_66_XMEOLO</vt:lpstr>
      <vt:lpstr>v_66_XN_B</vt:lpstr>
      <vt:lpstr>v_66_XN_Be</vt:lpstr>
      <vt:lpstr>v_66_XN_U</vt:lpstr>
      <vt:lpstr>v_66_XNITO</vt:lpstr>
      <vt:lpstr>v_66_XOHO</vt:lpstr>
      <vt:lpstr>v_66_XP_B</vt:lpstr>
      <vt:lpstr>v_66_XP_Be</vt:lpstr>
      <vt:lpstr>v_66_XP_U</vt:lpstr>
      <vt:lpstr>v_66_XPFOA</vt:lpstr>
      <vt:lpstr>v_66_XPFOS</vt:lpstr>
      <vt:lpstr>v_66_XPHA_GAO</vt:lpstr>
      <vt:lpstr>v_66_XPHA_PAO</vt:lpstr>
      <vt:lpstr>v_66_XPP</vt:lpstr>
      <vt:lpstr>v_66_XSTR</vt:lpstr>
      <vt:lpstr>v_66_XU</vt:lpstr>
      <vt:lpstr>v_66_XVivi</vt:lpstr>
      <vt:lpstr>v_67_CB</vt:lpstr>
      <vt:lpstr>v_67_CU</vt:lpstr>
      <vt:lpstr>v_67_GCH4</vt:lpstr>
      <vt:lpstr>v_67_GCH4_atm</vt:lpstr>
      <vt:lpstr>v_67_GCO2</vt:lpstr>
      <vt:lpstr>v_67_GCO2_atm</vt:lpstr>
      <vt:lpstr>v_67_GH2</vt:lpstr>
      <vt:lpstr>v_67_GH2_atm</vt:lpstr>
      <vt:lpstr>v_67_GN2</vt:lpstr>
      <vt:lpstr>v_67_GN2_atm</vt:lpstr>
      <vt:lpstr>v_67_GNH3</vt:lpstr>
      <vt:lpstr>v_67_GNH3_atm</vt:lpstr>
      <vt:lpstr>v_67_GO2</vt:lpstr>
      <vt:lpstr>v_67_GO2_atm</vt:lpstr>
      <vt:lpstr>v_67_SALPHA</vt:lpstr>
      <vt:lpstr>v_67_SAN</vt:lpstr>
      <vt:lpstr>v_67_SB</vt:lpstr>
      <vt:lpstr>v_67_SCa</vt:lpstr>
      <vt:lpstr>v_67_SCAT</vt:lpstr>
      <vt:lpstr>v_67_SCH4</vt:lpstr>
      <vt:lpstr>v_67_SCO2</vt:lpstr>
      <vt:lpstr>v_67_SFe2</vt:lpstr>
      <vt:lpstr>v_67_SH</vt:lpstr>
      <vt:lpstr>v_67_SH2</vt:lpstr>
      <vt:lpstr>v_67_SK</vt:lpstr>
      <vt:lpstr>v_67_SMEOL</vt:lpstr>
      <vt:lpstr>v_67_SMg</vt:lpstr>
      <vt:lpstr>v_67_SN_B</vt:lpstr>
      <vt:lpstr>v_67_SN2</vt:lpstr>
      <vt:lpstr>v_67_SNHx</vt:lpstr>
      <vt:lpstr>v_67_SNOx</vt:lpstr>
      <vt:lpstr>v_67_SO2</vt:lpstr>
      <vt:lpstr>v_67_SORPswitch</vt:lpstr>
      <vt:lpstr>v_67_SP_B</vt:lpstr>
      <vt:lpstr>v_67_SPFOA</vt:lpstr>
      <vt:lpstr>v_67_SPFOS</vt:lpstr>
      <vt:lpstr>v_67_SPO4</vt:lpstr>
      <vt:lpstr>v_67_SU</vt:lpstr>
      <vt:lpstr>v_67_SVFA</vt:lpstr>
      <vt:lpstr>v_67_XACP</vt:lpstr>
      <vt:lpstr>v_67_XALGAE</vt:lpstr>
      <vt:lpstr>v_67_XAMETO</vt:lpstr>
      <vt:lpstr>v_67_XB</vt:lpstr>
      <vt:lpstr>v_67_XB_e</vt:lpstr>
      <vt:lpstr>v_67_XBSH</vt:lpstr>
      <vt:lpstr>v_67_XCaCO3</vt:lpstr>
      <vt:lpstr>v_67_XCASTO</vt:lpstr>
      <vt:lpstr>v_67_XE</vt:lpstr>
      <vt:lpstr>v_67_XE_ana</vt:lpstr>
      <vt:lpstr>v_67_XHAO_H</vt:lpstr>
      <vt:lpstr>v_67_XHAO_H_P</vt:lpstr>
      <vt:lpstr>v_67_XHAO_H_P_old</vt:lpstr>
      <vt:lpstr>v_67_XHAO_L</vt:lpstr>
      <vt:lpstr>v_67_XHAO_L_P</vt:lpstr>
      <vt:lpstr>v_67_XHAO_L_P_old</vt:lpstr>
      <vt:lpstr>v_67_XHAO_old</vt:lpstr>
      <vt:lpstr>v_67_XHFO_H</vt:lpstr>
      <vt:lpstr>v_67_XHFO_H_P</vt:lpstr>
      <vt:lpstr>v_67_XHFO_H_P_old</vt:lpstr>
      <vt:lpstr>v_67_XHFO_L</vt:lpstr>
      <vt:lpstr>v_67_XHFO_L_P</vt:lpstr>
      <vt:lpstr>v_67_XHFO_L_P_old</vt:lpstr>
      <vt:lpstr>v_67_XHFO_old</vt:lpstr>
      <vt:lpstr>v_67_XHMETO</vt:lpstr>
      <vt:lpstr>v_67_XINORG</vt:lpstr>
      <vt:lpstr>v_67_XMEOLO</vt:lpstr>
      <vt:lpstr>v_67_XN_B</vt:lpstr>
      <vt:lpstr>v_67_XN_Be</vt:lpstr>
      <vt:lpstr>v_67_XN_U</vt:lpstr>
      <vt:lpstr>v_67_XNITO</vt:lpstr>
      <vt:lpstr>v_67_XOHO</vt:lpstr>
      <vt:lpstr>v_67_XP_B</vt:lpstr>
      <vt:lpstr>v_67_XP_Be</vt:lpstr>
      <vt:lpstr>v_67_XP_U</vt:lpstr>
      <vt:lpstr>v_67_XPFOA</vt:lpstr>
      <vt:lpstr>v_67_XPFOS</vt:lpstr>
      <vt:lpstr>v_67_XPHA_GAO</vt:lpstr>
      <vt:lpstr>v_67_XPHA_PAO</vt:lpstr>
      <vt:lpstr>v_67_XPP</vt:lpstr>
      <vt:lpstr>v_67_XSTR</vt:lpstr>
      <vt:lpstr>v_67_XU</vt:lpstr>
      <vt:lpstr>v_67_XVivi</vt:lpstr>
      <vt:lpstr>v_68_CB</vt:lpstr>
      <vt:lpstr>v_68_CU</vt:lpstr>
      <vt:lpstr>v_68_GCH4</vt:lpstr>
      <vt:lpstr>v_68_GCH4_atm</vt:lpstr>
      <vt:lpstr>v_68_GCO2</vt:lpstr>
      <vt:lpstr>v_68_GCO2_atm</vt:lpstr>
      <vt:lpstr>v_68_GH2</vt:lpstr>
      <vt:lpstr>v_68_GH2_atm</vt:lpstr>
      <vt:lpstr>v_68_GN2</vt:lpstr>
      <vt:lpstr>v_68_GN2_atm</vt:lpstr>
      <vt:lpstr>v_68_GNH3</vt:lpstr>
      <vt:lpstr>v_68_GNH3_atm</vt:lpstr>
      <vt:lpstr>v_68_GO2</vt:lpstr>
      <vt:lpstr>v_68_GO2_atm</vt:lpstr>
      <vt:lpstr>v_68_SALPHA</vt:lpstr>
      <vt:lpstr>v_68_SAN</vt:lpstr>
      <vt:lpstr>v_68_SB</vt:lpstr>
      <vt:lpstr>v_68_SCa</vt:lpstr>
      <vt:lpstr>v_68_SCAT</vt:lpstr>
      <vt:lpstr>v_68_SCH4</vt:lpstr>
      <vt:lpstr>v_68_SCO2</vt:lpstr>
      <vt:lpstr>v_68_SFe2</vt:lpstr>
      <vt:lpstr>v_68_SH</vt:lpstr>
      <vt:lpstr>v_68_SH2</vt:lpstr>
      <vt:lpstr>v_68_SK</vt:lpstr>
      <vt:lpstr>v_68_SMEOL</vt:lpstr>
      <vt:lpstr>v_68_SMg</vt:lpstr>
      <vt:lpstr>v_68_SN_B</vt:lpstr>
      <vt:lpstr>v_68_SN2</vt:lpstr>
      <vt:lpstr>v_68_SNHx</vt:lpstr>
      <vt:lpstr>v_68_SNOx</vt:lpstr>
      <vt:lpstr>v_68_SO2</vt:lpstr>
      <vt:lpstr>v_68_SORPswitch</vt:lpstr>
      <vt:lpstr>v_68_SP_B</vt:lpstr>
      <vt:lpstr>v_68_SPFOA</vt:lpstr>
      <vt:lpstr>v_68_SPFOS</vt:lpstr>
      <vt:lpstr>v_68_SPO4</vt:lpstr>
      <vt:lpstr>v_68_SU</vt:lpstr>
      <vt:lpstr>v_68_SVFA</vt:lpstr>
      <vt:lpstr>v_68_XACP</vt:lpstr>
      <vt:lpstr>v_68_XALGAE</vt:lpstr>
      <vt:lpstr>v_68_XAMETO</vt:lpstr>
      <vt:lpstr>v_68_XB</vt:lpstr>
      <vt:lpstr>v_68_XB_e</vt:lpstr>
      <vt:lpstr>v_68_XBSH</vt:lpstr>
      <vt:lpstr>v_68_XCaCO3</vt:lpstr>
      <vt:lpstr>v_68_XCASTO</vt:lpstr>
      <vt:lpstr>v_68_XE</vt:lpstr>
      <vt:lpstr>v_68_XE_ana</vt:lpstr>
      <vt:lpstr>v_68_XHAO_H</vt:lpstr>
      <vt:lpstr>v_68_XHAO_H_P</vt:lpstr>
      <vt:lpstr>v_68_XHAO_H_P_old</vt:lpstr>
      <vt:lpstr>v_68_XHAO_L</vt:lpstr>
      <vt:lpstr>v_68_XHAO_L_P</vt:lpstr>
      <vt:lpstr>v_68_XHAO_L_P_old</vt:lpstr>
      <vt:lpstr>v_68_XHAO_old</vt:lpstr>
      <vt:lpstr>v_68_XHFO_H</vt:lpstr>
      <vt:lpstr>v_68_XHFO_H_P</vt:lpstr>
      <vt:lpstr>v_68_XHFO_H_P_old</vt:lpstr>
      <vt:lpstr>v_68_XHFO_L</vt:lpstr>
      <vt:lpstr>v_68_XHFO_L_P</vt:lpstr>
      <vt:lpstr>v_68_XHFO_L_P_old</vt:lpstr>
      <vt:lpstr>v_68_XHFO_old</vt:lpstr>
      <vt:lpstr>v_68_XHMETO</vt:lpstr>
      <vt:lpstr>v_68_XINORG</vt:lpstr>
      <vt:lpstr>v_68_XMEOLO</vt:lpstr>
      <vt:lpstr>v_68_XN_B</vt:lpstr>
      <vt:lpstr>v_68_XN_Be</vt:lpstr>
      <vt:lpstr>v_68_XN_U</vt:lpstr>
      <vt:lpstr>v_68_XNITO</vt:lpstr>
      <vt:lpstr>v_68_XOHO</vt:lpstr>
      <vt:lpstr>v_68_XP_B</vt:lpstr>
      <vt:lpstr>v_68_XP_Be</vt:lpstr>
      <vt:lpstr>v_68_XP_U</vt:lpstr>
      <vt:lpstr>v_68_XPFOA</vt:lpstr>
      <vt:lpstr>v_68_XPFOS</vt:lpstr>
      <vt:lpstr>v_68_XPHA_GAO</vt:lpstr>
      <vt:lpstr>v_68_XPHA_PAO</vt:lpstr>
      <vt:lpstr>v_68_XPP</vt:lpstr>
      <vt:lpstr>v_68_XSTR</vt:lpstr>
      <vt:lpstr>v_68_XU</vt:lpstr>
      <vt:lpstr>v_68_XVivi</vt:lpstr>
      <vt:lpstr>v_69_CB</vt:lpstr>
      <vt:lpstr>v_69_CU</vt:lpstr>
      <vt:lpstr>v_69_GCH4</vt:lpstr>
      <vt:lpstr>v_69_GCH4_atm</vt:lpstr>
      <vt:lpstr>v_69_GCO2</vt:lpstr>
      <vt:lpstr>v_69_GCO2_atm</vt:lpstr>
      <vt:lpstr>v_69_GH2</vt:lpstr>
      <vt:lpstr>v_69_GH2_atm</vt:lpstr>
      <vt:lpstr>v_69_GN2</vt:lpstr>
      <vt:lpstr>v_69_GN2_atm</vt:lpstr>
      <vt:lpstr>v_69_GNH3</vt:lpstr>
      <vt:lpstr>v_69_GNH3_atm</vt:lpstr>
      <vt:lpstr>v_69_GO2</vt:lpstr>
      <vt:lpstr>v_69_GO2_atm</vt:lpstr>
      <vt:lpstr>v_69_SALPHA</vt:lpstr>
      <vt:lpstr>v_69_SAN</vt:lpstr>
      <vt:lpstr>v_69_SB</vt:lpstr>
      <vt:lpstr>v_69_SCa</vt:lpstr>
      <vt:lpstr>v_69_SCAT</vt:lpstr>
      <vt:lpstr>v_69_SCH4</vt:lpstr>
      <vt:lpstr>v_69_SCO2</vt:lpstr>
      <vt:lpstr>v_69_SFe2</vt:lpstr>
      <vt:lpstr>v_69_SH</vt:lpstr>
      <vt:lpstr>v_69_SH2</vt:lpstr>
      <vt:lpstr>v_69_SK</vt:lpstr>
      <vt:lpstr>v_69_SMEOL</vt:lpstr>
      <vt:lpstr>v_69_SMg</vt:lpstr>
      <vt:lpstr>v_69_SN_B</vt:lpstr>
      <vt:lpstr>v_69_SN2</vt:lpstr>
      <vt:lpstr>v_69_SNHx</vt:lpstr>
      <vt:lpstr>v_69_SNOx</vt:lpstr>
      <vt:lpstr>v_69_SO2</vt:lpstr>
      <vt:lpstr>v_69_SORPswitch</vt:lpstr>
      <vt:lpstr>v_69_SP_B</vt:lpstr>
      <vt:lpstr>v_69_SPFOA</vt:lpstr>
      <vt:lpstr>v_69_SPFOS</vt:lpstr>
      <vt:lpstr>v_69_SPO4</vt:lpstr>
      <vt:lpstr>v_69_SU</vt:lpstr>
      <vt:lpstr>v_69_SVFA</vt:lpstr>
      <vt:lpstr>v_69_XACP</vt:lpstr>
      <vt:lpstr>v_69_XALGAE</vt:lpstr>
      <vt:lpstr>v_69_XAMETO</vt:lpstr>
      <vt:lpstr>v_69_XB</vt:lpstr>
      <vt:lpstr>v_69_XB_e</vt:lpstr>
      <vt:lpstr>v_69_XBSH</vt:lpstr>
      <vt:lpstr>v_69_XCaCO3</vt:lpstr>
      <vt:lpstr>v_69_XCASTO</vt:lpstr>
      <vt:lpstr>v_69_XE</vt:lpstr>
      <vt:lpstr>v_69_XE_ana</vt:lpstr>
      <vt:lpstr>v_69_XHAO_H</vt:lpstr>
      <vt:lpstr>v_69_XHAO_H_P</vt:lpstr>
      <vt:lpstr>v_69_XHAO_H_P_old</vt:lpstr>
      <vt:lpstr>v_69_XHAO_L</vt:lpstr>
      <vt:lpstr>v_69_XHAO_L_P</vt:lpstr>
      <vt:lpstr>v_69_XHAO_L_P_old</vt:lpstr>
      <vt:lpstr>v_69_XHAO_old</vt:lpstr>
      <vt:lpstr>v_69_XHFO_H</vt:lpstr>
      <vt:lpstr>v_69_XHFO_H_P</vt:lpstr>
      <vt:lpstr>v_69_XHFO_H_P_old</vt:lpstr>
      <vt:lpstr>v_69_XHFO_L</vt:lpstr>
      <vt:lpstr>v_69_XHFO_L_P</vt:lpstr>
      <vt:lpstr>v_69_XHFO_L_P_old</vt:lpstr>
      <vt:lpstr>v_69_XHFO_old</vt:lpstr>
      <vt:lpstr>v_69_XHMETO</vt:lpstr>
      <vt:lpstr>v_69_XINORG</vt:lpstr>
      <vt:lpstr>v_69_XMEOLO</vt:lpstr>
      <vt:lpstr>v_69_XN_B</vt:lpstr>
      <vt:lpstr>v_69_XN_Be</vt:lpstr>
      <vt:lpstr>v_69_XN_U</vt:lpstr>
      <vt:lpstr>v_69_XNITO</vt:lpstr>
      <vt:lpstr>v_69_XOHO</vt:lpstr>
      <vt:lpstr>v_69_XP_B</vt:lpstr>
      <vt:lpstr>v_69_XP_Be</vt:lpstr>
      <vt:lpstr>v_69_XP_U</vt:lpstr>
      <vt:lpstr>v_69_XPFOA</vt:lpstr>
      <vt:lpstr>v_69_XPFOS</vt:lpstr>
      <vt:lpstr>v_69_XPHA_GAO</vt:lpstr>
      <vt:lpstr>v_69_XPHA_PAO</vt:lpstr>
      <vt:lpstr>v_69_XPP</vt:lpstr>
      <vt:lpstr>v_69_XSTR</vt:lpstr>
      <vt:lpstr>v_69_XU</vt:lpstr>
      <vt:lpstr>v_69_XVivi</vt:lpstr>
      <vt:lpstr>v_7_CB</vt:lpstr>
      <vt:lpstr>v_7_CU</vt:lpstr>
      <vt:lpstr>v_7_GCH4</vt:lpstr>
      <vt:lpstr>v_7_GCH4_atm</vt:lpstr>
      <vt:lpstr>v_7_GCO2</vt:lpstr>
      <vt:lpstr>v_7_GCO2_atm</vt:lpstr>
      <vt:lpstr>v_7_GH2</vt:lpstr>
      <vt:lpstr>v_7_GH2_atm</vt:lpstr>
      <vt:lpstr>v_7_GN2</vt:lpstr>
      <vt:lpstr>v_7_GN2_atm</vt:lpstr>
      <vt:lpstr>v_7_GNH3</vt:lpstr>
      <vt:lpstr>v_7_GNH3_atm</vt:lpstr>
      <vt:lpstr>v_7_GO2</vt:lpstr>
      <vt:lpstr>v_7_GO2_atm</vt:lpstr>
      <vt:lpstr>v_7_SALPHA</vt:lpstr>
      <vt:lpstr>v_7_SAN</vt:lpstr>
      <vt:lpstr>v_7_SB</vt:lpstr>
      <vt:lpstr>v_7_SCa</vt:lpstr>
      <vt:lpstr>v_7_SCAT</vt:lpstr>
      <vt:lpstr>v_7_SCH4</vt:lpstr>
      <vt:lpstr>v_7_SCO2</vt:lpstr>
      <vt:lpstr>v_7_SFe2</vt:lpstr>
      <vt:lpstr>v_7_SH</vt:lpstr>
      <vt:lpstr>v_7_SH2</vt:lpstr>
      <vt:lpstr>v_7_SK</vt:lpstr>
      <vt:lpstr>v_7_SMEOL</vt:lpstr>
      <vt:lpstr>v_7_SMg</vt:lpstr>
      <vt:lpstr>v_7_SN_B</vt:lpstr>
      <vt:lpstr>v_7_SN2</vt:lpstr>
      <vt:lpstr>v_7_SNHx</vt:lpstr>
      <vt:lpstr>v_7_SNOx</vt:lpstr>
      <vt:lpstr>v_7_SO2</vt:lpstr>
      <vt:lpstr>v_7_SORPswitch</vt:lpstr>
      <vt:lpstr>v_7_SP_B</vt:lpstr>
      <vt:lpstr>v_7_SPFOA</vt:lpstr>
      <vt:lpstr>v_7_SPFOS</vt:lpstr>
      <vt:lpstr>v_7_SPO4</vt:lpstr>
      <vt:lpstr>v_7_SU</vt:lpstr>
      <vt:lpstr>v_7_SVFA</vt:lpstr>
      <vt:lpstr>v_7_XACP</vt:lpstr>
      <vt:lpstr>v_7_XALGAE</vt:lpstr>
      <vt:lpstr>v_7_XAMETO</vt:lpstr>
      <vt:lpstr>v_7_XB</vt:lpstr>
      <vt:lpstr>v_7_XB_e</vt:lpstr>
      <vt:lpstr>v_7_XBSH</vt:lpstr>
      <vt:lpstr>v_7_XCaCO3</vt:lpstr>
      <vt:lpstr>v_7_XCASTO</vt:lpstr>
      <vt:lpstr>v_7_XE</vt:lpstr>
      <vt:lpstr>v_7_XE_ana</vt:lpstr>
      <vt:lpstr>v_7_XHAO_H</vt:lpstr>
      <vt:lpstr>v_7_XHAO_H_P</vt:lpstr>
      <vt:lpstr>v_7_XHAO_H_P_old</vt:lpstr>
      <vt:lpstr>v_7_XHAO_L</vt:lpstr>
      <vt:lpstr>v_7_XHAO_L_P</vt:lpstr>
      <vt:lpstr>v_7_XHAO_L_P_old</vt:lpstr>
      <vt:lpstr>v_7_XHAO_old</vt:lpstr>
      <vt:lpstr>v_7_XHFO_H</vt:lpstr>
      <vt:lpstr>v_7_XHFO_H_P</vt:lpstr>
      <vt:lpstr>v_7_XHFO_H_P_old</vt:lpstr>
      <vt:lpstr>v_7_XHFO_L</vt:lpstr>
      <vt:lpstr>v_7_XHFO_L_P</vt:lpstr>
      <vt:lpstr>v_7_XHFO_L_P_old</vt:lpstr>
      <vt:lpstr>v_7_XHFO_old</vt:lpstr>
      <vt:lpstr>v_7_XHMETO</vt:lpstr>
      <vt:lpstr>v_7_XINORG</vt:lpstr>
      <vt:lpstr>v_7_XMEOLO</vt:lpstr>
      <vt:lpstr>v_7_XN_B</vt:lpstr>
      <vt:lpstr>v_7_XN_Be</vt:lpstr>
      <vt:lpstr>v_7_XN_U</vt:lpstr>
      <vt:lpstr>v_7_XNITO</vt:lpstr>
      <vt:lpstr>v_7_XOHO</vt:lpstr>
      <vt:lpstr>v_7_XP_B</vt:lpstr>
      <vt:lpstr>v_7_XP_Be</vt:lpstr>
      <vt:lpstr>v_7_XP_U</vt:lpstr>
      <vt:lpstr>v_7_XPFOA</vt:lpstr>
      <vt:lpstr>v_7_XPFOS</vt:lpstr>
      <vt:lpstr>v_7_XPHA_GAO</vt:lpstr>
      <vt:lpstr>v_7_XPHA_PAO</vt:lpstr>
      <vt:lpstr>v_7_XPP</vt:lpstr>
      <vt:lpstr>v_7_XSTR</vt:lpstr>
      <vt:lpstr>v_7_XU</vt:lpstr>
      <vt:lpstr>v_7_XVivi</vt:lpstr>
      <vt:lpstr>v_70_CB</vt:lpstr>
      <vt:lpstr>v_70_CU</vt:lpstr>
      <vt:lpstr>v_70_GCH4</vt:lpstr>
      <vt:lpstr>v_70_GCH4_atm</vt:lpstr>
      <vt:lpstr>v_70_GCO2</vt:lpstr>
      <vt:lpstr>v_70_GCO2_atm</vt:lpstr>
      <vt:lpstr>v_70_GH2</vt:lpstr>
      <vt:lpstr>v_70_GH2_atm</vt:lpstr>
      <vt:lpstr>v_70_GN2</vt:lpstr>
      <vt:lpstr>v_70_GN2_atm</vt:lpstr>
      <vt:lpstr>v_70_GNH3</vt:lpstr>
      <vt:lpstr>v_70_GNH3_atm</vt:lpstr>
      <vt:lpstr>v_70_GO2</vt:lpstr>
      <vt:lpstr>v_70_GO2_atm</vt:lpstr>
      <vt:lpstr>v_70_SALPHA</vt:lpstr>
      <vt:lpstr>v_70_SAN</vt:lpstr>
      <vt:lpstr>v_70_SB</vt:lpstr>
      <vt:lpstr>v_70_SCa</vt:lpstr>
      <vt:lpstr>v_70_SCAT</vt:lpstr>
      <vt:lpstr>v_70_SCH4</vt:lpstr>
      <vt:lpstr>v_70_SCO2</vt:lpstr>
      <vt:lpstr>v_70_SFe2</vt:lpstr>
      <vt:lpstr>v_70_SH</vt:lpstr>
      <vt:lpstr>v_70_SH2</vt:lpstr>
      <vt:lpstr>v_70_SK</vt:lpstr>
      <vt:lpstr>v_70_SMEOL</vt:lpstr>
      <vt:lpstr>v_70_SMg</vt:lpstr>
      <vt:lpstr>v_70_SN_B</vt:lpstr>
      <vt:lpstr>v_70_SN2</vt:lpstr>
      <vt:lpstr>v_70_SNHx</vt:lpstr>
      <vt:lpstr>v_70_SNOx</vt:lpstr>
      <vt:lpstr>v_70_SO2</vt:lpstr>
      <vt:lpstr>v_70_SORPswitch</vt:lpstr>
      <vt:lpstr>v_70_SP_B</vt:lpstr>
      <vt:lpstr>v_70_SPFOA</vt:lpstr>
      <vt:lpstr>v_70_SPFOS</vt:lpstr>
      <vt:lpstr>v_70_SPO4</vt:lpstr>
      <vt:lpstr>v_70_SU</vt:lpstr>
      <vt:lpstr>v_70_SVFA</vt:lpstr>
      <vt:lpstr>v_70_XACP</vt:lpstr>
      <vt:lpstr>v_70_XALGAE</vt:lpstr>
      <vt:lpstr>v_70_XAMETO</vt:lpstr>
      <vt:lpstr>v_70_XB</vt:lpstr>
      <vt:lpstr>v_70_XB_e</vt:lpstr>
      <vt:lpstr>v_70_XBSH</vt:lpstr>
      <vt:lpstr>v_70_XCaCO3</vt:lpstr>
      <vt:lpstr>v_70_XCASTO</vt:lpstr>
      <vt:lpstr>v_70_XE</vt:lpstr>
      <vt:lpstr>v_70_XE_ana</vt:lpstr>
      <vt:lpstr>v_70_XHAO_H</vt:lpstr>
      <vt:lpstr>v_70_XHAO_H_P</vt:lpstr>
      <vt:lpstr>v_70_XHAO_H_P_old</vt:lpstr>
      <vt:lpstr>v_70_XHAO_L</vt:lpstr>
      <vt:lpstr>v_70_XHAO_L_P</vt:lpstr>
      <vt:lpstr>v_70_XHAO_L_P_old</vt:lpstr>
      <vt:lpstr>v_70_XHAO_old</vt:lpstr>
      <vt:lpstr>v_70_XHFO_H</vt:lpstr>
      <vt:lpstr>v_70_XHFO_H_P</vt:lpstr>
      <vt:lpstr>v_70_XHFO_H_P_old</vt:lpstr>
      <vt:lpstr>v_70_XHFO_L</vt:lpstr>
      <vt:lpstr>v_70_XHFO_L_P</vt:lpstr>
      <vt:lpstr>v_70_XHFO_L_P_old</vt:lpstr>
      <vt:lpstr>v_70_XHFO_old</vt:lpstr>
      <vt:lpstr>v_70_XHMETO</vt:lpstr>
      <vt:lpstr>v_70_XINORG</vt:lpstr>
      <vt:lpstr>v_70_XMEOLO</vt:lpstr>
      <vt:lpstr>v_70_XN_B</vt:lpstr>
      <vt:lpstr>v_70_XN_Be</vt:lpstr>
      <vt:lpstr>v_70_XN_U</vt:lpstr>
      <vt:lpstr>v_70_XNITO</vt:lpstr>
      <vt:lpstr>v_70_XOHO</vt:lpstr>
      <vt:lpstr>v_70_XP_B</vt:lpstr>
      <vt:lpstr>v_70_XP_Be</vt:lpstr>
      <vt:lpstr>v_70_XP_U</vt:lpstr>
      <vt:lpstr>v_70_XPFOA</vt:lpstr>
      <vt:lpstr>v_70_XPFOS</vt:lpstr>
      <vt:lpstr>v_70_XPHA_GAO</vt:lpstr>
      <vt:lpstr>v_70_XPHA_PAO</vt:lpstr>
      <vt:lpstr>v_70_XPP</vt:lpstr>
      <vt:lpstr>v_70_XSTR</vt:lpstr>
      <vt:lpstr>v_70_XU</vt:lpstr>
      <vt:lpstr>v_70_XVivi</vt:lpstr>
      <vt:lpstr>v_71_CB</vt:lpstr>
      <vt:lpstr>v_71_CU</vt:lpstr>
      <vt:lpstr>v_71_GCH4</vt:lpstr>
      <vt:lpstr>v_71_GCH4_atm</vt:lpstr>
      <vt:lpstr>v_71_GCO2</vt:lpstr>
      <vt:lpstr>v_71_GCO2_atm</vt:lpstr>
      <vt:lpstr>v_71_GH2</vt:lpstr>
      <vt:lpstr>v_71_GH2_atm</vt:lpstr>
      <vt:lpstr>v_71_GN2</vt:lpstr>
      <vt:lpstr>v_71_GN2_atm</vt:lpstr>
      <vt:lpstr>v_71_GNH3</vt:lpstr>
      <vt:lpstr>v_71_GNH3_atm</vt:lpstr>
      <vt:lpstr>v_71_GO2</vt:lpstr>
      <vt:lpstr>v_71_GO2_atm</vt:lpstr>
      <vt:lpstr>v_71_SALPHA</vt:lpstr>
      <vt:lpstr>v_71_SAN</vt:lpstr>
      <vt:lpstr>v_71_SB</vt:lpstr>
      <vt:lpstr>v_71_SCa</vt:lpstr>
      <vt:lpstr>v_71_SCAT</vt:lpstr>
      <vt:lpstr>v_71_SCH4</vt:lpstr>
      <vt:lpstr>v_71_SCO2</vt:lpstr>
      <vt:lpstr>v_71_SFe2</vt:lpstr>
      <vt:lpstr>v_71_SH</vt:lpstr>
      <vt:lpstr>v_71_SH2</vt:lpstr>
      <vt:lpstr>v_71_SK</vt:lpstr>
      <vt:lpstr>v_71_SMEOL</vt:lpstr>
      <vt:lpstr>v_71_SMg</vt:lpstr>
      <vt:lpstr>v_71_SN_B</vt:lpstr>
      <vt:lpstr>v_71_SN2</vt:lpstr>
      <vt:lpstr>v_71_SNHx</vt:lpstr>
      <vt:lpstr>v_71_SNOx</vt:lpstr>
      <vt:lpstr>v_71_SO2</vt:lpstr>
      <vt:lpstr>v_71_SORPswitch</vt:lpstr>
      <vt:lpstr>v_71_SP_B</vt:lpstr>
      <vt:lpstr>v_71_SPFOA</vt:lpstr>
      <vt:lpstr>v_71_SPFOS</vt:lpstr>
      <vt:lpstr>v_71_SPO4</vt:lpstr>
      <vt:lpstr>v_71_SU</vt:lpstr>
      <vt:lpstr>v_71_SVFA</vt:lpstr>
      <vt:lpstr>v_71_XACP</vt:lpstr>
      <vt:lpstr>v_71_XALGAE</vt:lpstr>
      <vt:lpstr>v_71_XAMETO</vt:lpstr>
      <vt:lpstr>v_71_XB</vt:lpstr>
      <vt:lpstr>v_71_XB_e</vt:lpstr>
      <vt:lpstr>v_71_XBSH</vt:lpstr>
      <vt:lpstr>v_71_XCaCO3</vt:lpstr>
      <vt:lpstr>v_71_XCASTO</vt:lpstr>
      <vt:lpstr>v_71_XE</vt:lpstr>
      <vt:lpstr>v_71_XE_ana</vt:lpstr>
      <vt:lpstr>v_71_XHAO_H</vt:lpstr>
      <vt:lpstr>v_71_XHAO_H_P</vt:lpstr>
      <vt:lpstr>v_71_XHAO_H_P_old</vt:lpstr>
      <vt:lpstr>v_71_XHAO_L</vt:lpstr>
      <vt:lpstr>v_71_XHAO_L_P</vt:lpstr>
      <vt:lpstr>v_71_XHAO_L_P_old</vt:lpstr>
      <vt:lpstr>v_71_XHAO_old</vt:lpstr>
      <vt:lpstr>v_71_XHFO_H</vt:lpstr>
      <vt:lpstr>v_71_XHFO_H_P</vt:lpstr>
      <vt:lpstr>v_71_XHFO_H_P_old</vt:lpstr>
      <vt:lpstr>v_71_XHFO_L</vt:lpstr>
      <vt:lpstr>v_71_XHFO_L_P</vt:lpstr>
      <vt:lpstr>v_71_XHFO_L_P_old</vt:lpstr>
      <vt:lpstr>v_71_XHFO_old</vt:lpstr>
      <vt:lpstr>v_71_XHMETO</vt:lpstr>
      <vt:lpstr>v_71_XINORG</vt:lpstr>
      <vt:lpstr>v_71_XMEOLO</vt:lpstr>
      <vt:lpstr>v_71_XN_B</vt:lpstr>
      <vt:lpstr>v_71_XN_Be</vt:lpstr>
      <vt:lpstr>v_71_XN_U</vt:lpstr>
      <vt:lpstr>v_71_XNITO</vt:lpstr>
      <vt:lpstr>v_71_XOHO</vt:lpstr>
      <vt:lpstr>v_71_XP_B</vt:lpstr>
      <vt:lpstr>v_71_XP_Be</vt:lpstr>
      <vt:lpstr>v_71_XP_U</vt:lpstr>
      <vt:lpstr>v_71_XPFOA</vt:lpstr>
      <vt:lpstr>v_71_XPFOS</vt:lpstr>
      <vt:lpstr>v_71_XPHA_GAO</vt:lpstr>
      <vt:lpstr>v_71_XPHA_PAO</vt:lpstr>
      <vt:lpstr>v_71_XPP</vt:lpstr>
      <vt:lpstr>v_71_XSTR</vt:lpstr>
      <vt:lpstr>v_71_XU</vt:lpstr>
      <vt:lpstr>v_71_XVivi</vt:lpstr>
      <vt:lpstr>v_72_CB</vt:lpstr>
      <vt:lpstr>v_72_CU</vt:lpstr>
      <vt:lpstr>v_72_GCH4</vt:lpstr>
      <vt:lpstr>v_72_GCH4_atm</vt:lpstr>
      <vt:lpstr>v_72_GCO2</vt:lpstr>
      <vt:lpstr>v_72_GCO2_atm</vt:lpstr>
      <vt:lpstr>v_72_GH2</vt:lpstr>
      <vt:lpstr>v_72_GH2_atm</vt:lpstr>
      <vt:lpstr>v_72_GN2</vt:lpstr>
      <vt:lpstr>v_72_GN2_atm</vt:lpstr>
      <vt:lpstr>v_72_GNH3</vt:lpstr>
      <vt:lpstr>v_72_GNH3_atm</vt:lpstr>
      <vt:lpstr>v_72_GO2</vt:lpstr>
      <vt:lpstr>v_72_GO2_atm</vt:lpstr>
      <vt:lpstr>v_72_SALPHA</vt:lpstr>
      <vt:lpstr>v_72_SAN</vt:lpstr>
      <vt:lpstr>v_72_SB</vt:lpstr>
      <vt:lpstr>v_72_SCa</vt:lpstr>
      <vt:lpstr>v_72_SCAT</vt:lpstr>
      <vt:lpstr>v_72_SCH4</vt:lpstr>
      <vt:lpstr>v_72_SCO2</vt:lpstr>
      <vt:lpstr>v_72_SFe2</vt:lpstr>
      <vt:lpstr>v_72_SH</vt:lpstr>
      <vt:lpstr>v_72_SH2</vt:lpstr>
      <vt:lpstr>v_72_SK</vt:lpstr>
      <vt:lpstr>v_72_SMEOL</vt:lpstr>
      <vt:lpstr>v_72_SMg</vt:lpstr>
      <vt:lpstr>v_72_SN_B</vt:lpstr>
      <vt:lpstr>v_72_SN2</vt:lpstr>
      <vt:lpstr>v_72_SNHx</vt:lpstr>
      <vt:lpstr>v_72_SNOx</vt:lpstr>
      <vt:lpstr>v_72_SO2</vt:lpstr>
      <vt:lpstr>v_72_SORPswitch</vt:lpstr>
      <vt:lpstr>v_72_SP_B</vt:lpstr>
      <vt:lpstr>v_72_SPFOA</vt:lpstr>
      <vt:lpstr>v_72_SPFOS</vt:lpstr>
      <vt:lpstr>v_72_SPO4</vt:lpstr>
      <vt:lpstr>v_72_SU</vt:lpstr>
      <vt:lpstr>v_72_SVFA</vt:lpstr>
      <vt:lpstr>v_72_XACP</vt:lpstr>
      <vt:lpstr>v_72_XALGAE</vt:lpstr>
      <vt:lpstr>v_72_XAMETO</vt:lpstr>
      <vt:lpstr>v_72_XB</vt:lpstr>
      <vt:lpstr>v_72_XB_e</vt:lpstr>
      <vt:lpstr>v_72_XBSH</vt:lpstr>
      <vt:lpstr>v_72_XCaCO3</vt:lpstr>
      <vt:lpstr>v_72_XCASTO</vt:lpstr>
      <vt:lpstr>v_72_XE</vt:lpstr>
      <vt:lpstr>v_72_XE_ana</vt:lpstr>
      <vt:lpstr>v_72_XHAO_H</vt:lpstr>
      <vt:lpstr>v_72_XHAO_H_P</vt:lpstr>
      <vt:lpstr>v_72_XHAO_H_P_old</vt:lpstr>
      <vt:lpstr>v_72_XHAO_L</vt:lpstr>
      <vt:lpstr>v_72_XHAO_L_P</vt:lpstr>
      <vt:lpstr>v_72_XHAO_L_P_old</vt:lpstr>
      <vt:lpstr>v_72_XHAO_old</vt:lpstr>
      <vt:lpstr>v_72_XHFO_H</vt:lpstr>
      <vt:lpstr>v_72_XHFO_H_P</vt:lpstr>
      <vt:lpstr>v_72_XHFO_H_P_old</vt:lpstr>
      <vt:lpstr>v_72_XHFO_L</vt:lpstr>
      <vt:lpstr>v_72_XHFO_L_P</vt:lpstr>
      <vt:lpstr>v_72_XHFO_L_P_old</vt:lpstr>
      <vt:lpstr>v_72_XHFO_old</vt:lpstr>
      <vt:lpstr>v_72_XHMETO</vt:lpstr>
      <vt:lpstr>v_72_XINORG</vt:lpstr>
      <vt:lpstr>v_72_XMEOLO</vt:lpstr>
      <vt:lpstr>v_72_XN_B</vt:lpstr>
      <vt:lpstr>v_72_XN_Be</vt:lpstr>
      <vt:lpstr>v_72_XN_U</vt:lpstr>
      <vt:lpstr>v_72_XNITO</vt:lpstr>
      <vt:lpstr>v_72_XOHO</vt:lpstr>
      <vt:lpstr>v_72_XP_B</vt:lpstr>
      <vt:lpstr>v_72_XP_Be</vt:lpstr>
      <vt:lpstr>v_72_XP_U</vt:lpstr>
      <vt:lpstr>v_72_XPFOA</vt:lpstr>
      <vt:lpstr>v_72_XPFOS</vt:lpstr>
      <vt:lpstr>v_72_XPHA_GAO</vt:lpstr>
      <vt:lpstr>v_72_XPHA_PAO</vt:lpstr>
      <vt:lpstr>v_72_XPP</vt:lpstr>
      <vt:lpstr>v_72_XSTR</vt:lpstr>
      <vt:lpstr>v_72_XU</vt:lpstr>
      <vt:lpstr>v_72_XVivi</vt:lpstr>
      <vt:lpstr>v_73_CB</vt:lpstr>
      <vt:lpstr>v_73_CU</vt:lpstr>
      <vt:lpstr>v_73_GCH4</vt:lpstr>
      <vt:lpstr>v_73_GCH4_atm</vt:lpstr>
      <vt:lpstr>v_73_GCO2</vt:lpstr>
      <vt:lpstr>v_73_GCO2_atm</vt:lpstr>
      <vt:lpstr>v_73_GH2</vt:lpstr>
      <vt:lpstr>v_73_GH2_atm</vt:lpstr>
      <vt:lpstr>v_73_GN2</vt:lpstr>
      <vt:lpstr>v_73_GN2_atm</vt:lpstr>
      <vt:lpstr>v_73_GNH3</vt:lpstr>
      <vt:lpstr>v_73_GNH3_atm</vt:lpstr>
      <vt:lpstr>v_73_GO2</vt:lpstr>
      <vt:lpstr>v_73_GO2_atm</vt:lpstr>
      <vt:lpstr>v_73_SALPHA</vt:lpstr>
      <vt:lpstr>v_73_SAN</vt:lpstr>
      <vt:lpstr>v_73_SB</vt:lpstr>
      <vt:lpstr>v_73_SCa</vt:lpstr>
      <vt:lpstr>v_73_SCAT</vt:lpstr>
      <vt:lpstr>v_73_SCH4</vt:lpstr>
      <vt:lpstr>v_73_SCO2</vt:lpstr>
      <vt:lpstr>v_73_SFe2</vt:lpstr>
      <vt:lpstr>v_73_SH</vt:lpstr>
      <vt:lpstr>v_73_SH2</vt:lpstr>
      <vt:lpstr>v_73_SK</vt:lpstr>
      <vt:lpstr>v_73_SMEOL</vt:lpstr>
      <vt:lpstr>v_73_SMg</vt:lpstr>
      <vt:lpstr>v_73_SN_B</vt:lpstr>
      <vt:lpstr>v_73_SN2</vt:lpstr>
      <vt:lpstr>v_73_SNHx</vt:lpstr>
      <vt:lpstr>v_73_SNOx</vt:lpstr>
      <vt:lpstr>v_73_SO2</vt:lpstr>
      <vt:lpstr>v_73_SORPswitch</vt:lpstr>
      <vt:lpstr>v_73_SP_B</vt:lpstr>
      <vt:lpstr>v_73_SPFOA</vt:lpstr>
      <vt:lpstr>v_73_SPFOS</vt:lpstr>
      <vt:lpstr>v_73_SPO4</vt:lpstr>
      <vt:lpstr>v_73_SU</vt:lpstr>
      <vt:lpstr>v_73_SVFA</vt:lpstr>
      <vt:lpstr>v_73_XACP</vt:lpstr>
      <vt:lpstr>v_73_XALGAE</vt:lpstr>
      <vt:lpstr>v_73_XAMETO</vt:lpstr>
      <vt:lpstr>v_73_XB</vt:lpstr>
      <vt:lpstr>v_73_XB_e</vt:lpstr>
      <vt:lpstr>v_73_XBSH</vt:lpstr>
      <vt:lpstr>v_73_XCaCO3</vt:lpstr>
      <vt:lpstr>v_73_XCASTO</vt:lpstr>
      <vt:lpstr>v_73_XE</vt:lpstr>
      <vt:lpstr>v_73_XE_ana</vt:lpstr>
      <vt:lpstr>v_73_XHAO_H</vt:lpstr>
      <vt:lpstr>v_73_XHAO_H_P</vt:lpstr>
      <vt:lpstr>v_73_XHAO_H_P_old</vt:lpstr>
      <vt:lpstr>v_73_XHAO_L</vt:lpstr>
      <vt:lpstr>v_73_XHAO_L_P</vt:lpstr>
      <vt:lpstr>v_73_XHAO_L_P_old</vt:lpstr>
      <vt:lpstr>v_73_XHAO_old</vt:lpstr>
      <vt:lpstr>v_73_XHFO_H</vt:lpstr>
      <vt:lpstr>v_73_XHFO_H_P</vt:lpstr>
      <vt:lpstr>v_73_XHFO_H_P_old</vt:lpstr>
      <vt:lpstr>v_73_XHFO_L</vt:lpstr>
      <vt:lpstr>v_73_XHFO_L_P</vt:lpstr>
      <vt:lpstr>v_73_XHFO_L_P_old</vt:lpstr>
      <vt:lpstr>v_73_XHFO_old</vt:lpstr>
      <vt:lpstr>v_73_XHMETO</vt:lpstr>
      <vt:lpstr>v_73_XINORG</vt:lpstr>
      <vt:lpstr>v_73_XMEOLO</vt:lpstr>
      <vt:lpstr>v_73_XN_B</vt:lpstr>
      <vt:lpstr>v_73_XN_Be</vt:lpstr>
      <vt:lpstr>v_73_XN_U</vt:lpstr>
      <vt:lpstr>v_73_XNITO</vt:lpstr>
      <vt:lpstr>v_73_XOHO</vt:lpstr>
      <vt:lpstr>v_73_XP_B</vt:lpstr>
      <vt:lpstr>v_73_XP_Be</vt:lpstr>
      <vt:lpstr>v_73_XP_U</vt:lpstr>
      <vt:lpstr>v_73_XPFOA</vt:lpstr>
      <vt:lpstr>v_73_XPFOS</vt:lpstr>
      <vt:lpstr>v_73_XPHA_GAO</vt:lpstr>
      <vt:lpstr>v_73_XPHA_PAO</vt:lpstr>
      <vt:lpstr>v_73_XPP</vt:lpstr>
      <vt:lpstr>v_73_XSTR</vt:lpstr>
      <vt:lpstr>v_73_XU</vt:lpstr>
      <vt:lpstr>v_73_XVivi</vt:lpstr>
      <vt:lpstr>v_74_CB</vt:lpstr>
      <vt:lpstr>v_74_CU</vt:lpstr>
      <vt:lpstr>v_74_GCH4</vt:lpstr>
      <vt:lpstr>v_74_GCH4_atm</vt:lpstr>
      <vt:lpstr>v_74_GCO2</vt:lpstr>
      <vt:lpstr>v_74_GCO2_atm</vt:lpstr>
      <vt:lpstr>v_74_GH2</vt:lpstr>
      <vt:lpstr>v_74_GH2_atm</vt:lpstr>
      <vt:lpstr>v_74_GN2</vt:lpstr>
      <vt:lpstr>v_74_GN2_atm</vt:lpstr>
      <vt:lpstr>v_74_GNH3</vt:lpstr>
      <vt:lpstr>v_74_GNH3_atm</vt:lpstr>
      <vt:lpstr>v_74_GO2</vt:lpstr>
      <vt:lpstr>v_74_GO2_atm</vt:lpstr>
      <vt:lpstr>v_74_SALPHA</vt:lpstr>
      <vt:lpstr>v_74_SAN</vt:lpstr>
      <vt:lpstr>v_74_SB</vt:lpstr>
      <vt:lpstr>v_74_SCa</vt:lpstr>
      <vt:lpstr>v_74_SCAT</vt:lpstr>
      <vt:lpstr>v_74_SCH4</vt:lpstr>
      <vt:lpstr>v_74_SCO2</vt:lpstr>
      <vt:lpstr>v_74_SFe2</vt:lpstr>
      <vt:lpstr>v_74_SH</vt:lpstr>
      <vt:lpstr>v_74_SH2</vt:lpstr>
      <vt:lpstr>v_74_SK</vt:lpstr>
      <vt:lpstr>v_74_SMEOL</vt:lpstr>
      <vt:lpstr>v_74_SMg</vt:lpstr>
      <vt:lpstr>v_74_SN_B</vt:lpstr>
      <vt:lpstr>v_74_SN2</vt:lpstr>
      <vt:lpstr>v_74_SNHx</vt:lpstr>
      <vt:lpstr>v_74_SNOx</vt:lpstr>
      <vt:lpstr>v_74_SO2</vt:lpstr>
      <vt:lpstr>v_74_SORPswitch</vt:lpstr>
      <vt:lpstr>v_74_SP_B</vt:lpstr>
      <vt:lpstr>v_74_SPFOA</vt:lpstr>
      <vt:lpstr>v_74_SPFOS</vt:lpstr>
      <vt:lpstr>v_74_SPO4</vt:lpstr>
      <vt:lpstr>v_74_SU</vt:lpstr>
      <vt:lpstr>v_74_SVFA</vt:lpstr>
      <vt:lpstr>v_74_XACP</vt:lpstr>
      <vt:lpstr>v_74_XALGAE</vt:lpstr>
      <vt:lpstr>v_74_XAMETO</vt:lpstr>
      <vt:lpstr>v_74_XB</vt:lpstr>
      <vt:lpstr>v_74_XB_e</vt:lpstr>
      <vt:lpstr>v_74_XBSH</vt:lpstr>
      <vt:lpstr>v_74_XCaCO3</vt:lpstr>
      <vt:lpstr>v_74_XCASTO</vt:lpstr>
      <vt:lpstr>v_74_XE</vt:lpstr>
      <vt:lpstr>v_74_XE_ana</vt:lpstr>
      <vt:lpstr>v_74_XHAO_H</vt:lpstr>
      <vt:lpstr>v_74_XHAO_H_P</vt:lpstr>
      <vt:lpstr>v_74_XHAO_H_P_old</vt:lpstr>
      <vt:lpstr>v_74_XHAO_L</vt:lpstr>
      <vt:lpstr>v_74_XHAO_L_P</vt:lpstr>
      <vt:lpstr>v_74_XHAO_L_P_old</vt:lpstr>
      <vt:lpstr>v_74_XHAO_old</vt:lpstr>
      <vt:lpstr>v_74_XHFO_H</vt:lpstr>
      <vt:lpstr>v_74_XHFO_H_P</vt:lpstr>
      <vt:lpstr>v_74_XHFO_H_P_old</vt:lpstr>
      <vt:lpstr>v_74_XHFO_L</vt:lpstr>
      <vt:lpstr>v_74_XHFO_L_P</vt:lpstr>
      <vt:lpstr>v_74_XHFO_L_P_old</vt:lpstr>
      <vt:lpstr>v_74_XHFO_old</vt:lpstr>
      <vt:lpstr>v_74_XHMETO</vt:lpstr>
      <vt:lpstr>v_74_XINORG</vt:lpstr>
      <vt:lpstr>v_74_XMEOLO</vt:lpstr>
      <vt:lpstr>v_74_XN_B</vt:lpstr>
      <vt:lpstr>v_74_XN_Be</vt:lpstr>
      <vt:lpstr>v_74_XN_U</vt:lpstr>
      <vt:lpstr>v_74_XNITO</vt:lpstr>
      <vt:lpstr>v_74_XOHO</vt:lpstr>
      <vt:lpstr>v_74_XP_B</vt:lpstr>
      <vt:lpstr>v_74_XP_Be</vt:lpstr>
      <vt:lpstr>v_74_XP_U</vt:lpstr>
      <vt:lpstr>v_74_XPFOA</vt:lpstr>
      <vt:lpstr>v_74_XPFOS</vt:lpstr>
      <vt:lpstr>v_74_XPHA_GAO</vt:lpstr>
      <vt:lpstr>v_74_XPHA_PAO</vt:lpstr>
      <vt:lpstr>v_74_XPP</vt:lpstr>
      <vt:lpstr>v_74_XSTR</vt:lpstr>
      <vt:lpstr>v_74_XU</vt:lpstr>
      <vt:lpstr>v_74_XVivi</vt:lpstr>
      <vt:lpstr>v_75_CB</vt:lpstr>
      <vt:lpstr>v_75_CU</vt:lpstr>
      <vt:lpstr>v_75_GCH4</vt:lpstr>
      <vt:lpstr>v_75_GCH4_atm</vt:lpstr>
      <vt:lpstr>v_75_GCO2</vt:lpstr>
      <vt:lpstr>v_75_GCO2_atm</vt:lpstr>
      <vt:lpstr>v_75_GH2</vt:lpstr>
      <vt:lpstr>v_75_GH2_atm</vt:lpstr>
      <vt:lpstr>v_75_GN2</vt:lpstr>
      <vt:lpstr>v_75_GN2_atm</vt:lpstr>
      <vt:lpstr>v_75_GNH3</vt:lpstr>
      <vt:lpstr>v_75_GNH3_atm</vt:lpstr>
      <vt:lpstr>v_75_GO2</vt:lpstr>
      <vt:lpstr>v_75_GO2_atm</vt:lpstr>
      <vt:lpstr>v_75_SALPHA</vt:lpstr>
      <vt:lpstr>v_75_SAN</vt:lpstr>
      <vt:lpstr>v_75_SB</vt:lpstr>
      <vt:lpstr>v_75_SCa</vt:lpstr>
      <vt:lpstr>v_75_SCAT</vt:lpstr>
      <vt:lpstr>v_75_SCH4</vt:lpstr>
      <vt:lpstr>v_75_SCO2</vt:lpstr>
      <vt:lpstr>v_75_SFe2</vt:lpstr>
      <vt:lpstr>v_75_SH</vt:lpstr>
      <vt:lpstr>v_75_SH2</vt:lpstr>
      <vt:lpstr>v_75_SK</vt:lpstr>
      <vt:lpstr>v_75_SMEOL</vt:lpstr>
      <vt:lpstr>v_75_SMg</vt:lpstr>
      <vt:lpstr>v_75_SN_B</vt:lpstr>
      <vt:lpstr>v_75_SN2</vt:lpstr>
      <vt:lpstr>v_75_SNHx</vt:lpstr>
      <vt:lpstr>v_75_SNOx</vt:lpstr>
      <vt:lpstr>v_75_SO2</vt:lpstr>
      <vt:lpstr>v_75_SORPswitch</vt:lpstr>
      <vt:lpstr>v_75_SP_B</vt:lpstr>
      <vt:lpstr>v_75_SPFOA</vt:lpstr>
      <vt:lpstr>v_75_SPFOS</vt:lpstr>
      <vt:lpstr>v_75_SPO4</vt:lpstr>
      <vt:lpstr>v_75_SU</vt:lpstr>
      <vt:lpstr>v_75_SVFA</vt:lpstr>
      <vt:lpstr>v_75_XACP</vt:lpstr>
      <vt:lpstr>v_75_XALGAE</vt:lpstr>
      <vt:lpstr>v_75_XAMETO</vt:lpstr>
      <vt:lpstr>v_75_XB</vt:lpstr>
      <vt:lpstr>v_75_XB_e</vt:lpstr>
      <vt:lpstr>v_75_XBSH</vt:lpstr>
      <vt:lpstr>v_75_XCaCO3</vt:lpstr>
      <vt:lpstr>v_75_XCASTO</vt:lpstr>
      <vt:lpstr>v_75_XE</vt:lpstr>
      <vt:lpstr>v_75_XE_ana</vt:lpstr>
      <vt:lpstr>v_75_XHAO_H</vt:lpstr>
      <vt:lpstr>v_75_XHAO_H_P</vt:lpstr>
      <vt:lpstr>v_75_XHAO_H_P_old</vt:lpstr>
      <vt:lpstr>v_75_XHAO_L</vt:lpstr>
      <vt:lpstr>v_75_XHAO_L_P</vt:lpstr>
      <vt:lpstr>v_75_XHAO_L_P_old</vt:lpstr>
      <vt:lpstr>v_75_XHAO_old</vt:lpstr>
      <vt:lpstr>v_75_XHFO_H</vt:lpstr>
      <vt:lpstr>v_75_XHFO_H_P</vt:lpstr>
      <vt:lpstr>v_75_XHFO_H_P_old</vt:lpstr>
      <vt:lpstr>v_75_XHFO_L</vt:lpstr>
      <vt:lpstr>v_75_XHFO_L_P</vt:lpstr>
      <vt:lpstr>v_75_XHFO_L_P_old</vt:lpstr>
      <vt:lpstr>v_75_XHFO_old</vt:lpstr>
      <vt:lpstr>v_75_XHMETO</vt:lpstr>
      <vt:lpstr>v_75_XINORG</vt:lpstr>
      <vt:lpstr>v_75_XMEOLO</vt:lpstr>
      <vt:lpstr>v_75_XN_B</vt:lpstr>
      <vt:lpstr>v_75_XN_Be</vt:lpstr>
      <vt:lpstr>v_75_XN_U</vt:lpstr>
      <vt:lpstr>v_75_XNITO</vt:lpstr>
      <vt:lpstr>v_75_XOHO</vt:lpstr>
      <vt:lpstr>v_75_XP_B</vt:lpstr>
      <vt:lpstr>v_75_XP_Be</vt:lpstr>
      <vt:lpstr>v_75_XP_U</vt:lpstr>
      <vt:lpstr>v_75_XPFOA</vt:lpstr>
      <vt:lpstr>v_75_XPFOS</vt:lpstr>
      <vt:lpstr>v_75_XPHA_GAO</vt:lpstr>
      <vt:lpstr>v_75_XPHA_PAO</vt:lpstr>
      <vt:lpstr>v_75_XPP</vt:lpstr>
      <vt:lpstr>v_75_XSTR</vt:lpstr>
      <vt:lpstr>v_75_XU</vt:lpstr>
      <vt:lpstr>v_75_XVivi</vt:lpstr>
      <vt:lpstr>v_76_CB</vt:lpstr>
      <vt:lpstr>v_76_CU</vt:lpstr>
      <vt:lpstr>v_76_GCH4</vt:lpstr>
      <vt:lpstr>v_76_GCH4_atm</vt:lpstr>
      <vt:lpstr>v_76_GCO2</vt:lpstr>
      <vt:lpstr>v_76_GCO2_atm</vt:lpstr>
      <vt:lpstr>v_76_GH2</vt:lpstr>
      <vt:lpstr>v_76_GH2_atm</vt:lpstr>
      <vt:lpstr>v_76_GN2</vt:lpstr>
      <vt:lpstr>v_76_GN2_atm</vt:lpstr>
      <vt:lpstr>v_76_GNH3</vt:lpstr>
      <vt:lpstr>v_76_GNH3_atm</vt:lpstr>
      <vt:lpstr>v_76_GO2</vt:lpstr>
      <vt:lpstr>v_76_GO2_atm</vt:lpstr>
      <vt:lpstr>v_76_SALPHA</vt:lpstr>
      <vt:lpstr>v_76_SAN</vt:lpstr>
      <vt:lpstr>v_76_SB</vt:lpstr>
      <vt:lpstr>v_76_SCa</vt:lpstr>
      <vt:lpstr>v_76_SCAT</vt:lpstr>
      <vt:lpstr>v_76_SCH4</vt:lpstr>
      <vt:lpstr>v_76_SCO2</vt:lpstr>
      <vt:lpstr>v_76_SFe2</vt:lpstr>
      <vt:lpstr>v_76_SH</vt:lpstr>
      <vt:lpstr>v_76_SH2</vt:lpstr>
      <vt:lpstr>v_76_SK</vt:lpstr>
      <vt:lpstr>v_76_SMEOL</vt:lpstr>
      <vt:lpstr>v_76_SMg</vt:lpstr>
      <vt:lpstr>v_76_SN_B</vt:lpstr>
      <vt:lpstr>v_76_SN2</vt:lpstr>
      <vt:lpstr>v_76_SNHx</vt:lpstr>
      <vt:lpstr>v_76_SNOx</vt:lpstr>
      <vt:lpstr>v_76_SO2</vt:lpstr>
      <vt:lpstr>v_76_SORPswitch</vt:lpstr>
      <vt:lpstr>v_76_SP_B</vt:lpstr>
      <vt:lpstr>v_76_SPFOA</vt:lpstr>
      <vt:lpstr>v_76_SPFOS</vt:lpstr>
      <vt:lpstr>v_76_SPO4</vt:lpstr>
      <vt:lpstr>v_76_SU</vt:lpstr>
      <vt:lpstr>v_76_SVFA</vt:lpstr>
      <vt:lpstr>v_76_XACP</vt:lpstr>
      <vt:lpstr>v_76_XALGAE</vt:lpstr>
      <vt:lpstr>v_76_XAMETO</vt:lpstr>
      <vt:lpstr>v_76_XB</vt:lpstr>
      <vt:lpstr>v_76_XB_e</vt:lpstr>
      <vt:lpstr>v_76_XBSH</vt:lpstr>
      <vt:lpstr>v_76_XCaCO3</vt:lpstr>
      <vt:lpstr>v_76_XCASTO</vt:lpstr>
      <vt:lpstr>v_76_XE</vt:lpstr>
      <vt:lpstr>v_76_XE_ana</vt:lpstr>
      <vt:lpstr>v_76_XHAO_H</vt:lpstr>
      <vt:lpstr>v_76_XHAO_H_P</vt:lpstr>
      <vt:lpstr>v_76_XHAO_H_P_old</vt:lpstr>
      <vt:lpstr>v_76_XHAO_L</vt:lpstr>
      <vt:lpstr>v_76_XHAO_L_P</vt:lpstr>
      <vt:lpstr>v_76_XHAO_L_P_old</vt:lpstr>
      <vt:lpstr>v_76_XHAO_old</vt:lpstr>
      <vt:lpstr>v_76_XHFO_H</vt:lpstr>
      <vt:lpstr>v_76_XHFO_H_P</vt:lpstr>
      <vt:lpstr>v_76_XHFO_H_P_old</vt:lpstr>
      <vt:lpstr>v_76_XHFO_L</vt:lpstr>
      <vt:lpstr>v_76_XHFO_L_P</vt:lpstr>
      <vt:lpstr>v_76_XHFO_L_P_old</vt:lpstr>
      <vt:lpstr>v_76_XHFO_old</vt:lpstr>
      <vt:lpstr>v_76_XHMETO</vt:lpstr>
      <vt:lpstr>v_76_XINORG</vt:lpstr>
      <vt:lpstr>v_76_XMEOLO</vt:lpstr>
      <vt:lpstr>v_76_XN_B</vt:lpstr>
      <vt:lpstr>v_76_XN_Be</vt:lpstr>
      <vt:lpstr>v_76_XN_U</vt:lpstr>
      <vt:lpstr>v_76_XNITO</vt:lpstr>
      <vt:lpstr>v_76_XOHO</vt:lpstr>
      <vt:lpstr>v_76_XP_B</vt:lpstr>
      <vt:lpstr>v_76_XP_Be</vt:lpstr>
      <vt:lpstr>v_76_XP_U</vt:lpstr>
      <vt:lpstr>v_76_XPFOA</vt:lpstr>
      <vt:lpstr>v_76_XPFOS</vt:lpstr>
      <vt:lpstr>v_76_XPHA_GAO</vt:lpstr>
      <vt:lpstr>v_76_XPHA_PAO</vt:lpstr>
      <vt:lpstr>v_76_XPP</vt:lpstr>
      <vt:lpstr>v_76_XSTR</vt:lpstr>
      <vt:lpstr>v_76_XU</vt:lpstr>
      <vt:lpstr>v_76_XVivi</vt:lpstr>
      <vt:lpstr>v_77_CB</vt:lpstr>
      <vt:lpstr>v_77_CU</vt:lpstr>
      <vt:lpstr>v_77_GCH4</vt:lpstr>
      <vt:lpstr>v_77_GCH4_atm</vt:lpstr>
      <vt:lpstr>v_77_GCO2</vt:lpstr>
      <vt:lpstr>v_77_GCO2_atm</vt:lpstr>
      <vt:lpstr>v_77_GH2</vt:lpstr>
      <vt:lpstr>v_77_GH2_atm</vt:lpstr>
      <vt:lpstr>v_77_GN2</vt:lpstr>
      <vt:lpstr>v_77_GN2_atm</vt:lpstr>
      <vt:lpstr>v_77_GNH3</vt:lpstr>
      <vt:lpstr>v_77_GNH3_atm</vt:lpstr>
      <vt:lpstr>v_77_GO2</vt:lpstr>
      <vt:lpstr>v_77_GO2_atm</vt:lpstr>
      <vt:lpstr>v_77_SALPHA</vt:lpstr>
      <vt:lpstr>v_77_SAN</vt:lpstr>
      <vt:lpstr>v_77_SB</vt:lpstr>
      <vt:lpstr>v_77_SCa</vt:lpstr>
      <vt:lpstr>v_77_SCAT</vt:lpstr>
      <vt:lpstr>v_77_SCH4</vt:lpstr>
      <vt:lpstr>v_77_SCO2</vt:lpstr>
      <vt:lpstr>v_77_SFe2</vt:lpstr>
      <vt:lpstr>v_77_SH</vt:lpstr>
      <vt:lpstr>v_77_SH2</vt:lpstr>
      <vt:lpstr>v_77_SK</vt:lpstr>
      <vt:lpstr>v_77_SMEOL</vt:lpstr>
      <vt:lpstr>v_77_SMg</vt:lpstr>
      <vt:lpstr>v_77_SN_B</vt:lpstr>
      <vt:lpstr>v_77_SN2</vt:lpstr>
      <vt:lpstr>v_77_SNHx</vt:lpstr>
      <vt:lpstr>v_77_SNOx</vt:lpstr>
      <vt:lpstr>v_77_SO2</vt:lpstr>
      <vt:lpstr>v_77_SORPswitch</vt:lpstr>
      <vt:lpstr>v_77_SP_B</vt:lpstr>
      <vt:lpstr>v_77_SPFOA</vt:lpstr>
      <vt:lpstr>v_77_SPFOS</vt:lpstr>
      <vt:lpstr>v_77_SPO4</vt:lpstr>
      <vt:lpstr>v_77_SU</vt:lpstr>
      <vt:lpstr>v_77_SVFA</vt:lpstr>
      <vt:lpstr>v_77_XACP</vt:lpstr>
      <vt:lpstr>v_77_XALGAE</vt:lpstr>
      <vt:lpstr>v_77_XAMETO</vt:lpstr>
      <vt:lpstr>v_77_XB</vt:lpstr>
      <vt:lpstr>v_77_XB_e</vt:lpstr>
      <vt:lpstr>v_77_XBSH</vt:lpstr>
      <vt:lpstr>v_77_XCaCO3</vt:lpstr>
      <vt:lpstr>v_77_XCASTO</vt:lpstr>
      <vt:lpstr>v_77_XE</vt:lpstr>
      <vt:lpstr>v_77_XE_ana</vt:lpstr>
      <vt:lpstr>v_77_XHAO_H</vt:lpstr>
      <vt:lpstr>v_77_XHAO_H_P</vt:lpstr>
      <vt:lpstr>v_77_XHAO_H_P_old</vt:lpstr>
      <vt:lpstr>v_77_XHAO_L</vt:lpstr>
      <vt:lpstr>v_77_XHAO_L_P</vt:lpstr>
      <vt:lpstr>v_77_XHAO_L_P_old</vt:lpstr>
      <vt:lpstr>v_77_XHAO_old</vt:lpstr>
      <vt:lpstr>v_77_XHFO_H</vt:lpstr>
      <vt:lpstr>v_77_XHFO_H_P</vt:lpstr>
      <vt:lpstr>v_77_XHFO_H_P_old</vt:lpstr>
      <vt:lpstr>v_77_XHFO_L</vt:lpstr>
      <vt:lpstr>v_77_XHFO_L_P</vt:lpstr>
      <vt:lpstr>v_77_XHFO_L_P_old</vt:lpstr>
      <vt:lpstr>v_77_XHFO_old</vt:lpstr>
      <vt:lpstr>v_77_XHMETO</vt:lpstr>
      <vt:lpstr>v_77_XINORG</vt:lpstr>
      <vt:lpstr>v_77_XMEOLO</vt:lpstr>
      <vt:lpstr>v_77_XN_B</vt:lpstr>
      <vt:lpstr>v_77_XN_Be</vt:lpstr>
      <vt:lpstr>v_77_XN_U</vt:lpstr>
      <vt:lpstr>v_77_XNITO</vt:lpstr>
      <vt:lpstr>v_77_XOHO</vt:lpstr>
      <vt:lpstr>v_77_XP_B</vt:lpstr>
      <vt:lpstr>v_77_XP_Be</vt:lpstr>
      <vt:lpstr>v_77_XP_U</vt:lpstr>
      <vt:lpstr>v_77_XPFOA</vt:lpstr>
      <vt:lpstr>v_77_XPFOS</vt:lpstr>
      <vt:lpstr>v_77_XPHA_GAO</vt:lpstr>
      <vt:lpstr>v_77_XPHA_PAO</vt:lpstr>
      <vt:lpstr>v_77_XPP</vt:lpstr>
      <vt:lpstr>v_77_XSTR</vt:lpstr>
      <vt:lpstr>v_77_XU</vt:lpstr>
      <vt:lpstr>v_77_XVivi</vt:lpstr>
      <vt:lpstr>v_78_CB</vt:lpstr>
      <vt:lpstr>v_78_CU</vt:lpstr>
      <vt:lpstr>v_78_GCH4</vt:lpstr>
      <vt:lpstr>v_78_GCH4_atm</vt:lpstr>
      <vt:lpstr>v_78_GCO2</vt:lpstr>
      <vt:lpstr>v_78_GCO2_atm</vt:lpstr>
      <vt:lpstr>v_78_GH2</vt:lpstr>
      <vt:lpstr>v_78_GH2_atm</vt:lpstr>
      <vt:lpstr>v_78_GN2</vt:lpstr>
      <vt:lpstr>v_78_GN2_atm</vt:lpstr>
      <vt:lpstr>v_78_GNH3</vt:lpstr>
      <vt:lpstr>v_78_GNH3_atm</vt:lpstr>
      <vt:lpstr>v_78_GO2</vt:lpstr>
      <vt:lpstr>v_78_GO2_atm</vt:lpstr>
      <vt:lpstr>v_78_SALPHA</vt:lpstr>
      <vt:lpstr>v_78_SAN</vt:lpstr>
      <vt:lpstr>v_78_SB</vt:lpstr>
      <vt:lpstr>v_78_SCa</vt:lpstr>
      <vt:lpstr>v_78_SCAT</vt:lpstr>
      <vt:lpstr>v_78_SCH4</vt:lpstr>
      <vt:lpstr>v_78_SCO2</vt:lpstr>
      <vt:lpstr>v_78_SFe2</vt:lpstr>
      <vt:lpstr>v_78_SH</vt:lpstr>
      <vt:lpstr>v_78_SH2</vt:lpstr>
      <vt:lpstr>v_78_SK</vt:lpstr>
      <vt:lpstr>v_78_SMEOL</vt:lpstr>
      <vt:lpstr>v_78_SMg</vt:lpstr>
      <vt:lpstr>v_78_SN_B</vt:lpstr>
      <vt:lpstr>v_78_SN2</vt:lpstr>
      <vt:lpstr>v_78_SNHx</vt:lpstr>
      <vt:lpstr>v_78_SNOx</vt:lpstr>
      <vt:lpstr>v_78_SO2</vt:lpstr>
      <vt:lpstr>v_78_SORPswitch</vt:lpstr>
      <vt:lpstr>v_78_SP_B</vt:lpstr>
      <vt:lpstr>v_78_SPFOA</vt:lpstr>
      <vt:lpstr>v_78_SPFOS</vt:lpstr>
      <vt:lpstr>v_78_SPO4</vt:lpstr>
      <vt:lpstr>v_78_SU</vt:lpstr>
      <vt:lpstr>v_78_SVFA</vt:lpstr>
      <vt:lpstr>v_78_XACP</vt:lpstr>
      <vt:lpstr>v_78_XALGAE</vt:lpstr>
      <vt:lpstr>v_78_XAMETO</vt:lpstr>
      <vt:lpstr>v_78_XB</vt:lpstr>
      <vt:lpstr>v_78_XB_e</vt:lpstr>
      <vt:lpstr>v_78_XBSH</vt:lpstr>
      <vt:lpstr>v_78_XCaCO3</vt:lpstr>
      <vt:lpstr>v_78_XCASTO</vt:lpstr>
      <vt:lpstr>v_78_XE</vt:lpstr>
      <vt:lpstr>v_78_XE_ana</vt:lpstr>
      <vt:lpstr>v_78_XHAO_H</vt:lpstr>
      <vt:lpstr>v_78_XHAO_H_P</vt:lpstr>
      <vt:lpstr>v_78_XHAO_H_P_old</vt:lpstr>
      <vt:lpstr>v_78_XHAO_L</vt:lpstr>
      <vt:lpstr>v_78_XHAO_L_P</vt:lpstr>
      <vt:lpstr>v_78_XHAO_L_P_old</vt:lpstr>
      <vt:lpstr>v_78_XHAO_old</vt:lpstr>
      <vt:lpstr>v_78_XHFO_H</vt:lpstr>
      <vt:lpstr>v_78_XHFO_H_P</vt:lpstr>
      <vt:lpstr>v_78_XHFO_H_P_old</vt:lpstr>
      <vt:lpstr>v_78_XHFO_L</vt:lpstr>
      <vt:lpstr>v_78_XHFO_L_P</vt:lpstr>
      <vt:lpstr>v_78_XHFO_L_P_old</vt:lpstr>
      <vt:lpstr>v_78_XHFO_old</vt:lpstr>
      <vt:lpstr>v_78_XHMETO</vt:lpstr>
      <vt:lpstr>v_78_XINORG</vt:lpstr>
      <vt:lpstr>v_78_XMEOLO</vt:lpstr>
      <vt:lpstr>v_78_XN_B</vt:lpstr>
      <vt:lpstr>v_78_XN_Be</vt:lpstr>
      <vt:lpstr>v_78_XN_U</vt:lpstr>
      <vt:lpstr>v_78_XNITO</vt:lpstr>
      <vt:lpstr>v_78_XOHO</vt:lpstr>
      <vt:lpstr>v_78_XP_B</vt:lpstr>
      <vt:lpstr>v_78_XP_Be</vt:lpstr>
      <vt:lpstr>v_78_XP_U</vt:lpstr>
      <vt:lpstr>v_78_XPFOA</vt:lpstr>
      <vt:lpstr>v_78_XPFOS</vt:lpstr>
      <vt:lpstr>v_78_XPHA_GAO</vt:lpstr>
      <vt:lpstr>v_78_XPHA_PAO</vt:lpstr>
      <vt:lpstr>v_78_XPP</vt:lpstr>
      <vt:lpstr>v_78_XSTR</vt:lpstr>
      <vt:lpstr>v_78_XU</vt:lpstr>
      <vt:lpstr>v_78_XVivi</vt:lpstr>
      <vt:lpstr>v_79_CB</vt:lpstr>
      <vt:lpstr>v_79_CU</vt:lpstr>
      <vt:lpstr>v_79_GCH4</vt:lpstr>
      <vt:lpstr>v_79_GCH4_atm</vt:lpstr>
      <vt:lpstr>v_79_GCO2</vt:lpstr>
      <vt:lpstr>v_79_GCO2_atm</vt:lpstr>
      <vt:lpstr>v_79_GH2</vt:lpstr>
      <vt:lpstr>v_79_GH2_atm</vt:lpstr>
      <vt:lpstr>v_79_GN2</vt:lpstr>
      <vt:lpstr>v_79_GN2_atm</vt:lpstr>
      <vt:lpstr>v_79_GNH3</vt:lpstr>
      <vt:lpstr>v_79_GNH3_atm</vt:lpstr>
      <vt:lpstr>v_79_GO2</vt:lpstr>
      <vt:lpstr>v_79_GO2_atm</vt:lpstr>
      <vt:lpstr>v_79_SALPHA</vt:lpstr>
      <vt:lpstr>v_79_SAN</vt:lpstr>
      <vt:lpstr>v_79_SB</vt:lpstr>
      <vt:lpstr>v_79_SCa</vt:lpstr>
      <vt:lpstr>v_79_SCAT</vt:lpstr>
      <vt:lpstr>v_79_SCH4</vt:lpstr>
      <vt:lpstr>v_79_SCO2</vt:lpstr>
      <vt:lpstr>v_79_SFe2</vt:lpstr>
      <vt:lpstr>v_79_SH</vt:lpstr>
      <vt:lpstr>v_79_SH2</vt:lpstr>
      <vt:lpstr>v_79_SK</vt:lpstr>
      <vt:lpstr>v_79_SMEOL</vt:lpstr>
      <vt:lpstr>v_79_SMg</vt:lpstr>
      <vt:lpstr>v_79_SN_B</vt:lpstr>
      <vt:lpstr>v_79_SN2</vt:lpstr>
      <vt:lpstr>v_79_SNHx</vt:lpstr>
      <vt:lpstr>v_79_SNOx</vt:lpstr>
      <vt:lpstr>v_79_SO2</vt:lpstr>
      <vt:lpstr>v_79_SORPswitch</vt:lpstr>
      <vt:lpstr>v_79_SP_B</vt:lpstr>
      <vt:lpstr>v_79_SPFOA</vt:lpstr>
      <vt:lpstr>v_79_SPFOS</vt:lpstr>
      <vt:lpstr>v_79_SPO4</vt:lpstr>
      <vt:lpstr>v_79_SU</vt:lpstr>
      <vt:lpstr>v_79_SVFA</vt:lpstr>
      <vt:lpstr>v_79_XACP</vt:lpstr>
      <vt:lpstr>v_79_XALGAE</vt:lpstr>
      <vt:lpstr>v_79_XAMETO</vt:lpstr>
      <vt:lpstr>v_79_XB</vt:lpstr>
      <vt:lpstr>v_79_XB_e</vt:lpstr>
      <vt:lpstr>v_79_XBSH</vt:lpstr>
      <vt:lpstr>v_79_XCaCO3</vt:lpstr>
      <vt:lpstr>v_79_XCASTO</vt:lpstr>
      <vt:lpstr>v_79_XE</vt:lpstr>
      <vt:lpstr>v_79_XE_ana</vt:lpstr>
      <vt:lpstr>v_79_XHAO_H</vt:lpstr>
      <vt:lpstr>v_79_XHAO_H_P</vt:lpstr>
      <vt:lpstr>v_79_XHAO_H_P_old</vt:lpstr>
      <vt:lpstr>v_79_XHAO_L</vt:lpstr>
      <vt:lpstr>v_79_XHAO_L_P</vt:lpstr>
      <vt:lpstr>v_79_XHAO_L_P_old</vt:lpstr>
      <vt:lpstr>v_79_XHAO_old</vt:lpstr>
      <vt:lpstr>v_79_XHFO_H</vt:lpstr>
      <vt:lpstr>v_79_XHFO_H_P</vt:lpstr>
      <vt:lpstr>v_79_XHFO_H_P_old</vt:lpstr>
      <vt:lpstr>v_79_XHFO_L</vt:lpstr>
      <vt:lpstr>v_79_XHFO_L_P</vt:lpstr>
      <vt:lpstr>v_79_XHFO_L_P_old</vt:lpstr>
      <vt:lpstr>v_79_XHFO_old</vt:lpstr>
      <vt:lpstr>v_79_XHMETO</vt:lpstr>
      <vt:lpstr>v_79_XINORG</vt:lpstr>
      <vt:lpstr>v_79_XMEOLO</vt:lpstr>
      <vt:lpstr>v_79_XN_B</vt:lpstr>
      <vt:lpstr>v_79_XN_Be</vt:lpstr>
      <vt:lpstr>v_79_XN_U</vt:lpstr>
      <vt:lpstr>v_79_XNITO</vt:lpstr>
      <vt:lpstr>v_79_XOHO</vt:lpstr>
      <vt:lpstr>v_79_XP_B</vt:lpstr>
      <vt:lpstr>v_79_XP_Be</vt:lpstr>
      <vt:lpstr>v_79_XP_U</vt:lpstr>
      <vt:lpstr>v_79_XPFOA</vt:lpstr>
      <vt:lpstr>v_79_XPFOS</vt:lpstr>
      <vt:lpstr>v_79_XPHA_GAO</vt:lpstr>
      <vt:lpstr>v_79_XPHA_PAO</vt:lpstr>
      <vt:lpstr>v_79_XPP</vt:lpstr>
      <vt:lpstr>v_79_XSTR</vt:lpstr>
      <vt:lpstr>v_79_XU</vt:lpstr>
      <vt:lpstr>v_79_XVivi</vt:lpstr>
      <vt:lpstr>v_8_CB</vt:lpstr>
      <vt:lpstr>v_8_CU</vt:lpstr>
      <vt:lpstr>v_8_GCH4</vt:lpstr>
      <vt:lpstr>v_8_GCH4_atm</vt:lpstr>
      <vt:lpstr>v_8_GCO2</vt:lpstr>
      <vt:lpstr>v_8_GCO2_atm</vt:lpstr>
      <vt:lpstr>v_8_GH2</vt:lpstr>
      <vt:lpstr>v_8_GH2_atm</vt:lpstr>
      <vt:lpstr>v_8_GN2</vt:lpstr>
      <vt:lpstr>v_8_GN2_atm</vt:lpstr>
      <vt:lpstr>v_8_GNH3</vt:lpstr>
      <vt:lpstr>v_8_GNH3_atm</vt:lpstr>
      <vt:lpstr>v_8_GO2</vt:lpstr>
      <vt:lpstr>v_8_GO2_atm</vt:lpstr>
      <vt:lpstr>v_8_SALPHA</vt:lpstr>
      <vt:lpstr>v_8_SAN</vt:lpstr>
      <vt:lpstr>v_8_SB</vt:lpstr>
      <vt:lpstr>v_8_SCa</vt:lpstr>
      <vt:lpstr>v_8_SCAT</vt:lpstr>
      <vt:lpstr>v_8_SCH4</vt:lpstr>
      <vt:lpstr>v_8_SCO2</vt:lpstr>
      <vt:lpstr>v_8_SFe2</vt:lpstr>
      <vt:lpstr>v_8_SH</vt:lpstr>
      <vt:lpstr>v_8_SH2</vt:lpstr>
      <vt:lpstr>v_8_SK</vt:lpstr>
      <vt:lpstr>v_8_SMEOL</vt:lpstr>
      <vt:lpstr>v_8_SMg</vt:lpstr>
      <vt:lpstr>v_8_SN_B</vt:lpstr>
      <vt:lpstr>v_8_SN2</vt:lpstr>
      <vt:lpstr>v_8_SNHx</vt:lpstr>
      <vt:lpstr>v_8_SNOx</vt:lpstr>
      <vt:lpstr>v_8_SO2</vt:lpstr>
      <vt:lpstr>v_8_SORPswitch</vt:lpstr>
      <vt:lpstr>v_8_SP_B</vt:lpstr>
      <vt:lpstr>v_8_SPFOA</vt:lpstr>
      <vt:lpstr>v_8_SPFOS</vt:lpstr>
      <vt:lpstr>v_8_SPO4</vt:lpstr>
      <vt:lpstr>v_8_SU</vt:lpstr>
      <vt:lpstr>v_8_SVFA</vt:lpstr>
      <vt:lpstr>v_8_XACP</vt:lpstr>
      <vt:lpstr>v_8_XALGAE</vt:lpstr>
      <vt:lpstr>v_8_XAMETO</vt:lpstr>
      <vt:lpstr>v_8_XB</vt:lpstr>
      <vt:lpstr>v_8_XB_e</vt:lpstr>
      <vt:lpstr>v_8_XBSH</vt:lpstr>
      <vt:lpstr>v_8_XCaCO3</vt:lpstr>
      <vt:lpstr>v_8_XCASTO</vt:lpstr>
      <vt:lpstr>v_8_XE</vt:lpstr>
      <vt:lpstr>v_8_XE_ana</vt:lpstr>
      <vt:lpstr>v_8_XHAO_H</vt:lpstr>
      <vt:lpstr>v_8_XHAO_H_P</vt:lpstr>
      <vt:lpstr>v_8_XHAO_H_P_old</vt:lpstr>
      <vt:lpstr>v_8_XHAO_L</vt:lpstr>
      <vt:lpstr>v_8_XHAO_L_P</vt:lpstr>
      <vt:lpstr>v_8_XHAO_L_P_old</vt:lpstr>
      <vt:lpstr>v_8_XHAO_old</vt:lpstr>
      <vt:lpstr>v_8_XHFO_H</vt:lpstr>
      <vt:lpstr>v_8_XHFO_H_P</vt:lpstr>
      <vt:lpstr>v_8_XHFO_H_P_old</vt:lpstr>
      <vt:lpstr>v_8_XHFO_L</vt:lpstr>
      <vt:lpstr>v_8_XHFO_L_P</vt:lpstr>
      <vt:lpstr>v_8_XHFO_L_P_old</vt:lpstr>
      <vt:lpstr>v_8_XHFO_old</vt:lpstr>
      <vt:lpstr>v_8_XHMETO</vt:lpstr>
      <vt:lpstr>v_8_XINORG</vt:lpstr>
      <vt:lpstr>v_8_XMEOLO</vt:lpstr>
      <vt:lpstr>v_8_XN_B</vt:lpstr>
      <vt:lpstr>v_8_XN_Be</vt:lpstr>
      <vt:lpstr>v_8_XN_U</vt:lpstr>
      <vt:lpstr>v_8_XNITO</vt:lpstr>
      <vt:lpstr>v_8_XOHO</vt:lpstr>
      <vt:lpstr>v_8_XP_B</vt:lpstr>
      <vt:lpstr>v_8_XP_Be</vt:lpstr>
      <vt:lpstr>v_8_XP_U</vt:lpstr>
      <vt:lpstr>v_8_XPFOA</vt:lpstr>
      <vt:lpstr>v_8_XPFOS</vt:lpstr>
      <vt:lpstr>v_8_XPHA_GAO</vt:lpstr>
      <vt:lpstr>v_8_XPHA_PAO</vt:lpstr>
      <vt:lpstr>v_8_XPP</vt:lpstr>
      <vt:lpstr>v_8_XSTR</vt:lpstr>
      <vt:lpstr>v_8_XU</vt:lpstr>
      <vt:lpstr>v_8_XVivi</vt:lpstr>
      <vt:lpstr>v_80_CB</vt:lpstr>
      <vt:lpstr>v_80_CU</vt:lpstr>
      <vt:lpstr>v_80_GCH4</vt:lpstr>
      <vt:lpstr>v_80_GCH4_atm</vt:lpstr>
      <vt:lpstr>v_80_GCO2</vt:lpstr>
      <vt:lpstr>v_80_GCO2_atm</vt:lpstr>
      <vt:lpstr>v_80_GH2</vt:lpstr>
      <vt:lpstr>v_80_GH2_atm</vt:lpstr>
      <vt:lpstr>v_80_GN2</vt:lpstr>
      <vt:lpstr>v_80_GN2_atm</vt:lpstr>
      <vt:lpstr>v_80_GNH3</vt:lpstr>
      <vt:lpstr>v_80_GNH3_atm</vt:lpstr>
      <vt:lpstr>v_80_GO2</vt:lpstr>
      <vt:lpstr>v_80_GO2_atm</vt:lpstr>
      <vt:lpstr>v_80_SALPHA</vt:lpstr>
      <vt:lpstr>v_80_SAN</vt:lpstr>
      <vt:lpstr>v_80_SB</vt:lpstr>
      <vt:lpstr>v_80_SCa</vt:lpstr>
      <vt:lpstr>v_80_SCAT</vt:lpstr>
      <vt:lpstr>v_80_SCH4</vt:lpstr>
      <vt:lpstr>v_80_SCO2</vt:lpstr>
      <vt:lpstr>v_80_SFe2</vt:lpstr>
      <vt:lpstr>v_80_SH</vt:lpstr>
      <vt:lpstr>v_80_SH2</vt:lpstr>
      <vt:lpstr>v_80_SK</vt:lpstr>
      <vt:lpstr>v_80_SMEOL</vt:lpstr>
      <vt:lpstr>v_80_SMg</vt:lpstr>
      <vt:lpstr>v_80_SN_B</vt:lpstr>
      <vt:lpstr>v_80_SN2</vt:lpstr>
      <vt:lpstr>v_80_SNHx</vt:lpstr>
      <vt:lpstr>v_80_SNOx</vt:lpstr>
      <vt:lpstr>v_80_SO2</vt:lpstr>
      <vt:lpstr>v_80_SORPswitch</vt:lpstr>
      <vt:lpstr>v_80_SP_B</vt:lpstr>
      <vt:lpstr>v_80_SPFOA</vt:lpstr>
      <vt:lpstr>v_80_SPFOS</vt:lpstr>
      <vt:lpstr>v_80_SPO4</vt:lpstr>
      <vt:lpstr>v_80_SU</vt:lpstr>
      <vt:lpstr>v_80_SVFA</vt:lpstr>
      <vt:lpstr>v_80_XACP</vt:lpstr>
      <vt:lpstr>v_80_XALGAE</vt:lpstr>
      <vt:lpstr>v_80_XAMETO</vt:lpstr>
      <vt:lpstr>v_80_XB</vt:lpstr>
      <vt:lpstr>v_80_XB_e</vt:lpstr>
      <vt:lpstr>v_80_XBSH</vt:lpstr>
      <vt:lpstr>v_80_XCaCO3</vt:lpstr>
      <vt:lpstr>v_80_XCASTO</vt:lpstr>
      <vt:lpstr>v_80_XE</vt:lpstr>
      <vt:lpstr>v_80_XE_ana</vt:lpstr>
      <vt:lpstr>v_80_XHAO_H</vt:lpstr>
      <vt:lpstr>v_80_XHAO_H_P</vt:lpstr>
      <vt:lpstr>v_80_XHAO_H_P_old</vt:lpstr>
      <vt:lpstr>v_80_XHAO_L</vt:lpstr>
      <vt:lpstr>v_80_XHAO_L_P</vt:lpstr>
      <vt:lpstr>v_80_XHAO_L_P_old</vt:lpstr>
      <vt:lpstr>v_80_XHAO_old</vt:lpstr>
      <vt:lpstr>v_80_XHFO_H</vt:lpstr>
      <vt:lpstr>v_80_XHFO_H_P</vt:lpstr>
      <vt:lpstr>v_80_XHFO_H_P_old</vt:lpstr>
      <vt:lpstr>v_80_XHFO_L</vt:lpstr>
      <vt:lpstr>v_80_XHFO_L_P</vt:lpstr>
      <vt:lpstr>v_80_XHFO_L_P_old</vt:lpstr>
      <vt:lpstr>v_80_XHFO_old</vt:lpstr>
      <vt:lpstr>v_80_XHMETO</vt:lpstr>
      <vt:lpstr>v_80_XINORG</vt:lpstr>
      <vt:lpstr>v_80_XMEOLO</vt:lpstr>
      <vt:lpstr>v_80_XN_B</vt:lpstr>
      <vt:lpstr>v_80_XN_Be</vt:lpstr>
      <vt:lpstr>v_80_XN_U</vt:lpstr>
      <vt:lpstr>v_80_XNITO</vt:lpstr>
      <vt:lpstr>v_80_XOHO</vt:lpstr>
      <vt:lpstr>v_80_XP_B</vt:lpstr>
      <vt:lpstr>v_80_XP_Be</vt:lpstr>
      <vt:lpstr>v_80_XP_U</vt:lpstr>
      <vt:lpstr>v_80_XPFOA</vt:lpstr>
      <vt:lpstr>v_80_XPFOS</vt:lpstr>
      <vt:lpstr>v_80_XPHA_GAO</vt:lpstr>
      <vt:lpstr>v_80_XPHA_PAO</vt:lpstr>
      <vt:lpstr>v_80_XPP</vt:lpstr>
      <vt:lpstr>v_80_XSTR</vt:lpstr>
      <vt:lpstr>v_80_XU</vt:lpstr>
      <vt:lpstr>v_80_XVivi</vt:lpstr>
      <vt:lpstr>v_81_CB</vt:lpstr>
      <vt:lpstr>v_81_CU</vt:lpstr>
      <vt:lpstr>v_81_GCH4</vt:lpstr>
      <vt:lpstr>v_81_GCH4_atm</vt:lpstr>
      <vt:lpstr>v_81_GCO2</vt:lpstr>
      <vt:lpstr>v_81_GCO2_atm</vt:lpstr>
      <vt:lpstr>v_81_GH2</vt:lpstr>
      <vt:lpstr>v_81_GH2_atm</vt:lpstr>
      <vt:lpstr>v_81_GN2</vt:lpstr>
      <vt:lpstr>v_81_GN2_atm</vt:lpstr>
      <vt:lpstr>v_81_GNH3</vt:lpstr>
      <vt:lpstr>v_81_GNH3_atm</vt:lpstr>
      <vt:lpstr>v_81_GO2</vt:lpstr>
      <vt:lpstr>v_81_GO2_atm</vt:lpstr>
      <vt:lpstr>v_81_SALPHA</vt:lpstr>
      <vt:lpstr>v_81_SAN</vt:lpstr>
      <vt:lpstr>v_81_SB</vt:lpstr>
      <vt:lpstr>v_81_SCa</vt:lpstr>
      <vt:lpstr>v_81_SCAT</vt:lpstr>
      <vt:lpstr>v_81_SCH4</vt:lpstr>
      <vt:lpstr>v_81_SCO2</vt:lpstr>
      <vt:lpstr>v_81_SFe2</vt:lpstr>
      <vt:lpstr>v_81_SH</vt:lpstr>
      <vt:lpstr>v_81_SH2</vt:lpstr>
      <vt:lpstr>v_81_SK</vt:lpstr>
      <vt:lpstr>v_81_SMEOL</vt:lpstr>
      <vt:lpstr>v_81_SMg</vt:lpstr>
      <vt:lpstr>v_81_SN_B</vt:lpstr>
      <vt:lpstr>v_81_SN2</vt:lpstr>
      <vt:lpstr>v_81_SNHx</vt:lpstr>
      <vt:lpstr>v_81_SNOx</vt:lpstr>
      <vt:lpstr>v_81_SO2</vt:lpstr>
      <vt:lpstr>v_81_SORPswitch</vt:lpstr>
      <vt:lpstr>v_81_SP_B</vt:lpstr>
      <vt:lpstr>v_81_SPFOA</vt:lpstr>
      <vt:lpstr>v_81_SPFOS</vt:lpstr>
      <vt:lpstr>v_81_SPO4</vt:lpstr>
      <vt:lpstr>v_81_SU</vt:lpstr>
      <vt:lpstr>v_81_SVFA</vt:lpstr>
      <vt:lpstr>v_81_XACP</vt:lpstr>
      <vt:lpstr>v_81_XALGAE</vt:lpstr>
      <vt:lpstr>v_81_XAMETO</vt:lpstr>
      <vt:lpstr>v_81_XB</vt:lpstr>
      <vt:lpstr>v_81_XB_e</vt:lpstr>
      <vt:lpstr>v_81_XBSH</vt:lpstr>
      <vt:lpstr>v_81_XCaCO3</vt:lpstr>
      <vt:lpstr>v_81_XCASTO</vt:lpstr>
      <vt:lpstr>v_81_XE</vt:lpstr>
      <vt:lpstr>v_81_XE_ana</vt:lpstr>
      <vt:lpstr>v_81_XHAO_H</vt:lpstr>
      <vt:lpstr>v_81_XHAO_H_P</vt:lpstr>
      <vt:lpstr>v_81_XHAO_H_P_old</vt:lpstr>
      <vt:lpstr>v_81_XHAO_L</vt:lpstr>
      <vt:lpstr>v_81_XHAO_L_P</vt:lpstr>
      <vt:lpstr>v_81_XHAO_L_P_old</vt:lpstr>
      <vt:lpstr>v_81_XHAO_old</vt:lpstr>
      <vt:lpstr>v_81_XHFO_H</vt:lpstr>
      <vt:lpstr>v_81_XHFO_H_P</vt:lpstr>
      <vt:lpstr>v_81_XHFO_H_P_old</vt:lpstr>
      <vt:lpstr>v_81_XHFO_L</vt:lpstr>
      <vt:lpstr>v_81_XHFO_L_P</vt:lpstr>
      <vt:lpstr>v_81_XHFO_L_P_old</vt:lpstr>
      <vt:lpstr>v_81_XHFO_old</vt:lpstr>
      <vt:lpstr>v_81_XHMETO</vt:lpstr>
      <vt:lpstr>v_81_XINORG</vt:lpstr>
      <vt:lpstr>v_81_XMEOLO</vt:lpstr>
      <vt:lpstr>v_81_XN_B</vt:lpstr>
      <vt:lpstr>v_81_XN_Be</vt:lpstr>
      <vt:lpstr>v_81_XN_U</vt:lpstr>
      <vt:lpstr>v_81_XNITO</vt:lpstr>
      <vt:lpstr>v_81_XOHO</vt:lpstr>
      <vt:lpstr>v_81_XP_B</vt:lpstr>
      <vt:lpstr>v_81_XP_Be</vt:lpstr>
      <vt:lpstr>v_81_XP_U</vt:lpstr>
      <vt:lpstr>v_81_XPFOA</vt:lpstr>
      <vt:lpstr>v_81_XPFOS</vt:lpstr>
      <vt:lpstr>v_81_XPHA_GAO</vt:lpstr>
      <vt:lpstr>v_81_XPHA_PAO</vt:lpstr>
      <vt:lpstr>v_81_XPP</vt:lpstr>
      <vt:lpstr>v_81_XSTR</vt:lpstr>
      <vt:lpstr>v_81_XU</vt:lpstr>
      <vt:lpstr>v_81_XVivi</vt:lpstr>
      <vt:lpstr>v_82_CB</vt:lpstr>
      <vt:lpstr>v_82_CU</vt:lpstr>
      <vt:lpstr>v_82_GCH4</vt:lpstr>
      <vt:lpstr>v_82_GCH4_atm</vt:lpstr>
      <vt:lpstr>v_82_GCO2</vt:lpstr>
      <vt:lpstr>v_82_GCO2_atm</vt:lpstr>
      <vt:lpstr>v_82_GH2</vt:lpstr>
      <vt:lpstr>v_82_GH2_atm</vt:lpstr>
      <vt:lpstr>v_82_GN2</vt:lpstr>
      <vt:lpstr>v_82_GN2_atm</vt:lpstr>
      <vt:lpstr>v_82_GNH3</vt:lpstr>
      <vt:lpstr>v_82_GNH3_atm</vt:lpstr>
      <vt:lpstr>v_82_GO2</vt:lpstr>
      <vt:lpstr>v_82_GO2_atm</vt:lpstr>
      <vt:lpstr>v_82_SALPHA</vt:lpstr>
      <vt:lpstr>v_82_SAN</vt:lpstr>
      <vt:lpstr>v_82_SB</vt:lpstr>
      <vt:lpstr>v_82_SCa</vt:lpstr>
      <vt:lpstr>v_82_SCAT</vt:lpstr>
      <vt:lpstr>v_82_SCH4</vt:lpstr>
      <vt:lpstr>v_82_SCO2</vt:lpstr>
      <vt:lpstr>v_82_SFe2</vt:lpstr>
      <vt:lpstr>v_82_SH</vt:lpstr>
      <vt:lpstr>v_82_SH2</vt:lpstr>
      <vt:lpstr>v_82_SK</vt:lpstr>
      <vt:lpstr>v_82_SMEOL</vt:lpstr>
      <vt:lpstr>v_82_SMg</vt:lpstr>
      <vt:lpstr>v_82_SN_B</vt:lpstr>
      <vt:lpstr>v_82_SN2</vt:lpstr>
      <vt:lpstr>v_82_SNHx</vt:lpstr>
      <vt:lpstr>v_82_SNOx</vt:lpstr>
      <vt:lpstr>v_82_SO2</vt:lpstr>
      <vt:lpstr>v_82_SORPswitch</vt:lpstr>
      <vt:lpstr>v_82_SP_B</vt:lpstr>
      <vt:lpstr>v_82_SPFOA</vt:lpstr>
      <vt:lpstr>v_82_SPFOS</vt:lpstr>
      <vt:lpstr>v_82_SPO4</vt:lpstr>
      <vt:lpstr>v_82_SU</vt:lpstr>
      <vt:lpstr>v_82_SVFA</vt:lpstr>
      <vt:lpstr>v_82_XACP</vt:lpstr>
      <vt:lpstr>v_82_XALGAE</vt:lpstr>
      <vt:lpstr>v_82_XAMETO</vt:lpstr>
      <vt:lpstr>v_82_XB</vt:lpstr>
      <vt:lpstr>v_82_XB_e</vt:lpstr>
      <vt:lpstr>v_82_XBSH</vt:lpstr>
      <vt:lpstr>v_82_XCaCO3</vt:lpstr>
      <vt:lpstr>v_82_XCASTO</vt:lpstr>
      <vt:lpstr>v_82_XE</vt:lpstr>
      <vt:lpstr>v_82_XE_ana</vt:lpstr>
      <vt:lpstr>v_82_XHAO_H</vt:lpstr>
      <vt:lpstr>v_82_XHAO_H_P</vt:lpstr>
      <vt:lpstr>v_82_XHAO_H_P_old</vt:lpstr>
      <vt:lpstr>v_82_XHAO_L</vt:lpstr>
      <vt:lpstr>v_82_XHAO_L_P</vt:lpstr>
      <vt:lpstr>v_82_XHAO_L_P_old</vt:lpstr>
      <vt:lpstr>v_82_XHAO_old</vt:lpstr>
      <vt:lpstr>v_82_XHFO_H</vt:lpstr>
      <vt:lpstr>v_82_XHFO_H_P</vt:lpstr>
      <vt:lpstr>v_82_XHFO_H_P_old</vt:lpstr>
      <vt:lpstr>v_82_XHFO_L</vt:lpstr>
      <vt:lpstr>v_82_XHFO_L_P</vt:lpstr>
      <vt:lpstr>v_82_XHFO_L_P_old</vt:lpstr>
      <vt:lpstr>v_82_XHFO_old</vt:lpstr>
      <vt:lpstr>v_82_XHMETO</vt:lpstr>
      <vt:lpstr>v_82_XINORG</vt:lpstr>
      <vt:lpstr>v_82_XMEOLO</vt:lpstr>
      <vt:lpstr>v_82_XN_B</vt:lpstr>
      <vt:lpstr>v_82_XN_Be</vt:lpstr>
      <vt:lpstr>v_82_XN_U</vt:lpstr>
      <vt:lpstr>v_82_XNITO</vt:lpstr>
      <vt:lpstr>v_82_XOHO</vt:lpstr>
      <vt:lpstr>v_82_XP_B</vt:lpstr>
      <vt:lpstr>v_82_XP_Be</vt:lpstr>
      <vt:lpstr>v_82_XP_U</vt:lpstr>
      <vt:lpstr>v_82_XPFOA</vt:lpstr>
      <vt:lpstr>v_82_XPFOS</vt:lpstr>
      <vt:lpstr>v_82_XPHA_GAO</vt:lpstr>
      <vt:lpstr>v_82_XPHA_PAO</vt:lpstr>
      <vt:lpstr>v_82_XPP</vt:lpstr>
      <vt:lpstr>v_82_XSTR</vt:lpstr>
      <vt:lpstr>v_82_XU</vt:lpstr>
      <vt:lpstr>v_82_XVivi</vt:lpstr>
      <vt:lpstr>v_83_CB</vt:lpstr>
      <vt:lpstr>v_83_CU</vt:lpstr>
      <vt:lpstr>v_83_GCH4</vt:lpstr>
      <vt:lpstr>v_83_GCH4_atm</vt:lpstr>
      <vt:lpstr>v_83_GCO2</vt:lpstr>
      <vt:lpstr>v_83_GCO2_atm</vt:lpstr>
      <vt:lpstr>v_83_GH2</vt:lpstr>
      <vt:lpstr>v_83_GH2_atm</vt:lpstr>
      <vt:lpstr>v_83_GN2</vt:lpstr>
      <vt:lpstr>v_83_GN2_atm</vt:lpstr>
      <vt:lpstr>v_83_GNH3</vt:lpstr>
      <vt:lpstr>v_83_GNH3_atm</vt:lpstr>
      <vt:lpstr>v_83_GO2</vt:lpstr>
      <vt:lpstr>v_83_GO2_atm</vt:lpstr>
      <vt:lpstr>v_83_SALPHA</vt:lpstr>
      <vt:lpstr>v_83_SAN</vt:lpstr>
      <vt:lpstr>v_83_SB</vt:lpstr>
      <vt:lpstr>v_83_SCa</vt:lpstr>
      <vt:lpstr>v_83_SCAT</vt:lpstr>
      <vt:lpstr>v_83_SCH4</vt:lpstr>
      <vt:lpstr>v_83_SCO2</vt:lpstr>
      <vt:lpstr>v_83_SFe2</vt:lpstr>
      <vt:lpstr>v_83_SH</vt:lpstr>
      <vt:lpstr>v_83_SH2</vt:lpstr>
      <vt:lpstr>v_83_SK</vt:lpstr>
      <vt:lpstr>v_83_SMEOL</vt:lpstr>
      <vt:lpstr>v_83_SMg</vt:lpstr>
      <vt:lpstr>v_83_SN_B</vt:lpstr>
      <vt:lpstr>v_83_SN2</vt:lpstr>
      <vt:lpstr>v_83_SNHx</vt:lpstr>
      <vt:lpstr>v_83_SNOx</vt:lpstr>
      <vt:lpstr>v_83_SO2</vt:lpstr>
      <vt:lpstr>v_83_SORPswitch</vt:lpstr>
      <vt:lpstr>v_83_SP_B</vt:lpstr>
      <vt:lpstr>v_83_SPFOA</vt:lpstr>
      <vt:lpstr>v_83_SPFOS</vt:lpstr>
      <vt:lpstr>v_83_SPO4</vt:lpstr>
      <vt:lpstr>v_83_SU</vt:lpstr>
      <vt:lpstr>v_83_SVFA</vt:lpstr>
      <vt:lpstr>v_83_XACP</vt:lpstr>
      <vt:lpstr>v_83_XALGAE</vt:lpstr>
      <vt:lpstr>v_83_XAMETO</vt:lpstr>
      <vt:lpstr>v_83_XB</vt:lpstr>
      <vt:lpstr>v_83_XB_e</vt:lpstr>
      <vt:lpstr>v_83_XBSH</vt:lpstr>
      <vt:lpstr>v_83_XCaCO3</vt:lpstr>
      <vt:lpstr>v_83_XCASTO</vt:lpstr>
      <vt:lpstr>v_83_XE</vt:lpstr>
      <vt:lpstr>v_83_XE_ana</vt:lpstr>
      <vt:lpstr>v_83_XHAO_H</vt:lpstr>
      <vt:lpstr>v_83_XHAO_H_P</vt:lpstr>
      <vt:lpstr>v_83_XHAO_H_P_old</vt:lpstr>
      <vt:lpstr>v_83_XHAO_L</vt:lpstr>
      <vt:lpstr>v_83_XHAO_L_P</vt:lpstr>
      <vt:lpstr>v_83_XHAO_L_P_old</vt:lpstr>
      <vt:lpstr>v_83_XHAO_old</vt:lpstr>
      <vt:lpstr>v_83_XHFO_H</vt:lpstr>
      <vt:lpstr>v_83_XHFO_H_P</vt:lpstr>
      <vt:lpstr>v_83_XHFO_H_P_old</vt:lpstr>
      <vt:lpstr>v_83_XHFO_L</vt:lpstr>
      <vt:lpstr>v_83_XHFO_L_P</vt:lpstr>
      <vt:lpstr>v_83_XHFO_L_P_old</vt:lpstr>
      <vt:lpstr>v_83_XHFO_old</vt:lpstr>
      <vt:lpstr>v_83_XHMETO</vt:lpstr>
      <vt:lpstr>v_83_XINORG</vt:lpstr>
      <vt:lpstr>v_83_XMEOLO</vt:lpstr>
      <vt:lpstr>v_83_XN_B</vt:lpstr>
      <vt:lpstr>v_83_XN_Be</vt:lpstr>
      <vt:lpstr>v_83_XN_U</vt:lpstr>
      <vt:lpstr>v_83_XNITO</vt:lpstr>
      <vt:lpstr>v_83_XOHO</vt:lpstr>
      <vt:lpstr>v_83_XP_B</vt:lpstr>
      <vt:lpstr>v_83_XP_Be</vt:lpstr>
      <vt:lpstr>v_83_XP_U</vt:lpstr>
      <vt:lpstr>v_83_XPFOA</vt:lpstr>
      <vt:lpstr>v_83_XPFOS</vt:lpstr>
      <vt:lpstr>v_83_XPHA_GAO</vt:lpstr>
      <vt:lpstr>v_83_XPHA_PAO</vt:lpstr>
      <vt:lpstr>v_83_XPP</vt:lpstr>
      <vt:lpstr>v_83_XSTR</vt:lpstr>
      <vt:lpstr>v_83_XU</vt:lpstr>
      <vt:lpstr>v_83_XVivi</vt:lpstr>
      <vt:lpstr>v_84_CB</vt:lpstr>
      <vt:lpstr>v_84_CU</vt:lpstr>
      <vt:lpstr>v_84_GCH4</vt:lpstr>
      <vt:lpstr>v_84_GCH4_atm</vt:lpstr>
      <vt:lpstr>v_84_GCO2</vt:lpstr>
      <vt:lpstr>v_84_GCO2_atm</vt:lpstr>
      <vt:lpstr>v_84_GH2</vt:lpstr>
      <vt:lpstr>v_84_GH2_atm</vt:lpstr>
      <vt:lpstr>v_84_GN2</vt:lpstr>
      <vt:lpstr>v_84_GN2_atm</vt:lpstr>
      <vt:lpstr>v_84_GNH3</vt:lpstr>
      <vt:lpstr>v_84_GNH3_atm</vt:lpstr>
      <vt:lpstr>v_84_GO2</vt:lpstr>
      <vt:lpstr>v_84_GO2_atm</vt:lpstr>
      <vt:lpstr>v_84_SALPHA</vt:lpstr>
      <vt:lpstr>v_84_SAN</vt:lpstr>
      <vt:lpstr>v_84_SB</vt:lpstr>
      <vt:lpstr>v_84_SCa</vt:lpstr>
      <vt:lpstr>v_84_SCAT</vt:lpstr>
      <vt:lpstr>v_84_SCH4</vt:lpstr>
      <vt:lpstr>v_84_SCO2</vt:lpstr>
      <vt:lpstr>v_84_SFe2</vt:lpstr>
      <vt:lpstr>v_84_SH</vt:lpstr>
      <vt:lpstr>v_84_SH2</vt:lpstr>
      <vt:lpstr>v_84_SK</vt:lpstr>
      <vt:lpstr>v_84_SMEOL</vt:lpstr>
      <vt:lpstr>v_84_SMg</vt:lpstr>
      <vt:lpstr>v_84_SN_B</vt:lpstr>
      <vt:lpstr>v_84_SN2</vt:lpstr>
      <vt:lpstr>v_84_SNHx</vt:lpstr>
      <vt:lpstr>v_84_SNOx</vt:lpstr>
      <vt:lpstr>v_84_SO2</vt:lpstr>
      <vt:lpstr>v_84_SORPswitch</vt:lpstr>
      <vt:lpstr>v_84_SP_B</vt:lpstr>
      <vt:lpstr>v_84_SPFOA</vt:lpstr>
      <vt:lpstr>v_84_SPFOS</vt:lpstr>
      <vt:lpstr>v_84_SPO4</vt:lpstr>
      <vt:lpstr>v_84_SU</vt:lpstr>
      <vt:lpstr>v_84_SVFA</vt:lpstr>
      <vt:lpstr>v_84_XACP</vt:lpstr>
      <vt:lpstr>v_84_XALGAE</vt:lpstr>
      <vt:lpstr>v_84_XAMETO</vt:lpstr>
      <vt:lpstr>v_84_XB</vt:lpstr>
      <vt:lpstr>v_84_XB_e</vt:lpstr>
      <vt:lpstr>v_84_XBSH</vt:lpstr>
      <vt:lpstr>v_84_XCaCO3</vt:lpstr>
      <vt:lpstr>v_84_XCASTO</vt:lpstr>
      <vt:lpstr>v_84_XE</vt:lpstr>
      <vt:lpstr>v_84_XE_ana</vt:lpstr>
      <vt:lpstr>v_84_XHAO_H</vt:lpstr>
      <vt:lpstr>v_84_XHAO_H_P</vt:lpstr>
      <vt:lpstr>v_84_XHAO_H_P_old</vt:lpstr>
      <vt:lpstr>v_84_XHAO_L</vt:lpstr>
      <vt:lpstr>v_84_XHAO_L_P</vt:lpstr>
      <vt:lpstr>v_84_XHAO_L_P_old</vt:lpstr>
      <vt:lpstr>v_84_XHAO_old</vt:lpstr>
      <vt:lpstr>v_84_XHFO_H</vt:lpstr>
      <vt:lpstr>v_84_XHFO_H_P</vt:lpstr>
      <vt:lpstr>v_84_XHFO_H_P_old</vt:lpstr>
      <vt:lpstr>v_84_XHFO_L</vt:lpstr>
      <vt:lpstr>v_84_XHFO_L_P</vt:lpstr>
      <vt:lpstr>v_84_XHFO_L_P_old</vt:lpstr>
      <vt:lpstr>v_84_XHFO_old</vt:lpstr>
      <vt:lpstr>v_84_XHMETO</vt:lpstr>
      <vt:lpstr>v_84_XINORG</vt:lpstr>
      <vt:lpstr>v_84_XMEOLO</vt:lpstr>
      <vt:lpstr>v_84_XN_B</vt:lpstr>
      <vt:lpstr>v_84_XN_Be</vt:lpstr>
      <vt:lpstr>v_84_XN_U</vt:lpstr>
      <vt:lpstr>v_84_XNITO</vt:lpstr>
      <vt:lpstr>v_84_XOHO</vt:lpstr>
      <vt:lpstr>v_84_XP_B</vt:lpstr>
      <vt:lpstr>v_84_XP_Be</vt:lpstr>
      <vt:lpstr>v_84_XP_U</vt:lpstr>
      <vt:lpstr>v_84_XPFOA</vt:lpstr>
      <vt:lpstr>v_84_XPFOS</vt:lpstr>
      <vt:lpstr>v_84_XPHA_GAO</vt:lpstr>
      <vt:lpstr>v_84_XPHA_PAO</vt:lpstr>
      <vt:lpstr>v_84_XPP</vt:lpstr>
      <vt:lpstr>v_84_XSTR</vt:lpstr>
      <vt:lpstr>v_84_XU</vt:lpstr>
      <vt:lpstr>v_84_XVivi</vt:lpstr>
      <vt:lpstr>v_85_CB</vt:lpstr>
      <vt:lpstr>v_85_CU</vt:lpstr>
      <vt:lpstr>v_85_GCH4</vt:lpstr>
      <vt:lpstr>v_85_GCH4_atm</vt:lpstr>
      <vt:lpstr>v_85_GCO2</vt:lpstr>
      <vt:lpstr>v_85_GCO2_atm</vt:lpstr>
      <vt:lpstr>v_85_GH2</vt:lpstr>
      <vt:lpstr>v_85_GH2_atm</vt:lpstr>
      <vt:lpstr>v_85_GN2</vt:lpstr>
      <vt:lpstr>v_85_GN2_atm</vt:lpstr>
      <vt:lpstr>v_85_GNH3</vt:lpstr>
      <vt:lpstr>v_85_GNH3_atm</vt:lpstr>
      <vt:lpstr>v_85_GO2</vt:lpstr>
      <vt:lpstr>v_85_GO2_atm</vt:lpstr>
      <vt:lpstr>v_85_SALPHA</vt:lpstr>
      <vt:lpstr>v_85_SAN</vt:lpstr>
      <vt:lpstr>v_85_SB</vt:lpstr>
      <vt:lpstr>v_85_SCa</vt:lpstr>
      <vt:lpstr>v_85_SCAT</vt:lpstr>
      <vt:lpstr>v_85_SCH4</vt:lpstr>
      <vt:lpstr>v_85_SCO2</vt:lpstr>
      <vt:lpstr>v_85_SFe2</vt:lpstr>
      <vt:lpstr>v_85_SH</vt:lpstr>
      <vt:lpstr>v_85_SH2</vt:lpstr>
      <vt:lpstr>v_85_SK</vt:lpstr>
      <vt:lpstr>v_85_SMEOL</vt:lpstr>
      <vt:lpstr>v_85_SMg</vt:lpstr>
      <vt:lpstr>v_85_SN_B</vt:lpstr>
      <vt:lpstr>v_85_SN2</vt:lpstr>
      <vt:lpstr>v_85_SNHx</vt:lpstr>
      <vt:lpstr>v_85_SNOx</vt:lpstr>
      <vt:lpstr>v_85_SO2</vt:lpstr>
      <vt:lpstr>v_85_SORPswitch</vt:lpstr>
      <vt:lpstr>v_85_SP_B</vt:lpstr>
      <vt:lpstr>v_85_SPFOA</vt:lpstr>
      <vt:lpstr>v_85_SPFOS</vt:lpstr>
      <vt:lpstr>v_85_SPO4</vt:lpstr>
      <vt:lpstr>v_85_SU</vt:lpstr>
      <vt:lpstr>v_85_SVFA</vt:lpstr>
      <vt:lpstr>v_85_XACP</vt:lpstr>
      <vt:lpstr>v_85_XALGAE</vt:lpstr>
      <vt:lpstr>v_85_XAMETO</vt:lpstr>
      <vt:lpstr>v_85_XB</vt:lpstr>
      <vt:lpstr>v_85_XB_e</vt:lpstr>
      <vt:lpstr>v_85_XBSH</vt:lpstr>
      <vt:lpstr>v_85_XCaCO3</vt:lpstr>
      <vt:lpstr>v_85_XCASTO</vt:lpstr>
      <vt:lpstr>v_85_XE</vt:lpstr>
      <vt:lpstr>v_85_XE_ana</vt:lpstr>
      <vt:lpstr>v_85_XHAO_H</vt:lpstr>
      <vt:lpstr>v_85_XHAO_H_P</vt:lpstr>
      <vt:lpstr>v_85_XHAO_H_P_old</vt:lpstr>
      <vt:lpstr>v_85_XHAO_L</vt:lpstr>
      <vt:lpstr>v_85_XHAO_L_P</vt:lpstr>
      <vt:lpstr>v_85_XHAO_L_P_old</vt:lpstr>
      <vt:lpstr>v_85_XHAO_old</vt:lpstr>
      <vt:lpstr>v_85_XHFO_H</vt:lpstr>
      <vt:lpstr>v_85_XHFO_H_P</vt:lpstr>
      <vt:lpstr>v_85_XHFO_H_P_old</vt:lpstr>
      <vt:lpstr>v_85_XHFO_L</vt:lpstr>
      <vt:lpstr>v_85_XHFO_L_P</vt:lpstr>
      <vt:lpstr>v_85_XHFO_L_P_old</vt:lpstr>
      <vt:lpstr>v_85_XHFO_old</vt:lpstr>
      <vt:lpstr>v_85_XHMETO</vt:lpstr>
      <vt:lpstr>v_85_XINORG</vt:lpstr>
      <vt:lpstr>v_85_XMEOLO</vt:lpstr>
      <vt:lpstr>v_85_XN_B</vt:lpstr>
      <vt:lpstr>v_85_XN_Be</vt:lpstr>
      <vt:lpstr>v_85_XN_U</vt:lpstr>
      <vt:lpstr>v_85_XNITO</vt:lpstr>
      <vt:lpstr>v_85_XOHO</vt:lpstr>
      <vt:lpstr>v_85_XP_B</vt:lpstr>
      <vt:lpstr>v_85_XP_Be</vt:lpstr>
      <vt:lpstr>v_85_XP_U</vt:lpstr>
      <vt:lpstr>v_85_XPFOA</vt:lpstr>
      <vt:lpstr>v_85_XPFOS</vt:lpstr>
      <vt:lpstr>v_85_XPHA_GAO</vt:lpstr>
      <vt:lpstr>v_85_XPHA_PAO</vt:lpstr>
      <vt:lpstr>v_85_XPP</vt:lpstr>
      <vt:lpstr>v_85_XSTR</vt:lpstr>
      <vt:lpstr>v_85_XU</vt:lpstr>
      <vt:lpstr>v_85_XVivi</vt:lpstr>
      <vt:lpstr>v_86_CB</vt:lpstr>
      <vt:lpstr>v_86_CU</vt:lpstr>
      <vt:lpstr>v_86_GCH4</vt:lpstr>
      <vt:lpstr>v_86_GCH4_atm</vt:lpstr>
      <vt:lpstr>v_86_GCO2</vt:lpstr>
      <vt:lpstr>v_86_GCO2_atm</vt:lpstr>
      <vt:lpstr>v_86_GH2</vt:lpstr>
      <vt:lpstr>v_86_GH2_atm</vt:lpstr>
      <vt:lpstr>v_86_GN2</vt:lpstr>
      <vt:lpstr>v_86_GN2_atm</vt:lpstr>
      <vt:lpstr>v_86_GNH3</vt:lpstr>
      <vt:lpstr>v_86_GNH3_atm</vt:lpstr>
      <vt:lpstr>v_86_GO2</vt:lpstr>
      <vt:lpstr>v_86_GO2_atm</vt:lpstr>
      <vt:lpstr>v_86_SALPHA</vt:lpstr>
      <vt:lpstr>v_86_SAN</vt:lpstr>
      <vt:lpstr>v_86_SB</vt:lpstr>
      <vt:lpstr>v_86_SCa</vt:lpstr>
      <vt:lpstr>v_86_SCAT</vt:lpstr>
      <vt:lpstr>v_86_SCH4</vt:lpstr>
      <vt:lpstr>v_86_SCO2</vt:lpstr>
      <vt:lpstr>v_86_SFe2</vt:lpstr>
      <vt:lpstr>v_86_SH</vt:lpstr>
      <vt:lpstr>v_86_SH2</vt:lpstr>
      <vt:lpstr>v_86_SK</vt:lpstr>
      <vt:lpstr>v_86_SMEOL</vt:lpstr>
      <vt:lpstr>v_86_SMg</vt:lpstr>
      <vt:lpstr>v_86_SN_B</vt:lpstr>
      <vt:lpstr>v_86_SN2</vt:lpstr>
      <vt:lpstr>v_86_SNHx</vt:lpstr>
      <vt:lpstr>v_86_SNOx</vt:lpstr>
      <vt:lpstr>v_86_SO2</vt:lpstr>
      <vt:lpstr>v_86_SORPswitch</vt:lpstr>
      <vt:lpstr>v_86_SP_B</vt:lpstr>
      <vt:lpstr>v_86_SPFOA</vt:lpstr>
      <vt:lpstr>v_86_SPFOS</vt:lpstr>
      <vt:lpstr>v_86_SPO4</vt:lpstr>
      <vt:lpstr>v_86_SU</vt:lpstr>
      <vt:lpstr>v_86_SVFA</vt:lpstr>
      <vt:lpstr>v_86_XACP</vt:lpstr>
      <vt:lpstr>v_86_XALGAE</vt:lpstr>
      <vt:lpstr>v_86_XAMETO</vt:lpstr>
      <vt:lpstr>v_86_XB</vt:lpstr>
      <vt:lpstr>v_86_XB_e</vt:lpstr>
      <vt:lpstr>v_86_XBSH</vt:lpstr>
      <vt:lpstr>v_86_XCaCO3</vt:lpstr>
      <vt:lpstr>v_86_XCASTO</vt:lpstr>
      <vt:lpstr>v_86_XE</vt:lpstr>
      <vt:lpstr>v_86_XE_ana</vt:lpstr>
      <vt:lpstr>v_86_XHAO_H</vt:lpstr>
      <vt:lpstr>v_86_XHAO_H_P</vt:lpstr>
      <vt:lpstr>v_86_XHAO_H_P_old</vt:lpstr>
      <vt:lpstr>v_86_XHAO_L</vt:lpstr>
      <vt:lpstr>v_86_XHAO_L_P</vt:lpstr>
      <vt:lpstr>v_86_XHAO_L_P_old</vt:lpstr>
      <vt:lpstr>v_86_XHAO_old</vt:lpstr>
      <vt:lpstr>v_86_XHFO_H</vt:lpstr>
      <vt:lpstr>v_86_XHFO_H_P</vt:lpstr>
      <vt:lpstr>v_86_XHFO_H_P_old</vt:lpstr>
      <vt:lpstr>v_86_XHFO_L</vt:lpstr>
      <vt:lpstr>v_86_XHFO_L_P</vt:lpstr>
      <vt:lpstr>v_86_XHFO_L_P_old</vt:lpstr>
      <vt:lpstr>v_86_XHFO_old</vt:lpstr>
      <vt:lpstr>v_86_XHMETO</vt:lpstr>
      <vt:lpstr>v_86_XINORG</vt:lpstr>
      <vt:lpstr>v_86_XMEOLO</vt:lpstr>
      <vt:lpstr>v_86_XN_B</vt:lpstr>
      <vt:lpstr>v_86_XN_Be</vt:lpstr>
      <vt:lpstr>v_86_XN_U</vt:lpstr>
      <vt:lpstr>v_86_XNITO</vt:lpstr>
      <vt:lpstr>v_86_XOHO</vt:lpstr>
      <vt:lpstr>v_86_XP_B</vt:lpstr>
      <vt:lpstr>v_86_XP_Be</vt:lpstr>
      <vt:lpstr>v_86_XP_U</vt:lpstr>
      <vt:lpstr>v_86_XPFOA</vt:lpstr>
      <vt:lpstr>v_86_XPFOS</vt:lpstr>
      <vt:lpstr>v_86_XPHA_GAO</vt:lpstr>
      <vt:lpstr>v_86_XPHA_PAO</vt:lpstr>
      <vt:lpstr>v_86_XPP</vt:lpstr>
      <vt:lpstr>v_86_XSTR</vt:lpstr>
      <vt:lpstr>v_86_XU</vt:lpstr>
      <vt:lpstr>v_86_XVivi</vt:lpstr>
      <vt:lpstr>v_87_CB</vt:lpstr>
      <vt:lpstr>v_87_CU</vt:lpstr>
      <vt:lpstr>v_87_GCH4</vt:lpstr>
      <vt:lpstr>v_87_GCH4_atm</vt:lpstr>
      <vt:lpstr>v_87_GCO2</vt:lpstr>
      <vt:lpstr>v_87_GCO2_atm</vt:lpstr>
      <vt:lpstr>v_87_GH2</vt:lpstr>
      <vt:lpstr>v_87_GH2_atm</vt:lpstr>
      <vt:lpstr>v_87_GN2</vt:lpstr>
      <vt:lpstr>v_87_GN2_atm</vt:lpstr>
      <vt:lpstr>v_87_GNH3</vt:lpstr>
      <vt:lpstr>v_87_GNH3_atm</vt:lpstr>
      <vt:lpstr>v_87_GO2</vt:lpstr>
      <vt:lpstr>v_87_GO2_atm</vt:lpstr>
      <vt:lpstr>v_87_SALPHA</vt:lpstr>
      <vt:lpstr>v_87_SAN</vt:lpstr>
      <vt:lpstr>v_87_SB</vt:lpstr>
      <vt:lpstr>v_87_SCa</vt:lpstr>
      <vt:lpstr>v_87_SCAT</vt:lpstr>
      <vt:lpstr>v_87_SCH4</vt:lpstr>
      <vt:lpstr>v_87_SCO2</vt:lpstr>
      <vt:lpstr>v_87_SFe2</vt:lpstr>
      <vt:lpstr>v_87_SH</vt:lpstr>
      <vt:lpstr>v_87_SH2</vt:lpstr>
      <vt:lpstr>v_87_SK</vt:lpstr>
      <vt:lpstr>v_87_SMEOL</vt:lpstr>
      <vt:lpstr>v_87_SMg</vt:lpstr>
      <vt:lpstr>v_87_SN_B</vt:lpstr>
      <vt:lpstr>v_87_SN2</vt:lpstr>
      <vt:lpstr>v_87_SNHx</vt:lpstr>
      <vt:lpstr>v_87_SNOx</vt:lpstr>
      <vt:lpstr>v_87_SO2</vt:lpstr>
      <vt:lpstr>v_87_SORPswitch</vt:lpstr>
      <vt:lpstr>v_87_SP_B</vt:lpstr>
      <vt:lpstr>v_87_SPFOA</vt:lpstr>
      <vt:lpstr>v_87_SPFOS</vt:lpstr>
      <vt:lpstr>v_87_SPO4</vt:lpstr>
      <vt:lpstr>v_87_SU</vt:lpstr>
      <vt:lpstr>v_87_SVFA</vt:lpstr>
      <vt:lpstr>v_87_XACP</vt:lpstr>
      <vt:lpstr>v_87_XALGAE</vt:lpstr>
      <vt:lpstr>v_87_XAMETO</vt:lpstr>
      <vt:lpstr>v_87_XB</vt:lpstr>
      <vt:lpstr>v_87_XB_e</vt:lpstr>
      <vt:lpstr>v_87_XBSH</vt:lpstr>
      <vt:lpstr>v_87_XCaCO3</vt:lpstr>
      <vt:lpstr>v_87_XCASTO</vt:lpstr>
      <vt:lpstr>v_87_XE</vt:lpstr>
      <vt:lpstr>v_87_XE_ana</vt:lpstr>
      <vt:lpstr>v_87_XHAO_H</vt:lpstr>
      <vt:lpstr>v_87_XHAO_H_P</vt:lpstr>
      <vt:lpstr>v_87_XHAO_H_P_old</vt:lpstr>
      <vt:lpstr>v_87_XHAO_L</vt:lpstr>
      <vt:lpstr>v_87_XHAO_L_P</vt:lpstr>
      <vt:lpstr>v_87_XHAO_L_P_old</vt:lpstr>
      <vt:lpstr>v_87_XHAO_old</vt:lpstr>
      <vt:lpstr>v_87_XHFO_H</vt:lpstr>
      <vt:lpstr>v_87_XHFO_H_P</vt:lpstr>
      <vt:lpstr>v_87_XHFO_H_P_old</vt:lpstr>
      <vt:lpstr>v_87_XHFO_L</vt:lpstr>
      <vt:lpstr>v_87_XHFO_L_P</vt:lpstr>
      <vt:lpstr>v_87_XHFO_L_P_old</vt:lpstr>
      <vt:lpstr>v_87_XHFO_old</vt:lpstr>
      <vt:lpstr>v_87_XHMETO</vt:lpstr>
      <vt:lpstr>v_87_XINORG</vt:lpstr>
      <vt:lpstr>v_87_XMEOLO</vt:lpstr>
      <vt:lpstr>v_87_XN_B</vt:lpstr>
      <vt:lpstr>v_87_XN_Be</vt:lpstr>
      <vt:lpstr>v_87_XN_U</vt:lpstr>
      <vt:lpstr>v_87_XNITO</vt:lpstr>
      <vt:lpstr>v_87_XOHO</vt:lpstr>
      <vt:lpstr>v_87_XP_B</vt:lpstr>
      <vt:lpstr>v_87_XP_Be</vt:lpstr>
      <vt:lpstr>v_87_XP_U</vt:lpstr>
      <vt:lpstr>v_87_XPFOA</vt:lpstr>
      <vt:lpstr>v_87_XPFOS</vt:lpstr>
      <vt:lpstr>v_87_XPHA_GAO</vt:lpstr>
      <vt:lpstr>v_87_XPHA_PAO</vt:lpstr>
      <vt:lpstr>v_87_XPP</vt:lpstr>
      <vt:lpstr>v_87_XSTR</vt:lpstr>
      <vt:lpstr>v_87_XU</vt:lpstr>
      <vt:lpstr>v_87_XVivi</vt:lpstr>
      <vt:lpstr>v_88_CB</vt:lpstr>
      <vt:lpstr>v_88_CU</vt:lpstr>
      <vt:lpstr>v_88_GCH4</vt:lpstr>
      <vt:lpstr>v_88_GCH4_atm</vt:lpstr>
      <vt:lpstr>v_88_GCO2</vt:lpstr>
      <vt:lpstr>v_88_GCO2_atm</vt:lpstr>
      <vt:lpstr>v_88_GH2</vt:lpstr>
      <vt:lpstr>v_88_GH2_atm</vt:lpstr>
      <vt:lpstr>v_88_GN2</vt:lpstr>
      <vt:lpstr>v_88_GN2_atm</vt:lpstr>
      <vt:lpstr>v_88_GNH3</vt:lpstr>
      <vt:lpstr>v_88_GNH3_atm</vt:lpstr>
      <vt:lpstr>v_88_GO2</vt:lpstr>
      <vt:lpstr>v_88_GO2_atm</vt:lpstr>
      <vt:lpstr>v_88_SALPHA</vt:lpstr>
      <vt:lpstr>v_88_SAN</vt:lpstr>
      <vt:lpstr>v_88_SB</vt:lpstr>
      <vt:lpstr>v_88_SCa</vt:lpstr>
      <vt:lpstr>v_88_SCAT</vt:lpstr>
      <vt:lpstr>v_88_SCH4</vt:lpstr>
      <vt:lpstr>v_88_SCO2</vt:lpstr>
      <vt:lpstr>v_88_SFe2</vt:lpstr>
      <vt:lpstr>v_88_SH</vt:lpstr>
      <vt:lpstr>v_88_SH2</vt:lpstr>
      <vt:lpstr>v_88_SK</vt:lpstr>
      <vt:lpstr>v_88_SMEOL</vt:lpstr>
      <vt:lpstr>v_88_SMg</vt:lpstr>
      <vt:lpstr>v_88_SN_B</vt:lpstr>
      <vt:lpstr>v_88_SN2</vt:lpstr>
      <vt:lpstr>v_88_SNHx</vt:lpstr>
      <vt:lpstr>v_88_SNOx</vt:lpstr>
      <vt:lpstr>v_88_SO2</vt:lpstr>
      <vt:lpstr>v_88_SORPswitch</vt:lpstr>
      <vt:lpstr>v_88_SP_B</vt:lpstr>
      <vt:lpstr>v_88_SPFOA</vt:lpstr>
      <vt:lpstr>v_88_SPFOS</vt:lpstr>
      <vt:lpstr>v_88_SPO4</vt:lpstr>
      <vt:lpstr>v_88_SU</vt:lpstr>
      <vt:lpstr>v_88_SVFA</vt:lpstr>
      <vt:lpstr>v_88_XACP</vt:lpstr>
      <vt:lpstr>v_88_XALGAE</vt:lpstr>
      <vt:lpstr>v_88_XAMETO</vt:lpstr>
      <vt:lpstr>v_88_XB</vt:lpstr>
      <vt:lpstr>v_88_XB_e</vt:lpstr>
      <vt:lpstr>v_88_XBSH</vt:lpstr>
      <vt:lpstr>v_88_XCaCO3</vt:lpstr>
      <vt:lpstr>v_88_XCASTO</vt:lpstr>
      <vt:lpstr>v_88_XE</vt:lpstr>
      <vt:lpstr>v_88_XE_ana</vt:lpstr>
      <vt:lpstr>v_88_XHAO_H</vt:lpstr>
      <vt:lpstr>v_88_XHAO_H_P</vt:lpstr>
      <vt:lpstr>v_88_XHAO_H_P_old</vt:lpstr>
      <vt:lpstr>v_88_XHAO_L</vt:lpstr>
      <vt:lpstr>v_88_XHAO_L_P</vt:lpstr>
      <vt:lpstr>v_88_XHAO_L_P_old</vt:lpstr>
      <vt:lpstr>v_88_XHAO_old</vt:lpstr>
      <vt:lpstr>v_88_XHFO_H</vt:lpstr>
      <vt:lpstr>v_88_XHFO_H_P</vt:lpstr>
      <vt:lpstr>v_88_XHFO_H_P_old</vt:lpstr>
      <vt:lpstr>v_88_XHFO_L</vt:lpstr>
      <vt:lpstr>v_88_XHFO_L_P</vt:lpstr>
      <vt:lpstr>v_88_XHFO_L_P_old</vt:lpstr>
      <vt:lpstr>v_88_XHFO_old</vt:lpstr>
      <vt:lpstr>v_88_XHMETO</vt:lpstr>
      <vt:lpstr>v_88_XINORG</vt:lpstr>
      <vt:lpstr>v_88_XMEOLO</vt:lpstr>
      <vt:lpstr>v_88_XN_B</vt:lpstr>
      <vt:lpstr>v_88_XN_Be</vt:lpstr>
      <vt:lpstr>v_88_XN_U</vt:lpstr>
      <vt:lpstr>v_88_XNITO</vt:lpstr>
      <vt:lpstr>v_88_XOHO</vt:lpstr>
      <vt:lpstr>v_88_XP_B</vt:lpstr>
      <vt:lpstr>v_88_XP_Be</vt:lpstr>
      <vt:lpstr>v_88_XP_U</vt:lpstr>
      <vt:lpstr>v_88_XPFOA</vt:lpstr>
      <vt:lpstr>v_88_XPFOS</vt:lpstr>
      <vt:lpstr>v_88_XPHA_GAO</vt:lpstr>
      <vt:lpstr>v_88_XPHA_PAO</vt:lpstr>
      <vt:lpstr>v_88_XPP</vt:lpstr>
      <vt:lpstr>v_88_XSTR</vt:lpstr>
      <vt:lpstr>v_88_XU</vt:lpstr>
      <vt:lpstr>v_88_XVivi</vt:lpstr>
      <vt:lpstr>v_89_CB</vt:lpstr>
      <vt:lpstr>v_89_CU</vt:lpstr>
      <vt:lpstr>v_89_GCH4</vt:lpstr>
      <vt:lpstr>v_89_GCH4_atm</vt:lpstr>
      <vt:lpstr>v_89_GCO2</vt:lpstr>
      <vt:lpstr>v_89_GCO2_atm</vt:lpstr>
      <vt:lpstr>v_89_GH2</vt:lpstr>
      <vt:lpstr>v_89_GH2_atm</vt:lpstr>
      <vt:lpstr>v_89_GN2</vt:lpstr>
      <vt:lpstr>v_89_GN2_atm</vt:lpstr>
      <vt:lpstr>v_89_GNH3</vt:lpstr>
      <vt:lpstr>v_89_GNH3_atm</vt:lpstr>
      <vt:lpstr>v_89_GO2</vt:lpstr>
      <vt:lpstr>v_89_GO2_atm</vt:lpstr>
      <vt:lpstr>v_89_SALPHA</vt:lpstr>
      <vt:lpstr>v_89_SAN</vt:lpstr>
      <vt:lpstr>v_89_SB</vt:lpstr>
      <vt:lpstr>v_89_SCa</vt:lpstr>
      <vt:lpstr>v_89_SCAT</vt:lpstr>
      <vt:lpstr>v_89_SCH4</vt:lpstr>
      <vt:lpstr>v_89_SCO2</vt:lpstr>
      <vt:lpstr>v_89_SFe2</vt:lpstr>
      <vt:lpstr>v_89_SH</vt:lpstr>
      <vt:lpstr>v_89_SH2</vt:lpstr>
      <vt:lpstr>v_89_SK</vt:lpstr>
      <vt:lpstr>v_89_SMEOL</vt:lpstr>
      <vt:lpstr>v_89_SMg</vt:lpstr>
      <vt:lpstr>v_89_SN_B</vt:lpstr>
      <vt:lpstr>v_89_SN2</vt:lpstr>
      <vt:lpstr>v_89_SNHx</vt:lpstr>
      <vt:lpstr>v_89_SNOx</vt:lpstr>
      <vt:lpstr>v_89_SO2</vt:lpstr>
      <vt:lpstr>v_89_SORPswitch</vt:lpstr>
      <vt:lpstr>v_89_SP_B</vt:lpstr>
      <vt:lpstr>v_89_SPFOA</vt:lpstr>
      <vt:lpstr>v_89_SPFOS</vt:lpstr>
      <vt:lpstr>v_89_SPO4</vt:lpstr>
      <vt:lpstr>v_89_SU</vt:lpstr>
      <vt:lpstr>v_89_SVFA</vt:lpstr>
      <vt:lpstr>v_89_XACP</vt:lpstr>
      <vt:lpstr>v_89_XALGAE</vt:lpstr>
      <vt:lpstr>v_89_XAMETO</vt:lpstr>
      <vt:lpstr>v_89_XB</vt:lpstr>
      <vt:lpstr>v_89_XB_e</vt:lpstr>
      <vt:lpstr>v_89_XBSH</vt:lpstr>
      <vt:lpstr>v_89_XCaCO3</vt:lpstr>
      <vt:lpstr>v_89_XCASTO</vt:lpstr>
      <vt:lpstr>v_89_XE</vt:lpstr>
      <vt:lpstr>v_89_XE_ana</vt:lpstr>
      <vt:lpstr>v_89_XHAO_H</vt:lpstr>
      <vt:lpstr>v_89_XHAO_H_P</vt:lpstr>
      <vt:lpstr>v_89_XHAO_H_P_old</vt:lpstr>
      <vt:lpstr>v_89_XHAO_L</vt:lpstr>
      <vt:lpstr>v_89_XHAO_L_P</vt:lpstr>
      <vt:lpstr>v_89_XHAO_L_P_old</vt:lpstr>
      <vt:lpstr>v_89_XHAO_old</vt:lpstr>
      <vt:lpstr>v_89_XHFO_H</vt:lpstr>
      <vt:lpstr>v_89_XHFO_H_P</vt:lpstr>
      <vt:lpstr>v_89_XHFO_H_P_old</vt:lpstr>
      <vt:lpstr>v_89_XHFO_L</vt:lpstr>
      <vt:lpstr>v_89_XHFO_L_P</vt:lpstr>
      <vt:lpstr>v_89_XHFO_L_P_old</vt:lpstr>
      <vt:lpstr>v_89_XHFO_old</vt:lpstr>
      <vt:lpstr>v_89_XHMETO</vt:lpstr>
      <vt:lpstr>v_89_XINORG</vt:lpstr>
      <vt:lpstr>v_89_XMEOLO</vt:lpstr>
      <vt:lpstr>v_89_XN_B</vt:lpstr>
      <vt:lpstr>v_89_XN_Be</vt:lpstr>
      <vt:lpstr>v_89_XN_U</vt:lpstr>
      <vt:lpstr>v_89_XNITO</vt:lpstr>
      <vt:lpstr>v_89_XOHO</vt:lpstr>
      <vt:lpstr>v_89_XP_B</vt:lpstr>
      <vt:lpstr>v_89_XP_Be</vt:lpstr>
      <vt:lpstr>v_89_XP_U</vt:lpstr>
      <vt:lpstr>v_89_XPFOA</vt:lpstr>
      <vt:lpstr>v_89_XPFOS</vt:lpstr>
      <vt:lpstr>v_89_XPHA_GAO</vt:lpstr>
      <vt:lpstr>v_89_XPHA_PAO</vt:lpstr>
      <vt:lpstr>v_89_XPP</vt:lpstr>
      <vt:lpstr>v_89_XSTR</vt:lpstr>
      <vt:lpstr>v_89_XU</vt:lpstr>
      <vt:lpstr>v_89_XVivi</vt:lpstr>
      <vt:lpstr>v_9_CB</vt:lpstr>
      <vt:lpstr>v_9_CU</vt:lpstr>
      <vt:lpstr>v_9_GCH4</vt:lpstr>
      <vt:lpstr>v_9_GCH4_atm</vt:lpstr>
      <vt:lpstr>v_9_GCO2</vt:lpstr>
      <vt:lpstr>v_9_GCO2_atm</vt:lpstr>
      <vt:lpstr>v_9_GH2</vt:lpstr>
      <vt:lpstr>v_9_GH2_atm</vt:lpstr>
      <vt:lpstr>v_9_GN2</vt:lpstr>
      <vt:lpstr>v_9_GN2_atm</vt:lpstr>
      <vt:lpstr>v_9_GNH3</vt:lpstr>
      <vt:lpstr>v_9_GNH3_atm</vt:lpstr>
      <vt:lpstr>v_9_GO2</vt:lpstr>
      <vt:lpstr>v_9_GO2_atm</vt:lpstr>
      <vt:lpstr>v_9_SALPHA</vt:lpstr>
      <vt:lpstr>v_9_SAN</vt:lpstr>
      <vt:lpstr>v_9_SB</vt:lpstr>
      <vt:lpstr>v_9_SCa</vt:lpstr>
      <vt:lpstr>v_9_SCAT</vt:lpstr>
      <vt:lpstr>v_9_SCH4</vt:lpstr>
      <vt:lpstr>v_9_SCO2</vt:lpstr>
      <vt:lpstr>v_9_SFe2</vt:lpstr>
      <vt:lpstr>v_9_SH</vt:lpstr>
      <vt:lpstr>v_9_SH2</vt:lpstr>
      <vt:lpstr>v_9_SK</vt:lpstr>
      <vt:lpstr>v_9_SMEOL</vt:lpstr>
      <vt:lpstr>v_9_SMg</vt:lpstr>
      <vt:lpstr>v_9_SN_B</vt:lpstr>
      <vt:lpstr>v_9_SN2</vt:lpstr>
      <vt:lpstr>v_9_SNHx</vt:lpstr>
      <vt:lpstr>v_9_SNOx</vt:lpstr>
      <vt:lpstr>v_9_SO2</vt:lpstr>
      <vt:lpstr>v_9_SORPswitch</vt:lpstr>
      <vt:lpstr>v_9_SP_B</vt:lpstr>
      <vt:lpstr>v_9_SPFOA</vt:lpstr>
      <vt:lpstr>v_9_SPFOS</vt:lpstr>
      <vt:lpstr>v_9_SPO4</vt:lpstr>
      <vt:lpstr>v_9_SU</vt:lpstr>
      <vt:lpstr>v_9_SVFA</vt:lpstr>
      <vt:lpstr>v_9_XACP</vt:lpstr>
      <vt:lpstr>v_9_XALGAE</vt:lpstr>
      <vt:lpstr>v_9_XAMETO</vt:lpstr>
      <vt:lpstr>v_9_XB</vt:lpstr>
      <vt:lpstr>v_9_XB_e</vt:lpstr>
      <vt:lpstr>v_9_XBSH</vt:lpstr>
      <vt:lpstr>v_9_XCaCO3</vt:lpstr>
      <vt:lpstr>v_9_XCASTO</vt:lpstr>
      <vt:lpstr>v_9_XE</vt:lpstr>
      <vt:lpstr>v_9_XE_ana</vt:lpstr>
      <vt:lpstr>v_9_XHAO_H</vt:lpstr>
      <vt:lpstr>v_9_XHAO_H_P</vt:lpstr>
      <vt:lpstr>v_9_XHAO_H_P_old</vt:lpstr>
      <vt:lpstr>v_9_XHAO_L</vt:lpstr>
      <vt:lpstr>v_9_XHAO_L_P</vt:lpstr>
      <vt:lpstr>v_9_XHAO_L_P_old</vt:lpstr>
      <vt:lpstr>v_9_XHAO_old</vt:lpstr>
      <vt:lpstr>v_9_XHFO_H</vt:lpstr>
      <vt:lpstr>v_9_XHFO_H_P</vt:lpstr>
      <vt:lpstr>v_9_XHFO_H_P_old</vt:lpstr>
      <vt:lpstr>v_9_XHFO_L</vt:lpstr>
      <vt:lpstr>v_9_XHFO_L_P</vt:lpstr>
      <vt:lpstr>v_9_XHFO_L_P_old</vt:lpstr>
      <vt:lpstr>v_9_XHFO_old</vt:lpstr>
      <vt:lpstr>v_9_XHMETO</vt:lpstr>
      <vt:lpstr>v_9_XINORG</vt:lpstr>
      <vt:lpstr>v_9_XMEOLO</vt:lpstr>
      <vt:lpstr>v_9_XN_B</vt:lpstr>
      <vt:lpstr>v_9_XN_Be</vt:lpstr>
      <vt:lpstr>v_9_XN_U</vt:lpstr>
      <vt:lpstr>v_9_XNITO</vt:lpstr>
      <vt:lpstr>v_9_XOHO</vt:lpstr>
      <vt:lpstr>v_9_XP_B</vt:lpstr>
      <vt:lpstr>v_9_XP_Be</vt:lpstr>
      <vt:lpstr>v_9_XP_U</vt:lpstr>
      <vt:lpstr>v_9_XPFOA</vt:lpstr>
      <vt:lpstr>v_9_XPFOS</vt:lpstr>
      <vt:lpstr>v_9_XPHA_GAO</vt:lpstr>
      <vt:lpstr>v_9_XPHA_PAO</vt:lpstr>
      <vt:lpstr>v_9_XPP</vt:lpstr>
      <vt:lpstr>v_9_XSTR</vt:lpstr>
      <vt:lpstr>v_9_XU</vt:lpstr>
      <vt:lpstr>v_9_XVivi</vt:lpstr>
      <vt:lpstr>v_90_CB</vt:lpstr>
      <vt:lpstr>v_90_CU</vt:lpstr>
      <vt:lpstr>v_90_GCH4</vt:lpstr>
      <vt:lpstr>v_90_GCH4_atm</vt:lpstr>
      <vt:lpstr>v_90_GCO2</vt:lpstr>
      <vt:lpstr>v_90_GCO2_atm</vt:lpstr>
      <vt:lpstr>v_90_GH2</vt:lpstr>
      <vt:lpstr>v_90_GH2_atm</vt:lpstr>
      <vt:lpstr>v_90_GN2</vt:lpstr>
      <vt:lpstr>v_90_GN2_atm</vt:lpstr>
      <vt:lpstr>v_90_GNH3</vt:lpstr>
      <vt:lpstr>v_90_GNH3_atm</vt:lpstr>
      <vt:lpstr>v_90_GO2</vt:lpstr>
      <vt:lpstr>v_90_GO2_atm</vt:lpstr>
      <vt:lpstr>v_90_SALPHA</vt:lpstr>
      <vt:lpstr>v_90_SAN</vt:lpstr>
      <vt:lpstr>v_90_SB</vt:lpstr>
      <vt:lpstr>v_90_SCa</vt:lpstr>
      <vt:lpstr>v_90_SCAT</vt:lpstr>
      <vt:lpstr>v_90_SCH4</vt:lpstr>
      <vt:lpstr>v_90_SCO2</vt:lpstr>
      <vt:lpstr>v_90_SFe2</vt:lpstr>
      <vt:lpstr>v_90_SH</vt:lpstr>
      <vt:lpstr>v_90_SH2</vt:lpstr>
      <vt:lpstr>v_90_SK</vt:lpstr>
      <vt:lpstr>v_90_SMEOL</vt:lpstr>
      <vt:lpstr>v_90_SMg</vt:lpstr>
      <vt:lpstr>v_90_SN_B</vt:lpstr>
      <vt:lpstr>v_90_SN2</vt:lpstr>
      <vt:lpstr>v_90_SNHx</vt:lpstr>
      <vt:lpstr>v_90_SNOx</vt:lpstr>
      <vt:lpstr>v_90_SO2</vt:lpstr>
      <vt:lpstr>v_90_SORPswitch</vt:lpstr>
      <vt:lpstr>v_90_SP_B</vt:lpstr>
      <vt:lpstr>v_90_SPFOA</vt:lpstr>
      <vt:lpstr>v_90_SPFOS</vt:lpstr>
      <vt:lpstr>v_90_SPO4</vt:lpstr>
      <vt:lpstr>v_90_SU</vt:lpstr>
      <vt:lpstr>v_90_SVFA</vt:lpstr>
      <vt:lpstr>v_90_XACP</vt:lpstr>
      <vt:lpstr>v_90_XALGAE</vt:lpstr>
      <vt:lpstr>v_90_XAMETO</vt:lpstr>
      <vt:lpstr>v_90_XB</vt:lpstr>
      <vt:lpstr>v_90_XB_e</vt:lpstr>
      <vt:lpstr>v_90_XBSH</vt:lpstr>
      <vt:lpstr>v_90_XCaCO3</vt:lpstr>
      <vt:lpstr>v_90_XCASTO</vt:lpstr>
      <vt:lpstr>v_90_XE</vt:lpstr>
      <vt:lpstr>v_90_XE_ana</vt:lpstr>
      <vt:lpstr>v_90_XHAO_H</vt:lpstr>
      <vt:lpstr>v_90_XHAO_H_P</vt:lpstr>
      <vt:lpstr>v_90_XHAO_H_P_old</vt:lpstr>
      <vt:lpstr>v_90_XHAO_L</vt:lpstr>
      <vt:lpstr>v_90_XHAO_L_P</vt:lpstr>
      <vt:lpstr>v_90_XHAO_L_P_old</vt:lpstr>
      <vt:lpstr>v_90_XHAO_old</vt:lpstr>
      <vt:lpstr>v_90_XHFO_H</vt:lpstr>
      <vt:lpstr>v_90_XHFO_H_P</vt:lpstr>
      <vt:lpstr>v_90_XHFO_H_P_old</vt:lpstr>
      <vt:lpstr>v_90_XHFO_L</vt:lpstr>
      <vt:lpstr>v_90_XHFO_L_P</vt:lpstr>
      <vt:lpstr>v_90_XHFO_L_P_old</vt:lpstr>
      <vt:lpstr>v_90_XHFO_old</vt:lpstr>
      <vt:lpstr>v_90_XHMETO</vt:lpstr>
      <vt:lpstr>v_90_XINORG</vt:lpstr>
      <vt:lpstr>v_90_XMEOLO</vt:lpstr>
      <vt:lpstr>v_90_XN_B</vt:lpstr>
      <vt:lpstr>v_90_XN_Be</vt:lpstr>
      <vt:lpstr>v_90_XN_U</vt:lpstr>
      <vt:lpstr>v_90_XNITO</vt:lpstr>
      <vt:lpstr>v_90_XOHO</vt:lpstr>
      <vt:lpstr>v_90_XP_B</vt:lpstr>
      <vt:lpstr>v_90_XP_Be</vt:lpstr>
      <vt:lpstr>v_90_XP_U</vt:lpstr>
      <vt:lpstr>v_90_XPFOA</vt:lpstr>
      <vt:lpstr>v_90_XPFOS</vt:lpstr>
      <vt:lpstr>v_90_XPHA_GAO</vt:lpstr>
      <vt:lpstr>v_90_XPHA_PAO</vt:lpstr>
      <vt:lpstr>v_90_XPP</vt:lpstr>
      <vt:lpstr>v_90_XSTR</vt:lpstr>
      <vt:lpstr>v_90_XU</vt:lpstr>
      <vt:lpstr>v_90_XVivi</vt:lpstr>
      <vt:lpstr>v_91_CB</vt:lpstr>
      <vt:lpstr>v_91_CU</vt:lpstr>
      <vt:lpstr>v_91_GCH4</vt:lpstr>
      <vt:lpstr>v_91_GCH4_atm</vt:lpstr>
      <vt:lpstr>v_91_GCO2</vt:lpstr>
      <vt:lpstr>v_91_GCO2_atm</vt:lpstr>
      <vt:lpstr>v_91_GH2</vt:lpstr>
      <vt:lpstr>v_91_GH2_atm</vt:lpstr>
      <vt:lpstr>v_91_GN2</vt:lpstr>
      <vt:lpstr>v_91_GN2_atm</vt:lpstr>
      <vt:lpstr>v_91_GNH3</vt:lpstr>
      <vt:lpstr>v_91_GNH3_atm</vt:lpstr>
      <vt:lpstr>v_91_GO2</vt:lpstr>
      <vt:lpstr>v_91_GO2_atm</vt:lpstr>
      <vt:lpstr>v_91_SALPHA</vt:lpstr>
      <vt:lpstr>v_91_SAN</vt:lpstr>
      <vt:lpstr>v_91_SB</vt:lpstr>
      <vt:lpstr>v_91_SCa</vt:lpstr>
      <vt:lpstr>v_91_SCAT</vt:lpstr>
      <vt:lpstr>v_91_SCH4</vt:lpstr>
      <vt:lpstr>v_91_SCO2</vt:lpstr>
      <vt:lpstr>v_91_SFe2</vt:lpstr>
      <vt:lpstr>v_91_SH</vt:lpstr>
      <vt:lpstr>v_91_SH2</vt:lpstr>
      <vt:lpstr>v_91_SK</vt:lpstr>
      <vt:lpstr>v_91_SMEOL</vt:lpstr>
      <vt:lpstr>v_91_SMg</vt:lpstr>
      <vt:lpstr>v_91_SN_B</vt:lpstr>
      <vt:lpstr>v_91_SN2</vt:lpstr>
      <vt:lpstr>v_91_SNHx</vt:lpstr>
      <vt:lpstr>v_91_SNOx</vt:lpstr>
      <vt:lpstr>v_91_SO2</vt:lpstr>
      <vt:lpstr>v_91_SORPswitch</vt:lpstr>
      <vt:lpstr>v_91_SP_B</vt:lpstr>
      <vt:lpstr>v_91_SPFOA</vt:lpstr>
      <vt:lpstr>v_91_SPFOS</vt:lpstr>
      <vt:lpstr>v_91_SPO4</vt:lpstr>
      <vt:lpstr>v_91_SU</vt:lpstr>
      <vt:lpstr>v_91_SVFA</vt:lpstr>
      <vt:lpstr>v_91_XACP</vt:lpstr>
      <vt:lpstr>v_91_XALGAE</vt:lpstr>
      <vt:lpstr>v_91_XAMETO</vt:lpstr>
      <vt:lpstr>v_91_XB</vt:lpstr>
      <vt:lpstr>v_91_XB_e</vt:lpstr>
      <vt:lpstr>v_91_XBSH</vt:lpstr>
      <vt:lpstr>v_91_XCaCO3</vt:lpstr>
      <vt:lpstr>v_91_XCASTO</vt:lpstr>
      <vt:lpstr>v_91_XE</vt:lpstr>
      <vt:lpstr>v_91_XE_ana</vt:lpstr>
      <vt:lpstr>v_91_XHAO_H</vt:lpstr>
      <vt:lpstr>v_91_XHAO_H_P</vt:lpstr>
      <vt:lpstr>v_91_XHAO_H_P_old</vt:lpstr>
      <vt:lpstr>v_91_XHAO_L</vt:lpstr>
      <vt:lpstr>v_91_XHAO_L_P</vt:lpstr>
      <vt:lpstr>v_91_XHAO_L_P_old</vt:lpstr>
      <vt:lpstr>v_91_XHAO_old</vt:lpstr>
      <vt:lpstr>v_91_XHFO_H</vt:lpstr>
      <vt:lpstr>v_91_XHFO_H_P</vt:lpstr>
      <vt:lpstr>v_91_XHFO_H_P_old</vt:lpstr>
      <vt:lpstr>v_91_XHFO_L</vt:lpstr>
      <vt:lpstr>v_91_XHFO_L_P</vt:lpstr>
      <vt:lpstr>v_91_XHFO_L_P_old</vt:lpstr>
      <vt:lpstr>v_91_XHFO_old</vt:lpstr>
      <vt:lpstr>v_91_XHMETO</vt:lpstr>
      <vt:lpstr>v_91_XINORG</vt:lpstr>
      <vt:lpstr>v_91_XMEOLO</vt:lpstr>
      <vt:lpstr>v_91_XN_B</vt:lpstr>
      <vt:lpstr>v_91_XN_Be</vt:lpstr>
      <vt:lpstr>v_91_XN_U</vt:lpstr>
      <vt:lpstr>v_91_XNITO</vt:lpstr>
      <vt:lpstr>v_91_XOHO</vt:lpstr>
      <vt:lpstr>v_91_XP_B</vt:lpstr>
      <vt:lpstr>v_91_XP_Be</vt:lpstr>
      <vt:lpstr>v_91_XP_U</vt:lpstr>
      <vt:lpstr>v_91_XPFOA</vt:lpstr>
      <vt:lpstr>v_91_XPFOS</vt:lpstr>
      <vt:lpstr>v_91_XPHA_GAO</vt:lpstr>
      <vt:lpstr>v_91_XPHA_PAO</vt:lpstr>
      <vt:lpstr>v_91_XPP</vt:lpstr>
      <vt:lpstr>v_91_XSTR</vt:lpstr>
      <vt:lpstr>v_91_XU</vt:lpstr>
      <vt:lpstr>v_91_XVivi</vt:lpstr>
      <vt:lpstr>V_mol_N</vt:lpstr>
      <vt:lpstr>X_ACP</vt:lpstr>
      <vt:lpstr>X_ALGAE</vt:lpstr>
      <vt:lpstr>X_AMETO</vt:lpstr>
      <vt:lpstr>X_B</vt:lpstr>
      <vt:lpstr>X_B_e</vt:lpstr>
      <vt:lpstr>X_BIO</vt:lpstr>
      <vt:lpstr>X_BIO_AS</vt:lpstr>
      <vt:lpstr>X_BOD_5</vt:lpstr>
      <vt:lpstr>X_BOD_ult</vt:lpstr>
      <vt:lpstr>X_BSH</vt:lpstr>
      <vt:lpstr>X_CaCO3</vt:lpstr>
      <vt:lpstr>X_CASTO</vt:lpstr>
      <vt:lpstr>X_COD</vt:lpstr>
      <vt:lpstr>X_CsbCOD</vt:lpstr>
      <vt:lpstr>X_DM</vt:lpstr>
      <vt:lpstr>X_E</vt:lpstr>
      <vt:lpstr>X_E_ana</vt:lpstr>
      <vt:lpstr>X_GAO</vt:lpstr>
      <vt:lpstr>X_HAO</vt:lpstr>
      <vt:lpstr>X_HAO_H</vt:lpstr>
      <vt:lpstr>X_HAO_H_P</vt:lpstr>
      <vt:lpstr>X_HAO_H_P_old</vt:lpstr>
      <vt:lpstr>X_HAO_ISS</vt:lpstr>
      <vt:lpstr>X_HAO_L</vt:lpstr>
      <vt:lpstr>X_HAO_L_P</vt:lpstr>
      <vt:lpstr>X_HAO_L_P_old</vt:lpstr>
      <vt:lpstr>X_HAO_old</vt:lpstr>
      <vt:lpstr>X_HAO_P</vt:lpstr>
      <vt:lpstr>X_HAO_TSS</vt:lpstr>
      <vt:lpstr>X_HET</vt:lpstr>
      <vt:lpstr>X_HET_HYD_lim</vt:lpstr>
      <vt:lpstr>X_HFO</vt:lpstr>
      <vt:lpstr>X_HFO_H</vt:lpstr>
      <vt:lpstr>X_HFO_H_P</vt:lpstr>
      <vt:lpstr>X_HFO_H_P_old</vt:lpstr>
      <vt:lpstr>X_HFO_ISS</vt:lpstr>
      <vt:lpstr>X_HFO_L</vt:lpstr>
      <vt:lpstr>X_HFO_L_P</vt:lpstr>
      <vt:lpstr>X_HFO_L_P_old</vt:lpstr>
      <vt:lpstr>X_HFO_old</vt:lpstr>
      <vt:lpstr>X_HFO_P</vt:lpstr>
      <vt:lpstr>X_HFO_TSS</vt:lpstr>
      <vt:lpstr>X_HMETO</vt:lpstr>
      <vt:lpstr>X_INORG</vt:lpstr>
      <vt:lpstr>X_ISS</vt:lpstr>
      <vt:lpstr>X_KN</vt:lpstr>
      <vt:lpstr>X_Me_H2O_TSS</vt:lpstr>
      <vt:lpstr>X_Me_H2O_VSS</vt:lpstr>
      <vt:lpstr>X_Me_ISS</vt:lpstr>
      <vt:lpstr>X_Me_TSS</vt:lpstr>
      <vt:lpstr>X_MEOLO</vt:lpstr>
      <vt:lpstr>X_N_B</vt:lpstr>
      <vt:lpstr>X_N_Be</vt:lpstr>
      <vt:lpstr>X_N_U</vt:lpstr>
      <vt:lpstr>X_NITO</vt:lpstr>
      <vt:lpstr>X_OHO</vt:lpstr>
      <vt:lpstr>X_P</vt:lpstr>
      <vt:lpstr>X_P_B</vt:lpstr>
      <vt:lpstr>X_P_Be</vt:lpstr>
      <vt:lpstr>X_P_U</vt:lpstr>
      <vt:lpstr>X_PAO</vt:lpstr>
      <vt:lpstr>X_PFOA</vt:lpstr>
      <vt:lpstr>X_PFOS</vt:lpstr>
      <vt:lpstr>X_PHA_CASTO</vt:lpstr>
      <vt:lpstr>X_PHA_GAO</vt:lpstr>
      <vt:lpstr>X_PHA_PAO</vt:lpstr>
      <vt:lpstr>X_PP</vt:lpstr>
      <vt:lpstr>X_PP_PAO_min</vt:lpstr>
      <vt:lpstr>X_precip</vt:lpstr>
      <vt:lpstr>X_STC</vt:lpstr>
      <vt:lpstr>X_STR</vt:lpstr>
      <vt:lpstr>X_TSS</vt:lpstr>
      <vt:lpstr>X_U</vt:lpstr>
      <vt:lpstr>X_Vivi</vt:lpstr>
      <vt:lpstr>X_VS</vt:lpstr>
      <vt:lpstr>X_VS_ult</vt:lpstr>
      <vt:lpstr>X_VSS</vt:lpstr>
      <vt:lpstr>X_VSS_BIO</vt:lpstr>
      <vt:lpstr>Y_AMETO</vt:lpstr>
      <vt:lpstr>Y_BOD_ult</vt:lpstr>
      <vt:lpstr>Y_CASTO_H2_ana_high</vt:lpstr>
      <vt:lpstr>Y_CASTO_H2_ana_low</vt:lpstr>
      <vt:lpstr>Y_CASTO_SB_ana</vt:lpstr>
      <vt:lpstr>Y_CASTO_STC_anox</vt:lpstr>
      <vt:lpstr>Y_CASTO_STC_ox</vt:lpstr>
      <vt:lpstr>y_fdi</vt:lpstr>
      <vt:lpstr>y_fmono</vt:lpstr>
      <vt:lpstr>y_ftri</vt:lpstr>
      <vt:lpstr>Y_GAO_PHA_anox</vt:lpstr>
      <vt:lpstr>Y_GAO_PHA_ox</vt:lpstr>
      <vt:lpstr>Y_HMETO</vt:lpstr>
      <vt:lpstr>Y_MEOLO</vt:lpstr>
      <vt:lpstr>Y_NITO</vt:lpstr>
      <vt:lpstr>Y_OHO_H2_ana_high</vt:lpstr>
      <vt:lpstr>Y_OHO_H2_ana_low</vt:lpstr>
      <vt:lpstr>Y_OHO_SB_ana</vt:lpstr>
      <vt:lpstr>Y_OHO_SB_anox</vt:lpstr>
      <vt:lpstr>Y_OHO_SB_ox</vt:lpstr>
      <vt:lpstr>Y_OHO_SMEOL_ox</vt:lpstr>
      <vt:lpstr>Y_OHO_VFA_anox</vt:lpstr>
      <vt:lpstr>Y_OHO_VFA_ox</vt:lpstr>
      <vt:lpstr>y_ORP_GAO_Half_T</vt:lpstr>
      <vt:lpstr>Y_PAO_PHA_anox</vt:lpstr>
      <vt:lpstr>Y_PAO_PHA_ox</vt:lpstr>
      <vt:lpstr>Y_PP_CASTO_anox</vt:lpstr>
      <vt:lpstr>Y_PP_CASTO_ox</vt:lpstr>
      <vt:lpstr>α_pred</vt:lpstr>
      <vt:lpstr>Δ_atm</vt:lpstr>
      <vt:lpstr>ε__</vt:lpstr>
      <vt:lpstr>η_b_ana</vt:lpstr>
      <vt:lpstr>η_b_anox</vt:lpstr>
      <vt:lpstr>η_bCASTO_ana</vt:lpstr>
      <vt:lpstr>η_bCASTO_anox</vt:lpstr>
      <vt:lpstr>η_bPHA_ana</vt:lpstr>
      <vt:lpstr>η_bPP_aer</vt:lpstr>
      <vt:lpstr>η_bPP_anox</vt:lpstr>
      <vt:lpstr>η_bSTC_anox</vt:lpstr>
      <vt:lpstr>η_CASTO_anox</vt:lpstr>
      <vt:lpstr>η_H2O</vt:lpstr>
      <vt:lpstr>η_HYD_ana</vt:lpstr>
      <vt:lpstr>η_HYD_anox</vt:lpstr>
      <vt:lpstr>η_OHO_anox</vt:lpstr>
      <vt:lpstr>θ_µ_ALGAE</vt:lpstr>
      <vt:lpstr>θ_µ_AMETO</vt:lpstr>
      <vt:lpstr>θ_µ_CASTO</vt:lpstr>
      <vt:lpstr>θ_µ_HMETO</vt:lpstr>
      <vt:lpstr>θ_µ_MEOLO</vt:lpstr>
      <vt:lpstr>θ_µ_NITO</vt:lpstr>
      <vt:lpstr>θ_µ_OHO</vt:lpstr>
      <vt:lpstr>θ_µ_PAO_lim</vt:lpstr>
      <vt:lpstr>θ_b_ALGAE</vt:lpstr>
      <vt:lpstr>θ_b_AMETO</vt:lpstr>
      <vt:lpstr>θ_b_CASTO</vt:lpstr>
      <vt:lpstr>θ_b_HMETO</vt:lpstr>
      <vt:lpstr>θ_b_MEOLO</vt:lpstr>
      <vt:lpstr>θ_b_NITO</vt:lpstr>
      <vt:lpstr>θ_b_OHO</vt:lpstr>
      <vt:lpstr>θ_b_PP_ana</vt:lpstr>
      <vt:lpstr>θ_b_STC</vt:lpstr>
      <vt:lpstr>θ_FERM_OHO</vt:lpstr>
      <vt:lpstr>θ_FERM_PAO</vt:lpstr>
      <vt:lpstr>θ_q_AMMON</vt:lpstr>
      <vt:lpstr>θ_q_ASSIM</vt:lpstr>
      <vt:lpstr>θ_q_Fe2_OX</vt:lpstr>
      <vt:lpstr>θ_q_FLOC</vt:lpstr>
      <vt:lpstr>θ_q_FLOC_HAO</vt:lpstr>
      <vt:lpstr>θ_q_FLOC_HFO</vt:lpstr>
      <vt:lpstr>θ_q_GAO_PHA</vt:lpstr>
      <vt:lpstr>θ_q_HFO_RED</vt:lpstr>
      <vt:lpstr>θ_q_HYD</vt:lpstr>
      <vt:lpstr>θ_q_PAO_PHA</vt:lpstr>
      <vt:lpstr>θ_q_PAO_PP</vt:lpstr>
      <vt:lpstr>θ_q_SPB</vt:lpstr>
      <vt:lpstr>θ_q_XE</vt:lpstr>
      <vt:lpstr>θ_q_XU</vt:lpstr>
      <vt:lpstr>κ__</vt:lpstr>
      <vt:lpstr>λ_H</vt:lpstr>
      <vt:lpstr>ρ__</vt:lpstr>
      <vt:lpstr>ρ_air</vt:lpstr>
      <vt:lpstr>ρ_H2O</vt:lpstr>
      <vt:lpstr>σ_H2O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Dynamita</dc:creator>
  <cp:lastModifiedBy>Helene Hauduc</cp:lastModifiedBy>
  <cp:lastPrinted>2014-02-20T12:15:16Z</cp:lastPrinted>
  <dcterms:created xsi:type="dcterms:W3CDTF">2006-09-16T00:00:00Z</dcterms:created>
  <dcterms:modified xsi:type="dcterms:W3CDTF">2024-11-19T16:02:19Z</dcterms:modified>
</cp:coreProperties>
</file>